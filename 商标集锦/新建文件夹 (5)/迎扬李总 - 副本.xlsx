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迎扬电视墙" sheetId="23" r:id="rId1"/>
    <sheet name="2601.27" sheetId="26" r:id="rId2"/>
  </sheets>
  <definedNames>
    <definedName name="_xlnm.Print_Area" localSheetId="0">迎扬电视墙!$A$1:$J$21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<sst xmlns="http://schemas.openxmlformats.org/spreadsheetml/2006/main" count="89" uniqueCount="72">
  <si>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成都国圣工业有限公司（五星花）送货单</t>
  </si>
  <si>
    <t>购货单位（乙方）:迎扬电视墙家私    联系人：李总    日期：2026年01月27日   订单编号：26-010085A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</si>
  <si>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</si>
  <si>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</si>
  <si>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</si>
  <si>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</si>
  <si>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</si>
  <si>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</si>
  <si>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</si>
  <si>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</si>
  <si>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PE白底漆</t>
  </si>
  <si>
    <t>W6827B</t>
  </si>
  <si>
    <t>PE封固底漆</t>
  </si>
  <si>
    <t>RXS525</t>
  </si>
  <si>
    <t>PU亮光固化剂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</si>
  <si>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</si>
  <si>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</si>
  <si>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</si>
  <si>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</si>
  <si>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</si>
  <si>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</si>
  <si>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</si>
  <si>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</si>
  <si>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购货单位：迎扬电视墙家私</t>
  </si>
  <si>
    <t>产品型号</t>
  </si>
  <si>
    <t>产品名称</t>
  </si>
  <si>
    <t>规格</t>
  </si>
  <si>
    <t>单价</t>
  </si>
  <si>
    <t>换货</t>
  </si>
  <si>
    <t>6808A</t>
  </si>
  <si>
    <t>PE白底漆稀释剂</t>
  </si>
  <si>
    <t>PU亮光卡其色漆</t>
  </si>
  <si>
    <t>样油</t>
  </si>
  <si>
    <t>PU亮光荷花白色漆</t>
  </si>
  <si>
    <t>PU亮光灰蓝暮色漆</t>
  </si>
  <si>
    <t>05618</t>
  </si>
  <si>
    <t>NC云雾灰闪银拉丝漆</t>
  </si>
  <si>
    <t>PU亮光浅灰色漆</t>
  </si>
  <si>
    <t>24#B</t>
  </si>
  <si>
    <t>以24#哑灰为样调的亮光</t>
  </si>
  <si>
    <t>05698</t>
  </si>
  <si>
    <t>05678</t>
  </si>
  <si>
    <t>样油（05678和05618是同一个色漆）</t>
  </si>
  <si>
    <t>05697#</t>
  </si>
  <si>
    <t>PU亮光仿古闪银面漆</t>
  </si>
  <si>
    <t>PU哑光巧克力金属漆</t>
  </si>
  <si>
    <t>71#</t>
  </si>
  <si>
    <t>PU哑光深香槟银珠漆</t>
  </si>
  <si>
    <t>AG-092</t>
  </si>
  <si>
    <t>PU哑光深灰银珠漆</t>
  </si>
  <si>
    <t>AH-055</t>
  </si>
  <si>
    <t>PU哑光浅灰银珠漆</t>
  </si>
  <si>
    <t>A3-071</t>
  </si>
  <si>
    <t>PU亮光中灰色漆</t>
  </si>
  <si>
    <t>A1-630</t>
  </si>
  <si>
    <t>PU亮光深灰色漆</t>
  </si>
  <si>
    <t>1616#</t>
  </si>
  <si>
    <t>PU亮光珠光面漆</t>
  </si>
  <si>
    <t>此价为最低价</t>
  </si>
  <si>
    <t>87B</t>
  </si>
  <si>
    <t>PU哑光灰绿色漆</t>
  </si>
  <si>
    <t>自备货</t>
  </si>
  <si>
    <t>PU哑光象牙白色漆</t>
  </si>
  <si>
    <t>72#</t>
  </si>
  <si>
    <t>PU哑光紫色闪银漆</t>
  </si>
  <si>
    <t>PU哑光墨绿色漆</t>
  </si>
  <si>
    <t>05651</t>
  </si>
  <si>
    <t>21/8样油</t>
  </si>
  <si>
    <t>RXS303</t>
  </si>
  <si>
    <t>PU哑光固化剂</t>
  </si>
  <si>
    <t>自备货 （不含包装 87#改的颜色以后常用</t>
  </si>
  <si>
    <t>PU哑光铁灰珠光砂面漆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</si>
</sst>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General&quot;桶&quot;"/>
    <numFmt numFmtId="179" formatCode="000000"/>
    <numFmt numFmtId="180" formatCode="[DBNum2][$RMB]General;[Red][DBNum2][$RMB]General"/>
  </numFmts>
  <fonts count="30">
    <font>
      <sz val="12"/>
      <name val="宋体"/>
      <charset val="134"/>
    </font>
    <font>
      <b/>
      <sz val="12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sz val="16"/>
      <color rgb="FF00B0F0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4"/>
      <color rgb="FF00B0F0"/>
      <name val="宋体"/>
      <charset val="134"/>
    </font>
    <font>
      <sz val="2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  <xf numFmtId="0" fontId="29" fillId="8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77" fontId="2" fillId="0" borderId="0" xfId="0" applyNumberFormat="1" applyFont="1" applyBorder="1" applyAlignment="1">
      <alignment horizontal="center" vertical="center"/>
    </xf>
    <xf numFmtId="0" fontId="2" fillId="0" borderId="0" xfId="53" applyFont="1" applyBorder="1" applyAlignment="1">
      <alignment horizontal="left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255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8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53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179" fontId="2" fillId="0" borderId="1" xfId="0" applyNumberFormat="1" applyFont="1" applyFill="1" applyBorder="1" applyAlignment="1">
      <alignment horizontal="left" vertical="center"/>
    </xf>
    <xf numFmtId="180" fontId="2" fillId="0" borderId="1" xfId="0" applyNumberFormat="1" applyFont="1" applyFill="1" applyBorder="1" applyAlignment="1">
      <alignment horizontal="left" vertical="center"/>
    </xf>
    <xf numFmtId="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Fill="1" applyBorder="1" applyAlignment="1">
      <alignment horizontal="left" vertical="center" textRotation="255"/>
    </xf>
    <xf numFmtId="0" fontId="3" fillId="0" borderId="4" xfId="0" applyFont="1" applyFill="1" applyBorder="1" applyAlignment="1">
      <alignment horizontal="left" vertical="center" wrapText="1" readingOrder="1"/>
    </xf>
    <xf numFmtId="0" fontId="3" fillId="0" borderId="5" xfId="0" applyFont="1" applyFill="1" applyBorder="1" applyAlignment="1">
      <alignment horizontal="left" vertical="center" wrapText="1" readingOrder="1"/>
    </xf>
    <xf numFmtId="0" fontId="3" fillId="0" borderId="6" xfId="0" applyFont="1" applyFill="1" applyBorder="1" applyAlignment="1">
      <alignment horizontal="left" vertical="center" textRotation="255"/>
    </xf>
    <xf numFmtId="0" fontId="3" fillId="0" borderId="0" xfId="0" applyFont="1" applyFill="1" applyBorder="1" applyAlignment="1">
      <alignment horizontal="left" vertical="center" wrapText="1" readingOrder="1"/>
    </xf>
    <xf numFmtId="0" fontId="3" fillId="0" borderId="7" xfId="0" applyFont="1" applyFill="1" applyBorder="1" applyAlignment="1">
      <alignment horizontal="left" vertical="center" textRotation="255"/>
    </xf>
    <xf numFmtId="0" fontId="3" fillId="0" borderId="8" xfId="0" applyFont="1" applyFill="1" applyBorder="1" applyAlignment="1">
      <alignment horizontal="left" vertical="center" wrapText="1" readingOrder="1"/>
    </xf>
    <xf numFmtId="0" fontId="3" fillId="0" borderId="9" xfId="0" applyFont="1" applyFill="1" applyBorder="1" applyAlignment="1">
      <alignment horizontal="left" vertical="center" wrapText="1" readingOrder="1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Border="1" applyAlignment="1" quotePrefix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适中 2 4 2" xfId="50"/>
    <cellStyle name="常规 33" xfId="51"/>
    <cellStyle name="常规 38 2" xfId="52"/>
    <cellStyle name="常规 5 2" xfId="53"/>
    <cellStyle name="货币 4 3 2" xfId="54"/>
  </cellStyles>
  <tableStyles count="1" defaultTableStyle="TableStyleMedium9" defaultPivotStyle="PivotStyleLight16">
    <tableStyle name="表样式 1" pivot="0" count="0" xr9:uid="{DA10EEA0-D9C8-4F38-824D-F728C0F18D81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1"/>
  <sheetViews>
    <sheetView workbookViewId="0">
      <selection activeCell="A1" sqref="A1:J21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7.875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3.75" customWidth="1"/>
    <col min="13" max="13" width="11.375"/>
  </cols>
  <sheetData>
    <row r="1" s="18" customFormat="1" ht="34" customHeight="1" spans="1:1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="19" customFormat="1" ht="34" customHeight="1" spans="1:1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M2" s="18"/>
    </row>
    <row r="3" s="13" customFormat="1" ht="26" customHeight="1" spans="1:13">
      <c r="A3" s="21" t="s">
        <v>2</v>
      </c>
      <c r="B3" s="21"/>
      <c r="C3" s="21"/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M3" s="18"/>
    </row>
    <row r="4" s="13" customFormat="1" ht="24" customHeight="1" spans="1:13">
      <c r="A4" s="23">
        <v>9804</v>
      </c>
      <c r="B4" s="24"/>
      <c r="C4" s="24"/>
      <c r="D4" s="25" t="s">
        <v>10</v>
      </c>
      <c r="E4" s="26">
        <v>5</v>
      </c>
      <c r="F4" s="24">
        <v>28</v>
      </c>
      <c r="G4" s="24">
        <f>E4*F4</f>
        <v>140</v>
      </c>
      <c r="H4" s="27">
        <v>9</v>
      </c>
      <c r="I4" s="27">
        <f>G4*H4</f>
        <v>1260</v>
      </c>
      <c r="J4" s="28"/>
      <c r="M4" s="18"/>
    </row>
    <row r="5" s="13" customFormat="1" ht="24" customHeight="1" spans="1:13">
      <c r="A5" s="24" t="s">
        <v>11</v>
      </c>
      <c r="B5" s="24"/>
      <c r="C5" s="24"/>
      <c r="D5" s="29" t="s">
        <v>12</v>
      </c>
      <c r="E5" s="26">
        <v>2</v>
      </c>
      <c r="F5" s="24">
        <v>25</v>
      </c>
      <c r="G5" s="24">
        <v>50</v>
      </c>
      <c r="H5" s="27">
        <v>11</v>
      </c>
      <c r="I5" s="27">
        <f>G5*H5</f>
        <v>550</v>
      </c>
      <c r="J5" s="28"/>
      <c r="M5" s="18"/>
    </row>
    <row r="6" s="13" customFormat="1" ht="24" customHeight="1" spans="1:13">
      <c r="A6" s="24" t="s">
        <v>13</v>
      </c>
      <c r="B6" s="24"/>
      <c r="C6" s="24"/>
      <c r="D6" s="29" t="s">
        <v>14</v>
      </c>
      <c r="E6" s="26">
        <v>4</v>
      </c>
      <c r="F6" s="24">
        <v>20</v>
      </c>
      <c r="G6" s="24">
        <f>E6*F6</f>
        <v>80</v>
      </c>
      <c r="H6" s="27">
        <v>17</v>
      </c>
      <c r="I6" s="27">
        <f>G6*H6</f>
        <v>1360</v>
      </c>
      <c r="J6" s="28"/>
    </row>
    <row r="7" s="13" customFormat="1" ht="24" customHeight="1" spans="1:13">
      <c r="A7" s="30"/>
      <c r="B7" s="30"/>
      <c r="C7" s="30"/>
      <c r="D7" s="31"/>
      <c r="E7" s="32"/>
      <c r="F7" s="30"/>
      <c r="G7" s="30"/>
      <c r="H7" s="33"/>
      <c r="I7" s="27"/>
      <c r="J7" s="28"/>
    </row>
    <row r="8" s="13" customFormat="1" ht="24" customHeight="1" spans="1:13">
      <c r="A8" s="30"/>
      <c r="B8" s="30"/>
      <c r="C8" s="30"/>
      <c r="D8" s="34"/>
      <c r="E8" s="32"/>
      <c r="F8" s="30"/>
      <c r="G8" s="30"/>
      <c r="H8" s="33"/>
      <c r="I8" s="33"/>
      <c r="J8" s="28"/>
    </row>
    <row r="9" s="13" customFormat="1" ht="24" customHeight="1" spans="1:13">
      <c r="A9" s="30"/>
      <c r="B9" s="30"/>
      <c r="C9" s="30"/>
      <c r="D9" s="34"/>
      <c r="E9" s="32"/>
      <c r="F9" s="30"/>
      <c r="G9" s="30"/>
      <c r="H9" s="33"/>
      <c r="I9" s="33"/>
      <c r="J9" s="28"/>
    </row>
    <row r="10" s="13" customFormat="1" ht="24" customHeight="1" spans="1:13">
      <c r="A10" s="30"/>
      <c r="B10" s="30"/>
      <c r="C10" s="30"/>
      <c r="D10" s="31"/>
      <c r="E10" s="32"/>
      <c r="F10" s="30"/>
      <c r="G10" s="30"/>
      <c r="H10" s="33"/>
      <c r="I10" s="33"/>
      <c r="J10" s="28"/>
    </row>
    <row r="11" s="13" customFormat="1" ht="24" customHeight="1" spans="1:13">
      <c r="A11" s="30"/>
      <c r="B11" s="30"/>
      <c r="C11" s="30"/>
      <c r="D11" s="31"/>
      <c r="E11" s="32"/>
      <c r="F11" s="30"/>
      <c r="G11" s="30"/>
      <c r="H11" s="33"/>
      <c r="I11" s="33"/>
      <c r="J11" s="28"/>
    </row>
    <row r="12" s="13" customFormat="1" ht="24" customHeight="1" spans="1:13">
      <c r="A12" s="30"/>
      <c r="B12" s="30"/>
      <c r="C12" s="30"/>
      <c r="D12" s="31"/>
      <c r="E12" s="32"/>
      <c r="F12" s="30"/>
      <c r="G12" s="30"/>
      <c r="H12" s="33"/>
      <c r="I12" s="33"/>
      <c r="J12" s="28"/>
    </row>
    <row r="13" s="13" customFormat="1" ht="24" customHeight="1" spans="1:13">
      <c r="A13" s="30"/>
      <c r="B13" s="30"/>
      <c r="C13" s="30"/>
      <c r="D13" s="31"/>
      <c r="E13" s="32"/>
      <c r="F13" s="30"/>
      <c r="G13" s="30"/>
      <c r="H13" s="33"/>
      <c r="I13" s="33"/>
      <c r="J13" s="28"/>
    </row>
    <row r="14" s="13" customFormat="1" ht="24" customHeight="1" spans="1:13">
      <c r="A14" s="35"/>
      <c r="B14" s="30"/>
      <c r="C14" s="30"/>
      <c r="D14" s="36"/>
      <c r="E14" s="32"/>
      <c r="F14" s="30"/>
      <c r="G14" s="30"/>
      <c r="H14" s="33"/>
      <c r="I14" s="33"/>
      <c r="J14" s="28"/>
    </row>
    <row r="15" s="13" customFormat="1" ht="24" customHeight="1" spans="1:13">
      <c r="A15" s="37" t="s">
        <v>15</v>
      </c>
      <c r="B15" s="37"/>
      <c r="C15" s="37"/>
      <c r="D15" s="38">
        <f>I15</f>
        <v>3170</v>
      </c>
      <c r="E15" s="38"/>
      <c r="F15" s="38"/>
      <c r="G15" s="38"/>
      <c r="H15" s="38"/>
      <c r="I15" s="39">
        <f>SUM(I4:I14)</f>
        <v>3170</v>
      </c>
      <c r="J15" s="40"/>
    </row>
    <row r="16" ht="20" customHeight="1" spans="1:13">
      <c r="A16" s="41" t="s">
        <v>16</v>
      </c>
      <c r="B16" s="42" t="s">
        <v>17</v>
      </c>
      <c r="C16" s="42"/>
      <c r="D16" s="42"/>
      <c r="E16" s="42"/>
      <c r="F16" s="42"/>
      <c r="G16" s="42"/>
      <c r="H16" s="42"/>
      <c r="I16" s="42"/>
      <c r="J16" s="43"/>
    </row>
    <row r="17" ht="20" customHeight="1" spans="1:10">
      <c r="A17" s="44"/>
      <c r="B17" s="45" t="s">
        <v>18</v>
      </c>
      <c r="C17" s="45"/>
      <c r="D17" s="45"/>
      <c r="E17" s="45"/>
      <c r="F17" s="45"/>
      <c r="G17" s="45"/>
      <c r="H17" s="45"/>
      <c r="I17" s="45"/>
      <c r="J17" s="43"/>
    </row>
    <row r="18" ht="20" customHeight="1" spans="1:10">
      <c r="A18" s="44"/>
      <c r="B18" s="45"/>
      <c r="C18" s="45" t="s">
        <v>19</v>
      </c>
      <c r="D18" s="45"/>
      <c r="E18" s="45"/>
      <c r="F18" s="45"/>
      <c r="G18" s="45"/>
      <c r="H18" s="45"/>
      <c r="I18" s="45"/>
      <c r="J18" s="43"/>
    </row>
    <row r="19" ht="20" customHeight="1" spans="1:10">
      <c r="A19" s="46"/>
      <c r="B19" s="47" t="s">
        <v>20</v>
      </c>
      <c r="C19" s="47"/>
      <c r="D19" s="47"/>
      <c r="E19" s="47"/>
      <c r="F19" s="47"/>
      <c r="G19" s="47"/>
      <c r="H19" s="47"/>
      <c r="I19" s="47"/>
      <c r="J19" s="48"/>
    </row>
    <row r="20" ht="20" customHeight="1" spans="1:10">
      <c r="A20" s="49" t="s">
        <v>21</v>
      </c>
      <c r="B20" s="49"/>
      <c r="C20" s="49"/>
      <c r="D20" s="49"/>
      <c r="E20" s="49"/>
      <c r="F20" s="49"/>
      <c r="G20" s="49"/>
      <c r="H20" s="49"/>
      <c r="I20" s="49"/>
      <c r="J20" s="49"/>
    </row>
    <row r="21" ht="20" customHeight="1" spans="1:10">
      <c r="A21" s="49" t="s">
        <v>22</v>
      </c>
      <c r="B21" s="49"/>
      <c r="C21" s="49"/>
      <c r="D21" s="49"/>
      <c r="E21" s="49"/>
      <c r="F21" s="49"/>
      <c r="G21" s="49"/>
      <c r="H21" s="49"/>
      <c r="I21" s="49"/>
      <c r="J21" s="49"/>
    </row>
  </sheetData>
  <mergeCells count="23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A16:A19"/>
  </mergeCells>
  <printOptions horizontalCentered="1"/>
  <pageMargins left="0.393055555555556" right="0.196527777777778" top="0.196527777777778" bottom="0.590277777777778" header="0.393055555555556" footer="0.393055555555556"/>
  <pageSetup paperSize="9" scale="7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A5" workbookViewId="0">
      <selection activeCell="F30" sqref="F30"/>
    </sheetView>
  </sheetViews>
  <sheetFormatPr defaultColWidth="9" defaultRowHeight="14.25" outlineLevelCol="6"/>
  <cols>
    <col min="1" max="1" width="18" customWidth="1"/>
    <col min="2" max="2" width="29.75" customWidth="1"/>
    <col min="3" max="3" width="13.625" customWidth="1"/>
    <col min="4" max="4" width="17.5" customWidth="1"/>
    <col min="5" max="5" width="32.25" customWidth="1"/>
  </cols>
  <sheetData>
    <row r="1" s="1" customFormat="1" spans="1:6">
      <c r="A1" s="1" t="s">
        <v>23</v>
      </c>
    </row>
    <row r="2" s="1" customFormat="1" spans="1:6">
      <c r="A2" s="1" t="s">
        <v>24</v>
      </c>
      <c r="B2" s="1" t="s">
        <v>25</v>
      </c>
      <c r="C2" s="5" t="s">
        <v>26</v>
      </c>
      <c r="D2" s="5" t="s">
        <v>27</v>
      </c>
    </row>
    <row r="3" s="2" customFormat="1" ht="20.25" spans="1:6">
      <c r="A3" s="6">
        <v>9804</v>
      </c>
      <c r="B3" s="7" t="s">
        <v>10</v>
      </c>
      <c r="C3" s="8">
        <v>28</v>
      </c>
      <c r="D3" s="9">
        <v>9</v>
      </c>
      <c r="E3" s="10" t="s">
        <v>28</v>
      </c>
      <c r="F3" s="8"/>
    </row>
    <row r="4" s="3" customFormat="1" ht="20.25" spans="1:6">
      <c r="A4" s="6" t="s">
        <v>11</v>
      </c>
      <c r="B4" s="10" t="s">
        <v>12</v>
      </c>
      <c r="C4" s="8">
        <v>25</v>
      </c>
      <c r="D4" s="11">
        <v>11</v>
      </c>
      <c r="E4" s="11"/>
      <c r="F4" s="2"/>
    </row>
    <row r="5" s="2" customFormat="1" ht="20.25" spans="1:6">
      <c r="A5" s="6" t="s">
        <v>29</v>
      </c>
      <c r="B5" s="7" t="s">
        <v>30</v>
      </c>
      <c r="C5" s="8">
        <v>180</v>
      </c>
      <c r="D5" s="11">
        <v>5.6</v>
      </c>
      <c r="E5" s="10"/>
      <c r="F5" s="8"/>
    </row>
    <row r="6" s="2" customFormat="1" ht="20.25" spans="1:6">
      <c r="A6" s="6">
        <v>2271</v>
      </c>
      <c r="B6" s="12" t="s">
        <v>31</v>
      </c>
      <c r="C6" s="8">
        <v>25</v>
      </c>
      <c r="D6" s="11">
        <v>17</v>
      </c>
      <c r="E6" s="13" t="s">
        <v>32</v>
      </c>
      <c r="F6" s="8"/>
    </row>
    <row r="7" s="2" customFormat="1" ht="20.25" spans="1:6">
      <c r="A7" s="6">
        <v>2269</v>
      </c>
      <c r="B7" s="12" t="s">
        <v>33</v>
      </c>
      <c r="C7" s="8">
        <v>25</v>
      </c>
      <c r="D7" s="11">
        <v>17</v>
      </c>
      <c r="E7" s="13" t="s">
        <v>32</v>
      </c>
      <c r="F7" s="8"/>
    </row>
    <row r="8" s="2" customFormat="1" ht="20.25" spans="1:6">
      <c r="A8" s="6">
        <v>2270</v>
      </c>
      <c r="B8" s="12" t="s">
        <v>34</v>
      </c>
      <c r="C8" s="8">
        <v>25</v>
      </c>
      <c r="D8" s="11">
        <v>17</v>
      </c>
      <c r="E8" s="13" t="s">
        <v>32</v>
      </c>
      <c r="F8" s="8"/>
    </row>
    <row r="9" s="4" customFormat="1" ht="20.25" spans="1:6">
      <c r="A9" s="50" t="s">
        <v>35</v>
      </c>
      <c r="B9" s="10" t="s">
        <v>36</v>
      </c>
      <c r="C9" s="8">
        <v>13</v>
      </c>
      <c r="D9" s="11">
        <v>23</v>
      </c>
      <c r="E9" s="13" t="s">
        <v>32</v>
      </c>
      <c r="F9" s="8"/>
    </row>
    <row r="10" s="4" customFormat="1" ht="20.25" spans="1:6">
      <c r="A10" s="6">
        <v>10337</v>
      </c>
      <c r="B10" s="12" t="s">
        <v>37</v>
      </c>
      <c r="C10" s="8">
        <v>25</v>
      </c>
      <c r="D10" s="11">
        <v>17</v>
      </c>
      <c r="E10" s="14"/>
      <c r="F10" s="8"/>
    </row>
    <row r="11" s="2" customFormat="1" ht="20.25" spans="1:6">
      <c r="A11" s="6" t="s">
        <v>38</v>
      </c>
      <c r="B11" s="12" t="s">
        <v>37</v>
      </c>
      <c r="C11" s="8">
        <v>25</v>
      </c>
      <c r="D11" s="11">
        <v>17</v>
      </c>
      <c r="E11" s="13" t="s">
        <v>39</v>
      </c>
      <c r="F11" s="8"/>
    </row>
    <row r="12" s="4" customFormat="1" ht="20.25" spans="1:6">
      <c r="A12" s="50" t="s">
        <v>40</v>
      </c>
      <c r="B12" s="12" t="s">
        <v>37</v>
      </c>
      <c r="C12" s="8">
        <v>25</v>
      </c>
      <c r="D12" s="11">
        <v>17</v>
      </c>
      <c r="E12" s="14"/>
      <c r="F12" s="8"/>
    </row>
    <row r="13" s="4" customFormat="1" ht="20.25" spans="1:6">
      <c r="A13" s="50" t="s">
        <v>41</v>
      </c>
      <c r="B13" s="10" t="s">
        <v>36</v>
      </c>
      <c r="C13" s="8">
        <v>7</v>
      </c>
      <c r="D13" s="11">
        <v>23</v>
      </c>
      <c r="E13" s="13" t="s">
        <v>42</v>
      </c>
      <c r="F13" s="8"/>
    </row>
    <row r="14" s="4" customFormat="1" ht="20.25" spans="1:6">
      <c r="A14" s="6" t="s">
        <v>43</v>
      </c>
      <c r="B14" s="10" t="s">
        <v>44</v>
      </c>
      <c r="C14" s="8">
        <v>5</v>
      </c>
      <c r="D14" s="11">
        <v>23</v>
      </c>
      <c r="E14" s="13"/>
      <c r="F14" s="8"/>
    </row>
    <row r="15" s="2" customFormat="1" ht="20.25" spans="1:6">
      <c r="A15" s="6">
        <v>11132</v>
      </c>
      <c r="B15" s="12" t="s">
        <v>45</v>
      </c>
      <c r="C15" s="8">
        <v>20</v>
      </c>
      <c r="D15" s="11">
        <v>20</v>
      </c>
      <c r="E15" s="13" t="s">
        <v>32</v>
      </c>
      <c r="F15" s="8"/>
    </row>
    <row r="16" s="4" customFormat="1" ht="20.25" spans="1:6">
      <c r="A16" s="6" t="s">
        <v>46</v>
      </c>
      <c r="B16" s="12" t="s">
        <v>47</v>
      </c>
      <c r="C16" s="8">
        <v>21</v>
      </c>
      <c r="D16" s="11">
        <v>23</v>
      </c>
      <c r="E16" s="14"/>
      <c r="F16" s="8"/>
    </row>
    <row r="17" s="2" customFormat="1" ht="20.25" spans="1:7">
      <c r="A17" s="6" t="s">
        <v>48</v>
      </c>
      <c r="B17" s="12" t="s">
        <v>49</v>
      </c>
      <c r="C17" s="8">
        <v>21</v>
      </c>
      <c r="D17" s="11">
        <v>20</v>
      </c>
      <c r="E17" s="13" t="s">
        <v>32</v>
      </c>
      <c r="F17" s="8"/>
    </row>
    <row r="18" s="2" customFormat="1" ht="20.25" spans="1:7">
      <c r="A18" s="6" t="s">
        <v>50</v>
      </c>
      <c r="B18" s="12" t="s">
        <v>51</v>
      </c>
      <c r="C18" s="8">
        <v>20</v>
      </c>
      <c r="D18" s="11">
        <v>20</v>
      </c>
      <c r="E18" s="13" t="s">
        <v>32</v>
      </c>
      <c r="F18" s="8"/>
    </row>
    <row r="19" s="2" customFormat="1" ht="20.25" spans="1:7">
      <c r="A19" s="6" t="s">
        <v>52</v>
      </c>
      <c r="B19" s="12" t="s">
        <v>53</v>
      </c>
      <c r="C19" s="8">
        <v>25</v>
      </c>
      <c r="D19" s="11">
        <v>17</v>
      </c>
      <c r="E19" s="13" t="s">
        <v>32</v>
      </c>
      <c r="F19" s="8"/>
    </row>
    <row r="20" s="4" customFormat="1" ht="20.25" spans="1:7">
      <c r="A20" s="6" t="s">
        <v>54</v>
      </c>
      <c r="B20" s="12" t="s">
        <v>55</v>
      </c>
      <c r="C20" s="8">
        <v>23</v>
      </c>
      <c r="D20" s="11">
        <v>17</v>
      </c>
      <c r="E20" s="14"/>
      <c r="F20" s="8"/>
    </row>
    <row r="21" s="4" customFormat="1" ht="20.25" spans="1:7">
      <c r="A21" s="6" t="s">
        <v>56</v>
      </c>
      <c r="B21" s="10" t="s">
        <v>57</v>
      </c>
      <c r="C21" s="8">
        <v>20</v>
      </c>
      <c r="D21" s="11">
        <v>22</v>
      </c>
      <c r="E21" s="13" t="s">
        <v>58</v>
      </c>
      <c r="F21" s="8"/>
    </row>
    <row r="22" s="2" customFormat="1" ht="20.25" spans="1:7">
      <c r="A22" s="6" t="s">
        <v>59</v>
      </c>
      <c r="B22" s="10" t="s">
        <v>60</v>
      </c>
      <c r="C22" s="8">
        <v>13</v>
      </c>
      <c r="D22" s="11"/>
      <c r="E22" s="13" t="s">
        <v>61</v>
      </c>
      <c r="F22" s="8"/>
    </row>
    <row r="23" ht="20.25" spans="1:7">
      <c r="A23" s="6">
        <v>4680</v>
      </c>
      <c r="B23" s="12" t="s">
        <v>62</v>
      </c>
      <c r="C23" s="8">
        <v>25</v>
      </c>
      <c r="D23" s="11">
        <v>17</v>
      </c>
      <c r="E23" s="13" t="s">
        <v>32</v>
      </c>
      <c r="F23" s="8" t="e">
        <f>SUM(#REF!)</f>
        <v>#REF!</v>
      </c>
      <c r="G23" s="4"/>
    </row>
    <row r="24" s="4" customFormat="1" ht="20.25" spans="1:7">
      <c r="A24" s="6" t="s">
        <v>63</v>
      </c>
      <c r="B24" s="12" t="s">
        <v>64</v>
      </c>
      <c r="C24" s="8">
        <v>4</v>
      </c>
      <c r="D24" s="11">
        <v>23</v>
      </c>
      <c r="E24" s="14"/>
      <c r="F24" s="8"/>
      <c r="G24" s="2"/>
    </row>
    <row r="25" s="2" customFormat="1" ht="20.25" spans="1:7">
      <c r="A25" s="6">
        <v>24810</v>
      </c>
      <c r="B25" s="12" t="s">
        <v>65</v>
      </c>
      <c r="C25" s="8">
        <v>4</v>
      </c>
      <c r="D25" s="11">
        <v>17</v>
      </c>
      <c r="E25" s="14"/>
      <c r="F25" s="8"/>
      <c r="G25" s="4"/>
    </row>
    <row r="26" s="4" customFormat="1" ht="20.25" spans="1:7">
      <c r="A26" s="50" t="s">
        <v>66</v>
      </c>
      <c r="B26" s="12" t="s">
        <v>62</v>
      </c>
      <c r="C26" s="8">
        <v>25</v>
      </c>
      <c r="D26" s="11">
        <v>17</v>
      </c>
      <c r="E26" s="13" t="s">
        <v>67</v>
      </c>
      <c r="F26" s="8"/>
    </row>
    <row r="27" s="4" customFormat="1" ht="20.25" spans="1:7">
      <c r="A27" s="6" t="s">
        <v>68</v>
      </c>
      <c r="B27" s="10" t="s">
        <v>69</v>
      </c>
      <c r="C27" s="8">
        <v>20</v>
      </c>
      <c r="D27" s="11">
        <v>17</v>
      </c>
      <c r="E27" s="14"/>
      <c r="F27" s="2" t="s">
        <v>70</v>
      </c>
      <c r="G27" s="8"/>
    </row>
    <row r="28" s="4" customFormat="1" ht="20.25" spans="1:7">
      <c r="A28" s="6" t="s">
        <v>13</v>
      </c>
      <c r="B28" s="10" t="s">
        <v>14</v>
      </c>
      <c r="C28" s="8">
        <v>20</v>
      </c>
      <c r="D28" s="11">
        <v>17</v>
      </c>
      <c r="E28" s="14"/>
      <c r="F28" s="8"/>
    </row>
    <row r="29" ht="20.25" spans="1:7">
      <c r="A29" s="15">
        <v>10545</v>
      </c>
      <c r="B29" s="16" t="s">
        <v>71</v>
      </c>
      <c r="C29" s="17">
        <v>20</v>
      </c>
      <c r="D29" s="11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迎扬电视墙</vt:lpstr>
      <vt:lpstr>2601.27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2026-01-30T07:04:46Z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