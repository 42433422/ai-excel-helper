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25年出货" sheetId="32" r:id="rId1"/>
    <sheet name="侯雪梅" sheetId="25" r:id="rId2"/>
    <sheet name="席章国" sheetId="29" r:id="rId3"/>
    <sheet name="Sheet1" sheetId="34" r:id="rId4"/>
    <sheet name="25年回款" sheetId="31" r:id="rId5"/>
    <sheet name="24回款" sheetId="27" state="hidden" r:id="rId6"/>
    <sheet name="侯雪梅出货" sheetId="17" state="hidden" r:id="rId7"/>
    <sheet name="色漆编号" sheetId="28" state="hidden" r:id="rId8"/>
    <sheet name="报价" sheetId="33" state="hidden" r:id="rId9"/>
    <sheet name="回款" sheetId="21" state="hidden" r:id="rId10"/>
    <sheet name="24年明细账" sheetId="30" state="hidden" r:id="rId11"/>
  </sheets>
  <definedNames>
    <definedName name="_xlnm._FilterDatabase" localSheetId="0" hidden="1">'25年出货'!$A$2:$Q$396</definedName>
    <definedName name="_xlnm._FilterDatabase" localSheetId="6" hidden="1">侯雪梅出货!$A$2:$T$311</definedName>
    <definedName name="_xlnm.Print_Area" localSheetId="1">侯雪梅!$A$1:$J$21</definedName>
    <definedName name="_xlnm._FilterDatabase" localSheetId="9" hidden="1">回款!#REF!</definedName>
    <definedName name="_xlnm.Print_Area" localSheetId="7">色漆编号!$A$1:$F$31</definedName>
    <definedName name="_xlnm.Print_Area" localSheetId="10">'24年明细账'!$A$5:$K$27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<sst xmlns="http://schemas.openxmlformats.org/spreadsheetml/2006/main" count="5373" uniqueCount="949">
  <si>
    <t>2025年</t>
  </si>
  <si>
    <t>金汉武（宾驰）</t>
  </si>
  <si>
    <t>JW09-3（非凡）</t>
  </si>
  <si>
    <t>PU哑光米白色漆新款</t>
  </si>
  <si>
    <t>宜家岛台</t>
  </si>
  <si>
    <t>FG-42</t>
  </si>
  <si>
    <t>PU哑光肤感奶咖色漆</t>
  </si>
  <si>
    <t>JW09-2（安2）</t>
  </si>
  <si>
    <t>PU哑光墨绿色漆</t>
  </si>
  <si>
    <t>JW303</t>
  </si>
  <si>
    <t>PU哑光固化剂</t>
  </si>
  <si>
    <t>5号</t>
  </si>
  <si>
    <t>S12</t>
  </si>
  <si>
    <t>NC银白闪银漆</t>
  </si>
  <si>
    <t>JW001(0964)</t>
  </si>
  <si>
    <t>PU亮光宝蓝金属漆</t>
  </si>
  <si>
    <t>X-24A</t>
  </si>
  <si>
    <t>PU亮光浅粉色漆</t>
  </si>
  <si>
    <t>样油</t>
  </si>
  <si>
    <t>X-24B</t>
  </si>
  <si>
    <t>PU亮光灰色漆</t>
  </si>
  <si>
    <t>NC</t>
  </si>
  <si>
    <t>硝基稀释剂</t>
  </si>
  <si>
    <t>1023安康肤感</t>
  </si>
  <si>
    <t>PU哑光香槟肤感漆</t>
  </si>
  <si>
    <t>17号</t>
  </si>
  <si>
    <t>方和</t>
  </si>
  <si>
    <t>黑棕面用修色精</t>
  </si>
  <si>
    <t>PU全哑清面漆</t>
  </si>
  <si>
    <t>70FB+0.7:100C</t>
  </si>
  <si>
    <t>名品（晶美鑫）</t>
  </si>
  <si>
    <t>黑胡桃色精</t>
  </si>
  <si>
    <t>国邦:钟志勇</t>
  </si>
  <si>
    <t>厅立方CY191</t>
  </si>
  <si>
    <t>PU二分光象牙白色漆</t>
  </si>
  <si>
    <t>水云沙（3424）</t>
  </si>
  <si>
    <t>PU哑光浅灰砂面漆</t>
  </si>
  <si>
    <t>金汉武的加工厂：鼎圣</t>
  </si>
  <si>
    <t>PU亮光橙色漆</t>
  </si>
  <si>
    <t>抽屉样：样品罐没有编号</t>
  </si>
  <si>
    <t>金汉武鼎丰：国邦</t>
  </si>
  <si>
    <r>
      <rPr>
        <sz val="16"/>
        <rFont val="宋体"/>
        <charset val="134"/>
      </rPr>
      <t>160-4</t>
    </r>
    <r>
      <rPr>
        <sz val="12"/>
        <rFont val="宋体"/>
        <charset val="134"/>
      </rPr>
      <t>（11069/MT07）</t>
    </r>
  </si>
  <si>
    <t>PU哑光象牙黄色漆</t>
  </si>
  <si>
    <t>金汉武三江源</t>
  </si>
  <si>
    <t>10139(S01)</t>
  </si>
  <si>
    <t>PU哑光谢深灰色漆</t>
  </si>
  <si>
    <t>C12(S01)</t>
  </si>
  <si>
    <t>PU哑光浅灰色漆</t>
  </si>
  <si>
    <t>PU哑光肤感香槟漆</t>
  </si>
  <si>
    <t>B08</t>
  </si>
  <si>
    <t>PU七分光米黄色漆</t>
  </si>
  <si>
    <t>全哑黑面漆</t>
  </si>
  <si>
    <t>092203（非凡）</t>
  </si>
  <si>
    <t>NC香槟金色面漆</t>
  </si>
  <si>
    <t>11/9日确认092203为 （非凡）</t>
  </si>
  <si>
    <t>金汉武</t>
  </si>
  <si>
    <t>1号</t>
  </si>
  <si>
    <t>240108（001#）配色</t>
  </si>
  <si>
    <t>哑光深灰色漆</t>
  </si>
  <si>
    <t>6824A</t>
  </si>
  <si>
    <t>PE封固底漆</t>
  </si>
  <si>
    <t>PE 白底漆</t>
  </si>
  <si>
    <t>退货9804</t>
  </si>
  <si>
    <t>配兰水：9瓶</t>
  </si>
  <si>
    <t>白水：5KG</t>
  </si>
  <si>
    <t>椅背A主色</t>
  </si>
  <si>
    <t>PU哑光浅灰肤感漆</t>
  </si>
  <si>
    <t>椅背B配色</t>
  </si>
  <si>
    <t>PU哑光棕灰肤感漆</t>
  </si>
  <si>
    <t>FS-912</t>
  </si>
  <si>
    <t>PU哑光灰色漆</t>
  </si>
  <si>
    <t>国圣货</t>
  </si>
  <si>
    <t>FS-913</t>
  </si>
  <si>
    <t>PU哑光深灰色漆</t>
  </si>
  <si>
    <t>PU全哑珠光清面漆</t>
  </si>
  <si>
    <t>PU三分光清面漆</t>
  </si>
  <si>
    <t>GS27A</t>
  </si>
  <si>
    <t>PE特清底漆</t>
  </si>
  <si>
    <t>3/6:6827A第一次拿</t>
  </si>
  <si>
    <t>李培东自提未签单</t>
  </si>
  <si>
    <t>PU5分光银色面漆</t>
  </si>
  <si>
    <t>X33#</t>
  </si>
  <si>
    <t>PU亮光灰米白色漆</t>
  </si>
  <si>
    <t>JW525</t>
  </si>
  <si>
    <t>PU亮光固化剂</t>
  </si>
  <si>
    <t>70FB:14.9+4.5黑色浆+0.6:100C哑粉商标和哑光一样配比</t>
  </si>
  <si>
    <t>PU高光米黄色漆</t>
  </si>
  <si>
    <t>半岛风情</t>
  </si>
  <si>
    <t>GS372</t>
  </si>
  <si>
    <t>PU白底漆</t>
  </si>
  <si>
    <t>3712：   不返点</t>
  </si>
  <si>
    <t>BEN:9</t>
  </si>
  <si>
    <t>GS309</t>
  </si>
  <si>
    <t>PU底漆固化剂</t>
  </si>
  <si>
    <t>309AB     不返点</t>
  </si>
  <si>
    <t>BEN:11.5</t>
  </si>
  <si>
    <t>PU三分光象牙白色漆</t>
  </si>
  <si>
    <t xml:space="preserve"> 不返点</t>
  </si>
  <si>
    <t>303B 不返点</t>
  </si>
  <si>
    <t>1518*</t>
  </si>
  <si>
    <t>PU哑光棕灰砂面漆</t>
  </si>
  <si>
    <t>（德芙）郭江的展柜</t>
  </si>
  <si>
    <t>305#</t>
  </si>
  <si>
    <t>PU哑光豆沙绿色漆</t>
  </si>
  <si>
    <t>干板样：第一次调</t>
  </si>
  <si>
    <t>D-4B</t>
  </si>
  <si>
    <t>PU哑光银灰漆（银珠)</t>
  </si>
  <si>
    <t>干板样</t>
  </si>
  <si>
    <t>PU哑光白面漆</t>
  </si>
  <si>
    <t>餐哑白款：5分光纯白+2KG白浆</t>
  </si>
  <si>
    <t>面修色精（浅胡桃）</t>
  </si>
  <si>
    <t>椅背A主色:1#</t>
  </si>
  <si>
    <t>椅背A主色:2#</t>
  </si>
  <si>
    <t>PU亮光浅灰色漆</t>
  </si>
  <si>
    <t>椅背B配色：1#</t>
  </si>
  <si>
    <t>椅背B配色：2#</t>
  </si>
  <si>
    <t>PU:亮光棕灰色漆</t>
  </si>
  <si>
    <t>黄棕色精</t>
  </si>
  <si>
    <t>停用</t>
  </si>
  <si>
    <t>2405-1*</t>
  </si>
  <si>
    <t>全哑棕灰色漆</t>
  </si>
  <si>
    <t>商标和哑光一样配比</t>
  </si>
  <si>
    <t>X-24B（配色）</t>
  </si>
  <si>
    <t>未开单</t>
  </si>
  <si>
    <t>326打样</t>
  </si>
  <si>
    <t>PU哑光黄棕色漆</t>
  </si>
  <si>
    <t>已留样</t>
  </si>
  <si>
    <t>2541（中瑞）</t>
  </si>
  <si>
    <t>PU哑光银珠漆</t>
  </si>
  <si>
    <t>国圣样板打样</t>
  </si>
  <si>
    <t>2542（中瑞）</t>
  </si>
  <si>
    <t>PU全哑肤感灰漆</t>
  </si>
  <si>
    <t>PU亮光棕灰色漆</t>
  </si>
  <si>
    <t>26号</t>
  </si>
  <si>
    <t>3/4候自提未打印商标</t>
  </si>
  <si>
    <t>常用系列</t>
  </si>
  <si>
    <t>A-2圆盘样</t>
  </si>
  <si>
    <t>哑光灰色金属漆</t>
  </si>
  <si>
    <t>28/4熊师已送：未打印商标</t>
  </si>
  <si>
    <t>PU全哑黑面漆</t>
  </si>
  <si>
    <t>1升罐子</t>
  </si>
  <si>
    <t>JW09-1（安1）</t>
  </si>
  <si>
    <t>PU哑光香槟砂面漆</t>
  </si>
  <si>
    <t>2542（中瑞）*</t>
  </si>
  <si>
    <t>JW171</t>
  </si>
  <si>
    <t>PU清底漆</t>
  </si>
  <si>
    <t>1871M</t>
  </si>
  <si>
    <t>JW309</t>
  </si>
  <si>
    <t xml:space="preserve">309AB    </t>
  </si>
  <si>
    <t>5309*</t>
  </si>
  <si>
    <t>国圣货1412.5</t>
  </si>
  <si>
    <t>自提1桶</t>
  </si>
  <si>
    <t>金汉武从5月25日起固化剂为16元/KG</t>
  </si>
  <si>
    <t>25-6-5*</t>
  </si>
  <si>
    <t>PU哑光铁磨砂漆</t>
  </si>
  <si>
    <t>27号</t>
  </si>
  <si>
    <t>2407-4*</t>
  </si>
  <si>
    <t>PU七分光橙色漆</t>
  </si>
  <si>
    <t>NC银珠漆</t>
  </si>
  <si>
    <t>自提（3706A:0.7+0.15:1017银粉+0.7:1/2浆+0.45:807A</t>
  </si>
  <si>
    <t>PU开孔清底漆</t>
  </si>
  <si>
    <t>退货：JW171</t>
  </si>
  <si>
    <t>25-05021</t>
  </si>
  <si>
    <t>PU全哑奶黄色面漆</t>
  </si>
  <si>
    <t xml:space="preserve">JW001（0964）
</t>
  </si>
  <si>
    <t>PU亮光宝石蓝金属漆</t>
  </si>
  <si>
    <t>水云沙3424</t>
  </si>
  <si>
    <t>哑光浅灰砂面漆</t>
  </si>
  <si>
    <t>26/7自提</t>
  </si>
  <si>
    <t>国圣陈师送</t>
  </si>
  <si>
    <t>PU哑光奶白色漆</t>
  </si>
  <si>
    <t>国圣货1375</t>
  </si>
  <si>
    <t>15/8货拉拉提</t>
  </si>
  <si>
    <t>从20/8日起金汉武固化剂为现金价不返点</t>
  </si>
  <si>
    <t>CY-12:主色</t>
  </si>
  <si>
    <t>CY-12:配色</t>
  </si>
  <si>
    <t>PU哑光宝绿银珠漆</t>
  </si>
  <si>
    <t>AL-08:主色</t>
  </si>
  <si>
    <t>AL-08:配色</t>
  </si>
  <si>
    <t>X-24B配色</t>
  </si>
  <si>
    <t>JW305</t>
  </si>
  <si>
    <t>303B 现金价不返点</t>
  </si>
  <si>
    <t>JW535</t>
  </si>
  <si>
    <t>525 现金价不返点</t>
  </si>
  <si>
    <t xml:space="preserve"> 不返点：已下调0.5/KG</t>
  </si>
  <si>
    <t xml:space="preserve"> 303不返点：已下调2/KG</t>
  </si>
  <si>
    <t xml:space="preserve"> 3712不返点：已下调0.5/KG</t>
  </si>
  <si>
    <t xml:space="preserve"> 309不返点：已下调2/KG</t>
  </si>
  <si>
    <t>干板样：</t>
  </si>
  <si>
    <t>常用系列：已送</t>
  </si>
  <si>
    <t>已付款</t>
  </si>
  <si>
    <t>PU哑光黑磨砂面漆</t>
  </si>
  <si>
    <t>57号</t>
  </si>
  <si>
    <t>54号</t>
  </si>
  <si>
    <t>侯雪梅</t>
  </si>
  <si>
    <t>56号</t>
  </si>
  <si>
    <t>白桶装</t>
  </si>
  <si>
    <t>新厂303货</t>
  </si>
  <si>
    <t>13号</t>
  </si>
  <si>
    <t>9804货现金单：国圣杂费减单</t>
  </si>
  <si>
    <t>55号</t>
  </si>
  <si>
    <t>NC黄金色漆</t>
  </si>
  <si>
    <t>第一次打样，第二次调</t>
  </si>
  <si>
    <t>未签单</t>
  </si>
  <si>
    <t>于12月15开单70FB:14.9+4.5黑色浆+0.6:100C哑粉商标和哑光一样配比</t>
  </si>
  <si>
    <t>从15/12日起名品打内外2张单：结账以内部单为准</t>
  </si>
  <si>
    <t>38号</t>
  </si>
  <si>
    <t>名品打样</t>
  </si>
  <si>
    <t>GSD-25-05005-3</t>
  </si>
  <si>
    <t>哑光香槟色面漆：小样（国圣样板）</t>
  </si>
  <si>
    <t>GSD48100330</t>
  </si>
  <si>
    <t>哑光米灰色面漆：小样（国圣样板）</t>
  </si>
  <si>
    <t>GSD-24-08014-1</t>
  </si>
  <si>
    <t>PU哑光浅青色面漆：小样（国圣样板）</t>
  </si>
  <si>
    <t>GSD-25-06006</t>
  </si>
  <si>
    <t>PU哑光黑灰闪银漆</t>
  </si>
  <si>
    <t>32号</t>
  </si>
  <si>
    <t xml:space="preserve"> </t>
  </si>
  <si>
    <t>退货改色</t>
  </si>
  <si>
    <t>T01系</t>
  </si>
  <si>
    <t>PU七分光中灰色漆:23.8.25  22</t>
  </si>
  <si>
    <t>PU哑光瓦灰色面漆23.9.5</t>
  </si>
  <si>
    <t>PU哑光瓦灰色面漆23.9.8</t>
  </si>
  <si>
    <t>3#</t>
  </si>
  <si>
    <t>PU五分光3#色漆：23.9.8</t>
  </si>
  <si>
    <t>)</t>
  </si>
  <si>
    <t>退货</t>
  </si>
  <si>
    <t>216-2</t>
  </si>
  <si>
    <t>七分光古铜金属漆:22..8.9</t>
  </si>
  <si>
    <t>金属漆不退货</t>
  </si>
  <si>
    <t>单下错了</t>
  </si>
  <si>
    <t>PU哑光香槟砂面漆有库存</t>
  </si>
  <si>
    <t>成都国圣工业有限公司（五星花）送货单</t>
  </si>
  <si>
    <t>名品（晶美鑫）家私</t>
  </si>
  <si>
    <t>购货单位：金汉武家私       联系人：张总       2026年01月21日      订单编号：26-010057A</t>
  </si>
  <si>
    <t>李培东</t>
  </si>
  <si>
    <t>半岛风情家私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</si>
  <si>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</si>
  <si>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</si>
  <si>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</si>
  <si>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</si>
  <si>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</si>
  <si>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</si>
  <si>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</si>
  <si>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</si>
  <si>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国邦家私</t>
  </si>
  <si>
    <t>钟总：13668148875</t>
  </si>
  <si>
    <t>精艺家私</t>
  </si>
  <si>
    <t>汤总</t>
  </si>
  <si>
    <t>合   计</t>
  </si>
  <si>
    <t>彭总：13882642425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</si>
  <si>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</si>
  <si>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</si>
  <si>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</t>
  </si>
  <si>
    <t>金汉武家私</t>
  </si>
  <si>
    <t xml:space="preserve"> 2.乙方每次要认真核对产品的型号.名称.数量.规格.重量.单价.金额，经甲乙双方经手人（库管）签字后具有</t>
  </si>
  <si>
    <t>张总:18982059851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</si>
  <si>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</si>
  <si>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</si>
  <si>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</si>
  <si>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销售负责人：席章国         销售送货人：       销售制单人：        购货单位经手人：</t>
  </si>
  <si>
    <t>成都国圣工业有限公司送货单</t>
  </si>
  <si>
    <t>购货单位（乙方）：宏运家具    联系人：王总      日期2025年04月14日      订单编号：25-040001A</t>
  </si>
  <si>
    <t>PU透明底漆</t>
  </si>
  <si>
    <t>PU固化剂</t>
  </si>
  <si>
    <t>运费</t>
  </si>
  <si>
    <t>此单为现金价（自提）</t>
  </si>
  <si>
    <t>席章国</t>
  </si>
  <si>
    <t>PE白底漆</t>
  </si>
  <si>
    <t>不含蓝白水、包装</t>
  </si>
  <si>
    <t>10月</t>
  </si>
  <si>
    <t>含包装</t>
  </si>
  <si>
    <t>欠款：455.5-95.5=360</t>
  </si>
  <si>
    <t>不含包装、含蓝白水、</t>
  </si>
  <si>
    <t>含蓝白水</t>
  </si>
  <si>
    <t>PU亮光黑面漆</t>
  </si>
  <si>
    <t>PU夏用稀释剂</t>
  </si>
  <si>
    <t>欠20L白小口桶5个已还</t>
  </si>
  <si>
    <t>PU春秋型稀释剂</t>
  </si>
  <si>
    <t>PU冬用型稀释剂</t>
  </si>
  <si>
    <t>候转现金不含蓝白水、含包装</t>
  </si>
  <si>
    <t>贺收</t>
  </si>
  <si>
    <t>9804席欠白空桶两个、自备包装、蓝白水</t>
  </si>
  <si>
    <t>PU净味清底漆</t>
  </si>
  <si>
    <t>不含包装</t>
  </si>
  <si>
    <t>席转老板现金</t>
  </si>
  <si>
    <t>以上货款已清</t>
  </si>
  <si>
    <t>候雪梅</t>
  </si>
  <si>
    <t>ZN171</t>
  </si>
  <si>
    <t>9/4宗南货：  现金</t>
  </si>
  <si>
    <t>9/4：309AB     现金</t>
  </si>
  <si>
    <t>另加包装</t>
  </si>
  <si>
    <t>未付款</t>
  </si>
  <si>
    <t>购面漆稀料</t>
  </si>
  <si>
    <t>国圣4月杂费已减不含包装</t>
  </si>
  <si>
    <t>宗南货：  现金</t>
  </si>
  <si>
    <t>525    现金</t>
  </si>
  <si>
    <t>席实付870</t>
  </si>
  <si>
    <t>525   不含包装 现金</t>
  </si>
  <si>
    <t>席实付480</t>
  </si>
  <si>
    <t>定制见6-11：X1871生产单： 不含包装</t>
  </si>
  <si>
    <t>现金</t>
  </si>
  <si>
    <t>525 ： 不含包装</t>
  </si>
  <si>
    <t>欠桶8个：大、小口各4个</t>
  </si>
  <si>
    <t>16/7自提：未付款</t>
  </si>
  <si>
    <t>欠桶6个：大、小口各3个</t>
  </si>
  <si>
    <t>欠桶3个：小口3个</t>
  </si>
  <si>
    <t>80号</t>
  </si>
  <si>
    <t>名品对账单</t>
  </si>
  <si>
    <t>欠款年月</t>
  </si>
  <si>
    <t>欠款金额/元</t>
  </si>
  <si>
    <t>收款金额/元</t>
  </si>
  <si>
    <t>期末欠款金额/元</t>
  </si>
  <si>
    <t>截止24年12月欠款</t>
  </si>
  <si>
    <t>2025年元月</t>
  </si>
  <si>
    <t>含国圣372.5</t>
  </si>
  <si>
    <t>含国圣274</t>
  </si>
  <si>
    <t>截止25年8月底合计金额</t>
  </si>
  <si>
    <r>
      <rPr>
        <b/>
        <sz val="12"/>
        <color rgb="FF000000"/>
        <rFont val="宋体"/>
        <charset val="134"/>
      </rPr>
      <t>付款明细如下：（付款金额：58000含候自己收款</t>
    </r>
    <r>
      <rPr>
        <b/>
        <sz val="12"/>
        <color rgb="FFFF0000"/>
        <rFont val="宋体"/>
        <charset val="134"/>
      </rPr>
      <t>23000</t>
    </r>
    <r>
      <rPr>
        <b/>
        <sz val="12"/>
        <color rgb="FF000000"/>
        <rFont val="宋体"/>
        <charset val="134"/>
      </rPr>
      <t>:1.14-3.04日）</t>
    </r>
  </si>
  <si>
    <t>25年1月14微转</t>
  </si>
  <si>
    <t>25年5月23微转</t>
  </si>
  <si>
    <t>25年1月26微转</t>
  </si>
  <si>
    <t>25年6月29微转</t>
  </si>
  <si>
    <t>25年2月12微转</t>
  </si>
  <si>
    <t>25年7月24微转</t>
  </si>
  <si>
    <t>25年3月4微转</t>
  </si>
  <si>
    <t>25年8月26微转</t>
  </si>
  <si>
    <t>25年3月16微转</t>
  </si>
  <si>
    <t>25年9月13微转</t>
  </si>
  <si>
    <t>25年4月13微转</t>
  </si>
  <si>
    <t>截止25年8月底已付金额</t>
  </si>
  <si>
    <r>
      <rPr>
        <b/>
        <sz val="16"/>
        <rFont val="宋体"/>
        <charset val="134"/>
      </rPr>
      <t>侯雪梅</t>
    </r>
    <r>
      <rPr>
        <sz val="12"/>
        <rFont val="宋体"/>
        <charset val="134"/>
      </rPr>
      <t>25总计应收款(含24年往来账92292.1+21855=114147.1)</t>
    </r>
  </si>
  <si>
    <t>25销售金额</t>
  </si>
  <si>
    <t>往来账金额</t>
  </si>
  <si>
    <t>实收款</t>
  </si>
  <si>
    <t>下欠款金额（不含往来账）</t>
  </si>
  <si>
    <t>家具厂金额</t>
  </si>
  <si>
    <t>购货款金额</t>
  </si>
  <si>
    <t>101686.8=98003.3+3592.5=240+565+1412.5+1375国圣货</t>
  </si>
  <si>
    <t>名品</t>
  </si>
  <si>
    <t>侯雪梅、欣亿</t>
  </si>
  <si>
    <t xml:space="preserve">半岛风情 </t>
  </si>
  <si>
    <t>金汉武（宾驰）   侯雪梅</t>
  </si>
  <si>
    <t xml:space="preserve">      金武汉</t>
  </si>
  <si>
    <t>油漆厂期末应收款金额/元（含往来账但不含欠条金额）</t>
  </si>
  <si>
    <r>
      <rPr>
        <b/>
        <sz val="10"/>
        <color rgb="FFFF0000"/>
        <rFont val="宋体"/>
        <charset val="134"/>
      </rPr>
      <t>截止25.9.30日家具厂欠款结存为34816.5</t>
    </r>
    <r>
      <rPr>
        <b/>
        <sz val="10"/>
        <rFont val="宋体"/>
        <charset val="134"/>
      </rPr>
      <t>（注：16/3至15/1付款：50000元已减账）</t>
    </r>
    <r>
      <rPr>
        <b/>
        <sz val="10"/>
        <color rgb="FFFF0000"/>
        <rFont val="宋体"/>
        <charset val="134"/>
      </rPr>
      <t xml:space="preserve">     </t>
    </r>
    <r>
      <rPr>
        <b/>
        <sz val="10"/>
        <color rgb="FF00B0F0"/>
        <rFont val="宋体"/>
        <charset val="134"/>
      </rPr>
      <t>备注49816.5含国圣货（2-6月）为：730 +646.5（国圣送的2单：5月372.5+274：6月） }</t>
    </r>
    <r>
      <rPr>
        <b/>
        <sz val="10"/>
        <rFont val="宋体"/>
        <charset val="134"/>
      </rPr>
      <t xml:space="preserve"> 内部结存</t>
    </r>
    <r>
      <rPr>
        <b/>
        <sz val="10"/>
        <color rgb="FF7030A0"/>
        <rFont val="宋体"/>
        <charset val="134"/>
      </rPr>
      <t xml:space="preserve">：44196.05-5000:16/11=39196-500014/12=34196 </t>
    </r>
    <r>
      <rPr>
        <b/>
        <sz val="10"/>
        <rFont val="宋体"/>
        <charset val="134"/>
      </rPr>
      <t xml:space="preserve">         </t>
    </r>
    <r>
      <rPr>
        <b/>
        <sz val="10"/>
        <color rgb="FFFF0000"/>
        <rFont val="宋体"/>
        <charset val="134"/>
      </rPr>
      <t xml:space="preserve">     </t>
    </r>
  </si>
  <si>
    <t>家具厂货款合计</t>
  </si>
  <si>
    <t>销售应收款（元）</t>
  </si>
  <si>
    <t>实收金额（元）</t>
  </si>
  <si>
    <t>下欠款合计</t>
  </si>
  <si>
    <t>25.01月止往来账已折点</t>
  </si>
  <si>
    <t>16/3、13/4.23/5、29/6、24/7、26/8、13/9、16/11、14/12、15/1各5000</t>
  </si>
  <si>
    <t>家具厂截止24年12月尾款为34031</t>
  </si>
  <si>
    <t>欣亿往来账已折点23</t>
  </si>
  <si>
    <t>往来账已折点</t>
  </si>
  <si>
    <t>12/3：9919+3/4：:4900</t>
  </si>
  <si>
    <t>日期</t>
  </si>
  <si>
    <t>单号</t>
  </si>
  <si>
    <t>折要</t>
  </si>
  <si>
    <r>
      <rPr>
        <b/>
        <sz val="10"/>
        <rFont val="宋体"/>
        <charset val="134"/>
      </rPr>
      <t>销售应收款（元）</t>
    </r>
    <r>
      <rPr>
        <b/>
        <sz val="10"/>
        <color rgb="FFFF0000"/>
        <rFont val="宋体"/>
        <charset val="134"/>
      </rPr>
      <t>已提点</t>
    </r>
  </si>
  <si>
    <t>下欠款（元）</t>
  </si>
  <si>
    <t>业务费</t>
  </si>
  <si>
    <r>
      <rPr>
        <b/>
        <sz val="10"/>
        <rFont val="宋体"/>
        <charset val="134"/>
      </rPr>
      <t>销售应收款（元）</t>
    </r>
    <r>
      <rPr>
        <b/>
        <sz val="10"/>
        <color rgb="FFFF0000"/>
        <rFont val="宋体"/>
        <charset val="134"/>
      </rPr>
      <t>不提点</t>
    </r>
  </si>
  <si>
    <t>家具厂</t>
  </si>
  <si>
    <t>购货金额</t>
  </si>
  <si>
    <t>送货</t>
  </si>
  <si>
    <t>国圣货300</t>
  </si>
  <si>
    <t>41号</t>
  </si>
  <si>
    <t>试油</t>
  </si>
  <si>
    <t>微转李总</t>
  </si>
  <si>
    <t>26/6实转4630</t>
  </si>
  <si>
    <t>87号</t>
  </si>
  <si>
    <t>87号单是现金</t>
  </si>
  <si>
    <t>面稀</t>
  </si>
  <si>
    <t>国圣4月杂费已减288</t>
  </si>
  <si>
    <t>微转</t>
  </si>
  <si>
    <t>送货9804</t>
  </si>
  <si>
    <t>国圣11月杂费减</t>
  </si>
  <si>
    <t>77号</t>
  </si>
  <si>
    <t>尾数已抹</t>
  </si>
  <si>
    <t>国圣货：240</t>
  </si>
  <si>
    <t>9月</t>
  </si>
  <si>
    <t>席微转</t>
  </si>
  <si>
    <t>另外加5月国圣：1单372.5</t>
  </si>
  <si>
    <t>另外加6月国圣：1单274</t>
  </si>
  <si>
    <t>6月</t>
  </si>
  <si>
    <t>国圣货：:190</t>
  </si>
  <si>
    <t>截止9月底内部39196</t>
  </si>
  <si>
    <t>送货：1232</t>
  </si>
  <si>
    <t>未出货</t>
  </si>
  <si>
    <t>送货：国圣货:107.5</t>
  </si>
  <si>
    <t>国圣送货</t>
  </si>
  <si>
    <t>候微转</t>
  </si>
  <si>
    <t>74号</t>
  </si>
  <si>
    <t>84号</t>
  </si>
  <si>
    <t>3号</t>
  </si>
  <si>
    <t>34号</t>
  </si>
  <si>
    <t>92号</t>
  </si>
  <si>
    <t>11号</t>
  </si>
  <si>
    <t>24号</t>
  </si>
  <si>
    <t>从20/8日起固化剂为现金价不返点</t>
  </si>
  <si>
    <t>49号</t>
  </si>
  <si>
    <t>返点5%固化剂</t>
  </si>
  <si>
    <t>53号</t>
  </si>
  <si>
    <t>10号</t>
  </si>
  <si>
    <t>20号</t>
  </si>
  <si>
    <t>30号</t>
  </si>
  <si>
    <t>42号</t>
  </si>
  <si>
    <t>不返点固化剂</t>
  </si>
  <si>
    <t>实付684</t>
  </si>
  <si>
    <t>63号</t>
  </si>
  <si>
    <t>75号</t>
  </si>
  <si>
    <t>4号</t>
  </si>
  <si>
    <t>28号</t>
  </si>
  <si>
    <t>43号</t>
  </si>
  <si>
    <t>5%返点固化剂</t>
  </si>
  <si>
    <t>59号</t>
  </si>
  <si>
    <t>90号</t>
  </si>
  <si>
    <t>12月8</t>
  </si>
  <si>
    <t>对公国圣</t>
  </si>
  <si>
    <t>240kg*0.5=120</t>
  </si>
  <si>
    <t>14号</t>
  </si>
  <si>
    <t>黄金色漆</t>
  </si>
  <si>
    <t>29号</t>
  </si>
  <si>
    <t>37号</t>
  </si>
  <si>
    <t>47号</t>
  </si>
  <si>
    <r>
      <rPr>
        <b/>
        <sz val="16"/>
        <rFont val="宋体"/>
        <charset val="134"/>
      </rPr>
      <t>侯雪梅</t>
    </r>
    <r>
      <rPr>
        <sz val="12"/>
        <rFont val="宋体"/>
        <charset val="134"/>
      </rPr>
      <t>24总计应收款(含往来账)</t>
    </r>
  </si>
  <si>
    <t>销售金额</t>
  </si>
  <si>
    <r>
      <rPr>
        <b/>
        <sz val="12"/>
        <color rgb="FF00B0F0"/>
        <rFont val="宋体"/>
        <charset val="134"/>
      </rPr>
      <t>截止7月底内部金额：</t>
    </r>
    <r>
      <rPr>
        <b/>
        <sz val="12"/>
        <color rgb="FF7030A0"/>
        <rFont val="宋体"/>
        <charset val="134"/>
      </rPr>
      <t>88386</t>
    </r>
    <r>
      <rPr>
        <b/>
        <sz val="12"/>
        <color rgb="FF00B0F0"/>
        <rFont val="宋体"/>
        <charset val="134"/>
      </rPr>
      <t>，外部108040</t>
    </r>
  </si>
  <si>
    <t>欣亿</t>
  </si>
  <si>
    <t>国邦：钟志勇、金汉武（宾驰）</t>
  </si>
  <si>
    <t xml:space="preserve">      金武汉国邦、三江源  </t>
  </si>
  <si>
    <r>
      <rPr>
        <b/>
        <sz val="8"/>
        <color rgb="FFFF0000"/>
        <rFont val="宋体"/>
        <charset val="134"/>
      </rPr>
      <t>31/10日对账：截止24年元月名品外部未收款为17975（内部为2530）截止10月底外部未</t>
    </r>
    <r>
      <rPr>
        <b/>
        <sz val="8"/>
        <color rgb="FF00B0F0"/>
        <rFont val="宋体"/>
        <charset val="134"/>
      </rPr>
      <t>收款79842-1万(11/12)-1万（30/12）=69842</t>
    </r>
    <r>
      <rPr>
        <b/>
        <sz val="8"/>
        <color rgb="FFFF0000"/>
        <rFont val="宋体"/>
        <charset val="134"/>
      </rPr>
      <t>含国圣色精），</t>
    </r>
    <r>
      <rPr>
        <b/>
        <sz val="8"/>
        <color rgb="FF7030A0"/>
        <rFont val="宋体"/>
        <charset val="134"/>
      </rPr>
      <t>内部为57575.35-1万(11/12)-1万（30/12）=37575截止12月30名品外应收款：67750元（含国圣）内部应收款：44369.3</t>
    </r>
  </si>
  <si>
    <r>
      <rPr>
        <b/>
        <sz val="8"/>
        <color rgb="FFFF0000"/>
        <rFont val="宋体"/>
        <charset val="134"/>
      </rPr>
      <t>24年10/4、28/6各转1万
15/8转1万 5/9转：7仟=:5千+席自转2千， 21/9；5千，29/9名品转1万、18/10转1万、29/10:8仟、</t>
    </r>
    <r>
      <rPr>
        <b/>
        <sz val="8"/>
        <color rgb="FF7030A0"/>
        <rFont val="宋体"/>
        <charset val="134"/>
      </rPr>
      <t>11/12:2530</t>
    </r>
  </si>
  <si>
    <t>往来账已折点:23.11月货款</t>
  </si>
  <si>
    <t>5/3：候转11月10000、2025.18/2候转5200</t>
  </si>
  <si>
    <t>11月内部下欠款5217.6未付</t>
  </si>
  <si>
    <t>销售应收款已扣点（元）</t>
  </si>
  <si>
    <t>5/6实转12770（1-4月）-12773</t>
  </si>
  <si>
    <t>24/9实付8340（含金汉武）</t>
  </si>
  <si>
    <t>候转账</t>
  </si>
  <si>
    <t>候实转10000-2530</t>
  </si>
  <si>
    <t>10000-2530往来账=7470</t>
  </si>
  <si>
    <t>金汉武国邦</t>
  </si>
  <si>
    <t>已对账</t>
  </si>
  <si>
    <t>对公国圣2499-75的税点</t>
  </si>
  <si>
    <t>已抹账尾数</t>
  </si>
  <si>
    <t>候转</t>
  </si>
  <si>
    <t>已提单对账</t>
  </si>
  <si>
    <t>对公扣税75未付已抹账</t>
  </si>
  <si>
    <t>240国圣货：色精</t>
  </si>
  <si>
    <t>国圣色精</t>
  </si>
  <si>
    <t>防白水不返点</t>
  </si>
  <si>
    <t>截止24年7月外部已对账：108040，内部金额为：88386</t>
  </si>
  <si>
    <t>蓝白水不返点</t>
  </si>
  <si>
    <t>对公国圣2499</t>
  </si>
  <si>
    <t>杭州体育用品公司</t>
  </si>
  <si>
    <t>对公国圣4998</t>
  </si>
  <si>
    <t>尾数已抹账</t>
  </si>
  <si>
    <t>实转3310</t>
  </si>
  <si>
    <t>实转2780</t>
  </si>
  <si>
    <t>实转1880</t>
  </si>
  <si>
    <t>截止7月23日金汉武下欠款：内部9264.5（5217.6+4046.9），外部已清账</t>
  </si>
  <si>
    <t>8月1</t>
  </si>
  <si>
    <t>截止7月30日金汉武下欠款：内部9652.4=9264.5+外部85</t>
  </si>
  <si>
    <t>此单31/12三江源已对账</t>
  </si>
  <si>
    <t>金汉武火烧厂房欠款</t>
  </si>
  <si>
    <t>国邦鼎丰</t>
  </si>
  <si>
    <t>三江源</t>
  </si>
  <si>
    <t>席、候微共转（扫码）</t>
  </si>
  <si>
    <t>候微转尾数6.7已抹</t>
  </si>
  <si>
    <t>实转4840</t>
  </si>
  <si>
    <t>33号</t>
  </si>
  <si>
    <t>45号</t>
  </si>
  <si>
    <t>67号</t>
  </si>
  <si>
    <t>68号</t>
  </si>
  <si>
    <t>61号</t>
  </si>
  <si>
    <t>91号</t>
  </si>
  <si>
    <t>金汉武B7022#</t>
  </si>
  <si>
    <t>6464-1340退货</t>
  </si>
  <si>
    <t>退货实色漆</t>
  </si>
  <si>
    <t>退货银珠漆</t>
  </si>
  <si>
    <t>23出货</t>
  </si>
  <si>
    <t>编号</t>
  </si>
  <si>
    <t>品名</t>
  </si>
  <si>
    <t>规格</t>
  </si>
  <si>
    <t>单位</t>
  </si>
  <si>
    <t>数量</t>
  </si>
  <si>
    <t>单价</t>
  </si>
  <si>
    <t>金额</t>
  </si>
  <si>
    <t>小计金额</t>
  </si>
  <si>
    <t>备注</t>
  </si>
  <si>
    <t>家具厂名称</t>
  </si>
  <si>
    <t>GS031</t>
  </si>
  <si>
    <t>kg/桶</t>
  </si>
  <si>
    <t xml:space="preserve">kg </t>
  </si>
  <si>
    <t>元</t>
  </si>
  <si>
    <t>元：6831</t>
  </si>
  <si>
    <t>五星花</t>
  </si>
  <si>
    <t>名品家私</t>
  </si>
  <si>
    <t>8号</t>
  </si>
  <si>
    <t>PU哑光深灰磨砂面漆</t>
  </si>
  <si>
    <t>元：378砂面粉0.6KG,黑色浆4.5KG,70FB14.4KG,808:0.5KG</t>
  </si>
  <si>
    <t>19号</t>
  </si>
  <si>
    <t>元：现金</t>
  </si>
  <si>
    <t>半岛风情:实木</t>
  </si>
  <si>
    <t>GS505</t>
  </si>
  <si>
    <t>元303现金</t>
  </si>
  <si>
    <t>25号</t>
  </si>
  <si>
    <t>GS903</t>
  </si>
  <si>
    <t>元：不含包装</t>
  </si>
  <si>
    <t>胶桶</t>
  </si>
  <si>
    <t>欣亿家私</t>
  </si>
  <si>
    <t>购买</t>
  </si>
  <si>
    <t>蓝水</t>
  </si>
  <si>
    <t>元：含包装费：</t>
  </si>
  <si>
    <t>31号</t>
  </si>
  <si>
    <t>2765*</t>
  </si>
  <si>
    <t>元：银珠漆（光度已调）</t>
  </si>
  <si>
    <t>元：不含包装9803</t>
  </si>
  <si>
    <t>GS25A</t>
  </si>
  <si>
    <t>元CX23A即用6827B加：1KG硝化棉/桶</t>
  </si>
  <si>
    <t>GS071</t>
  </si>
  <si>
    <t>PU水晶底漆</t>
  </si>
  <si>
    <t>元定制:1871M</t>
  </si>
  <si>
    <t>44号</t>
  </si>
  <si>
    <t>哑光深蓝色漆</t>
  </si>
  <si>
    <t>元13/2自提未开单</t>
  </si>
  <si>
    <t>90-2*</t>
  </si>
  <si>
    <t>PU哑光深灰蓝色漆</t>
  </si>
  <si>
    <t>元:9-2和90-2一样</t>
  </si>
  <si>
    <t>GS631</t>
  </si>
  <si>
    <t>元6831</t>
  </si>
  <si>
    <t>金武汉麻将桌家私</t>
  </si>
  <si>
    <t>GS06AA</t>
  </si>
  <si>
    <t>PU高光清面漆</t>
  </si>
  <si>
    <t>元:3706AA</t>
  </si>
  <si>
    <t>不返点</t>
  </si>
  <si>
    <t>BEN:13.8</t>
  </si>
  <si>
    <t>GS535</t>
  </si>
  <si>
    <t>PU高光固化剂</t>
  </si>
  <si>
    <t>元525</t>
  </si>
  <si>
    <t>301A</t>
  </si>
  <si>
    <t>PU亮光浅香槟色漆</t>
  </si>
  <si>
    <t>元样油</t>
  </si>
  <si>
    <t>301B</t>
  </si>
  <si>
    <t>PU哑光铁灰色漆</t>
  </si>
  <si>
    <t>58号</t>
  </si>
  <si>
    <t>床头柜专用</t>
  </si>
  <si>
    <t>元AA</t>
  </si>
  <si>
    <t>鑫登家私</t>
  </si>
  <si>
    <t>GS08A</t>
  </si>
  <si>
    <t>PE 底漆稀释剂</t>
  </si>
  <si>
    <t>62号</t>
  </si>
  <si>
    <t>元6831（大桶没货）</t>
  </si>
  <si>
    <t>GS706</t>
  </si>
  <si>
    <t>PU5亮光清面漆</t>
  </si>
  <si>
    <t>PU亮光三聚体</t>
  </si>
  <si>
    <t>元不返点</t>
  </si>
  <si>
    <t>另加包装费</t>
  </si>
  <si>
    <t>L/个</t>
  </si>
  <si>
    <t>个</t>
  </si>
  <si>
    <t>64号</t>
  </si>
  <si>
    <t>PU哑光中涂白面漆</t>
  </si>
  <si>
    <t>元：不返点（餐椅哑白+2KG白浆）</t>
  </si>
  <si>
    <t>元：不返点(不含包装9803)</t>
  </si>
  <si>
    <t>70号</t>
  </si>
  <si>
    <t>1#A:211-1</t>
  </si>
  <si>
    <t>PU七分光灰蓝银珠漆</t>
  </si>
  <si>
    <t>元：银珠漆</t>
  </si>
  <si>
    <t>元定制:1870B(何川）</t>
  </si>
  <si>
    <t>元：5分光纯白A款</t>
  </si>
  <si>
    <t>83号</t>
  </si>
  <si>
    <t>PU哑光瓦灰色面漆</t>
  </si>
  <si>
    <t>元：5分光</t>
  </si>
  <si>
    <t>PU5分光光3号色漆</t>
  </si>
  <si>
    <t>21号</t>
  </si>
  <si>
    <t>元：含包装费：未开单</t>
  </si>
  <si>
    <t>JW001（0964）</t>
  </si>
  <si>
    <t>PU亮光宝石蓝银珠漆</t>
  </si>
  <si>
    <t>元样油、干板样</t>
  </si>
  <si>
    <t>5分光</t>
  </si>
  <si>
    <t>硝基银珠漆</t>
  </si>
  <si>
    <t>元：干板样</t>
  </si>
  <si>
    <t>52号</t>
  </si>
  <si>
    <t>元303B</t>
  </si>
  <si>
    <t>51系（53536）</t>
  </si>
  <si>
    <t>PU亮光浅香槟金属漆</t>
  </si>
  <si>
    <t>94系</t>
  </si>
  <si>
    <t>凡为家私</t>
  </si>
  <si>
    <t>FW525</t>
  </si>
  <si>
    <t>GS903A</t>
  </si>
  <si>
    <t>元11/3做:9803A货</t>
  </si>
  <si>
    <t>PU实色漆</t>
  </si>
  <si>
    <t>元改色</t>
  </si>
  <si>
    <t>元：银珠漆自提未开单</t>
  </si>
  <si>
    <t>69号</t>
  </si>
  <si>
    <t>71号</t>
  </si>
  <si>
    <t>76号</t>
  </si>
  <si>
    <t>元1871M</t>
  </si>
  <si>
    <t>PU5分光深灰色漆</t>
  </si>
  <si>
    <t>85号</t>
  </si>
  <si>
    <t>93号</t>
  </si>
  <si>
    <t>元3706</t>
  </si>
  <si>
    <t>94号</t>
  </si>
  <si>
    <t>JW900F</t>
  </si>
  <si>
    <t>PU面漆稀释剂</t>
  </si>
  <si>
    <t>97号</t>
  </si>
  <si>
    <t>0791*</t>
  </si>
  <si>
    <t>PU亮光深灰色漆</t>
  </si>
  <si>
    <t>YS-12175</t>
  </si>
  <si>
    <t>PU亮光米灰色漆</t>
  </si>
  <si>
    <t>106号</t>
  </si>
  <si>
    <t>C12</t>
  </si>
  <si>
    <t>CPS375</t>
  </si>
  <si>
    <t>PU亮光粉玫瑰色漆</t>
  </si>
  <si>
    <t>PU亮光闪光兰银珠漆</t>
  </si>
  <si>
    <t>55#</t>
  </si>
  <si>
    <t>PU哑光奶油白砂面漆</t>
  </si>
  <si>
    <t>107号</t>
  </si>
  <si>
    <t>108号</t>
  </si>
  <si>
    <t>PU哑光清面漆</t>
  </si>
  <si>
    <t>元：七分光（50F:10kg+3705:10kg)</t>
  </si>
  <si>
    <t>FW303</t>
  </si>
  <si>
    <t>元：303B</t>
  </si>
  <si>
    <t>114号</t>
  </si>
  <si>
    <t>色精</t>
  </si>
  <si>
    <t>购蓝水</t>
  </si>
  <si>
    <t>元：不返点</t>
  </si>
  <si>
    <t>购白水</t>
  </si>
  <si>
    <t>35-1*</t>
  </si>
  <si>
    <t>PU七分光色漆</t>
  </si>
  <si>
    <t>元：未开单</t>
  </si>
  <si>
    <t>35-2*</t>
  </si>
  <si>
    <t>36-1*</t>
  </si>
  <si>
    <t>36-2*</t>
  </si>
  <si>
    <t>128号</t>
  </si>
  <si>
    <t>127号</t>
  </si>
  <si>
    <t>60系G13系</t>
  </si>
  <si>
    <t>PU亮光深咖啡金属漆</t>
  </si>
  <si>
    <t>元:样油</t>
  </si>
  <si>
    <t>48系</t>
  </si>
  <si>
    <t>PU亮光浅蓝银珠漆</t>
  </si>
  <si>
    <t>元:样油（30/3送）</t>
  </si>
  <si>
    <t>51系53536（517）</t>
  </si>
  <si>
    <t>51系</t>
  </si>
  <si>
    <t>PU亮光香槟金属漆</t>
  </si>
  <si>
    <t>129号</t>
  </si>
  <si>
    <t>05378*</t>
  </si>
  <si>
    <t>PU亮光米白色漆</t>
  </si>
  <si>
    <t>元换货（6831换回来）未开单</t>
  </si>
  <si>
    <t>洗枪水</t>
  </si>
  <si>
    <t>元：国圣货</t>
  </si>
  <si>
    <t>国圣</t>
  </si>
  <si>
    <t>092203</t>
  </si>
  <si>
    <t>元：样油（NC银珠漆)</t>
  </si>
  <si>
    <t>PU亮光清面漆</t>
  </si>
  <si>
    <t>NC稀释剂</t>
  </si>
  <si>
    <t>BEN:6</t>
  </si>
  <si>
    <t>元：现金价12/4已付现金</t>
  </si>
  <si>
    <t>元：30/3送</t>
  </si>
  <si>
    <t>元定制</t>
  </si>
  <si>
    <t>PU七分光浅灰色漆</t>
  </si>
  <si>
    <t>元：较样板浅点</t>
  </si>
  <si>
    <t>元从23年4月10日起用6827B加：0.5KG硝化棉/桶</t>
  </si>
  <si>
    <t>GS983</t>
  </si>
  <si>
    <t>元9803</t>
  </si>
  <si>
    <t>GS828</t>
  </si>
  <si>
    <t>PE清底漆</t>
  </si>
  <si>
    <t>元6828</t>
  </si>
  <si>
    <t>GS827</t>
  </si>
  <si>
    <t>元6827B</t>
  </si>
  <si>
    <t>40号</t>
  </si>
  <si>
    <t>627A</t>
  </si>
  <si>
    <t>元6827A于17/4日52号单已开单</t>
  </si>
  <si>
    <t>46号</t>
  </si>
  <si>
    <r>
      <rPr>
        <sz val="12"/>
        <color rgb="FF00B0F0"/>
        <rFont val="宋体"/>
        <charset val="134"/>
      </rPr>
      <t>元：</t>
    </r>
    <r>
      <rPr>
        <sz val="12"/>
        <color rgb="FFFF0000"/>
        <rFont val="宋体"/>
        <charset val="134"/>
      </rPr>
      <t>此单多配白水2.5KG（</t>
    </r>
    <r>
      <rPr>
        <sz val="12"/>
        <color rgb="FF00B0F0"/>
        <rFont val="宋体"/>
        <charset val="134"/>
      </rPr>
      <t>按28/桶:配0.6KG的标准）不返点(不含包装9803)</t>
    </r>
  </si>
  <si>
    <t>元从23年4月10日起用6827B加：0.5KG硝化棉/桶此单多配白水1.0KG（按25/桶:配0.8KG的标准）不返点</t>
  </si>
  <si>
    <t>48号</t>
  </si>
  <si>
    <t>86系AH-012</t>
  </si>
  <si>
    <t>PU亮光闪银漆</t>
  </si>
  <si>
    <t>元：样油</t>
  </si>
  <si>
    <t>PU亮光金属漆</t>
  </si>
  <si>
    <t>64#</t>
  </si>
  <si>
    <t>JY525</t>
  </si>
  <si>
    <t>元：525</t>
  </si>
  <si>
    <t>元6827A：13/4送货</t>
  </si>
  <si>
    <t>NC黄底漆</t>
  </si>
  <si>
    <t>元6827A</t>
  </si>
  <si>
    <t>JY303</t>
  </si>
  <si>
    <t>元：18/4不返点试油</t>
  </si>
  <si>
    <t>GSAA</t>
  </si>
  <si>
    <t>元:3706AA不返点</t>
  </si>
  <si>
    <t>元525不返点</t>
  </si>
  <si>
    <t>元：</t>
  </si>
  <si>
    <t>82号</t>
  </si>
  <si>
    <t>86号</t>
  </si>
  <si>
    <t>0425*</t>
  </si>
  <si>
    <t>PU哑光象牙白色漆</t>
  </si>
  <si>
    <t>椅背架样</t>
  </si>
  <si>
    <t>PU五分光象牙白色漆</t>
  </si>
  <si>
    <t>椅子脚样</t>
  </si>
  <si>
    <t>PU五分光金属漆</t>
  </si>
  <si>
    <t>96号</t>
  </si>
  <si>
    <r>
      <rPr>
        <sz val="12"/>
        <color rgb="FF00B0F0"/>
        <rFont val="宋体"/>
        <charset val="134"/>
      </rPr>
      <t>元：</t>
    </r>
    <r>
      <rPr>
        <sz val="12"/>
        <color rgb="FFFF0000"/>
        <rFont val="宋体"/>
        <charset val="134"/>
      </rPr>
      <t>不返点</t>
    </r>
  </si>
  <si>
    <t>皮样</t>
  </si>
  <si>
    <t>五分光浅棕色漆</t>
  </si>
  <si>
    <t>不开单</t>
  </si>
  <si>
    <t>9号</t>
  </si>
  <si>
    <r>
      <rPr>
        <sz val="10"/>
        <color rgb="FF00B0F0"/>
        <rFont val="宋体"/>
        <charset val="134"/>
      </rPr>
      <t>元9803货</t>
    </r>
    <r>
      <rPr>
        <sz val="10"/>
        <color rgb="FFFF0000"/>
        <rFont val="宋体"/>
        <charset val="134"/>
      </rPr>
      <t>（从7/5日起内部单白底为8.5/KG)</t>
    </r>
  </si>
  <si>
    <t>GS683</t>
  </si>
  <si>
    <t>元：9803新厂试油不返点</t>
  </si>
  <si>
    <t>家私</t>
  </si>
  <si>
    <t>元：9803</t>
  </si>
  <si>
    <t>802B</t>
  </si>
  <si>
    <t>元椅背架样</t>
  </si>
  <si>
    <t>802A</t>
  </si>
  <si>
    <t>元椅子脚样</t>
  </si>
  <si>
    <t>PU5分光3号色漆</t>
  </si>
  <si>
    <t>23-26A</t>
  </si>
  <si>
    <t>手机样</t>
  </si>
  <si>
    <t>23-26B</t>
  </si>
  <si>
    <t>椅脚样</t>
  </si>
  <si>
    <t>NC自干型</t>
  </si>
  <si>
    <t>NC玫瑰金色金属漆</t>
  </si>
  <si>
    <r>
      <rPr>
        <sz val="12"/>
        <rFont val="宋体"/>
        <charset val="134"/>
      </rPr>
      <t>元</t>
    </r>
    <r>
      <rPr>
        <sz val="8"/>
        <rFont val="宋体"/>
        <charset val="134"/>
      </rPr>
      <t>6828</t>
    </r>
    <r>
      <rPr>
        <sz val="12"/>
        <rFont val="宋体"/>
        <charset val="134"/>
      </rPr>
      <t>新厂试油不返点</t>
    </r>
  </si>
  <si>
    <t>6827A货</t>
  </si>
  <si>
    <t>NC泥黄底漆</t>
  </si>
  <si>
    <t>外购货</t>
  </si>
  <si>
    <t>于22/5日开单</t>
  </si>
  <si>
    <t>元：9803：无人未签单</t>
  </si>
  <si>
    <t>新厂试油</t>
  </si>
  <si>
    <t>元：9803：12/5送</t>
  </si>
  <si>
    <t>TO1系</t>
  </si>
  <si>
    <t>PU七分光中灰色漆</t>
  </si>
  <si>
    <t>66号</t>
  </si>
  <si>
    <t>PU亮光白面漆</t>
  </si>
  <si>
    <r>
      <rPr>
        <sz val="12"/>
        <rFont val="宋体"/>
        <charset val="134"/>
      </rPr>
      <t>元：GAA</t>
    </r>
    <r>
      <rPr>
        <sz val="8"/>
        <rFont val="宋体"/>
        <charset val="134"/>
      </rPr>
      <t>不调色）</t>
    </r>
  </si>
  <si>
    <t>88号</t>
  </si>
  <si>
    <t>PU全哑象牙白色漆</t>
  </si>
  <si>
    <r>
      <rPr>
        <sz val="12"/>
        <color rgb="FFFF0000"/>
        <rFont val="宋体"/>
        <charset val="134"/>
      </rPr>
      <t>元</t>
    </r>
    <r>
      <rPr>
        <sz val="8"/>
        <color rgb="FFFF0000"/>
        <rFont val="宋体"/>
        <charset val="134"/>
      </rPr>
      <t>用普哑调：不返点</t>
    </r>
  </si>
  <si>
    <t>康总</t>
  </si>
  <si>
    <t>新厂试油家私</t>
  </si>
  <si>
    <r>
      <rPr>
        <sz val="12"/>
        <color rgb="FFFF0000"/>
        <rFont val="宋体"/>
        <charset val="134"/>
      </rPr>
      <t>元</t>
    </r>
    <r>
      <rPr>
        <sz val="8"/>
        <color rgb="FFFF0000"/>
        <rFont val="宋体"/>
        <charset val="134"/>
      </rPr>
      <t>用309G固化剂：不返点</t>
    </r>
  </si>
  <si>
    <t>6号</t>
  </si>
  <si>
    <t>元（高级灰）</t>
  </si>
  <si>
    <t>900F</t>
  </si>
  <si>
    <r>
      <rPr>
        <sz val="12"/>
        <color rgb="FFFF0000"/>
        <rFont val="宋体"/>
        <charset val="134"/>
      </rPr>
      <t>元不返点</t>
    </r>
    <r>
      <rPr>
        <sz val="9"/>
        <color rgb="FFFF0000"/>
        <rFont val="宋体"/>
        <charset val="134"/>
      </rPr>
      <t>于9/6已打单</t>
    </r>
  </si>
  <si>
    <t>元:</t>
  </si>
  <si>
    <t>元：5/6送不返点含包装费</t>
  </si>
  <si>
    <t>七彩乐园货</t>
  </si>
  <si>
    <t>（ben:8.2/含包装)</t>
  </si>
  <si>
    <t>65号</t>
  </si>
  <si>
    <t>元：退货</t>
  </si>
  <si>
    <t>号</t>
  </si>
  <si>
    <t>15号</t>
  </si>
  <si>
    <t>GS27B</t>
  </si>
  <si>
    <t>元：6827B</t>
  </si>
  <si>
    <t>不返点（家具厂未开单）</t>
  </si>
  <si>
    <t>候新厂家私</t>
  </si>
  <si>
    <t>元：加硝化棉0.8KG/桶</t>
  </si>
  <si>
    <t>19/9统计：金汉武色漆样品表</t>
  </si>
  <si>
    <t>名称</t>
  </si>
  <si>
    <t>S16A (YS12175)</t>
  </si>
  <si>
    <t>亮光米灰</t>
  </si>
  <si>
    <t>001#(240108)</t>
  </si>
  <si>
    <t>哑光米灰</t>
  </si>
  <si>
    <t>S16B (0791)</t>
  </si>
  <si>
    <t>亮光深灰</t>
  </si>
  <si>
    <t>001#(240108)配色</t>
  </si>
  <si>
    <t>哑光深灰</t>
  </si>
  <si>
    <t>云梦深色（608）</t>
  </si>
  <si>
    <t>亮光金属漆</t>
  </si>
  <si>
    <t>哑光象牙白</t>
  </si>
  <si>
    <t>云梦浅色（5517-2181）</t>
  </si>
  <si>
    <t>亮光咖啡金属漆</t>
  </si>
  <si>
    <t>2405-17</t>
  </si>
  <si>
    <t>外单杨 JW1019A</t>
  </si>
  <si>
    <t>亮光香槟金属漆</t>
  </si>
  <si>
    <t>2405-18</t>
  </si>
  <si>
    <t>哑光果绿</t>
  </si>
  <si>
    <t>外单杨 JW1019B</t>
  </si>
  <si>
    <t>亮光浅香槟色漆</t>
  </si>
  <si>
    <t>2405-19</t>
  </si>
  <si>
    <t>哑光浅灰</t>
  </si>
  <si>
    <t>外单杨2421</t>
  </si>
  <si>
    <t>亮光</t>
  </si>
  <si>
    <t>10139（S01)</t>
  </si>
  <si>
    <t>哑光谢深灰</t>
  </si>
  <si>
    <t>亮光浅香槟金属漆</t>
  </si>
  <si>
    <t>5013-2084
杨凡三线</t>
  </si>
  <si>
    <t>哑光灰白</t>
  </si>
  <si>
    <t>10258（S02)</t>
  </si>
  <si>
    <t>亮光闪光兰（闪银漆）</t>
  </si>
  <si>
    <t>600-312</t>
  </si>
  <si>
    <t>亮光雅致金属漆</t>
  </si>
  <si>
    <t>5013-2034        杨凡三线</t>
  </si>
  <si>
    <t>CSP-375</t>
  </si>
  <si>
    <t>亮光粉玫瑰</t>
  </si>
  <si>
    <t>0964（JW001)</t>
  </si>
  <si>
    <t>亮光宝蓝金属漆</t>
  </si>
  <si>
    <t>B7022#</t>
  </si>
  <si>
    <t>哑光香槟</t>
  </si>
  <si>
    <t>亮光米白</t>
  </si>
  <si>
    <t>11069/MT07</t>
  </si>
  <si>
    <t>哑光象牙黄</t>
  </si>
  <si>
    <t>传奇</t>
  </si>
  <si>
    <t>亮光传奇土豪金</t>
  </si>
  <si>
    <t>七分光橙色</t>
  </si>
  <si>
    <t xml:space="preserve">178（S18)  </t>
  </si>
  <si>
    <t>哑光深灰(高级灰）</t>
  </si>
  <si>
    <t>6015-24</t>
  </si>
  <si>
    <t>NC闪银金属漆</t>
  </si>
  <si>
    <t>FG-42与7299-83是两个颜色</t>
  </si>
  <si>
    <t>哑光肤感奶咖</t>
  </si>
  <si>
    <t>6523-2032</t>
  </si>
  <si>
    <t>NC莲灰拉丝金属漆</t>
  </si>
  <si>
    <t>JW09-2(安2）</t>
  </si>
  <si>
    <t>哑光墨绿</t>
  </si>
  <si>
    <t>JW09-3(非凡）</t>
  </si>
  <si>
    <t>哑光米白:宜家岛台</t>
  </si>
  <si>
    <t>A-2（圆盘样）</t>
  </si>
  <si>
    <t>1221#</t>
  </si>
  <si>
    <t>哑光艳蓝</t>
  </si>
  <si>
    <t>哑光玫瑰金属漆</t>
  </si>
  <si>
    <t>哑光奶油砂面</t>
  </si>
  <si>
    <t>A7022#</t>
  </si>
  <si>
    <t>七分光灰色金属漆</t>
  </si>
  <si>
    <t>哑光棕灰砂面</t>
  </si>
  <si>
    <t>黑色磨砂面漆</t>
  </si>
  <si>
    <t>JW09-1(安1）</t>
  </si>
  <si>
    <t>哑光香槟砂面漆</t>
  </si>
  <si>
    <t>10258(S02)</t>
  </si>
  <si>
    <t>NC闪光兰闪银漆</t>
  </si>
  <si>
    <t>PU哑光地铁白砂面漆</t>
  </si>
  <si>
    <t>哑光玉兰砂面</t>
  </si>
  <si>
    <t>亮光深灰蓝银珠</t>
  </si>
  <si>
    <t>5023-377</t>
  </si>
  <si>
    <t>哑光砂面</t>
  </si>
  <si>
    <t>7299-83</t>
  </si>
  <si>
    <t>哑光肤感咖啡</t>
  </si>
  <si>
    <t>6/12：</t>
  </si>
  <si>
    <t>新款1号金属漆</t>
  </si>
  <si>
    <t>半哑金色金属漆</t>
  </si>
  <si>
    <t>国邦样：31/10打样</t>
  </si>
  <si>
    <t>金汉武报价2025.05.25日起执行(21/5日打印的）</t>
  </si>
  <si>
    <t>现金价</t>
  </si>
  <si>
    <t>PU全哑清面</t>
  </si>
  <si>
    <t>PU实色肤感漆</t>
  </si>
  <si>
    <t>PU银珠漆、砂面漆</t>
  </si>
  <si>
    <t>Kg/桶</t>
  </si>
  <si>
    <r>
      <rPr>
        <b/>
        <sz val="12"/>
        <rFont val="宋体"/>
        <charset val="134"/>
      </rPr>
      <t>侯雪梅</t>
    </r>
    <r>
      <rPr>
        <sz val="12"/>
        <rFont val="宋体"/>
        <charset val="134"/>
      </rPr>
      <t>23应收款}：均已扣点</t>
    </r>
  </si>
  <si>
    <t>下欠款金额</t>
  </si>
  <si>
    <t>实际购货款金额</t>
  </si>
  <si>
    <t>侯雪梅、鑫登、半岛风情、新厂试油</t>
  </si>
  <si>
    <t>凡为、精艺</t>
  </si>
  <si>
    <t xml:space="preserve">    金武汉 </t>
  </si>
  <si>
    <t>半岛风情和金汉武的实际销售额（即不返点）=家具厂的金额-455元即可</t>
  </si>
  <si>
    <r>
      <rPr>
        <b/>
        <sz val="8"/>
        <color rgb="FF7030A0"/>
        <rFont val="宋体"/>
        <charset val="134"/>
      </rPr>
      <t>28/6统计：截止24年元月名品外部未收款为87326.5+</t>
    </r>
    <r>
      <rPr>
        <b/>
        <sz val="8"/>
        <color rgb="FFFF0000"/>
        <rFont val="宋体"/>
        <charset val="134"/>
      </rPr>
      <t>648.5国圣货=478.5+170}=87974.5</t>
    </r>
  </si>
  <si>
    <t>往来账</t>
  </si>
  <si>
    <t>13/2，7/3已付</t>
  </si>
  <si>
    <t>余额</t>
  </si>
  <si>
    <t>已付：28/2</t>
  </si>
  <si>
    <t>家具厂往来账</t>
  </si>
  <si>
    <t>已付</t>
  </si>
  <si>
    <t>尾数86.1已抹账</t>
  </si>
  <si>
    <t>尾数89已抹账</t>
  </si>
  <si>
    <r>
      <rPr>
        <b/>
        <sz val="10"/>
        <color rgb="FFFFFF00"/>
        <rFont val="宋体"/>
        <charset val="134"/>
      </rPr>
      <t>销售应收款</t>
    </r>
    <r>
      <rPr>
        <b/>
        <sz val="12"/>
        <color rgb="FFFFFF00"/>
        <rFont val="宋体"/>
        <charset val="134"/>
      </rPr>
      <t>已扣点</t>
    </r>
    <r>
      <rPr>
        <b/>
        <sz val="10"/>
        <color rgb="FFFFFF00"/>
        <rFont val="宋体"/>
        <charset val="134"/>
      </rPr>
      <t>（元）</t>
    </r>
  </si>
  <si>
    <t>家具厂未开单</t>
  </si>
  <si>
    <t>送货试油</t>
  </si>
  <si>
    <t>试油：不折点</t>
  </si>
  <si>
    <t>30/6微转20000中减</t>
  </si>
  <si>
    <t>190.5+351+2390-1657.6=1273.5</t>
  </si>
  <si>
    <t>侯雪梅自购</t>
  </si>
  <si>
    <t>原材料不返点</t>
  </si>
  <si>
    <t>已抹账</t>
  </si>
  <si>
    <t>鑫登</t>
  </si>
  <si>
    <t>送货底漆无单价</t>
  </si>
  <si>
    <t>欣亿差价已扣</t>
  </si>
  <si>
    <t>凡为尾款</t>
  </si>
  <si>
    <t>稀料不返点</t>
  </si>
  <si>
    <t>候微转老板</t>
  </si>
  <si>
    <t>金汉武2-3月销售额</t>
  </si>
  <si>
    <t>3/7微转2万=名品16826+3474精艺=20300-300慢干水（候）</t>
  </si>
  <si>
    <t>蓝白水抹账</t>
  </si>
  <si>
    <t>24.01.18</t>
  </si>
  <si>
    <t>支付宝转李总</t>
  </si>
  <si>
    <t>刷POS机</t>
  </si>
  <si>
    <t>已扣4月货款</t>
  </si>
  <si>
    <t>候微转李总</t>
  </si>
  <si>
    <t>NC稀释剂不返点</t>
  </si>
  <si>
    <t>精艺</t>
  </si>
  <si>
    <t>金汉武差价5-6月</t>
  </si>
  <si>
    <r>
      <rPr>
        <sz val="10"/>
        <color rgb="FF7030A0"/>
        <rFont val="宋体"/>
        <charset val="134"/>
      </rPr>
      <t>190.5</t>
    </r>
    <r>
      <rPr>
        <sz val="10"/>
        <rFont val="宋体"/>
        <charset val="134"/>
      </rPr>
      <t>+351+2390-1657.6=1273.5</t>
    </r>
  </si>
  <si>
    <t>客户单均未交回</t>
  </si>
  <si>
    <t>送货不返点</t>
  </si>
  <si>
    <t>稀料返点</t>
  </si>
  <si>
    <t>30/6微转20000-16855.2-473候自购-102候自购-2569.8（名品2月）</t>
  </si>
  <si>
    <t>内部白底是8.5/kg不返点</t>
  </si>
  <si>
    <t>2380=280*8.5（内部白底漆8.5元/KG不返点）</t>
  </si>
  <si>
    <t>截止5月底名品内外下欠款为8868</t>
  </si>
  <si>
    <t>候支付宝转5-6月</t>
  </si>
  <si>
    <t>1273.5+1562名品+10846金汉武=13862</t>
  </si>
  <si>
    <t>差价支半岛风情的9月货款</t>
  </si>
  <si>
    <t xml:space="preserve">190.5名品3月+351候自提+2390半岛风情-1657.6金汉武=1273.5
</t>
  </si>
  <si>
    <t>送稀料不返点</t>
  </si>
  <si>
    <t>24.1.6</t>
  </si>
  <si>
    <t>10/4统计截止8月底名品外下欠款为</t>
  </si>
  <si>
    <t>153810-150000=3810</t>
  </si>
  <si>
    <t>24.1.31</t>
  </si>
  <si>
    <t>已转账</t>
  </si>
  <si>
    <t>24.2.8</t>
  </si>
  <si>
    <t>席转账</t>
  </si>
  <si>
    <t>24.3.5</t>
  </si>
  <si>
    <r>
      <rPr>
        <sz val="9"/>
        <color rgb="FFFF0000"/>
        <rFont val="宋体"/>
        <charset val="134"/>
      </rPr>
      <t>外部10月：12770</t>
    </r>
    <r>
      <rPr>
        <sz val="9"/>
        <color rgb="FF00B0F0"/>
        <rFont val="宋体"/>
        <charset val="134"/>
      </rPr>
      <t>+478.5国圣货</t>
    </r>
    <r>
      <rPr>
        <sz val="9"/>
        <color rgb="FFFF0000"/>
        <rFont val="宋体"/>
        <charset val="134"/>
      </rPr>
      <t>=13248.5</t>
    </r>
  </si>
  <si>
    <t>24.04.02</t>
  </si>
  <si>
    <t>于27/4已提单对账</t>
  </si>
  <si>
    <t>候微转元月货款</t>
  </si>
  <si>
    <t>席自转</t>
  </si>
  <si>
    <t>名品转</t>
  </si>
  <si>
    <t>老板微信收款码收</t>
  </si>
  <si>
    <r>
      <rPr>
        <sz val="9"/>
        <color rgb="FFFF0000"/>
        <rFont val="宋体"/>
        <charset val="134"/>
      </rPr>
      <t>外部11月：12714.5+</t>
    </r>
    <r>
      <rPr>
        <sz val="9"/>
        <color rgb="FF00B0F0"/>
        <rFont val="宋体"/>
        <charset val="134"/>
      </rPr>
      <t>170国圣货</t>
    </r>
    <r>
      <rPr>
        <sz val="9"/>
        <color rgb="FFFF0000"/>
        <rFont val="宋体"/>
        <charset val="134"/>
      </rPr>
      <t>=12884.5</t>
    </r>
  </si>
  <si>
    <t xml:space="preserve">      经核对：截止 2025年元月17日，尚欠李秋林油漆</t>
  </si>
  <si>
    <t>货款共计人民币大写：壹 拾 壹 万 肆 仟 壹 佰 肆 拾 柒 元 整。人民</t>
  </si>
  <si>
    <r>
      <rPr>
        <b/>
        <sz val="16"/>
        <rFont val="宋体"/>
        <charset val="134"/>
      </rPr>
      <t>币小写：</t>
    </r>
    <r>
      <rPr>
        <b/>
        <sz val="16"/>
        <color rgb="FF000000"/>
        <rFont val="宋体"/>
        <charset val="134"/>
      </rPr>
      <t>￥114,147.00</t>
    </r>
    <r>
      <rPr>
        <b/>
        <sz val="16"/>
        <rFont val="宋体"/>
        <charset val="134"/>
      </rPr>
      <t>元（原始单据已收）。</t>
    </r>
  </si>
  <si>
    <t>具体明细如下：</t>
  </si>
  <si>
    <t>客户名</t>
  </si>
  <si>
    <t>月份</t>
  </si>
  <si>
    <t>内</t>
  </si>
  <si>
    <t>外</t>
  </si>
  <si>
    <t>外已清账</t>
  </si>
  <si>
    <t>2024年12月底</t>
  </si>
  <si>
    <t>金汉武火烧后欠款</t>
  </si>
  <si>
    <t>2025.2.18</t>
  </si>
  <si>
    <t>实转5200</t>
  </si>
  <si>
    <t>2025年2-3月16</t>
  </si>
  <si>
    <t>2025.2.19</t>
  </si>
  <si>
    <t>实转33333</t>
  </si>
  <si>
    <t>小计</t>
  </si>
  <si>
    <t>国邦</t>
  </si>
  <si>
    <t>2023年</t>
  </si>
  <si>
    <t>实付3600</t>
  </si>
  <si>
    <t>宾驰</t>
  </si>
  <si>
    <t>退货1340已减</t>
  </si>
  <si>
    <t>实付13800</t>
  </si>
  <si>
    <t>合计</t>
  </si>
  <si>
    <t>截止2025年元月17日内部应收款总计金额/元</t>
  </si>
  <si>
    <t>内部已折点</t>
  </si>
  <si>
    <t>截止2025年元月17日外部应收款总计金额/元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</si>
</sst>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_ "/>
    <numFmt numFmtId="178" formatCode="0.0_ "/>
    <numFmt numFmtId="179" formatCode="0.0_);[Red]\(0.0\)"/>
    <numFmt numFmtId="180" formatCode="General&quot;号&quot;"/>
    <numFmt numFmtId="181" formatCode="0_);[Red]\(0\)"/>
    <numFmt numFmtId="182" formatCode="General&quot;桶&quot;"/>
    <numFmt numFmtId="183" formatCode="0_ ;[Red]\-0\ "/>
    <numFmt numFmtId="184" formatCode="0.00_ "/>
    <numFmt numFmtId="185" formatCode="000000"/>
    <numFmt numFmtId="186" formatCode="[DBNum2][$RMB]General;[Red][DBNum2][$RMB]General"/>
    <numFmt numFmtId="187" formatCode="&quot;￥&quot;#,##0.0;&quot;￥&quot;\-#,##0.0"/>
  </numFmts>
  <fonts count="103">
    <font>
      <sz val="12"/>
      <name val="宋体"/>
      <charset val="134"/>
    </font>
    <font>
      <b/>
      <sz val="16"/>
      <name val="宋体"/>
      <charset val="134"/>
    </font>
    <font>
      <sz val="16"/>
      <name val="宋体"/>
      <charset val="134"/>
    </font>
    <font>
      <b/>
      <sz val="12"/>
      <name val="宋体"/>
      <charset val="134"/>
    </font>
    <font>
      <sz val="12"/>
      <color rgb="FF00B0F0"/>
      <name val="宋体"/>
      <charset val="134"/>
    </font>
    <font>
      <sz val="10"/>
      <color rgb="FF00B0F0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b/>
      <sz val="12"/>
      <color theme="9" tint="-0.25"/>
      <name val="宋体"/>
      <charset val="134"/>
    </font>
    <font>
      <b/>
      <sz val="14"/>
      <color rgb="FF00B0F0"/>
      <name val="宋体"/>
      <charset val="134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8"/>
      <color rgb="FFFF000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8"/>
      <color rgb="FF7030A0"/>
      <name val="宋体"/>
      <charset val="134"/>
    </font>
    <font>
      <b/>
      <sz val="10"/>
      <color rgb="FFFFFF00"/>
      <name val="宋体"/>
      <charset val="134"/>
    </font>
    <font>
      <b/>
      <sz val="12"/>
      <color rgb="FF00B0F0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0"/>
      <color rgb="FF00B0F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9"/>
      <color rgb="FFFF0000"/>
      <name val="宋体"/>
      <charset val="134"/>
    </font>
    <font>
      <sz val="10"/>
      <color rgb="FFFFFF00"/>
      <name val="宋体"/>
      <charset val="134"/>
    </font>
    <font>
      <sz val="12"/>
      <color rgb="FFFFFF00"/>
      <name val="宋体"/>
      <charset val="134"/>
    </font>
    <font>
      <b/>
      <sz val="11"/>
      <color rgb="FF7030A0"/>
      <name val="宋体"/>
      <charset val="134"/>
    </font>
    <font>
      <b/>
      <sz val="11"/>
      <color rgb="FFFF0000"/>
      <name val="宋体"/>
      <charset val="134"/>
    </font>
    <font>
      <sz val="8"/>
      <color rgb="FFFF0000"/>
      <name val="宋体"/>
      <charset val="134"/>
    </font>
    <font>
      <sz val="11"/>
      <color rgb="FF7030A0"/>
      <name val="宋体"/>
      <charset val="134"/>
    </font>
    <font>
      <sz val="12"/>
      <color rgb="FF7030A0"/>
      <name val="宋体"/>
      <charset val="134"/>
    </font>
    <font>
      <sz val="10"/>
      <color rgb="FF7030A0"/>
      <name val="宋体"/>
      <charset val="134"/>
    </font>
    <font>
      <sz val="12"/>
      <color rgb="FF00B050"/>
      <name val="宋体"/>
      <charset val="134"/>
    </font>
    <font>
      <sz val="9"/>
      <color rgb="FFFFFF00"/>
      <name val="宋体"/>
      <charset val="134"/>
    </font>
    <font>
      <sz val="8"/>
      <name val="宋体"/>
      <charset val="134"/>
    </font>
    <font>
      <sz val="9"/>
      <color rgb="FF7030A0"/>
      <name val="宋体"/>
      <charset val="134"/>
    </font>
    <font>
      <b/>
      <sz val="9"/>
      <color rgb="FF7030A0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4"/>
      <color rgb="FF0000FF"/>
      <name val="宋体"/>
      <charset val="134"/>
    </font>
    <font>
      <sz val="16"/>
      <color rgb="FFFF0000"/>
      <name val="宋体"/>
      <charset val="134"/>
    </font>
    <font>
      <sz val="9"/>
      <color rgb="FF00B0F0"/>
      <name val="宋体"/>
      <charset val="134"/>
    </font>
    <font>
      <sz val="9"/>
      <name val="宋体"/>
      <charset val="134"/>
    </font>
    <font>
      <b/>
      <sz val="8"/>
      <color rgb="FFFF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rgb="FF00B0F0"/>
      <name val="宋体"/>
      <charset val="134"/>
    </font>
    <font>
      <b/>
      <sz val="14"/>
      <color rgb="FFFF0000"/>
      <name val="宋体"/>
      <charset val="134"/>
    </font>
    <font>
      <b/>
      <sz val="11"/>
      <color rgb="FF00B0F0"/>
      <name val="宋体"/>
      <charset val="134"/>
    </font>
    <font>
      <sz val="11"/>
      <color rgb="FF00B0F0"/>
      <name val="宋体"/>
      <charset val="134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6"/>
      <color rgb="FF00B0F0"/>
      <name val="宋体"/>
      <charset val="134"/>
    </font>
    <font>
      <b/>
      <sz val="16"/>
      <color rgb="FF7030A0"/>
      <name val="宋体"/>
      <charset val="134"/>
    </font>
    <font>
      <sz val="16"/>
      <color rgb="FF7030A0"/>
      <name val="宋体"/>
      <charset val="134"/>
    </font>
    <font>
      <sz val="14"/>
      <color rgb="FF00B0F0"/>
      <name val="宋体"/>
      <charset val="134"/>
    </font>
    <font>
      <sz val="12"/>
      <color theme="9" tint="-0.25"/>
      <name val="宋体"/>
      <charset val="134"/>
    </font>
    <font>
      <sz val="14"/>
      <color rgb="FFFF0000"/>
      <name val="宋体"/>
      <charset val="134"/>
    </font>
    <font>
      <sz val="24"/>
      <name val="宋体"/>
      <charset val="134"/>
    </font>
    <font>
      <b/>
      <sz val="16"/>
      <color rgb="FF00B0F0"/>
      <name val="宋体"/>
      <charset val="134"/>
    </font>
    <font>
      <b/>
      <sz val="16"/>
      <color rgb="FFFF0000"/>
      <name val="宋体"/>
      <charset val="134"/>
    </font>
    <font>
      <sz val="16"/>
      <color theme="9" tint="-0.25"/>
      <name val="宋体"/>
      <charset val="134"/>
    </font>
    <font>
      <sz val="16"/>
      <color rgb="FF00B050"/>
      <name val="宋体"/>
      <charset val="134"/>
    </font>
    <font>
      <b/>
      <sz val="14"/>
      <name val="宋体"/>
      <charset val="134"/>
    </font>
    <font>
      <sz val="11"/>
      <color theme="9" tint="-0.25"/>
      <name val="宋体"/>
      <charset val="134"/>
    </font>
    <font>
      <sz val="14"/>
      <color theme="9" tint="-0.25"/>
      <name val="宋体"/>
      <charset val="134"/>
    </font>
    <font>
      <sz val="11"/>
      <color rgb="FF00B050"/>
      <name val="宋体"/>
      <charset val="134"/>
    </font>
    <font>
      <sz val="14"/>
      <color rgb="FF00B050"/>
      <name val="宋体"/>
      <charset val="134"/>
    </font>
    <font>
      <sz val="14"/>
      <color rgb="FF7030A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6"/>
      <color rgb="FF000000"/>
      <name val="宋体"/>
      <charset val="134"/>
    </font>
    <font>
      <b/>
      <sz val="8"/>
      <color rgb="FF00B0F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76" fillId="0" borderId="0" applyFont="0" applyFill="0" applyBorder="0" applyAlignment="0" applyProtection="0">
      <alignment vertical="center"/>
    </xf>
    <xf numFmtId="44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2" fontId="76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6" fillId="8" borderId="27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3" fillId="0" borderId="28" applyNumberFormat="0" applyFill="0" applyAlignment="0" applyProtection="0">
      <alignment vertical="center"/>
    </xf>
    <xf numFmtId="0" fontId="84" fillId="0" borderId="29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9" borderId="30" applyNumberFormat="0" applyAlignment="0" applyProtection="0">
      <alignment vertical="center"/>
    </xf>
    <xf numFmtId="0" fontId="86" fillId="10" borderId="31" applyNumberFormat="0" applyAlignment="0" applyProtection="0">
      <alignment vertical="center"/>
    </xf>
    <xf numFmtId="0" fontId="87" fillId="10" borderId="30" applyNumberFormat="0" applyAlignment="0" applyProtection="0">
      <alignment vertical="center"/>
    </xf>
    <xf numFmtId="0" fontId="88" fillId="11" borderId="32" applyNumberFormat="0" applyAlignment="0" applyProtection="0">
      <alignment vertical="center"/>
    </xf>
    <xf numFmtId="0" fontId="89" fillId="0" borderId="33" applyNumberFormat="0" applyFill="0" applyAlignment="0" applyProtection="0">
      <alignment vertical="center"/>
    </xf>
    <xf numFmtId="0" fontId="90" fillId="0" borderId="34" applyNumberFormat="0" applyFill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93" fillId="14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4" fillId="18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4" fillId="7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6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97" fillId="38" borderId="0" applyNumberFormat="0" applyBorder="0" applyAlignment="0" applyProtection="0">
      <alignment vertical="center"/>
    </xf>
    <xf numFmtId="0" fontId="98" fillId="0" borderId="0">
      <alignment vertical="center"/>
    </xf>
    <xf numFmtId="0" fontId="0" fillId="0" borderId="0"/>
    <xf numFmtId="0" fontId="76" fillId="0" borderId="0"/>
    <xf numFmtId="0" fontId="99" fillId="39" borderId="0" applyNumberFormat="0" applyBorder="0" applyAlignment="0" applyProtection="0">
      <alignment vertical="center"/>
    </xf>
    <xf numFmtId="0" fontId="10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100" fillId="0" borderId="0">
      <alignment vertical="center"/>
    </xf>
  </cellStyleXfs>
  <cellXfs count="64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7" fontId="0" fillId="0" borderId="1" xfId="0" applyNumberFormat="1" applyBorder="1">
      <alignment vertical="center"/>
    </xf>
    <xf numFmtId="0" fontId="0" fillId="0" borderId="1" xfId="0" applyBorder="1">
      <alignment vertical="center"/>
    </xf>
    <xf numFmtId="57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57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58" fontId="0" fillId="0" borderId="1" xfId="0" applyNumberFormat="1" applyBorder="1">
      <alignment vertical="center"/>
    </xf>
    <xf numFmtId="0" fontId="8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58" fontId="0" fillId="0" borderId="1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7" fontId="0" fillId="0" borderId="1" xfId="0" applyNumberForma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57" fontId="0" fillId="0" borderId="5" xfId="0" applyNumberFormat="1" applyBorder="1">
      <alignment vertical="center"/>
    </xf>
    <xf numFmtId="0" fontId="0" fillId="0" borderId="5" xfId="0" applyBorder="1">
      <alignment vertical="center"/>
    </xf>
    <xf numFmtId="58" fontId="0" fillId="0" borderId="5" xfId="0" applyNumberFormat="1" applyBorder="1">
      <alignment vertical="center"/>
    </xf>
    <xf numFmtId="57" fontId="8" fillId="0" borderId="5" xfId="0" applyNumberFormat="1" applyFont="1" applyBorder="1">
      <alignment vertical="center"/>
    </xf>
    <xf numFmtId="0" fontId="8" fillId="0" borderId="5" xfId="0" applyFont="1" applyBorder="1">
      <alignment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9" fillId="0" borderId="9" xfId="0" applyFont="1" applyBorder="1" applyAlignment="1">
      <alignment horizontal="right" vertical="center"/>
    </xf>
    <xf numFmtId="177" fontId="9" fillId="0" borderId="1" xfId="0" applyNumberFormat="1" applyFont="1" applyBorder="1" applyAlignment="1">
      <alignment horizontal="left" vertical="center"/>
    </xf>
    <xf numFmtId="177" fontId="9" fillId="0" borderId="9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177" fontId="0" fillId="4" borderId="9" xfId="0" applyNumberFormat="1" applyFill="1" applyBorder="1" applyAlignment="1">
      <alignment horizontal="center" vertical="center"/>
    </xf>
    <xf numFmtId="178" fontId="0" fillId="4" borderId="9" xfId="0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77" fontId="12" fillId="0" borderId="9" xfId="0" applyNumberFormat="1" applyFont="1" applyFill="1" applyBorder="1" applyAlignment="1">
      <alignment vertical="center"/>
    </xf>
    <xf numFmtId="178" fontId="3" fillId="5" borderId="12" xfId="0" applyNumberFormat="1" applyFont="1" applyFill="1" applyBorder="1" applyAlignment="1">
      <alignment horizontal="center" vertical="center"/>
    </xf>
    <xf numFmtId="178" fontId="3" fillId="5" borderId="9" xfId="0" applyNumberFormat="1" applyFont="1" applyFill="1" applyBorder="1" applyAlignment="1">
      <alignment horizontal="center" vertical="center"/>
    </xf>
    <xf numFmtId="178" fontId="3" fillId="5" borderId="10" xfId="0" applyNumberFormat="1" applyFont="1" applyFill="1" applyBorder="1" applyAlignment="1">
      <alignment horizontal="center" vertical="center"/>
    </xf>
    <xf numFmtId="177" fontId="3" fillId="5" borderId="11" xfId="0" applyNumberFormat="1" applyFont="1" applyFill="1" applyBorder="1" applyAlignment="1">
      <alignment horizontal="center" vertical="center"/>
    </xf>
    <xf numFmtId="178" fontId="0" fillId="0" borderId="9" xfId="0" applyNumberFormat="1" applyBorder="1" applyAlignment="1">
      <alignment vertical="center"/>
    </xf>
    <xf numFmtId="178" fontId="14" fillId="3" borderId="10" xfId="0" applyNumberFormat="1" applyFont="1" applyFill="1" applyBorder="1" applyAlignment="1">
      <alignment horizontal="center" vertical="center"/>
    </xf>
    <xf numFmtId="178" fontId="14" fillId="3" borderId="11" xfId="0" applyNumberFormat="1" applyFont="1" applyFill="1" applyBorder="1" applyAlignment="1">
      <alignment horizontal="center" vertical="center"/>
    </xf>
    <xf numFmtId="178" fontId="14" fillId="3" borderId="12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78" fontId="3" fillId="5" borderId="11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79" fontId="6" fillId="5" borderId="10" xfId="0" applyNumberFormat="1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178" fontId="14" fillId="5" borderId="11" xfId="0" applyNumberFormat="1" applyFont="1" applyFill="1" applyBorder="1" applyAlignment="1">
      <alignment horizontal="center" vertical="center"/>
    </xf>
    <xf numFmtId="178" fontId="14" fillId="5" borderId="12" xfId="0" applyNumberFormat="1" applyFont="1" applyFill="1" applyBorder="1" applyAlignment="1">
      <alignment horizontal="center" vertical="center"/>
    </xf>
    <xf numFmtId="177" fontId="6" fillId="5" borderId="10" xfId="0" applyNumberFormat="1" applyFont="1" applyFill="1" applyBorder="1" applyAlignment="1">
      <alignment vertical="center"/>
    </xf>
    <xf numFmtId="0" fontId="15" fillId="6" borderId="11" xfId="54" applyFont="1" applyFill="1" applyBorder="1" applyAlignment="1">
      <alignment horizontal="center"/>
    </xf>
    <xf numFmtId="177" fontId="15" fillId="6" borderId="11" xfId="54" applyNumberFormat="1" applyFont="1" applyFill="1" applyBorder="1" applyAlignment="1">
      <alignment horizontal="center"/>
    </xf>
    <xf numFmtId="0" fontId="15" fillId="3" borderId="1" xfId="54" applyFont="1" applyFill="1" applyBorder="1" applyAlignment="1">
      <alignment horizontal="center"/>
    </xf>
    <xf numFmtId="0" fontId="16" fillId="7" borderId="3" xfId="54" applyFont="1" applyFill="1" applyBorder="1" applyAlignment="1">
      <alignment horizontal="center"/>
    </xf>
    <xf numFmtId="0" fontId="16" fillId="7" borderId="4" xfId="54" applyFont="1" applyFill="1" applyBorder="1" applyAlignment="1">
      <alignment horizontal="center"/>
    </xf>
    <xf numFmtId="177" fontId="17" fillId="7" borderId="1" xfId="54" applyNumberFormat="1" applyFont="1" applyFill="1" applyBorder="1" applyAlignment="1"/>
    <xf numFmtId="0" fontId="0" fillId="0" borderId="5" xfId="0" applyBorder="1" applyAlignment="1">
      <alignment horizontal="center" vertical="center"/>
    </xf>
    <xf numFmtId="0" fontId="17" fillId="3" borderId="1" xfId="54" applyFont="1" applyFill="1" applyBorder="1" applyAlignment="1">
      <alignment horizontal="center"/>
    </xf>
    <xf numFmtId="178" fontId="17" fillId="7" borderId="1" xfId="54" applyNumberFormat="1" applyFont="1" applyFill="1" applyBorder="1" applyAlignment="1"/>
    <xf numFmtId="0" fontId="18" fillId="7" borderId="3" xfId="54" applyFont="1" applyFill="1" applyBorder="1" applyAlignment="1">
      <alignment horizontal="center"/>
    </xf>
    <xf numFmtId="0" fontId="18" fillId="7" borderId="4" xfId="54" applyFont="1" applyFill="1" applyBorder="1" applyAlignment="1">
      <alignment horizontal="center"/>
    </xf>
    <xf numFmtId="0" fontId="18" fillId="7" borderId="1" xfId="54" applyFont="1" applyFill="1" applyBorder="1" applyAlignment="1">
      <alignment vertical="center" wrapText="1"/>
    </xf>
    <xf numFmtId="177" fontId="18" fillId="7" borderId="4" xfId="54" applyNumberFormat="1" applyFont="1" applyFill="1" applyBorder="1" applyAlignment="1">
      <alignment horizontal="center"/>
    </xf>
    <xf numFmtId="179" fontId="19" fillId="3" borderId="5" xfId="54" applyNumberFormat="1" applyFont="1" applyFill="1" applyBorder="1" applyAlignment="1">
      <alignment horizontal="center" wrapText="1"/>
    </xf>
    <xf numFmtId="179" fontId="18" fillId="7" borderId="4" xfId="54" applyNumberFormat="1" applyFont="1" applyFill="1" applyBorder="1" applyAlignment="1">
      <alignment horizontal="center"/>
    </xf>
    <xf numFmtId="178" fontId="20" fillId="3" borderId="1" xfId="54" applyNumberFormat="1" applyFont="1" applyFill="1" applyBorder="1" applyAlignment="1">
      <alignment horizontal="center"/>
    </xf>
    <xf numFmtId="0" fontId="3" fillId="7" borderId="3" xfId="54" applyFont="1" applyFill="1" applyBorder="1" applyAlignment="1">
      <alignment horizontal="center"/>
    </xf>
    <xf numFmtId="0" fontId="3" fillId="7" borderId="4" xfId="54" applyFont="1" applyFill="1" applyBorder="1" applyAlignment="1">
      <alignment horizontal="center"/>
    </xf>
    <xf numFmtId="0" fontId="18" fillId="7" borderId="1" xfId="54" applyFont="1" applyFill="1" applyBorder="1" applyAlignment="1">
      <alignment horizontal="center" vertical="center" wrapText="1"/>
    </xf>
    <xf numFmtId="177" fontId="3" fillId="7" borderId="1" xfId="54" applyNumberFormat="1" applyFont="1" applyFill="1" applyBorder="1" applyAlignment="1">
      <alignment horizontal="center"/>
    </xf>
    <xf numFmtId="179" fontId="19" fillId="3" borderId="9" xfId="54" applyNumberFormat="1" applyFont="1" applyFill="1" applyBorder="1" applyAlignment="1">
      <alignment horizontal="center" wrapText="1"/>
    </xf>
    <xf numFmtId="179" fontId="3" fillId="7" borderId="1" xfId="54" applyNumberFormat="1" applyFont="1" applyFill="1" applyBorder="1" applyAlignment="1">
      <alignment horizontal="center"/>
    </xf>
    <xf numFmtId="179" fontId="3" fillId="3" borderId="1" xfId="54" applyNumberFormat="1" applyFont="1" applyFill="1" applyBorder="1" applyAlignment="1">
      <alignment horizontal="center"/>
    </xf>
    <xf numFmtId="0" fontId="3" fillId="2" borderId="13" xfId="54" applyFont="1" applyFill="1" applyBorder="1" applyAlignment="1">
      <alignment horizontal="center"/>
    </xf>
    <xf numFmtId="0" fontId="3" fillId="2" borderId="14" xfId="54" applyFont="1" applyFill="1" applyBorder="1" applyAlignment="1">
      <alignment horizontal="center"/>
    </xf>
    <xf numFmtId="0" fontId="3" fillId="2" borderId="4" xfId="54" applyFont="1" applyFill="1" applyBorder="1" applyAlignment="1">
      <alignment horizontal="center"/>
    </xf>
    <xf numFmtId="0" fontId="18" fillId="2" borderId="1" xfId="54" applyFont="1" applyFill="1" applyBorder="1" applyAlignment="1">
      <alignment horizontal="center" vertical="center" wrapText="1"/>
    </xf>
    <xf numFmtId="177" fontId="3" fillId="2" borderId="1" xfId="54" applyNumberFormat="1" applyFont="1" applyFill="1" applyBorder="1" applyAlignment="1">
      <alignment horizontal="center"/>
    </xf>
    <xf numFmtId="0" fontId="0" fillId="2" borderId="1" xfId="0" applyFill="1" applyBorder="1">
      <alignment vertical="center"/>
    </xf>
    <xf numFmtId="179" fontId="3" fillId="2" borderId="1" xfId="54" applyNumberFormat="1" applyFont="1" applyFill="1" applyBorder="1" applyAlignment="1">
      <alignment horizontal="center"/>
    </xf>
    <xf numFmtId="0" fontId="3" fillId="2" borderId="1" xfId="54" applyFont="1" applyFill="1" applyBorder="1" applyAlignment="1"/>
    <xf numFmtId="0" fontId="0" fillId="2" borderId="1" xfId="0" applyFill="1" applyBorder="1" applyAlignment="1">
      <alignment horizontal="center" vertical="center"/>
    </xf>
    <xf numFmtId="0" fontId="3" fillId="2" borderId="3" xfId="54" applyFont="1" applyFill="1" applyBorder="1" applyAlignment="1">
      <alignment horizontal="center"/>
    </xf>
    <xf numFmtId="0" fontId="3" fillId="2" borderId="3" xfId="54" applyFont="1" applyFill="1" applyBorder="1" applyAlignment="1">
      <alignment horizontal="right"/>
    </xf>
    <xf numFmtId="0" fontId="3" fillId="2" borderId="4" xfId="54" applyFont="1" applyFill="1" applyBorder="1" applyAlignment="1">
      <alignment horizontal="right"/>
    </xf>
    <xf numFmtId="0" fontId="3" fillId="2" borderId="1" xfId="0" applyFont="1" applyFill="1" applyBorder="1" applyAlignment="1">
      <alignment horizontal="left" vertical="center"/>
    </xf>
    <xf numFmtId="0" fontId="3" fillId="3" borderId="13" xfId="54" applyFont="1" applyFill="1" applyBorder="1" applyAlignment="1">
      <alignment horizontal="center" vertical="center"/>
    </xf>
    <xf numFmtId="0" fontId="21" fillId="3" borderId="14" xfId="54" applyFont="1" applyFill="1" applyBorder="1" applyAlignment="1">
      <alignment horizontal="center" vertical="center"/>
    </xf>
    <xf numFmtId="0" fontId="22" fillId="3" borderId="1" xfId="54" applyFont="1" applyFill="1" applyBorder="1" applyAlignment="1">
      <alignment horizontal="center" vertical="center" wrapText="1"/>
    </xf>
    <xf numFmtId="0" fontId="21" fillId="3" borderId="4" xfId="54" applyFont="1" applyFill="1" applyBorder="1" applyAlignment="1">
      <alignment horizontal="center"/>
    </xf>
    <xf numFmtId="177" fontId="21" fillId="3" borderId="1" xfId="54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2" fillId="3" borderId="4" xfId="54" applyFont="1" applyFill="1" applyBorder="1" applyAlignment="1">
      <alignment horizontal="center" vertical="center" wrapText="1"/>
    </xf>
    <xf numFmtId="0" fontId="3" fillId="3" borderId="4" xfId="54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3" fillId="3" borderId="14" xfId="54" applyFont="1" applyFill="1" applyBorder="1" applyAlignment="1">
      <alignment horizontal="center" vertical="center"/>
    </xf>
    <xf numFmtId="0" fontId="18" fillId="3" borderId="1" xfId="54" applyFont="1" applyFill="1" applyBorder="1" applyAlignment="1">
      <alignment horizontal="center" vertical="center" wrapText="1"/>
    </xf>
    <xf numFmtId="177" fontId="3" fillId="3" borderId="1" xfId="54" applyNumberFormat="1" applyFont="1" applyFill="1" applyBorder="1" applyAlignment="1">
      <alignment horizontal="center"/>
    </xf>
    <xf numFmtId="0" fontId="3" fillId="3" borderId="11" xfId="54" applyFont="1" applyFill="1" applyBorder="1" applyAlignment="1">
      <alignment horizontal="center" vertical="center"/>
    </xf>
    <xf numFmtId="0" fontId="21" fillId="3" borderId="12" xfId="54" applyFont="1" applyFill="1" applyBorder="1" applyAlignment="1">
      <alignment horizontal="center" vertical="center"/>
    </xf>
    <xf numFmtId="0" fontId="14" fillId="3" borderId="1" xfId="54" applyFont="1" applyFill="1" applyBorder="1" applyAlignment="1">
      <alignment horizontal="center" vertical="center" wrapText="1"/>
    </xf>
    <xf numFmtId="177" fontId="24" fillId="3" borderId="1" xfId="54" applyNumberFormat="1" applyFont="1" applyFill="1" applyBorder="1" applyAlignment="1">
      <alignment horizontal="center"/>
    </xf>
    <xf numFmtId="178" fontId="3" fillId="3" borderId="1" xfId="54" applyNumberFormat="1" applyFont="1" applyFill="1" applyBorder="1" applyAlignment="1">
      <alignment horizontal="center"/>
    </xf>
    <xf numFmtId="0" fontId="14" fillId="3" borderId="4" xfId="54" applyFont="1" applyFill="1" applyBorder="1" applyAlignment="1">
      <alignment wrapText="1"/>
    </xf>
    <xf numFmtId="179" fontId="22" fillId="3" borderId="1" xfId="54" applyNumberFormat="1" applyFont="1" applyFill="1" applyBorder="1" applyAlignment="1">
      <alignment horizontal="center"/>
    </xf>
    <xf numFmtId="0" fontId="3" fillId="3" borderId="12" xfId="54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wrapText="1"/>
    </xf>
    <xf numFmtId="0" fontId="18" fillId="7" borderId="14" xfId="0" applyFont="1" applyFill="1" applyBorder="1" applyAlignment="1">
      <alignment horizontal="left" vertical="center"/>
    </xf>
    <xf numFmtId="0" fontId="18" fillId="7" borderId="5" xfId="54" applyFont="1" applyFill="1" applyBorder="1" applyAlignment="1">
      <alignment horizontal="center" vertical="center" wrapText="1"/>
    </xf>
    <xf numFmtId="0" fontId="20" fillId="7" borderId="5" xfId="54" applyFont="1" applyFill="1" applyBorder="1" applyAlignment="1">
      <alignment horizontal="center" vertical="center" wrapText="1"/>
    </xf>
    <xf numFmtId="177" fontId="18" fillId="7" borderId="5" xfId="54" applyNumberFormat="1" applyFont="1" applyFill="1" applyBorder="1" applyAlignment="1">
      <alignment horizontal="center" vertical="center" wrapText="1"/>
    </xf>
    <xf numFmtId="178" fontId="18" fillId="3" borderId="1" xfId="54" applyNumberFormat="1" applyFont="1" applyFill="1" applyBorder="1" applyAlignment="1">
      <alignment horizontal="center" vertical="center" wrapText="1"/>
    </xf>
    <xf numFmtId="179" fontId="18" fillId="7" borderId="5" xfId="54" applyNumberFormat="1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left" vertical="center"/>
    </xf>
    <xf numFmtId="0" fontId="18" fillId="7" borderId="9" xfId="54" applyFont="1" applyFill="1" applyBorder="1" applyAlignment="1">
      <alignment horizontal="center" vertical="center" wrapText="1"/>
    </xf>
    <xf numFmtId="0" fontId="20" fillId="7" borderId="9" xfId="54" applyFont="1" applyFill="1" applyBorder="1" applyAlignment="1">
      <alignment horizontal="center" vertical="center" wrapText="1"/>
    </xf>
    <xf numFmtId="177" fontId="18" fillId="7" borderId="9" xfId="54" applyNumberFormat="1" applyFont="1" applyFill="1" applyBorder="1" applyAlignment="1">
      <alignment horizontal="center" vertical="center" wrapText="1"/>
    </xf>
    <xf numFmtId="179" fontId="18" fillId="7" borderId="9" xfId="54" applyNumberFormat="1" applyFont="1" applyFill="1" applyBorder="1" applyAlignment="1">
      <alignment horizontal="center" vertical="center" wrapText="1"/>
    </xf>
    <xf numFmtId="58" fontId="3" fillId="7" borderId="4" xfId="0" applyNumberFormat="1" applyFont="1" applyFill="1" applyBorder="1" applyAlignment="1">
      <alignment horizontal="center" vertical="center"/>
    </xf>
    <xf numFmtId="180" fontId="25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26" fillId="7" borderId="1" xfId="0" applyNumberFormat="1" applyFont="1" applyFill="1" applyBorder="1" applyAlignment="1">
      <alignment horizontal="center" vertical="center"/>
    </xf>
    <xf numFmtId="177" fontId="26" fillId="7" borderId="1" xfId="0" applyNumberFormat="1" applyFont="1" applyFill="1" applyBorder="1" applyAlignment="1">
      <alignment horizontal="center" vertical="center"/>
    </xf>
    <xf numFmtId="178" fontId="26" fillId="3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78" fontId="27" fillId="3" borderId="1" xfId="0" applyNumberFormat="1" applyFont="1" applyFill="1" applyBorder="1" applyAlignment="1">
      <alignment horizontal="center" vertical="center"/>
    </xf>
    <xf numFmtId="58" fontId="26" fillId="7" borderId="4" xfId="0" applyNumberFormat="1" applyFont="1" applyFill="1" applyBorder="1" applyAlignment="1">
      <alignment horizontal="left" vertical="center"/>
    </xf>
    <xf numFmtId="180" fontId="26" fillId="7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58" fontId="28" fillId="7" borderId="4" xfId="0" applyNumberFormat="1" applyFont="1" applyFill="1" applyBorder="1" applyAlignment="1">
      <alignment horizontal="left" vertical="center"/>
    </xf>
    <xf numFmtId="180" fontId="16" fillId="7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78" fontId="29" fillId="3" borderId="1" xfId="0" applyNumberFormat="1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178" fontId="23" fillId="3" borderId="1" xfId="0" applyNumberFormat="1" applyFont="1" applyFill="1" applyBorder="1" applyAlignment="1">
      <alignment horizontal="left" vertical="center"/>
    </xf>
    <xf numFmtId="178" fontId="25" fillId="7" borderId="1" xfId="0" applyNumberFormat="1" applyFont="1" applyFill="1" applyBorder="1" applyAlignment="1">
      <alignment horizontal="center" vertical="center"/>
    </xf>
    <xf numFmtId="58" fontId="32" fillId="7" borderId="4" xfId="0" applyNumberFormat="1" applyFont="1" applyFill="1" applyBorder="1" applyAlignment="1">
      <alignment horizontal="left" vertical="center"/>
    </xf>
    <xf numFmtId="180" fontId="32" fillId="7" borderId="1" xfId="0" applyNumberFormat="1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58" fontId="27" fillId="7" borderId="4" xfId="0" applyNumberFormat="1" applyFont="1" applyFill="1" applyBorder="1" applyAlignment="1">
      <alignment horizontal="left" vertical="center"/>
    </xf>
    <xf numFmtId="180" fontId="33" fillId="7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180" fontId="28" fillId="7" borderId="1" xfId="0" applyNumberFormat="1" applyFont="1" applyFill="1" applyBorder="1" applyAlignment="1">
      <alignment horizontal="center" vertical="center"/>
    </xf>
    <xf numFmtId="178" fontId="28" fillId="7" borderId="1" xfId="0" applyNumberFormat="1" applyFont="1" applyFill="1" applyBorder="1" applyAlignment="1">
      <alignment horizontal="center" vertical="center"/>
    </xf>
    <xf numFmtId="178" fontId="34" fillId="3" borderId="1" xfId="0" applyNumberFormat="1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78" fontId="27" fillId="7" borderId="1" xfId="0" applyNumberFormat="1" applyFont="1" applyFill="1" applyBorder="1" applyAlignment="1">
      <alignment horizontal="center" vertical="center"/>
    </xf>
    <xf numFmtId="180" fontId="27" fillId="7" borderId="1" xfId="0" applyNumberFormat="1" applyFont="1" applyFill="1" applyBorder="1" applyAlignment="1">
      <alignment horizontal="center" vertical="center"/>
    </xf>
    <xf numFmtId="177" fontId="33" fillId="7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58" fontId="6" fillId="7" borderId="4" xfId="0" applyNumberFormat="1" applyFont="1" applyFill="1" applyBorder="1" applyAlignment="1">
      <alignment horizontal="center" vertical="center"/>
    </xf>
    <xf numFmtId="178" fontId="29" fillId="3" borderId="1" xfId="0" applyNumberFormat="1" applyFont="1" applyFill="1" applyBorder="1" applyAlignment="1">
      <alignment horizontal="left" vertical="center"/>
    </xf>
    <xf numFmtId="0" fontId="6" fillId="0" borderId="0" xfId="0" applyFont="1">
      <alignment vertical="center"/>
    </xf>
    <xf numFmtId="58" fontId="33" fillId="7" borderId="4" xfId="0" applyNumberFormat="1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77" fontId="25" fillId="7" borderId="1" xfId="0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58" fontId="35" fillId="7" borderId="4" xfId="0" applyNumberFormat="1" applyFont="1" applyFill="1" applyBorder="1" applyAlignment="1">
      <alignment horizontal="left" vertical="center"/>
    </xf>
    <xf numFmtId="180" fontId="35" fillId="7" borderId="1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178" fontId="35" fillId="7" borderId="1" xfId="0" applyNumberFormat="1" applyFont="1" applyFill="1" applyBorder="1" applyAlignment="1">
      <alignment horizontal="center" vertical="center"/>
    </xf>
    <xf numFmtId="177" fontId="35" fillId="7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58" fontId="14" fillId="7" borderId="4" xfId="0" applyNumberFormat="1" applyFont="1" applyFill="1" applyBorder="1" applyAlignment="1">
      <alignment horizontal="left" vertical="center"/>
    </xf>
    <xf numFmtId="58" fontId="14" fillId="7" borderId="4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178" fontId="32" fillId="7" borderId="1" xfId="0" applyNumberFormat="1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37" fillId="3" borderId="1" xfId="0" applyNumberFormat="1" applyFont="1" applyFill="1" applyBorder="1" applyAlignment="1">
      <alignment horizontal="left" vertical="center"/>
    </xf>
    <xf numFmtId="178" fontId="33" fillId="7" borderId="1" xfId="0" applyNumberFormat="1" applyFont="1" applyFill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4" fillId="0" borderId="0" xfId="0" applyFont="1">
      <alignment vertical="center"/>
    </xf>
    <xf numFmtId="0" fontId="39" fillId="7" borderId="1" xfId="0" applyFont="1" applyFill="1" applyBorder="1" applyAlignment="1">
      <alignment horizontal="left" vertical="center"/>
    </xf>
    <xf numFmtId="178" fontId="40" fillId="3" borderId="1" xfId="0" applyNumberFormat="1" applyFont="1" applyFill="1" applyBorder="1" applyAlignment="1">
      <alignment horizontal="center" vertical="center"/>
    </xf>
    <xf numFmtId="58" fontId="0" fillId="7" borderId="4" xfId="0" applyNumberFormat="1" applyFont="1" applyFill="1" applyBorder="1" applyAlignment="1">
      <alignment horizontal="left" vertical="center"/>
    </xf>
    <xf numFmtId="178" fontId="0" fillId="7" borderId="1" xfId="0" applyNumberFormat="1" applyFont="1" applyFill="1" applyBorder="1" applyAlignment="1">
      <alignment horizontal="center" vertical="center"/>
    </xf>
    <xf numFmtId="58" fontId="6" fillId="7" borderId="4" xfId="0" applyNumberFormat="1" applyFont="1" applyFill="1" applyBorder="1" applyAlignment="1">
      <alignment horizontal="left" vertical="center"/>
    </xf>
    <xf numFmtId="178" fontId="6" fillId="7" borderId="1" xfId="0" applyNumberFormat="1" applyFont="1" applyFill="1" applyBorder="1" applyAlignment="1">
      <alignment horizontal="center" vertical="center"/>
    </xf>
    <xf numFmtId="177" fontId="27" fillId="7" borderId="1" xfId="0" applyNumberFormat="1" applyFont="1" applyFill="1" applyBorder="1" applyAlignment="1">
      <alignment horizontal="center" vertical="center"/>
    </xf>
    <xf numFmtId="177" fontId="32" fillId="7" borderId="1" xfId="0" applyNumberFormat="1" applyFont="1" applyFill="1" applyBorder="1" applyAlignment="1">
      <alignment horizontal="center" vertical="center"/>
    </xf>
    <xf numFmtId="178" fontId="41" fillId="3" borderId="1" xfId="0" applyNumberFormat="1" applyFont="1" applyFill="1" applyBorder="1" applyAlignment="1">
      <alignment horizontal="left" vertical="center"/>
    </xf>
    <xf numFmtId="0" fontId="41" fillId="7" borderId="1" xfId="0" applyFont="1" applyFill="1" applyBorder="1" applyAlignment="1">
      <alignment horizontal="left" vertical="center"/>
    </xf>
    <xf numFmtId="178" fontId="36" fillId="7" borderId="1" xfId="0" applyNumberFormat="1" applyFont="1" applyFill="1" applyBorder="1" applyAlignment="1">
      <alignment horizontal="center" vertical="center"/>
    </xf>
    <xf numFmtId="178" fontId="23" fillId="3" borderId="0" xfId="0" applyNumberFormat="1" applyFont="1" applyFill="1" applyAlignment="1">
      <alignment horizontal="left" vertical="center" wrapText="1"/>
    </xf>
    <xf numFmtId="58" fontId="11" fillId="7" borderId="4" xfId="0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78" fontId="42" fillId="3" borderId="1" xfId="0" applyNumberFormat="1" applyFont="1" applyFill="1" applyBorder="1" applyAlignment="1">
      <alignment horizontal="left" vertical="center"/>
    </xf>
    <xf numFmtId="178" fontId="32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78" fontId="35" fillId="3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58" fontId="36" fillId="7" borderId="4" xfId="0" applyNumberFormat="1" applyFont="1" applyFill="1" applyBorder="1" applyAlignment="1">
      <alignment horizontal="left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44" fillId="0" borderId="16" xfId="0" applyFont="1" applyBorder="1" applyAlignment="1">
      <alignment horizontal="center" vertical="center"/>
    </xf>
    <xf numFmtId="7" fontId="44" fillId="0" borderId="16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0" fontId="44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45" fillId="0" borderId="16" xfId="0" applyFont="1" applyBorder="1" applyAlignment="1">
      <alignment horizontal="left" vertical="center"/>
    </xf>
    <xf numFmtId="7" fontId="45" fillId="0" borderId="16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justify" vertical="center" indent="1"/>
    </xf>
    <xf numFmtId="0" fontId="0" fillId="0" borderId="16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7" fontId="3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2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58" fontId="0" fillId="0" borderId="0" xfId="0" applyNumberFormat="1">
      <alignment vertical="center"/>
    </xf>
    <xf numFmtId="0" fontId="26" fillId="0" borderId="0" xfId="0" applyFont="1">
      <alignment vertical="center"/>
    </xf>
    <xf numFmtId="0" fontId="0" fillId="0" borderId="0" xfId="0" applyFont="1">
      <alignment vertical="center"/>
    </xf>
    <xf numFmtId="0" fontId="38" fillId="0" borderId="0" xfId="0" applyFont="1">
      <alignment vertical="center"/>
    </xf>
    <xf numFmtId="0" fontId="40" fillId="0" borderId="2" xfId="0" applyFont="1" applyBorder="1" applyAlignment="1">
      <alignment horizontal="left" vertical="center"/>
    </xf>
    <xf numFmtId="0" fontId="40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81" fontId="25" fillId="0" borderId="3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79" fontId="26" fillId="0" borderId="1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58" fontId="0" fillId="0" borderId="0" xfId="0" applyNumberFormat="1" applyFont="1">
      <alignment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82" fontId="0" fillId="0" borderId="0" xfId="59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 applyFont="1" applyBorder="1" applyAlignment="1">
      <alignment horizontal="center" vertical="center"/>
    </xf>
    <xf numFmtId="181" fontId="0" fillId="0" borderId="0" xfId="0" applyNumberFormat="1" applyFont="1">
      <alignment vertical="center"/>
    </xf>
    <xf numFmtId="0" fontId="0" fillId="0" borderId="0" xfId="0" applyFont="1" applyBorder="1" applyAlignment="1">
      <alignment vertical="center" wrapText="1"/>
    </xf>
    <xf numFmtId="58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82" fontId="4" fillId="0" borderId="0" xfId="59" applyNumberFormat="1" applyFont="1" applyFill="1" applyBorder="1" applyAlignment="1">
      <alignment horizontal="center" vertical="center"/>
    </xf>
    <xf numFmtId="18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81" fontId="4" fillId="0" borderId="0" xfId="0" applyNumberFormat="1" applyFont="1">
      <alignment vertical="center"/>
    </xf>
    <xf numFmtId="0" fontId="6" fillId="0" borderId="0" xfId="0" applyFont="1" applyBorder="1" applyAlignment="1">
      <alignment horizontal="left" vertical="center"/>
    </xf>
    <xf numFmtId="177" fontId="4" fillId="0" borderId="0" xfId="0" applyNumberFormat="1" applyFont="1">
      <alignment vertical="center"/>
    </xf>
    <xf numFmtId="17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5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7" fontId="4" fillId="0" borderId="0" xfId="0" applyNumberFormat="1" applyFont="1" applyAlignment="1">
      <alignment horizontal="left"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7" fontId="0" fillId="0" borderId="0" xfId="0" applyNumberFormat="1" applyFont="1">
      <alignment vertical="center"/>
    </xf>
    <xf numFmtId="177" fontId="4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58" fontId="6" fillId="0" borderId="0" xfId="0" applyNumberFormat="1" applyFont="1">
      <alignment vertical="center"/>
    </xf>
    <xf numFmtId="17" fontId="6" fillId="0" borderId="0" xfId="0" applyNumberFormat="1" applyFont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182" fontId="6" fillId="0" borderId="0" xfId="59" applyNumberFormat="1" applyFont="1" applyFill="1" applyBorder="1" applyAlignment="1">
      <alignment horizontal="center" vertical="center"/>
    </xf>
    <xf numFmtId="181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17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181" fontId="6" fillId="0" borderId="0" xfId="0" applyNumberFormat="1" applyFont="1">
      <alignment vertical="center"/>
    </xf>
    <xf numFmtId="58" fontId="38" fillId="0" borderId="0" xfId="0" applyNumberFormat="1" applyFont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vertical="center"/>
    </xf>
    <xf numFmtId="0" fontId="38" fillId="0" borderId="0" xfId="0" applyFont="1" applyBorder="1" applyAlignment="1">
      <alignment horizontal="center" vertical="center"/>
    </xf>
    <xf numFmtId="182" fontId="38" fillId="0" borderId="0" xfId="59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81" fontId="38" fillId="0" borderId="0" xfId="0" applyNumberFormat="1" applyFont="1" applyBorder="1" applyAlignment="1">
      <alignment horizontal="center" vertical="center"/>
    </xf>
    <xf numFmtId="181" fontId="38" fillId="0" borderId="0" xfId="0" applyNumberFormat="1" applyFont="1">
      <alignment vertical="center"/>
    </xf>
    <xf numFmtId="0" fontId="38" fillId="0" borderId="0" xfId="0" applyFont="1" applyBorder="1" applyAlignment="1">
      <alignment vertical="center" wrapText="1"/>
    </xf>
    <xf numFmtId="177" fontId="0" fillId="0" borderId="0" xfId="0" applyNumberFormat="1" applyFont="1" applyBorder="1" applyAlignment="1">
      <alignment horizontal="center" vertical="center"/>
    </xf>
    <xf numFmtId="17" fontId="0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9" fillId="0" borderId="0" xfId="0" applyFont="1">
      <alignment vertical="center"/>
    </xf>
    <xf numFmtId="0" fontId="40" fillId="0" borderId="0" xfId="0" applyFont="1">
      <alignment vertical="center"/>
    </xf>
    <xf numFmtId="183" fontId="0" fillId="0" borderId="0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6" borderId="9" xfId="0" applyFon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178" fontId="8" fillId="0" borderId="9" xfId="0" applyNumberFormat="1" applyFont="1" applyBorder="1" applyAlignment="1">
      <alignment vertical="center"/>
    </xf>
    <xf numFmtId="0" fontId="21" fillId="0" borderId="1" xfId="0" applyFont="1" applyBorder="1">
      <alignment vertical="center"/>
    </xf>
    <xf numFmtId="0" fontId="17" fillId="7" borderId="3" xfId="54" applyFont="1" applyFill="1" applyBorder="1" applyAlignment="1">
      <alignment horizontal="center"/>
    </xf>
    <xf numFmtId="0" fontId="17" fillId="7" borderId="1" xfId="54" applyFont="1" applyFill="1" applyBorder="1" applyAlignment="1"/>
    <xf numFmtId="0" fontId="32" fillId="0" borderId="5" xfId="0" applyFont="1" applyBorder="1" applyAlignment="1">
      <alignment vertical="center" wrapText="1"/>
    </xf>
    <xf numFmtId="179" fontId="49" fillId="3" borderId="5" xfId="54" applyNumberFormat="1" applyFont="1" applyFill="1" applyBorder="1" applyAlignment="1">
      <alignment horizontal="left" vertical="top" wrapText="1"/>
    </xf>
    <xf numFmtId="0" fontId="17" fillId="7" borderId="4" xfId="54" applyFont="1" applyFill="1" applyBorder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179" fontId="19" fillId="3" borderId="17" xfId="54" applyNumberFormat="1" applyFont="1" applyFill="1" applyBorder="1" applyAlignment="1">
      <alignment horizontal="left" vertical="top" wrapText="1"/>
    </xf>
    <xf numFmtId="0" fontId="25" fillId="0" borderId="9" xfId="0" applyFont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179" fontId="19" fillId="3" borderId="9" xfId="54" applyNumberFormat="1" applyFont="1" applyFill="1" applyBorder="1" applyAlignment="1">
      <alignment horizontal="left" vertical="top" wrapText="1"/>
    </xf>
    <xf numFmtId="0" fontId="3" fillId="7" borderId="3" xfId="54" applyFont="1" applyFill="1" applyBorder="1" applyAlignment="1">
      <alignment horizontal="center" vertical="center"/>
    </xf>
    <xf numFmtId="0" fontId="3" fillId="7" borderId="4" xfId="54" applyFont="1" applyFill="1" applyBorder="1" applyAlignment="1">
      <alignment horizontal="center" vertical="center"/>
    </xf>
    <xf numFmtId="0" fontId="3" fillId="7" borderId="1" xfId="54" applyFont="1" applyFill="1" applyBorder="1" applyAlignment="1">
      <alignment horizontal="center" vertical="center"/>
    </xf>
    <xf numFmtId="179" fontId="3" fillId="7" borderId="1" xfId="54" applyNumberFormat="1" applyFont="1" applyFill="1" applyBorder="1" applyAlignment="1">
      <alignment horizontal="center" vertical="center"/>
    </xf>
    <xf numFmtId="0" fontId="50" fillId="3" borderId="3" xfId="54" applyFont="1" applyFill="1" applyBorder="1" applyAlignment="1">
      <alignment horizontal="center" vertical="center" wrapText="1"/>
    </xf>
    <xf numFmtId="0" fontId="50" fillId="3" borderId="4" xfId="54" applyFont="1" applyFill="1" applyBorder="1" applyAlignment="1">
      <alignment horizontal="center" vertical="center" wrapText="1"/>
    </xf>
    <xf numFmtId="0" fontId="14" fillId="3" borderId="1" xfId="54" applyFont="1" applyFill="1" applyBorder="1" applyAlignment="1">
      <alignment horizontal="center" vertical="center"/>
    </xf>
    <xf numFmtId="58" fontId="49" fillId="3" borderId="1" xfId="54" applyNumberFormat="1" applyFont="1" applyFill="1" applyBorder="1" applyAlignment="1">
      <alignment horizontal="left" vertical="center" wrapText="1"/>
    </xf>
    <xf numFmtId="0" fontId="50" fillId="3" borderId="4" xfId="54" applyFont="1" applyFill="1" applyBorder="1" applyAlignment="1">
      <alignment horizontal="center" vertical="center"/>
    </xf>
    <xf numFmtId="179" fontId="14" fillId="3" borderId="1" xfId="5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9" fontId="21" fillId="2" borderId="1" xfId="54" applyNumberFormat="1" applyFont="1" applyFill="1" applyBorder="1" applyAlignment="1">
      <alignment horizontal="center" vertical="center"/>
    </xf>
    <xf numFmtId="0" fontId="51" fillId="3" borderId="3" xfId="54" applyFont="1" applyFill="1" applyBorder="1" applyAlignment="1">
      <alignment horizontal="center" vertical="center" wrapText="1"/>
    </xf>
    <xf numFmtId="0" fontId="51" fillId="3" borderId="4" xfId="54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/>
    </xf>
    <xf numFmtId="0" fontId="3" fillId="3" borderId="1" xfId="54" applyFont="1" applyFill="1" applyBorder="1" applyAlignment="1">
      <alignment vertical="center" wrapText="1"/>
    </xf>
    <xf numFmtId="0" fontId="3" fillId="3" borderId="4" xfId="54" applyFont="1" applyFill="1" applyBorder="1" applyAlignment="1">
      <alignment horizontal="center" vertical="center"/>
    </xf>
    <xf numFmtId="179" fontId="3" fillId="3" borderId="1" xfId="54" applyNumberFormat="1" applyFont="1" applyFill="1" applyBorder="1" applyAlignment="1">
      <alignment horizontal="center" vertical="center"/>
    </xf>
    <xf numFmtId="58" fontId="3" fillId="3" borderId="1" xfId="54" applyNumberFormat="1" applyFont="1" applyFill="1" applyBorder="1" applyAlignment="1">
      <alignment vertical="center" wrapText="1"/>
    </xf>
    <xf numFmtId="0" fontId="3" fillId="3" borderId="1" xfId="54" applyFont="1" applyFill="1" applyBorder="1" applyAlignment="1">
      <alignment vertical="center"/>
    </xf>
    <xf numFmtId="0" fontId="3" fillId="3" borderId="2" xfId="54" applyFont="1" applyFill="1" applyBorder="1" applyAlignment="1">
      <alignment vertical="center"/>
    </xf>
    <xf numFmtId="0" fontId="3" fillId="3" borderId="0" xfId="54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58" fontId="3" fillId="7" borderId="4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58" fontId="25" fillId="7" borderId="4" xfId="0" applyNumberFormat="1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178" fontId="33" fillId="3" borderId="1" xfId="0" applyNumberFormat="1" applyFont="1" applyFill="1" applyBorder="1" applyAlignment="1">
      <alignment horizontal="center" vertical="center"/>
    </xf>
    <xf numFmtId="178" fontId="25" fillId="3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8" fontId="50" fillId="3" borderId="1" xfId="0" applyNumberFormat="1" applyFont="1" applyFill="1" applyBorder="1" applyAlignment="1">
      <alignment horizontal="left" vertical="center"/>
    </xf>
    <xf numFmtId="178" fontId="52" fillId="3" borderId="1" xfId="0" applyNumberFormat="1" applyFont="1" applyFill="1" applyBorder="1" applyAlignment="1">
      <alignment horizontal="left" vertical="center"/>
    </xf>
    <xf numFmtId="0" fontId="36" fillId="0" borderId="0" xfId="0" applyFont="1">
      <alignment vertical="center"/>
    </xf>
    <xf numFmtId="0" fontId="25" fillId="7" borderId="1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178" fontId="33" fillId="3" borderId="1" xfId="0" applyNumberFormat="1" applyFont="1" applyFill="1" applyBorder="1" applyAlignment="1">
      <alignment horizontal="left" vertical="center"/>
    </xf>
    <xf numFmtId="178" fontId="22" fillId="3" borderId="1" xfId="0" applyNumberFormat="1" applyFont="1" applyFill="1" applyBorder="1" applyAlignment="1">
      <alignment horizontal="left" vertical="center"/>
    </xf>
    <xf numFmtId="178" fontId="26" fillId="3" borderId="5" xfId="0" applyNumberFormat="1" applyFont="1" applyFill="1" applyBorder="1" applyAlignment="1">
      <alignment horizontal="center" vertical="center"/>
    </xf>
    <xf numFmtId="178" fontId="22" fillId="3" borderId="18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78" fontId="22" fillId="3" borderId="19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178" fontId="26" fillId="3" borderId="9" xfId="0" applyNumberFormat="1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58" fontId="0" fillId="7" borderId="4" xfId="0" applyNumberFormat="1" applyFont="1" applyFill="1" applyBorder="1" applyAlignment="1">
      <alignment horizontal="center" vertical="center"/>
    </xf>
    <xf numFmtId="180" fontId="22" fillId="7" borderId="1" xfId="0" applyNumberFormat="1" applyFont="1" applyFill="1" applyBorder="1" applyAlignment="1">
      <alignment horizontal="center" vertical="center"/>
    </xf>
    <xf numFmtId="180" fontId="33" fillId="7" borderId="2" xfId="0" applyNumberFormat="1" applyFont="1" applyFill="1" applyBorder="1" applyAlignment="1">
      <alignment horizontal="center" vertical="center"/>
    </xf>
    <xf numFmtId="180" fontId="33" fillId="7" borderId="3" xfId="0" applyNumberFormat="1" applyFont="1" applyFill="1" applyBorder="1" applyAlignment="1">
      <alignment horizontal="center" vertical="center"/>
    </xf>
    <xf numFmtId="180" fontId="33" fillId="7" borderId="4" xfId="0" applyNumberFormat="1" applyFont="1" applyFill="1" applyBorder="1" applyAlignment="1">
      <alignment horizontal="center" vertical="center"/>
    </xf>
    <xf numFmtId="180" fontId="32" fillId="7" borderId="2" xfId="0" applyNumberFormat="1" applyFont="1" applyFill="1" applyBorder="1" applyAlignment="1">
      <alignment horizontal="center" vertical="center"/>
    </xf>
    <xf numFmtId="180" fontId="32" fillId="7" borderId="3" xfId="0" applyNumberFormat="1" applyFont="1" applyFill="1" applyBorder="1" applyAlignment="1">
      <alignment horizontal="center" vertical="center"/>
    </xf>
    <xf numFmtId="180" fontId="32" fillId="7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58" fontId="0" fillId="7" borderId="1" xfId="0" applyNumberFormat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37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58" fontId="53" fillId="7" borderId="4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58" fontId="31" fillId="7" borderId="4" xfId="0" applyNumberFormat="1" applyFont="1" applyFill="1" applyBorder="1" applyAlignment="1">
      <alignment horizontal="left" vertical="center"/>
    </xf>
    <xf numFmtId="0" fontId="31" fillId="7" borderId="1" xfId="0" applyFont="1" applyFill="1" applyBorder="1">
      <alignment vertical="center"/>
    </xf>
    <xf numFmtId="0" fontId="11" fillId="0" borderId="11" xfId="0" applyFont="1" applyFill="1" applyBorder="1" applyAlignment="1">
      <alignment horizontal="right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177" fontId="11" fillId="0" borderId="9" xfId="0" applyNumberFormat="1" applyFont="1" applyFill="1" applyBorder="1" applyAlignment="1">
      <alignment vertical="center"/>
    </xf>
    <xf numFmtId="179" fontId="22" fillId="3" borderId="5" xfId="54" applyNumberFormat="1" applyFont="1" applyFill="1" applyBorder="1" applyAlignment="1">
      <alignment horizontal="left" vertical="top" wrapText="1"/>
    </xf>
    <xf numFmtId="179" fontId="10" fillId="3" borderId="17" xfId="54" applyNumberFormat="1" applyFont="1" applyFill="1" applyBorder="1" applyAlignment="1">
      <alignment horizontal="left" vertical="top" wrapText="1"/>
    </xf>
    <xf numFmtId="179" fontId="10" fillId="3" borderId="9" xfId="54" applyNumberFormat="1" applyFont="1" applyFill="1" applyBorder="1" applyAlignment="1">
      <alignment horizontal="left" vertical="top" wrapText="1"/>
    </xf>
    <xf numFmtId="58" fontId="49" fillId="3" borderId="1" xfId="54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/>
    </xf>
    <xf numFmtId="179" fontId="24" fillId="2" borderId="1" xfId="54" applyNumberFormat="1" applyFont="1" applyFill="1" applyBorder="1" applyAlignment="1">
      <alignment horizontal="left" vertical="center"/>
    </xf>
    <xf numFmtId="58" fontId="18" fillId="3" borderId="1" xfId="54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178" fontId="54" fillId="7" borderId="1" xfId="0" applyNumberFormat="1" applyFont="1" applyFill="1" applyBorder="1" applyAlignment="1">
      <alignment horizontal="center" vertical="center"/>
    </xf>
    <xf numFmtId="178" fontId="18" fillId="3" borderId="1" xfId="54" applyNumberFormat="1" applyFont="1" applyFill="1" applyBorder="1" applyAlignment="1">
      <alignment horizontal="left" vertical="center" wrapText="1"/>
    </xf>
    <xf numFmtId="58" fontId="26" fillId="7" borderId="1" xfId="0" applyNumberFormat="1" applyFont="1" applyFill="1" applyBorder="1" applyAlignment="1">
      <alignment horizontal="left" vertical="center"/>
    </xf>
    <xf numFmtId="178" fontId="22" fillId="3" borderId="1" xfId="54" applyNumberFormat="1" applyFont="1" applyFill="1" applyBorder="1" applyAlignment="1">
      <alignment horizontal="center" vertical="center" wrapText="1"/>
    </xf>
    <xf numFmtId="178" fontId="22" fillId="3" borderId="1" xfId="54" applyNumberFormat="1" applyFont="1" applyFill="1" applyBorder="1" applyAlignment="1">
      <alignment horizontal="left" vertical="center" wrapText="1"/>
    </xf>
    <xf numFmtId="180" fontId="55" fillId="7" borderId="1" xfId="0" applyNumberFormat="1" applyFont="1" applyFill="1" applyBorder="1" applyAlignment="1">
      <alignment horizontal="center" vertical="center"/>
    </xf>
    <xf numFmtId="0" fontId="55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80" fontId="54" fillId="7" borderId="1" xfId="0" applyNumberFormat="1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178" fontId="55" fillId="7" borderId="1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180" fontId="0" fillId="7" borderId="1" xfId="0" applyNumberFormat="1" applyFont="1" applyFill="1" applyBorder="1" applyAlignment="1">
      <alignment horizontal="center" vertical="center"/>
    </xf>
    <xf numFmtId="0" fontId="56" fillId="0" borderId="20" xfId="0" applyFont="1" applyFill="1" applyBorder="1" applyAlignment="1">
      <alignment horizontal="center" vertical="center" wrapText="1"/>
    </xf>
    <xf numFmtId="0" fontId="56" fillId="0" borderId="15" xfId="0" applyFont="1" applyFill="1" applyBorder="1" applyAlignment="1">
      <alignment horizontal="center" vertical="center" wrapText="1" indent="1"/>
    </xf>
    <xf numFmtId="0" fontId="56" fillId="0" borderId="15" xfId="0" applyFont="1" applyFill="1" applyBorder="1" applyAlignment="1">
      <alignment horizontal="center" vertical="center" wrapText="1"/>
    </xf>
    <xf numFmtId="0" fontId="57" fillId="0" borderId="0" xfId="0" applyFont="1" applyFill="1" applyAlignment="1">
      <alignment vertical="center"/>
    </xf>
    <xf numFmtId="0" fontId="56" fillId="0" borderId="21" xfId="0" applyFont="1" applyFill="1" applyBorder="1" applyAlignment="1">
      <alignment horizontal="center" vertical="center" wrapText="1"/>
    </xf>
    <xf numFmtId="8" fontId="56" fillId="0" borderId="16" xfId="0" applyNumberFormat="1" applyFont="1" applyFill="1" applyBorder="1" applyAlignment="1">
      <alignment horizontal="center" vertical="center" wrapText="1"/>
    </xf>
    <xf numFmtId="0" fontId="56" fillId="0" borderId="16" xfId="0" applyFont="1" applyFill="1" applyBorder="1" applyAlignment="1">
      <alignment horizontal="center" vertical="center" wrapText="1"/>
    </xf>
    <xf numFmtId="57" fontId="56" fillId="0" borderId="21" xfId="0" applyNumberFormat="1" applyFont="1" applyFill="1" applyBorder="1" applyAlignment="1">
      <alignment horizontal="center" vertical="center" wrapText="1"/>
    </xf>
    <xf numFmtId="8" fontId="14" fillId="0" borderId="16" xfId="0" applyNumberFormat="1" applyFont="1" applyFill="1" applyBorder="1" applyAlignment="1">
      <alignment horizontal="center" vertical="center" wrapText="1"/>
    </xf>
    <xf numFmtId="0" fontId="58" fillId="0" borderId="0" xfId="0" applyFont="1" applyFill="1" applyAlignment="1">
      <alignment vertical="center"/>
    </xf>
    <xf numFmtId="0" fontId="56" fillId="0" borderId="22" xfId="0" applyFont="1" applyFill="1" applyBorder="1" applyAlignment="1">
      <alignment horizontal="center" vertical="center" wrapText="1"/>
    </xf>
    <xf numFmtId="0" fontId="56" fillId="0" borderId="23" xfId="0" applyFont="1" applyFill="1" applyBorder="1" applyAlignment="1">
      <alignment horizontal="center" vertical="center" wrapText="1"/>
    </xf>
    <xf numFmtId="57" fontId="56" fillId="0" borderId="22" xfId="0" applyNumberFormat="1" applyFont="1" applyFill="1" applyBorder="1" applyAlignment="1">
      <alignment horizontal="left" vertical="center" wrapText="1"/>
    </xf>
    <xf numFmtId="57" fontId="56" fillId="0" borderId="23" xfId="0" applyNumberFormat="1" applyFont="1" applyFill="1" applyBorder="1" applyAlignment="1">
      <alignment horizontal="left" vertical="center" wrapText="1"/>
    </xf>
    <xf numFmtId="57" fontId="56" fillId="0" borderId="16" xfId="0" applyNumberFormat="1" applyFont="1" applyFill="1" applyBorder="1" applyAlignment="1">
      <alignment horizontal="left" vertical="center" wrapText="1"/>
    </xf>
    <xf numFmtId="57" fontId="14" fillId="0" borderId="21" xfId="0" applyNumberFormat="1" applyFont="1" applyFill="1" applyBorder="1" applyAlignment="1">
      <alignment horizontal="center" vertical="center" wrapText="1"/>
    </xf>
    <xf numFmtId="57" fontId="21" fillId="0" borderId="21" xfId="0" applyNumberFormat="1" applyFont="1" applyFill="1" applyBorder="1" applyAlignment="1">
      <alignment horizontal="center" vertical="center" wrapText="1"/>
    </xf>
    <xf numFmtId="8" fontId="21" fillId="0" borderId="16" xfId="0" applyNumberFormat="1" applyFont="1" applyFill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0" fontId="59" fillId="0" borderId="0" xfId="0" applyFont="1" applyBorder="1">
      <alignment vertical="center"/>
    </xf>
    <xf numFmtId="0" fontId="59" fillId="0" borderId="0" xfId="0" applyFont="1">
      <alignment vertical="center"/>
    </xf>
    <xf numFmtId="0" fontId="4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58" fontId="2" fillId="0" borderId="0" xfId="0" applyNumberFormat="1" applyFont="1" applyBorder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82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4" fontId="2" fillId="0" borderId="0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8" fillId="0" borderId="0" xfId="0" applyFont="1" applyBorder="1">
      <alignment vertical="center"/>
    </xf>
    <xf numFmtId="0" fontId="59" fillId="0" borderId="0" xfId="0" applyFont="1" applyAlignment="1">
      <alignment horizontal="left" vertical="center"/>
    </xf>
    <xf numFmtId="58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182" fontId="59" fillId="0" borderId="0" xfId="0" applyNumberFormat="1" applyFont="1" applyFill="1" applyBorder="1" applyAlignment="1">
      <alignment horizontal="center" vertical="center"/>
    </xf>
    <xf numFmtId="184" fontId="59" fillId="0" borderId="0" xfId="0" applyNumberFormat="1" applyFont="1" applyBorder="1" applyAlignment="1">
      <alignment horizontal="center" vertical="center"/>
    </xf>
    <xf numFmtId="0" fontId="46" fillId="0" borderId="0" xfId="0" applyFont="1" applyBorder="1">
      <alignment vertical="center"/>
    </xf>
    <xf numFmtId="0" fontId="46" fillId="0" borderId="0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9" fillId="0" borderId="14" xfId="0" applyFont="1" applyBorder="1" applyAlignment="1">
      <alignment horizontal="left" vertical="center"/>
    </xf>
    <xf numFmtId="58" fontId="2" fillId="0" borderId="0" xfId="0" applyNumberFormat="1" applyFont="1">
      <alignment vertical="center"/>
    </xf>
    <xf numFmtId="0" fontId="2" fillId="0" borderId="14" xfId="0" applyFont="1" applyBorder="1" applyAlignment="1">
      <alignment horizontal="left" vertical="center"/>
    </xf>
    <xf numFmtId="58" fontId="2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0" fontId="44" fillId="0" borderId="0" xfId="0" applyFont="1">
      <alignment vertical="center"/>
    </xf>
    <xf numFmtId="58" fontId="59" fillId="0" borderId="0" xfId="0" applyNumberFormat="1" applyFont="1">
      <alignment vertical="center"/>
    </xf>
    <xf numFmtId="180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47" fillId="0" borderId="0" xfId="0" applyFont="1" applyBorder="1">
      <alignment vertical="center"/>
    </xf>
    <xf numFmtId="0" fontId="60" fillId="0" borderId="0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/>
    </xf>
    <xf numFmtId="0" fontId="61" fillId="0" borderId="0" xfId="0" applyFont="1" applyAlignment="1">
      <alignment horizontal="center" vertical="center"/>
    </xf>
    <xf numFmtId="184" fontId="46" fillId="0" borderId="0" xfId="0" applyNumberFormat="1" applyFont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4" fontId="5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62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Border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3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61" fillId="0" borderId="0" xfId="0" applyFont="1" applyBorder="1" applyAlignment="1">
      <alignment horizontal="left" vertical="center"/>
    </xf>
    <xf numFmtId="58" fontId="46" fillId="0" borderId="0" xfId="0" applyNumberFormat="1" applyFont="1">
      <alignment vertical="center"/>
    </xf>
    <xf numFmtId="180" fontId="46" fillId="0" borderId="0" xfId="0" applyNumberFormat="1" applyFont="1" applyBorder="1" applyAlignment="1">
      <alignment horizontal="center" vertical="center"/>
    </xf>
    <xf numFmtId="0" fontId="46" fillId="0" borderId="0" xfId="0" applyFont="1" applyBorder="1" applyAlignment="1">
      <alignment vertical="center"/>
    </xf>
    <xf numFmtId="184" fontId="46" fillId="0" borderId="0" xfId="0" applyNumberFormat="1" applyFont="1" applyBorder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29" fillId="0" borderId="0" xfId="0" applyFont="1" applyBorder="1">
      <alignment vertical="center"/>
    </xf>
    <xf numFmtId="0" fontId="64" fillId="0" borderId="0" xfId="0" applyFont="1">
      <alignment vertical="center"/>
    </xf>
    <xf numFmtId="0" fontId="6" fillId="0" borderId="0" xfId="0" applyFont="1" applyAlignment="1">
      <alignment horizontal="left" vertical="center"/>
    </xf>
    <xf numFmtId="58" fontId="59" fillId="0" borderId="0" xfId="0" applyNumberFormat="1" applyFont="1" applyAlignment="1">
      <alignment horizontal="center" vertical="center"/>
    </xf>
    <xf numFmtId="0" fontId="6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" fontId="59" fillId="0" borderId="0" xfId="0" applyNumberFormat="1" applyFont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84" fontId="2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1" xfId="0" applyFont="1" applyBorder="1">
      <alignment vertical="center"/>
    </xf>
    <xf numFmtId="184" fontId="59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185" fontId="44" fillId="0" borderId="1" xfId="0" applyNumberFormat="1" applyFont="1" applyFill="1" applyBorder="1" applyAlignment="1">
      <alignment horizontal="left" vertical="center"/>
    </xf>
    <xf numFmtId="186" fontId="44" fillId="0" borderId="1" xfId="0" applyNumberFormat="1" applyFont="1" applyFill="1" applyBorder="1" applyAlignment="1">
      <alignment horizontal="left" vertical="center"/>
    </xf>
    <xf numFmtId="177" fontId="46" fillId="0" borderId="1" xfId="0" applyNumberFormat="1" applyFont="1" applyBorder="1" applyAlignment="1">
      <alignment horizontal="center" vertical="center"/>
    </xf>
    <xf numFmtId="0" fontId="44" fillId="0" borderId="24" xfId="0" applyNumberFormat="1" applyFont="1" applyFill="1" applyBorder="1" applyAlignment="1">
      <alignment horizontal="center" vertical="center" textRotation="255"/>
    </xf>
    <xf numFmtId="0" fontId="44" fillId="0" borderId="13" xfId="0" applyNumberFormat="1" applyFont="1" applyBorder="1" applyAlignment="1">
      <alignment horizontal="left" vertical="center" wrapText="1"/>
    </xf>
    <xf numFmtId="0" fontId="44" fillId="0" borderId="14" xfId="0" applyNumberFormat="1" applyFont="1" applyBorder="1" applyAlignment="1">
      <alignment horizontal="left" vertical="center" wrapText="1"/>
    </xf>
    <xf numFmtId="0" fontId="44" fillId="0" borderId="25" xfId="0" applyNumberFormat="1" applyFont="1" applyFill="1" applyBorder="1" applyAlignment="1">
      <alignment horizontal="center" vertical="center" textRotation="255"/>
    </xf>
    <xf numFmtId="0" fontId="44" fillId="0" borderId="0" xfId="0" applyNumberFormat="1" applyFont="1" applyBorder="1" applyAlignment="1">
      <alignment horizontal="left" vertical="center"/>
    </xf>
    <xf numFmtId="0" fontId="44" fillId="0" borderId="0" xfId="0" applyNumberFormat="1" applyFont="1" applyAlignment="1">
      <alignment horizontal="left" vertical="center"/>
    </xf>
    <xf numFmtId="0" fontId="44" fillId="0" borderId="26" xfId="0" applyNumberFormat="1" applyFont="1" applyBorder="1" applyAlignment="1">
      <alignment horizontal="left" vertical="center"/>
    </xf>
    <xf numFmtId="0" fontId="44" fillId="0" borderId="0" xfId="0" applyNumberFormat="1" applyFont="1">
      <alignment vertical="center"/>
    </xf>
    <xf numFmtId="0" fontId="44" fillId="0" borderId="10" xfId="0" applyNumberFormat="1" applyFont="1" applyFill="1" applyBorder="1" applyAlignment="1">
      <alignment horizontal="center" vertical="center" textRotation="255"/>
    </xf>
    <xf numFmtId="0" fontId="44" fillId="0" borderId="11" xfId="0" applyNumberFormat="1" applyFont="1" applyBorder="1" applyAlignment="1">
      <alignment horizontal="left" vertical="center"/>
    </xf>
    <xf numFmtId="0" fontId="44" fillId="0" borderId="12" xfId="0" applyNumberFormat="1" applyFont="1" applyBorder="1" applyAlignment="1">
      <alignment horizontal="left" vertical="center"/>
    </xf>
    <xf numFmtId="0" fontId="44" fillId="0" borderId="0" xfId="0" applyNumberFormat="1" applyFont="1" applyFill="1" applyAlignment="1">
      <alignment horizontal="left" vertical="center"/>
    </xf>
    <xf numFmtId="177" fontId="0" fillId="0" borderId="0" xfId="0" applyNumberFormat="1" applyFont="1" applyBorder="1" applyAlignment="1">
      <alignment horizontal="left" vertical="center"/>
    </xf>
    <xf numFmtId="0" fontId="65" fillId="0" borderId="0" xfId="0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5" xfId="0" applyNumberFormat="1" applyFont="1" applyBorder="1" applyAlignment="1">
      <alignment horizontal="center" vertical="center"/>
    </xf>
    <xf numFmtId="0" fontId="46" fillId="0" borderId="1" xfId="0" applyFont="1" applyBorder="1">
      <alignment vertical="center"/>
    </xf>
    <xf numFmtId="184" fontId="46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17" fontId="46" fillId="0" borderId="1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3" fillId="0" borderId="26" xfId="0" applyFont="1" applyBorder="1" applyAlignment="1">
      <alignment vertical="center"/>
    </xf>
    <xf numFmtId="17" fontId="59" fillId="0" borderId="1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187" fontId="44" fillId="0" borderId="1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vertical="center"/>
    </xf>
    <xf numFmtId="0" fontId="1" fillId="0" borderId="0" xfId="0" applyFont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9" fillId="0" borderId="0" xfId="0" applyFont="1">
      <alignment vertical="center"/>
    </xf>
    <xf numFmtId="0" fontId="61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59" fillId="0" borderId="0" xfId="0" applyFont="1" applyBorder="1" applyAlignment="1">
      <alignment vertical="center"/>
    </xf>
    <xf numFmtId="0" fontId="5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70" fillId="0" borderId="0" xfId="0" applyFont="1">
      <alignment vertical="center"/>
    </xf>
    <xf numFmtId="0" fontId="59" fillId="0" borderId="0" xfId="0" applyFont="1" applyAlignment="1">
      <alignment horizontal="center" vertical="center" wrapText="1"/>
    </xf>
    <xf numFmtId="58" fontId="2" fillId="0" borderId="0" xfId="0" applyNumberFormat="1" applyFont="1" applyBorder="1">
      <alignment vertical="center"/>
    </xf>
    <xf numFmtId="184" fontId="61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66" fillId="0" borderId="0" xfId="0" applyFont="1" applyBorder="1" applyAlignment="1">
      <alignment horizontal="left" vertical="center"/>
    </xf>
    <xf numFmtId="0" fontId="9" fillId="0" borderId="0" xfId="0" applyFont="1">
      <alignment vertical="center"/>
    </xf>
    <xf numFmtId="184" fontId="61" fillId="0" borderId="0" xfId="0" applyNumberFormat="1" applyFont="1" applyBorder="1" applyAlignment="1">
      <alignment horizontal="center" vertical="center"/>
    </xf>
    <xf numFmtId="17" fontId="61" fillId="0" borderId="0" xfId="0" applyNumberFormat="1" applyFont="1" applyAlignment="1">
      <alignment horizontal="center" vertical="center"/>
    </xf>
    <xf numFmtId="0" fontId="61" fillId="0" borderId="0" xfId="0" applyFont="1" applyBorder="1" applyAlignment="1">
      <alignment horizontal="center" vertical="center"/>
    </xf>
    <xf numFmtId="0" fontId="55" fillId="0" borderId="0" xfId="0" applyFont="1" applyBorder="1" applyAlignment="1">
      <alignment horizontal="left" vertical="center"/>
    </xf>
    <xf numFmtId="17" fontId="46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53" fillId="0" borderId="0" xfId="0" applyFont="1">
      <alignment vertical="center"/>
    </xf>
    <xf numFmtId="0" fontId="46" fillId="0" borderId="0" xfId="0" applyFont="1" applyAlignment="1">
      <alignment vertical="center"/>
    </xf>
    <xf numFmtId="58" fontId="59" fillId="0" borderId="0" xfId="0" applyNumberFormat="1" applyFont="1" applyBorder="1">
      <alignment vertical="center"/>
    </xf>
    <xf numFmtId="0" fontId="62" fillId="0" borderId="0" xfId="0" applyFont="1" applyBorder="1" applyAlignment="1">
      <alignment horizontal="center" vertical="center"/>
    </xf>
    <xf numFmtId="17" fontId="62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58" fontId="68" fillId="0" borderId="0" xfId="0" applyNumberFormat="1" applyFont="1">
      <alignment vertical="center"/>
    </xf>
    <xf numFmtId="180" fontId="68" fillId="0" borderId="0" xfId="0" applyNumberFormat="1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Border="1" applyAlignment="1">
      <alignment horizontal="center" vertical="center"/>
    </xf>
    <xf numFmtId="184" fontId="68" fillId="0" borderId="0" xfId="0" applyNumberFormat="1" applyFont="1" applyAlignment="1">
      <alignment horizontal="center" vertical="center"/>
    </xf>
    <xf numFmtId="184" fontId="68" fillId="0" borderId="0" xfId="0" applyNumberFormat="1" applyFont="1" applyBorder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8" fillId="0" borderId="0" xfId="0" applyFont="1" applyBorder="1" applyAlignment="1">
      <alignment horizontal="left" vertical="center"/>
    </xf>
    <xf numFmtId="0" fontId="72" fillId="0" borderId="0" xfId="0" applyFont="1">
      <alignment vertical="center"/>
    </xf>
    <xf numFmtId="17" fontId="68" fillId="0" borderId="0" xfId="0" applyNumberFormat="1" applyFont="1" applyAlignment="1">
      <alignment horizontal="center" vertical="center"/>
    </xf>
    <xf numFmtId="0" fontId="71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58" fontId="69" fillId="0" borderId="0" xfId="0" applyNumberFormat="1" applyFont="1">
      <alignment vertical="center"/>
    </xf>
    <xf numFmtId="180" fontId="69" fillId="0" borderId="0" xfId="0" applyNumberFormat="1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184" fontId="69" fillId="0" borderId="0" xfId="0" applyNumberFormat="1" applyFont="1" applyAlignment="1">
      <alignment horizontal="center" vertical="center"/>
    </xf>
    <xf numFmtId="184" fontId="69" fillId="0" borderId="0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69" fillId="0" borderId="0" xfId="0" applyFont="1" applyBorder="1" applyAlignment="1">
      <alignment horizontal="left" vertical="center"/>
    </xf>
    <xf numFmtId="0" fontId="74" fillId="0" borderId="0" xfId="0" applyFont="1">
      <alignment vertical="center"/>
    </xf>
    <xf numFmtId="0" fontId="2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58" fontId="61" fillId="0" borderId="0" xfId="0" applyNumberFormat="1" applyFont="1">
      <alignment vertical="center"/>
    </xf>
    <xf numFmtId="180" fontId="61" fillId="0" borderId="0" xfId="0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75" fillId="0" borderId="0" xfId="0" applyFont="1">
      <alignment vertical="center"/>
    </xf>
    <xf numFmtId="58" fontId="46" fillId="0" borderId="0" xfId="0" applyNumberFormat="1" applyFont="1" applyBorder="1">
      <alignment vertical="center"/>
    </xf>
    <xf numFmtId="0" fontId="2" fillId="0" borderId="0" xfId="0" applyFont="1" applyAlignment="1">
      <alignment vertical="center"/>
    </xf>
    <xf numFmtId="0" fontId="5" fillId="0" borderId="0" xfId="0" applyFont="1">
      <alignment vertical="center"/>
    </xf>
    <xf numFmtId="0" fontId="22" fillId="0" borderId="0" xfId="0" applyFont="1">
      <alignment vertical="center"/>
    </xf>
    <xf numFmtId="0" fontId="59" fillId="0" borderId="0" xfId="0" applyFont="1" applyAlignment="1">
      <alignment vertical="center"/>
    </xf>
    <xf numFmtId="184" fontId="46" fillId="0" borderId="0" xfId="0" applyNumberFormat="1" applyFont="1" applyBorder="1" applyAlignment="1">
      <alignment horizontal="left" vertical="center"/>
    </xf>
    <xf numFmtId="0" fontId="59" fillId="0" borderId="0" xfId="0" applyFont="1" applyAlignment="1" quotePrefix="1">
      <alignment horizontal="center" vertical="center"/>
    </xf>
    <xf numFmtId="0" fontId="2" fillId="0" borderId="0" xfId="0" applyFont="1" applyAlignment="1" quotePrefix="1">
      <alignment horizontal="center" vertical="center"/>
    </xf>
    <xf numFmtId="0" fontId="0" fillId="0" borderId="0" xfId="0" applyFont="1" quotePrefix="1">
      <alignment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6 3 2 3 5 2" xfId="49"/>
    <cellStyle name="适中 2 7 4 3" xfId="50"/>
    <cellStyle name="常规 36 2 7 3 2" xfId="51"/>
    <cellStyle name="差_Sheet1" xfId="52"/>
    <cellStyle name="适中 2 13 4" xfId="53"/>
    <cellStyle name="常规 10 10 4" xfId="54"/>
    <cellStyle name="常规 33 2 2 2" xfId="55"/>
    <cellStyle name="好_Sheet1 2" xfId="56"/>
    <cellStyle name="常规 34_Sheet1" xfId="57"/>
    <cellStyle name="货币 4 3 2" xfId="58"/>
    <cellStyle name="常规 43" xfId="59"/>
    <cellStyle name="常规 44_Sheet1" xfId="60"/>
  </cellStyles>
  <tableStyles count="1" defaultTableStyle="TableStyleMedium9" defaultPivotStyle="PivotStyleLight16">
    <tableStyle name="表样式 1" pivot="0" count="0" xr9:uid="{0F2DB99D-B723-48AB-97C2-8FA479D9D8D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10"/>
  <sheetViews>
    <sheetView topLeftCell="A350" workbookViewId="0">
      <selection activeCell="D357" sqref="D357:L360"/>
    </sheetView>
  </sheetViews>
  <sheetFormatPr defaultColWidth="9" defaultRowHeight="14.25"/>
  <cols>
    <col min="1" max="1" width="19" customWidth="1"/>
    <col min="2" max="2" width="16" customWidth="1"/>
    <col min="3" max="3" width="14.25" customWidth="1"/>
    <col min="6" max="6" width="5.25" customWidth="1"/>
    <col min="7" max="7" width="35" customWidth="1"/>
    <col min="11" max="11" width="9.875"/>
    <col min="12" max="12" width="14.25" customWidth="1"/>
    <col min="13" max="13" width="12.875" customWidth="1"/>
    <col min="14" max="14" width="12.875"/>
    <col min="17" max="17" width="9.125"/>
  </cols>
  <sheetData>
    <row r="1" s="474" customFormat="1" ht="20.25" spans="1:17">
      <c r="A1" s="514" t="s">
        <v>0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79"/>
      <c r="N1" s="527"/>
      <c r="O1" s="524"/>
      <c r="P1" s="526"/>
      <c r="Q1" s="526"/>
    </row>
    <row r="2" s="474" customFormat="1" ht="20.25" spans="1:17">
      <c r="A2" s="514"/>
      <c r="B2" s="514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79"/>
      <c r="N2" s="527"/>
      <c r="O2" s="524"/>
      <c r="P2" s="526"/>
      <c r="Q2" s="526"/>
    </row>
    <row r="3" s="473" customFormat="1" ht="20.25" spans="1:17">
      <c r="A3" s="473" t="s">
        <v>1</v>
      </c>
      <c r="B3" s="501">
        <v>45659</v>
      </c>
      <c r="C3" s="510">
        <v>2</v>
      </c>
      <c r="D3" s="488" t="s">
        <v>2</v>
      </c>
      <c r="E3" s="488"/>
      <c r="F3" s="488"/>
      <c r="G3" s="472" t="s">
        <v>3</v>
      </c>
      <c r="H3" s="488">
        <v>2</v>
      </c>
      <c r="I3" s="488">
        <v>25</v>
      </c>
      <c r="J3" s="488">
        <f t="shared" ref="J3:J25" si="0">H3*I3</f>
        <v>50</v>
      </c>
      <c r="K3" s="491">
        <v>17</v>
      </c>
      <c r="L3" s="491">
        <f t="shared" ref="L3:L39" si="1">J3*K3</f>
        <v>850</v>
      </c>
      <c r="M3" s="485" t="s">
        <v>4</v>
      </c>
      <c r="N3" s="485"/>
      <c r="O3" s="485"/>
      <c r="P3" s="489"/>
      <c r="Q3" s="513"/>
    </row>
    <row r="4" s="473" customFormat="1" ht="20.25" spans="1:17">
      <c r="A4" s="473" t="s">
        <v>1</v>
      </c>
      <c r="B4" s="501">
        <v>45659</v>
      </c>
      <c r="C4" s="510">
        <v>2</v>
      </c>
      <c r="D4" s="494" t="s">
        <v>5</v>
      </c>
      <c r="E4" s="494"/>
      <c r="F4" s="494"/>
      <c r="G4" s="580" t="s">
        <v>6</v>
      </c>
      <c r="H4" s="494">
        <v>2</v>
      </c>
      <c r="I4" s="494">
        <v>26</v>
      </c>
      <c r="J4" s="488">
        <f t="shared" si="0"/>
        <v>52</v>
      </c>
      <c r="K4" s="511">
        <v>18</v>
      </c>
      <c r="L4" s="491">
        <f t="shared" si="1"/>
        <v>936</v>
      </c>
      <c r="M4" s="485"/>
      <c r="N4" s="494"/>
      <c r="O4" s="489"/>
      <c r="P4" s="513"/>
      <c r="Q4" s="513"/>
    </row>
    <row r="5" s="473" customFormat="1" ht="20.25" spans="1:17">
      <c r="A5" s="473" t="s">
        <v>1</v>
      </c>
      <c r="B5" s="501">
        <v>45659</v>
      </c>
      <c r="C5" s="510">
        <v>2</v>
      </c>
      <c r="D5" s="494" t="s">
        <v>7</v>
      </c>
      <c r="E5" s="494"/>
      <c r="F5" s="494"/>
      <c r="G5" s="473" t="s">
        <v>8</v>
      </c>
      <c r="H5" s="494">
        <v>1</v>
      </c>
      <c r="I5" s="494">
        <v>9</v>
      </c>
      <c r="J5" s="488">
        <f t="shared" si="0"/>
        <v>9</v>
      </c>
      <c r="K5" s="511">
        <v>17</v>
      </c>
      <c r="L5" s="491">
        <f t="shared" si="1"/>
        <v>153</v>
      </c>
      <c r="M5" s="485"/>
      <c r="N5" s="494"/>
      <c r="O5" s="489"/>
      <c r="P5" s="513"/>
      <c r="Q5" s="513"/>
    </row>
    <row r="6" s="473" customFormat="1" ht="19" customHeight="1" spans="1:17">
      <c r="A6" s="473" t="s">
        <v>1</v>
      </c>
      <c r="B6" s="501">
        <v>45659</v>
      </c>
      <c r="C6" s="510">
        <v>2</v>
      </c>
      <c r="D6" s="494" t="s">
        <v>9</v>
      </c>
      <c r="E6" s="494"/>
      <c r="F6" s="494"/>
      <c r="G6" s="473" t="s">
        <v>10</v>
      </c>
      <c r="H6" s="494">
        <v>3</v>
      </c>
      <c r="I6" s="494">
        <v>20</v>
      </c>
      <c r="J6" s="488">
        <f t="shared" si="0"/>
        <v>60</v>
      </c>
      <c r="K6" s="511">
        <v>17</v>
      </c>
      <c r="L6" s="491">
        <f t="shared" si="1"/>
        <v>1020</v>
      </c>
      <c r="M6" s="581"/>
      <c r="N6" s="485">
        <f>SUM(L3:L6)</f>
        <v>2959</v>
      </c>
      <c r="O6" s="489"/>
      <c r="P6" s="513"/>
      <c r="Q6" s="513"/>
    </row>
    <row r="7" s="2" customFormat="1" ht="20.25" spans="1:17">
      <c r="A7" s="2" t="s">
        <v>1</v>
      </c>
      <c r="B7" s="496">
        <v>45660</v>
      </c>
      <c r="C7" s="502" t="s">
        <v>11</v>
      </c>
      <c r="D7" s="481" t="s">
        <v>12</v>
      </c>
      <c r="E7" s="481"/>
      <c r="F7" s="481"/>
      <c r="G7" s="2" t="s">
        <v>13</v>
      </c>
      <c r="H7" s="481">
        <v>1</v>
      </c>
      <c r="I7" s="481">
        <v>6</v>
      </c>
      <c r="J7" s="478">
        <f t="shared" si="0"/>
        <v>6</v>
      </c>
      <c r="K7" s="499">
        <v>25</v>
      </c>
      <c r="L7" s="482">
        <f t="shared" si="1"/>
        <v>150</v>
      </c>
      <c r="M7" s="475"/>
      <c r="N7" s="475"/>
      <c r="O7" s="479"/>
      <c r="P7" s="500"/>
      <c r="Q7" s="500"/>
    </row>
    <row r="8" s="2" customFormat="1" ht="20.25" spans="1:17">
      <c r="A8" s="2" t="s">
        <v>1</v>
      </c>
      <c r="B8" s="496">
        <v>45660</v>
      </c>
      <c r="C8" s="502" t="s">
        <v>11</v>
      </c>
      <c r="D8" s="481" t="s">
        <v>14</v>
      </c>
      <c r="E8" s="481"/>
      <c r="F8" s="481"/>
      <c r="G8" s="2" t="s">
        <v>15</v>
      </c>
      <c r="H8" s="481">
        <v>1</v>
      </c>
      <c r="I8" s="481">
        <v>19</v>
      </c>
      <c r="J8" s="478">
        <f t="shared" si="0"/>
        <v>19</v>
      </c>
      <c r="K8" s="499">
        <v>25</v>
      </c>
      <c r="L8" s="482">
        <f t="shared" si="1"/>
        <v>475</v>
      </c>
      <c r="M8" s="475"/>
      <c r="N8" s="475">
        <f>SUM(L7:L8)</f>
        <v>625</v>
      </c>
      <c r="O8" s="479"/>
      <c r="P8" s="500"/>
      <c r="Q8" s="500"/>
    </row>
    <row r="9" s="2" customFormat="1" ht="19" customHeight="1" spans="1:17">
      <c r="A9" s="2" t="s">
        <v>1</v>
      </c>
      <c r="B9" s="496">
        <v>45661</v>
      </c>
      <c r="C9" s="502">
        <v>12</v>
      </c>
      <c r="D9" s="481" t="s">
        <v>16</v>
      </c>
      <c r="E9" s="481"/>
      <c r="F9" s="481"/>
      <c r="G9" s="500" t="s">
        <v>17</v>
      </c>
      <c r="H9" s="481">
        <v>1</v>
      </c>
      <c r="I9" s="481">
        <v>25</v>
      </c>
      <c r="J9" s="478">
        <f t="shared" si="0"/>
        <v>25</v>
      </c>
      <c r="K9" s="499">
        <v>17</v>
      </c>
      <c r="L9" s="482">
        <f t="shared" si="1"/>
        <v>425</v>
      </c>
      <c r="M9" s="582" t="s">
        <v>18</v>
      </c>
      <c r="N9" s="475"/>
      <c r="O9" s="479"/>
      <c r="P9" s="500"/>
      <c r="Q9" s="500"/>
    </row>
    <row r="10" s="2" customFormat="1" ht="19" customHeight="1" spans="1:17">
      <c r="A10" s="2" t="s">
        <v>1</v>
      </c>
      <c r="B10" s="496">
        <v>45661</v>
      </c>
      <c r="C10" s="502">
        <v>12</v>
      </c>
      <c r="D10" s="481" t="s">
        <v>19</v>
      </c>
      <c r="E10" s="481"/>
      <c r="F10" s="481"/>
      <c r="G10" s="500" t="s">
        <v>20</v>
      </c>
      <c r="H10" s="481">
        <v>1</v>
      </c>
      <c r="I10" s="481">
        <v>25</v>
      </c>
      <c r="J10" s="478">
        <f t="shared" si="0"/>
        <v>25</v>
      </c>
      <c r="K10" s="499">
        <v>17</v>
      </c>
      <c r="L10" s="482">
        <f t="shared" si="1"/>
        <v>425</v>
      </c>
      <c r="M10" s="582" t="s">
        <v>18</v>
      </c>
      <c r="N10" s="475"/>
      <c r="O10" s="479"/>
      <c r="P10" s="500"/>
      <c r="Q10" s="500"/>
    </row>
    <row r="11" s="2" customFormat="1" ht="19" customHeight="1" spans="1:17">
      <c r="A11" s="2" t="s">
        <v>1</v>
      </c>
      <c r="B11" s="496">
        <v>45661</v>
      </c>
      <c r="C11" s="502">
        <v>12</v>
      </c>
      <c r="D11" s="481" t="s">
        <v>21</v>
      </c>
      <c r="E11" s="481"/>
      <c r="F11" s="481"/>
      <c r="G11" s="2" t="s">
        <v>22</v>
      </c>
      <c r="H11" s="481">
        <v>1</v>
      </c>
      <c r="I11" s="481">
        <v>18</v>
      </c>
      <c r="J11" s="478">
        <f t="shared" si="0"/>
        <v>18</v>
      </c>
      <c r="K11" s="499">
        <v>9.5</v>
      </c>
      <c r="L11" s="482">
        <f t="shared" si="1"/>
        <v>171</v>
      </c>
      <c r="M11" s="582"/>
      <c r="N11" s="475"/>
      <c r="O11" s="479"/>
      <c r="P11" s="500"/>
      <c r="Q11" s="500"/>
    </row>
    <row r="12" s="2" customFormat="1" ht="20.25" spans="1:17">
      <c r="A12" s="2" t="s">
        <v>1</v>
      </c>
      <c r="B12" s="496">
        <v>45661</v>
      </c>
      <c r="C12" s="502">
        <v>12</v>
      </c>
      <c r="D12" s="481" t="s">
        <v>23</v>
      </c>
      <c r="E12" s="481"/>
      <c r="F12" s="481"/>
      <c r="G12" s="2" t="s">
        <v>24</v>
      </c>
      <c r="H12" s="481">
        <v>1</v>
      </c>
      <c r="I12" s="481">
        <v>26</v>
      </c>
      <c r="J12" s="478">
        <f t="shared" si="0"/>
        <v>26</v>
      </c>
      <c r="K12" s="499">
        <v>18</v>
      </c>
      <c r="L12" s="482">
        <f t="shared" si="1"/>
        <v>468</v>
      </c>
      <c r="M12" s="583"/>
      <c r="N12" s="475">
        <f t="shared" ref="N12:N15" si="2">SUM(L9:L12)</f>
        <v>1489</v>
      </c>
      <c r="O12" s="479"/>
      <c r="P12" s="500"/>
      <c r="Q12" s="500"/>
    </row>
    <row r="13" s="473" customFormat="1" ht="19" customHeight="1" spans="1:17">
      <c r="A13" s="473" t="s">
        <v>1</v>
      </c>
      <c r="B13" s="501">
        <v>45661</v>
      </c>
      <c r="C13" s="510" t="s">
        <v>25</v>
      </c>
      <c r="D13" s="494" t="s">
        <v>26</v>
      </c>
      <c r="E13" s="494"/>
      <c r="F13" s="494"/>
      <c r="G13" s="473" t="s">
        <v>27</v>
      </c>
      <c r="H13" s="494">
        <v>1</v>
      </c>
      <c r="I13" s="494">
        <v>2.5</v>
      </c>
      <c r="J13" s="488">
        <f t="shared" si="0"/>
        <v>2.5</v>
      </c>
      <c r="K13" s="511">
        <v>48</v>
      </c>
      <c r="L13" s="491">
        <f t="shared" si="1"/>
        <v>120</v>
      </c>
      <c r="M13" s="581"/>
      <c r="N13" s="485"/>
      <c r="O13" s="489"/>
      <c r="P13" s="513"/>
      <c r="Q13" s="513"/>
    </row>
    <row r="14" s="473" customFormat="1" ht="19" customHeight="1" spans="1:17">
      <c r="A14" s="473" t="s">
        <v>1</v>
      </c>
      <c r="B14" s="501">
        <v>45661</v>
      </c>
      <c r="C14" s="510" t="s">
        <v>25</v>
      </c>
      <c r="D14" s="494"/>
      <c r="E14" s="494"/>
      <c r="F14" s="494"/>
      <c r="G14" s="473" t="s">
        <v>28</v>
      </c>
      <c r="H14" s="494">
        <v>1</v>
      </c>
      <c r="I14" s="494">
        <v>20</v>
      </c>
      <c r="J14" s="488">
        <f t="shared" si="0"/>
        <v>20</v>
      </c>
      <c r="K14" s="511">
        <v>17</v>
      </c>
      <c r="L14" s="491">
        <f t="shared" si="1"/>
        <v>340</v>
      </c>
      <c r="M14" s="581" t="s">
        <v>29</v>
      </c>
      <c r="N14" s="485">
        <f t="shared" si="2"/>
        <v>1099</v>
      </c>
      <c r="O14" s="489"/>
      <c r="P14" s="513"/>
      <c r="Q14" s="513"/>
    </row>
    <row r="15" s="474" customFormat="1" ht="19" customHeight="1" spans="1:17">
      <c r="A15" s="474" t="s">
        <v>30</v>
      </c>
      <c r="B15" s="520">
        <v>45664</v>
      </c>
      <c r="C15" s="521">
        <v>23</v>
      </c>
      <c r="D15" s="514"/>
      <c r="E15" s="514"/>
      <c r="F15" s="514"/>
      <c r="G15" s="474" t="s">
        <v>31</v>
      </c>
      <c r="H15" s="514">
        <v>1</v>
      </c>
      <c r="I15" s="514">
        <v>1</v>
      </c>
      <c r="J15" s="493">
        <f t="shared" si="0"/>
        <v>1</v>
      </c>
      <c r="K15" s="509">
        <v>48</v>
      </c>
      <c r="L15" s="523">
        <f t="shared" si="1"/>
        <v>48</v>
      </c>
      <c r="M15" s="584"/>
      <c r="N15" s="524">
        <f t="shared" si="2"/>
        <v>976</v>
      </c>
      <c r="O15" s="515"/>
      <c r="P15" s="526"/>
      <c r="Q15" s="526"/>
    </row>
    <row r="16" s="2" customFormat="1" ht="20.25" spans="1:17">
      <c r="A16" s="2" t="s">
        <v>32</v>
      </c>
      <c r="B16" s="496">
        <v>45664</v>
      </c>
      <c r="C16" s="502">
        <v>29</v>
      </c>
      <c r="D16" s="481" t="s">
        <v>33</v>
      </c>
      <c r="E16" s="481"/>
      <c r="F16" s="481"/>
      <c r="G16" s="503" t="s">
        <v>34</v>
      </c>
      <c r="H16" s="481">
        <v>1</v>
      </c>
      <c r="I16" s="481">
        <v>16</v>
      </c>
      <c r="J16" s="478">
        <f t="shared" si="0"/>
        <v>16</v>
      </c>
      <c r="K16" s="499">
        <v>17</v>
      </c>
      <c r="L16" s="499">
        <f t="shared" si="1"/>
        <v>272</v>
      </c>
      <c r="M16" s="475" t="s">
        <v>18</v>
      </c>
      <c r="N16" s="481"/>
      <c r="O16" s="479"/>
      <c r="P16" s="500"/>
      <c r="Q16" s="500"/>
    </row>
    <row r="17" s="2" customFormat="1" ht="19" customHeight="1" spans="1:17">
      <c r="A17" s="2" t="s">
        <v>32</v>
      </c>
      <c r="B17" s="496">
        <v>45664</v>
      </c>
      <c r="C17" s="502">
        <v>29</v>
      </c>
      <c r="D17" s="481" t="s">
        <v>9</v>
      </c>
      <c r="E17" s="481"/>
      <c r="F17" s="481"/>
      <c r="G17" s="2" t="s">
        <v>10</v>
      </c>
      <c r="H17" s="481">
        <v>1</v>
      </c>
      <c r="I17" s="481">
        <v>10</v>
      </c>
      <c r="J17" s="478">
        <f t="shared" si="0"/>
        <v>10</v>
      </c>
      <c r="K17" s="499">
        <v>17</v>
      </c>
      <c r="L17" s="482">
        <f t="shared" si="1"/>
        <v>170</v>
      </c>
      <c r="M17" s="582"/>
      <c r="N17" s="475">
        <f>SUM(L15:L17)</f>
        <v>490</v>
      </c>
      <c r="O17" s="479"/>
      <c r="P17" s="500"/>
      <c r="Q17" s="500"/>
    </row>
    <row r="18" s="473" customFormat="1" ht="20.25" spans="1:17">
      <c r="A18" s="473" t="s">
        <v>1</v>
      </c>
      <c r="B18" s="501">
        <v>45668</v>
      </c>
      <c r="C18" s="510">
        <v>36</v>
      </c>
      <c r="D18" s="494" t="s">
        <v>35</v>
      </c>
      <c r="E18" s="494"/>
      <c r="F18" s="494"/>
      <c r="G18" s="473" t="s">
        <v>36</v>
      </c>
      <c r="H18" s="494">
        <v>1</v>
      </c>
      <c r="I18" s="494">
        <v>11</v>
      </c>
      <c r="J18" s="488">
        <f t="shared" si="0"/>
        <v>11</v>
      </c>
      <c r="K18" s="511">
        <v>25</v>
      </c>
      <c r="L18" s="491">
        <f t="shared" si="1"/>
        <v>275</v>
      </c>
      <c r="M18" s="485"/>
      <c r="N18" s="485"/>
      <c r="O18" s="485" t="s">
        <v>37</v>
      </c>
      <c r="P18" s="489"/>
      <c r="Q18" s="513"/>
    </row>
    <row r="19" s="473" customFormat="1" ht="20.25" spans="1:17">
      <c r="A19" s="473" t="s">
        <v>1</v>
      </c>
      <c r="B19" s="501">
        <v>45668</v>
      </c>
      <c r="C19" s="510">
        <v>36</v>
      </c>
      <c r="D19" s="494" t="s">
        <v>5</v>
      </c>
      <c r="E19" s="494"/>
      <c r="F19" s="494"/>
      <c r="G19" s="580" t="s">
        <v>6</v>
      </c>
      <c r="H19" s="494">
        <v>2</v>
      </c>
      <c r="I19" s="494">
        <v>26</v>
      </c>
      <c r="J19" s="488">
        <f t="shared" si="0"/>
        <v>52</v>
      </c>
      <c r="K19" s="511">
        <v>18</v>
      </c>
      <c r="L19" s="491">
        <f t="shared" si="1"/>
        <v>936</v>
      </c>
      <c r="M19" s="485"/>
      <c r="N19" s="494"/>
      <c r="O19" s="489"/>
      <c r="P19" s="513"/>
      <c r="Q19" s="513"/>
    </row>
    <row r="20" s="473" customFormat="1" ht="20.25" spans="1:17">
      <c r="A20" s="473" t="s">
        <v>1</v>
      </c>
      <c r="B20" s="501">
        <v>45668</v>
      </c>
      <c r="C20" s="510">
        <v>36</v>
      </c>
      <c r="D20" s="488" t="s">
        <v>2</v>
      </c>
      <c r="E20" s="488"/>
      <c r="F20" s="488"/>
      <c r="G20" s="472" t="s">
        <v>3</v>
      </c>
      <c r="H20" s="488">
        <v>2</v>
      </c>
      <c r="I20" s="488">
        <v>25</v>
      </c>
      <c r="J20" s="488">
        <f t="shared" si="0"/>
        <v>50</v>
      </c>
      <c r="K20" s="491">
        <v>17</v>
      </c>
      <c r="L20" s="491">
        <f t="shared" si="1"/>
        <v>850</v>
      </c>
      <c r="M20" s="485" t="s">
        <v>4</v>
      </c>
      <c r="N20" s="485"/>
      <c r="O20" s="485"/>
      <c r="P20" s="489"/>
      <c r="Q20" s="513"/>
    </row>
    <row r="21" s="473" customFormat="1" ht="20.25" spans="1:17">
      <c r="A21" s="473" t="s">
        <v>1</v>
      </c>
      <c r="B21" s="501">
        <v>45668</v>
      </c>
      <c r="C21" s="510">
        <v>36</v>
      </c>
      <c r="D21" s="488">
        <v>250110</v>
      </c>
      <c r="E21" s="488"/>
      <c r="F21" s="488"/>
      <c r="G21" s="472" t="s">
        <v>38</v>
      </c>
      <c r="H21" s="488">
        <v>1</v>
      </c>
      <c r="I21" s="488">
        <v>2</v>
      </c>
      <c r="J21" s="488">
        <f t="shared" si="0"/>
        <v>2</v>
      </c>
      <c r="K21" s="491">
        <v>17</v>
      </c>
      <c r="L21" s="491">
        <f t="shared" si="1"/>
        <v>34</v>
      </c>
      <c r="M21" s="485" t="s">
        <v>39</v>
      </c>
      <c r="N21" s="485"/>
      <c r="O21" s="485"/>
      <c r="P21" s="489"/>
      <c r="Q21" s="513"/>
    </row>
    <row r="22" s="473" customFormat="1" ht="19" customHeight="1" spans="1:17">
      <c r="A22" s="473" t="s">
        <v>1</v>
      </c>
      <c r="B22" s="501">
        <v>45668</v>
      </c>
      <c r="C22" s="510">
        <v>37</v>
      </c>
      <c r="D22" s="494" t="s">
        <v>9</v>
      </c>
      <c r="E22" s="494"/>
      <c r="F22" s="494"/>
      <c r="G22" s="473" t="s">
        <v>10</v>
      </c>
      <c r="H22" s="494">
        <v>2</v>
      </c>
      <c r="I22" s="494">
        <v>20</v>
      </c>
      <c r="J22" s="488">
        <f t="shared" si="0"/>
        <v>40</v>
      </c>
      <c r="K22" s="511">
        <v>17</v>
      </c>
      <c r="L22" s="491">
        <f t="shared" si="1"/>
        <v>680</v>
      </c>
      <c r="M22" s="581"/>
      <c r="N22" s="485">
        <f>SUM(L18:L22)</f>
        <v>2775</v>
      </c>
      <c r="O22" s="489"/>
      <c r="P22" s="513"/>
      <c r="Q22" s="513"/>
    </row>
    <row r="23" s="2" customFormat="1" ht="20.25" spans="1:17">
      <c r="A23" s="2" t="s">
        <v>40</v>
      </c>
      <c r="B23" s="496">
        <v>45667</v>
      </c>
      <c r="C23" s="502">
        <v>37</v>
      </c>
      <c r="D23" s="481" t="s">
        <v>41</v>
      </c>
      <c r="E23" s="481"/>
      <c r="F23" s="481"/>
      <c r="G23" s="2" t="s">
        <v>42</v>
      </c>
      <c r="H23" s="481">
        <v>1</v>
      </c>
      <c r="I23" s="481">
        <v>25</v>
      </c>
      <c r="J23" s="478">
        <f t="shared" si="0"/>
        <v>25</v>
      </c>
      <c r="K23" s="499">
        <v>17</v>
      </c>
      <c r="L23" s="482">
        <f t="shared" si="1"/>
        <v>425</v>
      </c>
      <c r="M23" s="475"/>
      <c r="N23" s="481"/>
      <c r="O23" s="479"/>
      <c r="P23" s="500"/>
      <c r="Q23" s="500"/>
    </row>
    <row r="24" s="2" customFormat="1" ht="19" customHeight="1" spans="1:17">
      <c r="A24" s="2" t="s">
        <v>32</v>
      </c>
      <c r="B24" s="496">
        <v>45667</v>
      </c>
      <c r="C24" s="502">
        <v>37</v>
      </c>
      <c r="D24" s="481" t="s">
        <v>9</v>
      </c>
      <c r="E24" s="481"/>
      <c r="F24" s="481"/>
      <c r="G24" s="2" t="s">
        <v>10</v>
      </c>
      <c r="H24" s="481">
        <v>1</v>
      </c>
      <c r="I24" s="481">
        <v>10</v>
      </c>
      <c r="J24" s="478">
        <f t="shared" si="0"/>
        <v>10</v>
      </c>
      <c r="K24" s="499">
        <v>17</v>
      </c>
      <c r="L24" s="482">
        <f t="shared" si="1"/>
        <v>170</v>
      </c>
      <c r="M24" s="582"/>
      <c r="N24" s="475">
        <f>SUM(L20:L24)</f>
        <v>2159</v>
      </c>
      <c r="O24" s="479"/>
      <c r="P24" s="500"/>
      <c r="Q24" s="500"/>
    </row>
    <row r="25" s="473" customFormat="1" ht="20.25" spans="1:17">
      <c r="A25" s="473" t="s">
        <v>1</v>
      </c>
      <c r="B25" s="501">
        <v>45671</v>
      </c>
      <c r="C25" s="510">
        <v>48</v>
      </c>
      <c r="D25" s="488" t="s">
        <v>2</v>
      </c>
      <c r="E25" s="488"/>
      <c r="F25" s="488"/>
      <c r="G25" s="472" t="s">
        <v>3</v>
      </c>
      <c r="H25" s="488">
        <v>3</v>
      </c>
      <c r="I25" s="488">
        <v>25</v>
      </c>
      <c r="J25" s="488">
        <f t="shared" si="0"/>
        <v>75</v>
      </c>
      <c r="K25" s="491">
        <v>17</v>
      </c>
      <c r="L25" s="491">
        <f t="shared" si="1"/>
        <v>1275</v>
      </c>
      <c r="M25" s="485" t="s">
        <v>4</v>
      </c>
      <c r="N25" s="485"/>
      <c r="O25" s="485"/>
      <c r="P25" s="489"/>
      <c r="Q25" s="513"/>
    </row>
    <row r="26" s="473" customFormat="1" ht="20.25" spans="1:17">
      <c r="A26" s="473" t="s">
        <v>43</v>
      </c>
      <c r="B26" s="501">
        <v>45671</v>
      </c>
      <c r="C26" s="510">
        <v>48</v>
      </c>
      <c r="D26" s="494" t="s">
        <v>44</v>
      </c>
      <c r="E26" s="494"/>
      <c r="F26" s="494"/>
      <c r="G26" s="580" t="s">
        <v>45</v>
      </c>
      <c r="H26" s="494">
        <v>1</v>
      </c>
      <c r="I26" s="494">
        <v>11</v>
      </c>
      <c r="J26" s="488">
        <v>11</v>
      </c>
      <c r="K26" s="491">
        <v>17</v>
      </c>
      <c r="L26" s="511">
        <f t="shared" si="1"/>
        <v>187</v>
      </c>
      <c r="M26" s="485"/>
      <c r="N26" s="494"/>
      <c r="O26" s="489"/>
    </row>
    <row r="27" s="473" customFormat="1" ht="20.25" spans="1:17">
      <c r="A27" s="473" t="s">
        <v>43</v>
      </c>
      <c r="B27" s="501">
        <v>45671</v>
      </c>
      <c r="C27" s="510">
        <v>48</v>
      </c>
      <c r="D27" s="494" t="s">
        <v>46</v>
      </c>
      <c r="E27" s="494"/>
      <c r="F27" s="494"/>
      <c r="G27" s="580" t="s">
        <v>47</v>
      </c>
      <c r="H27" s="494">
        <v>1</v>
      </c>
      <c r="I27" s="494">
        <v>2</v>
      </c>
      <c r="J27" s="488">
        <f t="shared" ref="J27:J39" si="3">H27*I27</f>
        <v>2</v>
      </c>
      <c r="K27" s="491">
        <v>17</v>
      </c>
      <c r="L27" s="511">
        <f t="shared" si="1"/>
        <v>34</v>
      </c>
      <c r="M27" s="485"/>
      <c r="N27" s="494">
        <f>SUM(L25:L27)</f>
        <v>1496</v>
      </c>
      <c r="O27" s="489"/>
      <c r="P27" s="513"/>
      <c r="Q27" s="513"/>
    </row>
    <row r="28" s="2" customFormat="1" ht="19" customHeight="1" spans="1:17">
      <c r="A28" s="2" t="s">
        <v>30</v>
      </c>
      <c r="B28" s="496">
        <v>45673</v>
      </c>
      <c r="C28" s="502">
        <v>56</v>
      </c>
      <c r="D28" s="481">
        <v>105</v>
      </c>
      <c r="E28" s="481"/>
      <c r="F28" s="481"/>
      <c r="G28" s="2" t="s">
        <v>48</v>
      </c>
      <c r="H28" s="481">
        <v>1</v>
      </c>
      <c r="I28" s="481">
        <v>26</v>
      </c>
      <c r="J28" s="488">
        <f t="shared" si="3"/>
        <v>26</v>
      </c>
      <c r="K28" s="499">
        <v>18</v>
      </c>
      <c r="L28" s="499">
        <f t="shared" si="1"/>
        <v>468</v>
      </c>
      <c r="M28" s="582"/>
      <c r="N28" s="475"/>
      <c r="O28" s="479"/>
      <c r="P28" s="500"/>
      <c r="Q28" s="500"/>
    </row>
    <row r="29" s="2" customFormat="1" ht="20.25" spans="1:17">
      <c r="A29" s="2" t="s">
        <v>30</v>
      </c>
      <c r="B29" s="496">
        <v>45673</v>
      </c>
      <c r="C29" s="502">
        <v>56</v>
      </c>
      <c r="D29" s="481" t="s">
        <v>49</v>
      </c>
      <c r="E29" s="481"/>
      <c r="F29" s="481"/>
      <c r="G29" s="2" t="s">
        <v>50</v>
      </c>
      <c r="H29" s="481">
        <v>1</v>
      </c>
      <c r="I29" s="481">
        <v>25</v>
      </c>
      <c r="J29" s="488">
        <f t="shared" si="3"/>
        <v>25</v>
      </c>
      <c r="K29" s="499">
        <v>17</v>
      </c>
      <c r="L29" s="499">
        <f t="shared" si="1"/>
        <v>425</v>
      </c>
      <c r="M29" s="475"/>
      <c r="N29" s="481"/>
      <c r="O29" s="479"/>
      <c r="P29" s="500"/>
      <c r="Q29" s="500"/>
    </row>
    <row r="30" s="573" customFormat="1" ht="19" customHeight="1" spans="1:17">
      <c r="A30" s="2" t="s">
        <v>30</v>
      </c>
      <c r="B30" s="496">
        <v>45673</v>
      </c>
      <c r="C30" s="502">
        <v>56</v>
      </c>
      <c r="D30" s="585"/>
      <c r="E30" s="481"/>
      <c r="F30" s="481"/>
      <c r="G30" s="2" t="s">
        <v>51</v>
      </c>
      <c r="H30" s="481">
        <v>1</v>
      </c>
      <c r="I30" s="481">
        <v>20</v>
      </c>
      <c r="J30" s="488">
        <f t="shared" si="3"/>
        <v>20</v>
      </c>
      <c r="K30" s="482">
        <v>17</v>
      </c>
      <c r="L30" s="499">
        <f t="shared" si="1"/>
        <v>340</v>
      </c>
      <c r="M30" s="586">
        <f>SUM(L28:L30)</f>
        <v>1233</v>
      </c>
      <c r="N30" s="1"/>
      <c r="O30" s="587"/>
      <c r="P30" s="588"/>
      <c r="Q30" s="588"/>
    </row>
    <row r="31" s="473" customFormat="1" ht="21" customHeight="1" spans="1:17">
      <c r="A31" s="473" t="s">
        <v>1</v>
      </c>
      <c r="B31" s="501">
        <v>45673</v>
      </c>
      <c r="C31" s="510">
        <v>57</v>
      </c>
      <c r="D31" s="645" t="s">
        <v>52</v>
      </c>
      <c r="E31" s="494"/>
      <c r="F31" s="494"/>
      <c r="G31" s="473" t="s">
        <v>53</v>
      </c>
      <c r="H31" s="494">
        <v>1</v>
      </c>
      <c r="I31" s="494">
        <v>4</v>
      </c>
      <c r="J31" s="488">
        <f t="shared" si="3"/>
        <v>4</v>
      </c>
      <c r="K31" s="491">
        <v>25</v>
      </c>
      <c r="L31" s="511">
        <f t="shared" si="1"/>
        <v>100</v>
      </c>
      <c r="M31" s="300" t="s">
        <v>54</v>
      </c>
      <c r="N31" s="589"/>
      <c r="O31" s="489"/>
      <c r="P31" s="513"/>
      <c r="Q31" s="513"/>
    </row>
    <row r="32" s="471" customFormat="1" ht="20.25" spans="1:17">
      <c r="A32" s="471" t="s">
        <v>55</v>
      </c>
      <c r="B32" s="590">
        <v>45702</v>
      </c>
      <c r="C32" s="471" t="s">
        <v>56</v>
      </c>
      <c r="D32" s="478" t="s">
        <v>57</v>
      </c>
      <c r="E32" s="478"/>
      <c r="F32" s="478"/>
      <c r="G32" s="471" t="s">
        <v>58</v>
      </c>
      <c r="H32" s="478">
        <v>1</v>
      </c>
      <c r="I32" s="478">
        <v>5</v>
      </c>
      <c r="J32" s="478">
        <f t="shared" si="3"/>
        <v>5</v>
      </c>
      <c r="K32" s="482">
        <v>17</v>
      </c>
      <c r="L32" s="482">
        <f t="shared" si="1"/>
        <v>85</v>
      </c>
      <c r="M32" s="471" t="s">
        <v>55</v>
      </c>
      <c r="N32" s="478"/>
      <c r="O32" s="479"/>
    </row>
    <row r="33" s="471" customFormat="1" ht="20.25" spans="1:17">
      <c r="A33" s="471" t="s">
        <v>55</v>
      </c>
      <c r="B33" s="590">
        <v>45702</v>
      </c>
      <c r="C33" s="471" t="s">
        <v>56</v>
      </c>
      <c r="D33" s="478" t="s">
        <v>5</v>
      </c>
      <c r="E33" s="478"/>
      <c r="F33" s="478"/>
      <c r="G33" s="503" t="s">
        <v>6</v>
      </c>
      <c r="H33" s="478">
        <v>1</v>
      </c>
      <c r="I33" s="478">
        <v>26</v>
      </c>
      <c r="J33" s="478">
        <f t="shared" si="3"/>
        <v>26</v>
      </c>
      <c r="K33" s="482">
        <v>18</v>
      </c>
      <c r="L33" s="482">
        <f t="shared" si="1"/>
        <v>468</v>
      </c>
      <c r="N33" s="478"/>
      <c r="O33" s="479"/>
    </row>
    <row r="34" s="471" customFormat="1" ht="20.25" spans="1:17">
      <c r="A34" s="471" t="s">
        <v>55</v>
      </c>
      <c r="B34" s="590">
        <v>45702</v>
      </c>
      <c r="C34" s="471" t="s">
        <v>56</v>
      </c>
      <c r="D34" s="478" t="s">
        <v>5</v>
      </c>
      <c r="E34" s="478"/>
      <c r="F34" s="478"/>
      <c r="G34" s="503" t="s">
        <v>6</v>
      </c>
      <c r="H34" s="478">
        <v>2</v>
      </c>
      <c r="I34" s="478">
        <v>25</v>
      </c>
      <c r="J34" s="478">
        <f t="shared" si="3"/>
        <v>50</v>
      </c>
      <c r="K34" s="482">
        <v>18</v>
      </c>
      <c r="L34" s="482">
        <f t="shared" si="1"/>
        <v>900</v>
      </c>
      <c r="N34" s="478"/>
      <c r="O34" s="479"/>
    </row>
    <row r="35" s="471" customFormat="1" ht="20.25" spans="1:17">
      <c r="A35" s="471" t="s">
        <v>55</v>
      </c>
      <c r="B35" s="590">
        <v>45702</v>
      </c>
      <c r="C35" s="471" t="s">
        <v>56</v>
      </c>
      <c r="D35" s="478" t="s">
        <v>9</v>
      </c>
      <c r="E35" s="478"/>
      <c r="F35" s="478"/>
      <c r="G35" s="471" t="s">
        <v>10</v>
      </c>
      <c r="H35" s="478">
        <v>3</v>
      </c>
      <c r="I35" s="478">
        <v>10</v>
      </c>
      <c r="J35" s="478">
        <f t="shared" si="3"/>
        <v>30</v>
      </c>
      <c r="K35" s="482">
        <v>17</v>
      </c>
      <c r="L35" s="482">
        <f t="shared" si="1"/>
        <v>510</v>
      </c>
      <c r="N35" s="478"/>
      <c r="O35" s="479"/>
    </row>
    <row r="36" s="471" customFormat="1" ht="20.25" spans="1:17">
      <c r="A36" s="471" t="s">
        <v>55</v>
      </c>
      <c r="B36" s="590">
        <v>45702</v>
      </c>
      <c r="C36" s="471" t="s">
        <v>56</v>
      </c>
      <c r="D36" s="478" t="s">
        <v>59</v>
      </c>
      <c r="E36" s="478"/>
      <c r="F36" s="478"/>
      <c r="G36" s="471" t="s">
        <v>60</v>
      </c>
      <c r="H36" s="478">
        <v>4</v>
      </c>
      <c r="I36" s="478">
        <v>22</v>
      </c>
      <c r="J36" s="478">
        <f t="shared" si="3"/>
        <v>88</v>
      </c>
      <c r="K36" s="482">
        <v>12.5</v>
      </c>
      <c r="L36" s="482">
        <f t="shared" si="1"/>
        <v>1100</v>
      </c>
      <c r="N36" s="478"/>
      <c r="O36" s="479"/>
    </row>
    <row r="37" s="471" customFormat="1" ht="20.25" spans="1:17">
      <c r="A37" s="471" t="s">
        <v>55</v>
      </c>
      <c r="B37" s="590">
        <v>45702</v>
      </c>
      <c r="C37" s="471" t="s">
        <v>56</v>
      </c>
      <c r="D37" s="478">
        <v>9804</v>
      </c>
      <c r="E37" s="478"/>
      <c r="F37" s="478"/>
      <c r="G37" s="471" t="s">
        <v>61</v>
      </c>
      <c r="H37" s="478">
        <v>5</v>
      </c>
      <c r="I37" s="478">
        <v>28</v>
      </c>
      <c r="J37" s="478">
        <f t="shared" si="3"/>
        <v>140</v>
      </c>
      <c r="K37" s="482">
        <v>9.2</v>
      </c>
      <c r="L37" s="482">
        <f t="shared" si="1"/>
        <v>1288</v>
      </c>
      <c r="N37" s="478"/>
      <c r="O37" s="479"/>
    </row>
    <row r="38" s="471" customFormat="1" ht="20.25" spans="1:17">
      <c r="A38" s="471" t="s">
        <v>55</v>
      </c>
      <c r="B38" s="590">
        <v>45702</v>
      </c>
      <c r="C38" s="471" t="s">
        <v>56</v>
      </c>
      <c r="D38" s="478" t="s">
        <v>62</v>
      </c>
      <c r="E38" s="478"/>
      <c r="F38" s="478"/>
      <c r="G38" s="471" t="s">
        <v>61</v>
      </c>
      <c r="H38" s="478">
        <v>-3</v>
      </c>
      <c r="I38" s="478">
        <v>28</v>
      </c>
      <c r="J38" s="478">
        <f t="shared" si="3"/>
        <v>-84</v>
      </c>
      <c r="K38" s="482">
        <v>9.2</v>
      </c>
      <c r="L38" s="482">
        <f t="shared" si="1"/>
        <v>-772.8</v>
      </c>
      <c r="N38" s="478"/>
      <c r="O38" s="479"/>
    </row>
    <row r="39" s="471" customFormat="1" ht="20.25" spans="1:17">
      <c r="A39" s="471" t="s">
        <v>55</v>
      </c>
      <c r="B39" s="590">
        <v>45702</v>
      </c>
      <c r="C39" s="471" t="s">
        <v>56</v>
      </c>
      <c r="D39" s="478">
        <v>6832</v>
      </c>
      <c r="E39" s="478"/>
      <c r="F39" s="478"/>
      <c r="G39" s="471" t="s">
        <v>61</v>
      </c>
      <c r="H39" s="478">
        <v>2</v>
      </c>
      <c r="I39" s="478">
        <v>30</v>
      </c>
      <c r="J39" s="478">
        <f t="shared" si="3"/>
        <v>60</v>
      </c>
      <c r="K39" s="482">
        <v>8</v>
      </c>
      <c r="L39" s="482">
        <f t="shared" si="1"/>
        <v>480</v>
      </c>
      <c r="N39" s="478"/>
      <c r="O39" s="479"/>
    </row>
    <row r="40" s="471" customFormat="1" ht="20.25" spans="1:17">
      <c r="A40" s="471" t="s">
        <v>55</v>
      </c>
      <c r="B40" s="590">
        <v>45702</v>
      </c>
      <c r="C40" s="471" t="s">
        <v>56</v>
      </c>
      <c r="D40" s="478"/>
      <c r="E40" s="478"/>
      <c r="F40" s="478"/>
      <c r="G40" s="471" t="s">
        <v>63</v>
      </c>
      <c r="H40" s="478"/>
      <c r="I40" s="478"/>
      <c r="J40" s="478"/>
      <c r="K40" s="482"/>
      <c r="L40" s="482"/>
      <c r="N40" s="478"/>
      <c r="O40" s="479"/>
    </row>
    <row r="41" s="471" customFormat="1" ht="20.25" spans="1:17">
      <c r="A41" s="471" t="s">
        <v>55</v>
      </c>
      <c r="B41" s="590">
        <v>45702</v>
      </c>
      <c r="C41" s="471" t="s">
        <v>56</v>
      </c>
      <c r="D41" s="478"/>
      <c r="E41" s="478"/>
      <c r="F41" s="478"/>
      <c r="G41" s="471" t="s">
        <v>64</v>
      </c>
      <c r="H41" s="478"/>
      <c r="I41" s="478"/>
      <c r="J41" s="478"/>
      <c r="K41" s="482"/>
      <c r="L41" s="482"/>
      <c r="M41" s="471">
        <f>SUM(L32:L41)</f>
        <v>4058.2</v>
      </c>
      <c r="N41" s="478"/>
      <c r="O41" s="479"/>
    </row>
    <row r="42" s="473" customFormat="1" ht="20.25" spans="1:17">
      <c r="A42" s="473" t="s">
        <v>55</v>
      </c>
      <c r="B42" s="501">
        <v>45708</v>
      </c>
      <c r="C42" s="510">
        <v>23</v>
      </c>
      <c r="D42" s="494" t="s">
        <v>44</v>
      </c>
      <c r="E42" s="494"/>
      <c r="F42" s="494"/>
      <c r="G42" s="580" t="s">
        <v>45</v>
      </c>
      <c r="H42" s="494">
        <v>1</v>
      </c>
      <c r="I42" s="494">
        <v>23</v>
      </c>
      <c r="J42" s="488">
        <f t="shared" ref="J42:J49" si="4">H42*I42</f>
        <v>23</v>
      </c>
      <c r="K42" s="491">
        <v>17</v>
      </c>
      <c r="L42" s="511">
        <f>J42*K42</f>
        <v>391</v>
      </c>
      <c r="M42" s="485"/>
      <c r="N42" s="494"/>
      <c r="O42" s="489"/>
    </row>
    <row r="43" s="473" customFormat="1" ht="20.25" spans="1:17">
      <c r="A43" s="473" t="s">
        <v>55</v>
      </c>
      <c r="B43" s="501">
        <v>45708</v>
      </c>
      <c r="C43" s="510">
        <v>23</v>
      </c>
      <c r="D43" s="494" t="s">
        <v>46</v>
      </c>
      <c r="E43" s="494"/>
      <c r="F43" s="494"/>
      <c r="G43" s="580" t="s">
        <v>47</v>
      </c>
      <c r="H43" s="494">
        <v>1</v>
      </c>
      <c r="I43" s="494">
        <v>5</v>
      </c>
      <c r="J43" s="488">
        <f t="shared" si="4"/>
        <v>5</v>
      </c>
      <c r="K43" s="491">
        <v>17</v>
      </c>
      <c r="L43" s="511">
        <f t="shared" ref="L42:L49" si="5">J43*K43</f>
        <v>85</v>
      </c>
      <c r="M43" s="485"/>
      <c r="N43" s="494">
        <f>SUM(L41:L43)</f>
        <v>476</v>
      </c>
      <c r="O43" s="489"/>
      <c r="P43" s="513"/>
      <c r="Q43" s="513"/>
    </row>
    <row r="44" s="473" customFormat="1" ht="20.25" spans="1:17">
      <c r="A44" s="473" t="s">
        <v>55</v>
      </c>
      <c r="B44" s="501">
        <v>45708</v>
      </c>
      <c r="C44" s="510">
        <v>23</v>
      </c>
      <c r="D44" s="494" t="s">
        <v>65</v>
      </c>
      <c r="E44" s="494"/>
      <c r="F44" s="494"/>
      <c r="G44" s="580" t="s">
        <v>66</v>
      </c>
      <c r="H44" s="494">
        <v>1</v>
      </c>
      <c r="I44" s="494">
        <v>2</v>
      </c>
      <c r="J44" s="488">
        <f t="shared" si="4"/>
        <v>2</v>
      </c>
      <c r="K44" s="491">
        <v>18</v>
      </c>
      <c r="L44" s="511">
        <f t="shared" si="5"/>
        <v>36</v>
      </c>
      <c r="M44" s="485"/>
      <c r="N44" s="494"/>
      <c r="O44" s="489"/>
      <c r="P44" s="513"/>
      <c r="Q44" s="513"/>
    </row>
    <row r="45" s="473" customFormat="1" ht="20.25" spans="1:17">
      <c r="A45" s="473" t="s">
        <v>55</v>
      </c>
      <c r="B45" s="501">
        <v>45708</v>
      </c>
      <c r="C45" s="510">
        <v>23</v>
      </c>
      <c r="D45" s="494" t="s">
        <v>67</v>
      </c>
      <c r="E45" s="494"/>
      <c r="F45" s="494"/>
      <c r="G45" s="580" t="s">
        <v>68</v>
      </c>
      <c r="H45" s="494">
        <v>1</v>
      </c>
      <c r="I45" s="494">
        <v>2</v>
      </c>
      <c r="J45" s="488">
        <f t="shared" si="4"/>
        <v>2</v>
      </c>
      <c r="K45" s="491">
        <v>18</v>
      </c>
      <c r="L45" s="511">
        <f t="shared" si="5"/>
        <v>36</v>
      </c>
      <c r="M45" s="485"/>
      <c r="N45" s="494"/>
      <c r="O45" s="489"/>
      <c r="P45" s="513"/>
      <c r="Q45" s="513"/>
    </row>
    <row r="46" s="473" customFormat="1" ht="19" customHeight="1" spans="1:17">
      <c r="A46" s="473" t="s">
        <v>55</v>
      </c>
      <c r="B46" s="501">
        <v>45708</v>
      </c>
      <c r="C46" s="510">
        <v>23</v>
      </c>
      <c r="D46" s="494" t="s">
        <v>9</v>
      </c>
      <c r="E46" s="494"/>
      <c r="F46" s="494"/>
      <c r="G46" s="473" t="s">
        <v>10</v>
      </c>
      <c r="H46" s="494">
        <v>1</v>
      </c>
      <c r="I46" s="494">
        <v>20</v>
      </c>
      <c r="J46" s="488">
        <f t="shared" si="4"/>
        <v>20</v>
      </c>
      <c r="K46" s="511">
        <v>17</v>
      </c>
      <c r="L46" s="491">
        <f t="shared" si="5"/>
        <v>340</v>
      </c>
      <c r="M46" s="581"/>
      <c r="N46" s="485">
        <f>SUM(L42:L46)</f>
        <v>888</v>
      </c>
      <c r="O46" s="489"/>
      <c r="P46" s="513"/>
      <c r="Q46" s="513"/>
    </row>
    <row r="47" s="2" customFormat="1" ht="20.25" spans="1:17">
      <c r="A47" s="2" t="s">
        <v>30</v>
      </c>
      <c r="B47" s="496">
        <v>45708</v>
      </c>
      <c r="C47" s="502">
        <v>24</v>
      </c>
      <c r="D47" s="481" t="s">
        <v>69</v>
      </c>
      <c r="E47" s="481"/>
      <c r="F47" s="481"/>
      <c r="G47" s="2" t="s">
        <v>70</v>
      </c>
      <c r="H47" s="481">
        <v>1</v>
      </c>
      <c r="I47" s="481">
        <v>5</v>
      </c>
      <c r="J47" s="488">
        <f t="shared" si="4"/>
        <v>5</v>
      </c>
      <c r="K47" s="499">
        <v>17</v>
      </c>
      <c r="L47" s="591">
        <f t="shared" si="5"/>
        <v>85</v>
      </c>
      <c r="M47" s="507" t="s">
        <v>71</v>
      </c>
      <c r="N47" s="481"/>
      <c r="O47" s="479"/>
      <c r="P47" s="500"/>
      <c r="Q47" s="500"/>
    </row>
    <row r="48" s="2" customFormat="1" ht="20.25" spans="1:17">
      <c r="A48" s="2" t="s">
        <v>30</v>
      </c>
      <c r="B48" s="496">
        <v>45708</v>
      </c>
      <c r="C48" s="502">
        <v>24</v>
      </c>
      <c r="D48" s="481" t="s">
        <v>72</v>
      </c>
      <c r="E48" s="481"/>
      <c r="F48" s="481"/>
      <c r="G48" s="2" t="s">
        <v>73</v>
      </c>
      <c r="H48" s="481">
        <v>1</v>
      </c>
      <c r="I48" s="481">
        <v>5</v>
      </c>
      <c r="J48" s="488">
        <f t="shared" si="4"/>
        <v>5</v>
      </c>
      <c r="K48" s="499">
        <v>17</v>
      </c>
      <c r="L48" s="591">
        <f t="shared" si="5"/>
        <v>85</v>
      </c>
      <c r="M48" s="507" t="s">
        <v>71</v>
      </c>
      <c r="N48" s="481">
        <f>SUBTOTAL(9,L47:L55)</f>
        <v>3507.5</v>
      </c>
      <c r="O48" s="479"/>
      <c r="P48" s="500"/>
      <c r="Q48" s="500"/>
    </row>
    <row r="49" s="573" customFormat="1" ht="19" customHeight="1" spans="1:21">
      <c r="A49" s="2" t="s">
        <v>30</v>
      </c>
      <c r="B49" s="496">
        <v>45708</v>
      </c>
      <c r="C49" s="502">
        <v>24</v>
      </c>
      <c r="D49" s="585"/>
      <c r="E49" s="481"/>
      <c r="F49" s="481"/>
      <c r="G49" s="2" t="s">
        <v>74</v>
      </c>
      <c r="H49" s="481">
        <v>1</v>
      </c>
      <c r="I49" s="481">
        <v>5</v>
      </c>
      <c r="J49" s="488">
        <f t="shared" si="4"/>
        <v>5</v>
      </c>
      <c r="K49" s="482">
        <v>26</v>
      </c>
      <c r="L49" s="591">
        <f t="shared" si="5"/>
        <v>130</v>
      </c>
      <c r="M49" s="507" t="s">
        <v>71</v>
      </c>
      <c r="N49" s="1"/>
      <c r="O49" s="587"/>
      <c r="P49" s="588"/>
      <c r="Q49" s="588"/>
    </row>
    <row r="50" s="573" customFormat="1" ht="19" customHeight="1" spans="1:21">
      <c r="A50" s="2" t="s">
        <v>30</v>
      </c>
      <c r="B50" s="496">
        <v>45708</v>
      </c>
      <c r="C50" s="502">
        <v>24</v>
      </c>
      <c r="D50" s="585"/>
      <c r="E50" s="481"/>
      <c r="F50" s="481"/>
      <c r="G50" s="2" t="s">
        <v>28</v>
      </c>
      <c r="H50" s="481">
        <v>1</v>
      </c>
      <c r="I50" s="481">
        <v>20</v>
      </c>
      <c r="J50" s="488">
        <f t="shared" ref="J50:J104" si="6">H50*I50</f>
        <v>20</v>
      </c>
      <c r="K50" s="482">
        <v>17</v>
      </c>
      <c r="L50" s="499">
        <f t="shared" ref="L50:L70" si="7">J50*K50</f>
        <v>340</v>
      </c>
      <c r="M50" s="475" t="s">
        <v>29</v>
      </c>
      <c r="N50" s="1"/>
      <c r="O50" s="587"/>
      <c r="P50" s="588"/>
      <c r="Q50" s="588"/>
    </row>
    <row r="51" s="573" customFormat="1" ht="19" customHeight="1" spans="1:21">
      <c r="A51" s="2" t="s">
        <v>30</v>
      </c>
      <c r="B51" s="496">
        <v>45708</v>
      </c>
      <c r="C51" s="502">
        <v>24</v>
      </c>
      <c r="D51" s="585"/>
      <c r="E51" s="481"/>
      <c r="F51" s="481"/>
      <c r="G51" s="2" t="s">
        <v>75</v>
      </c>
      <c r="H51" s="481">
        <v>1</v>
      </c>
      <c r="I51" s="481">
        <v>20</v>
      </c>
      <c r="J51" s="488">
        <f t="shared" si="6"/>
        <v>20</v>
      </c>
      <c r="K51" s="482">
        <v>17</v>
      </c>
      <c r="L51" s="499">
        <f t="shared" si="7"/>
        <v>340</v>
      </c>
      <c r="M51" s="475">
        <f>SUM(L47:L51)</f>
        <v>980</v>
      </c>
      <c r="N51" s="1"/>
      <c r="O51" s="587"/>
      <c r="P51" s="588"/>
      <c r="Q51" s="588"/>
    </row>
    <row r="52" s="473" customFormat="1" ht="20.25" spans="1:21">
      <c r="A52" s="473" t="s">
        <v>1</v>
      </c>
      <c r="B52" s="501">
        <v>45708</v>
      </c>
      <c r="C52" s="510">
        <v>25</v>
      </c>
      <c r="D52" s="488"/>
      <c r="E52" s="488"/>
      <c r="F52" s="488"/>
      <c r="G52" s="472" t="s">
        <v>28</v>
      </c>
      <c r="H52" s="488">
        <v>2</v>
      </c>
      <c r="I52" s="488">
        <v>20</v>
      </c>
      <c r="J52" s="488">
        <f t="shared" si="6"/>
        <v>40</v>
      </c>
      <c r="K52" s="491">
        <v>17</v>
      </c>
      <c r="L52" s="491">
        <f t="shared" si="7"/>
        <v>680</v>
      </c>
      <c r="M52" s="485" t="s">
        <v>39</v>
      </c>
      <c r="N52" s="485"/>
      <c r="O52" s="485"/>
      <c r="P52" s="489"/>
      <c r="Q52" s="513"/>
    </row>
    <row r="53" s="473" customFormat="1" ht="19" customHeight="1" spans="1:21">
      <c r="A53" s="473" t="s">
        <v>1</v>
      </c>
      <c r="B53" s="501">
        <v>45708</v>
      </c>
      <c r="C53" s="510">
        <v>25</v>
      </c>
      <c r="D53" s="494" t="s">
        <v>9</v>
      </c>
      <c r="E53" s="494"/>
      <c r="F53" s="494"/>
      <c r="G53" s="473" t="s">
        <v>10</v>
      </c>
      <c r="H53" s="494">
        <v>1</v>
      </c>
      <c r="I53" s="494">
        <v>20</v>
      </c>
      <c r="J53" s="488">
        <f t="shared" si="6"/>
        <v>20</v>
      </c>
      <c r="K53" s="511">
        <v>17</v>
      </c>
      <c r="L53" s="491">
        <f t="shared" si="7"/>
        <v>340</v>
      </c>
      <c r="M53" s="581"/>
      <c r="N53" s="485">
        <f>SUM(L52:L53)</f>
        <v>1020</v>
      </c>
      <c r="O53" s="489"/>
      <c r="P53" s="513"/>
      <c r="Q53" s="513"/>
    </row>
    <row r="54" s="2" customFormat="1" ht="19" customHeight="1" spans="1:21">
      <c r="A54" s="2" t="s">
        <v>30</v>
      </c>
      <c r="B54" s="496">
        <v>45713</v>
      </c>
      <c r="C54" s="502">
        <v>41</v>
      </c>
      <c r="D54" s="481" t="s">
        <v>76</v>
      </c>
      <c r="E54" s="481"/>
      <c r="F54" s="481"/>
      <c r="G54" s="2" t="s">
        <v>77</v>
      </c>
      <c r="H54" s="481">
        <v>4</v>
      </c>
      <c r="I54" s="481">
        <v>25</v>
      </c>
      <c r="J54" s="478">
        <f t="shared" si="6"/>
        <v>100</v>
      </c>
      <c r="K54" s="499">
        <v>14</v>
      </c>
      <c r="L54" s="499">
        <f t="shared" si="7"/>
        <v>1400</v>
      </c>
      <c r="M54" s="582" t="s">
        <v>78</v>
      </c>
      <c r="N54" s="475" t="s">
        <v>79</v>
      </c>
      <c r="O54" s="479"/>
      <c r="P54" s="500"/>
      <c r="Q54" s="500"/>
    </row>
    <row r="55" s="2" customFormat="1" ht="20.25" spans="1:21">
      <c r="A55" s="2" t="s">
        <v>30</v>
      </c>
      <c r="B55" s="496">
        <v>45713</v>
      </c>
      <c r="C55" s="502">
        <v>41</v>
      </c>
      <c r="D55" s="481">
        <v>2765</v>
      </c>
      <c r="E55" s="481"/>
      <c r="F55" s="481"/>
      <c r="G55" s="2" t="s">
        <v>80</v>
      </c>
      <c r="H55" s="481">
        <v>1</v>
      </c>
      <c r="I55" s="481">
        <v>5</v>
      </c>
      <c r="J55" s="478">
        <f t="shared" si="6"/>
        <v>5</v>
      </c>
      <c r="K55" s="499">
        <v>21.5</v>
      </c>
      <c r="L55" s="499">
        <f t="shared" si="7"/>
        <v>107.5</v>
      </c>
      <c r="M55" s="475"/>
      <c r="N55" s="481"/>
      <c r="O55" s="479"/>
      <c r="P55" s="500"/>
      <c r="Q55" s="500"/>
    </row>
    <row r="56" s="473" customFormat="1" ht="20.25" spans="1:21">
      <c r="A56" s="473" t="s">
        <v>55</v>
      </c>
      <c r="B56" s="501">
        <v>45719</v>
      </c>
      <c r="C56" s="510" t="s">
        <v>11</v>
      </c>
      <c r="D56" s="494" t="s">
        <v>81</v>
      </c>
      <c r="E56" s="494"/>
      <c r="F56" s="494"/>
      <c r="G56" s="580" t="s">
        <v>82</v>
      </c>
      <c r="H56" s="494">
        <v>1</v>
      </c>
      <c r="I56" s="494">
        <v>25</v>
      </c>
      <c r="J56" s="488">
        <f t="shared" si="6"/>
        <v>25</v>
      </c>
      <c r="K56" s="491">
        <v>17</v>
      </c>
      <c r="L56" s="511">
        <f t="shared" si="7"/>
        <v>425</v>
      </c>
      <c r="M56" s="485"/>
      <c r="N56" s="494"/>
      <c r="O56" s="489"/>
      <c r="P56" s="513"/>
      <c r="Q56" s="513"/>
    </row>
    <row r="57" s="473" customFormat="1" ht="19" customHeight="1" spans="1:21">
      <c r="A57" s="473" t="s">
        <v>55</v>
      </c>
      <c r="B57" s="501">
        <v>45719</v>
      </c>
      <c r="C57" s="510" t="s">
        <v>11</v>
      </c>
      <c r="D57" s="494" t="s">
        <v>83</v>
      </c>
      <c r="E57" s="494"/>
      <c r="F57" s="494"/>
      <c r="G57" s="473" t="s">
        <v>84</v>
      </c>
      <c r="H57" s="494">
        <v>1</v>
      </c>
      <c r="I57" s="494">
        <v>20</v>
      </c>
      <c r="J57" s="488">
        <f t="shared" si="6"/>
        <v>20</v>
      </c>
      <c r="K57" s="511">
        <v>17</v>
      </c>
      <c r="L57" s="491">
        <f t="shared" si="7"/>
        <v>340</v>
      </c>
      <c r="M57" s="581"/>
      <c r="N57" s="485">
        <f>SUM(L56:L57)</f>
        <v>765</v>
      </c>
      <c r="O57" s="489"/>
      <c r="P57" s="513"/>
      <c r="Q57" s="513"/>
    </row>
    <row r="58" s="2" customFormat="1" ht="20.25" spans="1:21">
      <c r="A58" s="2" t="s">
        <v>30</v>
      </c>
      <c r="B58" s="496">
        <v>45719</v>
      </c>
      <c r="C58" s="502">
        <v>12</v>
      </c>
      <c r="D58" s="585"/>
      <c r="E58" s="481"/>
      <c r="F58" s="481"/>
      <c r="G58" s="2" t="s">
        <v>51</v>
      </c>
      <c r="H58" s="481">
        <v>2</v>
      </c>
      <c r="I58" s="481">
        <v>20</v>
      </c>
      <c r="J58" s="478">
        <f t="shared" si="6"/>
        <v>40</v>
      </c>
      <c r="K58" s="482">
        <v>17</v>
      </c>
      <c r="L58" s="482">
        <f t="shared" si="7"/>
        <v>680</v>
      </c>
      <c r="M58" s="475" t="s">
        <v>85</v>
      </c>
      <c r="N58" s="481"/>
      <c r="O58" s="479"/>
      <c r="P58" s="500"/>
      <c r="Q58" s="500"/>
    </row>
    <row r="59" customFormat="1" ht="20.25" spans="1:21">
      <c r="A59" s="2" t="s">
        <v>30</v>
      </c>
      <c r="B59" s="496">
        <v>45719</v>
      </c>
      <c r="C59" s="502">
        <v>12</v>
      </c>
      <c r="D59" s="481"/>
      <c r="E59" s="481"/>
      <c r="F59" s="481"/>
      <c r="G59" s="2" t="s">
        <v>86</v>
      </c>
      <c r="H59" s="481">
        <v>4</v>
      </c>
      <c r="I59" s="481">
        <v>25</v>
      </c>
      <c r="J59" s="478">
        <f t="shared" si="6"/>
        <v>100</v>
      </c>
      <c r="K59" s="499">
        <v>17</v>
      </c>
      <c r="L59" s="482">
        <f t="shared" si="7"/>
        <v>1700</v>
      </c>
      <c r="M59" s="500"/>
      <c r="N59" s="500"/>
      <c r="O59" s="500"/>
      <c r="P59" s="500"/>
      <c r="Q59" s="500"/>
    </row>
    <row r="60" s="473" customFormat="1" ht="20.25" spans="1:21">
      <c r="A60" s="473" t="s">
        <v>55</v>
      </c>
      <c r="B60" s="501">
        <v>45720</v>
      </c>
      <c r="C60" s="510">
        <v>13</v>
      </c>
      <c r="D60" s="488" t="s">
        <v>2</v>
      </c>
      <c r="E60" s="488"/>
      <c r="F60" s="488"/>
      <c r="G60" s="472" t="s">
        <v>3</v>
      </c>
      <c r="H60" s="488">
        <v>2</v>
      </c>
      <c r="I60" s="488">
        <v>25</v>
      </c>
      <c r="J60" s="488">
        <f t="shared" si="6"/>
        <v>50</v>
      </c>
      <c r="K60" s="491">
        <v>17</v>
      </c>
      <c r="L60" s="491">
        <f t="shared" si="7"/>
        <v>850</v>
      </c>
      <c r="M60" s="485" t="s">
        <v>4</v>
      </c>
      <c r="N60" s="485"/>
      <c r="O60" s="485"/>
      <c r="P60" s="489"/>
      <c r="Q60" s="513"/>
    </row>
    <row r="61" s="473" customFormat="1" ht="19" customHeight="1" spans="1:21">
      <c r="A61" s="473" t="s">
        <v>55</v>
      </c>
      <c r="B61" s="501">
        <v>45720</v>
      </c>
      <c r="C61" s="510">
        <v>13</v>
      </c>
      <c r="D61" s="494" t="s">
        <v>9</v>
      </c>
      <c r="E61" s="494"/>
      <c r="F61" s="494"/>
      <c r="G61" s="473" t="s">
        <v>10</v>
      </c>
      <c r="H61" s="494">
        <v>1</v>
      </c>
      <c r="I61" s="494">
        <v>20</v>
      </c>
      <c r="J61" s="488">
        <f t="shared" si="6"/>
        <v>20</v>
      </c>
      <c r="K61" s="511">
        <v>17</v>
      </c>
      <c r="L61" s="491">
        <f t="shared" si="7"/>
        <v>340</v>
      </c>
      <c r="M61" s="581"/>
      <c r="N61" s="485">
        <f>SUM(L60:L61)</f>
        <v>1190</v>
      </c>
      <c r="O61" s="489"/>
      <c r="P61" s="513"/>
      <c r="Q61" s="513"/>
    </row>
    <row r="62" s="2" customFormat="1" ht="20.25" spans="1:21">
      <c r="A62" s="2" t="s">
        <v>87</v>
      </c>
      <c r="B62" s="496">
        <v>45720</v>
      </c>
      <c r="C62" s="502">
        <v>14</v>
      </c>
      <c r="D62" s="481" t="s">
        <v>88</v>
      </c>
      <c r="E62" s="481"/>
      <c r="F62" s="481"/>
      <c r="G62" s="2" t="s">
        <v>89</v>
      </c>
      <c r="H62" s="481">
        <v>5</v>
      </c>
      <c r="I62" s="481">
        <v>25</v>
      </c>
      <c r="J62" s="478">
        <f t="shared" si="6"/>
        <v>125</v>
      </c>
      <c r="K62" s="499">
        <v>11.5</v>
      </c>
      <c r="L62" s="499">
        <f t="shared" si="7"/>
        <v>1437.5</v>
      </c>
      <c r="M62" s="506" t="s">
        <v>90</v>
      </c>
      <c r="N62" s="481"/>
      <c r="O62" s="479">
        <v>13</v>
      </c>
      <c r="P62" s="2">
        <f t="shared" ref="P62:P65" si="8">J62*O62</f>
        <v>1625</v>
      </c>
      <c r="Q62" s="500"/>
      <c r="U62" s="317" t="s">
        <v>91</v>
      </c>
    </row>
    <row r="63" s="2" customFormat="1" ht="20.25" spans="1:21">
      <c r="A63" s="2" t="s">
        <v>87</v>
      </c>
      <c r="B63" s="496">
        <v>45720</v>
      </c>
      <c r="C63" s="502">
        <v>14</v>
      </c>
      <c r="D63" s="481" t="s">
        <v>92</v>
      </c>
      <c r="E63" s="481"/>
      <c r="F63" s="481"/>
      <c r="G63" s="2" t="s">
        <v>93</v>
      </c>
      <c r="H63" s="481">
        <v>5</v>
      </c>
      <c r="I63" s="481">
        <v>20</v>
      </c>
      <c r="J63" s="478">
        <f t="shared" si="6"/>
        <v>100</v>
      </c>
      <c r="K63" s="499">
        <v>15</v>
      </c>
      <c r="L63" s="499">
        <f t="shared" si="7"/>
        <v>1500</v>
      </c>
      <c r="M63" s="506" t="s">
        <v>94</v>
      </c>
      <c r="N63" s="481"/>
      <c r="O63" s="479">
        <v>16.5</v>
      </c>
      <c r="P63" s="2">
        <f t="shared" si="8"/>
        <v>1650</v>
      </c>
      <c r="Q63" s="500"/>
      <c r="U63" s="317" t="s">
        <v>95</v>
      </c>
    </row>
    <row r="64" s="2" customFormat="1" ht="20.25" spans="1:21">
      <c r="A64" s="2" t="s">
        <v>87</v>
      </c>
      <c r="B64" s="496">
        <v>45720</v>
      </c>
      <c r="C64" s="502">
        <v>14</v>
      </c>
      <c r="D64" s="481"/>
      <c r="E64" s="481"/>
      <c r="F64" s="481"/>
      <c r="G64" s="2" t="s">
        <v>96</v>
      </c>
      <c r="H64" s="481">
        <v>3</v>
      </c>
      <c r="I64" s="481">
        <v>25</v>
      </c>
      <c r="J64" s="478">
        <f t="shared" si="6"/>
        <v>75</v>
      </c>
      <c r="K64" s="499">
        <v>15</v>
      </c>
      <c r="L64" s="499">
        <f t="shared" si="7"/>
        <v>1125</v>
      </c>
      <c r="M64" s="506" t="s">
        <v>97</v>
      </c>
      <c r="N64" s="481"/>
      <c r="O64" s="479">
        <v>21.5</v>
      </c>
      <c r="P64" s="2">
        <f t="shared" si="8"/>
        <v>1612.5</v>
      </c>
      <c r="Q64" s="500"/>
      <c r="U64" s="317"/>
    </row>
    <row r="65" s="2" customFormat="1" ht="20.25" spans="1:21">
      <c r="A65" s="2" t="s">
        <v>87</v>
      </c>
      <c r="B65" s="496">
        <v>45720</v>
      </c>
      <c r="C65" s="502">
        <v>14</v>
      </c>
      <c r="D65" s="481"/>
      <c r="E65" s="481"/>
      <c r="F65" s="481"/>
      <c r="G65" s="2" t="s">
        <v>10</v>
      </c>
      <c r="H65" s="481">
        <v>4</v>
      </c>
      <c r="I65" s="481">
        <v>10</v>
      </c>
      <c r="J65" s="478">
        <f t="shared" si="6"/>
        <v>40</v>
      </c>
      <c r="K65" s="499">
        <v>15</v>
      </c>
      <c r="L65" s="499">
        <f t="shared" si="7"/>
        <v>600</v>
      </c>
      <c r="M65" s="506" t="s">
        <v>98</v>
      </c>
      <c r="N65" s="481">
        <f>SUM(L62:L65)</f>
        <v>4662.5</v>
      </c>
      <c r="O65" s="479">
        <v>21.5</v>
      </c>
      <c r="P65" s="2">
        <f t="shared" si="8"/>
        <v>860</v>
      </c>
      <c r="Q65" s="500">
        <f>SUM(P62:P65)</f>
        <v>5747.5</v>
      </c>
      <c r="U65" s="317"/>
    </row>
    <row r="66" s="473" customFormat="1" ht="27" customHeight="1" spans="1:21">
      <c r="A66" s="473" t="s">
        <v>55</v>
      </c>
      <c r="B66" s="501">
        <v>45721</v>
      </c>
      <c r="C66" s="510">
        <v>15</v>
      </c>
      <c r="D66" s="494" t="s">
        <v>99</v>
      </c>
      <c r="E66" s="494"/>
      <c r="F66" s="494"/>
      <c r="G66" s="473" t="s">
        <v>100</v>
      </c>
      <c r="H66" s="494">
        <v>1</v>
      </c>
      <c r="I66" s="494">
        <v>5</v>
      </c>
      <c r="J66" s="488">
        <f t="shared" si="6"/>
        <v>5</v>
      </c>
      <c r="K66" s="511">
        <v>25</v>
      </c>
      <c r="L66" s="491">
        <f t="shared" si="7"/>
        <v>125</v>
      </c>
      <c r="M66" s="592" t="s">
        <v>101</v>
      </c>
      <c r="N66" s="593"/>
      <c r="O66" s="489"/>
      <c r="P66" s="513"/>
      <c r="Q66" s="513"/>
    </row>
    <row r="67" s="473" customFormat="1" ht="20.25" spans="1:21">
      <c r="A67" s="473" t="s">
        <v>55</v>
      </c>
      <c r="B67" s="501">
        <v>45721</v>
      </c>
      <c r="C67" s="510">
        <v>15</v>
      </c>
      <c r="D67" s="494" t="s">
        <v>102</v>
      </c>
      <c r="E67" s="494"/>
      <c r="F67" s="494"/>
      <c r="G67" s="580" t="s">
        <v>103</v>
      </c>
      <c r="H67" s="494">
        <v>1</v>
      </c>
      <c r="I67" s="494">
        <v>10</v>
      </c>
      <c r="J67" s="488">
        <f t="shared" si="6"/>
        <v>10</v>
      </c>
      <c r="K67" s="491">
        <v>17</v>
      </c>
      <c r="L67" s="511">
        <f t="shared" si="7"/>
        <v>170</v>
      </c>
      <c r="M67" s="485" t="s">
        <v>104</v>
      </c>
      <c r="N67" s="494"/>
      <c r="O67" s="489"/>
      <c r="P67" s="513">
        <f>SUM(L66:L67)</f>
        <v>295</v>
      </c>
      <c r="Q67" s="513"/>
    </row>
    <row r="68" s="473" customFormat="1" ht="19" customHeight="1" spans="1:21">
      <c r="A68" s="473" t="s">
        <v>55</v>
      </c>
      <c r="B68" s="501">
        <v>45721</v>
      </c>
      <c r="C68" s="510">
        <v>15</v>
      </c>
      <c r="D68" s="494" t="s">
        <v>9</v>
      </c>
      <c r="E68" s="494"/>
      <c r="F68" s="494"/>
      <c r="G68" s="473" t="s">
        <v>10</v>
      </c>
      <c r="H68" s="494">
        <v>1</v>
      </c>
      <c r="I68" s="494">
        <v>20</v>
      </c>
      <c r="J68" s="488">
        <f t="shared" si="6"/>
        <v>20</v>
      </c>
      <c r="K68" s="511">
        <v>17</v>
      </c>
      <c r="L68" s="491">
        <f t="shared" si="7"/>
        <v>340</v>
      </c>
      <c r="M68" s="581"/>
      <c r="N68" s="485">
        <f>SUM(L67:L68)</f>
        <v>510</v>
      </c>
      <c r="O68" s="489"/>
      <c r="P68" s="513"/>
      <c r="Q68" s="513"/>
    </row>
    <row r="69" s="2" customFormat="1" ht="20.25" spans="1:21">
      <c r="A69" s="2" t="s">
        <v>30</v>
      </c>
      <c r="B69" s="496">
        <v>45721</v>
      </c>
      <c r="C69" s="502">
        <v>17</v>
      </c>
      <c r="D69" s="481" t="s">
        <v>105</v>
      </c>
      <c r="E69" s="481"/>
      <c r="F69" s="481"/>
      <c r="G69" s="2" t="s">
        <v>106</v>
      </c>
      <c r="H69" s="481">
        <v>2</v>
      </c>
      <c r="I69" s="481">
        <v>20</v>
      </c>
      <c r="J69" s="478">
        <f t="shared" si="6"/>
        <v>40</v>
      </c>
      <c r="K69" s="499">
        <v>21.5</v>
      </c>
      <c r="L69" s="482">
        <f t="shared" si="7"/>
        <v>860</v>
      </c>
      <c r="M69" s="583"/>
      <c r="N69" s="475"/>
      <c r="O69" s="479"/>
      <c r="P69" s="500"/>
      <c r="Q69" s="500"/>
    </row>
    <row r="70" s="2" customFormat="1" ht="20.25" spans="1:21">
      <c r="A70" s="2" t="s">
        <v>30</v>
      </c>
      <c r="B70" s="496">
        <v>45721</v>
      </c>
      <c r="C70" s="502">
        <v>17</v>
      </c>
      <c r="D70" s="481" t="s">
        <v>105</v>
      </c>
      <c r="E70" s="481"/>
      <c r="F70" s="481"/>
      <c r="G70" s="2" t="s">
        <v>106</v>
      </c>
      <c r="H70" s="481">
        <v>1</v>
      </c>
      <c r="I70" s="481">
        <v>21</v>
      </c>
      <c r="J70" s="478">
        <f t="shared" si="6"/>
        <v>21</v>
      </c>
      <c r="K70" s="499">
        <v>21.5</v>
      </c>
      <c r="L70" s="482">
        <f t="shared" si="7"/>
        <v>451.5</v>
      </c>
      <c r="M70" s="583"/>
      <c r="N70" s="475"/>
      <c r="O70" s="479"/>
      <c r="P70" s="500"/>
      <c r="Q70" s="500"/>
    </row>
    <row r="71" s="2" customFormat="1" ht="19" customHeight="1" spans="1:21">
      <c r="A71" s="2" t="s">
        <v>30</v>
      </c>
      <c r="B71" s="496">
        <v>45721</v>
      </c>
      <c r="C71" s="502">
        <v>17</v>
      </c>
      <c r="D71" s="481">
        <v>105</v>
      </c>
      <c r="E71" s="481"/>
      <c r="F71" s="481"/>
      <c r="G71" s="2" t="s">
        <v>48</v>
      </c>
      <c r="H71" s="481">
        <v>1</v>
      </c>
      <c r="I71" s="481">
        <v>23</v>
      </c>
      <c r="J71" s="478">
        <f t="shared" si="6"/>
        <v>23</v>
      </c>
      <c r="K71" s="499">
        <v>18</v>
      </c>
      <c r="L71" s="482">
        <f t="shared" ref="L71:L81" si="9">J71*K71</f>
        <v>414</v>
      </c>
      <c r="M71" s="582" t="s">
        <v>107</v>
      </c>
      <c r="N71" s="475"/>
      <c r="O71" s="479"/>
      <c r="P71" s="500"/>
      <c r="Q71" s="500"/>
    </row>
    <row r="72" s="2" customFormat="1" ht="20.25" spans="1:21">
      <c r="A72" s="2" t="s">
        <v>30</v>
      </c>
      <c r="B72" s="496">
        <v>45721</v>
      </c>
      <c r="C72" s="502">
        <v>17</v>
      </c>
      <c r="D72" s="481" t="s">
        <v>49</v>
      </c>
      <c r="E72" s="481"/>
      <c r="F72" s="481"/>
      <c r="G72" s="2" t="s">
        <v>50</v>
      </c>
      <c r="H72" s="481">
        <v>1</v>
      </c>
      <c r="I72" s="481">
        <v>25</v>
      </c>
      <c r="J72" s="478">
        <f t="shared" si="6"/>
        <v>25</v>
      </c>
      <c r="K72" s="499">
        <v>17</v>
      </c>
      <c r="L72" s="482">
        <f t="shared" si="9"/>
        <v>425</v>
      </c>
      <c r="M72" s="475"/>
      <c r="N72" s="481"/>
      <c r="O72" s="479"/>
      <c r="P72" s="500"/>
      <c r="Q72" s="500"/>
    </row>
    <row r="73" s="2" customFormat="1" ht="20.25" spans="1:21">
      <c r="A73" s="2" t="s">
        <v>30</v>
      </c>
      <c r="B73" s="496">
        <v>45721</v>
      </c>
      <c r="C73" s="502">
        <v>17</v>
      </c>
      <c r="D73" s="481"/>
      <c r="E73" s="481"/>
      <c r="F73" s="481"/>
      <c r="G73" s="2" t="s">
        <v>108</v>
      </c>
      <c r="H73" s="481">
        <v>1</v>
      </c>
      <c r="I73" s="481">
        <v>25</v>
      </c>
      <c r="J73" s="478">
        <f t="shared" si="6"/>
        <v>25</v>
      </c>
      <c r="K73" s="499">
        <v>17</v>
      </c>
      <c r="L73" s="482">
        <f t="shared" si="9"/>
        <v>425</v>
      </c>
      <c r="M73" s="475" t="s">
        <v>109</v>
      </c>
      <c r="N73" s="481"/>
      <c r="O73" s="479"/>
    </row>
    <row r="74" s="2" customFormat="1" ht="19" customHeight="1" spans="1:21">
      <c r="A74" s="2" t="s">
        <v>30</v>
      </c>
      <c r="B74" s="496">
        <v>45721</v>
      </c>
      <c r="C74" s="502">
        <v>17</v>
      </c>
      <c r="D74" s="481"/>
      <c r="E74" s="481"/>
      <c r="F74" s="481"/>
      <c r="G74" s="2" t="s">
        <v>110</v>
      </c>
      <c r="H74" s="481">
        <v>1</v>
      </c>
      <c r="I74" s="481">
        <v>2</v>
      </c>
      <c r="J74" s="478">
        <f t="shared" si="6"/>
        <v>2</v>
      </c>
      <c r="K74" s="499">
        <v>48</v>
      </c>
      <c r="L74" s="482">
        <f t="shared" si="9"/>
        <v>96</v>
      </c>
      <c r="M74" s="582"/>
      <c r="N74" s="475">
        <v>976</v>
      </c>
      <c r="O74" s="479"/>
      <c r="P74" s="500"/>
      <c r="Q74" s="500"/>
    </row>
    <row r="75" s="573" customFormat="1" ht="19" customHeight="1" spans="1:21">
      <c r="A75" s="2" t="s">
        <v>30</v>
      </c>
      <c r="B75" s="496">
        <v>45721</v>
      </c>
      <c r="C75" s="502">
        <v>17</v>
      </c>
      <c r="D75" s="585"/>
      <c r="E75" s="481"/>
      <c r="F75" s="481"/>
      <c r="G75" s="2" t="s">
        <v>28</v>
      </c>
      <c r="H75" s="481">
        <v>3</v>
      </c>
      <c r="I75" s="481">
        <v>20</v>
      </c>
      <c r="J75" s="478">
        <f t="shared" si="6"/>
        <v>60</v>
      </c>
      <c r="K75" s="482">
        <v>17</v>
      </c>
      <c r="L75" s="482">
        <f t="shared" si="9"/>
        <v>1020</v>
      </c>
      <c r="M75" s="475" t="s">
        <v>29</v>
      </c>
      <c r="N75" s="1"/>
      <c r="O75" s="587"/>
      <c r="P75" s="588"/>
      <c r="Q75" s="588"/>
    </row>
    <row r="76" s="573" customFormat="1" ht="19" customHeight="1" spans="1:21">
      <c r="A76" s="2" t="s">
        <v>30</v>
      </c>
      <c r="B76" s="496">
        <v>45721</v>
      </c>
      <c r="C76" s="502">
        <v>17</v>
      </c>
      <c r="D76" s="585"/>
      <c r="E76" s="481"/>
      <c r="F76" s="481"/>
      <c r="G76" s="2" t="s">
        <v>75</v>
      </c>
      <c r="H76" s="481">
        <v>1</v>
      </c>
      <c r="I76" s="481">
        <v>20</v>
      </c>
      <c r="J76" s="478">
        <f t="shared" si="6"/>
        <v>20</v>
      </c>
      <c r="K76" s="482">
        <v>17</v>
      </c>
      <c r="L76" s="482">
        <f t="shared" si="9"/>
        <v>340</v>
      </c>
      <c r="M76" s="475">
        <f>SUM(L72:L76)</f>
        <v>2306</v>
      </c>
      <c r="N76" s="1"/>
      <c r="O76" s="587"/>
      <c r="P76" s="588"/>
      <c r="Q76" s="588"/>
    </row>
    <row r="77" s="574" customFormat="1" ht="19" customHeight="1" spans="1:21">
      <c r="A77" s="473" t="s">
        <v>55</v>
      </c>
      <c r="B77" s="501">
        <v>45724</v>
      </c>
      <c r="C77" s="510">
        <v>25</v>
      </c>
      <c r="D77" s="533" t="s">
        <v>111</v>
      </c>
      <c r="E77" s="494"/>
      <c r="F77" s="494"/>
      <c r="G77" s="473" t="s">
        <v>66</v>
      </c>
      <c r="H77" s="494">
        <v>1</v>
      </c>
      <c r="I77" s="494">
        <v>5</v>
      </c>
      <c r="J77" s="488">
        <f t="shared" si="6"/>
        <v>5</v>
      </c>
      <c r="K77" s="491">
        <v>18</v>
      </c>
      <c r="L77" s="491">
        <f t="shared" si="9"/>
        <v>90</v>
      </c>
      <c r="M77" s="485"/>
      <c r="N77" s="594"/>
      <c r="O77" s="595"/>
      <c r="P77" s="596"/>
      <c r="Q77" s="596"/>
    </row>
    <row r="78" s="574" customFormat="1" ht="19" customHeight="1" spans="1:21">
      <c r="A78" s="473" t="s">
        <v>55</v>
      </c>
      <c r="B78" s="501">
        <v>45724</v>
      </c>
      <c r="C78" s="510">
        <v>25</v>
      </c>
      <c r="D78" s="533" t="s">
        <v>112</v>
      </c>
      <c r="E78" s="494"/>
      <c r="F78" s="494"/>
      <c r="G78" s="473" t="s">
        <v>113</v>
      </c>
      <c r="H78" s="494">
        <v>1</v>
      </c>
      <c r="I78" s="494">
        <v>5</v>
      </c>
      <c r="J78" s="488">
        <f t="shared" si="6"/>
        <v>5</v>
      </c>
      <c r="K78" s="491">
        <v>17</v>
      </c>
      <c r="L78" s="491">
        <f t="shared" si="9"/>
        <v>85</v>
      </c>
      <c r="M78" s="485"/>
      <c r="N78" s="594"/>
      <c r="O78" s="595"/>
      <c r="P78" s="596"/>
      <c r="Q78" s="596"/>
    </row>
    <row r="79" s="574" customFormat="1" ht="19" customHeight="1" spans="1:21">
      <c r="A79" s="473" t="s">
        <v>55</v>
      </c>
      <c r="B79" s="501">
        <v>45724</v>
      </c>
      <c r="C79" s="510">
        <v>25</v>
      </c>
      <c r="D79" s="533" t="s">
        <v>114</v>
      </c>
      <c r="E79" s="494"/>
      <c r="F79" s="494"/>
      <c r="G79" s="473" t="s">
        <v>68</v>
      </c>
      <c r="H79" s="494">
        <v>1</v>
      </c>
      <c r="I79" s="494">
        <v>5</v>
      </c>
      <c r="J79" s="488">
        <f t="shared" si="6"/>
        <v>5</v>
      </c>
      <c r="K79" s="491">
        <v>18</v>
      </c>
      <c r="L79" s="491">
        <f t="shared" si="9"/>
        <v>90</v>
      </c>
      <c r="M79" s="485"/>
      <c r="N79" s="594"/>
      <c r="O79" s="595"/>
      <c r="P79" s="596"/>
      <c r="Q79" s="596"/>
    </row>
    <row r="80" s="574" customFormat="1" ht="19" customHeight="1" spans="1:21">
      <c r="A80" s="473" t="s">
        <v>55</v>
      </c>
      <c r="B80" s="501">
        <v>45724</v>
      </c>
      <c r="C80" s="510">
        <v>25</v>
      </c>
      <c r="D80" s="533" t="s">
        <v>115</v>
      </c>
      <c r="E80" s="494"/>
      <c r="F80" s="494"/>
      <c r="G80" s="473" t="s">
        <v>116</v>
      </c>
      <c r="H80" s="494">
        <v>1</v>
      </c>
      <c r="I80" s="494">
        <v>5</v>
      </c>
      <c r="J80" s="488">
        <f t="shared" si="6"/>
        <v>5</v>
      </c>
      <c r="K80" s="491">
        <v>17</v>
      </c>
      <c r="L80" s="491">
        <f t="shared" si="9"/>
        <v>85</v>
      </c>
      <c r="M80" s="485"/>
      <c r="N80" s="594">
        <f>SUM(L77:L80)</f>
        <v>350</v>
      </c>
      <c r="O80" s="595"/>
      <c r="P80" s="596"/>
      <c r="Q80" s="596"/>
    </row>
    <row r="81" s="2" customFormat="1" ht="19" customHeight="1" spans="1:17">
      <c r="A81" s="2" t="s">
        <v>30</v>
      </c>
      <c r="B81" s="496">
        <v>45726</v>
      </c>
      <c r="C81" s="502">
        <v>32</v>
      </c>
      <c r="D81" s="481" t="s">
        <v>71</v>
      </c>
      <c r="E81" s="481"/>
      <c r="F81" s="481"/>
      <c r="G81" s="2" t="s">
        <v>117</v>
      </c>
      <c r="H81" s="481">
        <v>1</v>
      </c>
      <c r="I81" s="481">
        <v>5</v>
      </c>
      <c r="J81" s="478">
        <f t="shared" si="6"/>
        <v>5</v>
      </c>
      <c r="K81" s="499">
        <v>48</v>
      </c>
      <c r="L81" s="597">
        <f t="shared" si="9"/>
        <v>240</v>
      </c>
      <c r="M81" s="582"/>
      <c r="N81" s="475">
        <f>L81</f>
        <v>240</v>
      </c>
      <c r="O81" s="479"/>
      <c r="P81" s="500"/>
      <c r="Q81" s="500"/>
    </row>
    <row r="82" s="473" customFormat="1" ht="20.25" spans="1:17">
      <c r="A82" s="473" t="s">
        <v>55</v>
      </c>
      <c r="B82" s="501">
        <v>45727</v>
      </c>
      <c r="C82" s="510">
        <v>35</v>
      </c>
      <c r="D82" s="494" t="s">
        <v>81</v>
      </c>
      <c r="E82" s="494"/>
      <c r="F82" s="494"/>
      <c r="G82" s="580" t="s">
        <v>82</v>
      </c>
      <c r="H82" s="494">
        <v>1</v>
      </c>
      <c r="I82" s="494">
        <v>25</v>
      </c>
      <c r="J82" s="488">
        <f t="shared" si="6"/>
        <v>25</v>
      </c>
      <c r="K82" s="491">
        <v>17</v>
      </c>
      <c r="L82" s="511">
        <f t="shared" ref="L82:L103" si="10">J82*K82</f>
        <v>425</v>
      </c>
      <c r="M82" s="485"/>
      <c r="N82" s="494"/>
      <c r="O82" s="489"/>
      <c r="P82" s="513"/>
      <c r="Q82" s="513"/>
    </row>
    <row r="83" s="574" customFormat="1" ht="19" customHeight="1" spans="1:17">
      <c r="A83" s="473" t="s">
        <v>55</v>
      </c>
      <c r="B83" s="501">
        <v>45727</v>
      </c>
      <c r="C83" s="510">
        <v>35</v>
      </c>
      <c r="D83" s="598" t="s">
        <v>111</v>
      </c>
      <c r="E83" s="508"/>
      <c r="F83" s="508"/>
      <c r="G83" s="578" t="s">
        <v>66</v>
      </c>
      <c r="H83" s="508">
        <v>1</v>
      </c>
      <c r="I83" s="508">
        <v>25</v>
      </c>
      <c r="J83" s="599">
        <f t="shared" si="6"/>
        <v>25</v>
      </c>
      <c r="K83" s="597">
        <v>18</v>
      </c>
      <c r="L83" s="597">
        <f t="shared" si="10"/>
        <v>450</v>
      </c>
      <c r="M83" s="485" t="s">
        <v>118</v>
      </c>
      <c r="N83" s="594"/>
      <c r="O83" s="595"/>
      <c r="P83" s="596"/>
      <c r="Q83" s="596"/>
    </row>
    <row r="84" s="473" customFormat="1" ht="19" customHeight="1" spans="1:17">
      <c r="A84" s="473" t="s">
        <v>55</v>
      </c>
      <c r="B84" s="501">
        <v>45727</v>
      </c>
      <c r="C84" s="510">
        <v>35</v>
      </c>
      <c r="D84" s="494" t="s">
        <v>83</v>
      </c>
      <c r="E84" s="494"/>
      <c r="F84" s="494"/>
      <c r="G84" s="473" t="s">
        <v>84</v>
      </c>
      <c r="H84" s="494">
        <v>1</v>
      </c>
      <c r="I84" s="494">
        <v>20</v>
      </c>
      <c r="J84" s="488">
        <f t="shared" si="6"/>
        <v>20</v>
      </c>
      <c r="K84" s="511">
        <v>17</v>
      </c>
      <c r="L84" s="491">
        <f t="shared" si="10"/>
        <v>340</v>
      </c>
      <c r="M84" s="581"/>
      <c r="N84" s="485">
        <f>SUM(L82:L84)</f>
        <v>1215</v>
      </c>
      <c r="O84" s="489"/>
      <c r="P84" s="513"/>
      <c r="Q84" s="513"/>
    </row>
    <row r="85" s="473" customFormat="1" ht="19" customHeight="1" spans="1:17">
      <c r="A85" s="473" t="s">
        <v>55</v>
      </c>
      <c r="B85" s="501">
        <v>45727</v>
      </c>
      <c r="C85" s="510">
        <v>35</v>
      </c>
      <c r="D85" s="494" t="s">
        <v>9</v>
      </c>
      <c r="E85" s="494"/>
      <c r="F85" s="494"/>
      <c r="G85" s="473" t="s">
        <v>10</v>
      </c>
      <c r="H85" s="494">
        <v>2</v>
      </c>
      <c r="I85" s="494">
        <v>10</v>
      </c>
      <c r="J85" s="488">
        <f t="shared" si="6"/>
        <v>20</v>
      </c>
      <c r="K85" s="511">
        <v>17</v>
      </c>
      <c r="L85" s="491">
        <f t="shared" si="10"/>
        <v>340</v>
      </c>
      <c r="M85" s="581"/>
      <c r="N85" s="485">
        <f>SUM(L84:L85)</f>
        <v>680</v>
      </c>
      <c r="O85" s="489"/>
      <c r="P85" s="513"/>
      <c r="Q85" s="513"/>
    </row>
    <row r="86" s="2" customFormat="1" ht="19" customHeight="1" spans="1:17">
      <c r="A86" s="2" t="s">
        <v>55</v>
      </c>
      <c r="B86" s="496">
        <v>45731</v>
      </c>
      <c r="C86" s="502">
        <v>60</v>
      </c>
      <c r="D86" s="481" t="s">
        <v>26</v>
      </c>
      <c r="E86" s="481"/>
      <c r="F86" s="481"/>
      <c r="G86" s="2" t="s">
        <v>27</v>
      </c>
      <c r="H86" s="481">
        <v>1</v>
      </c>
      <c r="I86" s="481">
        <v>3</v>
      </c>
      <c r="J86" s="478">
        <f t="shared" si="6"/>
        <v>3</v>
      </c>
      <c r="K86" s="499">
        <v>48</v>
      </c>
      <c r="L86" s="482">
        <f t="shared" si="10"/>
        <v>144</v>
      </c>
      <c r="M86" s="582"/>
      <c r="N86" s="475"/>
      <c r="O86" s="479"/>
      <c r="P86" s="500"/>
      <c r="Q86" s="500"/>
    </row>
    <row r="87" s="2" customFormat="1" ht="19" customHeight="1" spans="1:17">
      <c r="A87" s="2" t="s">
        <v>55</v>
      </c>
      <c r="B87" s="496">
        <v>45731</v>
      </c>
      <c r="C87" s="502">
        <v>60</v>
      </c>
      <c r="D87" s="481"/>
      <c r="E87" s="481"/>
      <c r="F87" s="481"/>
      <c r="G87" s="2" t="s">
        <v>28</v>
      </c>
      <c r="H87" s="481">
        <v>1</v>
      </c>
      <c r="I87" s="481">
        <v>20</v>
      </c>
      <c r="J87" s="478">
        <f t="shared" si="6"/>
        <v>20</v>
      </c>
      <c r="K87" s="499">
        <v>17</v>
      </c>
      <c r="L87" s="482">
        <f t="shared" si="10"/>
        <v>340</v>
      </c>
      <c r="M87" s="582" t="s">
        <v>29</v>
      </c>
      <c r="N87" s="475"/>
      <c r="O87" s="479"/>
      <c r="P87" s="500"/>
      <c r="Q87" s="500"/>
    </row>
    <row r="88" s="2" customFormat="1" ht="20.25" spans="1:17">
      <c r="A88" s="2" t="s">
        <v>55</v>
      </c>
      <c r="B88" s="496">
        <v>45731</v>
      </c>
      <c r="C88" s="502">
        <v>60</v>
      </c>
      <c r="D88" s="481" t="s">
        <v>23</v>
      </c>
      <c r="E88" s="481"/>
      <c r="F88" s="481"/>
      <c r="G88" s="2" t="s">
        <v>24</v>
      </c>
      <c r="H88" s="481">
        <v>1</v>
      </c>
      <c r="I88" s="481">
        <v>24</v>
      </c>
      <c r="J88" s="478">
        <f t="shared" si="6"/>
        <v>24</v>
      </c>
      <c r="K88" s="499">
        <v>18</v>
      </c>
      <c r="L88" s="482">
        <f t="shared" si="10"/>
        <v>432</v>
      </c>
      <c r="M88" s="583"/>
      <c r="N88" s="475"/>
      <c r="O88" s="479"/>
      <c r="P88" s="500"/>
      <c r="Q88" s="500"/>
    </row>
    <row r="89" s="2" customFormat="1" ht="19" customHeight="1" spans="1:17">
      <c r="A89" s="2" t="s">
        <v>55</v>
      </c>
      <c r="B89" s="496">
        <v>45731</v>
      </c>
      <c r="C89" s="502">
        <v>60</v>
      </c>
      <c r="D89" s="481" t="s">
        <v>9</v>
      </c>
      <c r="E89" s="481"/>
      <c r="F89" s="481"/>
      <c r="G89" s="2" t="s">
        <v>10</v>
      </c>
      <c r="H89" s="481">
        <v>2</v>
      </c>
      <c r="I89" s="481">
        <v>20</v>
      </c>
      <c r="J89" s="478">
        <f t="shared" si="6"/>
        <v>40</v>
      </c>
      <c r="K89" s="499">
        <v>17</v>
      </c>
      <c r="L89" s="482">
        <f t="shared" si="10"/>
        <v>680</v>
      </c>
      <c r="M89" s="582"/>
      <c r="N89" s="475">
        <f>SUM(L86:L89)</f>
        <v>1596</v>
      </c>
      <c r="O89" s="479"/>
      <c r="P89" s="500"/>
      <c r="Q89" s="500"/>
    </row>
    <row r="90" s="574" customFormat="1" ht="19" customHeight="1" spans="1:17">
      <c r="A90" s="473" t="s">
        <v>30</v>
      </c>
      <c r="B90" s="501">
        <v>45733</v>
      </c>
      <c r="C90" s="510">
        <v>63</v>
      </c>
      <c r="D90" s="533"/>
      <c r="E90" s="494"/>
      <c r="F90" s="494"/>
      <c r="G90" s="473" t="s">
        <v>75</v>
      </c>
      <c r="H90" s="494">
        <v>2</v>
      </c>
      <c r="I90" s="494">
        <v>20</v>
      </c>
      <c r="J90" s="488">
        <f t="shared" si="6"/>
        <v>40</v>
      </c>
      <c r="K90" s="491">
        <v>17</v>
      </c>
      <c r="L90" s="491">
        <f t="shared" si="10"/>
        <v>680</v>
      </c>
      <c r="M90" s="485"/>
      <c r="N90" s="594"/>
      <c r="O90" s="595"/>
      <c r="P90" s="596"/>
      <c r="Q90" s="596"/>
    </row>
    <row r="91" s="473" customFormat="1" ht="20.25" spans="1:17">
      <c r="A91" s="473" t="s">
        <v>30</v>
      </c>
      <c r="B91" s="501">
        <v>45733</v>
      </c>
      <c r="C91" s="510">
        <v>63</v>
      </c>
      <c r="D91" s="533" t="s">
        <v>119</v>
      </c>
      <c r="E91" s="494"/>
      <c r="F91" s="494"/>
      <c r="G91" s="473" t="s">
        <v>120</v>
      </c>
      <c r="H91" s="494">
        <v>3</v>
      </c>
      <c r="I91" s="494">
        <v>25</v>
      </c>
      <c r="J91" s="488">
        <f t="shared" si="6"/>
        <v>75</v>
      </c>
      <c r="K91" s="491">
        <v>17</v>
      </c>
      <c r="L91" s="491">
        <f t="shared" si="10"/>
        <v>1275</v>
      </c>
      <c r="M91" s="485" t="s">
        <v>121</v>
      </c>
      <c r="N91" s="494"/>
      <c r="O91" s="489"/>
      <c r="P91" s="513"/>
      <c r="Q91" s="513"/>
    </row>
    <row r="92" s="473" customFormat="1" ht="20.25" spans="1:17">
      <c r="A92" s="473" t="s">
        <v>30</v>
      </c>
      <c r="B92" s="501">
        <v>45733</v>
      </c>
      <c r="C92" s="510">
        <v>63</v>
      </c>
      <c r="D92" s="533" t="s">
        <v>119</v>
      </c>
      <c r="E92" s="494"/>
      <c r="F92" s="494"/>
      <c r="G92" s="473" t="s">
        <v>120</v>
      </c>
      <c r="H92" s="494">
        <v>1</v>
      </c>
      <c r="I92" s="494">
        <v>26</v>
      </c>
      <c r="J92" s="488">
        <f t="shared" si="6"/>
        <v>26</v>
      </c>
      <c r="K92" s="491">
        <v>17</v>
      </c>
      <c r="L92" s="491">
        <f t="shared" si="10"/>
        <v>442</v>
      </c>
      <c r="M92" s="485" t="s">
        <v>121</v>
      </c>
      <c r="N92" s="494"/>
      <c r="O92" s="489"/>
      <c r="P92" s="513"/>
      <c r="Q92" s="513"/>
    </row>
    <row r="93" s="473" customFormat="1" ht="20.25" spans="1:17">
      <c r="A93" s="473" t="s">
        <v>30</v>
      </c>
      <c r="B93" s="501">
        <v>45733</v>
      </c>
      <c r="C93" s="510">
        <v>63</v>
      </c>
      <c r="D93" s="494" t="s">
        <v>49</v>
      </c>
      <c r="E93" s="494"/>
      <c r="F93" s="494"/>
      <c r="G93" s="473" t="s">
        <v>50</v>
      </c>
      <c r="H93" s="494">
        <v>2</v>
      </c>
      <c r="I93" s="494">
        <v>25</v>
      </c>
      <c r="J93" s="488">
        <f t="shared" si="6"/>
        <v>50</v>
      </c>
      <c r="K93" s="511">
        <v>17</v>
      </c>
      <c r="L93" s="491">
        <f t="shared" si="10"/>
        <v>850</v>
      </c>
      <c r="M93" s="485"/>
      <c r="N93" s="494">
        <f>SUM(L90:L93)</f>
        <v>3247</v>
      </c>
      <c r="O93" s="489"/>
      <c r="P93" s="513"/>
      <c r="Q93" s="513"/>
    </row>
    <row r="94" s="2" customFormat="1" ht="20.25" spans="1:17">
      <c r="A94" s="2" t="s">
        <v>55</v>
      </c>
      <c r="B94" s="496">
        <v>45737</v>
      </c>
      <c r="C94" s="502">
        <v>79</v>
      </c>
      <c r="D94" s="481" t="s">
        <v>5</v>
      </c>
      <c r="E94" s="481"/>
      <c r="F94" s="481"/>
      <c r="G94" s="503" t="s">
        <v>6</v>
      </c>
      <c r="H94" s="481">
        <v>2</v>
      </c>
      <c r="I94" s="481">
        <v>26</v>
      </c>
      <c r="J94" s="478">
        <f t="shared" si="6"/>
        <v>52</v>
      </c>
      <c r="K94" s="499">
        <v>18</v>
      </c>
      <c r="L94" s="482">
        <f t="shared" si="10"/>
        <v>936</v>
      </c>
      <c r="M94" s="475"/>
      <c r="N94" s="481"/>
      <c r="O94" s="479"/>
      <c r="P94" s="500"/>
      <c r="Q94" s="500"/>
    </row>
    <row r="95" s="2" customFormat="1" ht="19" customHeight="1" spans="1:17">
      <c r="A95" s="2" t="s">
        <v>55</v>
      </c>
      <c r="B95" s="496">
        <v>45737</v>
      </c>
      <c r="C95" s="502">
        <v>79</v>
      </c>
      <c r="D95" s="481" t="s">
        <v>9</v>
      </c>
      <c r="E95" s="481"/>
      <c r="F95" s="481"/>
      <c r="G95" s="2" t="s">
        <v>10</v>
      </c>
      <c r="H95" s="481">
        <v>2</v>
      </c>
      <c r="I95" s="481">
        <v>20</v>
      </c>
      <c r="J95" s="478">
        <f t="shared" si="6"/>
        <v>40</v>
      </c>
      <c r="K95" s="499">
        <v>17</v>
      </c>
      <c r="L95" s="482">
        <f t="shared" si="10"/>
        <v>680</v>
      </c>
      <c r="M95" s="582"/>
      <c r="N95" s="475">
        <f>SUM(L94:L95)</f>
        <v>1616</v>
      </c>
      <c r="O95" s="479"/>
      <c r="P95" s="500"/>
      <c r="Q95" s="500"/>
    </row>
    <row r="96" s="473" customFormat="1" ht="20.25" spans="1:17">
      <c r="A96" s="473" t="s">
        <v>30</v>
      </c>
      <c r="B96" s="501">
        <v>45737</v>
      </c>
      <c r="C96" s="510">
        <v>86</v>
      </c>
      <c r="D96" s="494" t="s">
        <v>105</v>
      </c>
      <c r="E96" s="494"/>
      <c r="F96" s="494"/>
      <c r="G96" s="473" t="s">
        <v>106</v>
      </c>
      <c r="H96" s="494">
        <v>2</v>
      </c>
      <c r="I96" s="494">
        <v>21</v>
      </c>
      <c r="J96" s="488">
        <f t="shared" si="6"/>
        <v>42</v>
      </c>
      <c r="K96" s="511">
        <v>21.5</v>
      </c>
      <c r="L96" s="491">
        <f t="shared" si="10"/>
        <v>903</v>
      </c>
      <c r="M96" s="600"/>
      <c r="N96" s="485"/>
      <c r="O96" s="489"/>
      <c r="P96" s="513"/>
      <c r="Q96" s="513"/>
    </row>
    <row r="97" s="473" customFormat="1" ht="19" customHeight="1" spans="1:17">
      <c r="A97" s="473" t="s">
        <v>30</v>
      </c>
      <c r="B97" s="501">
        <v>45737</v>
      </c>
      <c r="C97" s="510">
        <v>86</v>
      </c>
      <c r="D97" s="494">
        <v>105</v>
      </c>
      <c r="E97" s="494"/>
      <c r="F97" s="494"/>
      <c r="G97" s="473" t="s">
        <v>48</v>
      </c>
      <c r="H97" s="494">
        <v>1</v>
      </c>
      <c r="I97" s="494">
        <v>25</v>
      </c>
      <c r="J97" s="488">
        <f t="shared" si="6"/>
        <v>25</v>
      </c>
      <c r="K97" s="511">
        <v>18</v>
      </c>
      <c r="L97" s="491">
        <f t="shared" si="10"/>
        <v>450</v>
      </c>
      <c r="M97" s="581" t="s">
        <v>107</v>
      </c>
      <c r="N97" s="485">
        <f>SUM(L96:L98)</f>
        <v>2033</v>
      </c>
      <c r="O97" s="489"/>
      <c r="P97" s="513"/>
      <c r="Q97" s="513"/>
    </row>
    <row r="98" s="473" customFormat="1" ht="20.25" spans="1:17">
      <c r="A98" s="473" t="s">
        <v>30</v>
      </c>
      <c r="B98" s="501">
        <v>45737</v>
      </c>
      <c r="C98" s="510">
        <v>86</v>
      </c>
      <c r="D98" s="533"/>
      <c r="E98" s="494"/>
      <c r="F98" s="494"/>
      <c r="G98" s="473" t="s">
        <v>51</v>
      </c>
      <c r="H98" s="494">
        <v>2</v>
      </c>
      <c r="I98" s="494">
        <v>20</v>
      </c>
      <c r="J98" s="488">
        <f t="shared" si="6"/>
        <v>40</v>
      </c>
      <c r="K98" s="491">
        <v>17</v>
      </c>
      <c r="L98" s="491">
        <f t="shared" si="10"/>
        <v>680</v>
      </c>
      <c r="M98" s="485" t="s">
        <v>85</v>
      </c>
      <c r="N98" s="494"/>
      <c r="O98" s="489"/>
      <c r="P98" s="513"/>
      <c r="Q98" s="513"/>
    </row>
    <row r="99" s="2" customFormat="1" ht="19" customHeight="1" spans="1:17">
      <c r="A99" s="2" t="s">
        <v>55</v>
      </c>
      <c r="B99" s="496">
        <v>45740</v>
      </c>
      <c r="C99" s="502">
        <v>90</v>
      </c>
      <c r="D99" s="508" t="s">
        <v>122</v>
      </c>
      <c r="E99" s="508"/>
      <c r="F99" s="508"/>
      <c r="G99" s="500" t="s">
        <v>20</v>
      </c>
      <c r="H99" s="481">
        <v>1</v>
      </c>
      <c r="I99" s="481">
        <v>15</v>
      </c>
      <c r="J99" s="478">
        <f t="shared" si="6"/>
        <v>15</v>
      </c>
      <c r="K99" s="499">
        <v>17</v>
      </c>
      <c r="L99" s="482">
        <f t="shared" si="10"/>
        <v>255</v>
      </c>
      <c r="M99" s="582" t="s">
        <v>18</v>
      </c>
      <c r="N99" s="475"/>
      <c r="O99" s="479"/>
      <c r="P99" s="500"/>
      <c r="Q99" s="500"/>
    </row>
    <row r="100" s="2" customFormat="1" ht="19" customHeight="1" spans="1:17">
      <c r="A100" s="2" t="s">
        <v>55</v>
      </c>
      <c r="B100" s="496">
        <v>45740</v>
      </c>
      <c r="C100" s="502">
        <v>90</v>
      </c>
      <c r="D100" s="481" t="s">
        <v>26</v>
      </c>
      <c r="E100" s="481"/>
      <c r="F100" s="481"/>
      <c r="G100" s="2" t="s">
        <v>27</v>
      </c>
      <c r="H100" s="481">
        <v>1</v>
      </c>
      <c r="I100" s="481">
        <v>5</v>
      </c>
      <c r="J100" s="478">
        <f t="shared" si="6"/>
        <v>5</v>
      </c>
      <c r="K100" s="499">
        <v>48</v>
      </c>
      <c r="L100" s="482">
        <f t="shared" si="10"/>
        <v>240</v>
      </c>
      <c r="M100" s="582"/>
      <c r="N100" s="475"/>
      <c r="O100" s="479"/>
      <c r="P100" s="500"/>
      <c r="Q100" s="500"/>
    </row>
    <row r="101" s="2" customFormat="1" ht="19" customHeight="1" spans="1:17">
      <c r="A101" s="2" t="s">
        <v>55</v>
      </c>
      <c r="B101" s="496">
        <v>45740</v>
      </c>
      <c r="C101" s="502">
        <v>90</v>
      </c>
      <c r="D101" s="481" t="s">
        <v>26</v>
      </c>
      <c r="E101" s="481"/>
      <c r="F101" s="481"/>
      <c r="G101" s="2" t="s">
        <v>27</v>
      </c>
      <c r="H101" s="481">
        <v>1</v>
      </c>
      <c r="I101" s="481">
        <v>4</v>
      </c>
      <c r="J101" s="478">
        <f t="shared" si="6"/>
        <v>4</v>
      </c>
      <c r="K101" s="499">
        <v>48</v>
      </c>
      <c r="L101" s="482">
        <f t="shared" si="10"/>
        <v>192</v>
      </c>
      <c r="M101" s="582"/>
      <c r="N101" s="475"/>
      <c r="O101" s="479"/>
      <c r="P101" s="500"/>
      <c r="Q101" s="500"/>
    </row>
    <row r="102" s="473" customFormat="1" ht="19" customHeight="1" spans="1:17">
      <c r="A102" s="473" t="s">
        <v>55</v>
      </c>
      <c r="B102" s="501">
        <v>45741</v>
      </c>
      <c r="C102" s="510">
        <v>96</v>
      </c>
      <c r="D102" s="494"/>
      <c r="E102" s="494"/>
      <c r="F102" s="494"/>
      <c r="G102" s="473" t="s">
        <v>28</v>
      </c>
      <c r="H102" s="494">
        <v>1</v>
      </c>
      <c r="I102" s="494">
        <v>20</v>
      </c>
      <c r="J102" s="488">
        <f t="shared" si="6"/>
        <v>20</v>
      </c>
      <c r="K102" s="511">
        <v>17</v>
      </c>
      <c r="L102" s="491">
        <f t="shared" si="10"/>
        <v>340</v>
      </c>
      <c r="M102" s="581" t="s">
        <v>29</v>
      </c>
      <c r="N102" s="485"/>
      <c r="O102" s="489"/>
      <c r="P102" s="513"/>
      <c r="Q102" s="513"/>
    </row>
    <row r="103" s="474" customFormat="1" ht="19" customHeight="1" spans="1:17">
      <c r="A103" s="474" t="s">
        <v>55</v>
      </c>
      <c r="B103" s="520">
        <v>45742</v>
      </c>
      <c r="C103" s="521" t="s">
        <v>123</v>
      </c>
      <c r="D103" s="514" t="s">
        <v>124</v>
      </c>
      <c r="E103" s="514"/>
      <c r="F103" s="514"/>
      <c r="G103" s="474" t="s">
        <v>125</v>
      </c>
      <c r="H103" s="514">
        <v>1</v>
      </c>
      <c r="I103" s="514">
        <v>1</v>
      </c>
      <c r="J103" s="488">
        <f t="shared" si="6"/>
        <v>1</v>
      </c>
      <c r="K103" s="509"/>
      <c r="L103" s="523"/>
      <c r="M103" s="584" t="s">
        <v>126</v>
      </c>
      <c r="N103" s="524"/>
      <c r="O103" s="515"/>
      <c r="P103" s="526"/>
      <c r="Q103" s="526"/>
    </row>
    <row r="104" s="573" customFormat="1" ht="19" customHeight="1" spans="1:17">
      <c r="A104" s="2" t="s">
        <v>30</v>
      </c>
      <c r="B104" s="496">
        <v>45743</v>
      </c>
      <c r="C104" s="502">
        <v>113</v>
      </c>
      <c r="D104" s="585"/>
      <c r="E104" s="481"/>
      <c r="F104" s="481"/>
      <c r="G104" s="2" t="s">
        <v>28</v>
      </c>
      <c r="H104" s="481">
        <v>5</v>
      </c>
      <c r="I104" s="481">
        <v>20</v>
      </c>
      <c r="J104" s="478">
        <f t="shared" si="6"/>
        <v>100</v>
      </c>
      <c r="K104" s="482">
        <v>17</v>
      </c>
      <c r="L104" s="482">
        <f t="shared" ref="L104:L138" si="11">J104*K104</f>
        <v>1700</v>
      </c>
      <c r="M104" s="475" t="s">
        <v>29</v>
      </c>
      <c r="N104" s="1"/>
      <c r="O104" s="587"/>
      <c r="P104" s="588"/>
      <c r="Q104" s="588"/>
    </row>
    <row r="105" s="473" customFormat="1" ht="20.25" spans="1:17">
      <c r="A105" s="473" t="s">
        <v>55</v>
      </c>
      <c r="B105" s="501">
        <v>45748</v>
      </c>
      <c r="C105" s="510">
        <v>2</v>
      </c>
      <c r="D105" s="494" t="s">
        <v>12</v>
      </c>
      <c r="E105" s="494"/>
      <c r="F105" s="494"/>
      <c r="G105" s="473" t="s">
        <v>13</v>
      </c>
      <c r="H105" s="494">
        <v>1</v>
      </c>
      <c r="I105" s="494">
        <v>4</v>
      </c>
      <c r="J105" s="488">
        <f t="shared" ref="J105:J138" si="12">H105*I105</f>
        <v>4</v>
      </c>
      <c r="K105" s="511">
        <v>25</v>
      </c>
      <c r="L105" s="491">
        <f t="shared" si="11"/>
        <v>100</v>
      </c>
      <c r="M105" s="485"/>
      <c r="N105" s="485"/>
      <c r="O105" s="489"/>
      <c r="P105" s="513"/>
      <c r="Q105" s="513"/>
    </row>
    <row r="106" s="473" customFormat="1" ht="20.25" spans="1:17">
      <c r="A106" s="473" t="s">
        <v>55</v>
      </c>
      <c r="B106" s="501">
        <v>45748</v>
      </c>
      <c r="C106" s="510">
        <v>2</v>
      </c>
      <c r="D106" s="494" t="s">
        <v>23</v>
      </c>
      <c r="E106" s="494"/>
      <c r="F106" s="494"/>
      <c r="G106" s="473" t="s">
        <v>24</v>
      </c>
      <c r="H106" s="494">
        <v>1</v>
      </c>
      <c r="I106" s="494">
        <v>4</v>
      </c>
      <c r="J106" s="488">
        <f t="shared" si="12"/>
        <v>4</v>
      </c>
      <c r="K106" s="511">
        <v>18</v>
      </c>
      <c r="L106" s="491">
        <f t="shared" si="11"/>
        <v>72</v>
      </c>
      <c r="M106" s="600"/>
      <c r="N106" s="485"/>
      <c r="O106" s="489"/>
      <c r="P106" s="513"/>
      <c r="Q106" s="513"/>
    </row>
    <row r="107" s="473" customFormat="1" ht="20.25" spans="1:17">
      <c r="A107" s="473" t="s">
        <v>55</v>
      </c>
      <c r="B107" s="501">
        <v>45748</v>
      </c>
      <c r="C107" s="510">
        <v>2</v>
      </c>
      <c r="D107" s="494" t="s">
        <v>127</v>
      </c>
      <c r="E107" s="494"/>
      <c r="F107" s="494"/>
      <c r="G107" s="473" t="s">
        <v>128</v>
      </c>
      <c r="H107" s="494">
        <v>1</v>
      </c>
      <c r="I107" s="494">
        <v>1</v>
      </c>
      <c r="J107" s="488">
        <f t="shared" si="12"/>
        <v>1</v>
      </c>
      <c r="K107" s="511"/>
      <c r="L107" s="491"/>
      <c r="M107" s="600" t="s">
        <v>129</v>
      </c>
      <c r="N107" s="485"/>
      <c r="O107" s="489"/>
      <c r="P107" s="513"/>
      <c r="Q107" s="513"/>
    </row>
    <row r="108" s="473" customFormat="1" ht="20.25" spans="1:17">
      <c r="A108" s="473" t="s">
        <v>55</v>
      </c>
      <c r="B108" s="501">
        <v>45748</v>
      </c>
      <c r="C108" s="510">
        <v>2</v>
      </c>
      <c r="D108" s="494" t="s">
        <v>130</v>
      </c>
      <c r="E108" s="494"/>
      <c r="F108" s="494"/>
      <c r="G108" s="473" t="s">
        <v>131</v>
      </c>
      <c r="H108" s="494">
        <v>1</v>
      </c>
      <c r="I108" s="494">
        <v>1</v>
      </c>
      <c r="J108" s="488">
        <f t="shared" si="12"/>
        <v>1</v>
      </c>
      <c r="K108" s="511"/>
      <c r="L108" s="491"/>
      <c r="M108" s="600" t="s">
        <v>129</v>
      </c>
      <c r="N108" s="485"/>
      <c r="O108" s="489"/>
      <c r="P108" s="513"/>
      <c r="Q108" s="513"/>
    </row>
    <row r="109" s="574" customFormat="1" ht="19" customHeight="1" spans="1:17">
      <c r="A109" s="473" t="s">
        <v>55</v>
      </c>
      <c r="B109" s="501">
        <v>45748</v>
      </c>
      <c r="C109" s="510">
        <v>2</v>
      </c>
      <c r="D109" s="494" t="s">
        <v>115</v>
      </c>
      <c r="E109" s="494"/>
      <c r="F109" s="494"/>
      <c r="G109" s="473" t="s">
        <v>116</v>
      </c>
      <c r="H109" s="494">
        <v>1</v>
      </c>
      <c r="I109" s="494">
        <v>4</v>
      </c>
      <c r="J109" s="488">
        <f t="shared" si="12"/>
        <v>4</v>
      </c>
      <c r="K109" s="491">
        <v>17</v>
      </c>
      <c r="L109" s="491">
        <f t="shared" si="11"/>
        <v>68</v>
      </c>
      <c r="M109" s="485"/>
      <c r="N109" s="594"/>
      <c r="O109" s="595"/>
      <c r="P109" s="596"/>
      <c r="Q109" s="596"/>
    </row>
    <row r="110" s="473" customFormat="1" ht="19" customHeight="1" spans="1:17">
      <c r="A110" s="473" t="s">
        <v>55</v>
      </c>
      <c r="B110" s="501">
        <v>45748</v>
      </c>
      <c r="C110" s="510">
        <v>2</v>
      </c>
      <c r="D110" s="494" t="s">
        <v>21</v>
      </c>
      <c r="E110" s="494"/>
      <c r="F110" s="494"/>
      <c r="G110" s="473" t="s">
        <v>22</v>
      </c>
      <c r="H110" s="494">
        <v>1</v>
      </c>
      <c r="I110" s="494">
        <v>18</v>
      </c>
      <c r="J110" s="488">
        <f t="shared" si="12"/>
        <v>18</v>
      </c>
      <c r="K110" s="511">
        <v>9.5</v>
      </c>
      <c r="L110" s="491">
        <f t="shared" si="11"/>
        <v>171</v>
      </c>
      <c r="M110" s="581"/>
      <c r="N110" s="485"/>
      <c r="O110" s="489"/>
      <c r="P110" s="513"/>
      <c r="Q110" s="513"/>
    </row>
    <row r="111" s="473" customFormat="1" ht="19" customHeight="1" spans="1:17">
      <c r="A111" s="473" t="s">
        <v>55</v>
      </c>
      <c r="B111" s="501">
        <v>45748</v>
      </c>
      <c r="C111" s="510">
        <v>2</v>
      </c>
      <c r="D111" s="494" t="s">
        <v>9</v>
      </c>
      <c r="E111" s="494"/>
      <c r="F111" s="494"/>
      <c r="G111" s="473" t="s">
        <v>10</v>
      </c>
      <c r="H111" s="494">
        <v>1</v>
      </c>
      <c r="I111" s="494">
        <v>20</v>
      </c>
      <c r="J111" s="488">
        <f t="shared" si="12"/>
        <v>20</v>
      </c>
      <c r="K111" s="511">
        <v>17</v>
      </c>
      <c r="L111" s="491">
        <f t="shared" si="11"/>
        <v>340</v>
      </c>
      <c r="M111" s="581"/>
      <c r="N111" s="485">
        <f>SUM(L105:L111)</f>
        <v>751</v>
      </c>
      <c r="O111" s="489"/>
      <c r="P111" s="513"/>
      <c r="Q111" s="513"/>
    </row>
    <row r="112" s="2" customFormat="1" ht="20.25" spans="1:17">
      <c r="A112" s="2" t="s">
        <v>55</v>
      </c>
      <c r="B112" s="496">
        <v>45749</v>
      </c>
      <c r="C112" s="502">
        <v>16</v>
      </c>
      <c r="D112" s="494" t="s">
        <v>23</v>
      </c>
      <c r="E112" s="494"/>
      <c r="F112" s="494"/>
      <c r="G112" s="2" t="s">
        <v>24</v>
      </c>
      <c r="H112" s="481">
        <v>1</v>
      </c>
      <c r="I112" s="481">
        <v>4</v>
      </c>
      <c r="J112" s="478">
        <f t="shared" si="12"/>
        <v>4</v>
      </c>
      <c r="K112" s="499">
        <v>18</v>
      </c>
      <c r="L112" s="482">
        <f t="shared" si="11"/>
        <v>72</v>
      </c>
      <c r="M112" s="583"/>
      <c r="N112" s="475"/>
      <c r="O112" s="479"/>
      <c r="P112" s="500"/>
      <c r="Q112" s="500"/>
    </row>
    <row r="113" s="573" customFormat="1" ht="19" customHeight="1" spans="1:17">
      <c r="A113" s="2" t="s">
        <v>55</v>
      </c>
      <c r="B113" s="496">
        <v>45749</v>
      </c>
      <c r="C113" s="502">
        <v>16</v>
      </c>
      <c r="D113" s="494" t="s">
        <v>115</v>
      </c>
      <c r="E113" s="494"/>
      <c r="F113" s="494"/>
      <c r="G113" s="2" t="s">
        <v>132</v>
      </c>
      <c r="H113" s="481">
        <v>1</v>
      </c>
      <c r="I113" s="481">
        <v>12</v>
      </c>
      <c r="J113" s="478">
        <f t="shared" si="12"/>
        <v>12</v>
      </c>
      <c r="K113" s="482">
        <v>17</v>
      </c>
      <c r="L113" s="482">
        <f t="shared" si="11"/>
        <v>204</v>
      </c>
      <c r="M113" s="475"/>
      <c r="N113" s="1"/>
      <c r="O113" s="587"/>
      <c r="P113" s="588"/>
      <c r="Q113" s="588"/>
    </row>
    <row r="114" s="2" customFormat="1" ht="19" customHeight="1" spans="1:17">
      <c r="A114" s="2" t="s">
        <v>55</v>
      </c>
      <c r="B114" s="496">
        <v>45749</v>
      </c>
      <c r="C114" s="502">
        <v>16</v>
      </c>
      <c r="D114" s="494" t="s">
        <v>83</v>
      </c>
      <c r="E114" s="494"/>
      <c r="F114" s="494"/>
      <c r="G114" s="2" t="s">
        <v>84</v>
      </c>
      <c r="H114" s="481">
        <v>1</v>
      </c>
      <c r="I114" s="481">
        <v>20</v>
      </c>
      <c r="J114" s="478">
        <f t="shared" si="12"/>
        <v>20</v>
      </c>
      <c r="K114" s="499">
        <v>17</v>
      </c>
      <c r="L114" s="482">
        <f t="shared" si="11"/>
        <v>340</v>
      </c>
      <c r="M114" s="582"/>
      <c r="N114" s="475">
        <f>SUM(L112:L114)</f>
        <v>616</v>
      </c>
      <c r="O114" s="479"/>
      <c r="P114" s="500"/>
      <c r="Q114" s="500"/>
    </row>
    <row r="115" s="473" customFormat="1" ht="20.25" spans="1:17">
      <c r="A115" s="473" t="s">
        <v>55</v>
      </c>
      <c r="B115" s="501">
        <v>45756</v>
      </c>
      <c r="C115" s="510" t="s">
        <v>133</v>
      </c>
      <c r="D115" s="494" t="s">
        <v>130</v>
      </c>
      <c r="E115" s="494"/>
      <c r="F115" s="494"/>
      <c r="G115" s="473" t="s">
        <v>131</v>
      </c>
      <c r="H115" s="494">
        <v>1</v>
      </c>
      <c r="I115" s="494">
        <v>2</v>
      </c>
      <c r="J115" s="488">
        <f t="shared" si="12"/>
        <v>2</v>
      </c>
      <c r="K115" s="511">
        <v>18</v>
      </c>
      <c r="L115" s="491">
        <f t="shared" si="11"/>
        <v>36</v>
      </c>
      <c r="M115" s="600" t="s">
        <v>134</v>
      </c>
      <c r="N115" s="485"/>
      <c r="O115" s="489"/>
      <c r="P115" s="513"/>
      <c r="Q115" s="513"/>
    </row>
    <row r="116" s="575" customFormat="1" ht="19" customHeight="1" spans="1:17">
      <c r="A116" s="474" t="s">
        <v>55</v>
      </c>
      <c r="B116" s="520">
        <v>45756</v>
      </c>
      <c r="C116" s="521" t="s">
        <v>133</v>
      </c>
      <c r="D116" s="601" t="s">
        <v>112</v>
      </c>
      <c r="E116" s="514"/>
      <c r="F116" s="514"/>
      <c r="G116" s="474" t="s">
        <v>113</v>
      </c>
      <c r="H116" s="514">
        <v>1</v>
      </c>
      <c r="I116" s="514">
        <v>16</v>
      </c>
      <c r="J116" s="493">
        <f t="shared" si="12"/>
        <v>16</v>
      </c>
      <c r="K116" s="523">
        <v>17</v>
      </c>
      <c r="L116" s="523">
        <f t="shared" si="11"/>
        <v>272</v>
      </c>
      <c r="M116" s="524" t="s">
        <v>135</v>
      </c>
      <c r="N116" s="602"/>
      <c r="O116" s="603"/>
      <c r="P116" s="604"/>
      <c r="Q116" s="604"/>
    </row>
    <row r="117" s="575" customFormat="1" ht="19" customHeight="1" spans="1:17">
      <c r="A117" s="474" t="s">
        <v>55</v>
      </c>
      <c r="B117" s="520">
        <v>45756</v>
      </c>
      <c r="C117" s="521" t="s">
        <v>133</v>
      </c>
      <c r="D117" s="601" t="s">
        <v>115</v>
      </c>
      <c r="E117" s="514"/>
      <c r="F117" s="514"/>
      <c r="G117" s="474" t="s">
        <v>132</v>
      </c>
      <c r="H117" s="514">
        <v>1</v>
      </c>
      <c r="I117" s="514">
        <v>25</v>
      </c>
      <c r="J117" s="493">
        <f t="shared" si="12"/>
        <v>25</v>
      </c>
      <c r="K117" s="523">
        <v>17</v>
      </c>
      <c r="L117" s="523">
        <f t="shared" si="11"/>
        <v>425</v>
      </c>
      <c r="M117" s="524" t="s">
        <v>135</v>
      </c>
      <c r="N117" s="602"/>
      <c r="O117" s="603"/>
      <c r="P117" s="604"/>
      <c r="Q117" s="604"/>
    </row>
    <row r="118" s="473" customFormat="1" ht="19" customHeight="1" spans="1:17">
      <c r="A118" s="473" t="s">
        <v>55</v>
      </c>
      <c r="B118" s="501">
        <v>45756</v>
      </c>
      <c r="C118" s="510" t="s">
        <v>133</v>
      </c>
      <c r="D118" s="494" t="s">
        <v>83</v>
      </c>
      <c r="E118" s="494"/>
      <c r="F118" s="494"/>
      <c r="G118" s="473" t="s">
        <v>84</v>
      </c>
      <c r="H118" s="494">
        <v>2</v>
      </c>
      <c r="I118" s="494">
        <v>20</v>
      </c>
      <c r="J118" s="488">
        <f t="shared" si="12"/>
        <v>40</v>
      </c>
      <c r="K118" s="511">
        <v>17</v>
      </c>
      <c r="L118" s="491">
        <f t="shared" si="11"/>
        <v>680</v>
      </c>
      <c r="M118" s="581"/>
      <c r="N118" s="485">
        <f>SUM(L115:L118)</f>
        <v>1413</v>
      </c>
      <c r="O118" s="489"/>
      <c r="P118" s="513"/>
      <c r="Q118" s="513"/>
    </row>
    <row r="119" s="2" customFormat="1" ht="20.25" spans="1:17">
      <c r="A119" s="2" t="s">
        <v>55</v>
      </c>
      <c r="B119" s="496">
        <v>45766</v>
      </c>
      <c r="C119" s="502">
        <v>55</v>
      </c>
      <c r="D119" s="481" t="s">
        <v>23</v>
      </c>
      <c r="E119" s="481"/>
      <c r="F119" s="481"/>
      <c r="G119" s="2" t="s">
        <v>24</v>
      </c>
      <c r="H119" s="481">
        <v>1</v>
      </c>
      <c r="I119" s="481">
        <v>26</v>
      </c>
      <c r="J119" s="478">
        <f t="shared" si="12"/>
        <v>26</v>
      </c>
      <c r="K119" s="499">
        <v>18</v>
      </c>
      <c r="L119" s="482">
        <f t="shared" si="11"/>
        <v>468</v>
      </c>
      <c r="M119" s="583"/>
      <c r="N119" s="475"/>
      <c r="O119" s="479"/>
      <c r="P119" s="500"/>
      <c r="Q119" s="500"/>
    </row>
    <row r="120" s="473" customFormat="1" ht="19" customHeight="1" spans="1:17">
      <c r="A120" s="473" t="s">
        <v>30</v>
      </c>
      <c r="B120" s="501">
        <v>45768</v>
      </c>
      <c r="C120" s="510">
        <v>59</v>
      </c>
      <c r="D120" s="494">
        <v>105</v>
      </c>
      <c r="E120" s="494"/>
      <c r="F120" s="494"/>
      <c r="G120" s="473" t="s">
        <v>48</v>
      </c>
      <c r="H120" s="494">
        <v>1</v>
      </c>
      <c r="I120" s="494">
        <v>23</v>
      </c>
      <c r="J120" s="488">
        <f t="shared" si="12"/>
        <v>23</v>
      </c>
      <c r="K120" s="511">
        <v>18</v>
      </c>
      <c r="L120" s="491">
        <f t="shared" si="11"/>
        <v>414</v>
      </c>
      <c r="M120" s="581" t="s">
        <v>107</v>
      </c>
      <c r="N120" s="485"/>
      <c r="O120" s="489"/>
      <c r="P120" s="513"/>
      <c r="Q120" s="513"/>
    </row>
    <row r="121" s="473" customFormat="1" ht="20.25" spans="1:17">
      <c r="A121" s="473" t="s">
        <v>30</v>
      </c>
      <c r="B121" s="501">
        <v>45768</v>
      </c>
      <c r="C121" s="510">
        <v>59</v>
      </c>
      <c r="D121" s="533" t="s">
        <v>119</v>
      </c>
      <c r="E121" s="494"/>
      <c r="F121" s="494"/>
      <c r="G121" s="473" t="s">
        <v>120</v>
      </c>
      <c r="H121" s="494">
        <v>2</v>
      </c>
      <c r="I121" s="494">
        <v>25</v>
      </c>
      <c r="J121" s="488">
        <f t="shared" si="12"/>
        <v>50</v>
      </c>
      <c r="K121" s="491">
        <v>17</v>
      </c>
      <c r="L121" s="491">
        <f t="shared" si="11"/>
        <v>850</v>
      </c>
      <c r="M121" s="485" t="s">
        <v>121</v>
      </c>
      <c r="N121" s="494"/>
      <c r="O121" s="489"/>
      <c r="P121" s="513"/>
      <c r="Q121" s="513"/>
    </row>
    <row r="122" s="473" customFormat="1" ht="20.25" spans="1:17">
      <c r="A122" s="473" t="s">
        <v>30</v>
      </c>
      <c r="B122" s="501">
        <v>45768</v>
      </c>
      <c r="C122" s="510">
        <v>59</v>
      </c>
      <c r="D122" s="533" t="s">
        <v>119</v>
      </c>
      <c r="E122" s="494"/>
      <c r="F122" s="494"/>
      <c r="G122" s="473" t="s">
        <v>120</v>
      </c>
      <c r="H122" s="494">
        <v>2</v>
      </c>
      <c r="I122" s="494">
        <v>26</v>
      </c>
      <c r="J122" s="488">
        <f t="shared" si="12"/>
        <v>52</v>
      </c>
      <c r="K122" s="491">
        <v>17</v>
      </c>
      <c r="L122" s="491">
        <f t="shared" si="11"/>
        <v>884</v>
      </c>
      <c r="M122" s="485" t="s">
        <v>121</v>
      </c>
      <c r="N122" s="494"/>
      <c r="O122" s="489"/>
      <c r="P122" s="513">
        <f>SUM(L120:L122)</f>
        <v>2148</v>
      </c>
      <c r="Q122" s="513"/>
    </row>
    <row r="123" s="2" customFormat="1" ht="20.25" spans="1:17">
      <c r="A123" s="2" t="s">
        <v>55</v>
      </c>
      <c r="B123" s="496">
        <v>45768</v>
      </c>
      <c r="C123" s="502">
        <v>60</v>
      </c>
      <c r="D123" s="478" t="s">
        <v>2</v>
      </c>
      <c r="E123" s="478"/>
      <c r="F123" s="478"/>
      <c r="G123" s="471" t="s">
        <v>3</v>
      </c>
      <c r="H123" s="478">
        <v>2</v>
      </c>
      <c r="I123" s="478">
        <v>25</v>
      </c>
      <c r="J123" s="478">
        <f t="shared" si="12"/>
        <v>50</v>
      </c>
      <c r="K123" s="482">
        <v>17</v>
      </c>
      <c r="L123" s="482">
        <f t="shared" si="11"/>
        <v>850</v>
      </c>
      <c r="M123" s="475" t="s">
        <v>4</v>
      </c>
      <c r="N123" s="475"/>
      <c r="O123" s="475"/>
      <c r="P123" s="479"/>
      <c r="Q123" s="500"/>
    </row>
    <row r="124" s="2" customFormat="1" ht="20.25" spans="1:17">
      <c r="A124" s="2" t="s">
        <v>55</v>
      </c>
      <c r="B124" s="496">
        <v>45768</v>
      </c>
      <c r="C124" s="502">
        <v>60</v>
      </c>
      <c r="D124" s="481" t="s">
        <v>5</v>
      </c>
      <c r="E124" s="481"/>
      <c r="F124" s="481"/>
      <c r="G124" s="503" t="s">
        <v>6</v>
      </c>
      <c r="H124" s="481">
        <v>1</v>
      </c>
      <c r="I124" s="481">
        <v>25</v>
      </c>
      <c r="J124" s="478">
        <f t="shared" si="12"/>
        <v>25</v>
      </c>
      <c r="K124" s="499">
        <v>18</v>
      </c>
      <c r="L124" s="482">
        <f t="shared" si="11"/>
        <v>450</v>
      </c>
      <c r="M124" s="475"/>
      <c r="N124" s="481">
        <f>SUM(L123:L124)</f>
        <v>1300</v>
      </c>
      <c r="O124" s="479"/>
      <c r="P124" s="500"/>
      <c r="Q124" s="500"/>
    </row>
    <row r="125" s="473" customFormat="1" ht="20.25" spans="1:17">
      <c r="A125" s="473" t="s">
        <v>55</v>
      </c>
      <c r="B125" s="501">
        <v>45769</v>
      </c>
      <c r="C125" s="510">
        <v>69</v>
      </c>
      <c r="D125" s="494" t="s">
        <v>12</v>
      </c>
      <c r="E125" s="494"/>
      <c r="F125" s="494"/>
      <c r="G125" s="473" t="s">
        <v>13</v>
      </c>
      <c r="H125" s="494">
        <v>1</v>
      </c>
      <c r="I125" s="494">
        <v>2</v>
      </c>
      <c r="J125" s="488">
        <f t="shared" si="12"/>
        <v>2</v>
      </c>
      <c r="K125" s="511">
        <v>25</v>
      </c>
      <c r="L125" s="491">
        <f t="shared" si="11"/>
        <v>50</v>
      </c>
      <c r="M125" s="485"/>
      <c r="N125" s="485"/>
      <c r="O125" s="489"/>
      <c r="P125" s="513"/>
      <c r="Q125" s="513"/>
    </row>
    <row r="126" s="473" customFormat="1" ht="20.25" spans="1:17">
      <c r="A126" s="473" t="s">
        <v>55</v>
      </c>
      <c r="B126" s="501">
        <v>45769</v>
      </c>
      <c r="C126" s="510">
        <v>69</v>
      </c>
      <c r="D126" s="494" t="s">
        <v>23</v>
      </c>
      <c r="E126" s="494"/>
      <c r="F126" s="494"/>
      <c r="G126" s="473" t="s">
        <v>24</v>
      </c>
      <c r="H126" s="494">
        <v>1</v>
      </c>
      <c r="I126" s="494">
        <v>26</v>
      </c>
      <c r="J126" s="488">
        <f t="shared" si="12"/>
        <v>26</v>
      </c>
      <c r="K126" s="511">
        <v>18</v>
      </c>
      <c r="L126" s="491">
        <f t="shared" si="11"/>
        <v>468</v>
      </c>
      <c r="M126" s="600"/>
      <c r="N126" s="485">
        <f>SUM(L125:L126)</f>
        <v>518</v>
      </c>
      <c r="O126" s="489"/>
      <c r="P126" s="513"/>
      <c r="Q126" s="513"/>
    </row>
    <row r="127" s="2" customFormat="1" ht="20.25" spans="1:17">
      <c r="A127" s="2" t="s">
        <v>55</v>
      </c>
      <c r="B127" s="496">
        <v>45776</v>
      </c>
      <c r="C127" s="502">
        <v>96</v>
      </c>
      <c r="D127" s="481" t="s">
        <v>5</v>
      </c>
      <c r="E127" s="481"/>
      <c r="F127" s="481"/>
      <c r="G127" s="503" t="s">
        <v>6</v>
      </c>
      <c r="H127" s="481">
        <v>2</v>
      </c>
      <c r="I127" s="481">
        <v>26</v>
      </c>
      <c r="J127" s="478">
        <f t="shared" ref="J127:J170" si="13">H127*I127</f>
        <v>52</v>
      </c>
      <c r="K127" s="499">
        <v>18</v>
      </c>
      <c r="L127" s="482">
        <f t="shared" si="11"/>
        <v>936</v>
      </c>
      <c r="M127" s="475"/>
      <c r="N127" s="481"/>
      <c r="O127" s="479"/>
    </row>
    <row r="128" s="2" customFormat="1" ht="20.25" spans="1:17">
      <c r="A128" s="2" t="s">
        <v>55</v>
      </c>
      <c r="B128" s="496">
        <v>45776</v>
      </c>
      <c r="C128" s="502">
        <v>96</v>
      </c>
      <c r="D128" s="481" t="s">
        <v>23</v>
      </c>
      <c r="E128" s="481"/>
      <c r="F128" s="481"/>
      <c r="G128" s="2" t="s">
        <v>24</v>
      </c>
      <c r="H128" s="481">
        <v>2</v>
      </c>
      <c r="I128" s="481">
        <v>26</v>
      </c>
      <c r="J128" s="478">
        <f t="shared" si="13"/>
        <v>52</v>
      </c>
      <c r="K128" s="499">
        <v>18</v>
      </c>
      <c r="L128" s="482">
        <f t="shared" ref="L128:L145" si="14">J128*K128</f>
        <v>936</v>
      </c>
      <c r="M128" s="479"/>
      <c r="N128" s="475"/>
      <c r="O128" s="479"/>
    </row>
    <row r="129" s="573" customFormat="1" ht="19" customHeight="1" spans="1:17">
      <c r="A129" s="2" t="s">
        <v>55</v>
      </c>
      <c r="B129" s="496">
        <v>45776</v>
      </c>
      <c r="C129" s="502">
        <v>96</v>
      </c>
      <c r="D129" s="585" t="s">
        <v>112</v>
      </c>
      <c r="E129" s="481"/>
      <c r="F129" s="481"/>
      <c r="G129" s="2" t="s">
        <v>113</v>
      </c>
      <c r="H129" s="481">
        <v>1</v>
      </c>
      <c r="I129" s="481">
        <v>26</v>
      </c>
      <c r="J129" s="478">
        <f t="shared" si="13"/>
        <v>26</v>
      </c>
      <c r="K129" s="482">
        <v>17</v>
      </c>
      <c r="L129" s="482">
        <f t="shared" si="14"/>
        <v>442</v>
      </c>
      <c r="M129" s="524" t="s">
        <v>135</v>
      </c>
      <c r="N129" s="1"/>
      <c r="O129" s="587"/>
    </row>
    <row r="130" s="573" customFormat="1" ht="19" customHeight="1" spans="1:17">
      <c r="A130" s="2" t="s">
        <v>55</v>
      </c>
      <c r="B130" s="496">
        <v>45776</v>
      </c>
      <c r="C130" s="502">
        <v>96</v>
      </c>
      <c r="D130" s="585" t="s">
        <v>112</v>
      </c>
      <c r="E130" s="481"/>
      <c r="F130" s="481"/>
      <c r="G130" s="2" t="s">
        <v>113</v>
      </c>
      <c r="H130" s="481">
        <v>1</v>
      </c>
      <c r="I130" s="481">
        <v>25</v>
      </c>
      <c r="J130" s="478">
        <f t="shared" si="13"/>
        <v>25</v>
      </c>
      <c r="K130" s="482">
        <v>17</v>
      </c>
      <c r="L130" s="482">
        <f t="shared" si="14"/>
        <v>425</v>
      </c>
      <c r="M130" s="524" t="s">
        <v>135</v>
      </c>
      <c r="N130" s="1"/>
      <c r="O130" s="587"/>
    </row>
    <row r="131" s="573" customFormat="1" ht="19" customHeight="1" spans="1:17">
      <c r="A131" s="2" t="s">
        <v>55</v>
      </c>
      <c r="B131" s="496">
        <v>45776</v>
      </c>
      <c r="C131" s="502">
        <v>96</v>
      </c>
      <c r="D131" s="585" t="s">
        <v>115</v>
      </c>
      <c r="E131" s="481"/>
      <c r="F131" s="481"/>
      <c r="G131" s="2" t="s">
        <v>132</v>
      </c>
      <c r="H131" s="481">
        <v>1</v>
      </c>
      <c r="I131" s="481">
        <v>22</v>
      </c>
      <c r="J131" s="478">
        <f t="shared" si="13"/>
        <v>22</v>
      </c>
      <c r="K131" s="482">
        <v>17</v>
      </c>
      <c r="L131" s="482">
        <f t="shared" si="14"/>
        <v>374</v>
      </c>
      <c r="M131" s="524" t="s">
        <v>135</v>
      </c>
      <c r="N131" s="1"/>
      <c r="O131" s="587"/>
    </row>
    <row r="132" s="2" customFormat="1" ht="19" customHeight="1" spans="1:17">
      <c r="A132" s="2" t="s">
        <v>55</v>
      </c>
      <c r="B132" s="496">
        <v>45776</v>
      </c>
      <c r="C132" s="502">
        <v>96</v>
      </c>
      <c r="D132" s="481" t="s">
        <v>136</v>
      </c>
      <c r="E132" s="481"/>
      <c r="F132" s="481"/>
      <c r="G132" s="479" t="s">
        <v>137</v>
      </c>
      <c r="H132" s="481">
        <v>1</v>
      </c>
      <c r="I132" s="481">
        <v>20</v>
      </c>
      <c r="J132" s="478">
        <f t="shared" si="13"/>
        <v>20</v>
      </c>
      <c r="K132" s="499">
        <v>21.5</v>
      </c>
      <c r="L132" s="482">
        <f t="shared" si="14"/>
        <v>430</v>
      </c>
      <c r="M132" s="475" t="s">
        <v>138</v>
      </c>
      <c r="N132" s="312"/>
      <c r="O132" s="479"/>
    </row>
    <row r="133" s="2" customFormat="1" ht="19" customHeight="1" spans="1:17">
      <c r="A133" s="2" t="s">
        <v>55</v>
      </c>
      <c r="B133" s="496">
        <v>45776</v>
      </c>
      <c r="C133" s="502">
        <v>96</v>
      </c>
      <c r="D133" s="481"/>
      <c r="E133" s="481"/>
      <c r="F133" s="481"/>
      <c r="G133" s="2" t="s">
        <v>28</v>
      </c>
      <c r="H133" s="481">
        <v>1</v>
      </c>
      <c r="I133" s="481">
        <v>20</v>
      </c>
      <c r="J133" s="478">
        <f t="shared" si="13"/>
        <v>20</v>
      </c>
      <c r="K133" s="499">
        <v>17</v>
      </c>
      <c r="L133" s="482">
        <f t="shared" si="14"/>
        <v>340</v>
      </c>
      <c r="M133" s="582" t="s">
        <v>29</v>
      </c>
      <c r="N133" s="475"/>
      <c r="O133" s="479"/>
      <c r="P133" s="500"/>
      <c r="Q133" s="500"/>
    </row>
    <row r="134" s="2" customFormat="1" ht="19" customHeight="1" spans="1:17">
      <c r="A134" s="2" t="s">
        <v>55</v>
      </c>
      <c r="B134" s="496">
        <v>45776</v>
      </c>
      <c r="C134" s="502">
        <v>96</v>
      </c>
      <c r="D134" s="481" t="s">
        <v>9</v>
      </c>
      <c r="E134" s="481"/>
      <c r="F134" s="481"/>
      <c r="G134" s="2" t="s">
        <v>10</v>
      </c>
      <c r="H134" s="481">
        <v>1</v>
      </c>
      <c r="I134" s="481">
        <v>20</v>
      </c>
      <c r="J134" s="478">
        <f t="shared" si="13"/>
        <v>20</v>
      </c>
      <c r="K134" s="499">
        <v>17</v>
      </c>
      <c r="L134" s="482">
        <f t="shared" si="14"/>
        <v>340</v>
      </c>
      <c r="M134" s="582"/>
      <c r="N134" s="475"/>
      <c r="O134" s="479"/>
      <c r="P134" s="500"/>
      <c r="Q134" s="500"/>
    </row>
    <row r="135" s="2" customFormat="1" ht="19" customHeight="1" spans="1:17">
      <c r="A135" s="2" t="s">
        <v>55</v>
      </c>
      <c r="B135" s="496">
        <v>45776</v>
      </c>
      <c r="C135" s="502">
        <v>96</v>
      </c>
      <c r="D135" s="481" t="s">
        <v>9</v>
      </c>
      <c r="E135" s="481"/>
      <c r="F135" s="481"/>
      <c r="G135" s="2" t="s">
        <v>10</v>
      </c>
      <c r="H135" s="481">
        <v>3</v>
      </c>
      <c r="I135" s="481">
        <v>20</v>
      </c>
      <c r="J135" s="478">
        <f t="shared" si="13"/>
        <v>60</v>
      </c>
      <c r="K135" s="499">
        <v>17</v>
      </c>
      <c r="L135" s="482">
        <f t="shared" si="14"/>
        <v>1020</v>
      </c>
      <c r="M135" s="582"/>
      <c r="N135" s="475"/>
      <c r="O135" s="479"/>
      <c r="P135" s="500"/>
      <c r="Q135" s="500"/>
    </row>
    <row r="136" s="2" customFormat="1" ht="19" customHeight="1" spans="1:17">
      <c r="A136" s="2" t="s">
        <v>55</v>
      </c>
      <c r="B136" s="496">
        <v>45776</v>
      </c>
      <c r="C136" s="502">
        <v>96</v>
      </c>
      <c r="D136" s="481" t="s">
        <v>83</v>
      </c>
      <c r="E136" s="481"/>
      <c r="F136" s="481"/>
      <c r="G136" s="2" t="s">
        <v>84</v>
      </c>
      <c r="H136" s="481">
        <v>3</v>
      </c>
      <c r="I136" s="481">
        <v>20</v>
      </c>
      <c r="J136" s="478">
        <f t="shared" si="13"/>
        <v>60</v>
      </c>
      <c r="K136" s="499">
        <v>17</v>
      </c>
      <c r="L136" s="482">
        <f t="shared" si="14"/>
        <v>1020</v>
      </c>
      <c r="M136" s="582"/>
      <c r="N136" s="475">
        <f>SUM(L127:L136)</f>
        <v>6263</v>
      </c>
      <c r="O136" s="479"/>
      <c r="P136" s="500"/>
      <c r="Q136" s="500"/>
    </row>
    <row r="137" s="473" customFormat="1" ht="19" customHeight="1" spans="1:17">
      <c r="A137" s="473" t="s">
        <v>30</v>
      </c>
      <c r="B137" s="501">
        <v>45776</v>
      </c>
      <c r="C137" s="510">
        <v>97</v>
      </c>
      <c r="D137" s="494">
        <v>105</v>
      </c>
      <c r="E137" s="494"/>
      <c r="F137" s="494"/>
      <c r="G137" s="473" t="s">
        <v>48</v>
      </c>
      <c r="H137" s="494">
        <v>1</v>
      </c>
      <c r="I137" s="494">
        <v>25</v>
      </c>
      <c r="J137" s="488">
        <f t="shared" si="13"/>
        <v>25</v>
      </c>
      <c r="K137" s="511">
        <v>18</v>
      </c>
      <c r="L137" s="491">
        <f t="shared" si="14"/>
        <v>450</v>
      </c>
      <c r="M137" s="581" t="s">
        <v>107</v>
      </c>
      <c r="N137" s="485"/>
      <c r="O137" s="489"/>
      <c r="P137" s="513"/>
      <c r="Q137" s="513"/>
    </row>
    <row r="138" s="473" customFormat="1" ht="20.25" spans="1:17">
      <c r="A138" s="473" t="s">
        <v>30</v>
      </c>
      <c r="B138" s="501">
        <v>45776</v>
      </c>
      <c r="C138" s="510">
        <v>97</v>
      </c>
      <c r="D138" s="533"/>
      <c r="E138" s="494"/>
      <c r="F138" s="494"/>
      <c r="G138" s="473" t="s">
        <v>139</v>
      </c>
      <c r="H138" s="494">
        <v>1</v>
      </c>
      <c r="I138" s="494">
        <v>20</v>
      </c>
      <c r="J138" s="488">
        <f t="shared" si="13"/>
        <v>20</v>
      </c>
      <c r="K138" s="491">
        <v>17</v>
      </c>
      <c r="L138" s="491">
        <f t="shared" si="14"/>
        <v>340</v>
      </c>
      <c r="M138" s="485" t="s">
        <v>85</v>
      </c>
      <c r="N138" s="494"/>
      <c r="O138" s="489"/>
      <c r="P138" s="513"/>
      <c r="Q138" s="513"/>
    </row>
    <row r="139" s="224" customFormat="1" ht="20.25" spans="1:17">
      <c r="A139" s="473" t="s">
        <v>30</v>
      </c>
      <c r="B139" s="501">
        <v>45776</v>
      </c>
      <c r="C139" s="510">
        <v>97</v>
      </c>
      <c r="D139" s="494"/>
      <c r="E139" s="494"/>
      <c r="F139" s="494"/>
      <c r="G139" s="473" t="s">
        <v>86</v>
      </c>
      <c r="H139" s="494">
        <v>2</v>
      </c>
      <c r="I139" s="494">
        <v>26</v>
      </c>
      <c r="J139" s="488">
        <f t="shared" si="13"/>
        <v>52</v>
      </c>
      <c r="K139" s="511">
        <v>17</v>
      </c>
      <c r="L139" s="491">
        <f t="shared" si="14"/>
        <v>884</v>
      </c>
      <c r="M139" s="513"/>
      <c r="N139" s="513">
        <f>SUM(L137:L139)</f>
        <v>1674</v>
      </c>
      <c r="O139" s="513"/>
      <c r="P139" s="513"/>
      <c r="Q139" s="513"/>
    </row>
    <row r="140" s="2" customFormat="1" ht="19" customHeight="1" spans="1:17">
      <c r="A140" s="2" t="s">
        <v>55</v>
      </c>
      <c r="B140" s="496">
        <v>45777</v>
      </c>
      <c r="C140" s="502">
        <v>103</v>
      </c>
      <c r="D140" s="481"/>
      <c r="E140" s="481"/>
      <c r="F140" s="481"/>
      <c r="G140" s="2" t="s">
        <v>28</v>
      </c>
      <c r="H140" s="481">
        <v>2</v>
      </c>
      <c r="I140" s="481">
        <v>20</v>
      </c>
      <c r="J140" s="478">
        <f t="shared" si="13"/>
        <v>40</v>
      </c>
      <c r="K140" s="499">
        <v>17</v>
      </c>
      <c r="L140" s="482">
        <f t="shared" si="14"/>
        <v>680</v>
      </c>
      <c r="M140" s="582" t="s">
        <v>29</v>
      </c>
      <c r="N140" s="475"/>
      <c r="O140" s="479"/>
      <c r="P140" s="500"/>
      <c r="Q140" s="500"/>
    </row>
    <row r="141" s="2" customFormat="1" ht="19" customHeight="1" spans="1:17">
      <c r="A141" s="2" t="s">
        <v>55</v>
      </c>
      <c r="B141" s="496">
        <v>45777</v>
      </c>
      <c r="C141" s="502">
        <v>103</v>
      </c>
      <c r="D141" s="481" t="s">
        <v>9</v>
      </c>
      <c r="E141" s="481"/>
      <c r="F141" s="481"/>
      <c r="G141" s="2" t="s">
        <v>10</v>
      </c>
      <c r="H141" s="481">
        <v>1</v>
      </c>
      <c r="I141" s="481">
        <v>20</v>
      </c>
      <c r="J141" s="478">
        <f t="shared" si="13"/>
        <v>20</v>
      </c>
      <c r="K141" s="499">
        <v>17</v>
      </c>
      <c r="L141" s="482">
        <f t="shared" si="14"/>
        <v>340</v>
      </c>
      <c r="M141" s="582"/>
      <c r="N141" s="475"/>
      <c r="O141" s="479"/>
      <c r="P141" s="500"/>
      <c r="Q141" s="500"/>
    </row>
    <row r="142" s="473" customFormat="1" ht="20.25" spans="1:17">
      <c r="A142" s="473" t="s">
        <v>55</v>
      </c>
      <c r="B142" s="501">
        <v>45784</v>
      </c>
      <c r="C142" s="510">
        <v>10</v>
      </c>
      <c r="D142" s="494" t="s">
        <v>5</v>
      </c>
      <c r="E142" s="494"/>
      <c r="F142" s="494"/>
      <c r="G142" s="580" t="s">
        <v>6</v>
      </c>
      <c r="H142" s="494">
        <v>2</v>
      </c>
      <c r="I142" s="494">
        <v>25</v>
      </c>
      <c r="J142" s="488">
        <f t="shared" si="13"/>
        <v>50</v>
      </c>
      <c r="K142" s="511">
        <v>18</v>
      </c>
      <c r="L142" s="491">
        <f t="shared" si="14"/>
        <v>900</v>
      </c>
      <c r="M142" s="485"/>
      <c r="N142" s="494"/>
      <c r="O142" s="489"/>
    </row>
    <row r="143" s="473" customFormat="1" ht="20.25" spans="1:17">
      <c r="A143" s="473" t="s">
        <v>55</v>
      </c>
      <c r="B143" s="501">
        <v>45784</v>
      </c>
      <c r="C143" s="510">
        <v>10</v>
      </c>
      <c r="D143" s="494" t="s">
        <v>5</v>
      </c>
      <c r="E143" s="494"/>
      <c r="F143" s="494"/>
      <c r="G143" s="580" t="s">
        <v>6</v>
      </c>
      <c r="H143" s="494">
        <v>2</v>
      </c>
      <c r="I143" s="494">
        <v>2</v>
      </c>
      <c r="J143" s="488">
        <f t="shared" si="13"/>
        <v>4</v>
      </c>
      <c r="K143" s="511">
        <v>18</v>
      </c>
      <c r="L143" s="491">
        <f t="shared" si="14"/>
        <v>72</v>
      </c>
      <c r="M143" s="485"/>
      <c r="N143" s="494"/>
      <c r="O143" s="489"/>
    </row>
    <row r="144" s="473" customFormat="1" ht="19" customHeight="1" spans="1:17">
      <c r="A144" s="473" t="s">
        <v>55</v>
      </c>
      <c r="B144" s="501">
        <v>45784</v>
      </c>
      <c r="C144" s="510">
        <v>10</v>
      </c>
      <c r="D144" s="494" t="s">
        <v>9</v>
      </c>
      <c r="E144" s="494"/>
      <c r="F144" s="494"/>
      <c r="G144" s="473" t="s">
        <v>10</v>
      </c>
      <c r="H144" s="494">
        <v>2</v>
      </c>
      <c r="I144" s="494">
        <v>1</v>
      </c>
      <c r="J144" s="488">
        <f t="shared" si="13"/>
        <v>2</v>
      </c>
      <c r="K144" s="511">
        <v>17</v>
      </c>
      <c r="L144" s="491">
        <f t="shared" si="14"/>
        <v>34</v>
      </c>
      <c r="M144" s="581"/>
      <c r="N144" s="485"/>
      <c r="O144" s="489"/>
      <c r="P144" s="513"/>
      <c r="Q144" s="513"/>
    </row>
    <row r="145" s="473" customFormat="1" ht="19" customHeight="1" spans="1:21">
      <c r="A145" s="473" t="s">
        <v>55</v>
      </c>
      <c r="B145" s="501">
        <v>45784</v>
      </c>
      <c r="C145" s="510">
        <v>10</v>
      </c>
      <c r="D145" s="494" t="s">
        <v>9</v>
      </c>
      <c r="E145" s="494"/>
      <c r="F145" s="494"/>
      <c r="G145" s="473" t="s">
        <v>10</v>
      </c>
      <c r="H145" s="494">
        <v>1</v>
      </c>
      <c r="I145" s="494">
        <v>20</v>
      </c>
      <c r="J145" s="488">
        <f t="shared" si="13"/>
        <v>20</v>
      </c>
      <c r="K145" s="511">
        <v>17</v>
      </c>
      <c r="L145" s="491">
        <f t="shared" si="14"/>
        <v>340</v>
      </c>
      <c r="M145" s="581"/>
      <c r="N145" s="485"/>
      <c r="O145" s="489"/>
      <c r="P145" s="513"/>
      <c r="Q145" s="513"/>
    </row>
    <row r="146" s="473" customFormat="1" ht="19" customHeight="1" spans="1:21">
      <c r="A146" s="473" t="s">
        <v>55</v>
      </c>
      <c r="B146" s="501">
        <v>45784</v>
      </c>
      <c r="C146" s="510">
        <v>10</v>
      </c>
      <c r="D146" s="494" t="s">
        <v>9</v>
      </c>
      <c r="E146" s="494"/>
      <c r="F146" s="494"/>
      <c r="G146" s="473" t="s">
        <v>140</v>
      </c>
      <c r="H146" s="494">
        <v>2</v>
      </c>
      <c r="I146" s="494">
        <v>1</v>
      </c>
      <c r="J146" s="488">
        <f t="shared" si="13"/>
        <v>2</v>
      </c>
      <c r="K146" s="511"/>
      <c r="L146" s="491"/>
      <c r="M146" s="581"/>
      <c r="N146" s="485"/>
      <c r="O146" s="489"/>
      <c r="P146" s="513"/>
      <c r="Q146" s="513"/>
    </row>
    <row r="147" s="2" customFormat="1" ht="20.25" spans="1:21">
      <c r="A147" s="2" t="s">
        <v>87</v>
      </c>
      <c r="B147" s="496">
        <v>45785</v>
      </c>
      <c r="C147" s="502">
        <v>14</v>
      </c>
      <c r="D147" s="481" t="s">
        <v>88</v>
      </c>
      <c r="E147" s="481"/>
      <c r="F147" s="481"/>
      <c r="G147" s="2" t="s">
        <v>89</v>
      </c>
      <c r="H147" s="481">
        <v>4</v>
      </c>
      <c r="I147" s="481">
        <v>25</v>
      </c>
      <c r="J147" s="478">
        <f t="shared" si="13"/>
        <v>100</v>
      </c>
      <c r="K147" s="499">
        <v>11.5</v>
      </c>
      <c r="L147" s="499">
        <f t="shared" ref="L147:L170" si="15">J147*K147</f>
        <v>1150</v>
      </c>
      <c r="M147" s="506" t="s">
        <v>90</v>
      </c>
      <c r="N147" s="481"/>
      <c r="O147" s="479">
        <v>13</v>
      </c>
      <c r="P147" s="2">
        <f t="shared" ref="P147:P150" si="16">J147*O147</f>
        <v>1300</v>
      </c>
      <c r="Q147" s="500"/>
      <c r="U147" s="317" t="s">
        <v>91</v>
      </c>
    </row>
    <row r="148" s="2" customFormat="1" ht="20.25" spans="1:21">
      <c r="A148" s="2" t="s">
        <v>87</v>
      </c>
      <c r="B148" s="496">
        <v>45785</v>
      </c>
      <c r="C148" s="502">
        <v>14</v>
      </c>
      <c r="D148" s="481" t="s">
        <v>92</v>
      </c>
      <c r="E148" s="481"/>
      <c r="F148" s="481"/>
      <c r="G148" s="2" t="s">
        <v>93</v>
      </c>
      <c r="H148" s="481">
        <v>4</v>
      </c>
      <c r="I148" s="481">
        <v>20</v>
      </c>
      <c r="J148" s="478">
        <f t="shared" si="13"/>
        <v>80</v>
      </c>
      <c r="K148" s="499">
        <v>15</v>
      </c>
      <c r="L148" s="499">
        <f t="shared" si="15"/>
        <v>1200</v>
      </c>
      <c r="M148" s="506" t="s">
        <v>94</v>
      </c>
      <c r="N148" s="481"/>
      <c r="O148" s="479">
        <v>16.5</v>
      </c>
      <c r="P148" s="2">
        <f t="shared" si="16"/>
        <v>1320</v>
      </c>
      <c r="Q148" s="500"/>
      <c r="U148" s="317" t="s">
        <v>95</v>
      </c>
    </row>
    <row r="149" s="2" customFormat="1" ht="20.25" spans="1:21">
      <c r="A149" s="2" t="s">
        <v>87</v>
      </c>
      <c r="B149" s="496">
        <v>45785</v>
      </c>
      <c r="C149" s="502">
        <v>14</v>
      </c>
      <c r="D149" s="481"/>
      <c r="E149" s="481"/>
      <c r="F149" s="481"/>
      <c r="G149" s="2" t="s">
        <v>96</v>
      </c>
      <c r="H149" s="481">
        <v>2</v>
      </c>
      <c r="I149" s="481">
        <v>26</v>
      </c>
      <c r="J149" s="478">
        <f t="shared" si="13"/>
        <v>52</v>
      </c>
      <c r="K149" s="499">
        <v>15</v>
      </c>
      <c r="L149" s="499">
        <f t="shared" si="15"/>
        <v>780</v>
      </c>
      <c r="M149" s="506" t="s">
        <v>97</v>
      </c>
      <c r="N149" s="481"/>
      <c r="O149" s="479">
        <v>21.5</v>
      </c>
      <c r="P149" s="2">
        <f t="shared" si="16"/>
        <v>1118</v>
      </c>
      <c r="Q149" s="500"/>
      <c r="U149" s="317"/>
    </row>
    <row r="150" s="2" customFormat="1" ht="20.25" spans="1:21">
      <c r="A150" s="2" t="s">
        <v>87</v>
      </c>
      <c r="B150" s="496">
        <v>45785</v>
      </c>
      <c r="C150" s="502">
        <v>14</v>
      </c>
      <c r="D150" s="481"/>
      <c r="E150" s="481"/>
      <c r="F150" s="481"/>
      <c r="G150" s="2" t="s">
        <v>10</v>
      </c>
      <c r="H150" s="481">
        <v>3</v>
      </c>
      <c r="I150" s="481">
        <v>10</v>
      </c>
      <c r="J150" s="478">
        <f t="shared" si="13"/>
        <v>30</v>
      </c>
      <c r="K150" s="499">
        <v>15</v>
      </c>
      <c r="L150" s="499">
        <f t="shared" si="15"/>
        <v>450</v>
      </c>
      <c r="M150" s="506" t="s">
        <v>98</v>
      </c>
      <c r="N150" s="481">
        <f>SUM(L147:L150)</f>
        <v>3580</v>
      </c>
      <c r="O150" s="479">
        <v>21.5</v>
      </c>
      <c r="P150" s="2">
        <f t="shared" si="16"/>
        <v>645</v>
      </c>
      <c r="Q150" s="500">
        <f>SUM(P147:P150)</f>
        <v>4383</v>
      </c>
      <c r="U150" s="317"/>
    </row>
    <row r="151" s="574" customFormat="1" ht="19" customHeight="1" spans="1:21">
      <c r="A151" s="473" t="s">
        <v>55</v>
      </c>
      <c r="B151" s="501">
        <v>45785</v>
      </c>
      <c r="C151" s="510">
        <v>16</v>
      </c>
      <c r="D151" s="533" t="s">
        <v>112</v>
      </c>
      <c r="E151" s="494"/>
      <c r="F151" s="494"/>
      <c r="G151" s="473" t="s">
        <v>113</v>
      </c>
      <c r="H151" s="494">
        <v>1</v>
      </c>
      <c r="I151" s="494">
        <v>25</v>
      </c>
      <c r="J151" s="488">
        <f t="shared" si="13"/>
        <v>25</v>
      </c>
      <c r="K151" s="491">
        <v>17</v>
      </c>
      <c r="L151" s="491">
        <f t="shared" si="15"/>
        <v>425</v>
      </c>
      <c r="M151" s="524" t="s">
        <v>135</v>
      </c>
      <c r="N151" s="594"/>
      <c r="O151" s="595"/>
    </row>
    <row r="152" s="2" customFormat="1" ht="20.25" spans="1:21">
      <c r="A152" s="2" t="s">
        <v>55</v>
      </c>
      <c r="B152" s="496">
        <v>45789</v>
      </c>
      <c r="C152" s="502">
        <v>23</v>
      </c>
      <c r="D152" s="478" t="s">
        <v>2</v>
      </c>
      <c r="E152" s="478"/>
      <c r="F152" s="478"/>
      <c r="G152" s="471" t="s">
        <v>3</v>
      </c>
      <c r="H152" s="478">
        <v>1</v>
      </c>
      <c r="I152" s="478">
        <v>25</v>
      </c>
      <c r="J152" s="478">
        <f t="shared" si="13"/>
        <v>25</v>
      </c>
      <c r="K152" s="482">
        <v>17</v>
      </c>
      <c r="L152" s="482">
        <f t="shared" si="15"/>
        <v>425</v>
      </c>
      <c r="M152" s="475" t="s">
        <v>4</v>
      </c>
      <c r="N152" s="475"/>
      <c r="O152" s="475"/>
      <c r="P152" s="479"/>
      <c r="Q152" s="500"/>
    </row>
    <row r="153" s="2" customFormat="1" ht="19" customHeight="1" spans="1:21">
      <c r="A153" s="2" t="s">
        <v>55</v>
      </c>
      <c r="B153" s="496">
        <v>45789</v>
      </c>
      <c r="C153" s="502">
        <v>23</v>
      </c>
      <c r="D153" s="481"/>
      <c r="E153" s="481"/>
      <c r="F153" s="481"/>
      <c r="G153" s="2" t="s">
        <v>28</v>
      </c>
      <c r="H153" s="481">
        <v>2</v>
      </c>
      <c r="I153" s="481">
        <v>20</v>
      </c>
      <c r="J153" s="478">
        <f t="shared" si="13"/>
        <v>40</v>
      </c>
      <c r="K153" s="499">
        <v>17</v>
      </c>
      <c r="L153" s="482">
        <f t="shared" si="15"/>
        <v>680</v>
      </c>
      <c r="M153" s="582" t="s">
        <v>29</v>
      </c>
      <c r="N153" s="475"/>
      <c r="O153" s="479"/>
      <c r="P153" s="500"/>
      <c r="Q153" s="500"/>
    </row>
    <row r="154" s="2" customFormat="1" ht="20.25" spans="1:21">
      <c r="A154" s="2" t="s">
        <v>55</v>
      </c>
      <c r="B154" s="496">
        <v>45789</v>
      </c>
      <c r="C154" s="502">
        <v>23</v>
      </c>
      <c r="D154" s="478" t="s">
        <v>141</v>
      </c>
      <c r="E154" s="478"/>
      <c r="F154" s="478"/>
      <c r="G154" s="471" t="s">
        <v>142</v>
      </c>
      <c r="H154" s="478">
        <v>1</v>
      </c>
      <c r="I154" s="478">
        <v>7</v>
      </c>
      <c r="J154" s="478">
        <f t="shared" si="13"/>
        <v>7</v>
      </c>
      <c r="K154" s="482">
        <v>25</v>
      </c>
      <c r="L154" s="482">
        <f t="shared" si="15"/>
        <v>175</v>
      </c>
      <c r="M154" s="475"/>
      <c r="N154" s="475"/>
      <c r="O154" s="475"/>
      <c r="P154" s="479"/>
      <c r="Q154" s="500"/>
    </row>
    <row r="155" s="2" customFormat="1" ht="19" customHeight="1" spans="1:21">
      <c r="A155" s="2" t="s">
        <v>55</v>
      </c>
      <c r="B155" s="496">
        <v>45789</v>
      </c>
      <c r="C155" s="502">
        <v>23</v>
      </c>
      <c r="D155" s="481" t="s">
        <v>9</v>
      </c>
      <c r="E155" s="481"/>
      <c r="F155" s="481"/>
      <c r="G155" s="2" t="s">
        <v>10</v>
      </c>
      <c r="H155" s="481">
        <v>2</v>
      </c>
      <c r="I155" s="481">
        <v>20</v>
      </c>
      <c r="J155" s="478">
        <f t="shared" si="13"/>
        <v>40</v>
      </c>
      <c r="K155" s="499">
        <v>17</v>
      </c>
      <c r="L155" s="482">
        <f t="shared" si="15"/>
        <v>680</v>
      </c>
      <c r="M155" s="582">
        <f>SUM(L152:L155)</f>
        <v>1960</v>
      </c>
      <c r="N155" s="475"/>
      <c r="O155" s="479"/>
      <c r="P155" s="500"/>
      <c r="Q155" s="500"/>
    </row>
    <row r="156" s="473" customFormat="1" ht="20.25" spans="1:21">
      <c r="A156" s="473" t="s">
        <v>55</v>
      </c>
      <c r="B156" s="501">
        <v>45791</v>
      </c>
      <c r="C156" s="510">
        <v>36</v>
      </c>
      <c r="D156" s="494" t="s">
        <v>23</v>
      </c>
      <c r="E156" s="494"/>
      <c r="F156" s="494"/>
      <c r="G156" s="473" t="s">
        <v>24</v>
      </c>
      <c r="H156" s="494">
        <v>2</v>
      </c>
      <c r="I156" s="494">
        <v>26</v>
      </c>
      <c r="J156" s="488">
        <f t="shared" si="13"/>
        <v>52</v>
      </c>
      <c r="K156" s="511">
        <v>18</v>
      </c>
      <c r="L156" s="491">
        <f t="shared" si="15"/>
        <v>936</v>
      </c>
      <c r="M156" s="600"/>
      <c r="N156" s="485"/>
      <c r="O156" s="489"/>
      <c r="P156" s="513"/>
      <c r="Q156" s="513"/>
    </row>
    <row r="157" s="473" customFormat="1" ht="19" customHeight="1" spans="1:21">
      <c r="A157" s="473" t="s">
        <v>55</v>
      </c>
      <c r="B157" s="501">
        <v>45791</v>
      </c>
      <c r="C157" s="510">
        <v>36</v>
      </c>
      <c r="D157" s="494" t="s">
        <v>9</v>
      </c>
      <c r="E157" s="494"/>
      <c r="F157" s="494"/>
      <c r="G157" s="473" t="s">
        <v>10</v>
      </c>
      <c r="H157" s="494">
        <v>1</v>
      </c>
      <c r="I157" s="494">
        <v>20</v>
      </c>
      <c r="J157" s="488">
        <f t="shared" si="13"/>
        <v>20</v>
      </c>
      <c r="K157" s="511">
        <v>17</v>
      </c>
      <c r="L157" s="491">
        <f t="shared" si="15"/>
        <v>340</v>
      </c>
      <c r="M157" s="581">
        <f>SUM(L154:L157)</f>
        <v>2131</v>
      </c>
      <c r="N157" s="485"/>
      <c r="O157" s="489"/>
      <c r="P157" s="513"/>
      <c r="Q157" s="513"/>
    </row>
    <row r="158" s="2" customFormat="1" ht="20.25" spans="1:21">
      <c r="A158" s="2" t="s">
        <v>55</v>
      </c>
      <c r="B158" s="496">
        <v>45791</v>
      </c>
      <c r="C158" s="502">
        <v>40</v>
      </c>
      <c r="D158" s="481" t="s">
        <v>143</v>
      </c>
      <c r="E158" s="481"/>
      <c r="F158" s="481"/>
      <c r="G158" s="2" t="s">
        <v>131</v>
      </c>
      <c r="H158" s="481">
        <v>1</v>
      </c>
      <c r="I158" s="481">
        <v>10</v>
      </c>
      <c r="J158" s="478">
        <f t="shared" si="13"/>
        <v>10</v>
      </c>
      <c r="K158" s="499">
        <v>18</v>
      </c>
      <c r="L158" s="482">
        <f t="shared" si="15"/>
        <v>180</v>
      </c>
      <c r="M158" s="583" t="s">
        <v>129</v>
      </c>
      <c r="N158" s="475"/>
      <c r="O158" s="479"/>
      <c r="P158" s="500"/>
      <c r="Q158" s="500"/>
    </row>
    <row r="159" s="2" customFormat="1" ht="21" customHeight="1" spans="1:21">
      <c r="A159" s="2" t="s">
        <v>55</v>
      </c>
      <c r="B159" s="496">
        <v>45791</v>
      </c>
      <c r="C159" s="502">
        <v>40</v>
      </c>
      <c r="D159" s="481" t="s">
        <v>127</v>
      </c>
      <c r="E159" s="481"/>
      <c r="F159" s="481"/>
      <c r="G159" s="2" t="s">
        <v>128</v>
      </c>
      <c r="H159" s="481">
        <v>1</v>
      </c>
      <c r="I159" s="481">
        <v>5</v>
      </c>
      <c r="J159" s="478">
        <f t="shared" si="13"/>
        <v>5</v>
      </c>
      <c r="K159" s="499">
        <v>25</v>
      </c>
      <c r="L159" s="482">
        <f t="shared" si="15"/>
        <v>125</v>
      </c>
      <c r="M159" s="583" t="s">
        <v>129</v>
      </c>
      <c r="N159" s="475"/>
      <c r="O159" s="479"/>
      <c r="P159" s="500"/>
      <c r="Q159" s="500"/>
    </row>
    <row r="160" s="473" customFormat="1" ht="20.25" spans="1:21">
      <c r="A160" s="473" t="s">
        <v>55</v>
      </c>
      <c r="B160" s="501">
        <v>45796</v>
      </c>
      <c r="C160" s="510">
        <v>52</v>
      </c>
      <c r="D160" s="494" t="s">
        <v>144</v>
      </c>
      <c r="E160" s="494"/>
      <c r="F160" s="494"/>
      <c r="G160" s="473" t="s">
        <v>145</v>
      </c>
      <c r="H160" s="494">
        <v>2</v>
      </c>
      <c r="I160" s="494">
        <v>25</v>
      </c>
      <c r="J160" s="488">
        <f t="shared" si="13"/>
        <v>50</v>
      </c>
      <c r="K160" s="511">
        <v>12</v>
      </c>
      <c r="L160" s="511">
        <f t="shared" si="15"/>
        <v>600</v>
      </c>
      <c r="M160" s="224" t="s">
        <v>146</v>
      </c>
      <c r="N160" s="512"/>
      <c r="O160" s="489">
        <v>13</v>
      </c>
      <c r="P160" s="473">
        <f>J160*O160</f>
        <v>650</v>
      </c>
      <c r="Q160" s="513"/>
      <c r="U160" s="316" t="s">
        <v>91</v>
      </c>
    </row>
    <row r="161" s="473" customFormat="1" ht="20.25" spans="1:21">
      <c r="A161" s="473" t="s">
        <v>55</v>
      </c>
      <c r="B161" s="501">
        <v>45796</v>
      </c>
      <c r="C161" s="510">
        <v>52</v>
      </c>
      <c r="D161" s="494" t="s">
        <v>147</v>
      </c>
      <c r="E161" s="494"/>
      <c r="F161" s="494"/>
      <c r="G161" s="473" t="s">
        <v>93</v>
      </c>
      <c r="H161" s="494">
        <v>2</v>
      </c>
      <c r="I161" s="494">
        <v>20</v>
      </c>
      <c r="J161" s="488">
        <f t="shared" si="13"/>
        <v>40</v>
      </c>
      <c r="K161" s="511">
        <v>15.5</v>
      </c>
      <c r="L161" s="511">
        <f t="shared" si="15"/>
        <v>620</v>
      </c>
      <c r="M161" s="512" t="s">
        <v>148</v>
      </c>
      <c r="N161" s="494"/>
      <c r="O161" s="489">
        <v>16.5</v>
      </c>
      <c r="P161" s="473">
        <f>J161*O161</f>
        <v>660</v>
      </c>
      <c r="Q161" s="513"/>
      <c r="U161" s="316" t="s">
        <v>95</v>
      </c>
    </row>
    <row r="162" s="473" customFormat="1" ht="19" customHeight="1" spans="1:21">
      <c r="A162" s="473" t="s">
        <v>55</v>
      </c>
      <c r="B162" s="501">
        <v>45796</v>
      </c>
      <c r="C162" s="510">
        <v>52</v>
      </c>
      <c r="D162" s="494" t="s">
        <v>9</v>
      </c>
      <c r="E162" s="494"/>
      <c r="F162" s="494"/>
      <c r="G162" s="473" t="s">
        <v>10</v>
      </c>
      <c r="H162" s="494">
        <v>2</v>
      </c>
      <c r="I162" s="494">
        <v>20</v>
      </c>
      <c r="J162" s="488">
        <f t="shared" si="13"/>
        <v>40</v>
      </c>
      <c r="K162" s="511">
        <v>17</v>
      </c>
      <c r="L162" s="491">
        <f t="shared" si="15"/>
        <v>680</v>
      </c>
      <c r="M162" s="581">
        <f>SUM(L160:L162)</f>
        <v>1900</v>
      </c>
      <c r="N162" s="485"/>
      <c r="O162" s="489"/>
      <c r="P162" s="513"/>
      <c r="Q162" s="513"/>
    </row>
    <row r="163" s="473" customFormat="1" ht="19" customHeight="1" spans="1:21">
      <c r="A163" s="473" t="s">
        <v>55</v>
      </c>
      <c r="B163" s="501">
        <v>45796</v>
      </c>
      <c r="C163" s="510">
        <v>52</v>
      </c>
      <c r="D163" s="514" t="s">
        <v>149</v>
      </c>
      <c r="E163" s="514"/>
      <c r="F163" s="514"/>
      <c r="G163" s="474" t="s">
        <v>60</v>
      </c>
      <c r="H163" s="514">
        <v>5</v>
      </c>
      <c r="I163" s="514">
        <v>25</v>
      </c>
      <c r="J163" s="493">
        <f t="shared" si="13"/>
        <v>125</v>
      </c>
      <c r="K163" s="509">
        <v>11.3</v>
      </c>
      <c r="L163" s="523">
        <f t="shared" si="15"/>
        <v>1412.5</v>
      </c>
      <c r="M163" s="584" t="s">
        <v>150</v>
      </c>
      <c r="N163" s="485">
        <f>SUM(L160:L163)</f>
        <v>3312.5</v>
      </c>
      <c r="O163" s="489"/>
      <c r="P163" s="513"/>
      <c r="Q163" s="513"/>
    </row>
    <row r="164" s="2" customFormat="1" ht="19" customHeight="1" spans="1:21">
      <c r="A164" s="2" t="s">
        <v>30</v>
      </c>
      <c r="B164" s="496">
        <v>45796</v>
      </c>
      <c r="C164" s="502">
        <v>53</v>
      </c>
      <c r="D164" s="481"/>
      <c r="E164" s="481"/>
      <c r="F164" s="481"/>
      <c r="G164" s="2" t="s">
        <v>28</v>
      </c>
      <c r="H164" s="481">
        <v>2</v>
      </c>
      <c r="I164" s="481">
        <v>20</v>
      </c>
      <c r="J164" s="478">
        <f t="shared" si="13"/>
        <v>40</v>
      </c>
      <c r="K164" s="499">
        <v>17</v>
      </c>
      <c r="L164" s="482">
        <f t="shared" si="15"/>
        <v>680</v>
      </c>
      <c r="M164" s="582" t="s">
        <v>29</v>
      </c>
      <c r="N164" s="475"/>
      <c r="O164" s="479"/>
      <c r="P164" s="500"/>
      <c r="Q164" s="500"/>
    </row>
    <row r="165" s="473" customFormat="1" ht="20.25" spans="1:21">
      <c r="A165" s="473" t="s">
        <v>55</v>
      </c>
      <c r="B165" s="501">
        <v>45797</v>
      </c>
      <c r="C165" s="510">
        <v>56</v>
      </c>
      <c r="D165" s="494" t="s">
        <v>5</v>
      </c>
      <c r="E165" s="494"/>
      <c r="F165" s="494"/>
      <c r="G165" s="580" t="s">
        <v>6</v>
      </c>
      <c r="H165" s="494">
        <v>2</v>
      </c>
      <c r="I165" s="494">
        <v>25</v>
      </c>
      <c r="J165" s="488">
        <f t="shared" si="13"/>
        <v>50</v>
      </c>
      <c r="K165" s="511">
        <v>18</v>
      </c>
      <c r="L165" s="491">
        <f t="shared" si="15"/>
        <v>900</v>
      </c>
      <c r="M165" s="485" t="s">
        <v>151</v>
      </c>
      <c r="N165" s="494">
        <f>SUM(L164:L165)</f>
        <v>1580</v>
      </c>
      <c r="O165" s="489"/>
      <c r="P165" s="513"/>
      <c r="Q165" s="513"/>
    </row>
    <row r="166" s="473" customFormat="1" ht="19" customHeight="1" spans="1:21">
      <c r="A166" s="473" t="s">
        <v>55</v>
      </c>
      <c r="B166" s="501">
        <v>45797</v>
      </c>
      <c r="C166" s="510">
        <v>56</v>
      </c>
      <c r="D166" s="494" t="s">
        <v>9</v>
      </c>
      <c r="E166" s="494"/>
      <c r="F166" s="494"/>
      <c r="G166" s="473" t="s">
        <v>10</v>
      </c>
      <c r="H166" s="494">
        <v>2</v>
      </c>
      <c r="I166" s="494">
        <v>20</v>
      </c>
      <c r="J166" s="488">
        <f t="shared" si="13"/>
        <v>40</v>
      </c>
      <c r="K166" s="511">
        <v>17</v>
      </c>
      <c r="L166" s="491">
        <f t="shared" si="15"/>
        <v>680</v>
      </c>
      <c r="M166" s="581">
        <f>SUM(L164:L166)</f>
        <v>2260</v>
      </c>
      <c r="N166" s="485"/>
      <c r="O166" s="489"/>
      <c r="P166" s="513"/>
      <c r="Q166" s="513"/>
    </row>
    <row r="167" s="473" customFormat="1" ht="20.25" spans="1:21">
      <c r="A167" s="473" t="s">
        <v>55</v>
      </c>
      <c r="B167" s="501">
        <v>45797</v>
      </c>
      <c r="C167" s="510">
        <v>56</v>
      </c>
      <c r="D167" s="488" t="s">
        <v>2</v>
      </c>
      <c r="E167" s="488"/>
      <c r="F167" s="488"/>
      <c r="G167" s="472" t="s">
        <v>3</v>
      </c>
      <c r="H167" s="488">
        <v>1</v>
      </c>
      <c r="I167" s="488">
        <v>25</v>
      </c>
      <c r="J167" s="488">
        <f t="shared" si="13"/>
        <v>25</v>
      </c>
      <c r="K167" s="491">
        <v>17</v>
      </c>
      <c r="L167" s="491">
        <f t="shared" si="15"/>
        <v>425</v>
      </c>
      <c r="M167" s="485" t="s">
        <v>4</v>
      </c>
      <c r="N167" s="485"/>
      <c r="O167" s="485"/>
      <c r="P167" s="489"/>
      <c r="Q167" s="513"/>
    </row>
    <row r="168" s="473" customFormat="1" ht="20.25" spans="1:21">
      <c r="A168" s="473" t="s">
        <v>55</v>
      </c>
      <c r="B168" s="501">
        <v>45797</v>
      </c>
      <c r="C168" s="510">
        <v>56</v>
      </c>
      <c r="D168" s="488" t="s">
        <v>2</v>
      </c>
      <c r="E168" s="488"/>
      <c r="F168" s="488"/>
      <c r="G168" s="472" t="s">
        <v>3</v>
      </c>
      <c r="H168" s="488">
        <v>1</v>
      </c>
      <c r="I168" s="488">
        <v>26</v>
      </c>
      <c r="J168" s="488">
        <f t="shared" si="13"/>
        <v>26</v>
      </c>
      <c r="K168" s="491">
        <v>17</v>
      </c>
      <c r="L168" s="491">
        <f t="shared" si="15"/>
        <v>442</v>
      </c>
      <c r="M168" s="485" t="s">
        <v>4</v>
      </c>
      <c r="N168" s="485"/>
      <c r="O168" s="485"/>
      <c r="P168" s="489"/>
      <c r="Q168" s="513"/>
    </row>
    <row r="169" s="2" customFormat="1" ht="19" customHeight="1" spans="1:21">
      <c r="B169" s="496"/>
      <c r="C169" s="502"/>
      <c r="D169" s="605" t="s">
        <v>152</v>
      </c>
      <c r="E169" s="605"/>
      <c r="F169" s="605"/>
      <c r="G169" s="605"/>
      <c r="H169" s="481"/>
      <c r="I169" s="481"/>
      <c r="J169" s="478"/>
      <c r="K169" s="499"/>
      <c r="L169" s="482"/>
      <c r="M169" s="582"/>
      <c r="N169" s="475"/>
      <c r="O169" s="479"/>
      <c r="P169" s="500"/>
      <c r="Q169" s="500"/>
    </row>
    <row r="170" s="473" customFormat="1" ht="19" customHeight="1" spans="1:21">
      <c r="A170" s="473" t="s">
        <v>55</v>
      </c>
      <c r="B170" s="501">
        <v>45803</v>
      </c>
      <c r="C170" s="510">
        <v>63</v>
      </c>
      <c r="D170" s="494" t="s">
        <v>9</v>
      </c>
      <c r="E170" s="494"/>
      <c r="F170" s="494"/>
      <c r="G170" s="473" t="s">
        <v>10</v>
      </c>
      <c r="H170" s="494">
        <v>5</v>
      </c>
      <c r="I170" s="494">
        <v>20</v>
      </c>
      <c r="J170" s="488">
        <f t="shared" ref="J170:J178" si="17">H170*I170</f>
        <v>100</v>
      </c>
      <c r="K170" s="511">
        <v>16</v>
      </c>
      <c r="L170" s="491">
        <f t="shared" ref="L170:L178" si="18">J170*K170</f>
        <v>1600</v>
      </c>
      <c r="M170" s="581">
        <f t="shared" ref="M170:M174" si="19">SUM(L168:L170)</f>
        <v>2042</v>
      </c>
      <c r="N170" s="485"/>
      <c r="O170" s="489"/>
      <c r="P170" s="513"/>
      <c r="Q170" s="513"/>
    </row>
    <row r="171" s="2" customFormat="1" ht="20.25" spans="1:21">
      <c r="A171" s="2" t="s">
        <v>55</v>
      </c>
      <c r="B171" s="496">
        <v>45804</v>
      </c>
      <c r="C171" s="502">
        <v>66</v>
      </c>
      <c r="D171" s="481" t="s">
        <v>5</v>
      </c>
      <c r="E171" s="481"/>
      <c r="F171" s="481"/>
      <c r="G171" s="503" t="s">
        <v>6</v>
      </c>
      <c r="H171" s="481">
        <v>2</v>
      </c>
      <c r="I171" s="481">
        <v>26</v>
      </c>
      <c r="J171" s="478">
        <f t="shared" si="17"/>
        <v>52</v>
      </c>
      <c r="K171" s="499">
        <v>18</v>
      </c>
      <c r="L171" s="482">
        <f t="shared" si="18"/>
        <v>936</v>
      </c>
      <c r="M171" s="475"/>
      <c r="N171" s="481"/>
      <c r="O171" s="479"/>
      <c r="P171" s="500"/>
      <c r="Q171" s="500"/>
    </row>
    <row r="172" s="2" customFormat="1" ht="19" customHeight="1" spans="1:21">
      <c r="A172" s="2" t="s">
        <v>55</v>
      </c>
      <c r="B172" s="496">
        <v>45804</v>
      </c>
      <c r="C172" s="502">
        <v>66</v>
      </c>
      <c r="D172" s="481" t="s">
        <v>9</v>
      </c>
      <c r="E172" s="481"/>
      <c r="F172" s="481"/>
      <c r="G172" s="2" t="s">
        <v>10</v>
      </c>
      <c r="H172" s="481">
        <v>1</v>
      </c>
      <c r="I172" s="481">
        <v>20</v>
      </c>
      <c r="J172" s="478">
        <f t="shared" si="17"/>
        <v>20</v>
      </c>
      <c r="K172" s="499">
        <v>16</v>
      </c>
      <c r="L172" s="482">
        <f t="shared" si="18"/>
        <v>320</v>
      </c>
      <c r="M172" s="582">
        <f t="shared" si="19"/>
        <v>2856</v>
      </c>
      <c r="N172" s="475">
        <f>SUM(L171:L172)</f>
        <v>1256</v>
      </c>
      <c r="O172" s="479"/>
      <c r="P172" s="500"/>
      <c r="Q172" s="500"/>
    </row>
    <row r="173" s="574" customFormat="1" ht="19" customHeight="1" spans="1:21">
      <c r="A173" s="473" t="s">
        <v>55</v>
      </c>
      <c r="B173" s="501">
        <v>45812</v>
      </c>
      <c r="C173" s="510">
        <v>13</v>
      </c>
      <c r="D173" s="533" t="s">
        <v>112</v>
      </c>
      <c r="E173" s="494"/>
      <c r="F173" s="494"/>
      <c r="G173" s="473" t="s">
        <v>113</v>
      </c>
      <c r="H173" s="494">
        <v>1</v>
      </c>
      <c r="I173" s="494">
        <v>25</v>
      </c>
      <c r="J173" s="488">
        <f t="shared" si="17"/>
        <v>25</v>
      </c>
      <c r="K173" s="491">
        <v>17</v>
      </c>
      <c r="L173" s="491">
        <f t="shared" si="18"/>
        <v>425</v>
      </c>
      <c r="M173" s="485" t="s">
        <v>135</v>
      </c>
      <c r="N173" s="594"/>
      <c r="O173" s="595"/>
    </row>
    <row r="174" s="473" customFormat="1" ht="19" customHeight="1" spans="1:21">
      <c r="A174" s="473" t="s">
        <v>55</v>
      </c>
      <c r="B174" s="501">
        <v>45812</v>
      </c>
      <c r="C174" s="510">
        <v>13</v>
      </c>
      <c r="D174" s="494" t="s">
        <v>83</v>
      </c>
      <c r="E174" s="494"/>
      <c r="F174" s="494"/>
      <c r="G174" s="473" t="s">
        <v>84</v>
      </c>
      <c r="H174" s="494">
        <v>1</v>
      </c>
      <c r="I174" s="494">
        <v>20</v>
      </c>
      <c r="J174" s="488">
        <f t="shared" si="17"/>
        <v>20</v>
      </c>
      <c r="K174" s="511">
        <v>16</v>
      </c>
      <c r="L174" s="491">
        <f t="shared" si="18"/>
        <v>320</v>
      </c>
      <c r="M174" s="581"/>
      <c r="N174" s="485"/>
      <c r="O174" s="489"/>
      <c r="P174" s="513"/>
      <c r="Q174" s="513"/>
    </row>
    <row r="175" s="573" customFormat="1" ht="19" customHeight="1" spans="1:21">
      <c r="A175" s="2" t="s">
        <v>55</v>
      </c>
      <c r="B175" s="496">
        <v>45813</v>
      </c>
      <c r="C175" s="502">
        <v>14</v>
      </c>
      <c r="D175" s="585" t="s">
        <v>153</v>
      </c>
      <c r="E175" s="481"/>
      <c r="F175" s="481"/>
      <c r="G175" s="2" t="s">
        <v>154</v>
      </c>
      <c r="H175" s="481">
        <v>1</v>
      </c>
      <c r="I175" s="481">
        <v>10</v>
      </c>
      <c r="J175" s="478">
        <f t="shared" si="17"/>
        <v>10</v>
      </c>
      <c r="K175" s="482">
        <v>21.5</v>
      </c>
      <c r="L175" s="482">
        <f t="shared" si="18"/>
        <v>215</v>
      </c>
      <c r="M175" s="475" t="s">
        <v>104</v>
      </c>
      <c r="N175" s="1"/>
      <c r="O175" s="587"/>
    </row>
    <row r="176" s="473" customFormat="1" ht="19" customHeight="1" spans="1:21">
      <c r="A176" s="473" t="s">
        <v>55</v>
      </c>
      <c r="B176" s="501">
        <v>45814</v>
      </c>
      <c r="C176" s="510">
        <v>15</v>
      </c>
      <c r="D176" s="494"/>
      <c r="E176" s="494"/>
      <c r="F176" s="494"/>
      <c r="G176" s="473" t="s">
        <v>28</v>
      </c>
      <c r="H176" s="494">
        <v>1</v>
      </c>
      <c r="I176" s="494">
        <v>20</v>
      </c>
      <c r="J176" s="488">
        <f t="shared" si="17"/>
        <v>20</v>
      </c>
      <c r="K176" s="511">
        <v>17</v>
      </c>
      <c r="L176" s="491">
        <f t="shared" si="18"/>
        <v>340</v>
      </c>
      <c r="M176" s="581" t="s">
        <v>29</v>
      </c>
      <c r="N176" s="485"/>
      <c r="O176" s="489"/>
      <c r="P176" s="513"/>
      <c r="Q176" s="513"/>
    </row>
    <row r="177" s="473" customFormat="1" ht="19" customHeight="1" spans="1:18">
      <c r="A177" s="473" t="s">
        <v>55</v>
      </c>
      <c r="B177" s="501">
        <v>45814</v>
      </c>
      <c r="C177" s="510">
        <v>15</v>
      </c>
      <c r="D177" s="494" t="s">
        <v>9</v>
      </c>
      <c r="E177" s="494"/>
      <c r="F177" s="494"/>
      <c r="G177" s="473" t="s">
        <v>10</v>
      </c>
      <c r="H177" s="494">
        <v>1</v>
      </c>
      <c r="I177" s="494">
        <v>20</v>
      </c>
      <c r="J177" s="488">
        <f t="shared" si="17"/>
        <v>20</v>
      </c>
      <c r="K177" s="511">
        <v>17</v>
      </c>
      <c r="L177" s="491">
        <f t="shared" si="18"/>
        <v>340</v>
      </c>
      <c r="M177" s="581">
        <f>SUM(L175:L177)</f>
        <v>895</v>
      </c>
      <c r="N177" s="485"/>
      <c r="O177" s="489"/>
      <c r="P177" s="513"/>
      <c r="Q177" s="513"/>
    </row>
    <row r="178" s="573" customFormat="1" ht="19" customHeight="1" spans="1:18">
      <c r="A178" s="2" t="s">
        <v>55</v>
      </c>
      <c r="B178" s="496">
        <v>45816</v>
      </c>
      <c r="C178" s="502">
        <v>19</v>
      </c>
      <c r="D178" s="585" t="s">
        <v>112</v>
      </c>
      <c r="E178" s="481"/>
      <c r="F178" s="481"/>
      <c r="G178" s="2" t="s">
        <v>113</v>
      </c>
      <c r="H178" s="481">
        <v>1</v>
      </c>
      <c r="I178" s="481">
        <v>26</v>
      </c>
      <c r="J178" s="478">
        <f t="shared" si="17"/>
        <v>26</v>
      </c>
      <c r="K178" s="482">
        <v>17</v>
      </c>
      <c r="L178" s="482">
        <f t="shared" si="18"/>
        <v>442</v>
      </c>
      <c r="M178" s="475" t="s">
        <v>135</v>
      </c>
      <c r="N178" s="1"/>
      <c r="O178" s="587"/>
    </row>
    <row r="179" s="2" customFormat="1" ht="20.25" spans="1:18">
      <c r="A179" s="2" t="s">
        <v>55</v>
      </c>
      <c r="B179" s="496">
        <v>45816</v>
      </c>
      <c r="C179" s="502">
        <v>19</v>
      </c>
      <c r="D179" s="478" t="s">
        <v>2</v>
      </c>
      <c r="E179" s="478"/>
      <c r="F179" s="478"/>
      <c r="G179" s="471" t="s">
        <v>3</v>
      </c>
      <c r="H179" s="478">
        <v>1</v>
      </c>
      <c r="I179" s="478">
        <v>25</v>
      </c>
      <c r="J179" s="478">
        <f t="shared" ref="J179:J209" si="20">H179*I179</f>
        <v>25</v>
      </c>
      <c r="K179" s="482">
        <v>17</v>
      </c>
      <c r="L179" s="482">
        <f t="shared" ref="L179:L209" si="21">J179*K179</f>
        <v>425</v>
      </c>
      <c r="M179" s="475" t="s">
        <v>4</v>
      </c>
      <c r="N179" s="475"/>
      <c r="O179" s="475"/>
      <c r="P179" s="479"/>
      <c r="Q179" s="500"/>
    </row>
    <row r="180" s="2" customFormat="1" ht="20.25" spans="1:18">
      <c r="A180" s="2" t="s">
        <v>55</v>
      </c>
      <c r="B180" s="496">
        <v>45816</v>
      </c>
      <c r="C180" s="502">
        <v>19</v>
      </c>
      <c r="D180" s="481" t="s">
        <v>5</v>
      </c>
      <c r="E180" s="481"/>
      <c r="F180" s="481"/>
      <c r="G180" s="503" t="s">
        <v>6</v>
      </c>
      <c r="H180" s="481">
        <v>1</v>
      </c>
      <c r="I180" s="481">
        <v>25</v>
      </c>
      <c r="J180" s="478">
        <f t="shared" si="20"/>
        <v>25</v>
      </c>
      <c r="K180" s="499">
        <v>18</v>
      </c>
      <c r="L180" s="482">
        <f t="shared" si="21"/>
        <v>450</v>
      </c>
      <c r="M180" s="475"/>
      <c r="N180" s="481"/>
      <c r="O180" s="479"/>
      <c r="P180" s="500"/>
      <c r="Q180" s="500"/>
    </row>
    <row r="181" s="2" customFormat="1" ht="20.25" spans="1:18">
      <c r="A181" s="2" t="s">
        <v>55</v>
      </c>
      <c r="B181" s="496">
        <v>45816</v>
      </c>
      <c r="C181" s="502">
        <v>19</v>
      </c>
      <c r="D181" s="481" t="s">
        <v>23</v>
      </c>
      <c r="E181" s="481"/>
      <c r="F181" s="481"/>
      <c r="G181" s="2" t="s">
        <v>24</v>
      </c>
      <c r="H181" s="481">
        <v>1</v>
      </c>
      <c r="I181" s="481">
        <v>26</v>
      </c>
      <c r="J181" s="478">
        <f t="shared" si="20"/>
        <v>26</v>
      </c>
      <c r="K181" s="499">
        <v>18</v>
      </c>
      <c r="L181" s="482">
        <f t="shared" si="21"/>
        <v>468</v>
      </c>
      <c r="M181" s="479"/>
      <c r="N181" s="475"/>
      <c r="O181" s="479"/>
    </row>
    <row r="182" s="2" customFormat="1" ht="19" customHeight="1" spans="1:18">
      <c r="A182" s="2" t="s">
        <v>55</v>
      </c>
      <c r="B182" s="496">
        <v>45816</v>
      </c>
      <c r="C182" s="502">
        <v>19</v>
      </c>
      <c r="D182" s="481" t="s">
        <v>9</v>
      </c>
      <c r="E182" s="481"/>
      <c r="F182" s="481"/>
      <c r="G182" s="2" t="s">
        <v>10</v>
      </c>
      <c r="H182" s="481">
        <v>2</v>
      </c>
      <c r="I182" s="481">
        <v>20</v>
      </c>
      <c r="J182" s="478">
        <f t="shared" si="20"/>
        <v>40</v>
      </c>
      <c r="K182" s="499">
        <v>16</v>
      </c>
      <c r="L182" s="482">
        <f t="shared" si="21"/>
        <v>640</v>
      </c>
      <c r="M182" s="582">
        <f>SUM(L179:L182)</f>
        <v>1983</v>
      </c>
      <c r="N182" s="475">
        <f>SUM(L180:L182)</f>
        <v>1558</v>
      </c>
      <c r="O182" s="479"/>
      <c r="P182" s="500"/>
      <c r="Q182" s="500"/>
    </row>
    <row r="183" s="2" customFormat="1" ht="19" customHeight="1" spans="1:18">
      <c r="A183" s="2" t="s">
        <v>55</v>
      </c>
      <c r="B183" s="496">
        <v>45816</v>
      </c>
      <c r="C183" s="502">
        <v>19</v>
      </c>
      <c r="D183" s="481" t="s">
        <v>83</v>
      </c>
      <c r="E183" s="481"/>
      <c r="F183" s="481"/>
      <c r="G183" s="2" t="s">
        <v>84</v>
      </c>
      <c r="H183" s="481">
        <v>3</v>
      </c>
      <c r="I183" s="481">
        <v>20</v>
      </c>
      <c r="J183" s="478">
        <f t="shared" si="20"/>
        <v>60</v>
      </c>
      <c r="K183" s="499">
        <v>16</v>
      </c>
      <c r="L183" s="482">
        <f t="shared" si="21"/>
        <v>960</v>
      </c>
      <c r="M183" s="582"/>
      <c r="N183" s="475"/>
      <c r="O183" s="479"/>
      <c r="P183" s="500"/>
      <c r="Q183" s="500"/>
    </row>
    <row r="184" s="472" customFormat="1" ht="20.25" spans="1:18">
      <c r="A184" s="472" t="s">
        <v>55</v>
      </c>
      <c r="B184" s="606">
        <v>45817</v>
      </c>
      <c r="C184" s="472" t="s">
        <v>155</v>
      </c>
      <c r="D184" s="607" t="s">
        <v>57</v>
      </c>
      <c r="E184" s="607"/>
      <c r="F184" s="607"/>
      <c r="G184" s="472" t="s">
        <v>73</v>
      </c>
      <c r="H184" s="488">
        <v>1</v>
      </c>
      <c r="I184" s="488">
        <v>8</v>
      </c>
      <c r="J184" s="488">
        <f t="shared" si="20"/>
        <v>8</v>
      </c>
      <c r="K184" s="491">
        <v>17</v>
      </c>
      <c r="L184" s="491">
        <f t="shared" si="21"/>
        <v>136</v>
      </c>
      <c r="M184" s="581"/>
      <c r="N184" s="488"/>
      <c r="O184" s="489"/>
    </row>
    <row r="185" s="472" customFormat="1" ht="20.25" spans="1:18">
      <c r="A185" s="472" t="s">
        <v>55</v>
      </c>
      <c r="B185" s="606">
        <v>45817</v>
      </c>
      <c r="C185" s="472" t="s">
        <v>155</v>
      </c>
      <c r="D185" s="608" t="s">
        <v>156</v>
      </c>
      <c r="E185" s="607"/>
      <c r="F185" s="607"/>
      <c r="G185" s="472" t="s">
        <v>157</v>
      </c>
      <c r="H185" s="488">
        <v>1</v>
      </c>
      <c r="I185" s="488">
        <v>5</v>
      </c>
      <c r="J185" s="488">
        <f t="shared" si="20"/>
        <v>5</v>
      </c>
      <c r="K185" s="491">
        <v>17</v>
      </c>
      <c r="L185" s="491">
        <f t="shared" si="21"/>
        <v>85</v>
      </c>
      <c r="M185" s="581"/>
      <c r="N185" s="488"/>
      <c r="O185" s="489"/>
    </row>
    <row r="186" s="573" customFormat="1" ht="19" customHeight="1" spans="1:18">
      <c r="A186" s="2" t="s">
        <v>55</v>
      </c>
      <c r="B186" s="496">
        <v>45822</v>
      </c>
      <c r="C186" s="502">
        <v>45</v>
      </c>
      <c r="D186" s="585" t="s">
        <v>153</v>
      </c>
      <c r="E186" s="481"/>
      <c r="F186" s="481"/>
      <c r="G186" s="2" t="s">
        <v>154</v>
      </c>
      <c r="H186" s="481">
        <v>1</v>
      </c>
      <c r="I186" s="481"/>
      <c r="J186" s="478">
        <f t="shared" si="20"/>
        <v>0</v>
      </c>
      <c r="K186" s="482">
        <v>21.5</v>
      </c>
      <c r="L186" s="482">
        <f t="shared" si="21"/>
        <v>0</v>
      </c>
      <c r="M186" s="475" t="s">
        <v>104</v>
      </c>
      <c r="N186" s="1"/>
      <c r="O186" s="587"/>
    </row>
    <row r="187" s="2" customFormat="1" ht="20.25" spans="1:18">
      <c r="A187" s="2" t="s">
        <v>55</v>
      </c>
      <c r="B187" s="496">
        <v>45822</v>
      </c>
      <c r="C187" s="502">
        <v>45</v>
      </c>
      <c r="D187" s="481" t="s">
        <v>5</v>
      </c>
      <c r="E187" s="481"/>
      <c r="F187" s="481"/>
      <c r="G187" s="503" t="s">
        <v>6</v>
      </c>
      <c r="H187" s="481">
        <v>1</v>
      </c>
      <c r="I187" s="481">
        <v>25</v>
      </c>
      <c r="J187" s="478">
        <f t="shared" si="20"/>
        <v>25</v>
      </c>
      <c r="K187" s="499">
        <v>18</v>
      </c>
      <c r="L187" s="482">
        <f t="shared" si="21"/>
        <v>450</v>
      </c>
      <c r="M187" s="475"/>
      <c r="N187" s="481"/>
      <c r="O187" s="479"/>
      <c r="P187" s="500"/>
      <c r="Q187" s="500"/>
    </row>
    <row r="188" s="2" customFormat="1" ht="19" customHeight="1" spans="1:18">
      <c r="A188" s="2" t="s">
        <v>55</v>
      </c>
      <c r="B188" s="496">
        <v>45822</v>
      </c>
      <c r="C188" s="502">
        <v>45</v>
      </c>
      <c r="D188" s="481" t="s">
        <v>9</v>
      </c>
      <c r="E188" s="481"/>
      <c r="F188" s="481"/>
      <c r="G188" s="2" t="s">
        <v>10</v>
      </c>
      <c r="H188" s="481">
        <v>1</v>
      </c>
      <c r="I188" s="481">
        <v>20</v>
      </c>
      <c r="J188" s="478">
        <f t="shared" si="20"/>
        <v>20</v>
      </c>
      <c r="K188" s="499">
        <v>16</v>
      </c>
      <c r="L188" s="482">
        <f t="shared" si="21"/>
        <v>320</v>
      </c>
      <c r="M188" s="582">
        <f>SUM(L185:L188)</f>
        <v>855</v>
      </c>
      <c r="N188" s="475">
        <f>SUM(L186:L188)</f>
        <v>770</v>
      </c>
      <c r="O188" s="479"/>
      <c r="P188" s="500"/>
      <c r="Q188" s="500"/>
    </row>
    <row r="189" s="473" customFormat="1" ht="20.25" spans="1:18">
      <c r="A189" s="473" t="s">
        <v>55</v>
      </c>
      <c r="B189" s="501">
        <v>45825</v>
      </c>
      <c r="C189" s="510">
        <v>53</v>
      </c>
      <c r="D189" s="494" t="s">
        <v>5</v>
      </c>
      <c r="E189" s="494"/>
      <c r="F189" s="494"/>
      <c r="G189" s="580" t="s">
        <v>6</v>
      </c>
      <c r="H189" s="494">
        <v>1</v>
      </c>
      <c r="I189" s="494">
        <v>26</v>
      </c>
      <c r="J189" s="488">
        <f t="shared" si="20"/>
        <v>26</v>
      </c>
      <c r="K189" s="511">
        <v>18</v>
      </c>
      <c r="L189" s="491">
        <f t="shared" si="21"/>
        <v>468</v>
      </c>
      <c r="M189" s="485"/>
      <c r="N189" s="494"/>
      <c r="O189" s="489"/>
      <c r="P189" s="513"/>
      <c r="Q189" s="513"/>
    </row>
    <row r="190" s="2" customFormat="1" ht="19" customHeight="1" spans="1:18">
      <c r="A190" s="2" t="s">
        <v>30</v>
      </c>
      <c r="B190" s="496">
        <v>45826</v>
      </c>
      <c r="C190" s="502">
        <v>58</v>
      </c>
      <c r="D190" s="498">
        <v>45820</v>
      </c>
      <c r="E190" s="481"/>
      <c r="F190" s="481"/>
      <c r="G190" s="2" t="s">
        <v>158</v>
      </c>
      <c r="H190" s="481">
        <v>1</v>
      </c>
      <c r="I190" s="481">
        <v>2</v>
      </c>
      <c r="J190" s="478">
        <f t="shared" si="20"/>
        <v>2</v>
      </c>
      <c r="K190" s="499">
        <v>25</v>
      </c>
      <c r="L190" s="482">
        <f t="shared" si="21"/>
        <v>50</v>
      </c>
      <c r="M190" s="582" t="s">
        <v>159</v>
      </c>
      <c r="N190" s="582"/>
      <c r="O190" s="582"/>
      <c r="P190" s="582"/>
      <c r="Q190" s="582"/>
      <c r="R190" s="582"/>
    </row>
    <row r="191" s="2" customFormat="1" ht="20.25" spans="1:18">
      <c r="A191" s="2" t="s">
        <v>30</v>
      </c>
      <c r="B191" s="496">
        <v>45826</v>
      </c>
      <c r="C191" s="502">
        <v>58</v>
      </c>
      <c r="D191" s="481" t="s">
        <v>49</v>
      </c>
      <c r="E191" s="481"/>
      <c r="F191" s="481"/>
      <c r="G191" s="2" t="s">
        <v>50</v>
      </c>
      <c r="H191" s="481">
        <v>1</v>
      </c>
      <c r="I191" s="481">
        <v>25</v>
      </c>
      <c r="J191" s="478">
        <f t="shared" si="20"/>
        <v>25</v>
      </c>
      <c r="K191" s="499">
        <v>17</v>
      </c>
      <c r="L191" s="482">
        <f t="shared" si="21"/>
        <v>425</v>
      </c>
      <c r="M191" s="475"/>
      <c r="N191" s="481">
        <f>SUM(L190:L191)</f>
        <v>475</v>
      </c>
      <c r="O191" s="479"/>
      <c r="P191" s="500"/>
      <c r="Q191" s="500"/>
    </row>
    <row r="192" s="473" customFormat="1" ht="20.25" spans="1:18">
      <c r="A192" s="473" t="s">
        <v>55</v>
      </c>
      <c r="B192" s="501">
        <v>45831</v>
      </c>
      <c r="C192" s="510">
        <v>70</v>
      </c>
      <c r="D192" s="494" t="s">
        <v>5</v>
      </c>
      <c r="E192" s="494"/>
      <c r="F192" s="494"/>
      <c r="G192" s="580" t="s">
        <v>6</v>
      </c>
      <c r="H192" s="494">
        <v>1</v>
      </c>
      <c r="I192" s="494">
        <v>25</v>
      </c>
      <c r="J192" s="488">
        <f t="shared" si="20"/>
        <v>25</v>
      </c>
      <c r="K192" s="511">
        <v>18</v>
      </c>
      <c r="L192" s="491">
        <f t="shared" si="21"/>
        <v>450</v>
      </c>
      <c r="M192" s="485"/>
      <c r="N192" s="494"/>
      <c r="O192" s="489"/>
      <c r="P192" s="513"/>
      <c r="Q192" s="513"/>
    </row>
    <row r="193" s="473" customFormat="1" ht="19" customHeight="1" spans="1:21">
      <c r="A193" s="473" t="s">
        <v>55</v>
      </c>
      <c r="B193" s="501">
        <v>45831</v>
      </c>
      <c r="C193" s="510">
        <v>70</v>
      </c>
      <c r="D193" s="494"/>
      <c r="E193" s="494"/>
      <c r="F193" s="494"/>
      <c r="G193" s="473" t="s">
        <v>28</v>
      </c>
      <c r="H193" s="494">
        <v>1</v>
      </c>
      <c r="I193" s="494">
        <v>20</v>
      </c>
      <c r="J193" s="488">
        <f t="shared" si="20"/>
        <v>20</v>
      </c>
      <c r="K193" s="511">
        <v>17</v>
      </c>
      <c r="L193" s="491">
        <f t="shared" si="21"/>
        <v>340</v>
      </c>
      <c r="M193" s="581" t="s">
        <v>29</v>
      </c>
      <c r="N193" s="485"/>
      <c r="O193" s="489"/>
      <c r="P193" s="513"/>
      <c r="Q193" s="513"/>
    </row>
    <row r="194" s="2" customFormat="1" ht="20.25" spans="1:21">
      <c r="A194" s="2" t="s">
        <v>55</v>
      </c>
      <c r="B194" s="496">
        <v>45832</v>
      </c>
      <c r="C194" s="502">
        <v>72</v>
      </c>
      <c r="D194" s="481" t="s">
        <v>144</v>
      </c>
      <c r="E194" s="481"/>
      <c r="F194" s="481"/>
      <c r="G194" s="2" t="s">
        <v>145</v>
      </c>
      <c r="H194" s="481">
        <v>2</v>
      </c>
      <c r="I194" s="481">
        <v>25</v>
      </c>
      <c r="J194" s="478">
        <f t="shared" si="20"/>
        <v>50</v>
      </c>
      <c r="K194" s="499">
        <v>12</v>
      </c>
      <c r="L194" s="499">
        <f t="shared" si="21"/>
        <v>600</v>
      </c>
      <c r="M194" s="274" t="s">
        <v>146</v>
      </c>
      <c r="N194" s="506"/>
      <c r="O194" s="479"/>
      <c r="P194" s="513"/>
      <c r="Q194" s="500"/>
      <c r="U194" s="317" t="s">
        <v>91</v>
      </c>
    </row>
    <row r="195" s="2" customFormat="1" ht="20.25" spans="1:21">
      <c r="A195" s="2" t="s">
        <v>55</v>
      </c>
      <c r="B195" s="496">
        <v>45832</v>
      </c>
      <c r="C195" s="502">
        <v>72</v>
      </c>
      <c r="D195" s="481" t="s">
        <v>147</v>
      </c>
      <c r="E195" s="481"/>
      <c r="F195" s="481"/>
      <c r="G195" s="2" t="s">
        <v>93</v>
      </c>
      <c r="H195" s="481">
        <v>2</v>
      </c>
      <c r="I195" s="481">
        <v>20</v>
      </c>
      <c r="J195" s="478">
        <f t="shared" si="20"/>
        <v>40</v>
      </c>
      <c r="K195" s="499">
        <v>15.5</v>
      </c>
      <c r="L195" s="499">
        <f t="shared" si="21"/>
        <v>620</v>
      </c>
      <c r="M195" s="506" t="s">
        <v>148</v>
      </c>
      <c r="N195" s="481"/>
      <c r="O195" s="479"/>
      <c r="P195" s="513"/>
      <c r="Q195" s="500"/>
      <c r="U195" s="317" t="s">
        <v>95</v>
      </c>
    </row>
    <row r="196" s="473" customFormat="1" ht="20.25" spans="1:21">
      <c r="A196" s="473" t="s">
        <v>55</v>
      </c>
      <c r="B196" s="501">
        <v>45833</v>
      </c>
      <c r="C196" s="510">
        <v>74</v>
      </c>
      <c r="D196" s="488" t="s">
        <v>2</v>
      </c>
      <c r="E196" s="488"/>
      <c r="F196" s="488"/>
      <c r="G196" s="472" t="s">
        <v>3</v>
      </c>
      <c r="H196" s="488">
        <v>1</v>
      </c>
      <c r="I196" s="488">
        <v>25</v>
      </c>
      <c r="J196" s="488">
        <f t="shared" si="20"/>
        <v>25</v>
      </c>
      <c r="K196" s="491">
        <v>17</v>
      </c>
      <c r="L196" s="491">
        <f t="shared" si="21"/>
        <v>425</v>
      </c>
      <c r="M196" s="485" t="s">
        <v>4</v>
      </c>
      <c r="N196" s="485"/>
      <c r="O196" s="485"/>
      <c r="P196" s="489"/>
      <c r="Q196" s="513"/>
    </row>
    <row r="197" s="2" customFormat="1" ht="19" customHeight="1" spans="1:21">
      <c r="A197" s="2" t="s">
        <v>55</v>
      </c>
      <c r="B197" s="496">
        <v>45833</v>
      </c>
      <c r="C197" s="502">
        <v>77</v>
      </c>
      <c r="D197" s="478"/>
      <c r="E197" s="478"/>
      <c r="F197" s="478"/>
      <c r="G197" s="471" t="s">
        <v>160</v>
      </c>
      <c r="H197" s="478">
        <v>2</v>
      </c>
      <c r="I197" s="478">
        <v>18</v>
      </c>
      <c r="J197" s="478">
        <f t="shared" si="20"/>
        <v>36</v>
      </c>
      <c r="K197" s="482">
        <v>12</v>
      </c>
      <c r="L197" s="482">
        <f t="shared" si="21"/>
        <v>432</v>
      </c>
      <c r="M197" s="582"/>
      <c r="N197" s="475"/>
      <c r="O197" s="479"/>
      <c r="P197" s="500"/>
      <c r="Q197" s="500"/>
    </row>
    <row r="198" s="2" customFormat="1" ht="19" customHeight="1" spans="1:21">
      <c r="A198" s="2" t="s">
        <v>55</v>
      </c>
      <c r="B198" s="496">
        <v>45833</v>
      </c>
      <c r="C198" s="502">
        <v>77</v>
      </c>
      <c r="D198" s="478" t="s">
        <v>161</v>
      </c>
      <c r="E198" s="478"/>
      <c r="F198" s="478"/>
      <c r="G198" s="471" t="s">
        <v>145</v>
      </c>
      <c r="H198" s="478">
        <v>-2</v>
      </c>
      <c r="I198" s="478">
        <v>25</v>
      </c>
      <c r="J198" s="478">
        <f t="shared" si="20"/>
        <v>-50</v>
      </c>
      <c r="K198" s="482">
        <v>12</v>
      </c>
      <c r="L198" s="482">
        <f t="shared" si="21"/>
        <v>-600</v>
      </c>
      <c r="M198" s="582">
        <f>SUM(L197:L198)</f>
        <v>-168</v>
      </c>
      <c r="N198" s="475"/>
      <c r="O198" s="479"/>
      <c r="P198" s="500"/>
      <c r="Q198" s="500"/>
    </row>
    <row r="199" s="473" customFormat="1" ht="19" customHeight="1" spans="1:21">
      <c r="A199" s="473" t="s">
        <v>55</v>
      </c>
      <c r="B199" s="501">
        <v>45834</v>
      </c>
      <c r="C199" s="510">
        <v>80</v>
      </c>
      <c r="D199" s="494" t="s">
        <v>26</v>
      </c>
      <c r="E199" s="494"/>
      <c r="F199" s="494"/>
      <c r="G199" s="473" t="s">
        <v>27</v>
      </c>
      <c r="H199" s="494">
        <v>1</v>
      </c>
      <c r="I199" s="494">
        <v>4</v>
      </c>
      <c r="J199" s="488">
        <f t="shared" si="20"/>
        <v>4</v>
      </c>
      <c r="K199" s="511">
        <v>48</v>
      </c>
      <c r="L199" s="491">
        <f t="shared" si="21"/>
        <v>192</v>
      </c>
      <c r="M199" s="581"/>
      <c r="N199" s="485"/>
      <c r="O199" s="489"/>
      <c r="P199" s="513"/>
      <c r="Q199" s="513"/>
    </row>
    <row r="200" s="2" customFormat="1" ht="20.25" spans="1:21">
      <c r="A200" s="2" t="s">
        <v>55</v>
      </c>
      <c r="B200" s="496">
        <v>45835</v>
      </c>
      <c r="C200" s="502">
        <v>87</v>
      </c>
      <c r="D200" s="478" t="s">
        <v>2</v>
      </c>
      <c r="E200" s="478"/>
      <c r="F200" s="478"/>
      <c r="G200" s="471" t="s">
        <v>3</v>
      </c>
      <c r="H200" s="478">
        <v>1</v>
      </c>
      <c r="I200" s="478">
        <v>25</v>
      </c>
      <c r="J200" s="478">
        <f t="shared" si="20"/>
        <v>25</v>
      </c>
      <c r="K200" s="482">
        <v>17</v>
      </c>
      <c r="L200" s="482">
        <f t="shared" si="21"/>
        <v>425</v>
      </c>
      <c r="M200" s="475" t="s">
        <v>4</v>
      </c>
      <c r="N200" s="475"/>
      <c r="O200" s="475"/>
      <c r="P200" s="479"/>
      <c r="Q200" s="500"/>
    </row>
    <row r="201" s="2" customFormat="1" ht="20.25" spans="1:21">
      <c r="A201" s="2" t="s">
        <v>55</v>
      </c>
      <c r="B201" s="496">
        <v>45835</v>
      </c>
      <c r="C201" s="502">
        <v>87</v>
      </c>
      <c r="D201" s="481" t="s">
        <v>5</v>
      </c>
      <c r="E201" s="481"/>
      <c r="F201" s="481"/>
      <c r="G201" s="503" t="s">
        <v>6</v>
      </c>
      <c r="H201" s="481">
        <v>1</v>
      </c>
      <c r="I201" s="481">
        <v>26</v>
      </c>
      <c r="J201" s="478">
        <f t="shared" si="20"/>
        <v>26</v>
      </c>
      <c r="K201" s="499">
        <v>18</v>
      </c>
      <c r="L201" s="482">
        <f t="shared" si="21"/>
        <v>468</v>
      </c>
      <c r="M201" s="475"/>
      <c r="N201" s="481"/>
      <c r="O201" s="479"/>
      <c r="P201" s="500"/>
      <c r="Q201" s="500"/>
    </row>
    <row r="202" s="473" customFormat="1" ht="20.25" spans="1:21">
      <c r="A202" s="473" t="s">
        <v>30</v>
      </c>
      <c r="B202" s="501">
        <v>45836</v>
      </c>
      <c r="C202" s="510">
        <v>92</v>
      </c>
      <c r="D202" s="533"/>
      <c r="E202" s="494"/>
      <c r="F202" s="494"/>
      <c r="G202" s="473" t="s">
        <v>51</v>
      </c>
      <c r="H202" s="494">
        <v>1</v>
      </c>
      <c r="I202" s="494">
        <v>20</v>
      </c>
      <c r="J202" s="488">
        <f t="shared" si="20"/>
        <v>20</v>
      </c>
      <c r="K202" s="491">
        <v>17</v>
      </c>
      <c r="L202" s="491">
        <f t="shared" si="21"/>
        <v>340</v>
      </c>
      <c r="M202" s="485" t="s">
        <v>85</v>
      </c>
      <c r="N202" s="494"/>
      <c r="O202" s="489"/>
      <c r="P202" s="513"/>
      <c r="Q202" s="513"/>
    </row>
    <row r="203" s="473" customFormat="1" ht="19" customHeight="1" spans="1:21">
      <c r="A203" s="473" t="s">
        <v>30</v>
      </c>
      <c r="B203" s="501">
        <v>45836</v>
      </c>
      <c r="C203" s="510">
        <v>92</v>
      </c>
      <c r="D203" s="494"/>
      <c r="E203" s="494"/>
      <c r="F203" s="494"/>
      <c r="G203" s="473" t="s">
        <v>28</v>
      </c>
      <c r="H203" s="494">
        <v>1</v>
      </c>
      <c r="I203" s="494">
        <v>20</v>
      </c>
      <c r="J203" s="488">
        <f t="shared" si="20"/>
        <v>20</v>
      </c>
      <c r="K203" s="511">
        <v>17</v>
      </c>
      <c r="L203" s="491">
        <f t="shared" si="21"/>
        <v>340</v>
      </c>
      <c r="M203" s="581" t="s">
        <v>29</v>
      </c>
      <c r="N203" s="485"/>
      <c r="O203" s="489"/>
      <c r="P203" s="513"/>
      <c r="Q203" s="513"/>
    </row>
    <row r="204" s="473" customFormat="1" ht="20.25" spans="1:21">
      <c r="A204" s="473" t="s">
        <v>30</v>
      </c>
      <c r="B204" s="501">
        <v>45836</v>
      </c>
      <c r="C204" s="510">
        <v>92</v>
      </c>
      <c r="D204" s="533" t="s">
        <v>162</v>
      </c>
      <c r="E204" s="494"/>
      <c r="F204" s="494"/>
      <c r="G204" s="473" t="s">
        <v>163</v>
      </c>
      <c r="H204" s="494">
        <v>1</v>
      </c>
      <c r="I204" s="494">
        <v>26</v>
      </c>
      <c r="J204" s="488">
        <f t="shared" si="20"/>
        <v>26</v>
      </c>
      <c r="K204" s="511">
        <v>17</v>
      </c>
      <c r="L204" s="491">
        <f t="shared" si="21"/>
        <v>442</v>
      </c>
      <c r="M204" s="485"/>
      <c r="N204" s="494"/>
      <c r="O204" s="489"/>
      <c r="P204" s="513"/>
      <c r="Q204" s="513"/>
    </row>
    <row r="205" s="2" customFormat="1" ht="20.25" spans="1:21">
      <c r="A205" s="2" t="s">
        <v>55</v>
      </c>
      <c r="B205" s="496">
        <v>45839</v>
      </c>
      <c r="C205" s="502">
        <v>3</v>
      </c>
      <c r="D205" s="478" t="s">
        <v>2</v>
      </c>
      <c r="E205" s="478"/>
      <c r="F205" s="478"/>
      <c r="G205" s="471" t="s">
        <v>3</v>
      </c>
      <c r="H205" s="478">
        <v>1</v>
      </c>
      <c r="I205" s="478">
        <v>25</v>
      </c>
      <c r="J205" s="478">
        <f t="shared" si="20"/>
        <v>25</v>
      </c>
      <c r="K205" s="482">
        <v>17</v>
      </c>
      <c r="L205" s="482">
        <f t="shared" si="21"/>
        <v>425</v>
      </c>
      <c r="M205" s="475" t="s">
        <v>4</v>
      </c>
      <c r="N205" s="475"/>
      <c r="O205" s="475"/>
      <c r="P205" s="479"/>
      <c r="Q205" s="500"/>
    </row>
    <row r="206" s="2" customFormat="1" ht="20.25" spans="1:21">
      <c r="A206" s="2" t="s">
        <v>55</v>
      </c>
      <c r="B206" s="496">
        <v>45839</v>
      </c>
      <c r="C206" s="502">
        <v>3</v>
      </c>
      <c r="D206" s="481" t="s">
        <v>5</v>
      </c>
      <c r="E206" s="481"/>
      <c r="F206" s="481"/>
      <c r="G206" s="503" t="s">
        <v>6</v>
      </c>
      <c r="H206" s="481">
        <v>1</v>
      </c>
      <c r="I206" s="481">
        <v>26</v>
      </c>
      <c r="J206" s="478">
        <f t="shared" si="20"/>
        <v>26</v>
      </c>
      <c r="K206" s="499">
        <v>18</v>
      </c>
      <c r="L206" s="482">
        <f t="shared" si="21"/>
        <v>468</v>
      </c>
      <c r="M206" s="475"/>
      <c r="N206" s="481"/>
      <c r="O206" s="479"/>
      <c r="P206" s="500"/>
      <c r="Q206" s="500"/>
    </row>
    <row r="207" s="2" customFormat="1" ht="19" customHeight="1" spans="1:21">
      <c r="A207" s="2" t="s">
        <v>55</v>
      </c>
      <c r="B207" s="496">
        <v>45839</v>
      </c>
      <c r="C207" s="502">
        <v>3</v>
      </c>
      <c r="D207" s="481"/>
      <c r="E207" s="481"/>
      <c r="F207" s="481"/>
      <c r="G207" s="2" t="s">
        <v>28</v>
      </c>
      <c r="H207" s="481">
        <v>1</v>
      </c>
      <c r="I207" s="481">
        <v>20</v>
      </c>
      <c r="J207" s="478">
        <f t="shared" si="20"/>
        <v>20</v>
      </c>
      <c r="K207" s="499">
        <v>17</v>
      </c>
      <c r="L207" s="482">
        <f t="shared" si="21"/>
        <v>340</v>
      </c>
      <c r="M207" s="582" t="s">
        <v>29</v>
      </c>
      <c r="N207" s="475"/>
      <c r="O207" s="479"/>
      <c r="P207" s="500"/>
      <c r="Q207" s="500"/>
    </row>
    <row r="208" s="574" customFormat="1" ht="19" customHeight="1" spans="1:21">
      <c r="A208" s="473" t="s">
        <v>55</v>
      </c>
      <c r="B208" s="501">
        <v>45840</v>
      </c>
      <c r="C208" s="510" t="s">
        <v>11</v>
      </c>
      <c r="D208" s="533" t="s">
        <v>112</v>
      </c>
      <c r="E208" s="494"/>
      <c r="F208" s="494"/>
      <c r="G208" s="473" t="s">
        <v>113</v>
      </c>
      <c r="H208" s="494">
        <v>1</v>
      </c>
      <c r="I208" s="494">
        <v>25</v>
      </c>
      <c r="J208" s="488">
        <f t="shared" si="20"/>
        <v>25</v>
      </c>
      <c r="K208" s="491">
        <v>17</v>
      </c>
      <c r="L208" s="491">
        <f t="shared" si="21"/>
        <v>425</v>
      </c>
      <c r="M208" s="485" t="s">
        <v>135</v>
      </c>
      <c r="N208" s="594"/>
      <c r="O208" s="595"/>
    </row>
    <row r="209" s="473" customFormat="1" ht="20.25" spans="1:17">
      <c r="A209" s="473" t="s">
        <v>55</v>
      </c>
      <c r="B209" s="501">
        <v>45840</v>
      </c>
      <c r="C209" s="510" t="s">
        <v>11</v>
      </c>
      <c r="D209" s="488" t="s">
        <v>141</v>
      </c>
      <c r="E209" s="488"/>
      <c r="F209" s="488"/>
      <c r="G209" s="472" t="s">
        <v>142</v>
      </c>
      <c r="H209" s="488">
        <v>1</v>
      </c>
      <c r="I209" s="488">
        <v>16</v>
      </c>
      <c r="J209" s="488">
        <f t="shared" si="20"/>
        <v>16</v>
      </c>
      <c r="K209" s="491">
        <v>21.5</v>
      </c>
      <c r="L209" s="491">
        <f t="shared" si="21"/>
        <v>344</v>
      </c>
      <c r="M209" s="485"/>
      <c r="N209" s="485"/>
      <c r="O209" s="485"/>
      <c r="P209" s="489"/>
      <c r="Q209" s="513"/>
    </row>
    <row r="210" s="2" customFormat="1" ht="20.25" spans="1:17">
      <c r="A210" s="2" t="s">
        <v>30</v>
      </c>
      <c r="B210" s="496">
        <v>45843</v>
      </c>
      <c r="C210" s="502">
        <v>19</v>
      </c>
      <c r="D210" s="585"/>
      <c r="E210" s="481"/>
      <c r="F210" s="481"/>
      <c r="G210" s="2" t="s">
        <v>51</v>
      </c>
      <c r="H210" s="481">
        <v>2</v>
      </c>
      <c r="I210" s="481">
        <v>20</v>
      </c>
      <c r="J210" s="478">
        <f t="shared" ref="J210:J244" si="22">H210*I210</f>
        <v>40</v>
      </c>
      <c r="K210" s="482">
        <v>17</v>
      </c>
      <c r="L210" s="482">
        <f t="shared" ref="L210:L244" si="23">J210*K210</f>
        <v>680</v>
      </c>
      <c r="M210" s="475" t="s">
        <v>85</v>
      </c>
      <c r="N210" s="481"/>
      <c r="O210" s="479"/>
      <c r="P210" s="500"/>
      <c r="Q210" s="500"/>
    </row>
    <row r="211" s="2" customFormat="1" ht="19" customHeight="1" spans="1:17">
      <c r="A211" s="2" t="s">
        <v>30</v>
      </c>
      <c r="B211" s="496">
        <v>45843</v>
      </c>
      <c r="C211" s="502">
        <v>19</v>
      </c>
      <c r="D211" s="481"/>
      <c r="E211" s="481"/>
      <c r="F211" s="481"/>
      <c r="G211" s="2" t="s">
        <v>28</v>
      </c>
      <c r="H211" s="481">
        <v>2</v>
      </c>
      <c r="I211" s="481">
        <v>20</v>
      </c>
      <c r="J211" s="478">
        <f t="shared" si="22"/>
        <v>40</v>
      </c>
      <c r="K211" s="499">
        <v>17</v>
      </c>
      <c r="L211" s="482">
        <f t="shared" si="23"/>
        <v>680</v>
      </c>
      <c r="M211" s="582" t="s">
        <v>29</v>
      </c>
      <c r="N211" s="475"/>
      <c r="O211" s="479"/>
      <c r="P211" s="500"/>
      <c r="Q211" s="500"/>
    </row>
    <row r="212" s="2" customFormat="1" ht="20.25" spans="1:17">
      <c r="A212" s="2" t="s">
        <v>30</v>
      </c>
      <c r="B212" s="496">
        <v>45843</v>
      </c>
      <c r="C212" s="502">
        <v>19</v>
      </c>
      <c r="D212" s="585" t="s">
        <v>119</v>
      </c>
      <c r="E212" s="481"/>
      <c r="F212" s="481"/>
      <c r="G212" s="2" t="s">
        <v>120</v>
      </c>
      <c r="H212" s="481">
        <v>1</v>
      </c>
      <c r="I212" s="481">
        <v>25</v>
      </c>
      <c r="J212" s="478">
        <f t="shared" si="22"/>
        <v>25</v>
      </c>
      <c r="K212" s="482">
        <v>17</v>
      </c>
      <c r="L212" s="482">
        <f t="shared" si="23"/>
        <v>425</v>
      </c>
      <c r="M212" s="475" t="s">
        <v>121</v>
      </c>
      <c r="N212" s="481"/>
      <c r="O212" s="479"/>
      <c r="P212" s="500"/>
      <c r="Q212" s="500"/>
    </row>
    <row r="213" s="2" customFormat="1" ht="20.25" spans="1:17">
      <c r="A213" s="2" t="s">
        <v>30</v>
      </c>
      <c r="B213" s="496">
        <v>45843</v>
      </c>
      <c r="C213" s="502">
        <v>19</v>
      </c>
      <c r="D213" s="481" t="s">
        <v>105</v>
      </c>
      <c r="E213" s="481"/>
      <c r="F213" s="481"/>
      <c r="G213" s="2" t="s">
        <v>106</v>
      </c>
      <c r="H213" s="481">
        <v>1</v>
      </c>
      <c r="I213" s="481">
        <v>22</v>
      </c>
      <c r="J213" s="478">
        <f t="shared" si="22"/>
        <v>22</v>
      </c>
      <c r="K213" s="499">
        <v>21.5</v>
      </c>
      <c r="L213" s="482">
        <f t="shared" si="23"/>
        <v>473</v>
      </c>
      <c r="M213" s="583">
        <f>SUM(L210:L213)</f>
        <v>2258</v>
      </c>
      <c r="N213" s="475"/>
      <c r="O213" s="479"/>
      <c r="P213" s="500"/>
      <c r="Q213" s="500"/>
    </row>
    <row r="214" s="473" customFormat="1" ht="20.25" spans="1:17">
      <c r="A214" s="473" t="s">
        <v>30</v>
      </c>
      <c r="B214" s="501">
        <v>45845</v>
      </c>
      <c r="C214" s="510">
        <v>24</v>
      </c>
      <c r="D214" s="533" t="s">
        <v>162</v>
      </c>
      <c r="E214" s="494"/>
      <c r="F214" s="494"/>
      <c r="G214" s="473" t="s">
        <v>163</v>
      </c>
      <c r="H214" s="494">
        <v>1</v>
      </c>
      <c r="I214" s="494">
        <v>25</v>
      </c>
      <c r="J214" s="488">
        <f t="shared" si="22"/>
        <v>25</v>
      </c>
      <c r="K214" s="511">
        <v>17</v>
      </c>
      <c r="L214" s="491">
        <f t="shared" si="23"/>
        <v>425</v>
      </c>
      <c r="M214" s="485"/>
      <c r="N214" s="494"/>
      <c r="O214" s="489"/>
      <c r="P214" s="513"/>
      <c r="Q214" s="513"/>
    </row>
    <row r="215" s="2" customFormat="1" ht="20.25" spans="1:17">
      <c r="A215" s="2" t="s">
        <v>55</v>
      </c>
      <c r="B215" s="496">
        <v>45848</v>
      </c>
      <c r="C215" s="502">
        <v>34</v>
      </c>
      <c r="D215" s="481" t="s">
        <v>12</v>
      </c>
      <c r="E215" s="481"/>
      <c r="F215" s="481"/>
      <c r="G215" s="2" t="s">
        <v>13</v>
      </c>
      <c r="H215" s="481">
        <v>1</v>
      </c>
      <c r="I215" s="481">
        <v>5.5</v>
      </c>
      <c r="J215" s="478">
        <f t="shared" si="22"/>
        <v>5.5</v>
      </c>
      <c r="K215" s="499">
        <v>25</v>
      </c>
      <c r="L215" s="482">
        <f t="shared" si="23"/>
        <v>137.5</v>
      </c>
      <c r="M215" s="475"/>
      <c r="N215" s="475"/>
      <c r="O215" s="479"/>
      <c r="P215" s="500"/>
      <c r="Q215" s="500"/>
    </row>
    <row r="216" s="2" customFormat="1" ht="20.25" spans="1:17">
      <c r="A216" s="2" t="s">
        <v>55</v>
      </c>
      <c r="B216" s="496">
        <v>45848</v>
      </c>
      <c r="C216" s="502">
        <v>34</v>
      </c>
      <c r="D216" s="609" t="s">
        <v>164</v>
      </c>
      <c r="E216" s="481"/>
      <c r="F216" s="481"/>
      <c r="G216" s="2" t="s">
        <v>165</v>
      </c>
      <c r="H216" s="481">
        <v>1</v>
      </c>
      <c r="I216" s="481">
        <v>5</v>
      </c>
      <c r="J216" s="478">
        <f t="shared" si="22"/>
        <v>5</v>
      </c>
      <c r="K216" s="499">
        <v>25</v>
      </c>
      <c r="L216" s="482">
        <f t="shared" si="23"/>
        <v>125</v>
      </c>
      <c r="M216" s="475"/>
      <c r="N216" s="475"/>
      <c r="O216" s="479"/>
      <c r="P216" s="500"/>
      <c r="Q216" s="500"/>
    </row>
    <row r="217" s="2" customFormat="1" ht="20.25" spans="1:17">
      <c r="A217" s="2" t="s">
        <v>55</v>
      </c>
      <c r="B217" s="496">
        <v>45848</v>
      </c>
      <c r="C217" s="502">
        <v>34</v>
      </c>
      <c r="D217" s="478" t="s">
        <v>2</v>
      </c>
      <c r="E217" s="478"/>
      <c r="F217" s="478"/>
      <c r="G217" s="471" t="s">
        <v>3</v>
      </c>
      <c r="H217" s="478">
        <v>1</v>
      </c>
      <c r="I217" s="478">
        <v>25</v>
      </c>
      <c r="J217" s="478">
        <f t="shared" si="22"/>
        <v>25</v>
      </c>
      <c r="K217" s="482">
        <v>17</v>
      </c>
      <c r="L217" s="482">
        <f t="shared" si="23"/>
        <v>425</v>
      </c>
      <c r="M217" s="475" t="s">
        <v>4</v>
      </c>
      <c r="N217" s="475"/>
      <c r="O217" s="475"/>
      <c r="P217" s="479"/>
      <c r="Q217" s="500"/>
    </row>
    <row r="218" s="2" customFormat="1" ht="20.25" spans="1:17">
      <c r="A218" s="2" t="s">
        <v>55</v>
      </c>
      <c r="B218" s="496">
        <v>45848</v>
      </c>
      <c r="C218" s="502">
        <v>34</v>
      </c>
      <c r="D218" s="481" t="s">
        <v>5</v>
      </c>
      <c r="E218" s="481"/>
      <c r="F218" s="481"/>
      <c r="G218" s="503" t="s">
        <v>6</v>
      </c>
      <c r="H218" s="481">
        <v>2</v>
      </c>
      <c r="I218" s="481">
        <v>25</v>
      </c>
      <c r="J218" s="478">
        <f t="shared" si="22"/>
        <v>50</v>
      </c>
      <c r="K218" s="499">
        <v>18</v>
      </c>
      <c r="L218" s="482">
        <f t="shared" si="23"/>
        <v>900</v>
      </c>
      <c r="M218" s="475">
        <f>SUM(L215:L218)</f>
        <v>1587.5</v>
      </c>
      <c r="N218" s="481"/>
      <c r="O218" s="479"/>
      <c r="P218" s="500"/>
      <c r="Q218" s="500"/>
    </row>
    <row r="219" s="473" customFormat="1" ht="20.25" spans="1:17">
      <c r="A219" s="473" t="s">
        <v>55</v>
      </c>
      <c r="B219" s="501">
        <v>45856</v>
      </c>
      <c r="C219" s="510">
        <v>63</v>
      </c>
      <c r="D219" s="494" t="s">
        <v>23</v>
      </c>
      <c r="E219" s="494"/>
      <c r="F219" s="494"/>
      <c r="G219" s="473" t="s">
        <v>24</v>
      </c>
      <c r="H219" s="494">
        <v>1</v>
      </c>
      <c r="I219" s="494">
        <v>26</v>
      </c>
      <c r="J219" s="488">
        <f t="shared" si="22"/>
        <v>26</v>
      </c>
      <c r="K219" s="511">
        <v>18</v>
      </c>
      <c r="L219" s="491">
        <f t="shared" si="23"/>
        <v>468</v>
      </c>
      <c r="M219" s="600"/>
      <c r="N219" s="485">
        <f>SUM(L219:L221)</f>
        <v>1035</v>
      </c>
      <c r="O219" s="489"/>
      <c r="P219" s="513"/>
      <c r="Q219" s="513"/>
    </row>
    <row r="220" s="473" customFormat="1" ht="20.25" spans="1:17">
      <c r="A220" s="473" t="s">
        <v>55</v>
      </c>
      <c r="B220" s="501">
        <v>45856</v>
      </c>
      <c r="C220" s="510">
        <v>63</v>
      </c>
      <c r="D220" s="488" t="s">
        <v>2</v>
      </c>
      <c r="E220" s="488"/>
      <c r="F220" s="488"/>
      <c r="G220" s="472" t="s">
        <v>3</v>
      </c>
      <c r="H220" s="488">
        <v>1</v>
      </c>
      <c r="I220" s="488">
        <v>26</v>
      </c>
      <c r="J220" s="488">
        <f t="shared" si="22"/>
        <v>26</v>
      </c>
      <c r="K220" s="491">
        <v>17</v>
      </c>
      <c r="L220" s="491">
        <f t="shared" si="23"/>
        <v>442</v>
      </c>
      <c r="M220" s="485" t="s">
        <v>4</v>
      </c>
      <c r="N220" s="485"/>
      <c r="O220" s="485"/>
      <c r="P220" s="489"/>
      <c r="Q220" s="513"/>
    </row>
    <row r="221" s="473" customFormat="1" ht="19" customHeight="1" spans="1:17">
      <c r="A221" s="473" t="s">
        <v>55</v>
      </c>
      <c r="B221" s="501">
        <v>45856</v>
      </c>
      <c r="C221" s="510">
        <v>63</v>
      </c>
      <c r="D221" s="488" t="s">
        <v>166</v>
      </c>
      <c r="E221" s="488" t="s">
        <v>167</v>
      </c>
      <c r="F221" s="488" t="s">
        <v>166</v>
      </c>
      <c r="G221" s="472" t="s">
        <v>167</v>
      </c>
      <c r="H221" s="494">
        <v>1</v>
      </c>
      <c r="I221" s="494">
        <v>5</v>
      </c>
      <c r="J221" s="488">
        <f t="shared" si="22"/>
        <v>5</v>
      </c>
      <c r="K221" s="511">
        <v>25</v>
      </c>
      <c r="L221" s="491">
        <f t="shared" si="23"/>
        <v>125</v>
      </c>
      <c r="M221" s="581"/>
      <c r="N221" s="485"/>
      <c r="O221" s="489"/>
      <c r="P221" s="513"/>
      <c r="Q221" s="513"/>
    </row>
    <row r="222" s="2" customFormat="1" ht="20.25" spans="1:17">
      <c r="A222" s="2" t="s">
        <v>30</v>
      </c>
      <c r="B222" s="496">
        <v>45856</v>
      </c>
      <c r="C222" s="502">
        <v>64</v>
      </c>
      <c r="D222" s="585"/>
      <c r="E222" s="481"/>
      <c r="F222" s="481"/>
      <c r="G222" s="2" t="s">
        <v>51</v>
      </c>
      <c r="H222" s="481">
        <v>3</v>
      </c>
      <c r="I222" s="481">
        <v>20</v>
      </c>
      <c r="J222" s="478">
        <f t="shared" si="22"/>
        <v>60</v>
      </c>
      <c r="K222" s="482">
        <v>17</v>
      </c>
      <c r="L222" s="482">
        <f t="shared" si="23"/>
        <v>1020</v>
      </c>
      <c r="M222" s="475" t="s">
        <v>85</v>
      </c>
      <c r="N222" s="481"/>
      <c r="O222" s="479"/>
      <c r="P222" s="500"/>
      <c r="Q222" s="500"/>
    </row>
    <row r="223" s="576" customFormat="1" ht="19" customHeight="1" spans="1:17">
      <c r="A223" s="576" t="s">
        <v>30</v>
      </c>
      <c r="B223" s="610">
        <v>45867</v>
      </c>
      <c r="C223" s="611">
        <v>91</v>
      </c>
      <c r="D223" s="612"/>
      <c r="E223" s="612"/>
      <c r="F223" s="612"/>
      <c r="G223" s="576" t="s">
        <v>110</v>
      </c>
      <c r="H223" s="612">
        <v>1</v>
      </c>
      <c r="I223" s="612">
        <v>5</v>
      </c>
      <c r="J223" s="613">
        <f t="shared" si="22"/>
        <v>5</v>
      </c>
      <c r="K223" s="614">
        <v>48</v>
      </c>
      <c r="L223" s="615">
        <f t="shared" si="23"/>
        <v>240</v>
      </c>
      <c r="M223" s="616"/>
      <c r="N223" s="617">
        <v>976</v>
      </c>
      <c r="O223" s="618"/>
      <c r="P223" s="619"/>
      <c r="Q223" s="619"/>
    </row>
    <row r="224" s="576" customFormat="1" ht="19" customHeight="1" spans="1:17">
      <c r="A224" s="576" t="s">
        <v>30</v>
      </c>
      <c r="B224" s="610">
        <v>45867</v>
      </c>
      <c r="C224" s="611">
        <v>91</v>
      </c>
      <c r="D224" s="612"/>
      <c r="E224" s="612"/>
      <c r="F224" s="612"/>
      <c r="G224" s="576" t="s">
        <v>28</v>
      </c>
      <c r="H224" s="612">
        <v>2</v>
      </c>
      <c r="I224" s="612">
        <v>20</v>
      </c>
      <c r="J224" s="613">
        <f t="shared" si="22"/>
        <v>40</v>
      </c>
      <c r="K224" s="614">
        <v>17</v>
      </c>
      <c r="L224" s="615">
        <f t="shared" si="23"/>
        <v>680</v>
      </c>
      <c r="M224" s="616" t="s">
        <v>29</v>
      </c>
      <c r="N224" s="617"/>
      <c r="O224" s="618"/>
      <c r="P224" s="619"/>
      <c r="Q224" s="619"/>
    </row>
    <row r="225" s="576" customFormat="1" ht="20.25" spans="1:21">
      <c r="A225" s="576" t="s">
        <v>30</v>
      </c>
      <c r="B225" s="610">
        <v>45867</v>
      </c>
      <c r="C225" s="611">
        <v>91</v>
      </c>
      <c r="D225" s="620" t="s">
        <v>119</v>
      </c>
      <c r="E225" s="612"/>
      <c r="F225" s="612"/>
      <c r="G225" s="576" t="s">
        <v>120</v>
      </c>
      <c r="H225" s="612">
        <v>2</v>
      </c>
      <c r="I225" s="612">
        <v>26</v>
      </c>
      <c r="J225" s="613">
        <f t="shared" si="22"/>
        <v>52</v>
      </c>
      <c r="K225" s="615">
        <v>17</v>
      </c>
      <c r="L225" s="615">
        <f t="shared" si="23"/>
        <v>884</v>
      </c>
      <c r="M225" s="617" t="s">
        <v>121</v>
      </c>
      <c r="N225" s="612"/>
      <c r="O225" s="618"/>
      <c r="P225" s="619"/>
      <c r="Q225" s="619"/>
    </row>
    <row r="226" s="576" customFormat="1" ht="20.25" spans="1:21">
      <c r="A226" s="576" t="s">
        <v>30</v>
      </c>
      <c r="B226" s="610">
        <v>45867</v>
      </c>
      <c r="C226" s="611">
        <v>91</v>
      </c>
      <c r="D226" s="612" t="s">
        <v>105</v>
      </c>
      <c r="E226" s="612"/>
      <c r="F226" s="612"/>
      <c r="G226" s="576" t="s">
        <v>106</v>
      </c>
      <c r="H226" s="612">
        <v>2</v>
      </c>
      <c r="I226" s="612">
        <v>22</v>
      </c>
      <c r="J226" s="613">
        <f t="shared" si="22"/>
        <v>44</v>
      </c>
      <c r="K226" s="614">
        <v>21.5</v>
      </c>
      <c r="L226" s="615">
        <f t="shared" si="23"/>
        <v>946</v>
      </c>
      <c r="M226" s="621"/>
      <c r="N226" s="617"/>
      <c r="O226" s="618"/>
      <c r="P226" s="619"/>
      <c r="Q226" s="619"/>
    </row>
    <row r="227" s="576" customFormat="1" ht="19" customHeight="1" spans="1:21">
      <c r="A227" s="576" t="s">
        <v>30</v>
      </c>
      <c r="B227" s="610">
        <v>45867</v>
      </c>
      <c r="C227" s="611">
        <v>91</v>
      </c>
      <c r="D227" s="612">
        <v>105</v>
      </c>
      <c r="E227" s="612"/>
      <c r="F227" s="612"/>
      <c r="G227" s="576" t="s">
        <v>48</v>
      </c>
      <c r="H227" s="612">
        <v>1</v>
      </c>
      <c r="I227" s="612">
        <v>25</v>
      </c>
      <c r="J227" s="613">
        <f t="shared" si="22"/>
        <v>25</v>
      </c>
      <c r="K227" s="614">
        <v>18</v>
      </c>
      <c r="L227" s="615">
        <f t="shared" si="23"/>
        <v>450</v>
      </c>
      <c r="M227" s="616" t="s">
        <v>168</v>
      </c>
      <c r="N227" s="617"/>
      <c r="O227" s="618"/>
      <c r="P227" s="619"/>
      <c r="Q227" s="619"/>
    </row>
    <row r="228" s="576" customFormat="1" ht="20.25" spans="1:21">
      <c r="A228" s="576" t="s">
        <v>30</v>
      </c>
      <c r="B228" s="610">
        <v>45867</v>
      </c>
      <c r="C228" s="611">
        <v>91</v>
      </c>
      <c r="D228" s="612" t="s">
        <v>49</v>
      </c>
      <c r="E228" s="612"/>
      <c r="F228" s="612"/>
      <c r="G228" s="576" t="s">
        <v>50</v>
      </c>
      <c r="H228" s="612">
        <v>1</v>
      </c>
      <c r="I228" s="612">
        <v>25</v>
      </c>
      <c r="J228" s="613">
        <f t="shared" si="22"/>
        <v>25</v>
      </c>
      <c r="K228" s="614">
        <v>17</v>
      </c>
      <c r="L228" s="615">
        <f t="shared" si="23"/>
        <v>425</v>
      </c>
      <c r="M228" s="616" t="s">
        <v>168</v>
      </c>
      <c r="N228" s="612">
        <f>SUM(L223:L228)</f>
        <v>3625</v>
      </c>
      <c r="O228" s="618"/>
      <c r="P228" s="619"/>
      <c r="Q228" s="619"/>
    </row>
    <row r="229" s="2" customFormat="1" ht="20.25" spans="1:21">
      <c r="A229" s="2" t="s">
        <v>55</v>
      </c>
      <c r="B229" s="496">
        <v>45867</v>
      </c>
      <c r="C229" s="502">
        <v>92</v>
      </c>
      <c r="D229" s="481" t="s">
        <v>81</v>
      </c>
      <c r="E229" s="481"/>
      <c r="F229" s="481"/>
      <c r="G229" s="503" t="s">
        <v>82</v>
      </c>
      <c r="H229" s="481">
        <v>1</v>
      </c>
      <c r="I229" s="481">
        <v>26</v>
      </c>
      <c r="J229" s="478">
        <f t="shared" si="22"/>
        <v>26</v>
      </c>
      <c r="K229" s="482">
        <v>17</v>
      </c>
      <c r="L229" s="499">
        <f t="shared" si="23"/>
        <v>442</v>
      </c>
      <c r="M229" s="475"/>
      <c r="N229" s="481"/>
      <c r="O229" s="479"/>
      <c r="P229" s="500"/>
      <c r="Q229" s="500"/>
    </row>
    <row r="230" s="473" customFormat="1" ht="20.25" spans="1:21">
      <c r="A230" s="473" t="s">
        <v>55</v>
      </c>
      <c r="B230" s="501">
        <v>45876</v>
      </c>
      <c r="C230" s="510">
        <v>11</v>
      </c>
      <c r="D230" s="494" t="s">
        <v>23</v>
      </c>
      <c r="E230" s="494"/>
      <c r="F230" s="494"/>
      <c r="G230" s="473" t="s">
        <v>24</v>
      </c>
      <c r="H230" s="494">
        <v>1</v>
      </c>
      <c r="I230" s="494">
        <v>26</v>
      </c>
      <c r="J230" s="488">
        <f t="shared" si="22"/>
        <v>26</v>
      </c>
      <c r="K230" s="511">
        <v>18</v>
      </c>
      <c r="L230" s="491">
        <f t="shared" si="23"/>
        <v>468</v>
      </c>
      <c r="M230" s="600" t="s">
        <v>169</v>
      </c>
      <c r="N230" s="485"/>
      <c r="O230" s="489"/>
      <c r="P230" s="513"/>
      <c r="Q230" s="513"/>
    </row>
    <row r="231" s="473" customFormat="1" ht="20.25" spans="1:21">
      <c r="A231" s="473" t="s">
        <v>55</v>
      </c>
      <c r="B231" s="501">
        <v>45876</v>
      </c>
      <c r="C231" s="510">
        <v>11</v>
      </c>
      <c r="D231" s="494" t="s">
        <v>23</v>
      </c>
      <c r="E231" s="494"/>
      <c r="F231" s="494"/>
      <c r="G231" s="473" t="s">
        <v>24</v>
      </c>
      <c r="H231" s="494">
        <v>1</v>
      </c>
      <c r="I231" s="494">
        <v>25</v>
      </c>
      <c r="J231" s="488">
        <f t="shared" si="22"/>
        <v>25</v>
      </c>
      <c r="K231" s="511">
        <v>18</v>
      </c>
      <c r="L231" s="491">
        <f t="shared" si="23"/>
        <v>450</v>
      </c>
      <c r="M231" s="600" t="s">
        <v>169</v>
      </c>
      <c r="N231" s="485">
        <f>SUM(L230:L231)</f>
        <v>918</v>
      </c>
      <c r="O231" s="489"/>
      <c r="P231" s="513"/>
      <c r="Q231" s="513"/>
    </row>
    <row r="232" s="473" customFormat="1" ht="20.25" spans="1:21">
      <c r="A232" s="473" t="s">
        <v>55</v>
      </c>
      <c r="B232" s="501">
        <v>45876</v>
      </c>
      <c r="C232" s="510">
        <v>11</v>
      </c>
      <c r="D232" s="494" t="s">
        <v>143</v>
      </c>
      <c r="E232" s="494"/>
      <c r="F232" s="494"/>
      <c r="G232" s="473" t="s">
        <v>131</v>
      </c>
      <c r="H232" s="494">
        <v>1</v>
      </c>
      <c r="I232" s="494">
        <v>3</v>
      </c>
      <c r="J232" s="488">
        <f t="shared" si="22"/>
        <v>3</v>
      </c>
      <c r="K232" s="511">
        <v>18</v>
      </c>
      <c r="L232" s="491">
        <f t="shared" si="23"/>
        <v>54</v>
      </c>
      <c r="M232" s="600" t="s">
        <v>129</v>
      </c>
      <c r="N232" s="485"/>
      <c r="O232" s="489"/>
      <c r="P232" s="513"/>
      <c r="Q232" s="513"/>
    </row>
    <row r="233" s="473" customFormat="1" ht="20.25" spans="1:21">
      <c r="A233" s="473" t="s">
        <v>55</v>
      </c>
      <c r="B233" s="501">
        <v>45876</v>
      </c>
      <c r="C233" s="510">
        <v>11</v>
      </c>
      <c r="D233" s="494" t="s">
        <v>5</v>
      </c>
      <c r="E233" s="494"/>
      <c r="F233" s="494"/>
      <c r="G233" s="580" t="s">
        <v>6</v>
      </c>
      <c r="H233" s="494">
        <v>2</v>
      </c>
      <c r="I233" s="494">
        <v>25</v>
      </c>
      <c r="J233" s="488">
        <f t="shared" si="22"/>
        <v>50</v>
      </c>
      <c r="K233" s="511">
        <v>18</v>
      </c>
      <c r="L233" s="491">
        <f t="shared" si="23"/>
        <v>900</v>
      </c>
      <c r="M233" s="485">
        <f>SUM(L230:L233)</f>
        <v>1872</v>
      </c>
      <c r="N233" s="494"/>
      <c r="O233" s="489"/>
      <c r="P233" s="513"/>
      <c r="Q233" s="513"/>
    </row>
    <row r="234" s="2" customFormat="1" ht="20.25" spans="1:21">
      <c r="A234" s="2" t="s">
        <v>87</v>
      </c>
      <c r="B234" s="496">
        <v>45878</v>
      </c>
      <c r="C234" s="502">
        <v>20</v>
      </c>
      <c r="D234" s="481" t="s">
        <v>107</v>
      </c>
      <c r="E234" s="481"/>
      <c r="F234" s="481"/>
      <c r="G234" s="2" t="s">
        <v>170</v>
      </c>
      <c r="H234" s="481">
        <v>1</v>
      </c>
      <c r="I234" s="481">
        <v>10</v>
      </c>
      <c r="J234" s="478">
        <f t="shared" si="22"/>
        <v>10</v>
      </c>
      <c r="K234" s="499">
        <v>15</v>
      </c>
      <c r="L234" s="499">
        <f t="shared" si="23"/>
        <v>150</v>
      </c>
      <c r="M234" s="506" t="s">
        <v>97</v>
      </c>
      <c r="N234" s="481"/>
      <c r="O234" s="479">
        <v>21.5</v>
      </c>
      <c r="P234" s="2">
        <f>J234*O234</f>
        <v>215</v>
      </c>
      <c r="Q234" s="500"/>
      <c r="U234" s="317"/>
    </row>
    <row r="235" s="2" customFormat="1" ht="20.25" spans="1:21">
      <c r="A235" s="2" t="s">
        <v>87</v>
      </c>
      <c r="B235" s="496">
        <v>45878</v>
      </c>
      <c r="C235" s="502">
        <v>20</v>
      </c>
      <c r="D235" s="481"/>
      <c r="E235" s="481"/>
      <c r="F235" s="481"/>
      <c r="G235" s="2" t="s">
        <v>10</v>
      </c>
      <c r="H235" s="481">
        <v>1</v>
      </c>
      <c r="I235" s="481">
        <v>10</v>
      </c>
      <c r="J235" s="478">
        <f t="shared" si="22"/>
        <v>10</v>
      </c>
      <c r="K235" s="499">
        <v>15</v>
      </c>
      <c r="L235" s="499">
        <f t="shared" si="23"/>
        <v>150</v>
      </c>
      <c r="M235" s="506" t="s">
        <v>98</v>
      </c>
      <c r="N235" s="481">
        <f>SUM(L234:L235)</f>
        <v>300</v>
      </c>
      <c r="O235" s="479">
        <v>21.5</v>
      </c>
      <c r="P235" s="2">
        <f>J235*O235</f>
        <v>215</v>
      </c>
      <c r="Q235" s="500">
        <f>SUM(P232:P235)</f>
        <v>430</v>
      </c>
      <c r="U235" s="317"/>
    </row>
    <row r="236" s="473" customFormat="1" ht="20.25" spans="1:21">
      <c r="A236" s="473" t="s">
        <v>55</v>
      </c>
      <c r="B236" s="501">
        <v>45881</v>
      </c>
      <c r="C236" s="510">
        <v>24</v>
      </c>
      <c r="D236" s="494" t="s">
        <v>156</v>
      </c>
      <c r="E236" s="494"/>
      <c r="F236" s="494"/>
      <c r="G236" s="580" t="s">
        <v>157</v>
      </c>
      <c r="H236" s="494">
        <v>1</v>
      </c>
      <c r="I236" s="494">
        <v>5</v>
      </c>
      <c r="J236" s="488">
        <f t="shared" si="22"/>
        <v>5</v>
      </c>
      <c r="K236" s="491">
        <v>17</v>
      </c>
      <c r="L236" s="511">
        <f t="shared" si="23"/>
        <v>85</v>
      </c>
      <c r="M236" s="485"/>
      <c r="N236" s="494"/>
      <c r="O236" s="489"/>
      <c r="P236" s="513"/>
      <c r="Q236" s="513"/>
    </row>
    <row r="237" s="473" customFormat="1" ht="19" customHeight="1" spans="1:21">
      <c r="A237" s="473" t="s">
        <v>55</v>
      </c>
      <c r="B237" s="501">
        <v>45881</v>
      </c>
      <c r="C237" s="510">
        <v>24</v>
      </c>
      <c r="D237" s="514" t="s">
        <v>149</v>
      </c>
      <c r="E237" s="514"/>
      <c r="F237" s="514"/>
      <c r="G237" s="474" t="s">
        <v>60</v>
      </c>
      <c r="H237" s="514">
        <v>5</v>
      </c>
      <c r="I237" s="514">
        <v>25</v>
      </c>
      <c r="J237" s="493">
        <f t="shared" si="22"/>
        <v>125</v>
      </c>
      <c r="K237" s="509">
        <v>11</v>
      </c>
      <c r="L237" s="523">
        <f t="shared" si="23"/>
        <v>1375</v>
      </c>
      <c r="M237" s="584" t="s">
        <v>171</v>
      </c>
      <c r="N237" s="485"/>
      <c r="O237" s="489"/>
      <c r="P237" s="513"/>
      <c r="Q237" s="513"/>
    </row>
    <row r="238" s="473" customFormat="1" ht="20.25" spans="1:21">
      <c r="A238" s="473" t="s">
        <v>55</v>
      </c>
      <c r="B238" s="501">
        <v>45881</v>
      </c>
      <c r="C238" s="510">
        <v>24</v>
      </c>
      <c r="D238" s="494" t="s">
        <v>5</v>
      </c>
      <c r="E238" s="494"/>
      <c r="F238" s="494"/>
      <c r="G238" s="580" t="s">
        <v>6</v>
      </c>
      <c r="H238" s="494">
        <v>1</v>
      </c>
      <c r="I238" s="494">
        <v>25</v>
      </c>
      <c r="J238" s="488">
        <f t="shared" si="22"/>
        <v>25</v>
      </c>
      <c r="K238" s="511">
        <v>18</v>
      </c>
      <c r="L238" s="491">
        <f t="shared" si="23"/>
        <v>450</v>
      </c>
      <c r="M238" s="485"/>
      <c r="N238" s="494"/>
      <c r="O238" s="489"/>
      <c r="P238" s="513"/>
      <c r="Q238" s="513"/>
    </row>
    <row r="239" s="473" customFormat="1" ht="20.25" spans="1:21">
      <c r="A239" s="473" t="s">
        <v>55</v>
      </c>
      <c r="B239" s="501">
        <v>45881</v>
      </c>
      <c r="C239" s="510">
        <v>24</v>
      </c>
      <c r="D239" s="494" t="s">
        <v>5</v>
      </c>
      <c r="E239" s="494"/>
      <c r="F239" s="494"/>
      <c r="G239" s="580" t="s">
        <v>6</v>
      </c>
      <c r="H239" s="494">
        <v>2</v>
      </c>
      <c r="I239" s="494">
        <v>26</v>
      </c>
      <c r="J239" s="488">
        <f t="shared" si="22"/>
        <v>52</v>
      </c>
      <c r="K239" s="511">
        <v>18</v>
      </c>
      <c r="L239" s="491">
        <f t="shared" si="23"/>
        <v>936</v>
      </c>
      <c r="M239" s="485"/>
      <c r="N239" s="494">
        <f>SUM(L236:L239)</f>
        <v>2846</v>
      </c>
      <c r="O239" s="489"/>
      <c r="P239" s="513"/>
      <c r="Q239" s="513"/>
    </row>
    <row r="240" s="2" customFormat="1" ht="20.25" spans="1:21">
      <c r="A240" s="2" t="s">
        <v>30</v>
      </c>
      <c r="B240" s="496">
        <v>45884</v>
      </c>
      <c r="C240" s="502">
        <v>39</v>
      </c>
      <c r="D240" s="585" t="s">
        <v>162</v>
      </c>
      <c r="E240" s="481"/>
      <c r="F240" s="481"/>
      <c r="G240" s="2" t="s">
        <v>163</v>
      </c>
      <c r="H240" s="481">
        <v>1</v>
      </c>
      <c r="I240" s="481">
        <v>25</v>
      </c>
      <c r="J240" s="478">
        <f t="shared" si="22"/>
        <v>25</v>
      </c>
      <c r="K240" s="499">
        <v>17</v>
      </c>
      <c r="L240" s="482">
        <f t="shared" si="23"/>
        <v>425</v>
      </c>
      <c r="M240" s="475"/>
      <c r="N240" s="481"/>
      <c r="O240" s="479"/>
      <c r="P240" s="500"/>
      <c r="Q240" s="500"/>
    </row>
    <row r="241" s="2" customFormat="1" ht="20.25" spans="1:21">
      <c r="A241" s="2" t="s">
        <v>30</v>
      </c>
      <c r="B241" s="496">
        <v>45884</v>
      </c>
      <c r="C241" s="502">
        <v>39</v>
      </c>
      <c r="D241" s="481" t="s">
        <v>49</v>
      </c>
      <c r="E241" s="481"/>
      <c r="F241" s="481"/>
      <c r="G241" s="2" t="s">
        <v>50</v>
      </c>
      <c r="H241" s="481">
        <v>1</v>
      </c>
      <c r="I241" s="481">
        <v>26</v>
      </c>
      <c r="J241" s="478">
        <f t="shared" si="22"/>
        <v>26</v>
      </c>
      <c r="K241" s="499">
        <v>17</v>
      </c>
      <c r="L241" s="482">
        <f t="shared" si="23"/>
        <v>442</v>
      </c>
      <c r="M241" s="475"/>
      <c r="N241" s="481"/>
      <c r="O241" s="479"/>
      <c r="P241" s="500"/>
      <c r="Q241" s="500"/>
    </row>
    <row r="242" s="2" customFormat="1" ht="19" customHeight="1" spans="1:21">
      <c r="A242" s="2" t="s">
        <v>30</v>
      </c>
      <c r="B242" s="496">
        <v>45884</v>
      </c>
      <c r="C242" s="502">
        <v>39</v>
      </c>
      <c r="D242" s="481"/>
      <c r="E242" s="481"/>
      <c r="F242" s="481"/>
      <c r="G242" s="2" t="s">
        <v>10</v>
      </c>
      <c r="H242" s="481">
        <v>2</v>
      </c>
      <c r="I242" s="481">
        <v>20</v>
      </c>
      <c r="J242" s="478">
        <f t="shared" si="22"/>
        <v>40</v>
      </c>
      <c r="K242" s="499">
        <v>17</v>
      </c>
      <c r="L242" s="482">
        <f t="shared" si="23"/>
        <v>680</v>
      </c>
      <c r="M242" s="582" t="s">
        <v>172</v>
      </c>
      <c r="N242" s="475">
        <f>SUM(L240:L242)</f>
        <v>1547</v>
      </c>
      <c r="O242" s="479"/>
      <c r="P242" s="500"/>
      <c r="Q242" s="500"/>
    </row>
    <row r="243" s="2" customFormat="1" ht="19" customHeight="1" spans="1:21">
      <c r="B243" s="496"/>
      <c r="C243" s="502"/>
      <c r="D243" s="481"/>
      <c r="E243" s="481"/>
      <c r="F243" s="481"/>
      <c r="G243" s="474" t="s">
        <v>173</v>
      </c>
      <c r="H243" s="481"/>
      <c r="I243" s="481"/>
      <c r="J243" s="478"/>
      <c r="K243" s="499"/>
      <c r="L243" s="482"/>
      <c r="M243" s="582"/>
      <c r="N243" s="475"/>
      <c r="O243" s="479"/>
      <c r="P243" s="500"/>
      <c r="Q243" s="500"/>
    </row>
    <row r="244" s="473" customFormat="1" ht="20.25" spans="1:21">
      <c r="A244" s="473" t="s">
        <v>55</v>
      </c>
      <c r="B244" s="501">
        <v>45889</v>
      </c>
      <c r="C244" s="510">
        <v>49</v>
      </c>
      <c r="D244" s="494" t="s">
        <v>174</v>
      </c>
      <c r="E244" s="494"/>
      <c r="F244" s="494"/>
      <c r="G244" s="580" t="s">
        <v>47</v>
      </c>
      <c r="H244" s="494">
        <v>1</v>
      </c>
      <c r="I244" s="494">
        <v>26</v>
      </c>
      <c r="J244" s="488">
        <v>26</v>
      </c>
      <c r="K244" s="511">
        <v>17</v>
      </c>
      <c r="L244" s="491">
        <f>J244*K244</f>
        <v>442</v>
      </c>
      <c r="M244" s="485" t="s">
        <v>107</v>
      </c>
      <c r="N244" s="494">
        <f>SUM(L240:L244)</f>
        <v>1989</v>
      </c>
      <c r="O244" s="489"/>
      <c r="P244" s="513"/>
      <c r="Q244" s="513"/>
    </row>
    <row r="245" s="473" customFormat="1" ht="20.25" spans="1:21">
      <c r="A245" s="473" t="s">
        <v>55</v>
      </c>
      <c r="B245" s="501">
        <v>45889</v>
      </c>
      <c r="C245" s="510">
        <v>49</v>
      </c>
      <c r="D245" s="494" t="s">
        <v>175</v>
      </c>
      <c r="E245" s="494"/>
      <c r="F245" s="494"/>
      <c r="G245" s="580" t="s">
        <v>176</v>
      </c>
      <c r="H245" s="494">
        <v>1</v>
      </c>
      <c r="I245" s="494">
        <v>3</v>
      </c>
      <c r="J245" s="488">
        <f>H245*I245</f>
        <v>3</v>
      </c>
      <c r="K245" s="511">
        <v>25</v>
      </c>
      <c r="L245" s="491">
        <f>J245*K245</f>
        <v>75</v>
      </c>
      <c r="M245" s="485" t="s">
        <v>107</v>
      </c>
      <c r="N245" s="494">
        <f>SUM(L241:L245)</f>
        <v>1639</v>
      </c>
      <c r="O245" s="489"/>
      <c r="P245" s="513"/>
      <c r="Q245" s="513"/>
    </row>
    <row r="246" s="473" customFormat="1" ht="20.25" spans="1:21">
      <c r="A246" s="473" t="s">
        <v>55</v>
      </c>
      <c r="B246" s="501">
        <v>45889</v>
      </c>
      <c r="C246" s="510">
        <v>49</v>
      </c>
      <c r="D246" s="494" t="s">
        <v>177</v>
      </c>
      <c r="E246" s="494"/>
      <c r="F246" s="494"/>
      <c r="G246" s="580" t="s">
        <v>36</v>
      </c>
      <c r="H246" s="494">
        <v>1</v>
      </c>
      <c r="I246" s="494">
        <v>25</v>
      </c>
      <c r="J246" s="488">
        <f t="shared" ref="J246:J264" si="24">H246*I246</f>
        <v>25</v>
      </c>
      <c r="K246" s="511">
        <v>21.5</v>
      </c>
      <c r="L246" s="491">
        <f t="shared" ref="L246:L267" si="25">J246*K246</f>
        <v>537.5</v>
      </c>
      <c r="M246" s="485" t="s">
        <v>107</v>
      </c>
      <c r="N246" s="494"/>
      <c r="O246" s="489"/>
      <c r="P246" s="513"/>
      <c r="Q246" s="513"/>
    </row>
    <row r="247" s="473" customFormat="1" ht="20.25" spans="1:21">
      <c r="A247" s="473" t="s">
        <v>55</v>
      </c>
      <c r="B247" s="501">
        <v>45889</v>
      </c>
      <c r="C247" s="510">
        <v>49</v>
      </c>
      <c r="D247" s="494" t="s">
        <v>178</v>
      </c>
      <c r="E247" s="494"/>
      <c r="F247" s="494"/>
      <c r="G247" s="580" t="s">
        <v>8</v>
      </c>
      <c r="H247" s="494">
        <v>1</v>
      </c>
      <c r="I247" s="494">
        <v>3</v>
      </c>
      <c r="J247" s="488">
        <f t="shared" si="24"/>
        <v>3</v>
      </c>
      <c r="K247" s="511">
        <v>17</v>
      </c>
      <c r="L247" s="491">
        <f t="shared" si="25"/>
        <v>51</v>
      </c>
      <c r="M247" s="485" t="s">
        <v>107</v>
      </c>
      <c r="N247" s="494">
        <f>SUM(L245:L247)</f>
        <v>663.5</v>
      </c>
      <c r="O247" s="489"/>
      <c r="P247" s="513"/>
      <c r="Q247" s="513"/>
    </row>
    <row r="248" s="473" customFormat="1" ht="19" customHeight="1" spans="1:21">
      <c r="A248" s="473" t="s">
        <v>55</v>
      </c>
      <c r="B248" s="501">
        <v>45889</v>
      </c>
      <c r="C248" s="510">
        <v>49</v>
      </c>
      <c r="D248" s="494" t="s">
        <v>179</v>
      </c>
      <c r="E248" s="494"/>
      <c r="F248" s="494"/>
      <c r="G248" s="513" t="s">
        <v>20</v>
      </c>
      <c r="H248" s="494">
        <v>1</v>
      </c>
      <c r="I248" s="494">
        <v>5</v>
      </c>
      <c r="J248" s="488">
        <f t="shared" si="24"/>
        <v>5</v>
      </c>
      <c r="K248" s="511">
        <v>17</v>
      </c>
      <c r="L248" s="491">
        <f t="shared" si="25"/>
        <v>85</v>
      </c>
      <c r="M248" s="581" t="s">
        <v>18</v>
      </c>
      <c r="N248" s="485"/>
      <c r="O248" s="489"/>
      <c r="P248" s="513"/>
      <c r="Q248" s="513"/>
    </row>
    <row r="249" s="574" customFormat="1" ht="19" customHeight="1" spans="1:21">
      <c r="A249" s="473" t="s">
        <v>55</v>
      </c>
      <c r="B249" s="501">
        <v>45889</v>
      </c>
      <c r="C249" s="510">
        <v>49</v>
      </c>
      <c r="D249" s="533" t="s">
        <v>115</v>
      </c>
      <c r="E249" s="494"/>
      <c r="F249" s="494"/>
      <c r="G249" s="473" t="s">
        <v>132</v>
      </c>
      <c r="H249" s="494">
        <v>1</v>
      </c>
      <c r="I249" s="494">
        <v>26</v>
      </c>
      <c r="J249" s="488">
        <f t="shared" si="24"/>
        <v>26</v>
      </c>
      <c r="K249" s="491">
        <v>17</v>
      </c>
      <c r="L249" s="491">
        <f t="shared" si="25"/>
        <v>442</v>
      </c>
      <c r="M249" s="485" t="s">
        <v>135</v>
      </c>
      <c r="N249" s="594"/>
      <c r="O249" s="595"/>
    </row>
    <row r="250" s="474" customFormat="1" ht="19" customHeight="1" spans="1:21">
      <c r="A250" s="473" t="s">
        <v>55</v>
      </c>
      <c r="B250" s="501">
        <v>45889</v>
      </c>
      <c r="C250" s="510">
        <v>49</v>
      </c>
      <c r="D250" s="494" t="s">
        <v>180</v>
      </c>
      <c r="E250" s="494"/>
      <c r="F250" s="494"/>
      <c r="G250" s="473" t="s">
        <v>10</v>
      </c>
      <c r="H250" s="494">
        <v>2</v>
      </c>
      <c r="I250" s="494">
        <v>20</v>
      </c>
      <c r="J250" s="488">
        <f t="shared" si="24"/>
        <v>40</v>
      </c>
      <c r="K250" s="511">
        <v>12</v>
      </c>
      <c r="L250" s="491">
        <f t="shared" si="25"/>
        <v>480</v>
      </c>
      <c r="M250" s="622" t="s">
        <v>181</v>
      </c>
      <c r="N250" s="524"/>
      <c r="O250" s="515"/>
      <c r="P250" s="526"/>
      <c r="Q250" s="526"/>
    </row>
    <row r="251" s="573" customFormat="1" ht="19" customHeight="1" spans="1:21">
      <c r="A251" s="2" t="s">
        <v>55</v>
      </c>
      <c r="B251" s="496">
        <v>45891</v>
      </c>
      <c r="C251" s="502">
        <v>53</v>
      </c>
      <c r="D251" s="585" t="s">
        <v>112</v>
      </c>
      <c r="E251" s="481"/>
      <c r="F251" s="481"/>
      <c r="G251" s="2" t="s">
        <v>113</v>
      </c>
      <c r="H251" s="481">
        <v>1</v>
      </c>
      <c r="I251" s="481">
        <v>26</v>
      </c>
      <c r="J251" s="478">
        <f t="shared" si="24"/>
        <v>26</v>
      </c>
      <c r="K251" s="482">
        <v>17</v>
      </c>
      <c r="L251" s="482">
        <f t="shared" si="25"/>
        <v>442</v>
      </c>
      <c r="M251" s="475" t="s">
        <v>135</v>
      </c>
      <c r="N251" s="1"/>
      <c r="O251" s="587"/>
    </row>
    <row r="252" s="473" customFormat="1" ht="20.25" spans="1:21">
      <c r="A252" s="473" t="s">
        <v>55</v>
      </c>
      <c r="B252" s="501">
        <v>45891</v>
      </c>
      <c r="C252" s="510">
        <v>55</v>
      </c>
      <c r="D252" s="488" t="s">
        <v>2</v>
      </c>
      <c r="E252" s="488"/>
      <c r="F252" s="488"/>
      <c r="G252" s="472" t="s">
        <v>3</v>
      </c>
      <c r="H252" s="488">
        <v>2</v>
      </c>
      <c r="I252" s="488">
        <v>25</v>
      </c>
      <c r="J252" s="488">
        <f t="shared" si="24"/>
        <v>50</v>
      </c>
      <c r="K252" s="491">
        <v>17</v>
      </c>
      <c r="L252" s="491">
        <f t="shared" si="25"/>
        <v>850</v>
      </c>
      <c r="M252" s="485" t="s">
        <v>4</v>
      </c>
      <c r="N252" s="485"/>
      <c r="O252" s="485"/>
      <c r="P252" s="489"/>
      <c r="Q252" s="513"/>
    </row>
    <row r="253" s="474" customFormat="1" ht="19" customHeight="1" spans="1:21">
      <c r="A253" s="473" t="s">
        <v>55</v>
      </c>
      <c r="B253" s="501">
        <v>45891</v>
      </c>
      <c r="C253" s="510">
        <v>55</v>
      </c>
      <c r="D253" s="494" t="s">
        <v>182</v>
      </c>
      <c r="E253" s="494"/>
      <c r="F253" s="494"/>
      <c r="G253" s="473" t="s">
        <v>84</v>
      </c>
      <c r="H253" s="494">
        <v>1</v>
      </c>
      <c r="I253" s="494">
        <v>20</v>
      </c>
      <c r="J253" s="488">
        <f t="shared" si="24"/>
        <v>20</v>
      </c>
      <c r="K253" s="511">
        <v>12</v>
      </c>
      <c r="L253" s="491">
        <f t="shared" si="25"/>
        <v>240</v>
      </c>
      <c r="M253" s="622" t="s">
        <v>183</v>
      </c>
      <c r="N253" s="524"/>
      <c r="O253" s="515"/>
      <c r="P253" s="526"/>
      <c r="Q253" s="526"/>
    </row>
    <row r="254" s="474" customFormat="1" ht="20.25" spans="1:21">
      <c r="A254" s="474" t="s">
        <v>87</v>
      </c>
      <c r="B254" s="520">
        <v>45897</v>
      </c>
      <c r="C254" s="521">
        <v>77</v>
      </c>
      <c r="D254" s="514"/>
      <c r="E254" s="514"/>
      <c r="F254" s="514"/>
      <c r="G254" s="474" t="s">
        <v>96</v>
      </c>
      <c r="H254" s="514">
        <v>1</v>
      </c>
      <c r="I254" s="514">
        <v>25</v>
      </c>
      <c r="J254" s="493">
        <f t="shared" si="24"/>
        <v>25</v>
      </c>
      <c r="K254" s="509">
        <v>14.5</v>
      </c>
      <c r="L254" s="509">
        <f t="shared" si="25"/>
        <v>362.5</v>
      </c>
      <c r="M254" s="518" t="s">
        <v>184</v>
      </c>
      <c r="N254" s="514"/>
      <c r="O254" s="515">
        <v>21.5</v>
      </c>
      <c r="P254" s="474">
        <f t="shared" ref="P254:P258" si="26">J254*O254</f>
        <v>537.5</v>
      </c>
      <c r="Q254" s="526"/>
      <c r="U254" s="344"/>
    </row>
    <row r="255" s="474" customFormat="1" ht="20.25" spans="1:21">
      <c r="A255" s="474" t="s">
        <v>87</v>
      </c>
      <c r="B255" s="520">
        <v>45897</v>
      </c>
      <c r="C255" s="521">
        <v>77</v>
      </c>
      <c r="D255" s="514"/>
      <c r="E255" s="514"/>
      <c r="F255" s="514"/>
      <c r="G255" s="474" t="s">
        <v>96</v>
      </c>
      <c r="H255" s="514">
        <v>1</v>
      </c>
      <c r="I255" s="514">
        <v>26</v>
      </c>
      <c r="J255" s="493">
        <f t="shared" si="24"/>
        <v>26</v>
      </c>
      <c r="K255" s="509">
        <v>14.5</v>
      </c>
      <c r="L255" s="509">
        <f t="shared" si="25"/>
        <v>377</v>
      </c>
      <c r="M255" s="518" t="s">
        <v>184</v>
      </c>
      <c r="N255" s="514"/>
      <c r="O255" s="515">
        <v>21.5</v>
      </c>
      <c r="P255" s="474">
        <f t="shared" si="26"/>
        <v>559</v>
      </c>
      <c r="Q255" s="526"/>
      <c r="U255" s="344"/>
    </row>
    <row r="256" s="474" customFormat="1" ht="20.25" spans="1:21">
      <c r="A256" s="474" t="s">
        <v>87</v>
      </c>
      <c r="B256" s="520">
        <v>45897</v>
      </c>
      <c r="C256" s="521">
        <v>77</v>
      </c>
      <c r="D256" s="514"/>
      <c r="E256" s="514"/>
      <c r="F256" s="514"/>
      <c r="G256" s="474" t="s">
        <v>10</v>
      </c>
      <c r="H256" s="514">
        <v>3</v>
      </c>
      <c r="I256" s="514">
        <v>10</v>
      </c>
      <c r="J256" s="493">
        <f t="shared" si="24"/>
        <v>30</v>
      </c>
      <c r="K256" s="509">
        <v>13</v>
      </c>
      <c r="L256" s="509">
        <f t="shared" si="25"/>
        <v>390</v>
      </c>
      <c r="M256" s="518" t="s">
        <v>185</v>
      </c>
      <c r="N256" s="514">
        <f>SUM(L254:L258)</f>
        <v>2734.5</v>
      </c>
      <c r="O256" s="515">
        <v>21.5</v>
      </c>
      <c r="P256" s="474">
        <f t="shared" si="26"/>
        <v>645</v>
      </c>
      <c r="Q256" s="526">
        <f>SUM(P254:P258)</f>
        <v>3706.5</v>
      </c>
      <c r="U256" s="344"/>
    </row>
    <row r="257" s="474" customFormat="1" ht="20.25" spans="1:21">
      <c r="A257" s="474" t="s">
        <v>87</v>
      </c>
      <c r="B257" s="520">
        <v>45897</v>
      </c>
      <c r="C257" s="521">
        <v>77</v>
      </c>
      <c r="D257" s="514" t="s">
        <v>88</v>
      </c>
      <c r="E257" s="514"/>
      <c r="F257" s="514"/>
      <c r="G257" s="474" t="s">
        <v>89</v>
      </c>
      <c r="H257" s="514">
        <v>3</v>
      </c>
      <c r="I257" s="514">
        <v>25</v>
      </c>
      <c r="J257" s="493">
        <f t="shared" si="24"/>
        <v>75</v>
      </c>
      <c r="K257" s="509">
        <v>11</v>
      </c>
      <c r="L257" s="509">
        <f t="shared" si="25"/>
        <v>825</v>
      </c>
      <c r="M257" s="518" t="s">
        <v>186</v>
      </c>
      <c r="N257" s="514"/>
      <c r="O257" s="515">
        <v>13</v>
      </c>
      <c r="P257" s="474">
        <f t="shared" si="26"/>
        <v>975</v>
      </c>
      <c r="Q257" s="526"/>
      <c r="U257" s="344" t="s">
        <v>91</v>
      </c>
    </row>
    <row r="258" s="474" customFormat="1" ht="20.25" spans="1:21">
      <c r="A258" s="474" t="s">
        <v>87</v>
      </c>
      <c r="B258" s="520">
        <v>45897</v>
      </c>
      <c r="C258" s="521">
        <v>77</v>
      </c>
      <c r="D258" s="514" t="s">
        <v>92</v>
      </c>
      <c r="E258" s="514"/>
      <c r="F258" s="514"/>
      <c r="G258" s="474" t="s">
        <v>93</v>
      </c>
      <c r="H258" s="514">
        <v>3</v>
      </c>
      <c r="I258" s="514">
        <v>20</v>
      </c>
      <c r="J258" s="493">
        <f t="shared" si="24"/>
        <v>60</v>
      </c>
      <c r="K258" s="509">
        <v>13</v>
      </c>
      <c r="L258" s="509">
        <f t="shared" si="25"/>
        <v>780</v>
      </c>
      <c r="M258" s="518" t="s">
        <v>187</v>
      </c>
      <c r="N258" s="514"/>
      <c r="O258" s="515">
        <v>16.5</v>
      </c>
      <c r="P258" s="474">
        <f t="shared" si="26"/>
        <v>990</v>
      </c>
      <c r="Q258" s="526"/>
      <c r="U258" s="344" t="s">
        <v>95</v>
      </c>
    </row>
    <row r="259" s="2" customFormat="1" ht="20.25" spans="1:21">
      <c r="A259" s="2" t="s">
        <v>30</v>
      </c>
      <c r="B259" s="496">
        <v>45899</v>
      </c>
      <c r="C259" s="502">
        <v>86</v>
      </c>
      <c r="D259" s="585" t="s">
        <v>162</v>
      </c>
      <c r="E259" s="481"/>
      <c r="F259" s="481"/>
      <c r="G259" s="2" t="s">
        <v>163</v>
      </c>
      <c r="H259" s="481">
        <v>2</v>
      </c>
      <c r="I259" s="481">
        <v>26</v>
      </c>
      <c r="J259" s="478">
        <f t="shared" si="24"/>
        <v>52</v>
      </c>
      <c r="K259" s="499">
        <v>17</v>
      </c>
      <c r="L259" s="482">
        <f t="shared" si="25"/>
        <v>884</v>
      </c>
      <c r="M259" s="475"/>
      <c r="N259" s="481"/>
      <c r="O259" s="479"/>
      <c r="P259" s="500"/>
      <c r="Q259" s="500"/>
    </row>
    <row r="260" s="574" customFormat="1" ht="19" customHeight="1" spans="1:21">
      <c r="A260" s="473" t="s">
        <v>55</v>
      </c>
      <c r="B260" s="501">
        <v>45899</v>
      </c>
      <c r="C260" s="510">
        <v>87</v>
      </c>
      <c r="D260" s="533" t="s">
        <v>153</v>
      </c>
      <c r="E260" s="494"/>
      <c r="F260" s="494"/>
      <c r="G260" s="473" t="s">
        <v>154</v>
      </c>
      <c r="H260" s="494">
        <v>1</v>
      </c>
      <c r="I260" s="494">
        <v>10</v>
      </c>
      <c r="J260" s="488">
        <f t="shared" si="24"/>
        <v>10</v>
      </c>
      <c r="K260" s="491">
        <v>21.5</v>
      </c>
      <c r="L260" s="491">
        <f t="shared" si="25"/>
        <v>215</v>
      </c>
      <c r="M260" s="485" t="s">
        <v>107</v>
      </c>
      <c r="N260" s="594"/>
      <c r="O260" s="595"/>
    </row>
    <row r="261" s="2" customFormat="1" ht="20.25" spans="1:21">
      <c r="A261" s="2" t="s">
        <v>55</v>
      </c>
      <c r="B261" s="496">
        <v>45905</v>
      </c>
      <c r="C261" s="502">
        <v>10</v>
      </c>
      <c r="D261" s="481" t="s">
        <v>5</v>
      </c>
      <c r="E261" s="481"/>
      <c r="F261" s="481"/>
      <c r="G261" s="503" t="s">
        <v>6</v>
      </c>
      <c r="H261" s="481">
        <v>2</v>
      </c>
      <c r="I261" s="481">
        <v>25</v>
      </c>
      <c r="J261" s="478">
        <f t="shared" si="24"/>
        <v>50</v>
      </c>
      <c r="K261" s="499">
        <v>18</v>
      </c>
      <c r="L261" s="482">
        <f t="shared" si="25"/>
        <v>900</v>
      </c>
      <c r="M261" s="475">
        <f>SUM(L258:L261)</f>
        <v>2779</v>
      </c>
      <c r="N261" s="481">
        <f>SUM(L258:L261)</f>
        <v>2779</v>
      </c>
      <c r="O261" s="479"/>
      <c r="P261" s="500"/>
      <c r="Q261" s="500"/>
    </row>
    <row r="262" s="574" customFormat="1" ht="19" customHeight="1" spans="1:21">
      <c r="A262" s="473" t="s">
        <v>55</v>
      </c>
      <c r="B262" s="501">
        <v>45908</v>
      </c>
      <c r="C262" s="510">
        <v>20</v>
      </c>
      <c r="D262" s="533" t="s">
        <v>153</v>
      </c>
      <c r="E262" s="494"/>
      <c r="F262" s="494"/>
      <c r="G262" s="473" t="s">
        <v>154</v>
      </c>
      <c r="H262" s="494">
        <v>1</v>
      </c>
      <c r="I262" s="494">
        <v>23</v>
      </c>
      <c r="J262" s="488">
        <f t="shared" si="24"/>
        <v>23</v>
      </c>
      <c r="K262" s="491">
        <v>21.5</v>
      </c>
      <c r="L262" s="491">
        <f t="shared" si="25"/>
        <v>494.5</v>
      </c>
      <c r="M262" s="485" t="s">
        <v>188</v>
      </c>
      <c r="N262" s="594"/>
      <c r="O262" s="595"/>
    </row>
    <row r="263" s="2" customFormat="1" ht="20.25" spans="1:21">
      <c r="A263" s="2" t="s">
        <v>55</v>
      </c>
      <c r="B263" s="496">
        <v>45911</v>
      </c>
      <c r="C263" s="502">
        <v>30</v>
      </c>
      <c r="D263" s="478" t="s">
        <v>2</v>
      </c>
      <c r="E263" s="478"/>
      <c r="F263" s="478"/>
      <c r="G263" s="471" t="s">
        <v>3</v>
      </c>
      <c r="H263" s="478">
        <v>2</v>
      </c>
      <c r="I263" s="478">
        <v>25</v>
      </c>
      <c r="J263" s="478">
        <f t="shared" si="24"/>
        <v>50</v>
      </c>
      <c r="K263" s="482">
        <v>17</v>
      </c>
      <c r="L263" s="482">
        <f t="shared" si="25"/>
        <v>850</v>
      </c>
      <c r="M263" s="475" t="s">
        <v>4</v>
      </c>
      <c r="N263" s="475"/>
      <c r="O263" s="475"/>
      <c r="P263" s="479"/>
      <c r="Q263" s="500"/>
    </row>
    <row r="264" s="473" customFormat="1" ht="19" customHeight="1" spans="1:21">
      <c r="A264" s="473" t="s">
        <v>30</v>
      </c>
      <c r="B264" s="501">
        <v>45912</v>
      </c>
      <c r="C264" s="510">
        <v>31</v>
      </c>
      <c r="D264" s="494">
        <v>105</v>
      </c>
      <c r="E264" s="494"/>
      <c r="F264" s="494"/>
      <c r="G264" s="473" t="s">
        <v>48</v>
      </c>
      <c r="H264" s="494">
        <v>1</v>
      </c>
      <c r="I264" s="494">
        <v>25</v>
      </c>
      <c r="J264" s="488">
        <f t="shared" ref="J264:J278" si="27">H264*I264</f>
        <v>25</v>
      </c>
      <c r="K264" s="511">
        <v>18</v>
      </c>
      <c r="L264" s="491">
        <f t="shared" ref="L264:L308" si="28">J264*K264</f>
        <v>450</v>
      </c>
      <c r="M264" s="581" t="s">
        <v>168</v>
      </c>
      <c r="N264" s="485"/>
      <c r="O264" s="489"/>
      <c r="P264" s="513"/>
      <c r="Q264" s="513"/>
    </row>
    <row r="265" s="473" customFormat="1" ht="20.25" spans="1:21">
      <c r="A265" s="473" t="s">
        <v>30</v>
      </c>
      <c r="B265" s="501">
        <v>45912</v>
      </c>
      <c r="C265" s="510">
        <v>31</v>
      </c>
      <c r="D265" s="533" t="s">
        <v>162</v>
      </c>
      <c r="E265" s="494"/>
      <c r="F265" s="494"/>
      <c r="G265" s="473" t="s">
        <v>163</v>
      </c>
      <c r="H265" s="494">
        <v>2</v>
      </c>
      <c r="I265" s="494">
        <v>26</v>
      </c>
      <c r="J265" s="488">
        <f t="shared" si="27"/>
        <v>52</v>
      </c>
      <c r="K265" s="511">
        <v>17</v>
      </c>
      <c r="L265" s="491">
        <f t="shared" si="28"/>
        <v>884</v>
      </c>
      <c r="M265" s="485"/>
      <c r="N265" s="494"/>
      <c r="O265" s="489"/>
      <c r="P265" s="513"/>
      <c r="Q265" s="513"/>
    </row>
    <row r="266" s="473" customFormat="1" ht="20.25" spans="1:21">
      <c r="A266" s="473" t="s">
        <v>30</v>
      </c>
      <c r="B266" s="501">
        <v>45912</v>
      </c>
      <c r="C266" s="510">
        <v>31</v>
      </c>
      <c r="D266" s="533" t="s">
        <v>162</v>
      </c>
      <c r="E266" s="494"/>
      <c r="F266" s="494"/>
      <c r="G266" s="473" t="s">
        <v>163</v>
      </c>
      <c r="H266" s="494">
        <v>1</v>
      </c>
      <c r="I266" s="494">
        <v>25</v>
      </c>
      <c r="J266" s="488">
        <f t="shared" si="27"/>
        <v>25</v>
      </c>
      <c r="K266" s="511">
        <v>17</v>
      </c>
      <c r="L266" s="491">
        <f t="shared" si="28"/>
        <v>425</v>
      </c>
      <c r="M266" s="485">
        <f>SUM(L264:L267)</f>
        <v>2439</v>
      </c>
      <c r="N266" s="494"/>
      <c r="O266" s="489"/>
      <c r="P266" s="513"/>
      <c r="Q266" s="513"/>
    </row>
    <row r="267" s="473" customFormat="1" ht="20.25" spans="1:21">
      <c r="A267" s="473" t="s">
        <v>30</v>
      </c>
      <c r="B267" s="501">
        <v>45912</v>
      </c>
      <c r="C267" s="510">
        <v>31</v>
      </c>
      <c r="D267" s="533"/>
      <c r="E267" s="494"/>
      <c r="F267" s="494"/>
      <c r="G267" s="473" t="s">
        <v>51</v>
      </c>
      <c r="H267" s="494">
        <v>2</v>
      </c>
      <c r="I267" s="494">
        <v>20</v>
      </c>
      <c r="J267" s="488">
        <f t="shared" si="27"/>
        <v>40</v>
      </c>
      <c r="K267" s="491">
        <v>17</v>
      </c>
      <c r="L267" s="491">
        <f t="shared" si="28"/>
        <v>680</v>
      </c>
      <c r="M267" s="485" t="s">
        <v>85</v>
      </c>
      <c r="N267" s="494"/>
      <c r="O267" s="489"/>
      <c r="P267" s="513"/>
      <c r="Q267" s="513"/>
    </row>
    <row r="268" s="577" customFormat="1" ht="19" customHeight="1" spans="1:21">
      <c r="A268" s="577" t="s">
        <v>55</v>
      </c>
      <c r="B268" s="623">
        <v>45913</v>
      </c>
      <c r="C268" s="624">
        <v>38</v>
      </c>
      <c r="D268" s="625" t="s">
        <v>26</v>
      </c>
      <c r="E268" s="625"/>
      <c r="F268" s="625"/>
      <c r="G268" s="577" t="s">
        <v>27</v>
      </c>
      <c r="H268" s="625">
        <v>1</v>
      </c>
      <c r="I268" s="625">
        <v>4</v>
      </c>
      <c r="J268" s="626">
        <f t="shared" si="27"/>
        <v>4</v>
      </c>
      <c r="K268" s="627">
        <v>48</v>
      </c>
      <c r="L268" s="628">
        <f t="shared" si="28"/>
        <v>192</v>
      </c>
      <c r="M268" s="629"/>
      <c r="N268" s="630"/>
      <c r="O268" s="631"/>
      <c r="P268" s="632"/>
      <c r="Q268" s="632"/>
    </row>
    <row r="269" s="2" customFormat="1" ht="21" customHeight="1" spans="1:21">
      <c r="A269" s="2" t="s">
        <v>55</v>
      </c>
      <c r="B269" s="496">
        <v>45916</v>
      </c>
      <c r="C269" s="502">
        <v>41</v>
      </c>
      <c r="D269" s="646" t="s">
        <v>52</v>
      </c>
      <c r="E269" s="481"/>
      <c r="F269" s="481"/>
      <c r="G269" s="2" t="s">
        <v>53</v>
      </c>
      <c r="H269" s="481">
        <v>1</v>
      </c>
      <c r="I269" s="481">
        <v>2</v>
      </c>
      <c r="J269" s="478">
        <f t="shared" si="27"/>
        <v>2</v>
      </c>
      <c r="K269" s="482">
        <v>25</v>
      </c>
      <c r="L269" s="499">
        <f t="shared" si="28"/>
        <v>50</v>
      </c>
      <c r="M269" s="312" t="s">
        <v>54</v>
      </c>
      <c r="N269" s="609"/>
      <c r="O269" s="479"/>
      <c r="P269" s="500"/>
      <c r="Q269" s="500"/>
    </row>
    <row r="270" s="2" customFormat="1" ht="20.25" spans="1:21">
      <c r="A270" s="2" t="s">
        <v>55</v>
      </c>
      <c r="B270" s="496">
        <v>45916</v>
      </c>
      <c r="C270" s="502">
        <v>41</v>
      </c>
      <c r="D270" s="481" t="s">
        <v>5</v>
      </c>
      <c r="E270" s="481"/>
      <c r="F270" s="481"/>
      <c r="G270" s="503" t="s">
        <v>6</v>
      </c>
      <c r="H270" s="481">
        <v>1</v>
      </c>
      <c r="I270" s="481">
        <v>25</v>
      </c>
      <c r="J270" s="478">
        <f t="shared" si="27"/>
        <v>25</v>
      </c>
      <c r="K270" s="499">
        <v>18</v>
      </c>
      <c r="L270" s="499">
        <f t="shared" si="28"/>
        <v>450</v>
      </c>
      <c r="M270" s="475"/>
      <c r="N270" s="481"/>
      <c r="O270" s="479"/>
      <c r="P270" s="500"/>
      <c r="Q270" s="500"/>
    </row>
    <row r="271" s="573" customFormat="1" ht="19" customHeight="1" spans="1:21">
      <c r="A271" s="2" t="s">
        <v>55</v>
      </c>
      <c r="B271" s="496">
        <v>45916</v>
      </c>
      <c r="C271" s="502">
        <v>41</v>
      </c>
      <c r="D271" s="585" t="s">
        <v>112</v>
      </c>
      <c r="E271" s="481"/>
      <c r="F271" s="481"/>
      <c r="G271" s="2" t="s">
        <v>113</v>
      </c>
      <c r="H271" s="481">
        <v>2</v>
      </c>
      <c r="I271" s="481">
        <v>25</v>
      </c>
      <c r="J271" s="478">
        <f t="shared" si="27"/>
        <v>50</v>
      </c>
      <c r="K271" s="482">
        <v>17</v>
      </c>
      <c r="L271" s="499">
        <f t="shared" si="28"/>
        <v>850</v>
      </c>
      <c r="M271" s="475" t="s">
        <v>189</v>
      </c>
      <c r="N271" s="1"/>
      <c r="O271" s="587"/>
    </row>
    <row r="272" s="2" customFormat="1" ht="20.25" spans="1:21">
      <c r="A272" s="2" t="s">
        <v>55</v>
      </c>
      <c r="B272" s="496">
        <v>45916</v>
      </c>
      <c r="C272" s="502">
        <v>41</v>
      </c>
      <c r="D272" s="481" t="s">
        <v>175</v>
      </c>
      <c r="E272" s="481"/>
      <c r="F272" s="481"/>
      <c r="G272" s="503" t="s">
        <v>176</v>
      </c>
      <c r="H272" s="481">
        <v>1</v>
      </c>
      <c r="I272" s="481">
        <v>5</v>
      </c>
      <c r="J272" s="478">
        <f t="shared" si="27"/>
        <v>5</v>
      </c>
      <c r="K272" s="499">
        <v>25</v>
      </c>
      <c r="L272" s="499">
        <f t="shared" si="28"/>
        <v>125</v>
      </c>
      <c r="M272" s="475" t="s">
        <v>107</v>
      </c>
      <c r="N272" s="481"/>
      <c r="O272" s="479"/>
      <c r="P272" s="500"/>
      <c r="Q272" s="500"/>
    </row>
    <row r="273" s="2" customFormat="1" ht="20.25" spans="1:17">
      <c r="A273" s="2" t="s">
        <v>55</v>
      </c>
      <c r="B273" s="496">
        <v>45916</v>
      </c>
      <c r="C273" s="502">
        <v>41</v>
      </c>
      <c r="D273" s="481" t="s">
        <v>178</v>
      </c>
      <c r="E273" s="481"/>
      <c r="F273" s="481"/>
      <c r="G273" s="503" t="s">
        <v>8</v>
      </c>
      <c r="H273" s="481">
        <v>1</v>
      </c>
      <c r="I273" s="481">
        <v>5</v>
      </c>
      <c r="J273" s="478">
        <f t="shared" si="27"/>
        <v>5</v>
      </c>
      <c r="K273" s="499">
        <v>17</v>
      </c>
      <c r="L273" s="499">
        <f t="shared" si="28"/>
        <v>85</v>
      </c>
      <c r="M273" s="475" t="s">
        <v>107</v>
      </c>
      <c r="N273" s="481">
        <f>SUM(L269:L273)</f>
        <v>1560</v>
      </c>
      <c r="O273" s="479"/>
      <c r="P273" s="500"/>
      <c r="Q273" s="500"/>
    </row>
    <row r="274" s="474" customFormat="1" ht="19" customHeight="1" spans="1:17">
      <c r="A274" s="474" t="s">
        <v>55</v>
      </c>
      <c r="B274" s="520">
        <v>45915</v>
      </c>
      <c r="C274" s="521">
        <v>42</v>
      </c>
      <c r="D274" s="514" t="s">
        <v>180</v>
      </c>
      <c r="E274" s="514"/>
      <c r="F274" s="514"/>
      <c r="G274" s="474" t="s">
        <v>10</v>
      </c>
      <c r="H274" s="514">
        <v>1</v>
      </c>
      <c r="I274" s="514">
        <v>20</v>
      </c>
      <c r="J274" s="493">
        <f t="shared" si="27"/>
        <v>20</v>
      </c>
      <c r="K274" s="509">
        <v>12</v>
      </c>
      <c r="L274" s="523">
        <f t="shared" si="28"/>
        <v>240</v>
      </c>
      <c r="M274" s="622" t="s">
        <v>181</v>
      </c>
      <c r="N274" s="514" t="s">
        <v>190</v>
      </c>
      <c r="O274" s="515"/>
      <c r="P274" s="526"/>
      <c r="Q274" s="526"/>
    </row>
    <row r="275" s="474" customFormat="1" ht="19" customHeight="1" spans="1:17">
      <c r="A275" s="474" t="s">
        <v>55</v>
      </c>
      <c r="B275" s="520">
        <v>45915</v>
      </c>
      <c r="C275" s="521">
        <v>42</v>
      </c>
      <c r="D275" s="514" t="s">
        <v>182</v>
      </c>
      <c r="E275" s="514"/>
      <c r="F275" s="514"/>
      <c r="G275" s="474" t="s">
        <v>84</v>
      </c>
      <c r="H275" s="514">
        <v>2</v>
      </c>
      <c r="I275" s="514">
        <v>20</v>
      </c>
      <c r="J275" s="493">
        <f t="shared" si="27"/>
        <v>40</v>
      </c>
      <c r="K275" s="509">
        <v>12</v>
      </c>
      <c r="L275" s="523">
        <f t="shared" si="28"/>
        <v>480</v>
      </c>
      <c r="M275" s="622" t="s">
        <v>183</v>
      </c>
      <c r="N275" s="514"/>
      <c r="O275" s="515"/>
      <c r="P275" s="526"/>
      <c r="Q275" s="526"/>
    </row>
    <row r="276" s="2" customFormat="1" ht="20.25" spans="1:17">
      <c r="A276" s="2" t="s">
        <v>55</v>
      </c>
      <c r="B276" s="496">
        <v>45919</v>
      </c>
      <c r="C276" s="502">
        <v>50</v>
      </c>
      <c r="D276" s="481" t="s">
        <v>5</v>
      </c>
      <c r="E276" s="481"/>
      <c r="F276" s="481"/>
      <c r="G276" s="503" t="s">
        <v>6</v>
      </c>
      <c r="H276" s="481">
        <v>3</v>
      </c>
      <c r="I276" s="481">
        <v>25</v>
      </c>
      <c r="J276" s="478">
        <f t="shared" si="27"/>
        <v>75</v>
      </c>
      <c r="K276" s="499">
        <v>18</v>
      </c>
      <c r="L276" s="499">
        <f t="shared" si="28"/>
        <v>1350</v>
      </c>
      <c r="M276" s="475"/>
      <c r="N276" s="481"/>
      <c r="O276" s="479"/>
      <c r="P276" s="500"/>
      <c r="Q276" s="500"/>
    </row>
    <row r="277" s="2" customFormat="1" ht="20.25" spans="1:17">
      <c r="A277" s="2" t="s">
        <v>55</v>
      </c>
      <c r="B277" s="496">
        <v>45919</v>
      </c>
      <c r="C277" s="502">
        <v>50</v>
      </c>
      <c r="D277" s="481" t="s">
        <v>5</v>
      </c>
      <c r="E277" s="481"/>
      <c r="F277" s="481"/>
      <c r="G277" s="503" t="s">
        <v>6</v>
      </c>
      <c r="H277" s="481">
        <v>1</v>
      </c>
      <c r="I277" s="481">
        <v>26</v>
      </c>
      <c r="J277" s="478">
        <f t="shared" si="27"/>
        <v>26</v>
      </c>
      <c r="K277" s="499">
        <v>18</v>
      </c>
      <c r="L277" s="499">
        <f t="shared" si="28"/>
        <v>468</v>
      </c>
      <c r="M277" s="475"/>
      <c r="N277" s="481"/>
      <c r="O277" s="479"/>
      <c r="P277" s="500"/>
      <c r="Q277" s="500"/>
    </row>
    <row r="278" s="473" customFormat="1" ht="20.25" spans="1:17">
      <c r="A278" s="473" t="s">
        <v>55</v>
      </c>
      <c r="B278" s="501">
        <v>45922</v>
      </c>
      <c r="C278" s="510">
        <v>56</v>
      </c>
      <c r="D278" s="494" t="s">
        <v>174</v>
      </c>
      <c r="E278" s="494"/>
      <c r="F278" s="494"/>
      <c r="G278" s="580" t="s">
        <v>47</v>
      </c>
      <c r="H278" s="494">
        <v>1</v>
      </c>
      <c r="I278" s="494">
        <v>26</v>
      </c>
      <c r="J278" s="488">
        <f t="shared" ref="J278:J308" si="29">H278*I278</f>
        <v>26</v>
      </c>
      <c r="K278" s="511">
        <v>17</v>
      </c>
      <c r="L278" s="511">
        <f t="shared" si="28"/>
        <v>442</v>
      </c>
      <c r="M278" s="485" t="s">
        <v>107</v>
      </c>
      <c r="N278" s="494"/>
      <c r="O278" s="489"/>
      <c r="P278" s="513"/>
      <c r="Q278" s="513"/>
    </row>
    <row r="279" s="473" customFormat="1" ht="20.25" spans="1:17">
      <c r="A279" s="473" t="s">
        <v>55</v>
      </c>
      <c r="B279" s="501">
        <v>45922</v>
      </c>
      <c r="C279" s="510">
        <v>56</v>
      </c>
      <c r="D279" s="494" t="s">
        <v>177</v>
      </c>
      <c r="E279" s="494"/>
      <c r="F279" s="494"/>
      <c r="G279" s="580" t="s">
        <v>36</v>
      </c>
      <c r="H279" s="494">
        <v>1</v>
      </c>
      <c r="I279" s="494">
        <v>26</v>
      </c>
      <c r="J279" s="488">
        <f t="shared" si="29"/>
        <v>26</v>
      </c>
      <c r="K279" s="511">
        <v>21.5</v>
      </c>
      <c r="L279" s="511">
        <f t="shared" si="28"/>
        <v>559</v>
      </c>
      <c r="M279" s="485" t="s">
        <v>107</v>
      </c>
      <c r="N279" s="494"/>
      <c r="O279" s="489"/>
      <c r="P279" s="513"/>
      <c r="Q279" s="513"/>
    </row>
    <row r="280" s="473" customFormat="1" ht="20.25" spans="1:17">
      <c r="A280" s="473" t="s">
        <v>55</v>
      </c>
      <c r="B280" s="501">
        <v>45922</v>
      </c>
      <c r="C280" s="510">
        <v>56</v>
      </c>
      <c r="D280" s="494"/>
      <c r="E280" s="494"/>
      <c r="F280" s="494"/>
      <c r="G280" s="580" t="s">
        <v>191</v>
      </c>
      <c r="H280" s="494">
        <v>1</v>
      </c>
      <c r="I280" s="494">
        <v>20</v>
      </c>
      <c r="J280" s="488">
        <f t="shared" si="29"/>
        <v>20</v>
      </c>
      <c r="K280" s="511">
        <v>21.5</v>
      </c>
      <c r="L280" s="511">
        <f t="shared" si="28"/>
        <v>430</v>
      </c>
      <c r="M280" s="485"/>
      <c r="N280" s="494"/>
      <c r="O280" s="489"/>
      <c r="P280" s="513"/>
      <c r="Q280" s="513"/>
    </row>
    <row r="281" s="473" customFormat="1" ht="19" customHeight="1" spans="1:17">
      <c r="A281" s="473" t="s">
        <v>55</v>
      </c>
      <c r="B281" s="501">
        <v>45922</v>
      </c>
      <c r="C281" s="510">
        <v>56</v>
      </c>
      <c r="D281" s="494" t="s">
        <v>122</v>
      </c>
      <c r="E281" s="494"/>
      <c r="F281" s="494"/>
      <c r="G281" s="513" t="s">
        <v>20</v>
      </c>
      <c r="H281" s="494">
        <v>1</v>
      </c>
      <c r="I281" s="494">
        <v>4</v>
      </c>
      <c r="J281" s="488">
        <f t="shared" si="29"/>
        <v>4</v>
      </c>
      <c r="K281" s="511">
        <v>17</v>
      </c>
      <c r="L281" s="511">
        <f t="shared" si="28"/>
        <v>68</v>
      </c>
      <c r="M281" s="581" t="s">
        <v>18</v>
      </c>
      <c r="N281" s="485">
        <f>SUM(L278:L281)</f>
        <v>1499</v>
      </c>
      <c r="O281" s="489"/>
      <c r="P281" s="513"/>
      <c r="Q281" s="513"/>
    </row>
    <row r="282" s="2" customFormat="1" ht="19" customHeight="1" spans="1:17">
      <c r="A282" s="2" t="s">
        <v>55</v>
      </c>
      <c r="B282" s="496">
        <v>45922</v>
      </c>
      <c r="C282" s="502" t="s">
        <v>192</v>
      </c>
      <c r="D282" s="481" t="s">
        <v>182</v>
      </c>
      <c r="E282" s="481"/>
      <c r="F282" s="481"/>
      <c r="G282" s="2" t="s">
        <v>84</v>
      </c>
      <c r="H282" s="481">
        <v>1</v>
      </c>
      <c r="I282" s="481">
        <v>20</v>
      </c>
      <c r="J282" s="478">
        <f t="shared" si="29"/>
        <v>20</v>
      </c>
      <c r="K282" s="499">
        <v>12</v>
      </c>
      <c r="L282" s="482">
        <f t="shared" si="28"/>
        <v>240</v>
      </c>
      <c r="M282" s="633" t="s">
        <v>183</v>
      </c>
      <c r="N282" s="481"/>
      <c r="O282" s="479"/>
      <c r="P282" s="500"/>
      <c r="Q282" s="500"/>
    </row>
    <row r="283" s="473" customFormat="1" ht="19" customHeight="1" spans="1:17">
      <c r="A283" s="473" t="s">
        <v>55</v>
      </c>
      <c r="B283" s="501">
        <v>45923</v>
      </c>
      <c r="C283" s="510">
        <v>63</v>
      </c>
      <c r="D283" s="494" t="s">
        <v>81</v>
      </c>
      <c r="E283" s="494"/>
      <c r="F283" s="494"/>
      <c r="G283" s="580" t="s">
        <v>82</v>
      </c>
      <c r="H283" s="494">
        <v>1</v>
      </c>
      <c r="I283" s="494">
        <v>25</v>
      </c>
      <c r="J283" s="488">
        <f t="shared" si="29"/>
        <v>25</v>
      </c>
      <c r="K283" s="491">
        <v>17</v>
      </c>
      <c r="L283" s="511">
        <f t="shared" si="28"/>
        <v>425</v>
      </c>
      <c r="M283" s="581"/>
      <c r="N283" s="485"/>
      <c r="O283" s="489"/>
      <c r="P283" s="513"/>
      <c r="Q283" s="513"/>
    </row>
    <row r="284" s="2" customFormat="1" ht="20.25" spans="1:17">
      <c r="A284" s="2" t="s">
        <v>55</v>
      </c>
      <c r="B284" s="496">
        <v>45926</v>
      </c>
      <c r="C284" s="502">
        <v>75</v>
      </c>
      <c r="D284" s="478" t="s">
        <v>2</v>
      </c>
      <c r="E284" s="478"/>
      <c r="F284" s="478"/>
      <c r="G284" s="471" t="s">
        <v>3</v>
      </c>
      <c r="H284" s="478">
        <v>1</v>
      </c>
      <c r="I284" s="478">
        <v>25</v>
      </c>
      <c r="J284" s="478">
        <f t="shared" si="29"/>
        <v>25</v>
      </c>
      <c r="K284" s="482">
        <v>17</v>
      </c>
      <c r="L284" s="482">
        <f t="shared" si="28"/>
        <v>425</v>
      </c>
      <c r="M284" s="475" t="s">
        <v>4</v>
      </c>
      <c r="N284" s="475"/>
      <c r="O284" s="475"/>
      <c r="P284" s="479"/>
      <c r="Q284" s="500"/>
    </row>
    <row r="285" s="473" customFormat="1" ht="20.25" spans="1:17">
      <c r="A285" s="473" t="s">
        <v>30</v>
      </c>
      <c r="B285" s="501">
        <v>45929</v>
      </c>
      <c r="C285" s="510">
        <v>87</v>
      </c>
      <c r="D285" s="494" t="s">
        <v>105</v>
      </c>
      <c r="E285" s="494"/>
      <c r="F285" s="494"/>
      <c r="G285" s="473" t="s">
        <v>106</v>
      </c>
      <c r="H285" s="494">
        <v>1</v>
      </c>
      <c r="I285" s="494">
        <v>22</v>
      </c>
      <c r="J285" s="488">
        <f t="shared" si="29"/>
        <v>22</v>
      </c>
      <c r="K285" s="511">
        <v>21.5</v>
      </c>
      <c r="L285" s="491">
        <f t="shared" si="28"/>
        <v>473</v>
      </c>
      <c r="M285" s="600">
        <f>SUM(L282:L285)</f>
        <v>1563</v>
      </c>
      <c r="N285" s="485"/>
      <c r="O285" s="489"/>
      <c r="P285" s="513"/>
      <c r="Q285" s="513"/>
    </row>
    <row r="286" s="473" customFormat="1" ht="20.25" spans="1:17">
      <c r="A286" s="473" t="s">
        <v>30</v>
      </c>
      <c r="B286" s="501">
        <v>45929</v>
      </c>
      <c r="C286" s="510">
        <v>87</v>
      </c>
      <c r="D286" s="533" t="s">
        <v>162</v>
      </c>
      <c r="E286" s="494"/>
      <c r="F286" s="494"/>
      <c r="G286" s="473" t="s">
        <v>163</v>
      </c>
      <c r="H286" s="494">
        <v>2</v>
      </c>
      <c r="I286" s="494">
        <v>25</v>
      </c>
      <c r="J286" s="488">
        <f t="shared" si="29"/>
        <v>50</v>
      </c>
      <c r="K286" s="511">
        <v>17</v>
      </c>
      <c r="L286" s="491">
        <f t="shared" si="28"/>
        <v>850</v>
      </c>
      <c r="M286" s="485"/>
      <c r="N286" s="494"/>
      <c r="O286" s="489"/>
      <c r="P286" s="513"/>
      <c r="Q286" s="513"/>
    </row>
    <row r="287" s="473" customFormat="1" ht="20.25" spans="1:17">
      <c r="A287" s="473" t="s">
        <v>30</v>
      </c>
      <c r="B287" s="501">
        <v>45929</v>
      </c>
      <c r="C287" s="510">
        <v>87</v>
      </c>
      <c r="D287" s="533"/>
      <c r="E287" s="494"/>
      <c r="F287" s="494"/>
      <c r="G287" s="473" t="s">
        <v>139</v>
      </c>
      <c r="H287" s="494">
        <v>2</v>
      </c>
      <c r="I287" s="494">
        <v>20</v>
      </c>
      <c r="J287" s="488">
        <f t="shared" si="29"/>
        <v>40</v>
      </c>
      <c r="K287" s="491">
        <v>17</v>
      </c>
      <c r="L287" s="491">
        <f t="shared" si="28"/>
        <v>680</v>
      </c>
      <c r="M287" s="485" t="s">
        <v>85</v>
      </c>
      <c r="N287" s="494"/>
      <c r="O287" s="489"/>
      <c r="P287" s="513"/>
      <c r="Q287" s="513"/>
    </row>
    <row r="288" s="224" customFormat="1" ht="20.25" spans="1:17">
      <c r="A288" s="473" t="s">
        <v>30</v>
      </c>
      <c r="B288" s="501">
        <v>45929</v>
      </c>
      <c r="C288" s="510">
        <v>87</v>
      </c>
      <c r="D288" s="494"/>
      <c r="E288" s="494"/>
      <c r="F288" s="494"/>
      <c r="G288" s="473" t="s">
        <v>86</v>
      </c>
      <c r="H288" s="494">
        <v>2</v>
      </c>
      <c r="I288" s="494">
        <v>25</v>
      </c>
      <c r="J288" s="488">
        <f t="shared" si="29"/>
        <v>50</v>
      </c>
      <c r="K288" s="511">
        <v>17</v>
      </c>
      <c r="L288" s="491">
        <f t="shared" si="28"/>
        <v>850</v>
      </c>
      <c r="M288" s="513"/>
      <c r="N288" s="513"/>
      <c r="O288" s="513"/>
      <c r="P288" s="513"/>
      <c r="Q288" s="513"/>
    </row>
    <row r="289" s="473" customFormat="1" ht="19" customHeight="1" spans="1:17">
      <c r="A289" s="473" t="s">
        <v>30</v>
      </c>
      <c r="B289" s="501">
        <v>45929</v>
      </c>
      <c r="C289" s="510">
        <v>87</v>
      </c>
      <c r="D289" s="494"/>
      <c r="E289" s="494"/>
      <c r="F289" s="494"/>
      <c r="G289" s="473" t="s">
        <v>10</v>
      </c>
      <c r="H289" s="494">
        <v>2</v>
      </c>
      <c r="I289" s="494">
        <v>20</v>
      </c>
      <c r="J289" s="488">
        <f t="shared" si="29"/>
        <v>40</v>
      </c>
      <c r="K289" s="511">
        <v>17</v>
      </c>
      <c r="L289" s="491">
        <f t="shared" si="28"/>
        <v>680</v>
      </c>
      <c r="M289" s="581"/>
      <c r="N289" s="485">
        <f>SUM(L285:L289)</f>
        <v>3533</v>
      </c>
      <c r="O289" s="489"/>
      <c r="P289" s="513"/>
      <c r="Q289" s="513"/>
    </row>
    <row r="290" s="2" customFormat="1" ht="20.25" spans="1:17">
      <c r="A290" s="2" t="s">
        <v>55</v>
      </c>
      <c r="B290" s="496">
        <v>45938</v>
      </c>
      <c r="C290" s="502">
        <v>4</v>
      </c>
      <c r="D290" s="481" t="s">
        <v>5</v>
      </c>
      <c r="E290" s="481"/>
      <c r="F290" s="481"/>
      <c r="G290" s="503" t="s">
        <v>6</v>
      </c>
      <c r="H290" s="481">
        <v>2</v>
      </c>
      <c r="I290" s="481">
        <v>26</v>
      </c>
      <c r="J290" s="478">
        <f t="shared" si="29"/>
        <v>52</v>
      </c>
      <c r="K290" s="499">
        <v>18</v>
      </c>
      <c r="L290" s="499">
        <f t="shared" si="28"/>
        <v>936</v>
      </c>
      <c r="M290" s="475"/>
      <c r="N290" s="481"/>
      <c r="O290" s="479"/>
      <c r="P290" s="500"/>
      <c r="Q290" s="500"/>
    </row>
    <row r="291" s="2" customFormat="1" ht="20.25" spans="1:17">
      <c r="A291" s="2" t="s">
        <v>55</v>
      </c>
      <c r="B291" s="496">
        <v>45938</v>
      </c>
      <c r="C291" s="502">
        <v>4</v>
      </c>
      <c r="D291" s="481" t="s">
        <v>23</v>
      </c>
      <c r="E291" s="481"/>
      <c r="F291" s="481"/>
      <c r="G291" s="2" t="s">
        <v>24</v>
      </c>
      <c r="H291" s="481">
        <v>2</v>
      </c>
      <c r="I291" s="481">
        <v>26</v>
      </c>
      <c r="J291" s="478">
        <f t="shared" si="29"/>
        <v>52</v>
      </c>
      <c r="K291" s="499">
        <v>18</v>
      </c>
      <c r="L291" s="482">
        <f t="shared" si="28"/>
        <v>936</v>
      </c>
      <c r="M291" s="583"/>
      <c r="N291" s="475"/>
      <c r="O291" s="479"/>
      <c r="P291" s="500"/>
      <c r="Q291" s="500"/>
    </row>
    <row r="292" s="473" customFormat="1" ht="19" customHeight="1" spans="1:17">
      <c r="A292" s="473" t="s">
        <v>55</v>
      </c>
      <c r="B292" s="501">
        <v>45943</v>
      </c>
      <c r="C292" s="510">
        <v>20</v>
      </c>
      <c r="D292" s="494" t="s">
        <v>81</v>
      </c>
      <c r="E292" s="494"/>
      <c r="F292" s="494"/>
      <c r="G292" s="580" t="s">
        <v>82</v>
      </c>
      <c r="H292" s="494">
        <v>2</v>
      </c>
      <c r="I292" s="494">
        <v>26</v>
      </c>
      <c r="J292" s="488">
        <f t="shared" si="29"/>
        <v>52</v>
      </c>
      <c r="K292" s="491">
        <v>17</v>
      </c>
      <c r="L292" s="511">
        <f t="shared" si="28"/>
        <v>884</v>
      </c>
      <c r="M292" s="581"/>
      <c r="N292" s="485"/>
      <c r="O292" s="489"/>
      <c r="P292" s="513"/>
      <c r="Q292" s="513"/>
    </row>
    <row r="293" s="2" customFormat="1" ht="20.25" spans="1:17">
      <c r="A293" s="2" t="s">
        <v>55</v>
      </c>
      <c r="B293" s="496">
        <v>45943</v>
      </c>
      <c r="C293" s="502">
        <v>28</v>
      </c>
      <c r="D293" s="481" t="s">
        <v>156</v>
      </c>
      <c r="E293" s="481"/>
      <c r="F293" s="481"/>
      <c r="G293" s="503" t="s">
        <v>157</v>
      </c>
      <c r="H293" s="481">
        <v>1</v>
      </c>
      <c r="I293" s="481">
        <v>6</v>
      </c>
      <c r="J293" s="478">
        <f t="shared" si="29"/>
        <v>6</v>
      </c>
      <c r="K293" s="482">
        <v>17</v>
      </c>
      <c r="L293" s="499">
        <f t="shared" si="28"/>
        <v>102</v>
      </c>
      <c r="M293" s="475"/>
      <c r="N293" s="481"/>
      <c r="O293" s="479"/>
      <c r="P293" s="500"/>
      <c r="Q293" s="500"/>
    </row>
    <row r="294" s="473" customFormat="1" ht="20.25" spans="1:17">
      <c r="A294" s="473" t="s">
        <v>55</v>
      </c>
      <c r="B294" s="501">
        <v>45945</v>
      </c>
      <c r="C294" s="510">
        <v>30</v>
      </c>
      <c r="D294" s="494" t="s">
        <v>46</v>
      </c>
      <c r="E294" s="494"/>
      <c r="F294" s="494"/>
      <c r="G294" s="580" t="s">
        <v>47</v>
      </c>
      <c r="H294" s="494">
        <v>1</v>
      </c>
      <c r="I294" s="494">
        <v>25</v>
      </c>
      <c r="J294" s="488">
        <f t="shared" si="29"/>
        <v>25</v>
      </c>
      <c r="K294" s="491">
        <v>17</v>
      </c>
      <c r="L294" s="511">
        <f t="shared" si="28"/>
        <v>425</v>
      </c>
      <c r="M294" s="485"/>
      <c r="N294" s="494">
        <f>SUM(L292:L294)</f>
        <v>1411</v>
      </c>
      <c r="O294" s="489"/>
      <c r="P294" s="513"/>
      <c r="Q294" s="513"/>
    </row>
    <row r="295" s="2" customFormat="1" ht="20.25" spans="1:17">
      <c r="A295" s="2" t="s">
        <v>55</v>
      </c>
      <c r="B295" s="496">
        <v>45948</v>
      </c>
      <c r="C295" s="502">
        <v>43</v>
      </c>
      <c r="D295" s="481" t="s">
        <v>5</v>
      </c>
      <c r="E295" s="481"/>
      <c r="F295" s="481"/>
      <c r="G295" s="503" t="s">
        <v>6</v>
      </c>
      <c r="H295" s="481">
        <v>2</v>
      </c>
      <c r="I295" s="481">
        <v>26</v>
      </c>
      <c r="J295" s="478">
        <f t="shared" si="29"/>
        <v>52</v>
      </c>
      <c r="K295" s="499">
        <v>18</v>
      </c>
      <c r="L295" s="499">
        <f t="shared" si="28"/>
        <v>936</v>
      </c>
      <c r="M295" s="475"/>
      <c r="N295" s="481"/>
      <c r="O295" s="479"/>
      <c r="P295" s="500"/>
      <c r="Q295" s="500"/>
    </row>
    <row r="296" s="2" customFormat="1" ht="19" customHeight="1" spans="1:17">
      <c r="A296" s="2" t="s">
        <v>55</v>
      </c>
      <c r="B296" s="496">
        <v>45948</v>
      </c>
      <c r="C296" s="502">
        <v>43</v>
      </c>
      <c r="D296" s="514" t="s">
        <v>182</v>
      </c>
      <c r="E296" s="514"/>
      <c r="F296" s="514"/>
      <c r="G296" s="2" t="s">
        <v>84</v>
      </c>
      <c r="H296" s="481">
        <v>1</v>
      </c>
      <c r="I296" s="481">
        <v>20</v>
      </c>
      <c r="J296" s="478">
        <f t="shared" si="29"/>
        <v>20</v>
      </c>
      <c r="K296" s="499">
        <v>12</v>
      </c>
      <c r="L296" s="523">
        <f t="shared" si="28"/>
        <v>240</v>
      </c>
      <c r="M296" s="633" t="s">
        <v>183</v>
      </c>
      <c r="N296" s="481"/>
      <c r="O296" s="479"/>
      <c r="P296" s="500"/>
      <c r="Q296" s="500"/>
    </row>
    <row r="297" s="472" customFormat="1" ht="20.25" spans="1:17">
      <c r="A297" s="472" t="s">
        <v>55</v>
      </c>
      <c r="B297" s="606">
        <v>45950</v>
      </c>
      <c r="C297" s="472" t="s">
        <v>193</v>
      </c>
      <c r="D297" s="607" t="s">
        <v>57</v>
      </c>
      <c r="E297" s="607"/>
      <c r="F297" s="607"/>
      <c r="G297" s="472" t="s">
        <v>73</v>
      </c>
      <c r="H297" s="488">
        <v>1</v>
      </c>
      <c r="I297" s="488">
        <v>4</v>
      </c>
      <c r="J297" s="488">
        <f t="shared" si="29"/>
        <v>4</v>
      </c>
      <c r="K297" s="491">
        <v>17</v>
      </c>
      <c r="L297" s="491">
        <f t="shared" si="28"/>
        <v>68</v>
      </c>
      <c r="M297" s="581"/>
      <c r="N297" s="488"/>
      <c r="O297" s="489"/>
    </row>
    <row r="298" s="473" customFormat="1" ht="19" customHeight="1" spans="1:17">
      <c r="A298" s="472" t="s">
        <v>55</v>
      </c>
      <c r="B298" s="606">
        <v>45950</v>
      </c>
      <c r="C298" s="472" t="s">
        <v>193</v>
      </c>
      <c r="D298" s="494" t="s">
        <v>180</v>
      </c>
      <c r="E298" s="494"/>
      <c r="F298" s="494"/>
      <c r="G298" s="473" t="s">
        <v>10</v>
      </c>
      <c r="H298" s="494">
        <v>5</v>
      </c>
      <c r="I298" s="494">
        <v>10</v>
      </c>
      <c r="J298" s="488">
        <f t="shared" si="29"/>
        <v>50</v>
      </c>
      <c r="K298" s="511">
        <v>12</v>
      </c>
      <c r="L298" s="491">
        <f t="shared" si="28"/>
        <v>600</v>
      </c>
      <c r="M298" s="634" t="s">
        <v>181</v>
      </c>
      <c r="N298" s="494"/>
      <c r="O298" s="489"/>
      <c r="P298" s="513"/>
      <c r="Q298" s="513"/>
    </row>
    <row r="299" s="473" customFormat="1" ht="19" customHeight="1" spans="1:17">
      <c r="A299" s="473" t="s">
        <v>55</v>
      </c>
      <c r="B299" s="606">
        <v>45950</v>
      </c>
      <c r="C299" s="472" t="s">
        <v>193</v>
      </c>
      <c r="D299" s="494" t="s">
        <v>182</v>
      </c>
      <c r="E299" s="494"/>
      <c r="F299" s="494"/>
      <c r="G299" s="473" t="s">
        <v>84</v>
      </c>
      <c r="H299" s="494">
        <v>2</v>
      </c>
      <c r="I299" s="494">
        <v>20</v>
      </c>
      <c r="J299" s="488">
        <f t="shared" si="29"/>
        <v>40</v>
      </c>
      <c r="K299" s="511">
        <v>12</v>
      </c>
      <c r="L299" s="491">
        <f t="shared" si="28"/>
        <v>480</v>
      </c>
      <c r="M299" s="634" t="s">
        <v>183</v>
      </c>
      <c r="N299" s="494">
        <f>SUM(L297:L299)</f>
        <v>1148</v>
      </c>
      <c r="O299" s="489"/>
      <c r="P299" s="513"/>
      <c r="Q299" s="513"/>
    </row>
    <row r="300" s="578" customFormat="1" ht="19" customHeight="1" spans="1:17">
      <c r="A300" s="578" t="s">
        <v>194</v>
      </c>
      <c r="B300" s="635">
        <v>45951</v>
      </c>
      <c r="C300" s="636" t="s">
        <v>195</v>
      </c>
      <c r="D300" s="508" t="s">
        <v>196</v>
      </c>
      <c r="E300" s="508"/>
      <c r="F300" s="508"/>
      <c r="G300" s="578" t="s">
        <v>10</v>
      </c>
      <c r="H300" s="508">
        <v>5</v>
      </c>
      <c r="I300" s="508">
        <v>20</v>
      </c>
      <c r="J300" s="599">
        <f t="shared" si="29"/>
        <v>100</v>
      </c>
      <c r="K300" s="591">
        <v>12</v>
      </c>
      <c r="L300" s="597">
        <f t="shared" si="28"/>
        <v>1200</v>
      </c>
      <c r="M300" s="637" t="s">
        <v>197</v>
      </c>
      <c r="N300" s="507"/>
      <c r="O300" s="519"/>
      <c r="P300" s="638"/>
      <c r="Q300" s="638"/>
    </row>
    <row r="301" s="2" customFormat="1" ht="20.25" spans="1:17">
      <c r="A301" s="2" t="s">
        <v>55</v>
      </c>
      <c r="B301" s="496">
        <v>45951</v>
      </c>
      <c r="C301" s="502">
        <v>59</v>
      </c>
      <c r="D301" s="478" t="s">
        <v>2</v>
      </c>
      <c r="E301" s="478"/>
      <c r="F301" s="478"/>
      <c r="G301" s="471" t="s">
        <v>3</v>
      </c>
      <c r="H301" s="478">
        <v>2</v>
      </c>
      <c r="I301" s="478">
        <v>25</v>
      </c>
      <c r="J301" s="478">
        <f t="shared" si="29"/>
        <v>50</v>
      </c>
      <c r="K301" s="482">
        <v>17</v>
      </c>
      <c r="L301" s="482">
        <f t="shared" si="28"/>
        <v>850</v>
      </c>
      <c r="M301" s="475" t="s">
        <v>4</v>
      </c>
      <c r="N301" s="475"/>
      <c r="O301" s="475"/>
      <c r="P301" s="479"/>
      <c r="Q301" s="500"/>
    </row>
    <row r="302" s="473" customFormat="1" ht="19" customHeight="1" spans="1:17">
      <c r="A302" s="473" t="s">
        <v>55</v>
      </c>
      <c r="B302" s="501">
        <v>45958</v>
      </c>
      <c r="C302" s="510">
        <v>90</v>
      </c>
      <c r="D302" s="494" t="s">
        <v>19</v>
      </c>
      <c r="E302" s="494"/>
      <c r="F302" s="494"/>
      <c r="G302" s="513" t="s">
        <v>20</v>
      </c>
      <c r="H302" s="494">
        <v>1</v>
      </c>
      <c r="I302" s="494">
        <v>26</v>
      </c>
      <c r="J302" s="488">
        <f t="shared" si="29"/>
        <v>26</v>
      </c>
      <c r="K302" s="511">
        <v>17</v>
      </c>
      <c r="L302" s="491">
        <f t="shared" si="28"/>
        <v>442</v>
      </c>
      <c r="M302" s="581" t="s">
        <v>18</v>
      </c>
      <c r="N302" s="485"/>
      <c r="O302" s="489"/>
      <c r="P302" s="513"/>
      <c r="Q302" s="513"/>
    </row>
    <row r="303" s="473" customFormat="1" ht="20.25" spans="1:17">
      <c r="A303" s="473" t="s">
        <v>55</v>
      </c>
      <c r="B303" s="501">
        <v>45958</v>
      </c>
      <c r="C303" s="510">
        <v>90</v>
      </c>
      <c r="D303" s="488" t="s">
        <v>2</v>
      </c>
      <c r="E303" s="488"/>
      <c r="F303" s="488"/>
      <c r="G303" s="472" t="s">
        <v>3</v>
      </c>
      <c r="H303" s="488">
        <v>2</v>
      </c>
      <c r="I303" s="488">
        <v>26</v>
      </c>
      <c r="J303" s="488">
        <f t="shared" si="29"/>
        <v>52</v>
      </c>
      <c r="K303" s="491">
        <v>17</v>
      </c>
      <c r="L303" s="491">
        <f t="shared" si="28"/>
        <v>884</v>
      </c>
      <c r="M303" s="485" t="s">
        <v>4</v>
      </c>
      <c r="N303" s="485">
        <f>SUM(L302:L303)</f>
        <v>1326</v>
      </c>
      <c r="O303" s="485"/>
      <c r="P303" s="489"/>
      <c r="Q303" s="513"/>
    </row>
    <row r="304" s="2" customFormat="1" ht="20.25" spans="1:17">
      <c r="A304" s="2" t="s">
        <v>55</v>
      </c>
      <c r="B304" s="496">
        <v>45965</v>
      </c>
      <c r="C304" s="502">
        <v>11</v>
      </c>
      <c r="D304" s="609" t="s">
        <v>164</v>
      </c>
      <c r="E304" s="481"/>
      <c r="F304" s="481"/>
      <c r="G304" s="2" t="s">
        <v>165</v>
      </c>
      <c r="H304" s="481">
        <v>1</v>
      </c>
      <c r="I304" s="481">
        <v>4</v>
      </c>
      <c r="J304" s="478">
        <f t="shared" si="29"/>
        <v>4</v>
      </c>
      <c r="K304" s="499">
        <v>25</v>
      </c>
      <c r="L304" s="482">
        <f t="shared" si="28"/>
        <v>100</v>
      </c>
      <c r="M304" s="475"/>
      <c r="N304" s="475"/>
      <c r="O304" s="479"/>
      <c r="P304" s="500"/>
      <c r="Q304" s="500"/>
    </row>
    <row r="305" s="2" customFormat="1" ht="21" customHeight="1" spans="1:21">
      <c r="A305" s="2" t="s">
        <v>55</v>
      </c>
      <c r="B305" s="496">
        <v>45965</v>
      </c>
      <c r="C305" s="502">
        <v>11</v>
      </c>
      <c r="D305" s="481" t="s">
        <v>12</v>
      </c>
      <c r="E305" s="481"/>
      <c r="F305" s="481"/>
      <c r="G305" s="2" t="s">
        <v>13</v>
      </c>
      <c r="H305" s="481">
        <v>1</v>
      </c>
      <c r="I305" s="481">
        <v>2</v>
      </c>
      <c r="J305" s="478">
        <f t="shared" si="29"/>
        <v>2</v>
      </c>
      <c r="K305" s="499">
        <v>25</v>
      </c>
      <c r="L305" s="482">
        <f t="shared" si="28"/>
        <v>50</v>
      </c>
      <c r="M305" s="475"/>
      <c r="N305" s="475"/>
      <c r="O305" s="479"/>
      <c r="P305" s="500"/>
      <c r="Q305" s="500"/>
    </row>
    <row r="306" s="474" customFormat="1" ht="19" customHeight="1" spans="1:21">
      <c r="A306" s="492" t="s">
        <v>55</v>
      </c>
      <c r="B306" s="639">
        <v>45967</v>
      </c>
      <c r="C306" s="492" t="s">
        <v>198</v>
      </c>
      <c r="D306" s="514" t="s">
        <v>180</v>
      </c>
      <c r="E306" s="514"/>
      <c r="F306" s="514"/>
      <c r="G306" s="474" t="s">
        <v>10</v>
      </c>
      <c r="H306" s="514">
        <v>10</v>
      </c>
      <c r="I306" s="514">
        <v>20</v>
      </c>
      <c r="J306" s="493">
        <f t="shared" ref="J306:J323" si="30">H306*I306</f>
        <v>200</v>
      </c>
      <c r="K306" s="509">
        <v>12</v>
      </c>
      <c r="L306" s="523">
        <f t="shared" ref="L306:L324" si="31">J306*K306</f>
        <v>2400</v>
      </c>
      <c r="M306" s="622" t="s">
        <v>181</v>
      </c>
      <c r="N306" s="514"/>
      <c r="O306" s="515"/>
      <c r="P306" s="526"/>
      <c r="Q306" s="526"/>
    </row>
    <row r="307" s="473" customFormat="1" ht="19" customHeight="1" spans="1:21">
      <c r="A307" s="473" t="s">
        <v>55</v>
      </c>
      <c r="B307" s="501">
        <v>45968</v>
      </c>
      <c r="C307" s="510">
        <v>14</v>
      </c>
      <c r="D307" s="494" t="s">
        <v>26</v>
      </c>
      <c r="E307" s="494"/>
      <c r="F307" s="494"/>
      <c r="G307" s="473" t="s">
        <v>27</v>
      </c>
      <c r="H307" s="494">
        <v>1</v>
      </c>
      <c r="I307" s="494">
        <v>5</v>
      </c>
      <c r="J307" s="488">
        <f t="shared" si="30"/>
        <v>5</v>
      </c>
      <c r="K307" s="511">
        <v>48</v>
      </c>
      <c r="L307" s="491">
        <f t="shared" si="31"/>
        <v>240</v>
      </c>
      <c r="M307" s="581"/>
      <c r="N307" s="485"/>
      <c r="O307" s="489"/>
      <c r="P307" s="513"/>
      <c r="Q307" s="513"/>
    </row>
    <row r="308" s="473" customFormat="1" ht="20.25" spans="1:21">
      <c r="A308" s="473" t="s">
        <v>55</v>
      </c>
      <c r="B308" s="501">
        <v>45968</v>
      </c>
      <c r="C308" s="510">
        <v>14</v>
      </c>
      <c r="D308" s="494" t="s">
        <v>5</v>
      </c>
      <c r="E308" s="494"/>
      <c r="F308" s="494"/>
      <c r="G308" s="580" t="s">
        <v>6</v>
      </c>
      <c r="H308" s="494">
        <v>2</v>
      </c>
      <c r="I308" s="494">
        <v>26</v>
      </c>
      <c r="J308" s="488">
        <f t="shared" si="30"/>
        <v>52</v>
      </c>
      <c r="K308" s="511">
        <v>18</v>
      </c>
      <c r="L308" s="511">
        <f t="shared" si="31"/>
        <v>936</v>
      </c>
      <c r="M308" s="485"/>
      <c r="N308" s="494">
        <f>SUM(L307:L308)</f>
        <v>1176</v>
      </c>
      <c r="O308" s="489"/>
      <c r="P308" s="513"/>
      <c r="Q308" s="513"/>
    </row>
    <row r="309" s="2" customFormat="1" ht="20.25" spans="1:21">
      <c r="A309" s="2" t="s">
        <v>87</v>
      </c>
      <c r="B309" s="496">
        <v>45968</v>
      </c>
      <c r="C309" s="502">
        <v>15</v>
      </c>
      <c r="D309" s="481"/>
      <c r="E309" s="481"/>
      <c r="F309" s="481"/>
      <c r="G309" s="2" t="s">
        <v>96</v>
      </c>
      <c r="H309" s="481">
        <v>2</v>
      </c>
      <c r="I309" s="481">
        <v>25</v>
      </c>
      <c r="J309" s="478">
        <f t="shared" si="30"/>
        <v>50</v>
      </c>
      <c r="K309" s="499">
        <v>14.5</v>
      </c>
      <c r="L309" s="499">
        <f t="shared" si="31"/>
        <v>725</v>
      </c>
      <c r="M309" s="506" t="s">
        <v>184</v>
      </c>
      <c r="N309" s="481"/>
      <c r="O309" s="479">
        <v>21.5</v>
      </c>
      <c r="P309" s="2">
        <f t="shared" ref="P309:P312" si="32">J309*O309</f>
        <v>1075</v>
      </c>
      <c r="Q309" s="500"/>
      <c r="U309" s="317"/>
    </row>
    <row r="310" s="2" customFormat="1" ht="20.25" spans="1:21">
      <c r="A310" s="2" t="s">
        <v>87</v>
      </c>
      <c r="B310" s="496">
        <v>45968</v>
      </c>
      <c r="C310" s="502">
        <v>15</v>
      </c>
      <c r="D310" s="481"/>
      <c r="E310" s="481"/>
      <c r="F310" s="481"/>
      <c r="G310" s="2" t="s">
        <v>10</v>
      </c>
      <c r="H310" s="481">
        <v>1</v>
      </c>
      <c r="I310" s="481">
        <v>20</v>
      </c>
      <c r="J310" s="478">
        <f t="shared" si="30"/>
        <v>20</v>
      </c>
      <c r="K310" s="499">
        <v>12</v>
      </c>
      <c r="L310" s="499">
        <f t="shared" si="31"/>
        <v>240</v>
      </c>
      <c r="M310" s="506" t="s">
        <v>185</v>
      </c>
      <c r="N310" s="481">
        <f>SUM(L309:L312)</f>
        <v>2540</v>
      </c>
      <c r="O310" s="479">
        <v>21.5</v>
      </c>
      <c r="P310" s="2">
        <f t="shared" si="32"/>
        <v>430</v>
      </c>
      <c r="Q310" s="500">
        <f>SUM(P309:P312)</f>
        <v>3470</v>
      </c>
      <c r="U310" s="317"/>
    </row>
    <row r="311" s="2" customFormat="1" ht="20.25" spans="1:21">
      <c r="A311" s="2" t="s">
        <v>87</v>
      </c>
      <c r="B311" s="496">
        <v>45968</v>
      </c>
      <c r="C311" s="502">
        <v>15</v>
      </c>
      <c r="D311" s="481" t="s">
        <v>88</v>
      </c>
      <c r="E311" s="481"/>
      <c r="F311" s="481"/>
      <c r="G311" s="2" t="s">
        <v>89</v>
      </c>
      <c r="H311" s="481">
        <v>3</v>
      </c>
      <c r="I311" s="481">
        <v>25</v>
      </c>
      <c r="J311" s="478">
        <f t="shared" si="30"/>
        <v>75</v>
      </c>
      <c r="K311" s="499">
        <v>11</v>
      </c>
      <c r="L311" s="499">
        <f t="shared" si="31"/>
        <v>825</v>
      </c>
      <c r="M311" s="506" t="s">
        <v>186</v>
      </c>
      <c r="N311" s="481"/>
      <c r="O311" s="479">
        <v>13</v>
      </c>
      <c r="P311" s="2">
        <f t="shared" si="32"/>
        <v>975</v>
      </c>
      <c r="Q311" s="500"/>
      <c r="U311" s="317" t="s">
        <v>91</v>
      </c>
    </row>
    <row r="312" s="2" customFormat="1" ht="20.25" spans="1:21">
      <c r="A312" s="2" t="s">
        <v>87</v>
      </c>
      <c r="B312" s="496">
        <v>45968</v>
      </c>
      <c r="C312" s="502">
        <v>15</v>
      </c>
      <c r="D312" s="481" t="s">
        <v>92</v>
      </c>
      <c r="E312" s="481"/>
      <c r="F312" s="481"/>
      <c r="G312" s="2" t="s">
        <v>93</v>
      </c>
      <c r="H312" s="481">
        <v>3</v>
      </c>
      <c r="I312" s="481">
        <v>20</v>
      </c>
      <c r="J312" s="478">
        <f t="shared" si="30"/>
        <v>60</v>
      </c>
      <c r="K312" s="499">
        <v>12.5</v>
      </c>
      <c r="L312" s="499">
        <f t="shared" si="31"/>
        <v>750</v>
      </c>
      <c r="M312" s="506" t="s">
        <v>187</v>
      </c>
      <c r="N312" s="481"/>
      <c r="O312" s="479">
        <v>16.5</v>
      </c>
      <c r="P312" s="2">
        <f t="shared" si="32"/>
        <v>990</v>
      </c>
      <c r="Q312" s="500"/>
      <c r="U312" s="317" t="s">
        <v>95</v>
      </c>
    </row>
    <row r="313" s="473" customFormat="1" ht="19" customHeight="1" spans="1:21">
      <c r="A313" s="473" t="s">
        <v>55</v>
      </c>
      <c r="B313" s="606">
        <v>45971</v>
      </c>
      <c r="C313" s="472" t="s">
        <v>133</v>
      </c>
      <c r="D313" s="494" t="s">
        <v>182</v>
      </c>
      <c r="E313" s="494"/>
      <c r="F313" s="494"/>
      <c r="G313" s="473" t="s">
        <v>84</v>
      </c>
      <c r="H313" s="494">
        <v>1</v>
      </c>
      <c r="I313" s="494">
        <v>20</v>
      </c>
      <c r="J313" s="488">
        <f t="shared" si="30"/>
        <v>20</v>
      </c>
      <c r="K313" s="511">
        <v>12</v>
      </c>
      <c r="L313" s="491">
        <f t="shared" si="31"/>
        <v>240</v>
      </c>
      <c r="M313" s="634" t="s">
        <v>183</v>
      </c>
      <c r="N313" s="494">
        <f>SUM(L313:L313)</f>
        <v>240</v>
      </c>
      <c r="O313" s="489"/>
      <c r="P313" s="513"/>
      <c r="Q313" s="513"/>
    </row>
    <row r="314" s="2" customFormat="1" ht="19" customHeight="1" spans="1:21">
      <c r="A314" s="2" t="s">
        <v>194</v>
      </c>
      <c r="B314" s="496">
        <v>45971</v>
      </c>
      <c r="C314" s="502" t="s">
        <v>155</v>
      </c>
      <c r="D314" s="498">
        <v>45969</v>
      </c>
      <c r="E314" s="481"/>
      <c r="F314" s="481"/>
      <c r="G314" s="500" t="s">
        <v>61</v>
      </c>
      <c r="H314" s="481">
        <v>1</v>
      </c>
      <c r="I314" s="481">
        <v>28</v>
      </c>
      <c r="J314" s="478">
        <f t="shared" si="30"/>
        <v>28</v>
      </c>
      <c r="K314" s="499">
        <v>8.6</v>
      </c>
      <c r="L314" s="482">
        <f t="shared" si="31"/>
        <v>240.8</v>
      </c>
      <c r="M314" s="582" t="s">
        <v>199</v>
      </c>
      <c r="N314" s="475"/>
      <c r="O314" s="479"/>
      <c r="P314" s="500"/>
      <c r="Q314" s="500"/>
    </row>
    <row r="315" s="473" customFormat="1" ht="19" customHeight="1" spans="1:21">
      <c r="A315" s="473" t="s">
        <v>55</v>
      </c>
      <c r="B315" s="606">
        <v>45981</v>
      </c>
      <c r="C315" s="472" t="s">
        <v>200</v>
      </c>
      <c r="D315" s="494" t="s">
        <v>182</v>
      </c>
      <c r="E315" s="494"/>
      <c r="F315" s="494"/>
      <c r="G315" s="473" t="s">
        <v>84</v>
      </c>
      <c r="H315" s="494">
        <v>2</v>
      </c>
      <c r="I315" s="494">
        <v>20</v>
      </c>
      <c r="J315" s="488">
        <f t="shared" si="30"/>
        <v>40</v>
      </c>
      <c r="K315" s="511">
        <v>12</v>
      </c>
      <c r="L315" s="491">
        <f t="shared" si="31"/>
        <v>480</v>
      </c>
      <c r="M315" s="634" t="s">
        <v>183</v>
      </c>
      <c r="N315" s="494">
        <f>SUM(L313:L315)</f>
        <v>960.8</v>
      </c>
      <c r="O315" s="489"/>
      <c r="P315" s="513"/>
      <c r="Q315" s="513"/>
    </row>
    <row r="316" s="473" customFormat="1" ht="19" customHeight="1" spans="1:21">
      <c r="A316" s="473" t="s">
        <v>55</v>
      </c>
      <c r="B316" s="606">
        <v>45981</v>
      </c>
      <c r="C316" s="472" t="s">
        <v>200</v>
      </c>
      <c r="D316" s="494"/>
      <c r="E316" s="494"/>
      <c r="F316" s="494"/>
      <c r="G316" s="513" t="s">
        <v>201</v>
      </c>
      <c r="H316" s="494">
        <v>1</v>
      </c>
      <c r="I316" s="494">
        <v>1</v>
      </c>
      <c r="J316" s="488">
        <f t="shared" si="30"/>
        <v>1</v>
      </c>
      <c r="K316" s="511">
        <v>25</v>
      </c>
      <c r="L316" s="491">
        <f t="shared" si="31"/>
        <v>25</v>
      </c>
      <c r="M316" s="581" t="s">
        <v>202</v>
      </c>
      <c r="N316" s="485"/>
      <c r="O316" s="489"/>
      <c r="P316" s="513"/>
      <c r="Q316" s="513"/>
    </row>
    <row r="317" s="2" customFormat="1" ht="20.25" spans="1:21">
      <c r="A317" s="2" t="s">
        <v>55</v>
      </c>
      <c r="B317" s="496">
        <v>45985</v>
      </c>
      <c r="C317" s="502">
        <v>67</v>
      </c>
      <c r="D317" s="481" t="s">
        <v>174</v>
      </c>
      <c r="E317" s="481"/>
      <c r="F317" s="481"/>
      <c r="G317" s="503" t="s">
        <v>47</v>
      </c>
      <c r="H317" s="481">
        <v>2</v>
      </c>
      <c r="I317" s="481">
        <v>26</v>
      </c>
      <c r="J317" s="488">
        <f t="shared" si="30"/>
        <v>52</v>
      </c>
      <c r="K317" s="499">
        <v>17</v>
      </c>
      <c r="L317" s="482">
        <f t="shared" si="31"/>
        <v>884</v>
      </c>
      <c r="M317" s="475" t="s">
        <v>107</v>
      </c>
      <c r="N317" s="481"/>
      <c r="O317" s="479"/>
      <c r="P317" s="500"/>
      <c r="Q317" s="500"/>
    </row>
    <row r="318" s="2" customFormat="1" ht="20.25" spans="1:21">
      <c r="A318" s="2" t="s">
        <v>55</v>
      </c>
      <c r="B318" s="496">
        <v>45985</v>
      </c>
      <c r="C318" s="502">
        <v>67</v>
      </c>
      <c r="D318" s="481" t="s">
        <v>175</v>
      </c>
      <c r="E318" s="481"/>
      <c r="F318" s="481"/>
      <c r="G318" s="503" t="s">
        <v>176</v>
      </c>
      <c r="H318" s="481">
        <v>1</v>
      </c>
      <c r="I318" s="481">
        <v>10</v>
      </c>
      <c r="J318" s="488">
        <f t="shared" si="30"/>
        <v>10</v>
      </c>
      <c r="K318" s="499">
        <v>25</v>
      </c>
      <c r="L318" s="482">
        <f t="shared" si="31"/>
        <v>250</v>
      </c>
      <c r="M318" s="475" t="s">
        <v>107</v>
      </c>
      <c r="N318" s="481">
        <f>SUM(L317:L318)</f>
        <v>1134</v>
      </c>
      <c r="O318" s="479"/>
      <c r="P318" s="500"/>
      <c r="Q318" s="500"/>
    </row>
    <row r="319" s="474" customFormat="1" ht="20.25" spans="1:21">
      <c r="A319" s="474" t="s">
        <v>30</v>
      </c>
      <c r="B319" s="520">
        <v>45986</v>
      </c>
      <c r="C319" s="521">
        <v>68</v>
      </c>
      <c r="D319" s="601" t="s">
        <v>203</v>
      </c>
      <c r="E319" s="514"/>
      <c r="F319" s="514"/>
      <c r="G319" s="474" t="s">
        <v>51</v>
      </c>
      <c r="H319" s="514">
        <v>1</v>
      </c>
      <c r="I319" s="514">
        <v>20</v>
      </c>
      <c r="J319" s="493">
        <f t="shared" ref="J319:J330" si="33">H319*I319</f>
        <v>20</v>
      </c>
      <c r="K319" s="523">
        <v>17</v>
      </c>
      <c r="L319" s="523">
        <f t="shared" ref="L319:L330" si="34">J319*K319</f>
        <v>340</v>
      </c>
      <c r="M319" s="524" t="s">
        <v>204</v>
      </c>
      <c r="N319" s="514"/>
      <c r="O319" s="515"/>
      <c r="P319" s="526"/>
      <c r="Q319" s="526"/>
    </row>
    <row r="320" s="2" customFormat="1" ht="20.25" spans="1:21">
      <c r="A320" s="2" t="s">
        <v>55</v>
      </c>
      <c r="B320" s="496">
        <v>45989</v>
      </c>
      <c r="C320" s="502">
        <v>87</v>
      </c>
      <c r="D320" s="481" t="s">
        <v>5</v>
      </c>
      <c r="E320" s="481"/>
      <c r="F320" s="481"/>
      <c r="G320" s="503" t="s">
        <v>6</v>
      </c>
      <c r="H320" s="481">
        <v>2</v>
      </c>
      <c r="I320" s="481">
        <v>26</v>
      </c>
      <c r="J320" s="478">
        <f t="shared" si="33"/>
        <v>52</v>
      </c>
      <c r="K320" s="499">
        <v>18</v>
      </c>
      <c r="L320" s="482">
        <f t="shared" si="34"/>
        <v>936</v>
      </c>
      <c r="M320" s="475">
        <f>SUM(L318:L320)</f>
        <v>1526</v>
      </c>
      <c r="N320" s="481">
        <f>SUM(L318:L320)</f>
        <v>1526</v>
      </c>
      <c r="O320" s="479"/>
      <c r="P320" s="500"/>
      <c r="Q320" s="500"/>
    </row>
    <row r="321" s="574" customFormat="1" ht="19" customHeight="1" spans="1:18">
      <c r="A321" s="473" t="s">
        <v>55</v>
      </c>
      <c r="B321" s="501">
        <v>46001</v>
      </c>
      <c r="C321" s="510">
        <v>20</v>
      </c>
      <c r="D321" s="533" t="s">
        <v>112</v>
      </c>
      <c r="E321" s="494"/>
      <c r="F321" s="494"/>
      <c r="G321" s="473" t="s">
        <v>113</v>
      </c>
      <c r="H321" s="494">
        <v>1</v>
      </c>
      <c r="I321" s="494">
        <v>26</v>
      </c>
      <c r="J321" s="488">
        <f t="shared" si="33"/>
        <v>26</v>
      </c>
      <c r="K321" s="491">
        <v>17</v>
      </c>
      <c r="L321" s="491">
        <f t="shared" si="34"/>
        <v>442</v>
      </c>
      <c r="M321" s="485" t="s">
        <v>135</v>
      </c>
      <c r="N321" s="594"/>
      <c r="O321" s="595"/>
    </row>
    <row r="322" s="472" customFormat="1" ht="20.25" spans="1:18">
      <c r="A322" s="472" t="s">
        <v>55</v>
      </c>
      <c r="B322" s="501">
        <v>46001</v>
      </c>
      <c r="C322" s="510">
        <v>20</v>
      </c>
      <c r="D322" s="607" t="s">
        <v>57</v>
      </c>
      <c r="E322" s="607"/>
      <c r="F322" s="607"/>
      <c r="G322" s="472" t="s">
        <v>73</v>
      </c>
      <c r="H322" s="488">
        <v>1</v>
      </c>
      <c r="I322" s="488">
        <v>3</v>
      </c>
      <c r="J322" s="488">
        <f t="shared" si="33"/>
        <v>3</v>
      </c>
      <c r="K322" s="491">
        <v>17</v>
      </c>
      <c r="L322" s="491">
        <f t="shared" si="34"/>
        <v>51</v>
      </c>
      <c r="M322" s="581"/>
      <c r="N322" s="488"/>
      <c r="O322" s="489"/>
    </row>
    <row r="323" s="473" customFormat="1" ht="20.25" spans="1:18">
      <c r="A323" s="473" t="s">
        <v>55</v>
      </c>
      <c r="B323" s="501">
        <v>46001</v>
      </c>
      <c r="C323" s="510">
        <v>20</v>
      </c>
      <c r="D323" s="488" t="s">
        <v>2</v>
      </c>
      <c r="E323" s="488"/>
      <c r="F323" s="488"/>
      <c r="G323" s="472" t="s">
        <v>3</v>
      </c>
      <c r="H323" s="488">
        <v>2</v>
      </c>
      <c r="I323" s="488">
        <v>25</v>
      </c>
      <c r="J323" s="488">
        <f t="shared" si="33"/>
        <v>50</v>
      </c>
      <c r="K323" s="491">
        <v>17</v>
      </c>
      <c r="L323" s="491">
        <f t="shared" si="34"/>
        <v>850</v>
      </c>
      <c r="M323" s="485" t="s">
        <v>4</v>
      </c>
      <c r="N323" s="485"/>
      <c r="O323" s="485"/>
      <c r="P323" s="489"/>
      <c r="Q323" s="513"/>
    </row>
    <row r="324" s="2" customFormat="1" ht="20.25" spans="1:18">
      <c r="A324" s="2" t="s">
        <v>55</v>
      </c>
      <c r="B324" s="496">
        <v>46002</v>
      </c>
      <c r="C324" s="502">
        <v>29</v>
      </c>
      <c r="D324" s="481" t="s">
        <v>5</v>
      </c>
      <c r="E324" s="481"/>
      <c r="F324" s="481"/>
      <c r="G324" s="503" t="s">
        <v>6</v>
      </c>
      <c r="H324" s="481">
        <v>2</v>
      </c>
      <c r="I324" s="481">
        <v>26</v>
      </c>
      <c r="J324" s="478">
        <f t="shared" si="33"/>
        <v>52</v>
      </c>
      <c r="K324" s="499">
        <v>18</v>
      </c>
      <c r="L324" s="482">
        <f t="shared" si="34"/>
        <v>936</v>
      </c>
      <c r="M324" s="475">
        <f>SUM(L322:L324)</f>
        <v>1837</v>
      </c>
      <c r="N324" s="481">
        <f>SUM(L322:L324)</f>
        <v>1837</v>
      </c>
      <c r="O324" s="479"/>
      <c r="P324" s="500"/>
      <c r="Q324" s="500"/>
    </row>
    <row r="325" s="2" customFormat="1" ht="20.25" spans="1:18">
      <c r="B325" s="496"/>
      <c r="C325" s="502"/>
      <c r="D325" s="481"/>
      <c r="E325" s="481"/>
      <c r="F325" s="481"/>
      <c r="G325" s="640" t="s">
        <v>205</v>
      </c>
      <c r="H325" s="481"/>
      <c r="I325" s="481"/>
      <c r="J325" s="478"/>
      <c r="K325" s="499"/>
      <c r="L325" s="482"/>
      <c r="M325" s="475"/>
      <c r="N325" s="481"/>
      <c r="O325" s="479"/>
      <c r="P325" s="500"/>
      <c r="Q325" s="500"/>
    </row>
    <row r="326" s="473" customFormat="1" ht="20.25" spans="1:18">
      <c r="A326" s="473" t="s">
        <v>30</v>
      </c>
      <c r="B326" s="501">
        <v>46006</v>
      </c>
      <c r="C326" s="510" t="s">
        <v>206</v>
      </c>
      <c r="D326" s="494" t="s">
        <v>105</v>
      </c>
      <c r="E326" s="494"/>
      <c r="F326" s="494"/>
      <c r="G326" s="473" t="s">
        <v>106</v>
      </c>
      <c r="H326" s="494">
        <v>1</v>
      </c>
      <c r="I326" s="494">
        <v>21</v>
      </c>
      <c r="J326" s="488">
        <f t="shared" ref="J326:J334" si="35">H326*I326</f>
        <v>21</v>
      </c>
      <c r="K326" s="511">
        <v>21.5</v>
      </c>
      <c r="L326" s="491">
        <f t="shared" ref="L326:L334" si="36">J326*K326</f>
        <v>451.5</v>
      </c>
      <c r="M326" s="600"/>
      <c r="N326" s="511">
        <v>22.5</v>
      </c>
      <c r="O326" s="489">
        <f t="shared" ref="O326:O331" si="37">J326*N326</f>
        <v>472.5</v>
      </c>
      <c r="P326" s="513"/>
      <c r="Q326" s="513"/>
    </row>
    <row r="327" s="473" customFormat="1" ht="20.25" spans="1:18">
      <c r="A327" s="473" t="s">
        <v>30</v>
      </c>
      <c r="B327" s="501">
        <v>46006</v>
      </c>
      <c r="C327" s="510" t="s">
        <v>206</v>
      </c>
      <c r="D327" s="533" t="s">
        <v>162</v>
      </c>
      <c r="E327" s="494"/>
      <c r="F327" s="494"/>
      <c r="G327" s="473" t="s">
        <v>163</v>
      </c>
      <c r="H327" s="494">
        <v>1</v>
      </c>
      <c r="I327" s="494">
        <v>25</v>
      </c>
      <c r="J327" s="488">
        <f t="shared" si="35"/>
        <v>25</v>
      </c>
      <c r="K327" s="511">
        <v>17</v>
      </c>
      <c r="L327" s="491">
        <f t="shared" si="36"/>
        <v>425</v>
      </c>
      <c r="N327" s="511">
        <v>18</v>
      </c>
      <c r="O327" s="489">
        <f t="shared" si="37"/>
        <v>450</v>
      </c>
      <c r="P327" s="485"/>
      <c r="Q327" s="513"/>
    </row>
    <row r="328" s="473" customFormat="1" ht="20.25" spans="1:18">
      <c r="A328" s="473" t="s">
        <v>30</v>
      </c>
      <c r="B328" s="501">
        <v>46006</v>
      </c>
      <c r="C328" s="510" t="s">
        <v>206</v>
      </c>
      <c r="D328" s="533"/>
      <c r="E328" s="494"/>
      <c r="F328" s="494"/>
      <c r="G328" s="473" t="s">
        <v>51</v>
      </c>
      <c r="H328" s="494">
        <v>2</v>
      </c>
      <c r="I328" s="494">
        <v>20</v>
      </c>
      <c r="J328" s="488">
        <f t="shared" si="35"/>
        <v>40</v>
      </c>
      <c r="K328" s="491">
        <v>17</v>
      </c>
      <c r="L328" s="491">
        <f t="shared" si="36"/>
        <v>680</v>
      </c>
      <c r="N328" s="511">
        <v>18</v>
      </c>
      <c r="O328" s="489">
        <f t="shared" si="37"/>
        <v>720</v>
      </c>
      <c r="P328" s="634" t="s">
        <v>85</v>
      </c>
      <c r="Q328" s="641"/>
      <c r="R328" s="641"/>
    </row>
    <row r="329" s="473" customFormat="1" ht="20.25" spans="1:18">
      <c r="A329" s="473" t="s">
        <v>30</v>
      </c>
      <c r="B329" s="501">
        <v>46006</v>
      </c>
      <c r="C329" s="510" t="s">
        <v>206</v>
      </c>
      <c r="D329" s="533" t="s">
        <v>119</v>
      </c>
      <c r="E329" s="494"/>
      <c r="F329" s="494"/>
      <c r="G329" s="473" t="s">
        <v>120</v>
      </c>
      <c r="H329" s="494">
        <v>1</v>
      </c>
      <c r="I329" s="494">
        <v>26</v>
      </c>
      <c r="J329" s="488">
        <f t="shared" si="35"/>
        <v>26</v>
      </c>
      <c r="K329" s="491">
        <v>17</v>
      </c>
      <c r="L329" s="491">
        <f t="shared" si="36"/>
        <v>442</v>
      </c>
      <c r="N329" s="511">
        <v>18</v>
      </c>
      <c r="O329" s="489">
        <f t="shared" si="37"/>
        <v>468</v>
      </c>
      <c r="P329" s="634" t="s">
        <v>121</v>
      </c>
      <c r="Q329" s="641"/>
      <c r="R329" s="641"/>
    </row>
    <row r="330" s="473" customFormat="1" ht="20.25" spans="1:18">
      <c r="A330" s="473" t="s">
        <v>30</v>
      </c>
      <c r="B330" s="501">
        <v>46006</v>
      </c>
      <c r="C330" s="510" t="s">
        <v>206</v>
      </c>
      <c r="D330" s="533" t="s">
        <v>119</v>
      </c>
      <c r="E330" s="494"/>
      <c r="F330" s="494"/>
      <c r="G330" s="473" t="s">
        <v>120</v>
      </c>
      <c r="H330" s="494">
        <v>1</v>
      </c>
      <c r="I330" s="494">
        <v>25</v>
      </c>
      <c r="J330" s="488">
        <f t="shared" si="35"/>
        <v>25</v>
      </c>
      <c r="K330" s="491">
        <v>17</v>
      </c>
      <c r="L330" s="491">
        <f t="shared" si="36"/>
        <v>425</v>
      </c>
      <c r="N330" s="511">
        <v>18</v>
      </c>
      <c r="O330" s="489">
        <f t="shared" si="37"/>
        <v>450</v>
      </c>
      <c r="P330" s="634" t="s">
        <v>121</v>
      </c>
      <c r="Q330" s="641"/>
      <c r="R330" s="641"/>
    </row>
    <row r="331" s="473" customFormat="1" ht="19" customHeight="1" spans="1:18">
      <c r="A331" s="473" t="s">
        <v>30</v>
      </c>
      <c r="B331" s="501">
        <v>46006</v>
      </c>
      <c r="C331" s="510" t="s">
        <v>206</v>
      </c>
      <c r="D331" s="494"/>
      <c r="E331" s="494"/>
      <c r="F331" s="494"/>
      <c r="G331" s="473" t="s">
        <v>10</v>
      </c>
      <c r="H331" s="494">
        <v>3</v>
      </c>
      <c r="I331" s="494">
        <v>20</v>
      </c>
      <c r="J331" s="488">
        <f t="shared" si="35"/>
        <v>60</v>
      </c>
      <c r="K331" s="511">
        <v>17</v>
      </c>
      <c r="L331" s="491">
        <f t="shared" si="36"/>
        <v>1020</v>
      </c>
      <c r="M331" s="473">
        <f>SUM(L326:L331)</f>
        <v>3443.5</v>
      </c>
      <c r="N331" s="511">
        <v>18</v>
      </c>
      <c r="O331" s="489">
        <f t="shared" si="37"/>
        <v>1080</v>
      </c>
      <c r="P331" s="634">
        <f>SUM(O326:O331)</f>
        <v>3640.5</v>
      </c>
      <c r="Q331" s="641"/>
      <c r="R331" s="641"/>
    </row>
    <row r="332" s="2" customFormat="1" ht="20.25" spans="1:18">
      <c r="A332" s="2" t="s">
        <v>55</v>
      </c>
      <c r="B332" s="496">
        <v>46014</v>
      </c>
      <c r="C332" s="502">
        <v>57</v>
      </c>
      <c r="D332" s="609" t="s">
        <v>164</v>
      </c>
      <c r="E332" s="481"/>
      <c r="F332" s="481"/>
      <c r="G332" s="2" t="s">
        <v>165</v>
      </c>
      <c r="H332" s="481">
        <v>1</v>
      </c>
      <c r="I332" s="481">
        <v>4</v>
      </c>
      <c r="J332" s="478">
        <f t="shared" si="35"/>
        <v>4</v>
      </c>
      <c r="K332" s="499">
        <v>25</v>
      </c>
      <c r="L332" s="482">
        <f t="shared" si="36"/>
        <v>100</v>
      </c>
      <c r="M332" s="475"/>
      <c r="N332" s="475"/>
      <c r="O332" s="479"/>
      <c r="P332" s="500"/>
      <c r="Q332" s="500"/>
    </row>
    <row r="333" s="2" customFormat="1" ht="20.25" spans="1:18">
      <c r="A333" s="2" t="s">
        <v>55</v>
      </c>
      <c r="B333" s="496">
        <v>46014</v>
      </c>
      <c r="C333" s="502">
        <v>57</v>
      </c>
      <c r="D333" s="481" t="s">
        <v>5</v>
      </c>
      <c r="E333" s="481"/>
      <c r="F333" s="481"/>
      <c r="G333" s="503" t="s">
        <v>6</v>
      </c>
      <c r="H333" s="481">
        <v>2</v>
      </c>
      <c r="I333" s="481">
        <v>25</v>
      </c>
      <c r="J333" s="478">
        <f t="shared" si="35"/>
        <v>50</v>
      </c>
      <c r="K333" s="499">
        <v>18</v>
      </c>
      <c r="L333" s="482">
        <f t="shared" si="36"/>
        <v>900</v>
      </c>
      <c r="M333" s="475"/>
      <c r="N333" s="481">
        <f>SUM(L332:L334)</f>
        <v>1100</v>
      </c>
      <c r="O333" s="479"/>
      <c r="P333" s="500"/>
      <c r="Q333" s="500"/>
    </row>
    <row r="334" s="2" customFormat="1" ht="20.25" spans="1:18">
      <c r="A334" s="2" t="s">
        <v>55</v>
      </c>
      <c r="B334" s="496">
        <v>46014</v>
      </c>
      <c r="C334" s="502">
        <v>57</v>
      </c>
      <c r="D334" s="481" t="s">
        <v>12</v>
      </c>
      <c r="E334" s="481"/>
      <c r="F334" s="481"/>
      <c r="G334" s="2" t="s">
        <v>13</v>
      </c>
      <c r="H334" s="481">
        <v>1</v>
      </c>
      <c r="I334" s="481">
        <v>4</v>
      </c>
      <c r="J334" s="478">
        <f t="shared" si="35"/>
        <v>4</v>
      </c>
      <c r="K334" s="499">
        <v>25</v>
      </c>
      <c r="L334" s="482">
        <f t="shared" si="36"/>
        <v>100</v>
      </c>
      <c r="M334" s="475"/>
      <c r="N334" s="475"/>
      <c r="O334" s="479"/>
      <c r="P334" s="500"/>
      <c r="Q334" s="500"/>
    </row>
    <row r="335" s="474" customFormat="1" ht="19" customHeight="1" spans="1:18">
      <c r="B335" s="520">
        <v>46017</v>
      </c>
      <c r="C335" s="521" t="s">
        <v>207</v>
      </c>
      <c r="D335" s="514" t="s">
        <v>208</v>
      </c>
      <c r="E335" s="514"/>
      <c r="F335" s="514"/>
      <c r="G335" s="474" t="s">
        <v>209</v>
      </c>
      <c r="H335" s="514"/>
      <c r="I335" s="514"/>
      <c r="J335" s="493"/>
      <c r="K335" s="509"/>
      <c r="L335" s="523"/>
      <c r="N335" s="509"/>
      <c r="O335" s="515"/>
      <c r="P335" s="622"/>
      <c r="Q335" s="419"/>
      <c r="R335" s="419"/>
    </row>
    <row r="336" s="474" customFormat="1" ht="19" customHeight="1" spans="1:18">
      <c r="B336" s="520">
        <v>46017</v>
      </c>
      <c r="C336" s="521" t="s">
        <v>207</v>
      </c>
      <c r="D336" s="514" t="s">
        <v>210</v>
      </c>
      <c r="E336" s="514"/>
      <c r="F336" s="514"/>
      <c r="G336" s="474" t="s">
        <v>211</v>
      </c>
      <c r="H336" s="514"/>
      <c r="I336" s="514"/>
      <c r="J336" s="493"/>
      <c r="K336" s="509"/>
      <c r="L336" s="523"/>
      <c r="N336" s="509"/>
      <c r="O336" s="515"/>
      <c r="P336" s="622"/>
      <c r="Q336" s="419"/>
      <c r="R336" s="419"/>
    </row>
    <row r="337" s="474" customFormat="1" ht="19" customHeight="1" spans="1:21">
      <c r="B337" s="520">
        <v>46017</v>
      </c>
      <c r="C337" s="521" t="s">
        <v>207</v>
      </c>
      <c r="D337" s="514" t="s">
        <v>212</v>
      </c>
      <c r="E337" s="514"/>
      <c r="F337" s="514"/>
      <c r="G337" s="474" t="s">
        <v>213</v>
      </c>
      <c r="H337" s="514"/>
      <c r="I337" s="514"/>
      <c r="J337" s="493"/>
      <c r="K337" s="509"/>
      <c r="L337" s="523"/>
      <c r="N337" s="509"/>
      <c r="O337" s="515"/>
      <c r="P337" s="622"/>
      <c r="Q337" s="419"/>
      <c r="R337" s="419"/>
    </row>
    <row r="338" s="2" customFormat="1" ht="20.25" spans="1:21">
      <c r="A338" s="2" t="s">
        <v>87</v>
      </c>
      <c r="B338" s="496">
        <v>46018</v>
      </c>
      <c r="C338" s="502">
        <v>76</v>
      </c>
      <c r="D338" s="481"/>
      <c r="E338" s="481"/>
      <c r="F338" s="481"/>
      <c r="G338" s="2" t="s">
        <v>96</v>
      </c>
      <c r="H338" s="481">
        <v>2</v>
      </c>
      <c r="I338" s="481">
        <v>25</v>
      </c>
      <c r="J338" s="478">
        <f t="shared" ref="J338:J361" si="38">H338*I338</f>
        <v>50</v>
      </c>
      <c r="K338" s="499">
        <v>14.5</v>
      </c>
      <c r="L338" s="499">
        <f t="shared" ref="L338:L361" si="39">J338*K338</f>
        <v>725</v>
      </c>
      <c r="M338" s="506" t="s">
        <v>184</v>
      </c>
      <c r="N338" s="481"/>
      <c r="O338" s="479">
        <v>21.5</v>
      </c>
      <c r="P338" s="2">
        <f t="shared" ref="P338:P345" si="40">J338*O338</f>
        <v>1075</v>
      </c>
      <c r="Q338" s="500"/>
      <c r="U338" s="317"/>
    </row>
    <row r="339" s="2" customFormat="1" ht="20.25" spans="1:21">
      <c r="A339" s="2" t="s">
        <v>87</v>
      </c>
      <c r="B339" s="496">
        <v>46018</v>
      </c>
      <c r="C339" s="502">
        <v>76</v>
      </c>
      <c r="D339" s="481"/>
      <c r="E339" s="481"/>
      <c r="F339" s="481"/>
      <c r="G339" s="2" t="s">
        <v>10</v>
      </c>
      <c r="H339" s="481">
        <v>1</v>
      </c>
      <c r="I339" s="481">
        <v>20</v>
      </c>
      <c r="J339" s="478">
        <f t="shared" si="38"/>
        <v>20</v>
      </c>
      <c r="K339" s="499">
        <v>12</v>
      </c>
      <c r="L339" s="499">
        <f t="shared" si="39"/>
        <v>240</v>
      </c>
      <c r="M339" s="506" t="s">
        <v>185</v>
      </c>
      <c r="N339" s="481">
        <f>SUM(L338:L341)</f>
        <v>3065</v>
      </c>
      <c r="O339" s="479">
        <v>21.5</v>
      </c>
      <c r="P339" s="2">
        <f t="shared" si="40"/>
        <v>430</v>
      </c>
      <c r="Q339" s="500">
        <f>SUM(P338:P341)</f>
        <v>4125</v>
      </c>
      <c r="U339" s="317"/>
    </row>
    <row r="340" s="2" customFormat="1" ht="20.25" spans="1:21">
      <c r="A340" s="2" t="s">
        <v>87</v>
      </c>
      <c r="B340" s="496">
        <v>46018</v>
      </c>
      <c r="C340" s="502">
        <v>76</v>
      </c>
      <c r="D340" s="481" t="s">
        <v>88</v>
      </c>
      <c r="E340" s="481"/>
      <c r="F340" s="481"/>
      <c r="G340" s="2" t="s">
        <v>89</v>
      </c>
      <c r="H340" s="481">
        <v>4</v>
      </c>
      <c r="I340" s="481">
        <v>25</v>
      </c>
      <c r="J340" s="478">
        <f t="shared" si="38"/>
        <v>100</v>
      </c>
      <c r="K340" s="499">
        <v>11</v>
      </c>
      <c r="L340" s="499">
        <f t="shared" si="39"/>
        <v>1100</v>
      </c>
      <c r="M340" s="506" t="s">
        <v>186</v>
      </c>
      <c r="N340" s="481"/>
      <c r="O340" s="479">
        <v>13</v>
      </c>
      <c r="P340" s="2">
        <f t="shared" si="40"/>
        <v>1300</v>
      </c>
      <c r="Q340" s="500"/>
      <c r="U340" s="317" t="s">
        <v>91</v>
      </c>
    </row>
    <row r="341" s="2" customFormat="1" ht="20.25" spans="1:21">
      <c r="A341" s="2" t="s">
        <v>87</v>
      </c>
      <c r="B341" s="496">
        <v>46018</v>
      </c>
      <c r="C341" s="502">
        <v>76</v>
      </c>
      <c r="D341" s="481" t="s">
        <v>92</v>
      </c>
      <c r="E341" s="481"/>
      <c r="F341" s="481"/>
      <c r="G341" s="2" t="s">
        <v>93</v>
      </c>
      <c r="H341" s="481">
        <v>4</v>
      </c>
      <c r="I341" s="481">
        <v>20</v>
      </c>
      <c r="J341" s="478">
        <f t="shared" si="38"/>
        <v>80</v>
      </c>
      <c r="K341" s="499">
        <v>12.5</v>
      </c>
      <c r="L341" s="499">
        <f t="shared" si="39"/>
        <v>1000</v>
      </c>
      <c r="M341" s="506" t="s">
        <v>187</v>
      </c>
      <c r="N341" s="481"/>
      <c r="O341" s="479">
        <v>16.5</v>
      </c>
      <c r="P341" s="2">
        <f t="shared" si="40"/>
        <v>1320</v>
      </c>
      <c r="Q341" s="500"/>
      <c r="U341" s="317" t="s">
        <v>95</v>
      </c>
    </row>
    <row r="342" s="474" customFormat="1" ht="20.25" spans="1:21">
      <c r="A342" s="474" t="s">
        <v>30</v>
      </c>
      <c r="B342" s="520">
        <v>46383</v>
      </c>
      <c r="C342" s="521">
        <v>77</v>
      </c>
      <c r="D342" s="601"/>
      <c r="E342" s="514"/>
      <c r="F342" s="514"/>
      <c r="G342" s="474" t="s">
        <v>51</v>
      </c>
      <c r="H342" s="514">
        <v>1</v>
      </c>
      <c r="I342" s="514">
        <v>20</v>
      </c>
      <c r="J342" s="493">
        <f t="shared" si="38"/>
        <v>20</v>
      </c>
      <c r="K342" s="523">
        <v>17</v>
      </c>
      <c r="L342" s="523">
        <f t="shared" si="39"/>
        <v>340</v>
      </c>
      <c r="M342" s="622" t="s">
        <v>85</v>
      </c>
      <c r="N342" s="509"/>
      <c r="O342" s="515">
        <v>18</v>
      </c>
      <c r="P342" s="474">
        <f t="shared" si="40"/>
        <v>360</v>
      </c>
      <c r="Q342" s="419"/>
      <c r="R342" s="419"/>
    </row>
    <row r="343" s="474" customFormat="1" ht="19" customHeight="1" spans="1:21">
      <c r="A343" s="474" t="s">
        <v>30</v>
      </c>
      <c r="B343" s="520">
        <v>46383</v>
      </c>
      <c r="C343" s="521">
        <v>77</v>
      </c>
      <c r="D343" s="514">
        <v>105</v>
      </c>
      <c r="E343" s="514"/>
      <c r="F343" s="514"/>
      <c r="G343" s="474" t="s">
        <v>48</v>
      </c>
      <c r="H343" s="514">
        <v>1</v>
      </c>
      <c r="I343" s="514">
        <v>25</v>
      </c>
      <c r="J343" s="493">
        <f t="shared" si="38"/>
        <v>25</v>
      </c>
      <c r="K343" s="509">
        <v>18</v>
      </c>
      <c r="L343" s="523">
        <f t="shared" si="39"/>
        <v>450</v>
      </c>
      <c r="M343" s="584" t="s">
        <v>168</v>
      </c>
      <c r="N343" s="524"/>
      <c r="O343" s="515">
        <v>19</v>
      </c>
      <c r="P343" s="474">
        <f t="shared" si="40"/>
        <v>475</v>
      </c>
      <c r="Q343" s="526"/>
    </row>
    <row r="344" s="474" customFormat="1" ht="20.25" spans="1:21">
      <c r="A344" s="474" t="s">
        <v>30</v>
      </c>
      <c r="B344" s="520">
        <v>46383</v>
      </c>
      <c r="C344" s="521">
        <v>77</v>
      </c>
      <c r="D344" s="601" t="s">
        <v>162</v>
      </c>
      <c r="E344" s="514"/>
      <c r="F344" s="514"/>
      <c r="G344" s="474" t="s">
        <v>163</v>
      </c>
      <c r="H344" s="514">
        <v>1</v>
      </c>
      <c r="I344" s="514">
        <v>26</v>
      </c>
      <c r="J344" s="493">
        <f t="shared" si="38"/>
        <v>26</v>
      </c>
      <c r="K344" s="509">
        <v>17</v>
      </c>
      <c r="L344" s="523">
        <f t="shared" si="39"/>
        <v>442</v>
      </c>
      <c r="M344" s="524"/>
      <c r="N344" s="514"/>
      <c r="O344" s="515">
        <v>18</v>
      </c>
      <c r="P344" s="474">
        <f t="shared" si="40"/>
        <v>468</v>
      </c>
      <c r="Q344" s="526"/>
    </row>
    <row r="345" s="474" customFormat="1" ht="19" customHeight="1" spans="1:21">
      <c r="A345" s="474" t="s">
        <v>30</v>
      </c>
      <c r="B345" s="520">
        <v>46383</v>
      </c>
      <c r="C345" s="521">
        <v>77</v>
      </c>
      <c r="D345" s="514" t="s">
        <v>214</v>
      </c>
      <c r="E345" s="514"/>
      <c r="F345" s="514"/>
      <c r="G345" s="474" t="s">
        <v>215</v>
      </c>
      <c r="H345" s="514">
        <v>1</v>
      </c>
      <c r="I345" s="514">
        <v>5</v>
      </c>
      <c r="J345" s="493">
        <f t="shared" si="38"/>
        <v>5</v>
      </c>
      <c r="K345" s="509">
        <v>21.5</v>
      </c>
      <c r="L345" s="523">
        <f t="shared" si="39"/>
        <v>107.5</v>
      </c>
      <c r="M345" s="474" t="s">
        <v>71</v>
      </c>
      <c r="N345" s="509">
        <f>SUM(L342:L345)</f>
        <v>1339.5</v>
      </c>
      <c r="O345" s="515">
        <v>22.5</v>
      </c>
      <c r="P345" s="474">
        <f t="shared" si="40"/>
        <v>112.5</v>
      </c>
      <c r="Q345" s="642">
        <f>SUM(P342:P345)</f>
        <v>1415.5</v>
      </c>
      <c r="R345" s="419"/>
    </row>
    <row r="346" s="473" customFormat="1" ht="19" customHeight="1" spans="1:21">
      <c r="A346" s="473" t="s">
        <v>55</v>
      </c>
      <c r="B346" s="606">
        <v>46034</v>
      </c>
      <c r="C346" s="472" t="s">
        <v>216</v>
      </c>
      <c r="D346" s="494" t="s">
        <v>182</v>
      </c>
      <c r="E346" s="494"/>
      <c r="F346" s="494"/>
      <c r="G346" s="473" t="s">
        <v>84</v>
      </c>
      <c r="H346" s="494">
        <v>2</v>
      </c>
      <c r="I346" s="494">
        <v>20</v>
      </c>
      <c r="J346" s="488">
        <f t="shared" si="38"/>
        <v>40</v>
      </c>
      <c r="K346" s="511">
        <v>12</v>
      </c>
      <c r="L346" s="491">
        <f t="shared" si="39"/>
        <v>480</v>
      </c>
      <c r="M346" s="634" t="s">
        <v>183</v>
      </c>
      <c r="N346" s="494">
        <f>SUM(L346:L346)</f>
        <v>480</v>
      </c>
      <c r="O346" s="489"/>
      <c r="P346" s="513"/>
      <c r="Q346" s="513"/>
    </row>
    <row r="347" s="473" customFormat="1" ht="19" customHeight="1" spans="1:21">
      <c r="A347" s="472" t="s">
        <v>55</v>
      </c>
      <c r="B347" s="606">
        <v>46034</v>
      </c>
      <c r="C347" s="472" t="s">
        <v>216</v>
      </c>
      <c r="D347" s="494" t="s">
        <v>180</v>
      </c>
      <c r="E347" s="494"/>
      <c r="F347" s="494"/>
      <c r="G347" s="473" t="s">
        <v>10</v>
      </c>
      <c r="H347" s="494">
        <v>5</v>
      </c>
      <c r="I347" s="494">
        <v>20</v>
      </c>
      <c r="J347" s="488">
        <f t="shared" si="38"/>
        <v>100</v>
      </c>
      <c r="K347" s="511">
        <v>12</v>
      </c>
      <c r="L347" s="491">
        <f t="shared" si="39"/>
        <v>1200</v>
      </c>
      <c r="M347" s="634" t="s">
        <v>181</v>
      </c>
      <c r="N347" s="494"/>
      <c r="O347" s="489"/>
      <c r="P347" s="513"/>
      <c r="Q347" s="513"/>
    </row>
    <row r="348" s="2" customFormat="1" ht="20.25" spans="1:21">
      <c r="A348" s="2" t="s">
        <v>55</v>
      </c>
      <c r="B348" s="496">
        <v>46036</v>
      </c>
      <c r="C348" s="502">
        <v>37</v>
      </c>
      <c r="D348" s="481" t="s">
        <v>174</v>
      </c>
      <c r="E348" s="481"/>
      <c r="F348" s="481"/>
      <c r="G348" s="503" t="s">
        <v>47</v>
      </c>
      <c r="H348" s="481">
        <v>1</v>
      </c>
      <c r="I348" s="481">
        <v>25</v>
      </c>
      <c r="J348" s="478">
        <f t="shared" si="38"/>
        <v>25</v>
      </c>
      <c r="K348" s="499">
        <v>17</v>
      </c>
      <c r="L348" s="482">
        <f t="shared" si="39"/>
        <v>425</v>
      </c>
      <c r="M348" s="475" t="s">
        <v>107</v>
      </c>
      <c r="N348" s="481"/>
      <c r="O348" s="479"/>
      <c r="P348" s="500"/>
      <c r="Q348" s="500"/>
    </row>
    <row r="349" s="2" customFormat="1" ht="19" customHeight="1" spans="1:21">
      <c r="A349" s="2" t="s">
        <v>55</v>
      </c>
      <c r="B349" s="496">
        <v>46036</v>
      </c>
      <c r="C349" s="502">
        <v>37</v>
      </c>
      <c r="D349" s="481" t="s">
        <v>81</v>
      </c>
      <c r="E349" s="481"/>
      <c r="F349" s="481"/>
      <c r="G349" s="503" t="s">
        <v>82</v>
      </c>
      <c r="H349" s="481">
        <v>1</v>
      </c>
      <c r="I349" s="481">
        <v>26</v>
      </c>
      <c r="J349" s="478">
        <f t="shared" si="38"/>
        <v>26</v>
      </c>
      <c r="K349" s="482">
        <v>17</v>
      </c>
      <c r="L349" s="499">
        <f t="shared" si="39"/>
        <v>442</v>
      </c>
      <c r="M349" s="582"/>
      <c r="N349" s="475"/>
      <c r="O349" s="479"/>
      <c r="P349" s="500"/>
      <c r="Q349" s="500"/>
    </row>
    <row r="350" s="473" customFormat="1" ht="20.25" spans="1:21">
      <c r="A350" s="473" t="s">
        <v>55</v>
      </c>
      <c r="B350" s="501">
        <v>46037</v>
      </c>
      <c r="C350" s="510" t="s">
        <v>206</v>
      </c>
      <c r="D350" s="494" t="s">
        <v>175</v>
      </c>
      <c r="E350" s="494"/>
      <c r="F350" s="494"/>
      <c r="G350" s="580" t="s">
        <v>176</v>
      </c>
      <c r="H350" s="494">
        <v>1</v>
      </c>
      <c r="I350" s="494">
        <v>4</v>
      </c>
      <c r="J350" s="488">
        <f t="shared" si="38"/>
        <v>4</v>
      </c>
      <c r="K350" s="511">
        <v>25</v>
      </c>
      <c r="L350" s="491">
        <f t="shared" si="39"/>
        <v>100</v>
      </c>
      <c r="M350" s="485" t="s">
        <v>107</v>
      </c>
      <c r="N350" s="494">
        <f>SUM(L349:L350)</f>
        <v>542</v>
      </c>
      <c r="O350" s="489"/>
      <c r="P350" s="513"/>
      <c r="Q350" s="513"/>
    </row>
    <row r="351" s="474" customFormat="1" ht="20.25" spans="1:21">
      <c r="A351" s="474" t="s">
        <v>30</v>
      </c>
      <c r="B351" s="520">
        <v>46038</v>
      </c>
      <c r="C351" s="521">
        <v>41</v>
      </c>
      <c r="D351" s="601"/>
      <c r="E351" s="514"/>
      <c r="F351" s="514"/>
      <c r="G351" s="474" t="s">
        <v>51</v>
      </c>
      <c r="H351" s="514">
        <v>1</v>
      </c>
      <c r="I351" s="514">
        <v>20</v>
      </c>
      <c r="J351" s="493">
        <f t="shared" si="38"/>
        <v>20</v>
      </c>
      <c r="K351" s="523">
        <v>17</v>
      </c>
      <c r="L351" s="523">
        <f t="shared" si="39"/>
        <v>340</v>
      </c>
      <c r="M351" s="622" t="s">
        <v>85</v>
      </c>
      <c r="N351" s="509"/>
      <c r="O351" s="515">
        <v>18</v>
      </c>
      <c r="P351" s="474">
        <f>J351*O351</f>
        <v>360</v>
      </c>
      <c r="Q351" s="419"/>
      <c r="R351" s="419"/>
    </row>
    <row r="352" s="474" customFormat="1" ht="20.25" spans="1:21">
      <c r="A352" s="474" t="s">
        <v>30</v>
      </c>
      <c r="B352" s="520">
        <v>46038</v>
      </c>
      <c r="C352" s="521">
        <v>41</v>
      </c>
      <c r="D352" s="601" t="s">
        <v>162</v>
      </c>
      <c r="E352" s="514"/>
      <c r="F352" s="514"/>
      <c r="G352" s="474" t="s">
        <v>163</v>
      </c>
      <c r="H352" s="514">
        <v>2</v>
      </c>
      <c r="I352" s="514">
        <v>26</v>
      </c>
      <c r="J352" s="493">
        <f t="shared" si="38"/>
        <v>52</v>
      </c>
      <c r="K352" s="509">
        <v>17</v>
      </c>
      <c r="L352" s="523">
        <f t="shared" si="39"/>
        <v>884</v>
      </c>
      <c r="M352" s="524"/>
      <c r="N352" s="514"/>
      <c r="O352" s="515">
        <v>18</v>
      </c>
      <c r="P352" s="474">
        <f>J352*O352</f>
        <v>936</v>
      </c>
      <c r="Q352" s="526"/>
    </row>
    <row r="353" s="2" customFormat="1" ht="19" customHeight="1" spans="1:21">
      <c r="A353" s="2" t="s">
        <v>194</v>
      </c>
      <c r="B353" s="496">
        <v>46039</v>
      </c>
      <c r="C353" s="502">
        <v>46</v>
      </c>
      <c r="D353" s="498">
        <v>46039</v>
      </c>
      <c r="E353" s="481"/>
      <c r="F353" s="481"/>
      <c r="G353" s="500" t="s">
        <v>61</v>
      </c>
      <c r="H353" s="481">
        <v>1</v>
      </c>
      <c r="I353" s="481">
        <v>28</v>
      </c>
      <c r="J353" s="478">
        <f t="shared" si="38"/>
        <v>28</v>
      </c>
      <c r="K353" s="499">
        <v>8.6</v>
      </c>
      <c r="L353" s="482">
        <f t="shared" si="39"/>
        <v>240.8</v>
      </c>
      <c r="M353" s="582" t="s">
        <v>199</v>
      </c>
      <c r="N353" s="475"/>
      <c r="O353" s="479"/>
      <c r="P353" s="500"/>
      <c r="Q353" s="500"/>
    </row>
    <row r="354" s="473" customFormat="1" ht="19" customHeight="1" spans="1:21">
      <c r="A354" s="473" t="s">
        <v>55</v>
      </c>
      <c r="B354" s="501">
        <v>46039</v>
      </c>
      <c r="C354" s="510">
        <v>47</v>
      </c>
      <c r="D354" s="494" t="s">
        <v>26</v>
      </c>
      <c r="E354" s="494"/>
      <c r="F354" s="494"/>
      <c r="G354" s="473" t="s">
        <v>27</v>
      </c>
      <c r="H354" s="494">
        <v>1</v>
      </c>
      <c r="I354" s="494">
        <v>4</v>
      </c>
      <c r="J354" s="488">
        <f t="shared" si="38"/>
        <v>4</v>
      </c>
      <c r="K354" s="511">
        <v>48</v>
      </c>
      <c r="L354" s="491">
        <f t="shared" si="39"/>
        <v>192</v>
      </c>
      <c r="M354" s="581"/>
      <c r="N354" s="485"/>
      <c r="O354" s="489"/>
      <c r="P354" s="513"/>
      <c r="Q354" s="513"/>
    </row>
    <row r="355" s="2" customFormat="1" ht="20.25" spans="1:21">
      <c r="A355" s="2" t="s">
        <v>55</v>
      </c>
      <c r="B355" s="496">
        <v>46043</v>
      </c>
      <c r="C355" s="502">
        <v>57</v>
      </c>
      <c r="D355" s="481" t="s">
        <v>5</v>
      </c>
      <c r="E355" s="481"/>
      <c r="F355" s="481"/>
      <c r="G355" s="503" t="s">
        <v>6</v>
      </c>
      <c r="H355" s="481">
        <v>2</v>
      </c>
      <c r="I355" s="481">
        <v>25</v>
      </c>
      <c r="J355" s="478">
        <f t="shared" si="38"/>
        <v>50</v>
      </c>
      <c r="K355" s="499">
        <v>18</v>
      </c>
      <c r="L355" s="482">
        <f t="shared" si="39"/>
        <v>900</v>
      </c>
      <c r="M355" s="475"/>
      <c r="N355" s="481">
        <f>SUM(L354:L356)</f>
        <v>1534</v>
      </c>
      <c r="O355" s="479"/>
      <c r="P355" s="500"/>
      <c r="Q355" s="500"/>
    </row>
    <row r="356" s="573" customFormat="1" ht="19" customHeight="1" spans="1:21">
      <c r="A356" s="2" t="s">
        <v>55</v>
      </c>
      <c r="B356" s="496">
        <v>46043</v>
      </c>
      <c r="C356" s="502">
        <v>57</v>
      </c>
      <c r="D356" s="585" t="s">
        <v>115</v>
      </c>
      <c r="E356" s="481"/>
      <c r="F356" s="481"/>
      <c r="G356" s="2" t="s">
        <v>132</v>
      </c>
      <c r="H356" s="481">
        <v>1</v>
      </c>
      <c r="I356" s="481">
        <v>26</v>
      </c>
      <c r="J356" s="478">
        <f t="shared" si="38"/>
        <v>26</v>
      </c>
      <c r="K356" s="482">
        <v>17</v>
      </c>
      <c r="L356" s="482">
        <f t="shared" si="39"/>
        <v>442</v>
      </c>
      <c r="M356" s="524" t="s">
        <v>135</v>
      </c>
      <c r="N356" s="1"/>
      <c r="O356" s="587"/>
    </row>
    <row r="357" s="473" customFormat="1" ht="20.25" spans="1:21">
      <c r="A357" s="473" t="s">
        <v>30</v>
      </c>
      <c r="B357" s="501">
        <v>46043</v>
      </c>
      <c r="C357" s="510"/>
      <c r="D357" s="533" t="s">
        <v>162</v>
      </c>
      <c r="E357" s="494"/>
      <c r="F357" s="494"/>
      <c r="G357" s="473" t="s">
        <v>163</v>
      </c>
      <c r="H357" s="494">
        <v>2</v>
      </c>
      <c r="I357" s="494">
        <v>25</v>
      </c>
      <c r="J357" s="488">
        <f t="shared" si="38"/>
        <v>50</v>
      </c>
      <c r="K357" s="511">
        <v>17</v>
      </c>
      <c r="L357" s="491">
        <f t="shared" si="39"/>
        <v>850</v>
      </c>
      <c r="N357" s="511">
        <v>18</v>
      </c>
      <c r="O357" s="489">
        <f>J357*N357</f>
        <v>900</v>
      </c>
      <c r="P357" s="485"/>
      <c r="Q357" s="513"/>
    </row>
    <row r="358" s="473" customFormat="1" ht="20.25" spans="1:21">
      <c r="A358" s="473" t="s">
        <v>30</v>
      </c>
      <c r="B358" s="501">
        <v>46043</v>
      </c>
      <c r="C358" s="510"/>
      <c r="D358" s="533"/>
      <c r="E358" s="494"/>
      <c r="F358" s="494"/>
      <c r="G358" s="473" t="s">
        <v>51</v>
      </c>
      <c r="H358" s="494">
        <v>2</v>
      </c>
      <c r="I358" s="494">
        <v>20</v>
      </c>
      <c r="J358" s="488">
        <f t="shared" si="38"/>
        <v>40</v>
      </c>
      <c r="K358" s="491">
        <v>17</v>
      </c>
      <c r="L358" s="491">
        <f t="shared" si="39"/>
        <v>680</v>
      </c>
      <c r="N358" s="511">
        <v>18</v>
      </c>
      <c r="O358" s="489">
        <f>J358*N358</f>
        <v>720</v>
      </c>
      <c r="P358" s="634" t="s">
        <v>85</v>
      </c>
      <c r="Q358" s="641"/>
      <c r="R358" s="641"/>
    </row>
    <row r="359" s="473" customFormat="1" ht="20.25" spans="1:21">
      <c r="A359" s="473" t="s">
        <v>30</v>
      </c>
      <c r="B359" s="501">
        <v>46043</v>
      </c>
      <c r="C359" s="510"/>
      <c r="D359" s="533" t="s">
        <v>119</v>
      </c>
      <c r="E359" s="494"/>
      <c r="F359" s="494"/>
      <c r="G359" s="473" t="s">
        <v>120</v>
      </c>
      <c r="H359" s="494">
        <v>1</v>
      </c>
      <c r="I359" s="494">
        <v>26</v>
      </c>
      <c r="J359" s="488">
        <f t="shared" si="38"/>
        <v>26</v>
      </c>
      <c r="K359" s="491">
        <v>17</v>
      </c>
      <c r="L359" s="491">
        <f t="shared" si="39"/>
        <v>442</v>
      </c>
      <c r="N359" s="511">
        <v>18</v>
      </c>
      <c r="O359" s="489">
        <f>J359*N359</f>
        <v>468</v>
      </c>
      <c r="P359" s="634" t="s">
        <v>121</v>
      </c>
      <c r="Q359" s="641"/>
      <c r="R359" s="641"/>
    </row>
    <row r="360" s="473" customFormat="1" ht="19" customHeight="1" spans="1:21">
      <c r="A360" s="473" t="s">
        <v>30</v>
      </c>
      <c r="B360" s="501">
        <v>46043</v>
      </c>
      <c r="C360" s="510"/>
      <c r="D360" s="494"/>
      <c r="E360" s="494"/>
      <c r="F360" s="494"/>
      <c r="G360" s="473" t="s">
        <v>10</v>
      </c>
      <c r="H360" s="494">
        <v>3</v>
      </c>
      <c r="I360" s="494">
        <v>20</v>
      </c>
      <c r="J360" s="488">
        <f>H360*I360</f>
        <v>60</v>
      </c>
      <c r="K360" s="511">
        <v>17</v>
      </c>
      <c r="L360" s="491">
        <f>J360*K360</f>
        <v>1020</v>
      </c>
      <c r="M360" s="473">
        <f>SUM(L356:L360)</f>
        <v>3434</v>
      </c>
      <c r="N360" s="511">
        <v>18</v>
      </c>
      <c r="O360" s="489">
        <f>J360*N360</f>
        <v>1080</v>
      </c>
      <c r="P360" s="634">
        <f>SUM(O356:O360)</f>
        <v>3168</v>
      </c>
      <c r="Q360" s="641"/>
      <c r="R360" s="641"/>
    </row>
    <row r="361" s="2" customFormat="1" ht="20.25" spans="1:21">
      <c r="B361" s="496"/>
      <c r="C361" s="502"/>
      <c r="D361" s="481"/>
      <c r="E361" s="481"/>
      <c r="F361" s="481"/>
      <c r="G361" s="503"/>
      <c r="H361" s="481"/>
      <c r="I361" s="481"/>
      <c r="J361" s="478"/>
      <c r="K361" s="499"/>
      <c r="L361" s="482"/>
      <c r="M361" s="475"/>
      <c r="N361" s="481"/>
      <c r="O361" s="479"/>
      <c r="P361" s="500"/>
      <c r="Q361" s="500"/>
    </row>
    <row r="362" s="2" customFormat="1" ht="20.25" spans="1:21">
      <c r="B362" s="496"/>
      <c r="C362" s="502"/>
      <c r="D362" s="481"/>
      <c r="E362" s="481"/>
      <c r="F362" s="481"/>
      <c r="H362" s="481"/>
      <c r="I362" s="481"/>
      <c r="J362" s="478"/>
      <c r="K362" s="499"/>
      <c r="L362" s="499"/>
      <c r="M362" s="506"/>
      <c r="N362" s="481"/>
      <c r="O362" s="479"/>
      <c r="Q362" s="500"/>
      <c r="U362" s="317"/>
    </row>
    <row r="363" s="2" customFormat="1" ht="20.25" spans="1:21">
      <c r="B363" s="496"/>
      <c r="C363" s="502"/>
      <c r="D363" s="481"/>
      <c r="E363" s="481"/>
      <c r="F363" s="481"/>
      <c r="H363" s="481"/>
      <c r="I363" s="481"/>
      <c r="J363" s="478"/>
      <c r="K363" s="499"/>
      <c r="L363" s="499"/>
      <c r="M363" s="506" t="s">
        <v>217</v>
      </c>
      <c r="N363" s="481"/>
      <c r="O363" s="479"/>
      <c r="Q363" s="500"/>
      <c r="U363" s="317"/>
    </row>
    <row r="364" s="2" customFormat="1" ht="20.25" spans="1:21">
      <c r="B364" s="496"/>
      <c r="C364" s="502"/>
      <c r="D364" s="481"/>
      <c r="E364" s="481"/>
      <c r="F364" s="481"/>
      <c r="H364" s="481"/>
      <c r="I364" s="481"/>
      <c r="J364" s="478"/>
      <c r="K364" s="499"/>
      <c r="L364" s="499"/>
      <c r="M364" s="506"/>
      <c r="N364" s="481"/>
      <c r="O364" s="479"/>
      <c r="Q364" s="500"/>
      <c r="U364" s="317"/>
    </row>
    <row r="365" s="2" customFormat="1" ht="20.25" spans="1:21">
      <c r="B365" s="496"/>
      <c r="C365" s="502"/>
      <c r="D365" s="481"/>
      <c r="E365" s="481"/>
      <c r="F365" s="481"/>
      <c r="H365" s="481"/>
      <c r="I365" s="481"/>
      <c r="J365" s="478"/>
      <c r="K365" s="499"/>
      <c r="L365" s="499"/>
      <c r="M365" s="506"/>
      <c r="N365" s="481"/>
      <c r="O365" s="479"/>
      <c r="Q365" s="500"/>
      <c r="U365" s="317"/>
    </row>
    <row r="366" s="2" customFormat="1" ht="20.25" spans="1:21">
      <c r="B366" s="496"/>
      <c r="C366" s="502"/>
      <c r="D366" s="481"/>
      <c r="E366" s="481"/>
      <c r="F366" s="481"/>
      <c r="H366" s="481"/>
      <c r="I366" s="481"/>
      <c r="J366" s="478"/>
      <c r="K366" s="499"/>
      <c r="L366" s="499"/>
      <c r="M366" s="506"/>
      <c r="N366" s="481"/>
      <c r="O366" s="479"/>
      <c r="Q366" s="500"/>
      <c r="U366" s="317"/>
    </row>
    <row r="367" s="2" customFormat="1" ht="20.25" spans="1:21">
      <c r="B367" s="496"/>
      <c r="C367" s="502"/>
      <c r="D367" s="481"/>
      <c r="E367" s="481"/>
      <c r="F367" s="481"/>
      <c r="H367" s="481"/>
      <c r="I367" s="481"/>
      <c r="J367" s="478"/>
      <c r="K367" s="499"/>
      <c r="L367" s="499"/>
      <c r="M367" s="506"/>
      <c r="N367" s="481"/>
      <c r="O367" s="479"/>
      <c r="Q367" s="500"/>
      <c r="U367" s="317"/>
    </row>
    <row r="368" s="2" customFormat="1" ht="20.25" spans="1:21">
      <c r="B368" s="496"/>
      <c r="C368" s="502"/>
      <c r="D368" s="481"/>
      <c r="E368" s="481"/>
      <c r="F368" s="481"/>
      <c r="H368" s="481"/>
      <c r="I368" s="481"/>
      <c r="J368" s="478"/>
      <c r="K368" s="499"/>
      <c r="L368" s="499"/>
      <c r="M368" s="506"/>
      <c r="N368" s="481"/>
      <c r="O368" s="479"/>
      <c r="Q368" s="500"/>
      <c r="U368" s="317"/>
    </row>
    <row r="369" s="2" customFormat="1" ht="20.25" spans="1:21">
      <c r="B369" s="496"/>
      <c r="C369" s="502"/>
      <c r="D369" s="481"/>
      <c r="E369" s="481"/>
      <c r="F369" s="481"/>
      <c r="H369" s="481"/>
      <c r="I369" s="481"/>
      <c r="J369" s="478"/>
      <c r="K369" s="499"/>
      <c r="L369" s="499"/>
      <c r="M369" s="506"/>
      <c r="N369" s="481"/>
      <c r="O369" s="479"/>
      <c r="Q369" s="500"/>
      <c r="U369" s="317"/>
    </row>
    <row r="370" s="2" customFormat="1" ht="20.25" spans="1:21">
      <c r="B370" s="496"/>
      <c r="C370" s="502"/>
      <c r="D370" s="481"/>
      <c r="E370" s="481"/>
      <c r="F370" s="481"/>
      <c r="H370" s="481"/>
      <c r="I370" s="481"/>
      <c r="J370" s="478"/>
      <c r="K370" s="499"/>
      <c r="L370" s="499"/>
      <c r="M370" s="506"/>
      <c r="N370" s="481"/>
      <c r="O370" s="479"/>
      <c r="Q370" s="500"/>
      <c r="U370" s="317"/>
    </row>
    <row r="371" s="2" customFormat="1" ht="20.25" spans="1:21">
      <c r="B371" s="496"/>
      <c r="C371" s="502"/>
      <c r="D371" s="481"/>
      <c r="E371" s="481"/>
      <c r="F371" s="481"/>
      <c r="H371" s="481"/>
      <c r="I371" s="481"/>
      <c r="J371" s="478"/>
      <c r="K371" s="499"/>
      <c r="L371" s="499"/>
      <c r="M371" s="506"/>
      <c r="N371" s="481"/>
      <c r="O371" s="479"/>
      <c r="Q371" s="500"/>
      <c r="U371" s="317"/>
    </row>
    <row r="372" s="2" customFormat="1" ht="20.25" spans="1:21">
      <c r="B372" s="496"/>
      <c r="C372" s="502"/>
      <c r="D372" s="481"/>
      <c r="E372" s="481"/>
      <c r="F372" s="481"/>
      <c r="H372" s="481"/>
      <c r="I372" s="481"/>
      <c r="J372" s="478"/>
      <c r="K372" s="499"/>
      <c r="L372" s="499"/>
      <c r="M372" s="506"/>
      <c r="N372" s="481"/>
      <c r="O372" s="479"/>
      <c r="Q372" s="500"/>
      <c r="U372" s="317"/>
    </row>
    <row r="373" s="2" customFormat="1" ht="20.25" spans="1:21">
      <c r="B373" s="496"/>
      <c r="C373" s="502"/>
      <c r="D373" s="481"/>
      <c r="E373" s="481"/>
      <c r="F373" s="481"/>
      <c r="H373" s="481"/>
      <c r="I373" s="481"/>
      <c r="J373" s="478"/>
      <c r="K373" s="499"/>
      <c r="L373" s="499"/>
      <c r="M373" s="506"/>
      <c r="N373" s="481"/>
      <c r="O373" s="479"/>
      <c r="Q373" s="500"/>
      <c r="U373" s="317"/>
    </row>
    <row r="374" s="2" customFormat="1" ht="20.25" spans="1:21">
      <c r="B374" s="496"/>
      <c r="C374" s="502"/>
      <c r="D374" s="481"/>
      <c r="E374" s="481"/>
      <c r="F374" s="481"/>
      <c r="H374" s="481"/>
      <c r="I374" s="481"/>
      <c r="J374" s="478"/>
      <c r="K374" s="499"/>
      <c r="L374" s="499"/>
      <c r="M374" s="506"/>
      <c r="N374" s="481"/>
      <c r="O374" s="479"/>
      <c r="Q374" s="500"/>
      <c r="U374" s="317"/>
    </row>
    <row r="375" s="2" customFormat="1" ht="20.25" spans="1:21">
      <c r="B375" s="496"/>
      <c r="C375" s="502"/>
      <c r="D375" s="481"/>
      <c r="E375" s="481"/>
      <c r="F375" s="481"/>
      <c r="H375" s="481"/>
      <c r="I375" s="481"/>
      <c r="J375" s="478"/>
      <c r="K375" s="499"/>
      <c r="L375" s="499"/>
      <c r="M375" s="506"/>
      <c r="N375" s="481"/>
      <c r="O375" s="479"/>
      <c r="Q375" s="500"/>
      <c r="U375" s="317"/>
    </row>
    <row r="376" s="2" customFormat="1" ht="20.25" spans="1:21">
      <c r="B376" s="496"/>
      <c r="C376" s="502"/>
      <c r="D376" s="481"/>
      <c r="E376" s="481"/>
      <c r="F376" s="481"/>
      <c r="H376" s="481"/>
      <c r="I376" s="481"/>
      <c r="J376" s="478"/>
      <c r="K376" s="499"/>
      <c r="L376" s="499"/>
      <c r="M376" s="506"/>
      <c r="N376" s="481"/>
      <c r="O376" s="479"/>
      <c r="Q376" s="500"/>
      <c r="U376" s="317"/>
    </row>
    <row r="377" s="2" customFormat="1" ht="20.25" spans="1:21">
      <c r="B377" s="496"/>
      <c r="C377" s="502"/>
      <c r="D377" s="481"/>
      <c r="E377" s="481"/>
      <c r="F377" s="481"/>
      <c r="G377" s="2"/>
      <c r="H377" s="481"/>
      <c r="I377" s="481"/>
      <c r="J377" s="478"/>
      <c r="K377" s="499"/>
      <c r="L377" s="499"/>
      <c r="M377" s="506"/>
      <c r="N377" s="481"/>
      <c r="O377" s="479"/>
      <c r="P377" s="2"/>
      <c r="Q377" s="500"/>
      <c r="U377" s="317"/>
    </row>
    <row r="378" s="473" customFormat="1" ht="19" customHeight="1" spans="1:21">
      <c r="A378" s="473" t="s">
        <v>30</v>
      </c>
      <c r="B378" s="501">
        <v>45527</v>
      </c>
      <c r="C378" s="510" t="s">
        <v>218</v>
      </c>
      <c r="D378" s="494" t="s">
        <v>219</v>
      </c>
      <c r="E378" s="494"/>
      <c r="F378" s="494"/>
      <c r="G378" s="473" t="s">
        <v>220</v>
      </c>
      <c r="H378" s="494">
        <v>1</v>
      </c>
      <c r="I378" s="494">
        <v>18</v>
      </c>
      <c r="J378" s="488">
        <f>H378*I378</f>
        <v>18</v>
      </c>
      <c r="K378" s="511"/>
      <c r="L378" s="491">
        <f>J378*K378</f>
        <v>0</v>
      </c>
      <c r="M378" s="581">
        <f>SUM(L378:L381)</f>
        <v>0</v>
      </c>
      <c r="N378" s="485"/>
      <c r="O378" s="489"/>
      <c r="P378" s="513"/>
      <c r="Q378" s="513"/>
    </row>
    <row r="379" s="473" customFormat="1" ht="19" customHeight="1" spans="1:21">
      <c r="A379" s="473" t="s">
        <v>30</v>
      </c>
      <c r="B379" s="501">
        <v>45527</v>
      </c>
      <c r="C379" s="510" t="s">
        <v>218</v>
      </c>
      <c r="D379" s="494">
        <v>201208</v>
      </c>
      <c r="E379" s="494"/>
      <c r="F379" s="494"/>
      <c r="G379" s="473" t="s">
        <v>221</v>
      </c>
      <c r="H379" s="494">
        <v>1</v>
      </c>
      <c r="I379" s="494">
        <v>21</v>
      </c>
      <c r="J379" s="488">
        <f>H379*I379</f>
        <v>21</v>
      </c>
      <c r="K379" s="511"/>
      <c r="L379" s="491">
        <f>J379*K379</f>
        <v>0</v>
      </c>
      <c r="M379" s="581"/>
      <c r="N379" s="485"/>
      <c r="O379" s="489"/>
      <c r="P379" s="513"/>
      <c r="Q379" s="513"/>
    </row>
    <row r="380" s="473" customFormat="1" ht="19" customHeight="1" spans="1:21">
      <c r="A380" s="473" t="s">
        <v>30</v>
      </c>
      <c r="B380" s="501">
        <v>45527</v>
      </c>
      <c r="C380" s="510" t="s">
        <v>218</v>
      </c>
      <c r="D380" s="494">
        <v>201208</v>
      </c>
      <c r="E380" s="494"/>
      <c r="F380" s="494"/>
      <c r="G380" s="473" t="s">
        <v>222</v>
      </c>
      <c r="H380" s="494">
        <v>2</v>
      </c>
      <c r="I380" s="494">
        <v>23</v>
      </c>
      <c r="J380" s="488">
        <f>H380*I380</f>
        <v>46</v>
      </c>
      <c r="K380" s="511"/>
      <c r="L380" s="491">
        <f>J380*K380</f>
        <v>0</v>
      </c>
      <c r="M380" s="581"/>
      <c r="N380" s="485"/>
      <c r="O380" s="489"/>
      <c r="P380" s="513"/>
      <c r="Q380" s="513"/>
    </row>
    <row r="381" s="473" customFormat="1" ht="19" customHeight="1" spans="1:21">
      <c r="A381" s="473" t="s">
        <v>30</v>
      </c>
      <c r="B381" s="501">
        <v>45527</v>
      </c>
      <c r="C381" s="510" t="s">
        <v>218</v>
      </c>
      <c r="D381" s="494" t="s">
        <v>223</v>
      </c>
      <c r="E381" s="494"/>
      <c r="F381" s="494"/>
      <c r="G381" s="473" t="s">
        <v>224</v>
      </c>
      <c r="H381" s="494">
        <v>1</v>
      </c>
      <c r="I381" s="494">
        <v>25</v>
      </c>
      <c r="J381" s="488">
        <f>H381*I381</f>
        <v>25</v>
      </c>
      <c r="K381" s="511"/>
      <c r="L381" s="491">
        <f>J381*K381</f>
        <v>0</v>
      </c>
      <c r="M381" s="581"/>
      <c r="N381" s="485"/>
      <c r="O381" s="489"/>
      <c r="P381" s="513"/>
      <c r="Q381" s="513"/>
    </row>
    <row r="382" s="473" customFormat="1" ht="20.25" spans="1:21">
      <c r="B382" s="501"/>
      <c r="C382" s="510"/>
      <c r="D382" s="494"/>
      <c r="E382" s="494"/>
      <c r="F382" s="494"/>
      <c r="G382" s="643"/>
      <c r="H382" s="494"/>
      <c r="I382" s="494"/>
      <c r="J382" s="488"/>
      <c r="K382" s="511"/>
      <c r="L382" s="511"/>
      <c r="M382" s="485"/>
      <c r="N382" s="494"/>
      <c r="O382" s="489"/>
      <c r="P382" s="513"/>
      <c r="Q382" s="513"/>
    </row>
    <row r="383" s="473" customFormat="1" ht="20.25" spans="1:21">
      <c r="B383" s="501"/>
      <c r="C383" s="510"/>
      <c r="D383" s="494"/>
      <c r="E383" s="494"/>
      <c r="F383" s="494"/>
      <c r="G383" s="643"/>
      <c r="H383" s="494"/>
      <c r="I383" s="494"/>
      <c r="J383" s="488"/>
      <c r="K383" s="511"/>
      <c r="L383" s="511"/>
      <c r="M383" s="485"/>
      <c r="N383" s="494"/>
      <c r="O383" s="489"/>
      <c r="P383" s="513"/>
      <c r="Q383" s="513"/>
    </row>
    <row r="384" s="473" customFormat="1" ht="20.25" spans="1:21">
      <c r="B384" s="501"/>
      <c r="C384" s="510"/>
      <c r="D384" s="494"/>
      <c r="E384" s="494"/>
      <c r="F384" s="494"/>
      <c r="G384" s="643"/>
      <c r="H384" s="494"/>
      <c r="I384" s="494"/>
      <c r="J384" s="488"/>
      <c r="K384" s="511"/>
      <c r="L384" s="511"/>
      <c r="M384" s="485"/>
      <c r="N384" s="494"/>
      <c r="O384" s="489"/>
      <c r="P384" s="513"/>
      <c r="Q384" s="513"/>
    </row>
    <row r="385" s="473" customFormat="1" ht="20.25" spans="2:17">
      <c r="B385" s="501"/>
      <c r="C385" s="510"/>
      <c r="D385" s="494"/>
      <c r="E385" s="494"/>
      <c r="F385" s="494"/>
      <c r="G385" s="643"/>
      <c r="H385" s="494"/>
      <c r="I385" s="494"/>
      <c r="J385" s="488"/>
      <c r="K385" s="511"/>
      <c r="L385" s="511"/>
      <c r="M385" s="485"/>
      <c r="N385" s="494"/>
      <c r="O385" s="489"/>
      <c r="P385" s="513"/>
      <c r="Q385" s="513"/>
    </row>
    <row r="386" s="473" customFormat="1" ht="20.25" spans="2:17">
      <c r="B386" s="501"/>
      <c r="C386" s="510"/>
      <c r="D386" s="494"/>
      <c r="E386" s="494"/>
      <c r="F386" s="494"/>
      <c r="G386" s="643"/>
      <c r="H386" s="494"/>
      <c r="I386" s="494"/>
      <c r="J386" s="488"/>
      <c r="K386" s="511"/>
      <c r="L386" s="511"/>
      <c r="M386" s="485"/>
      <c r="N386" s="494"/>
      <c r="O386" s="489"/>
      <c r="P386" s="513"/>
      <c r="Q386" s="513"/>
    </row>
    <row r="387" s="473" customFormat="1" ht="20.25" spans="2:17">
      <c r="B387" s="501"/>
      <c r="C387" s="510"/>
      <c r="D387" s="494"/>
      <c r="E387" s="494"/>
      <c r="F387" s="494"/>
      <c r="G387" s="643"/>
      <c r="H387" s="494"/>
      <c r="I387" s="494"/>
      <c r="J387" s="488"/>
      <c r="K387" s="511"/>
      <c r="L387" s="511"/>
      <c r="M387" s="485"/>
      <c r="N387" s="494"/>
      <c r="O387" s="489"/>
      <c r="P387" s="513"/>
      <c r="Q387" s="513"/>
    </row>
    <row r="388" s="473" customFormat="1" ht="20.25" spans="2:17">
      <c r="B388" s="501"/>
      <c r="C388" s="510"/>
      <c r="D388" s="494"/>
      <c r="E388" s="494"/>
      <c r="F388" s="494"/>
      <c r="G388" s="643"/>
      <c r="H388" s="494"/>
      <c r="I388" s="494"/>
      <c r="J388" s="488"/>
      <c r="K388" s="511"/>
      <c r="L388" s="511"/>
      <c r="M388" s="485"/>
      <c r="N388" s="494"/>
      <c r="O388" s="489"/>
      <c r="P388" s="513"/>
      <c r="Q388" s="513"/>
    </row>
    <row r="389" s="473" customFormat="1" ht="20.25" spans="2:17">
      <c r="B389" s="501"/>
      <c r="C389" s="510"/>
      <c r="D389" s="494"/>
      <c r="E389" s="494"/>
      <c r="F389" s="494"/>
      <c r="G389" s="643"/>
      <c r="H389" s="494"/>
      <c r="I389" s="494"/>
      <c r="J389" s="488"/>
      <c r="K389" s="511"/>
      <c r="L389" s="511"/>
      <c r="M389" s="485"/>
      <c r="N389" s="494"/>
      <c r="O389" s="489"/>
      <c r="P389" s="513"/>
      <c r="Q389" s="513"/>
    </row>
    <row r="390" s="473" customFormat="1" ht="20.25" spans="2:17">
      <c r="B390" s="501"/>
      <c r="C390" s="510"/>
      <c r="D390" s="494"/>
      <c r="E390" s="494"/>
      <c r="F390" s="494"/>
      <c r="G390" s="643"/>
      <c r="H390" s="494"/>
      <c r="I390" s="494"/>
      <c r="J390" s="488"/>
      <c r="K390" s="511"/>
      <c r="L390" s="511"/>
      <c r="M390" s="485"/>
      <c r="N390" s="494"/>
      <c r="O390" s="489"/>
      <c r="P390" s="513"/>
      <c r="Q390" s="513"/>
    </row>
    <row r="391" s="473" customFormat="1" ht="20.25" spans="2:17">
      <c r="B391" s="501"/>
      <c r="C391" s="510"/>
      <c r="D391" s="494"/>
      <c r="E391" s="494"/>
      <c r="F391" s="494"/>
      <c r="G391" s="643"/>
      <c r="H391" s="494"/>
      <c r="I391" s="494"/>
      <c r="J391" s="488"/>
      <c r="K391" s="511"/>
      <c r="L391" s="511"/>
      <c r="M391" s="485"/>
      <c r="N391" s="494"/>
      <c r="O391" s="489"/>
      <c r="P391" s="513"/>
      <c r="Q391" s="513"/>
    </row>
    <row r="392" s="473" customFormat="1" ht="20.25" spans="2:17">
      <c r="B392" s="501"/>
      <c r="C392" s="510"/>
      <c r="D392" s="494"/>
      <c r="E392" s="494"/>
      <c r="F392" s="494"/>
      <c r="G392" s="643"/>
      <c r="H392" s="494"/>
      <c r="I392" s="494"/>
      <c r="J392" s="488"/>
      <c r="K392" s="511"/>
      <c r="L392" s="511"/>
      <c r="M392" s="485"/>
      <c r="N392" s="494"/>
      <c r="O392" s="489"/>
      <c r="P392" s="513"/>
      <c r="Q392" s="513"/>
    </row>
    <row r="393" s="473" customFormat="1" ht="20.25" spans="2:17">
      <c r="B393" s="501"/>
      <c r="C393" s="510"/>
      <c r="D393" s="494"/>
      <c r="E393" s="494"/>
      <c r="F393" s="494"/>
      <c r="G393" s="643"/>
      <c r="H393" s="494"/>
      <c r="I393" s="494"/>
      <c r="J393" s="488"/>
      <c r="K393" s="511"/>
      <c r="L393" s="511"/>
      <c r="M393" s="485"/>
      <c r="N393" s="494"/>
      <c r="O393" s="489"/>
      <c r="P393" s="513"/>
      <c r="Q393" s="513"/>
    </row>
    <row r="394" s="473" customFormat="1" ht="20.25" spans="2:17">
      <c r="B394" s="501"/>
      <c r="C394" s="510"/>
      <c r="D394" s="494"/>
      <c r="E394" s="494"/>
      <c r="F394" s="494"/>
      <c r="G394" s="643"/>
      <c r="H394" s="494"/>
      <c r="I394" s="494"/>
      <c r="J394" s="488"/>
      <c r="K394" s="511"/>
      <c r="L394" s="511"/>
      <c r="M394" s="485"/>
      <c r="N394" s="494"/>
      <c r="O394" s="489"/>
      <c r="P394" s="513"/>
      <c r="Q394" s="513"/>
    </row>
    <row r="395" s="473" customFormat="1" ht="20.25" spans="2:17">
      <c r="B395" s="501"/>
      <c r="C395" s="510"/>
      <c r="D395" s="494"/>
      <c r="E395" s="494"/>
      <c r="F395" s="494"/>
      <c r="G395" s="643"/>
      <c r="H395" s="494"/>
      <c r="I395" s="494"/>
      <c r="J395" s="488"/>
      <c r="K395" s="511"/>
      <c r="L395" s="511"/>
      <c r="M395" s="485"/>
      <c r="N395" s="494"/>
      <c r="O395" s="489"/>
      <c r="P395" s="513"/>
      <c r="Q395" s="513"/>
    </row>
    <row r="396" s="473" customFormat="1" ht="19" customHeight="1" spans="2:17">
      <c r="B396" s="501"/>
      <c r="C396" s="510"/>
      <c r="D396" s="494"/>
      <c r="E396" s="494"/>
      <c r="F396" s="494"/>
      <c r="H396" s="494"/>
      <c r="I396" s="494"/>
      <c r="J396" s="488"/>
      <c r="K396" s="511"/>
      <c r="L396" s="491"/>
      <c r="M396" s="581" t="s">
        <v>225</v>
      </c>
      <c r="N396" s="485"/>
      <c r="O396" s="489"/>
      <c r="P396" s="513"/>
      <c r="Q396" s="513"/>
    </row>
    <row r="397" s="473" customFormat="1" ht="19" customHeight="1" spans="2:17">
      <c r="B397" s="501"/>
      <c r="C397" s="510"/>
      <c r="D397" s="494"/>
      <c r="E397" s="494"/>
      <c r="F397" s="494"/>
      <c r="H397" s="494"/>
      <c r="I397" s="494"/>
      <c r="J397" s="488"/>
      <c r="K397" s="511"/>
      <c r="L397" s="491"/>
      <c r="M397" s="581"/>
      <c r="N397" s="485"/>
      <c r="O397" s="489"/>
      <c r="P397" s="513"/>
      <c r="Q397" s="513"/>
    </row>
    <row r="398" s="473" customFormat="1" ht="19" customHeight="1" spans="2:17">
      <c r="B398" s="501"/>
      <c r="C398" s="510"/>
      <c r="D398" s="494"/>
      <c r="E398" s="494"/>
      <c r="F398" s="494"/>
      <c r="H398" s="494"/>
      <c r="I398" s="494"/>
      <c r="J398" s="488"/>
      <c r="K398" s="511"/>
      <c r="L398" s="491"/>
      <c r="M398" s="581"/>
      <c r="N398" s="485"/>
      <c r="O398" s="489"/>
      <c r="P398" s="513"/>
      <c r="Q398" s="513"/>
    </row>
    <row r="399" s="473" customFormat="1" ht="19" customHeight="1" spans="2:17">
      <c r="B399" s="501"/>
      <c r="C399" s="510"/>
      <c r="D399" s="494"/>
      <c r="E399" s="494"/>
      <c r="F399" s="494"/>
      <c r="H399" s="494"/>
      <c r="I399" s="494"/>
      <c r="J399" s="488"/>
      <c r="K399" s="511"/>
      <c r="L399" s="491"/>
      <c r="M399" s="581"/>
      <c r="N399" s="485"/>
      <c r="O399" s="489"/>
      <c r="P399" s="513"/>
      <c r="Q399" s="513"/>
    </row>
    <row r="400" s="473" customFormat="1" ht="19" customHeight="1" spans="2:17">
      <c r="B400" s="501"/>
      <c r="C400" s="510"/>
      <c r="D400" s="494"/>
      <c r="E400" s="494"/>
      <c r="F400" s="494"/>
      <c r="H400" s="494"/>
      <c r="I400" s="494"/>
      <c r="J400" s="488"/>
      <c r="K400" s="511"/>
      <c r="L400" s="491"/>
      <c r="M400" s="581"/>
      <c r="N400" s="485"/>
      <c r="O400" s="489"/>
      <c r="P400" s="513"/>
      <c r="Q400" s="513"/>
    </row>
    <row r="401" s="473" customFormat="1" ht="19" customHeight="1" spans="1:17">
      <c r="A401" s="473" t="s">
        <v>30</v>
      </c>
      <c r="B401" s="501">
        <v>45527</v>
      </c>
      <c r="C401" s="510" t="s">
        <v>226</v>
      </c>
      <c r="D401" s="494" t="s">
        <v>227</v>
      </c>
      <c r="E401" s="494"/>
      <c r="F401" s="494"/>
      <c r="G401" s="473" t="s">
        <v>228</v>
      </c>
      <c r="H401" s="494">
        <v>1</v>
      </c>
      <c r="I401" s="494">
        <v>20</v>
      </c>
      <c r="J401" s="488">
        <f>H401*I401</f>
        <v>20</v>
      </c>
      <c r="K401" s="511" t="s">
        <v>229</v>
      </c>
      <c r="L401" s="491"/>
      <c r="M401" s="581"/>
      <c r="N401" s="485"/>
      <c r="O401" s="489" t="s">
        <v>37</v>
      </c>
      <c r="P401" s="513"/>
      <c r="Q401" s="513"/>
    </row>
    <row r="402" s="473" customFormat="1" ht="19" customHeight="1" spans="1:17">
      <c r="A402" s="473" t="s">
        <v>55</v>
      </c>
      <c r="B402" s="501">
        <v>45812</v>
      </c>
      <c r="C402" s="510"/>
      <c r="D402" s="494" t="s">
        <v>230</v>
      </c>
      <c r="E402" s="494"/>
      <c r="F402" s="494"/>
      <c r="G402" s="473" t="s">
        <v>191</v>
      </c>
      <c r="H402" s="494">
        <v>1</v>
      </c>
      <c r="I402" s="494">
        <v>5</v>
      </c>
      <c r="J402" s="488">
        <f>H402*I402</f>
        <v>5</v>
      </c>
      <c r="K402" s="511">
        <v>25</v>
      </c>
      <c r="L402" s="491">
        <f>J402*K402</f>
        <v>125</v>
      </c>
      <c r="M402" s="581"/>
      <c r="N402" s="485"/>
      <c r="O402" s="489"/>
      <c r="P402" s="513"/>
      <c r="Q402" s="513"/>
    </row>
    <row r="403" s="473" customFormat="1" ht="19" customHeight="1" spans="1:17">
      <c r="B403" s="501"/>
      <c r="C403" s="510"/>
      <c r="D403" s="494"/>
      <c r="E403" s="494"/>
      <c r="F403" s="494"/>
      <c r="H403" s="494"/>
      <c r="I403" s="494"/>
      <c r="J403" s="488"/>
      <c r="K403" s="511"/>
      <c r="L403" s="491"/>
      <c r="M403" s="581"/>
      <c r="N403" s="485"/>
      <c r="O403" s="489"/>
      <c r="P403" s="513"/>
      <c r="Q403" s="513"/>
    </row>
    <row r="404" s="473" customFormat="1" ht="19" customHeight="1" spans="1:17">
      <c r="B404" s="501"/>
      <c r="C404" s="510"/>
      <c r="D404" s="494"/>
      <c r="E404" s="494"/>
      <c r="F404" s="494"/>
      <c r="H404" s="494"/>
      <c r="I404" s="494"/>
      <c r="J404" s="488"/>
      <c r="K404" s="511"/>
      <c r="L404" s="491"/>
      <c r="M404" s="581"/>
      <c r="N404" s="485"/>
      <c r="O404" s="489"/>
      <c r="P404" s="513"/>
      <c r="Q404" s="513"/>
    </row>
    <row r="405" s="473" customFormat="1" ht="20.25" spans="1:17">
      <c r="A405" s="474"/>
      <c r="B405" s="520"/>
      <c r="C405" s="521"/>
      <c r="D405" s="493"/>
      <c r="E405" s="493"/>
      <c r="F405" s="493"/>
      <c r="G405" s="492"/>
      <c r="H405" s="493"/>
      <c r="I405" s="493"/>
      <c r="J405" s="493"/>
      <c r="K405" s="644"/>
      <c r="L405" s="523"/>
      <c r="M405" s="485"/>
      <c r="N405" s="485"/>
      <c r="O405" s="485"/>
      <c r="P405" s="489"/>
      <c r="Q405" s="513"/>
    </row>
    <row r="406" s="473" customFormat="1" ht="20.25" spans="1:17">
      <c r="A406" s="474"/>
      <c r="B406" s="520"/>
      <c r="C406" s="521"/>
      <c r="D406" s="493"/>
      <c r="E406" s="493"/>
      <c r="F406" s="493"/>
      <c r="G406" s="492"/>
      <c r="H406" s="493"/>
      <c r="I406" s="493"/>
      <c r="J406" s="493"/>
      <c r="K406" s="644"/>
      <c r="L406" s="523"/>
      <c r="M406" s="485"/>
      <c r="N406" s="485"/>
      <c r="O406" s="485"/>
      <c r="P406" s="489"/>
      <c r="Q406" s="513"/>
    </row>
    <row r="407" s="473" customFormat="1" ht="20.25" spans="1:17">
      <c r="A407" s="474"/>
      <c r="B407" s="520"/>
      <c r="C407" s="521"/>
      <c r="D407" s="493"/>
      <c r="E407" s="493"/>
      <c r="F407" s="493"/>
      <c r="G407" s="492"/>
      <c r="H407" s="493"/>
      <c r="I407" s="493"/>
      <c r="J407" s="493"/>
      <c r="K407" s="644"/>
      <c r="L407" s="523"/>
      <c r="M407" s="485"/>
      <c r="N407" s="485"/>
      <c r="O407" s="485"/>
      <c r="P407" s="489"/>
      <c r="Q407" s="513"/>
    </row>
    <row r="408" s="473" customFormat="1" ht="20.25" spans="1:17">
      <c r="A408" s="474"/>
      <c r="B408" s="520"/>
      <c r="C408" s="521"/>
      <c r="D408" s="493"/>
      <c r="E408" s="493"/>
      <c r="F408" s="493"/>
      <c r="G408" s="492"/>
      <c r="H408" s="493"/>
      <c r="I408" s="493"/>
      <c r="J408" s="493"/>
      <c r="K408" s="644"/>
      <c r="L408" s="523"/>
      <c r="M408" s="485"/>
      <c r="N408" s="485"/>
      <c r="O408" s="485"/>
      <c r="P408" s="489"/>
      <c r="Q408" s="513"/>
    </row>
    <row r="409" s="473" customFormat="1" ht="20.25" spans="1:17">
      <c r="A409" s="474"/>
      <c r="B409" s="520"/>
      <c r="C409" s="521"/>
      <c r="D409" s="493"/>
      <c r="E409" s="493"/>
      <c r="F409" s="493"/>
      <c r="G409" s="492"/>
      <c r="H409" s="493"/>
      <c r="I409" s="493"/>
      <c r="J409" s="493"/>
      <c r="K409" s="644"/>
      <c r="L409" s="523"/>
      <c r="M409" s="485"/>
      <c r="N409" s="485"/>
      <c r="O409" s="485"/>
      <c r="P409" s="489"/>
      <c r="Q409" s="513"/>
    </row>
    <row r="410" s="2" customFormat="1" ht="20.25" spans="1:17">
      <c r="A410" s="2" t="s">
        <v>55</v>
      </c>
      <c r="B410" s="496"/>
      <c r="C410" s="502"/>
      <c r="D410" s="478" t="s">
        <v>141</v>
      </c>
      <c r="E410" s="478"/>
      <c r="F410" s="478"/>
      <c r="G410" s="471" t="s">
        <v>231</v>
      </c>
      <c r="H410" s="478"/>
      <c r="I410" s="478"/>
      <c r="J410" s="478"/>
      <c r="K410" s="482"/>
      <c r="L410" s="482"/>
      <c r="M410" s="475"/>
      <c r="N410" s="475"/>
      <c r="O410" s="475"/>
      <c r="P410" s="479"/>
      <c r="Q410" s="500"/>
    </row>
  </sheetData>
  <autoFilter xmlns:etc="http://www.wps.cn/officeDocument/2017/etCustomData" ref="A2:Q396" etc:filterBottomFollowUsedRange="0">
    <extLst/>
  </autoFilter>
  <mergeCells count="385">
    <mergeCell ref="A1:L1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M190:R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400:F400"/>
    <mergeCell ref="D401:F401"/>
    <mergeCell ref="D402:F402"/>
    <mergeCell ref="D403:F403"/>
    <mergeCell ref="D404:F404"/>
    <mergeCell ref="D410:F410"/>
    <mergeCell ref="N274:N275"/>
  </mergeCells>
  <pageMargins left="0.751388888888889" right="0.751388888888889" top="1" bottom="1" header="0.5" footer="0.5"/>
  <pageSetup paperSize="9" scale="11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S45"/>
  <sheetViews>
    <sheetView tabSelected="1" workbookViewId="0">
      <selection activeCell="A4" sqref="A4:I7"/>
    </sheetView>
  </sheetViews>
  <sheetFormatPr defaultColWidth="9" defaultRowHeight="14.25"/>
  <cols>
    <col min="1" max="1" width="3.50833333333333" customWidth="1"/>
    <col min="2" max="2" width="2.25833333333333" customWidth="1"/>
    <col min="3" max="3" width="15.75" customWidth="1"/>
    <col min="4" max="4" width="25.25" customWidth="1"/>
    <col min="5" max="5" width="11.625" customWidth="1"/>
    <col min="6" max="6" width="12" customWidth="1"/>
    <col min="7" max="7" width="11.7583333333333" customWidth="1"/>
    <col min="8" max="8" width="12.375" customWidth="1"/>
    <col min="9" max="10" width="17.375" customWidth="1"/>
    <col min="11" max="11" width="7.5" customWidth="1"/>
    <col min="12" max="12" width="4.375" customWidth="1"/>
  </cols>
  <sheetData>
    <row r="1" ht="34" customHeight="1" spans="1:19">
      <c r="A1" s="529" t="s">
        <v>232</v>
      </c>
      <c r="B1" s="529"/>
      <c r="C1" s="529"/>
      <c r="D1" s="529"/>
      <c r="E1" s="529"/>
      <c r="F1" s="529"/>
      <c r="G1" s="529"/>
      <c r="H1" s="529"/>
      <c r="I1" s="529"/>
      <c r="J1" s="529"/>
      <c r="K1" s="530"/>
      <c r="L1" s="530"/>
      <c r="M1" s="2" t="s">
        <v>233</v>
      </c>
    </row>
    <row r="2" s="2" customFormat="1" ht="38" customHeight="1" spans="1:19">
      <c r="A2" s="531" t="s">
        <v>234</v>
      </c>
      <c r="B2" s="531"/>
      <c r="C2" s="531"/>
      <c r="D2" s="531"/>
      <c r="E2" s="531"/>
      <c r="F2" s="531"/>
      <c r="G2" s="531"/>
      <c r="H2" s="531"/>
      <c r="I2" s="531"/>
      <c r="J2" s="531"/>
      <c r="K2" s="481"/>
      <c r="L2" s="481"/>
      <c r="M2" s="2" t="s">
        <v>235</v>
      </c>
      <c r="P2"/>
      <c r="S2" s="2" t="s">
        <v>236</v>
      </c>
    </row>
    <row r="3" s="2" customFormat="1" ht="26" customHeight="1" spans="1:19">
      <c r="A3" s="532" t="s">
        <v>237</v>
      </c>
      <c r="B3" s="532"/>
      <c r="C3" s="532"/>
      <c r="D3" s="532" t="s">
        <v>238</v>
      </c>
      <c r="E3" s="532" t="s">
        <v>239</v>
      </c>
      <c r="F3" s="532" t="s">
        <v>240</v>
      </c>
      <c r="G3" s="532" t="s">
        <v>241</v>
      </c>
      <c r="H3" s="532" t="s">
        <v>242</v>
      </c>
      <c r="I3" s="532" t="s">
        <v>243</v>
      </c>
      <c r="J3" s="532" t="s">
        <v>244</v>
      </c>
      <c r="K3" s="481"/>
      <c r="L3" s="481"/>
      <c r="P3"/>
    </row>
    <row r="4" s="2" customFormat="1" ht="24" customHeight="1" spans="1:19">
      <c r="A4" s="533" t="s">
        <v>162</v>
      </c>
      <c r="B4" s="494"/>
      <c r="C4" s="494"/>
      <c r="D4" s="473" t="s">
        <v>163</v>
      </c>
      <c r="E4" s="494">
        <v>2</v>
      </c>
      <c r="F4" s="494">
        <v>25</v>
      </c>
      <c r="G4" s="488">
        <f t="shared" ref="G4:G7" si="0">E4*F4</f>
        <v>50</v>
      </c>
      <c r="H4" s="511">
        <v>17</v>
      </c>
      <c r="I4" s="491">
        <f t="shared" ref="I4:I7" si="1">G4*H4</f>
        <v>850</v>
      </c>
      <c r="J4" s="267"/>
      <c r="K4" s="481"/>
      <c r="L4" s="481"/>
      <c r="M4" s="2" t="s">
        <v>245</v>
      </c>
      <c r="P4"/>
    </row>
    <row r="5" s="2" customFormat="1" ht="24" customHeight="1" spans="1:19">
      <c r="A5" s="533"/>
      <c r="B5" s="494"/>
      <c r="C5" s="494"/>
      <c r="D5" s="473" t="s">
        <v>51</v>
      </c>
      <c r="E5" s="494">
        <v>2</v>
      </c>
      <c r="F5" s="494">
        <v>20</v>
      </c>
      <c r="G5" s="488">
        <f t="shared" si="0"/>
        <v>40</v>
      </c>
      <c r="H5" s="491">
        <v>17</v>
      </c>
      <c r="I5" s="491">
        <f t="shared" si="1"/>
        <v>680</v>
      </c>
      <c r="J5" s="267"/>
      <c r="K5" s="481"/>
      <c r="L5" s="481"/>
      <c r="M5" s="2" t="s">
        <v>246</v>
      </c>
      <c r="P5"/>
      <c r="S5" s="2" t="s">
        <v>247</v>
      </c>
    </row>
    <row r="6" s="2" customFormat="1" ht="24" customHeight="1" spans="1:19">
      <c r="A6" s="533" t="s">
        <v>119</v>
      </c>
      <c r="B6" s="494"/>
      <c r="C6" s="494"/>
      <c r="D6" s="473" t="s">
        <v>120</v>
      </c>
      <c r="E6" s="494">
        <v>1</v>
      </c>
      <c r="F6" s="494">
        <v>26</v>
      </c>
      <c r="G6" s="488">
        <f t="shared" si="0"/>
        <v>26</v>
      </c>
      <c r="H6" s="491">
        <v>17</v>
      </c>
      <c r="I6" s="491">
        <f t="shared" si="1"/>
        <v>442</v>
      </c>
      <c r="J6" s="534"/>
      <c r="K6" s="481"/>
      <c r="L6" s="481"/>
      <c r="P6"/>
    </row>
    <row r="7" s="2" customFormat="1" ht="24" customHeight="1" spans="1:19">
      <c r="A7" s="494"/>
      <c r="B7" s="494"/>
      <c r="C7" s="494"/>
      <c r="D7" s="473" t="s">
        <v>10</v>
      </c>
      <c r="E7" s="494">
        <v>3</v>
      </c>
      <c r="F7" s="494">
        <v>20</v>
      </c>
      <c r="G7" s="488">
        <f t="shared" si="0"/>
        <v>60</v>
      </c>
      <c r="H7" s="511">
        <v>17</v>
      </c>
      <c r="I7" s="491">
        <f t="shared" si="1"/>
        <v>1020</v>
      </c>
      <c r="J7" s="535"/>
      <c r="K7" s="481"/>
      <c r="L7" s="481"/>
      <c r="P7"/>
      <c r="S7" s="2" t="s">
        <v>248</v>
      </c>
    </row>
    <row r="8" s="2" customFormat="1" ht="24" customHeight="1" spans="1:19">
      <c r="A8" s="536"/>
      <c r="B8" s="536"/>
      <c r="C8" s="536"/>
      <c r="D8" s="270"/>
      <c r="E8" s="536"/>
      <c r="F8" s="536"/>
      <c r="G8" s="536"/>
      <c r="H8" s="537"/>
      <c r="I8" s="537"/>
      <c r="J8" s="535"/>
      <c r="K8" s="481"/>
      <c r="L8" s="481"/>
      <c r="P8"/>
    </row>
    <row r="9" s="2" customFormat="1" ht="24" customHeight="1" spans="1:19">
      <c r="A9" s="538"/>
      <c r="B9" s="538"/>
      <c r="C9" s="538"/>
      <c r="D9" s="539"/>
      <c r="E9" s="538"/>
      <c r="F9" s="538"/>
      <c r="G9" s="538"/>
      <c r="H9" s="540"/>
      <c r="I9" s="540"/>
      <c r="J9" s="535"/>
      <c r="K9" s="481"/>
      <c r="L9" s="481"/>
      <c r="P9"/>
    </row>
    <row r="10" s="2" customFormat="1" ht="24" customHeight="1" spans="1:19">
      <c r="A10" s="538"/>
      <c r="B10" s="538"/>
      <c r="C10" s="538"/>
      <c r="D10" s="539"/>
      <c r="E10" s="538"/>
      <c r="F10" s="538"/>
      <c r="G10" s="538"/>
      <c r="H10" s="540"/>
      <c r="I10" s="540"/>
      <c r="J10" s="535"/>
      <c r="K10" s="481"/>
      <c r="L10" s="481"/>
      <c r="P10"/>
    </row>
    <row r="11" s="2" customFormat="1" ht="24" customHeight="1" spans="1:19">
      <c r="A11" s="538"/>
      <c r="B11" s="538"/>
      <c r="C11" s="538"/>
      <c r="D11" s="541"/>
      <c r="E11" s="538"/>
      <c r="F11" s="538"/>
      <c r="G11" s="538"/>
      <c r="H11" s="540"/>
      <c r="I11" s="537"/>
      <c r="J11" s="535"/>
      <c r="K11" s="481"/>
      <c r="L11" s="481"/>
      <c r="P11"/>
    </row>
    <row r="12" s="2" customFormat="1" ht="24" customHeight="1" spans="1:19">
      <c r="A12" s="536"/>
      <c r="B12" s="536"/>
      <c r="C12" s="536"/>
      <c r="D12" s="270"/>
      <c r="E12" s="536"/>
      <c r="F12" s="536"/>
      <c r="G12" s="536"/>
      <c r="H12" s="537"/>
      <c r="I12" s="537"/>
      <c r="J12" s="267"/>
      <c r="K12" s="481"/>
      <c r="L12" s="481"/>
      <c r="P12"/>
    </row>
    <row r="13" s="2" customFormat="1" ht="24" customHeight="1" spans="1:19">
      <c r="A13" s="532" t="s">
        <v>249</v>
      </c>
      <c r="B13" s="532"/>
      <c r="C13" s="532"/>
      <c r="D13" s="532"/>
      <c r="E13" s="532">
        <f>SUM(E4:E12)</f>
        <v>8</v>
      </c>
      <c r="F13" s="532"/>
      <c r="G13" s="532"/>
      <c r="H13" s="542"/>
      <c r="I13" s="542"/>
      <c r="J13" s="535"/>
      <c r="K13" s="481"/>
      <c r="L13" s="481"/>
      <c r="P13"/>
      <c r="S13" s="2" t="s">
        <v>250</v>
      </c>
    </row>
    <row r="14" s="2" customFormat="1" ht="24" customHeight="1" spans="1:19">
      <c r="A14" s="543" t="s">
        <v>251</v>
      </c>
      <c r="B14" s="543"/>
      <c r="C14" s="543"/>
      <c r="D14" s="544">
        <f>I14</f>
        <v>2992</v>
      </c>
      <c r="E14" s="544"/>
      <c r="F14" s="544"/>
      <c r="G14" s="544"/>
      <c r="H14" s="544"/>
      <c r="I14" s="545">
        <f>SUM(I4:I13)</f>
        <v>2992</v>
      </c>
      <c r="J14" s="542"/>
      <c r="K14" s="481"/>
      <c r="L14" s="481"/>
      <c r="M14"/>
      <c r="P14"/>
    </row>
    <row r="15" ht="20" customHeight="1" spans="1:19">
      <c r="A15" s="546" t="s">
        <v>252</v>
      </c>
      <c r="B15" s="547" t="s">
        <v>253</v>
      </c>
      <c r="C15" s="547"/>
      <c r="D15" s="547"/>
      <c r="E15" s="547"/>
      <c r="F15" s="547"/>
      <c r="G15" s="547"/>
      <c r="H15" s="547"/>
      <c r="I15" s="547"/>
      <c r="J15" s="548"/>
      <c r="K15" s="530"/>
      <c r="L15" s="530"/>
      <c r="M15" t="s">
        <v>254</v>
      </c>
    </row>
    <row r="16" ht="20" customHeight="1" spans="1:19">
      <c r="A16" s="549"/>
      <c r="B16" s="550" t="s">
        <v>255</v>
      </c>
      <c r="C16" s="551"/>
      <c r="D16" s="551"/>
      <c r="E16" s="551"/>
      <c r="F16" s="551"/>
      <c r="G16" s="551"/>
      <c r="H16" s="551"/>
      <c r="I16" s="551"/>
      <c r="J16" s="552"/>
      <c r="K16" s="530"/>
      <c r="L16" s="530"/>
      <c r="M16" t="s">
        <v>256</v>
      </c>
    </row>
    <row r="17" ht="20" customHeight="1" spans="1:12">
      <c r="A17" s="549"/>
      <c r="B17" s="553"/>
      <c r="C17" s="551" t="s">
        <v>257</v>
      </c>
      <c r="D17" s="551"/>
      <c r="E17" s="551"/>
      <c r="F17" s="551"/>
      <c r="G17" s="551"/>
      <c r="H17" s="551"/>
      <c r="I17" s="551"/>
      <c r="J17" s="552"/>
      <c r="K17" s="530"/>
      <c r="L17" s="530"/>
    </row>
    <row r="18" ht="20" customHeight="1" spans="1:12">
      <c r="A18" s="554"/>
      <c r="B18" s="555" t="s">
        <v>258</v>
      </c>
      <c r="C18" s="555"/>
      <c r="D18" s="555"/>
      <c r="E18" s="555"/>
      <c r="F18" s="555"/>
      <c r="G18" s="555"/>
      <c r="H18" s="555"/>
      <c r="I18" s="555"/>
      <c r="J18" s="556"/>
      <c r="K18" s="530"/>
      <c r="L18" s="530"/>
    </row>
    <row r="19" ht="20" customHeight="1" spans="1:12">
      <c r="A19" s="557" t="s">
        <v>259</v>
      </c>
      <c r="B19" s="557"/>
      <c r="C19" s="557"/>
      <c r="D19" s="557"/>
      <c r="E19" s="557"/>
      <c r="F19" s="557"/>
      <c r="G19" s="557"/>
      <c r="H19" s="557"/>
      <c r="I19" s="557"/>
      <c r="J19" s="557"/>
      <c r="K19" s="293"/>
      <c r="L19" s="293"/>
    </row>
    <row r="20" ht="20" customHeight="1" spans="1:12">
      <c r="A20" s="557" t="s">
        <v>260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8"/>
      <c r="L20" s="293"/>
    </row>
    <row r="21" ht="23.5" customHeight="1" spans="1:12">
      <c r="A21" s="530"/>
      <c r="B21" s="530"/>
      <c r="C21" s="530"/>
      <c r="D21" s="530"/>
      <c r="E21" s="530"/>
      <c r="F21" s="530"/>
      <c r="G21" s="530"/>
      <c r="H21" s="530"/>
      <c r="I21" s="530"/>
      <c r="J21" s="530"/>
      <c r="K21" s="530"/>
      <c r="L21" s="530"/>
    </row>
    <row r="22" ht="23.5" customHeight="1" spans="1:12">
      <c r="A22" s="530"/>
      <c r="B22" s="530"/>
      <c r="C22" s="530"/>
      <c r="D22" s="530"/>
      <c r="E22" s="530"/>
      <c r="F22" s="530"/>
      <c r="G22" s="530"/>
      <c r="H22" s="530"/>
      <c r="I22" s="530"/>
      <c r="J22" s="530"/>
      <c r="K22" s="530"/>
      <c r="L22" s="530"/>
    </row>
    <row r="27" ht="31.5" spans="1:12">
      <c r="A27" s="559" t="s">
        <v>261</v>
      </c>
      <c r="B27" s="559"/>
      <c r="C27" s="559"/>
      <c r="D27" s="559"/>
      <c r="E27" s="559"/>
      <c r="F27" s="559"/>
      <c r="G27" s="559"/>
      <c r="H27" s="559"/>
      <c r="I27" s="559"/>
      <c r="J27" s="559"/>
    </row>
    <row r="28" ht="20.25" spans="1:12">
      <c r="A28" s="560" t="s">
        <v>262</v>
      </c>
      <c r="B28" s="560"/>
      <c r="C28" s="560"/>
      <c r="D28" s="560"/>
      <c r="E28" s="560"/>
      <c r="F28" s="560"/>
      <c r="G28" s="560"/>
      <c r="H28" s="560"/>
      <c r="I28" s="560"/>
      <c r="J28" s="560"/>
    </row>
    <row r="29" ht="20.25" spans="1:12">
      <c r="A29" s="561" t="s">
        <v>237</v>
      </c>
      <c r="B29" s="561"/>
      <c r="C29" s="561"/>
      <c r="D29" s="561" t="s">
        <v>238</v>
      </c>
      <c r="E29" s="561" t="s">
        <v>239</v>
      </c>
      <c r="F29" s="561" t="s">
        <v>240</v>
      </c>
      <c r="G29" s="561" t="s">
        <v>241</v>
      </c>
      <c r="H29" s="561" t="s">
        <v>242</v>
      </c>
      <c r="I29" s="561" t="s">
        <v>243</v>
      </c>
      <c r="J29" s="561" t="s">
        <v>244</v>
      </c>
    </row>
    <row r="30" ht="20.25" spans="1:12">
      <c r="A30" s="264"/>
      <c r="B30" s="264"/>
      <c r="C30" s="264"/>
      <c r="D30" s="562" t="s">
        <v>263</v>
      </c>
      <c r="E30" s="264">
        <v>2</v>
      </c>
      <c r="F30" s="264">
        <v>22</v>
      </c>
      <c r="G30" s="264">
        <f>E30*F30</f>
        <v>44</v>
      </c>
      <c r="H30" s="563">
        <v>11</v>
      </c>
      <c r="I30" s="563">
        <f>G30*H30</f>
        <v>484</v>
      </c>
      <c r="J30" s="564"/>
    </row>
    <row r="31" ht="20.25" spans="1:12">
      <c r="A31" s="565"/>
      <c r="B31" s="264"/>
      <c r="C31" s="264"/>
      <c r="D31" s="562" t="s">
        <v>264</v>
      </c>
      <c r="E31" s="264">
        <v>2</v>
      </c>
      <c r="F31" s="264">
        <v>20</v>
      </c>
      <c r="G31" s="264">
        <f>E31*F31</f>
        <v>40</v>
      </c>
      <c r="H31" s="563">
        <v>16.5</v>
      </c>
      <c r="I31" s="563">
        <f>G31*H31</f>
        <v>660</v>
      </c>
      <c r="J31" s="566"/>
    </row>
    <row r="32" ht="20.25" spans="1:12">
      <c r="A32" s="565"/>
      <c r="B32" s="264"/>
      <c r="C32" s="264"/>
      <c r="D32" s="562"/>
      <c r="E32" s="264"/>
      <c r="F32" s="264"/>
      <c r="G32" s="264"/>
      <c r="H32" s="563"/>
      <c r="I32" s="563"/>
      <c r="J32" s="567"/>
    </row>
    <row r="33" ht="20.25" spans="1:10">
      <c r="A33" s="264"/>
      <c r="B33" s="264"/>
      <c r="C33" s="264"/>
      <c r="D33" s="562" t="s">
        <v>265</v>
      </c>
      <c r="E33" s="264"/>
      <c r="F33" s="264"/>
      <c r="G33" s="264"/>
      <c r="H33" s="563"/>
      <c r="I33" s="563">
        <v>60</v>
      </c>
      <c r="J33" s="566"/>
    </row>
    <row r="34" ht="20.25" spans="1:10">
      <c r="A34" s="568"/>
      <c r="B34" s="538"/>
      <c r="C34" s="538"/>
      <c r="D34" s="539"/>
      <c r="E34" s="538"/>
      <c r="F34" s="538"/>
      <c r="G34" s="538"/>
      <c r="H34" s="540"/>
      <c r="I34" s="540"/>
      <c r="J34" s="569"/>
    </row>
    <row r="35" ht="20.25" spans="1:10">
      <c r="A35" s="538"/>
      <c r="B35" s="538"/>
      <c r="C35" s="538"/>
      <c r="D35" s="539" t="s">
        <v>266</v>
      </c>
      <c r="E35" s="538"/>
      <c r="F35" s="538"/>
      <c r="G35" s="538"/>
      <c r="H35" s="540"/>
      <c r="I35" s="540"/>
      <c r="J35" s="570"/>
    </row>
    <row r="36" ht="20.25" spans="1:10">
      <c r="A36" s="264"/>
      <c r="B36" s="264"/>
      <c r="C36" s="264"/>
      <c r="D36" s="562"/>
      <c r="E36" s="264"/>
      <c r="F36" s="264"/>
      <c r="G36" s="264"/>
      <c r="H36" s="563"/>
      <c r="I36" s="563"/>
      <c r="J36" s="567"/>
    </row>
    <row r="37" ht="20.25" spans="1:10">
      <c r="A37" s="532" t="s">
        <v>249</v>
      </c>
      <c r="B37" s="532"/>
      <c r="C37" s="532"/>
      <c r="D37" s="532"/>
      <c r="E37" s="532">
        <f>SUM(E30:E36)</f>
        <v>4</v>
      </c>
      <c r="F37" s="532"/>
      <c r="G37" s="532"/>
      <c r="H37" s="542"/>
      <c r="I37" s="542"/>
      <c r="J37" s="567"/>
    </row>
    <row r="38" ht="20.25" spans="1:10">
      <c r="A38" s="543" t="s">
        <v>251</v>
      </c>
      <c r="B38" s="543"/>
      <c r="C38" s="543"/>
      <c r="D38" s="544">
        <f>I38</f>
        <v>1204</v>
      </c>
      <c r="E38" s="544"/>
      <c r="F38" s="544"/>
      <c r="G38" s="544"/>
      <c r="H38" s="544"/>
      <c r="I38" s="571">
        <f>SUM(I30:I37)</f>
        <v>1204</v>
      </c>
      <c r="J38" s="572"/>
    </row>
    <row r="39" ht="18.75" spans="1:10">
      <c r="A39" s="546" t="s">
        <v>252</v>
      </c>
      <c r="B39" s="547" t="s">
        <v>253</v>
      </c>
      <c r="C39" s="547"/>
      <c r="D39" s="547"/>
      <c r="E39" s="547"/>
      <c r="F39" s="547"/>
      <c r="G39" s="547"/>
      <c r="H39" s="547"/>
      <c r="I39" s="547"/>
      <c r="J39" s="548"/>
    </row>
    <row r="40" ht="18.75" spans="1:10">
      <c r="A40" s="549"/>
      <c r="B40" s="550" t="s">
        <v>255</v>
      </c>
      <c r="C40" s="551"/>
      <c r="D40" s="551"/>
      <c r="E40" s="551"/>
      <c r="F40" s="551"/>
      <c r="G40" s="551"/>
      <c r="H40" s="551"/>
      <c r="I40" s="551"/>
      <c r="J40" s="552"/>
    </row>
    <row r="41" ht="18.75" spans="1:10">
      <c r="A41" s="549"/>
      <c r="B41" s="553"/>
      <c r="C41" s="551" t="s">
        <v>257</v>
      </c>
      <c r="D41" s="551"/>
      <c r="E41" s="551"/>
      <c r="F41" s="551"/>
      <c r="G41" s="551"/>
      <c r="H41" s="551"/>
      <c r="I41" s="551"/>
      <c r="J41" s="552"/>
    </row>
    <row r="42" ht="18.75" spans="1:10">
      <c r="A42" s="554"/>
      <c r="B42" s="555" t="s">
        <v>258</v>
      </c>
      <c r="C42" s="555"/>
      <c r="D42" s="555"/>
      <c r="E42" s="555"/>
      <c r="F42" s="555"/>
      <c r="G42" s="555"/>
      <c r="H42" s="555"/>
      <c r="I42" s="555"/>
      <c r="J42" s="556"/>
    </row>
    <row r="43" ht="18.75" spans="1:10">
      <c r="A43" s="557" t="s">
        <v>259</v>
      </c>
      <c r="B43" s="557"/>
      <c r="C43" s="557"/>
      <c r="D43" s="557"/>
      <c r="E43" s="557"/>
      <c r="F43" s="557"/>
      <c r="G43" s="557"/>
      <c r="H43" s="557"/>
      <c r="I43" s="557"/>
      <c r="J43" s="557"/>
    </row>
    <row r="44" ht="18.75" spans="1:10">
      <c r="A44" s="557" t="s">
        <v>260</v>
      </c>
      <c r="B44" s="557"/>
      <c r="C44" s="557"/>
      <c r="D44" s="557"/>
      <c r="E44" s="557"/>
      <c r="F44" s="557"/>
      <c r="G44" s="557"/>
      <c r="H44" s="557"/>
      <c r="I44" s="557"/>
      <c r="J44" s="557"/>
    </row>
    <row r="45" spans="1:10">
      <c r="A45" s="530"/>
      <c r="B45" s="530"/>
      <c r="C45" s="530"/>
      <c r="D45" s="530"/>
      <c r="E45" s="530"/>
      <c r="F45" s="530"/>
      <c r="G45" s="530"/>
      <c r="H45" s="530"/>
      <c r="I45" s="530"/>
      <c r="J45" s="530"/>
    </row>
  </sheetData>
  <mergeCells count="40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H14"/>
    <mergeCell ref="B15:J15"/>
    <mergeCell ref="C17:J17"/>
    <mergeCell ref="B18:J18"/>
    <mergeCell ref="A19:J19"/>
    <mergeCell ref="A20:J20"/>
    <mergeCell ref="A27:J27"/>
    <mergeCell ref="A28:J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D38:H38"/>
    <mergeCell ref="B39:J39"/>
    <mergeCell ref="C41:J41"/>
    <mergeCell ref="B42:J42"/>
    <mergeCell ref="A43:J43"/>
    <mergeCell ref="A44:J44"/>
    <mergeCell ref="A15:A18"/>
    <mergeCell ref="A39:A42"/>
  </mergeCells>
  <printOptions horizontalCentered="1"/>
  <pageMargins left="0.393055555555556" right="0.196527777777778" top="0.196527777777778" bottom="0.393055555555556" header="0.196527777777778" footer="0.393055555555556"/>
  <pageSetup paperSize="9" scale="7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opLeftCell="A17" workbookViewId="0">
      <selection activeCell="A2" sqref="A2:J2"/>
    </sheetView>
  </sheetViews>
  <sheetFormatPr defaultColWidth="9" defaultRowHeight="14.25"/>
  <cols>
    <col min="1" max="1" width="17.75" customWidth="1"/>
    <col min="2" max="2" width="12.625" customWidth="1"/>
    <col min="5" max="5" width="6.5" customWidth="1"/>
    <col min="6" max="6" width="8.375" hidden="1" customWidth="1"/>
    <col min="7" max="7" width="29.5" customWidth="1"/>
    <col min="11" max="11" width="12.75" customWidth="1"/>
    <col min="12" max="12" width="15.75"/>
    <col min="13" max="13" width="29.5" customWidth="1"/>
    <col min="14" max="14" width="12.875" customWidth="1"/>
    <col min="15" max="15" width="14.625" customWidth="1"/>
    <col min="16" max="16" width="11.375"/>
    <col min="17" max="17" width="9.875"/>
  </cols>
  <sheetData>
    <row r="1" s="471" customFormat="1" ht="20.25" spans="1:17">
      <c r="A1" s="475" t="s">
        <v>267</v>
      </c>
      <c r="B1" s="476">
        <v>45654</v>
      </c>
      <c r="C1" s="477">
        <v>84</v>
      </c>
      <c r="D1" s="476">
        <v>45654</v>
      </c>
      <c r="E1" s="478"/>
      <c r="F1" s="478"/>
      <c r="G1" s="479" t="s">
        <v>268</v>
      </c>
      <c r="H1" s="480">
        <v>1</v>
      </c>
      <c r="I1" s="478">
        <v>15</v>
      </c>
      <c r="J1" s="478">
        <f t="shared" ref="J1:J19" si="0">H1*I1</f>
        <v>15</v>
      </c>
      <c r="K1" s="481">
        <v>7.2</v>
      </c>
      <c r="L1" s="482">
        <f t="shared" ref="L1:L11" si="1">J1*K1</f>
        <v>108</v>
      </c>
      <c r="M1" s="483" t="s">
        <v>269</v>
      </c>
      <c r="N1" s="478"/>
    </row>
    <row r="2" s="471" customFormat="1" ht="20.25" spans="1:17">
      <c r="A2" s="475" t="s">
        <v>267</v>
      </c>
      <c r="B2" s="476">
        <v>45654</v>
      </c>
      <c r="C2" s="477">
        <v>84</v>
      </c>
      <c r="D2" s="476" t="s">
        <v>270</v>
      </c>
      <c r="E2" s="478"/>
      <c r="F2" s="478"/>
      <c r="G2" s="479" t="s">
        <v>84</v>
      </c>
      <c r="H2" s="480">
        <v>1</v>
      </c>
      <c r="I2" s="478">
        <v>10</v>
      </c>
      <c r="J2" s="478">
        <f t="shared" si="0"/>
        <v>10</v>
      </c>
      <c r="K2" s="482">
        <v>13.5</v>
      </c>
      <c r="L2" s="482">
        <f t="shared" si="1"/>
        <v>135</v>
      </c>
      <c r="N2" s="478"/>
      <c r="O2" s="312" t="s">
        <v>271</v>
      </c>
      <c r="P2" s="484">
        <v>11.6</v>
      </c>
    </row>
    <row r="3" s="471" customFormat="1" ht="20.25" spans="1:17">
      <c r="A3" s="475" t="s">
        <v>267</v>
      </c>
      <c r="B3" s="476">
        <v>45654</v>
      </c>
      <c r="C3" s="477">
        <v>84</v>
      </c>
      <c r="D3" s="476" t="s">
        <v>270</v>
      </c>
      <c r="E3" s="478"/>
      <c r="F3" s="478"/>
      <c r="G3" s="479" t="s">
        <v>145</v>
      </c>
      <c r="H3" s="480">
        <v>1</v>
      </c>
      <c r="I3" s="478">
        <v>25</v>
      </c>
      <c r="J3" s="478">
        <f t="shared" si="0"/>
        <v>25</v>
      </c>
      <c r="K3" s="482">
        <v>8.5</v>
      </c>
      <c r="L3" s="482">
        <f t="shared" si="1"/>
        <v>212.5</v>
      </c>
      <c r="N3" s="478">
        <f>SUM(L1:L3)</f>
        <v>455.5</v>
      </c>
      <c r="O3" s="312" t="s">
        <v>271</v>
      </c>
      <c r="P3" s="484">
        <v>7.5</v>
      </c>
    </row>
    <row r="4" s="472" customFormat="1" ht="20.25" spans="1:17">
      <c r="A4" s="485" t="s">
        <v>267</v>
      </c>
      <c r="B4" s="486">
        <v>45663</v>
      </c>
      <c r="C4" s="487">
        <v>21</v>
      </c>
      <c r="D4" s="486">
        <v>45662</v>
      </c>
      <c r="E4" s="488"/>
      <c r="F4" s="488"/>
      <c r="G4" s="489" t="s">
        <v>84</v>
      </c>
      <c r="H4" s="490">
        <v>1</v>
      </c>
      <c r="I4" s="488">
        <v>4</v>
      </c>
      <c r="J4" s="478">
        <f t="shared" si="0"/>
        <v>4</v>
      </c>
      <c r="K4" s="491">
        <v>13.5</v>
      </c>
      <c r="L4" s="491">
        <f t="shared" si="1"/>
        <v>54</v>
      </c>
      <c r="M4" s="492"/>
      <c r="N4" s="493" t="s">
        <v>272</v>
      </c>
      <c r="O4" s="492"/>
    </row>
    <row r="5" s="472" customFormat="1" ht="20.25" spans="1:17">
      <c r="A5" s="485" t="s">
        <v>267</v>
      </c>
      <c r="B5" s="486">
        <v>45663</v>
      </c>
      <c r="C5" s="487">
        <v>21</v>
      </c>
      <c r="D5" s="486">
        <v>45662</v>
      </c>
      <c r="E5" s="488"/>
      <c r="F5" s="488"/>
      <c r="G5" s="489" t="s">
        <v>268</v>
      </c>
      <c r="H5" s="490">
        <v>4</v>
      </c>
      <c r="I5" s="488">
        <v>28</v>
      </c>
      <c r="J5" s="478">
        <f t="shared" si="0"/>
        <v>112</v>
      </c>
      <c r="K5" s="494">
        <v>7.2</v>
      </c>
      <c r="L5" s="491">
        <f t="shared" si="1"/>
        <v>806.4</v>
      </c>
      <c r="M5" s="495" t="s">
        <v>273</v>
      </c>
      <c r="N5" s="488"/>
    </row>
    <row r="6" s="471" customFormat="1" ht="20.25" spans="1:17">
      <c r="A6" s="475" t="s">
        <v>267</v>
      </c>
      <c r="B6" s="496">
        <v>45674</v>
      </c>
      <c r="C6" s="477">
        <v>66</v>
      </c>
      <c r="D6" s="476">
        <v>45665</v>
      </c>
      <c r="E6" s="478"/>
      <c r="F6" s="478"/>
      <c r="G6" s="479" t="s">
        <v>77</v>
      </c>
      <c r="H6" s="480">
        <v>1</v>
      </c>
      <c r="I6" s="478">
        <v>3</v>
      </c>
      <c r="J6" s="478">
        <f t="shared" si="0"/>
        <v>3</v>
      </c>
      <c r="K6" s="481">
        <v>12.5</v>
      </c>
      <c r="L6" s="482">
        <f t="shared" si="1"/>
        <v>37.5</v>
      </c>
      <c r="M6" s="497" t="s">
        <v>274</v>
      </c>
      <c r="N6" s="478"/>
    </row>
    <row r="7" s="2" customFormat="1" ht="19" customHeight="1" spans="1:17">
      <c r="B7" s="496">
        <v>45674</v>
      </c>
      <c r="C7" s="477">
        <v>66</v>
      </c>
      <c r="D7" s="498">
        <v>45674</v>
      </c>
      <c r="E7" s="481"/>
      <c r="F7" s="481"/>
      <c r="G7" s="2" t="s">
        <v>275</v>
      </c>
      <c r="H7" s="481">
        <v>19</v>
      </c>
      <c r="I7" s="481">
        <v>4</v>
      </c>
      <c r="J7" s="478">
        <f t="shared" si="0"/>
        <v>76</v>
      </c>
      <c r="K7" s="499"/>
      <c r="L7" s="482"/>
      <c r="M7" s="478"/>
      <c r="N7" s="499"/>
      <c r="O7" s="482"/>
      <c r="P7" s="500"/>
      <c r="Q7" s="500"/>
    </row>
    <row r="8" s="2" customFormat="1" ht="19" customHeight="1" spans="1:17">
      <c r="B8" s="496">
        <v>45674</v>
      </c>
      <c r="C8" s="477">
        <v>66</v>
      </c>
      <c r="D8" s="498">
        <v>45674</v>
      </c>
      <c r="E8" s="481"/>
      <c r="F8" s="481"/>
      <c r="G8" s="2" t="s">
        <v>84</v>
      </c>
      <c r="H8" s="481">
        <v>15</v>
      </c>
      <c r="I8" s="481">
        <v>4</v>
      </c>
      <c r="J8" s="478">
        <f t="shared" si="0"/>
        <v>60</v>
      </c>
      <c r="K8" s="499"/>
      <c r="L8" s="482"/>
      <c r="M8" s="478"/>
      <c r="N8" s="499"/>
      <c r="O8" s="482"/>
      <c r="P8" s="500"/>
      <c r="Q8" s="500"/>
    </row>
    <row r="9" s="2" customFormat="1" ht="19" customHeight="1" spans="1:17">
      <c r="B9" s="496">
        <v>45674</v>
      </c>
      <c r="C9" s="477">
        <v>66</v>
      </c>
      <c r="D9" s="498">
        <v>45674</v>
      </c>
      <c r="E9" s="481"/>
      <c r="F9" s="481"/>
      <c r="G9" s="2" t="s">
        <v>276</v>
      </c>
      <c r="H9" s="481">
        <v>1</v>
      </c>
      <c r="I9" s="481">
        <v>10</v>
      </c>
      <c r="J9" s="478">
        <f t="shared" si="0"/>
        <v>10</v>
      </c>
      <c r="K9" s="499"/>
      <c r="L9" s="482"/>
      <c r="M9" s="493" t="s">
        <v>277</v>
      </c>
      <c r="N9" s="499"/>
      <c r="O9" s="482"/>
      <c r="P9" s="500"/>
      <c r="Q9" s="500"/>
    </row>
    <row r="10" s="2" customFormat="1" ht="19" customHeight="1" spans="1:17">
      <c r="B10" s="496">
        <v>45674</v>
      </c>
      <c r="C10" s="477">
        <v>66</v>
      </c>
      <c r="D10" s="498">
        <v>45674</v>
      </c>
      <c r="E10" s="481"/>
      <c r="F10" s="481"/>
      <c r="G10" s="2" t="s">
        <v>278</v>
      </c>
      <c r="H10" s="481">
        <v>2</v>
      </c>
      <c r="I10" s="481">
        <v>10</v>
      </c>
      <c r="J10" s="478">
        <f t="shared" si="0"/>
        <v>20</v>
      </c>
      <c r="K10" s="499"/>
      <c r="L10" s="482"/>
      <c r="M10" s="478"/>
      <c r="N10" s="499"/>
      <c r="O10" s="482"/>
      <c r="P10" s="500"/>
      <c r="Q10" s="500"/>
    </row>
    <row r="11" s="2" customFormat="1" ht="19" customHeight="1" spans="1:17">
      <c r="B11" s="496">
        <v>45674</v>
      </c>
      <c r="C11" s="477">
        <v>66</v>
      </c>
      <c r="D11" s="498">
        <v>45674</v>
      </c>
      <c r="E11" s="481"/>
      <c r="F11" s="481"/>
      <c r="G11" s="2" t="s">
        <v>279</v>
      </c>
      <c r="H11" s="481">
        <v>3</v>
      </c>
      <c r="I11" s="481">
        <v>10</v>
      </c>
      <c r="J11" s="478">
        <f t="shared" si="0"/>
        <v>30</v>
      </c>
      <c r="K11" s="499"/>
      <c r="L11" s="482">
        <v>2000</v>
      </c>
      <c r="M11" s="478"/>
      <c r="N11" s="499"/>
      <c r="O11" s="482"/>
      <c r="P11" s="500"/>
      <c r="Q11" s="500"/>
    </row>
    <row r="12" s="472" customFormat="1" ht="20.25" spans="1:17">
      <c r="A12" s="485" t="s">
        <v>267</v>
      </c>
      <c r="B12" s="501">
        <v>45709</v>
      </c>
      <c r="C12" s="487">
        <v>33</v>
      </c>
      <c r="D12" s="486">
        <v>45709</v>
      </c>
      <c r="E12" s="488"/>
      <c r="F12" s="488"/>
      <c r="G12" s="489" t="s">
        <v>77</v>
      </c>
      <c r="H12" s="490">
        <v>1</v>
      </c>
      <c r="I12" s="488">
        <v>3</v>
      </c>
      <c r="J12" s="488">
        <f t="shared" si="0"/>
        <v>3</v>
      </c>
      <c r="K12" s="494">
        <v>12.5</v>
      </c>
      <c r="L12" s="491">
        <f t="shared" ref="L12:L15" si="2">J12*K12</f>
        <v>37.5</v>
      </c>
      <c r="M12" s="495" t="s">
        <v>280</v>
      </c>
      <c r="N12" s="488"/>
    </row>
    <row r="13" s="2" customFormat="1" ht="20.25" spans="1:17">
      <c r="A13" s="475" t="s">
        <v>267</v>
      </c>
      <c r="B13" s="496">
        <v>45719</v>
      </c>
      <c r="C13" s="502">
        <v>7</v>
      </c>
      <c r="D13" s="498">
        <v>45718</v>
      </c>
      <c r="E13" s="481"/>
      <c r="F13" s="481"/>
      <c r="G13" s="503" t="s">
        <v>61</v>
      </c>
      <c r="H13" s="481">
        <v>3</v>
      </c>
      <c r="I13" s="481">
        <v>28</v>
      </c>
      <c r="J13" s="478">
        <f t="shared" si="0"/>
        <v>84</v>
      </c>
      <c r="K13" s="482">
        <v>7</v>
      </c>
      <c r="L13" s="499">
        <f t="shared" si="2"/>
        <v>588</v>
      </c>
      <c r="M13" s="475" t="s">
        <v>281</v>
      </c>
      <c r="N13" s="481"/>
      <c r="O13" s="479"/>
      <c r="P13" s="500"/>
      <c r="Q13" s="500"/>
    </row>
    <row r="14" s="2" customFormat="1" ht="20.25" spans="1:17">
      <c r="A14" s="475" t="s">
        <v>267</v>
      </c>
      <c r="B14" s="496">
        <v>45719</v>
      </c>
      <c r="C14" s="502">
        <v>7</v>
      </c>
      <c r="D14" s="498">
        <v>45719</v>
      </c>
      <c r="E14" s="481"/>
      <c r="F14" s="481"/>
      <c r="G14" s="503" t="s">
        <v>61</v>
      </c>
      <c r="H14" s="481">
        <v>2</v>
      </c>
      <c r="I14" s="481">
        <v>28</v>
      </c>
      <c r="J14" s="478">
        <f t="shared" si="0"/>
        <v>56</v>
      </c>
      <c r="K14" s="482">
        <v>7</v>
      </c>
      <c r="L14" s="499">
        <f t="shared" si="2"/>
        <v>392</v>
      </c>
      <c r="M14" s="475" t="s">
        <v>282</v>
      </c>
      <c r="N14" s="481"/>
      <c r="O14" s="479"/>
      <c r="P14" s="500"/>
      <c r="Q14" s="500"/>
    </row>
    <row r="15" s="472" customFormat="1" ht="20.25" spans="1:17">
      <c r="A15" s="485" t="s">
        <v>267</v>
      </c>
      <c r="B15" s="486">
        <v>45733</v>
      </c>
      <c r="C15" s="487">
        <v>55</v>
      </c>
      <c r="D15" s="486">
        <v>45733</v>
      </c>
      <c r="E15" s="488"/>
      <c r="F15" s="488"/>
      <c r="G15" s="489" t="s">
        <v>283</v>
      </c>
      <c r="H15" s="490">
        <v>3</v>
      </c>
      <c r="I15" s="488">
        <v>22</v>
      </c>
      <c r="J15" s="488">
        <f t="shared" si="0"/>
        <v>66</v>
      </c>
      <c r="K15" s="491">
        <v>9</v>
      </c>
      <c r="L15" s="491">
        <f t="shared" si="2"/>
        <v>594</v>
      </c>
      <c r="M15" s="472" t="s">
        <v>284</v>
      </c>
      <c r="N15" s="489" t="s">
        <v>285</v>
      </c>
      <c r="O15" s="300"/>
      <c r="P15" s="504">
        <v>7.5</v>
      </c>
    </row>
    <row r="16" s="472" customFormat="1" ht="20.25" spans="1:17">
      <c r="A16" s="485"/>
      <c r="B16" s="486"/>
      <c r="C16" s="487"/>
      <c r="D16" s="486"/>
      <c r="E16" s="488"/>
      <c r="F16" s="488"/>
      <c r="G16" s="505" t="s">
        <v>286</v>
      </c>
      <c r="H16" s="490"/>
      <c r="I16" s="488"/>
      <c r="J16" s="488">
        <f t="shared" si="0"/>
        <v>0</v>
      </c>
      <c r="K16" s="491"/>
      <c r="L16" s="491"/>
      <c r="N16" s="489"/>
      <c r="O16" s="300"/>
      <c r="P16" s="504"/>
    </row>
    <row r="17" s="2" customFormat="1" ht="20.25" spans="1:21">
      <c r="A17" s="2" t="s">
        <v>287</v>
      </c>
      <c r="B17" s="496">
        <v>45760</v>
      </c>
      <c r="C17" s="502">
        <v>41</v>
      </c>
      <c r="D17" s="481" t="s">
        <v>288</v>
      </c>
      <c r="E17" s="481"/>
      <c r="F17" s="481"/>
      <c r="G17" s="2" t="s">
        <v>145</v>
      </c>
      <c r="H17" s="481">
        <v>1</v>
      </c>
      <c r="I17" s="481">
        <v>2</v>
      </c>
      <c r="J17" s="478">
        <f t="shared" ref="J17:J34" si="3">H17*I17</f>
        <v>2</v>
      </c>
      <c r="K17" s="499">
        <v>11</v>
      </c>
      <c r="L17" s="499">
        <f t="shared" ref="L17:L34" si="4">J17*K17</f>
        <v>22</v>
      </c>
      <c r="M17" s="506" t="s">
        <v>289</v>
      </c>
      <c r="N17" s="481"/>
      <c r="O17" s="479"/>
      <c r="P17" s="2">
        <f>J17*O17</f>
        <v>0</v>
      </c>
      <c r="Q17" s="500"/>
      <c r="U17" s="317" t="s">
        <v>91</v>
      </c>
    </row>
    <row r="18" s="2" customFormat="1" ht="20.25" spans="1:21">
      <c r="A18" s="2" t="s">
        <v>287</v>
      </c>
      <c r="B18" s="496">
        <v>45760</v>
      </c>
      <c r="C18" s="502">
        <v>41</v>
      </c>
      <c r="D18" s="481" t="s">
        <v>92</v>
      </c>
      <c r="E18" s="481"/>
      <c r="F18" s="481"/>
      <c r="G18" s="2" t="s">
        <v>93</v>
      </c>
      <c r="H18" s="481">
        <v>1</v>
      </c>
      <c r="I18" s="481">
        <v>1</v>
      </c>
      <c r="J18" s="478">
        <f t="shared" si="3"/>
        <v>1</v>
      </c>
      <c r="K18" s="499">
        <v>12.5</v>
      </c>
      <c r="L18" s="499">
        <f t="shared" si="4"/>
        <v>12.5</v>
      </c>
      <c r="M18" s="506" t="s">
        <v>290</v>
      </c>
      <c r="N18" s="481"/>
      <c r="O18" s="479"/>
      <c r="P18" s="2">
        <f>J18*O18</f>
        <v>0</v>
      </c>
      <c r="Q18" s="500"/>
      <c r="U18" s="317" t="s">
        <v>95</v>
      </c>
    </row>
    <row r="19" s="2" customFormat="1" ht="20.25" spans="1:21">
      <c r="A19" s="2" t="s">
        <v>287</v>
      </c>
      <c r="B19" s="496">
        <v>45760</v>
      </c>
      <c r="C19" s="502">
        <v>41</v>
      </c>
      <c r="D19" s="481"/>
      <c r="E19" s="481"/>
      <c r="F19" s="481"/>
      <c r="G19" s="2" t="s">
        <v>291</v>
      </c>
      <c r="H19" s="481">
        <v>1</v>
      </c>
      <c r="I19" s="481">
        <v>1</v>
      </c>
      <c r="J19" s="478">
        <f t="shared" si="3"/>
        <v>1</v>
      </c>
      <c r="K19" s="499">
        <v>5</v>
      </c>
      <c r="L19" s="499">
        <f t="shared" si="4"/>
        <v>5</v>
      </c>
      <c r="M19" s="506"/>
      <c r="O19" s="479"/>
      <c r="Q19" s="500"/>
      <c r="U19" s="317"/>
    </row>
    <row r="20" s="2" customFormat="1" ht="20.25" spans="1:21">
      <c r="A20" s="2" t="s">
        <v>287</v>
      </c>
      <c r="B20" s="496">
        <v>45760</v>
      </c>
      <c r="C20" s="502">
        <v>41</v>
      </c>
      <c r="D20" s="481"/>
      <c r="E20" s="481"/>
      <c r="F20" s="481"/>
      <c r="G20" s="2" t="s">
        <v>291</v>
      </c>
      <c r="H20" s="481">
        <v>1</v>
      </c>
      <c r="I20" s="481">
        <v>1</v>
      </c>
      <c r="J20" s="478">
        <f t="shared" si="3"/>
        <v>1</v>
      </c>
      <c r="K20" s="499">
        <v>3.8</v>
      </c>
      <c r="L20" s="499">
        <f t="shared" si="4"/>
        <v>3.8</v>
      </c>
      <c r="M20" s="507">
        <f>SUM(L17:L20)</f>
        <v>43.3</v>
      </c>
      <c r="N20" s="508" t="s">
        <v>292</v>
      </c>
      <c r="O20" s="479"/>
      <c r="Q20" s="500"/>
      <c r="U20" s="317"/>
    </row>
    <row r="21" s="471" customFormat="1" ht="20.25" spans="1:21">
      <c r="A21" s="2" t="s">
        <v>287</v>
      </c>
      <c r="B21" s="496">
        <v>45760</v>
      </c>
      <c r="C21" s="502">
        <v>41</v>
      </c>
      <c r="D21" s="476">
        <v>45760</v>
      </c>
      <c r="E21" s="478"/>
      <c r="F21" s="478"/>
      <c r="G21" s="479" t="s">
        <v>293</v>
      </c>
      <c r="H21" s="480">
        <v>2</v>
      </c>
      <c r="I21" s="478">
        <v>18</v>
      </c>
      <c r="J21" s="478">
        <f t="shared" si="3"/>
        <v>36</v>
      </c>
      <c r="K21" s="482">
        <v>8</v>
      </c>
      <c r="L21" s="509">
        <f t="shared" si="4"/>
        <v>288</v>
      </c>
      <c r="M21" s="492" t="s">
        <v>294</v>
      </c>
      <c r="N21" s="479"/>
      <c r="O21" s="312"/>
      <c r="P21" s="484"/>
    </row>
    <row r="22" s="473" customFormat="1" ht="20.25" spans="1:21">
      <c r="A22" s="473" t="s">
        <v>267</v>
      </c>
      <c r="B22" s="501">
        <v>45761</v>
      </c>
      <c r="C22" s="510">
        <v>44</v>
      </c>
      <c r="D22" s="494" t="s">
        <v>288</v>
      </c>
      <c r="E22" s="494"/>
      <c r="F22" s="494"/>
      <c r="G22" s="473" t="s">
        <v>145</v>
      </c>
      <c r="H22" s="494">
        <v>2</v>
      </c>
      <c r="I22" s="494">
        <v>22</v>
      </c>
      <c r="J22" s="488">
        <f t="shared" si="3"/>
        <v>44</v>
      </c>
      <c r="K22" s="511">
        <v>9</v>
      </c>
      <c r="L22" s="511">
        <f t="shared" si="4"/>
        <v>396</v>
      </c>
      <c r="M22" s="512" t="s">
        <v>295</v>
      </c>
      <c r="N22" s="494">
        <f>SUM(L22:L23)</f>
        <v>916</v>
      </c>
      <c r="O22" s="489"/>
      <c r="P22" s="484"/>
      <c r="Q22" s="513"/>
      <c r="U22" s="316" t="s">
        <v>91</v>
      </c>
    </row>
    <row r="23" s="473" customFormat="1" ht="20.25" spans="1:21">
      <c r="A23" s="473" t="s">
        <v>267</v>
      </c>
      <c r="B23" s="501">
        <v>45761</v>
      </c>
      <c r="C23" s="510">
        <v>44</v>
      </c>
      <c r="D23" s="494"/>
      <c r="E23" s="494"/>
      <c r="F23" s="494"/>
      <c r="G23" s="473" t="s">
        <v>84</v>
      </c>
      <c r="H23" s="494">
        <v>2</v>
      </c>
      <c r="I23" s="494">
        <v>20</v>
      </c>
      <c r="J23" s="488">
        <f t="shared" si="3"/>
        <v>40</v>
      </c>
      <c r="K23" s="511">
        <v>13</v>
      </c>
      <c r="L23" s="511">
        <f t="shared" si="4"/>
        <v>520</v>
      </c>
      <c r="M23" s="512" t="s">
        <v>296</v>
      </c>
      <c r="N23" s="494" t="s">
        <v>297</v>
      </c>
      <c r="O23" s="489"/>
      <c r="P23" s="484"/>
      <c r="Q23" s="513"/>
      <c r="U23" s="316" t="s">
        <v>95</v>
      </c>
    </row>
    <row r="24" s="2" customFormat="1" ht="20.25" spans="1:21">
      <c r="A24" s="2" t="s">
        <v>287</v>
      </c>
      <c r="B24" s="496">
        <v>45775</v>
      </c>
      <c r="C24" s="502">
        <v>92</v>
      </c>
      <c r="D24" s="481"/>
      <c r="E24" s="481"/>
      <c r="F24" s="481"/>
      <c r="G24" s="2" t="s">
        <v>84</v>
      </c>
      <c r="H24" s="481">
        <v>2</v>
      </c>
      <c r="I24" s="481">
        <v>20</v>
      </c>
      <c r="J24" s="478">
        <f t="shared" si="3"/>
        <v>40</v>
      </c>
      <c r="K24" s="499">
        <v>12</v>
      </c>
      <c r="L24" s="499">
        <f t="shared" si="4"/>
        <v>480</v>
      </c>
      <c r="M24" s="506" t="s">
        <v>298</v>
      </c>
      <c r="N24" s="481" t="s">
        <v>299</v>
      </c>
      <c r="O24" s="479"/>
      <c r="P24" s="484"/>
      <c r="Q24" s="500"/>
      <c r="U24" s="317" t="s">
        <v>95</v>
      </c>
    </row>
    <row r="25" s="473" customFormat="1" ht="20.25" spans="1:21">
      <c r="A25" s="473" t="s">
        <v>267</v>
      </c>
      <c r="B25" s="501">
        <v>45819</v>
      </c>
      <c r="C25" s="510">
        <v>36</v>
      </c>
      <c r="D25" s="494" t="s">
        <v>288</v>
      </c>
      <c r="E25" s="494"/>
      <c r="F25" s="494"/>
      <c r="G25" s="473" t="s">
        <v>145</v>
      </c>
      <c r="H25" s="494">
        <v>4</v>
      </c>
      <c r="I25" s="494">
        <v>22</v>
      </c>
      <c r="J25" s="488">
        <f t="shared" si="3"/>
        <v>88</v>
      </c>
      <c r="K25" s="511">
        <v>9</v>
      </c>
      <c r="L25" s="511">
        <f t="shared" si="4"/>
        <v>792</v>
      </c>
      <c r="M25" s="512" t="s">
        <v>300</v>
      </c>
      <c r="N25" s="514">
        <f t="shared" ref="N25:N29" si="5">SUM(L25:L26)</f>
        <v>1992</v>
      </c>
      <c r="O25" s="515" t="s">
        <v>301</v>
      </c>
      <c r="P25" s="484"/>
      <c r="Q25" s="513"/>
      <c r="U25" s="316" t="s">
        <v>91</v>
      </c>
    </row>
    <row r="26" s="473" customFormat="1" ht="20.25" spans="1:21">
      <c r="A26" s="473" t="s">
        <v>267</v>
      </c>
      <c r="B26" s="501">
        <v>45819</v>
      </c>
      <c r="C26" s="510">
        <v>36</v>
      </c>
      <c r="D26" s="494"/>
      <c r="E26" s="494"/>
      <c r="F26" s="494"/>
      <c r="G26" s="473" t="s">
        <v>84</v>
      </c>
      <c r="H26" s="494">
        <v>5</v>
      </c>
      <c r="I26" s="494">
        <v>20</v>
      </c>
      <c r="J26" s="488">
        <f t="shared" si="3"/>
        <v>100</v>
      </c>
      <c r="K26" s="511">
        <v>12</v>
      </c>
      <c r="L26" s="511">
        <f t="shared" si="4"/>
        <v>1200</v>
      </c>
      <c r="M26" s="512" t="s">
        <v>302</v>
      </c>
      <c r="N26" s="516" t="s">
        <v>303</v>
      </c>
      <c r="O26" s="517"/>
      <c r="P26" s="484"/>
      <c r="Q26" s="513"/>
      <c r="U26" s="316" t="s">
        <v>95</v>
      </c>
    </row>
    <row r="27" s="2" customFormat="1" ht="20.25" spans="1:21">
      <c r="A27" s="2" t="s">
        <v>267</v>
      </c>
      <c r="B27" s="496">
        <v>45842</v>
      </c>
      <c r="C27" s="502">
        <v>13</v>
      </c>
      <c r="D27" s="481" t="s">
        <v>288</v>
      </c>
      <c r="E27" s="481"/>
      <c r="F27" s="481"/>
      <c r="G27" s="2" t="s">
        <v>145</v>
      </c>
      <c r="H27" s="481">
        <v>2</v>
      </c>
      <c r="I27" s="481">
        <v>22</v>
      </c>
      <c r="J27" s="478">
        <f t="shared" si="3"/>
        <v>44</v>
      </c>
      <c r="K27" s="499">
        <v>9</v>
      </c>
      <c r="L27" s="499">
        <f t="shared" si="4"/>
        <v>396</v>
      </c>
      <c r="M27" s="518" t="s">
        <v>300</v>
      </c>
      <c r="N27" s="481">
        <f t="shared" si="5"/>
        <v>846</v>
      </c>
      <c r="O27" s="519" t="s">
        <v>292</v>
      </c>
      <c r="P27" s="484"/>
      <c r="Q27" s="500"/>
      <c r="U27" s="317" t="s">
        <v>91</v>
      </c>
    </row>
    <row r="28" s="198" customFormat="1" ht="20.25" spans="1:21">
      <c r="A28" s="474" t="s">
        <v>267</v>
      </c>
      <c r="B28" s="520">
        <v>45856</v>
      </c>
      <c r="C28" s="521">
        <v>67</v>
      </c>
      <c r="D28" s="514" t="s">
        <v>5</v>
      </c>
      <c r="E28" s="514"/>
      <c r="F28" s="514"/>
      <c r="G28" s="522" t="s">
        <v>6</v>
      </c>
      <c r="H28" s="514">
        <v>1</v>
      </c>
      <c r="I28" s="514">
        <v>25</v>
      </c>
      <c r="J28" s="493">
        <f t="shared" si="3"/>
        <v>25</v>
      </c>
      <c r="K28" s="509">
        <v>18</v>
      </c>
      <c r="L28" s="523">
        <f t="shared" si="4"/>
        <v>450</v>
      </c>
      <c r="M28" s="524" t="s">
        <v>304</v>
      </c>
      <c r="P28" s="484"/>
    </row>
    <row r="29" s="473" customFormat="1" ht="20.25" spans="1:21">
      <c r="A29" s="473" t="s">
        <v>267</v>
      </c>
      <c r="B29" s="501">
        <v>45895</v>
      </c>
      <c r="C29" s="510">
        <v>72</v>
      </c>
      <c r="D29" s="494" t="s">
        <v>288</v>
      </c>
      <c r="E29" s="494"/>
      <c r="F29" s="494"/>
      <c r="G29" s="473" t="s">
        <v>145</v>
      </c>
      <c r="H29" s="494">
        <v>3</v>
      </c>
      <c r="I29" s="494">
        <v>22</v>
      </c>
      <c r="J29" s="488">
        <f t="shared" si="3"/>
        <v>66</v>
      </c>
      <c r="K29" s="511">
        <v>9</v>
      </c>
      <c r="L29" s="511">
        <f t="shared" si="4"/>
        <v>594</v>
      </c>
      <c r="M29" s="512" t="s">
        <v>300</v>
      </c>
      <c r="N29" s="514">
        <f t="shared" si="5"/>
        <v>1314</v>
      </c>
      <c r="O29" s="515" t="s">
        <v>301</v>
      </c>
      <c r="P29" s="484"/>
      <c r="Q29" s="513"/>
      <c r="U29" s="316" t="s">
        <v>91</v>
      </c>
    </row>
    <row r="30" s="473" customFormat="1" ht="20.25" spans="1:21">
      <c r="A30" s="473" t="s">
        <v>267</v>
      </c>
      <c r="B30" s="501">
        <v>45895</v>
      </c>
      <c r="C30" s="510">
        <v>72</v>
      </c>
      <c r="D30" s="494"/>
      <c r="E30" s="494"/>
      <c r="F30" s="494"/>
      <c r="G30" s="473" t="s">
        <v>84</v>
      </c>
      <c r="H30" s="494">
        <v>3</v>
      </c>
      <c r="I30" s="494">
        <v>20</v>
      </c>
      <c r="J30" s="488">
        <f t="shared" si="3"/>
        <v>60</v>
      </c>
      <c r="K30" s="511">
        <v>12</v>
      </c>
      <c r="L30" s="511">
        <f t="shared" si="4"/>
        <v>720</v>
      </c>
      <c r="M30" s="512" t="s">
        <v>302</v>
      </c>
      <c r="N30" s="516" t="s">
        <v>305</v>
      </c>
      <c r="O30" s="517"/>
      <c r="P30" s="484"/>
      <c r="Q30" s="513"/>
      <c r="U30" s="316" t="s">
        <v>95</v>
      </c>
    </row>
    <row r="31" s="2" customFormat="1" ht="20.25" spans="1:21">
      <c r="A31" s="2" t="s">
        <v>267</v>
      </c>
      <c r="B31" s="496">
        <v>45910</v>
      </c>
      <c r="C31" s="502">
        <v>29</v>
      </c>
      <c r="D31" s="481"/>
      <c r="E31" s="481"/>
      <c r="F31" s="481"/>
      <c r="G31" s="2" t="s">
        <v>84</v>
      </c>
      <c r="H31" s="481">
        <v>3</v>
      </c>
      <c r="I31" s="481">
        <v>20</v>
      </c>
      <c r="J31" s="478">
        <f t="shared" si="3"/>
        <v>60</v>
      </c>
      <c r="K31" s="499">
        <v>12</v>
      </c>
      <c r="L31" s="499">
        <f t="shared" si="4"/>
        <v>720</v>
      </c>
      <c r="M31" s="506" t="s">
        <v>302</v>
      </c>
      <c r="N31" s="312" t="s">
        <v>306</v>
      </c>
      <c r="O31" s="291"/>
      <c r="P31" s="484"/>
      <c r="Q31" s="500"/>
      <c r="U31" s="317" t="s">
        <v>95</v>
      </c>
    </row>
    <row r="32" s="474" customFormat="1" ht="20.25" spans="1:21">
      <c r="A32" s="474" t="s">
        <v>267</v>
      </c>
      <c r="B32" s="520">
        <v>45930</v>
      </c>
      <c r="C32" s="521">
        <v>91</v>
      </c>
      <c r="D32" s="514" t="s">
        <v>288</v>
      </c>
      <c r="E32" s="514"/>
      <c r="F32" s="514"/>
      <c r="G32" s="474" t="s">
        <v>145</v>
      </c>
      <c r="H32" s="514">
        <v>5</v>
      </c>
      <c r="I32" s="514">
        <v>22</v>
      </c>
      <c r="J32" s="493">
        <f t="shared" si="3"/>
        <v>110</v>
      </c>
      <c r="K32" s="509">
        <v>9</v>
      </c>
      <c r="L32" s="509">
        <f t="shared" si="4"/>
        <v>990</v>
      </c>
      <c r="M32" s="518" t="s">
        <v>300</v>
      </c>
      <c r="N32" s="514">
        <f>SUM(L32:L33)</f>
        <v>1470</v>
      </c>
      <c r="O32" s="515" t="s">
        <v>292</v>
      </c>
      <c r="P32" s="525"/>
      <c r="Q32" s="526"/>
      <c r="U32" s="344" t="s">
        <v>91</v>
      </c>
    </row>
    <row r="33" s="474" customFormat="1" ht="20.25" spans="1:21">
      <c r="A33" s="474" t="s">
        <v>267</v>
      </c>
      <c r="B33" s="520">
        <v>45930</v>
      </c>
      <c r="C33" s="521">
        <v>91</v>
      </c>
      <c r="D33" s="514"/>
      <c r="E33" s="514"/>
      <c r="F33" s="514"/>
      <c r="G33" s="474" t="s">
        <v>84</v>
      </c>
      <c r="H33" s="514">
        <v>2</v>
      </c>
      <c r="I33" s="514">
        <v>20</v>
      </c>
      <c r="J33" s="493">
        <f t="shared" si="3"/>
        <v>40</v>
      </c>
      <c r="K33" s="509">
        <v>12</v>
      </c>
      <c r="L33" s="509">
        <f t="shared" si="4"/>
        <v>480</v>
      </c>
      <c r="M33" s="518" t="s">
        <v>302</v>
      </c>
      <c r="N33" s="527" t="s">
        <v>305</v>
      </c>
      <c r="O33" s="309"/>
      <c r="P33" s="525"/>
      <c r="Q33" s="526"/>
      <c r="U33" s="344" t="s">
        <v>95</v>
      </c>
    </row>
    <row r="34" customFormat="1" ht="20.25" spans="1:21">
      <c r="A34" t="s">
        <v>267</v>
      </c>
      <c r="B34" s="272">
        <v>45988</v>
      </c>
      <c r="C34" t="s">
        <v>307</v>
      </c>
      <c r="D34" s="481"/>
      <c r="E34" s="481"/>
      <c r="F34" s="481"/>
      <c r="G34" s="2" t="s">
        <v>84</v>
      </c>
      <c r="H34" s="481">
        <v>1</v>
      </c>
      <c r="I34" s="481">
        <v>20</v>
      </c>
      <c r="J34" s="478">
        <f t="shared" si="3"/>
        <v>20</v>
      </c>
      <c r="K34" s="499">
        <v>12</v>
      </c>
      <c r="L34" s="499">
        <f t="shared" si="4"/>
        <v>240</v>
      </c>
    </row>
    <row r="35" customFormat="1" ht="20.25" spans="1:21">
      <c r="D35" s="528"/>
      <c r="E35" s="494"/>
      <c r="F35" s="494"/>
      <c r="G35" s="473"/>
      <c r="H35" s="494"/>
      <c r="I35" s="494"/>
      <c r="J35" s="493"/>
      <c r="K35" s="511"/>
      <c r="L35" s="491"/>
    </row>
    <row r="36" customFormat="1" ht="20.25" spans="1:21">
      <c r="D36" s="528"/>
      <c r="E36" s="494"/>
      <c r="F36" s="494"/>
      <c r="G36" s="473"/>
      <c r="H36" s="494"/>
      <c r="I36" s="494"/>
      <c r="J36" s="493"/>
      <c r="K36" s="511"/>
      <c r="L36" s="491"/>
    </row>
    <row r="37" customFormat="1" ht="20.25" spans="1:21">
      <c r="D37" s="528"/>
      <c r="E37" s="494"/>
      <c r="F37" s="494"/>
      <c r="G37" s="473"/>
      <c r="H37" s="494"/>
      <c r="I37" s="494"/>
      <c r="J37" s="493"/>
      <c r="K37" s="511"/>
      <c r="L37" s="491"/>
    </row>
    <row r="38" customFormat="1" ht="20.25" spans="1:21">
      <c r="D38" s="528"/>
      <c r="E38" s="494"/>
      <c r="F38" s="494"/>
      <c r="G38" s="473"/>
      <c r="H38" s="494"/>
      <c r="I38" s="494"/>
      <c r="J38" s="493"/>
      <c r="K38" s="511"/>
      <c r="L38" s="491"/>
    </row>
    <row r="39" customFormat="1" ht="20.25" spans="1:21">
      <c r="D39" s="528"/>
      <c r="E39" s="494"/>
      <c r="F39" s="494"/>
      <c r="G39" s="473"/>
      <c r="H39" s="494"/>
      <c r="I39" s="494"/>
      <c r="J39" s="493"/>
      <c r="K39" s="511"/>
      <c r="L39" s="491"/>
    </row>
    <row r="40" customFormat="1" ht="20.25" spans="1:21">
      <c r="D40" s="528"/>
      <c r="E40" s="494"/>
      <c r="F40" s="494"/>
      <c r="G40" s="473"/>
      <c r="H40" s="494"/>
      <c r="I40" s="494"/>
      <c r="J40" s="493"/>
      <c r="K40" s="511"/>
      <c r="L40" s="491"/>
    </row>
    <row r="41" customFormat="1" ht="20.25" spans="1:21">
      <c r="D41" s="528"/>
      <c r="E41" s="494"/>
      <c r="F41" s="494"/>
      <c r="G41" s="473"/>
      <c r="H41" s="494"/>
      <c r="I41" s="494"/>
      <c r="J41" s="493"/>
      <c r="K41" s="511"/>
      <c r="L41" s="491"/>
    </row>
    <row r="42" customFormat="1" ht="20.25" spans="1:21">
      <c r="D42" s="528"/>
      <c r="E42" s="494"/>
      <c r="F42" s="494"/>
      <c r="G42" s="473"/>
      <c r="H42" s="494"/>
      <c r="I42" s="494"/>
      <c r="J42" s="493"/>
      <c r="K42" s="511"/>
      <c r="L42" s="491"/>
    </row>
    <row r="43" customFormat="1" ht="20.25" spans="1:21">
      <c r="D43" s="528"/>
      <c r="E43" s="494"/>
      <c r="F43" s="494"/>
      <c r="G43" s="473"/>
      <c r="H43" s="494"/>
      <c r="I43" s="494"/>
      <c r="J43" s="493"/>
      <c r="K43" s="511"/>
      <c r="L43" s="491"/>
    </row>
    <row r="44" customFormat="1" ht="20.25" spans="1:21">
      <c r="D44" s="528"/>
      <c r="E44" s="494"/>
      <c r="F44" s="494"/>
      <c r="G44" s="473"/>
      <c r="H44" s="494"/>
      <c r="I44" s="494"/>
      <c r="J44" s="493"/>
      <c r="K44" s="511"/>
      <c r="L44" s="491"/>
    </row>
    <row r="45" customFormat="1" ht="20.25" spans="1:21">
      <c r="D45" s="528"/>
      <c r="E45" s="494"/>
      <c r="F45" s="494"/>
      <c r="G45" s="473"/>
      <c r="H45" s="494"/>
      <c r="I45" s="494"/>
      <c r="J45" s="493"/>
      <c r="K45" s="511"/>
      <c r="L45" s="491"/>
    </row>
    <row r="46" customFormat="1" ht="20.25" spans="1:21">
      <c r="D46" s="528"/>
      <c r="E46" s="494"/>
      <c r="F46" s="494"/>
      <c r="G46" s="473"/>
      <c r="H46" s="494"/>
      <c r="I46" s="494"/>
      <c r="J46" s="493"/>
      <c r="K46" s="511"/>
      <c r="L46" s="491"/>
    </row>
    <row r="47" customFormat="1" ht="20.25" spans="1:21">
      <c r="D47" s="528"/>
      <c r="E47" s="494"/>
      <c r="F47" s="494"/>
      <c r="G47" s="473"/>
      <c r="H47" s="494"/>
      <c r="I47" s="494"/>
      <c r="J47" s="493"/>
      <c r="K47" s="511"/>
      <c r="L47" s="491"/>
    </row>
    <row r="48" customFormat="1" ht="20.25" spans="1:21">
      <c r="D48" s="528"/>
      <c r="E48" s="494"/>
      <c r="F48" s="494"/>
      <c r="G48" s="473"/>
      <c r="H48" s="494"/>
      <c r="I48" s="494"/>
      <c r="J48" s="493"/>
      <c r="K48" s="511"/>
      <c r="L48" s="491"/>
    </row>
  </sheetData>
  <mergeCells count="48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2" sqref="A2:J2"/>
    </sheetView>
  </sheetViews>
  <sheetFormatPr defaultColWidth="9" defaultRowHeight="14.25" outlineLevelCol="4"/>
  <cols>
    <col min="1" max="1" width="24.75" customWidth="1"/>
    <col min="2" max="2" width="18.375" customWidth="1"/>
    <col min="3" max="3" width="15.75" customWidth="1"/>
    <col min="4" max="4" width="19.125" customWidth="1"/>
    <col min="5" max="5" width="6.625" customWidth="1"/>
  </cols>
  <sheetData>
    <row r="1" ht="15" spans="1:5">
      <c r="B1" t="s">
        <v>308</v>
      </c>
    </row>
    <row r="2" ht="15" spans="1:5">
      <c r="A2" s="453" t="s">
        <v>309</v>
      </c>
      <c r="B2" s="454" t="s">
        <v>310</v>
      </c>
      <c r="C2" s="455" t="s">
        <v>311</v>
      </c>
      <c r="D2" s="455" t="s">
        <v>312</v>
      </c>
      <c r="E2" s="456"/>
    </row>
    <row r="3" ht="15" spans="1:5">
      <c r="A3" s="457" t="s">
        <v>313</v>
      </c>
      <c r="B3" s="458">
        <v>67750</v>
      </c>
      <c r="C3" s="459"/>
      <c r="D3" s="458">
        <f t="shared" ref="D3:D12" si="0">B3-C3</f>
        <v>67750</v>
      </c>
      <c r="E3" s="456"/>
    </row>
    <row r="4" ht="15" spans="1:5">
      <c r="A4" s="460" t="s">
        <v>314</v>
      </c>
      <c r="B4" s="458">
        <v>1281</v>
      </c>
      <c r="C4" s="459"/>
      <c r="D4" s="458">
        <f t="shared" si="0"/>
        <v>1281</v>
      </c>
      <c r="E4" s="456"/>
    </row>
    <row r="5" ht="15" spans="1:5">
      <c r="A5" s="460">
        <v>45689</v>
      </c>
      <c r="B5" s="458">
        <v>2488</v>
      </c>
      <c r="C5" s="459"/>
      <c r="D5" s="458">
        <f t="shared" si="0"/>
        <v>2488</v>
      </c>
      <c r="E5" s="456"/>
    </row>
    <row r="6" ht="15" spans="1:5">
      <c r="A6" s="460">
        <v>45717</v>
      </c>
      <c r="B6" s="458">
        <v>13631.5</v>
      </c>
      <c r="C6" s="459"/>
      <c r="D6" s="458">
        <f t="shared" si="0"/>
        <v>13631.5</v>
      </c>
      <c r="E6" s="456"/>
    </row>
    <row r="7" ht="15" spans="1:5">
      <c r="A7" s="460">
        <v>45748</v>
      </c>
      <c r="B7" s="458">
        <v>3822</v>
      </c>
      <c r="C7" s="459"/>
      <c r="D7" s="458">
        <f t="shared" si="0"/>
        <v>3822</v>
      </c>
      <c r="E7" s="456"/>
    </row>
    <row r="8" ht="15" spans="1:5">
      <c r="A8" s="460">
        <v>45779</v>
      </c>
      <c r="B8" s="461">
        <v>1052.5</v>
      </c>
      <c r="C8" s="459"/>
      <c r="D8" s="458">
        <f t="shared" si="0"/>
        <v>1052.5</v>
      </c>
      <c r="E8" s="462" t="s">
        <v>315</v>
      </c>
    </row>
    <row r="9" ht="15" spans="1:5">
      <c r="A9" s="460">
        <v>45811</v>
      </c>
      <c r="B9" s="461">
        <v>2061</v>
      </c>
      <c r="C9" s="459"/>
      <c r="D9" s="458">
        <f t="shared" si="0"/>
        <v>2061</v>
      </c>
      <c r="E9" s="462" t="s">
        <v>316</v>
      </c>
    </row>
    <row r="10" ht="15" spans="1:5">
      <c r="A10" s="460">
        <v>45842</v>
      </c>
      <c r="B10" s="458">
        <v>7328</v>
      </c>
      <c r="C10" s="459"/>
      <c r="D10" s="458">
        <f t="shared" si="0"/>
        <v>7328</v>
      </c>
      <c r="E10" s="456"/>
    </row>
    <row r="11" ht="15" spans="1:5">
      <c r="A11" s="460">
        <v>45874</v>
      </c>
      <c r="B11" s="458">
        <v>2431</v>
      </c>
      <c r="C11" s="459"/>
      <c r="D11" s="458">
        <f t="shared" si="0"/>
        <v>2431</v>
      </c>
      <c r="E11" s="456"/>
    </row>
    <row r="12" ht="15" spans="1:5">
      <c r="A12" s="457" t="s">
        <v>317</v>
      </c>
      <c r="B12" s="458">
        <f>SUM(B3:B11)</f>
        <v>101845</v>
      </c>
      <c r="C12" s="458">
        <f>B21+D21</f>
        <v>58000</v>
      </c>
      <c r="D12" s="458">
        <f t="shared" si="0"/>
        <v>43845</v>
      </c>
      <c r="E12" s="456"/>
    </row>
    <row r="13" ht="15" spans="1:5">
      <c r="A13" s="463"/>
      <c r="B13" s="464"/>
      <c r="C13" s="464"/>
      <c r="D13" s="459"/>
      <c r="E13" s="456"/>
    </row>
    <row r="14" ht="15" spans="1:5">
      <c r="A14" s="465" t="s">
        <v>318</v>
      </c>
      <c r="B14" s="466"/>
      <c r="C14" s="466"/>
      <c r="D14" s="467"/>
      <c r="E14" s="456"/>
    </row>
    <row r="15" ht="15" spans="1:5">
      <c r="A15" s="468" t="s">
        <v>319</v>
      </c>
      <c r="B15" s="461">
        <v>5000</v>
      </c>
      <c r="C15" s="469" t="s">
        <v>320</v>
      </c>
      <c r="D15" s="458">
        <v>5000</v>
      </c>
      <c r="E15" s="456"/>
    </row>
    <row r="16" ht="15" spans="1:5">
      <c r="A16" s="468" t="s">
        <v>321</v>
      </c>
      <c r="B16" s="461">
        <v>3000</v>
      </c>
      <c r="C16" s="469" t="s">
        <v>322</v>
      </c>
      <c r="D16" s="458">
        <v>5000</v>
      </c>
      <c r="E16" s="456"/>
    </row>
    <row r="17" ht="15" spans="1:5">
      <c r="A17" s="468" t="s">
        <v>323</v>
      </c>
      <c r="B17" s="461">
        <v>5000</v>
      </c>
      <c r="C17" s="469" t="s">
        <v>324</v>
      </c>
      <c r="D17" s="458">
        <v>5000</v>
      </c>
      <c r="E17" s="456"/>
    </row>
    <row r="18" ht="15" spans="1:5">
      <c r="A18" s="468" t="s">
        <v>325</v>
      </c>
      <c r="B18" s="461">
        <v>10000</v>
      </c>
      <c r="C18" s="469" t="s">
        <v>326</v>
      </c>
      <c r="D18" s="458">
        <v>5000</v>
      </c>
      <c r="E18" s="456"/>
    </row>
    <row r="19" ht="15" spans="1:5">
      <c r="A19" s="469" t="s">
        <v>327</v>
      </c>
      <c r="B19" s="470">
        <v>5000</v>
      </c>
      <c r="C19" s="469" t="s">
        <v>328</v>
      </c>
      <c r="D19" s="458">
        <v>5000</v>
      </c>
      <c r="E19" s="456"/>
    </row>
    <row r="20" ht="15" spans="1:5">
      <c r="A20" s="469" t="s">
        <v>329</v>
      </c>
      <c r="B20" s="470">
        <v>5000</v>
      </c>
      <c r="C20" s="469"/>
      <c r="D20" s="458"/>
      <c r="E20" s="456"/>
    </row>
    <row r="21" ht="15" spans="1:5">
      <c r="A21" s="457" t="s">
        <v>330</v>
      </c>
      <c r="B21" s="458">
        <f>SUM(B15:B20)</f>
        <v>33000</v>
      </c>
      <c r="C21" s="458"/>
      <c r="D21" s="458">
        <f>SUM(D15:D20)</f>
        <v>25000</v>
      </c>
      <c r="E21" s="456"/>
    </row>
  </sheetData>
  <mergeCells count="2">
    <mergeCell ref="A13:D13"/>
    <mergeCell ref="A14:D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7"/>
  <sheetViews>
    <sheetView topLeftCell="W79" workbookViewId="0">
      <selection activeCell="AJ114" sqref="AJ114"/>
    </sheetView>
  </sheetViews>
  <sheetFormatPr defaultColWidth="9" defaultRowHeight="14.25"/>
  <cols>
    <col min="1" max="1" width="9.875"/>
    <col min="2" max="2" width="6.5" customWidth="1"/>
    <col min="3" max="3" width="18.25" customWidth="1"/>
    <col min="4" max="4" width="20.875" customWidth="1"/>
    <col min="5" max="5" width="9.375"/>
    <col min="6" max="6" width="12.75" customWidth="1"/>
    <col min="7" max="7" width="11.875" customWidth="1"/>
    <col min="8" max="8" width="28" customWidth="1"/>
    <col min="9" max="9" width="9.875"/>
    <col min="10" max="10" width="6.5" customWidth="1"/>
    <col min="11" max="11" width="10" customWidth="1"/>
    <col min="12" max="12" width="18.125" customWidth="1"/>
    <col min="13" max="13" width="9.375"/>
    <col min="14" max="14" width="12.75" customWidth="1"/>
    <col min="15" max="15" width="17" customWidth="1"/>
    <col min="16" max="16" width="10.375" customWidth="1"/>
    <col min="17" max="17" width="10.125"/>
    <col min="18" max="18" width="6.5" customWidth="1"/>
    <col min="19" max="19" width="10" customWidth="1"/>
    <col min="20" max="20" width="13.375" customWidth="1"/>
    <col min="21" max="21" width="9.375"/>
    <col min="22" max="22" width="12.75" customWidth="1"/>
    <col min="23" max="23" width="11.5" customWidth="1"/>
    <col min="24" max="24" width="26.25" customWidth="1"/>
    <col min="25" max="25" width="10.125"/>
    <col min="26" max="26" width="6.5" customWidth="1"/>
    <col min="27" max="27" width="13.5" customWidth="1"/>
    <col min="28" max="28" width="13.375" customWidth="1"/>
    <col min="29" max="29" width="9.375"/>
    <col min="30" max="30" width="16.375" customWidth="1"/>
    <col min="31" max="31" width="12.875" customWidth="1"/>
    <col min="32" max="32" width="12.375" customWidth="1"/>
    <col min="33" max="33" width="10.125"/>
    <col min="34" max="34" width="6.5" customWidth="1"/>
    <col min="35" max="35" width="16.875" customWidth="1"/>
    <col min="36" max="36" width="15.25" customWidth="1"/>
    <col min="37" max="37" width="10.375"/>
    <col min="38" max="38" width="12.75" customWidth="1"/>
    <col min="39" max="39" width="12.875" customWidth="1"/>
    <col min="40" max="40" width="9.25"/>
    <col min="42" max="42" width="9.375"/>
    <col min="44" max="44" width="9.375"/>
  </cols>
  <sheetData>
    <row r="1" ht="49" customHeight="1" spans="1:41">
      <c r="A1" s="348" t="s">
        <v>331</v>
      </c>
      <c r="B1" s="349"/>
      <c r="C1" s="349"/>
      <c r="D1" s="349"/>
      <c r="E1" s="51" t="s">
        <v>332</v>
      </c>
      <c r="F1" s="52"/>
      <c r="G1" s="53" t="s">
        <v>333</v>
      </c>
      <c r="H1" s="54" t="s">
        <v>334</v>
      </c>
      <c r="I1" s="54"/>
      <c r="J1" s="54"/>
      <c r="K1" s="55" t="s">
        <v>335</v>
      </c>
      <c r="L1" s="56"/>
      <c r="M1" s="57"/>
      <c r="N1" s="58" t="s">
        <v>336</v>
      </c>
      <c r="O1" s="59"/>
      <c r="P1" s="54"/>
      <c r="Q1" s="54"/>
      <c r="R1" s="54"/>
      <c r="S1" s="55"/>
      <c r="T1" s="56"/>
      <c r="U1" s="57"/>
      <c r="V1" s="58"/>
      <c r="W1" s="59"/>
      <c r="X1" s="60"/>
      <c r="Y1" s="61"/>
      <c r="Z1" s="61"/>
      <c r="AA1" s="61"/>
      <c r="AB1" s="61"/>
      <c r="AC1" s="62"/>
      <c r="AD1" s="59"/>
      <c r="AE1" s="63"/>
      <c r="AF1" s="60"/>
      <c r="AG1" s="428" t="s">
        <v>337</v>
      </c>
      <c r="AH1" s="428"/>
      <c r="AI1" s="428"/>
      <c r="AJ1" s="429">
        <f>AG2+240+565+1412.5+1375</f>
        <v>158540.3</v>
      </c>
      <c r="AK1" s="430"/>
      <c r="AL1" s="431" t="s">
        <v>338</v>
      </c>
      <c r="AM1" s="63"/>
    </row>
    <row r="2" ht="33" customHeight="1" spans="1:41">
      <c r="A2" s="65">
        <f>F4+N4+V4+AD4+AL4</f>
        <v>75729.6</v>
      </c>
      <c r="B2" s="66"/>
      <c r="C2" s="66"/>
      <c r="D2" s="66"/>
      <c r="E2" s="67">
        <f>A6+I6+Q6+Y6+AG6</f>
        <v>141761.55</v>
      </c>
      <c r="F2" s="68"/>
      <c r="G2" s="352">
        <f>F7+N7+V7+AD7++AL7</f>
        <v>17382.5</v>
      </c>
      <c r="H2" s="70">
        <f>D6+L6+T6+AB6+AJ6</f>
        <v>83414.45</v>
      </c>
      <c r="I2" s="71"/>
      <c r="J2" s="72"/>
      <c r="K2" s="67">
        <f>F6+N6+V6+AD6+AL6</f>
        <v>58347.1</v>
      </c>
      <c r="L2" s="65"/>
      <c r="M2" s="73"/>
      <c r="N2" s="74">
        <f>G6+O6+W6+AE6+AM6</f>
        <v>163495.5</v>
      </c>
      <c r="O2" s="65"/>
      <c r="P2" s="75"/>
      <c r="Q2" s="76"/>
      <c r="R2" s="77"/>
      <c r="S2" s="78"/>
      <c r="T2" s="79"/>
      <c r="U2" s="73"/>
      <c r="V2" s="80"/>
      <c r="W2" s="79"/>
      <c r="X2" s="81"/>
      <c r="Y2" s="82"/>
      <c r="Z2" s="82"/>
      <c r="AA2" s="82"/>
      <c r="AB2" s="82"/>
      <c r="AC2" s="83"/>
      <c r="AD2" s="84"/>
      <c r="AE2" s="85"/>
      <c r="AF2" s="81"/>
      <c r="AG2" s="86">
        <f>G6+I6+Q6+AE6+AM6-300-240-1412.5-565-190-1375-107.5</f>
        <v>154947.8</v>
      </c>
      <c r="AH2" s="86"/>
      <c r="AI2" s="86"/>
      <c r="AJ2" s="86"/>
      <c r="AK2" s="87"/>
      <c r="AL2" s="88"/>
      <c r="AM2" s="85"/>
      <c r="AO2">
        <f>-240-1412.5-565-190-1375</f>
        <v>-3782.5</v>
      </c>
    </row>
    <row r="3" ht="30" customHeight="1" spans="1:41">
      <c r="A3" s="89" t="s">
        <v>339</v>
      </c>
      <c r="B3" s="89"/>
      <c r="C3" s="89"/>
      <c r="D3" s="89"/>
      <c r="E3" s="89"/>
      <c r="F3" s="89"/>
      <c r="G3" s="353"/>
      <c r="H3" s="91"/>
      <c r="I3" s="89" t="s">
        <v>340</v>
      </c>
      <c r="J3" s="89"/>
      <c r="K3" s="89"/>
      <c r="L3" s="89"/>
      <c r="M3" s="89"/>
      <c r="N3" s="89"/>
      <c r="O3" s="7"/>
      <c r="P3" s="91"/>
      <c r="Q3" s="89" t="s">
        <v>341</v>
      </c>
      <c r="R3" s="89"/>
      <c r="S3" s="89"/>
      <c r="T3" s="89"/>
      <c r="U3" s="89"/>
      <c r="V3" s="89"/>
      <c r="W3" s="5"/>
      <c r="X3" s="91"/>
      <c r="Y3" s="89" t="s">
        <v>342</v>
      </c>
      <c r="Z3" s="89"/>
      <c r="AA3" s="89"/>
      <c r="AB3" s="89"/>
      <c r="AC3" s="89"/>
      <c r="AD3" s="89"/>
      <c r="AE3" s="5"/>
      <c r="AF3" s="91"/>
      <c r="AG3" s="89" t="s">
        <v>343</v>
      </c>
      <c r="AH3" s="89"/>
      <c r="AI3" s="89"/>
      <c r="AJ3" s="89"/>
      <c r="AK3" s="89"/>
      <c r="AL3" s="89"/>
      <c r="AM3" s="5"/>
    </row>
    <row r="4" ht="21" customHeight="1" spans="1:41">
      <c r="A4" s="354" t="s">
        <v>344</v>
      </c>
      <c r="B4" s="354"/>
      <c r="C4" s="354"/>
      <c r="D4" s="354"/>
      <c r="E4" s="354"/>
      <c r="F4" s="355">
        <f>F6+F7</f>
        <v>34506.05</v>
      </c>
      <c r="G4" s="356">
        <f>F6+F7</f>
        <v>34506.05</v>
      </c>
      <c r="H4" s="432" t="s">
        <v>345</v>
      </c>
      <c r="I4" s="354" t="s">
        <v>344</v>
      </c>
      <c r="J4" s="354"/>
      <c r="K4" s="354"/>
      <c r="L4" s="354"/>
      <c r="M4" s="358"/>
      <c r="N4" s="354">
        <f>N6+N7</f>
        <v>22139.3</v>
      </c>
      <c r="O4" s="359" t="s">
        <v>346</v>
      </c>
      <c r="P4" s="96"/>
      <c r="Q4" s="354" t="s">
        <v>344</v>
      </c>
      <c r="R4" s="354"/>
      <c r="S4" s="354"/>
      <c r="T4" s="354"/>
      <c r="U4" s="358"/>
      <c r="V4" s="354">
        <f>V6+V7</f>
        <v>6945</v>
      </c>
      <c r="W4" s="359" t="s">
        <v>346</v>
      </c>
      <c r="X4" s="96"/>
      <c r="Y4" s="92" t="s">
        <v>344</v>
      </c>
      <c r="Z4" s="92"/>
      <c r="AA4" s="92"/>
      <c r="AB4" s="92"/>
      <c r="AC4" s="93"/>
      <c r="AD4" s="97">
        <f>AD6+AD7</f>
        <v>18</v>
      </c>
      <c r="AE4" s="95" t="s">
        <v>336</v>
      </c>
      <c r="AF4" s="96"/>
      <c r="AG4" s="354" t="s">
        <v>344</v>
      </c>
      <c r="AH4" s="354"/>
      <c r="AI4" s="354"/>
      <c r="AJ4" s="354"/>
      <c r="AK4" s="358"/>
      <c r="AL4" s="354">
        <f>AL6+AL7</f>
        <v>12121.25</v>
      </c>
      <c r="AM4" s="359" t="s">
        <v>346</v>
      </c>
    </row>
    <row r="5" spans="1:41">
      <c r="A5" s="98" t="s">
        <v>347</v>
      </c>
      <c r="B5" s="99"/>
      <c r="C5" s="99"/>
      <c r="D5" s="100" t="s">
        <v>348</v>
      </c>
      <c r="E5" s="99"/>
      <c r="F5" s="103" t="s">
        <v>349</v>
      </c>
      <c r="G5" s="7" t="s">
        <v>336</v>
      </c>
      <c r="H5" s="433"/>
      <c r="I5" s="98" t="s">
        <v>347</v>
      </c>
      <c r="J5" s="99"/>
      <c r="K5" s="99"/>
      <c r="L5" s="100" t="s">
        <v>348</v>
      </c>
      <c r="M5" s="99"/>
      <c r="N5" s="103" t="s">
        <v>349</v>
      </c>
      <c r="O5" s="361"/>
      <c r="P5" s="104"/>
      <c r="Q5" s="98" t="s">
        <v>347</v>
      </c>
      <c r="R5" s="99"/>
      <c r="S5" s="99"/>
      <c r="T5" s="100" t="s">
        <v>348</v>
      </c>
      <c r="U5" s="99"/>
      <c r="V5" s="103" t="s">
        <v>349</v>
      </c>
      <c r="W5" s="362"/>
      <c r="X5" s="104"/>
      <c r="Y5" s="98" t="s">
        <v>347</v>
      </c>
      <c r="Z5" s="99"/>
      <c r="AA5" s="99"/>
      <c r="AB5" s="100" t="s">
        <v>348</v>
      </c>
      <c r="AC5" s="99"/>
      <c r="AD5" s="103" t="s">
        <v>349</v>
      </c>
      <c r="AE5" s="85"/>
      <c r="AF5" s="104"/>
      <c r="AG5" s="98" t="s">
        <v>347</v>
      </c>
      <c r="AH5" s="99"/>
      <c r="AI5" s="99"/>
      <c r="AJ5" s="100" t="s">
        <v>348</v>
      </c>
      <c r="AK5" s="99"/>
      <c r="AL5" s="103" t="s">
        <v>349</v>
      </c>
      <c r="AM5" s="362"/>
    </row>
    <row r="6" ht="71" customHeight="1" spans="1:41">
      <c r="A6" s="105">
        <f>SUBTOTAL(9,D10:D48)</f>
        <v>38978.55</v>
      </c>
      <c r="B6" s="106"/>
      <c r="C6" s="106"/>
      <c r="D6" s="107">
        <f>SUBTOTAL(9,E10:E213)</f>
        <v>0</v>
      </c>
      <c r="E6" s="106"/>
      <c r="F6" s="110">
        <f>A6-D6</f>
        <v>38978.55</v>
      </c>
      <c r="G6" s="19">
        <f>SUM(G10:G40)</f>
        <v>44147</v>
      </c>
      <c r="H6" s="434"/>
      <c r="I6" s="105">
        <f>SUBTOTAL(9,L10:L205)</f>
        <v>2013.3</v>
      </c>
      <c r="J6" s="106"/>
      <c r="K6" s="106"/>
      <c r="L6" s="107">
        <f>SUBTOTAL(9,M10:M205)</f>
        <v>1729</v>
      </c>
      <c r="M6" s="106"/>
      <c r="N6" s="110">
        <f>I6-L6</f>
        <v>284.3</v>
      </c>
      <c r="O6" s="5">
        <f>SUM(O10:O101)</f>
        <v>1441</v>
      </c>
      <c r="P6" s="111"/>
      <c r="Q6" s="364">
        <f>SUBTOTAL(9,T10:T201)</f>
        <v>16932</v>
      </c>
      <c r="R6" s="365"/>
      <c r="S6" s="365"/>
      <c r="T6" s="107">
        <f>SUBTOTAL(9,U10:U201)</f>
        <v>9987</v>
      </c>
      <c r="U6" s="365"/>
      <c r="V6" s="367">
        <f>Q6-T6</f>
        <v>6945</v>
      </c>
      <c r="W6" s="5">
        <f>SUM(W10:W201)</f>
        <v>21862</v>
      </c>
      <c r="X6" s="111"/>
      <c r="Y6" s="105">
        <f>SUM(AB10:AB78)</f>
        <v>1721.7</v>
      </c>
      <c r="Z6" s="106"/>
      <c r="AA6" s="106"/>
      <c r="AB6" s="107">
        <f>SUBTOTAL(9,AC10:AC224)</f>
        <v>1703.7</v>
      </c>
      <c r="AC6" s="106"/>
      <c r="AD6" s="110">
        <f>Y6-AB6</f>
        <v>18</v>
      </c>
      <c r="AE6" s="7">
        <f>SUM(AE10:AE172)</f>
        <v>1913</v>
      </c>
      <c r="AF6" s="111"/>
      <c r="AG6" s="105">
        <f>SUBTOTAL(9,AJ10:AJ147)</f>
        <v>82116</v>
      </c>
      <c r="AH6" s="106"/>
      <c r="AI6" s="106"/>
      <c r="AJ6" s="107">
        <f>SUBTOTAL(9,AK10:AK138)</f>
        <v>69994.75</v>
      </c>
      <c r="AK6" s="106"/>
      <c r="AL6" s="110">
        <f>AG6-AJ6</f>
        <v>12121.25</v>
      </c>
      <c r="AM6" s="5">
        <f>SUM(AM10:AM242)</f>
        <v>94132.5</v>
      </c>
    </row>
    <row r="7" s="45" customFormat="1" ht="35" customHeight="1" spans="1:41">
      <c r="A7" s="368" t="s">
        <v>350</v>
      </c>
      <c r="B7" s="369"/>
      <c r="C7" s="370">
        <v>45527.5</v>
      </c>
      <c r="D7" s="435" t="s">
        <v>351</v>
      </c>
      <c r="E7" s="372">
        <v>50000</v>
      </c>
      <c r="F7" s="373">
        <f>C7-E7</f>
        <v>-4472.5</v>
      </c>
      <c r="G7" s="436">
        <f>69031-35000-23000</f>
        <v>11031</v>
      </c>
      <c r="H7" s="437" t="s">
        <v>352</v>
      </c>
      <c r="I7" s="376" t="s">
        <v>353</v>
      </c>
      <c r="J7" s="377"/>
      <c r="K7" s="378">
        <v>21855</v>
      </c>
      <c r="L7" s="379"/>
      <c r="M7" s="380"/>
      <c r="N7" s="381">
        <f>K7-M7</f>
        <v>21855</v>
      </c>
      <c r="O7" s="374">
        <v>25786</v>
      </c>
      <c r="P7" s="118"/>
      <c r="Q7" s="376" t="s">
        <v>354</v>
      </c>
      <c r="R7" s="377"/>
      <c r="S7" s="378"/>
      <c r="T7" s="382"/>
      <c r="U7" s="380"/>
      <c r="V7" s="381">
        <f>S7-U7</f>
        <v>0</v>
      </c>
      <c r="W7" s="130"/>
      <c r="X7" s="111"/>
      <c r="Y7" s="125" t="s">
        <v>354</v>
      </c>
      <c r="Z7" s="125"/>
      <c r="AA7" s="134">
        <v>14833.3</v>
      </c>
      <c r="AB7" s="438" t="s">
        <v>355</v>
      </c>
      <c r="AC7" s="380">
        <v>14833.3</v>
      </c>
      <c r="AD7" s="381">
        <f>AA7-AC7</f>
        <v>0</v>
      </c>
      <c r="AE7" s="4">
        <v>16481.5</v>
      </c>
      <c r="AF7" s="111"/>
      <c r="AG7" s="376" t="s">
        <v>354</v>
      </c>
      <c r="AH7" s="377"/>
      <c r="AI7" s="378"/>
      <c r="AJ7" s="379"/>
      <c r="AK7" s="380"/>
      <c r="AL7" s="373">
        <f>AI7-AK7</f>
        <v>0</v>
      </c>
      <c r="AM7" s="386"/>
    </row>
    <row r="8" spans="1:41">
      <c r="A8" s="146" t="s">
        <v>356</v>
      </c>
      <c r="B8" s="147" t="s">
        <v>357</v>
      </c>
      <c r="C8" s="147" t="s">
        <v>358</v>
      </c>
      <c r="D8" s="147" t="s">
        <v>359</v>
      </c>
      <c r="E8" s="107" t="s">
        <v>348</v>
      </c>
      <c r="F8" s="151" t="s">
        <v>360</v>
      </c>
      <c r="G8" s="7" t="s">
        <v>361</v>
      </c>
      <c r="H8" s="111"/>
      <c r="I8" s="146" t="s">
        <v>356</v>
      </c>
      <c r="J8" s="147" t="s">
        <v>357</v>
      </c>
      <c r="K8" s="147" t="s">
        <v>358</v>
      </c>
      <c r="L8" s="147" t="s">
        <v>362</v>
      </c>
      <c r="M8" s="107" t="s">
        <v>348</v>
      </c>
      <c r="N8" s="151" t="s">
        <v>360</v>
      </c>
      <c r="O8" s="7" t="s">
        <v>363</v>
      </c>
      <c r="P8" s="111"/>
      <c r="Q8" s="146" t="s">
        <v>356</v>
      </c>
      <c r="R8" s="147" t="s">
        <v>357</v>
      </c>
      <c r="S8" s="147" t="s">
        <v>358</v>
      </c>
      <c r="T8" s="147" t="s">
        <v>362</v>
      </c>
      <c r="U8" s="107" t="s">
        <v>348</v>
      </c>
      <c r="V8" s="151" t="s">
        <v>360</v>
      </c>
      <c r="W8" s="5" t="s">
        <v>363</v>
      </c>
      <c r="X8" s="141"/>
      <c r="Y8" s="146" t="s">
        <v>356</v>
      </c>
      <c r="Z8" s="147" t="s">
        <v>357</v>
      </c>
      <c r="AA8" s="147" t="s">
        <v>358</v>
      </c>
      <c r="AB8" s="147" t="s">
        <v>359</v>
      </c>
      <c r="AC8" s="107" t="s">
        <v>348</v>
      </c>
      <c r="AD8" s="151" t="s">
        <v>360</v>
      </c>
      <c r="AE8" s="4" t="s">
        <v>363</v>
      </c>
      <c r="AF8" s="141"/>
      <c r="AG8" s="146" t="s">
        <v>356</v>
      </c>
      <c r="AH8" s="147" t="s">
        <v>357</v>
      </c>
      <c r="AI8" s="147" t="s">
        <v>358</v>
      </c>
      <c r="AJ8" s="147" t="s">
        <v>359</v>
      </c>
      <c r="AK8" s="107" t="s">
        <v>348</v>
      </c>
      <c r="AL8" s="151" t="s">
        <v>360</v>
      </c>
      <c r="AM8" s="5" t="s">
        <v>363</v>
      </c>
    </row>
    <row r="9" spans="1:41">
      <c r="A9" s="152"/>
      <c r="B9" s="153"/>
      <c r="C9" s="153"/>
      <c r="D9" s="153"/>
      <c r="E9" s="107"/>
      <c r="F9" s="156"/>
      <c r="G9" s="7"/>
      <c r="H9" s="141"/>
      <c r="I9" s="152"/>
      <c r="J9" s="153"/>
      <c r="K9" s="153"/>
      <c r="L9" s="153"/>
      <c r="M9" s="107"/>
      <c r="N9" s="156"/>
      <c r="O9" s="7" t="s">
        <v>364</v>
      </c>
      <c r="P9" s="141"/>
      <c r="Q9" s="152"/>
      <c r="R9" s="153"/>
      <c r="S9" s="153"/>
      <c r="T9" s="153"/>
      <c r="U9" s="107"/>
      <c r="V9" s="156"/>
      <c r="W9" s="5" t="s">
        <v>364</v>
      </c>
      <c r="X9" s="150"/>
      <c r="Y9" s="152"/>
      <c r="Z9" s="153"/>
      <c r="AA9" s="153"/>
      <c r="AB9" s="153"/>
      <c r="AC9" s="107"/>
      <c r="AD9" s="156"/>
      <c r="AE9" s="4" t="s">
        <v>364</v>
      </c>
      <c r="AF9" s="150"/>
      <c r="AG9" s="152"/>
      <c r="AH9" s="153"/>
      <c r="AI9" s="153"/>
      <c r="AJ9" s="153"/>
      <c r="AK9" s="107"/>
      <c r="AL9" s="156"/>
      <c r="AM9" s="5" t="s">
        <v>364</v>
      </c>
    </row>
    <row r="10" s="347" customFormat="1" spans="1:41">
      <c r="A10" s="157">
        <v>45708</v>
      </c>
      <c r="B10" s="158">
        <v>24</v>
      </c>
      <c r="C10" s="159" t="s">
        <v>365</v>
      </c>
      <c r="D10" s="159">
        <f>G10*0.9</f>
        <v>612</v>
      </c>
      <c r="E10" s="177"/>
      <c r="F10" s="177">
        <f>D10-E10</f>
        <v>612</v>
      </c>
      <c r="G10" s="19">
        <v>680</v>
      </c>
      <c r="H10" s="150"/>
      <c r="I10" s="157" t="s">
        <v>194</v>
      </c>
      <c r="J10" s="158"/>
      <c r="K10" s="159"/>
      <c r="L10" s="159"/>
      <c r="M10" s="177"/>
      <c r="N10" s="177">
        <f>L10-M10</f>
        <v>0</v>
      </c>
      <c r="O10" s="19"/>
      <c r="P10" s="150"/>
      <c r="Q10" s="165">
        <v>45721</v>
      </c>
      <c r="R10" s="166">
        <v>14</v>
      </c>
      <c r="S10" s="168" t="s">
        <v>365</v>
      </c>
      <c r="T10" s="168">
        <v>4662.5</v>
      </c>
      <c r="U10" s="160"/>
      <c r="V10" s="160">
        <f>T10-U10</f>
        <v>4662.5</v>
      </c>
      <c r="W10" s="388">
        <v>5747.5</v>
      </c>
      <c r="X10" s="150"/>
      <c r="Y10" s="389">
        <v>45708</v>
      </c>
      <c r="Z10" s="158">
        <v>23</v>
      </c>
      <c r="AA10" s="159" t="s">
        <v>365</v>
      </c>
      <c r="AB10" s="159">
        <f>AE10*0.9</f>
        <v>918</v>
      </c>
      <c r="AC10" s="177"/>
      <c r="AD10" s="177">
        <f>AB10-AC10</f>
        <v>918</v>
      </c>
      <c r="AE10" s="4">
        <v>1020</v>
      </c>
      <c r="AF10" s="150"/>
      <c r="AG10" s="389">
        <v>45702</v>
      </c>
      <c r="AH10" s="158">
        <v>1</v>
      </c>
      <c r="AI10" s="159" t="s">
        <v>365</v>
      </c>
      <c r="AJ10" s="159">
        <f>AM10*0.9</f>
        <v>3652.2</v>
      </c>
      <c r="AK10" s="177"/>
      <c r="AL10" s="177">
        <f>AJ10-AK10</f>
        <v>3652.2</v>
      </c>
      <c r="AM10" s="4">
        <v>4058</v>
      </c>
    </row>
    <row r="11" s="347" customFormat="1" spans="1:41">
      <c r="A11" s="389">
        <v>45708</v>
      </c>
      <c r="B11" s="158">
        <v>24</v>
      </c>
      <c r="C11" s="439" t="s">
        <v>366</v>
      </c>
      <c r="D11" s="439"/>
      <c r="E11" s="440"/>
      <c r="F11" s="440">
        <f>F10+D11-E11</f>
        <v>612</v>
      </c>
      <c r="G11" s="353">
        <v>300</v>
      </c>
      <c r="H11" s="150"/>
      <c r="I11" s="389">
        <v>45760</v>
      </c>
      <c r="J11" s="158" t="s">
        <v>367</v>
      </c>
      <c r="K11" s="390" t="s">
        <v>368</v>
      </c>
      <c r="L11" s="159">
        <v>43.3</v>
      </c>
      <c r="M11" s="177"/>
      <c r="N11" s="177">
        <f t="shared" ref="N11:N16" si="0">N10+L11-M11</f>
        <v>43.3</v>
      </c>
      <c r="O11" s="19"/>
      <c r="P11" s="150"/>
      <c r="Q11" s="165">
        <v>45834</v>
      </c>
      <c r="R11" s="167"/>
      <c r="S11" s="168" t="s">
        <v>369</v>
      </c>
      <c r="T11" s="168"/>
      <c r="U11" s="192">
        <v>4662.5</v>
      </c>
      <c r="V11" s="160">
        <f t="shared" ref="V11:V18" si="1">V10+T11-U11</f>
        <v>0</v>
      </c>
      <c r="W11" s="388"/>
      <c r="X11" s="7" t="s">
        <v>370</v>
      </c>
      <c r="Y11" s="182">
        <v>45835</v>
      </c>
      <c r="Z11" s="184" t="s">
        <v>371</v>
      </c>
      <c r="AA11" s="184" t="s">
        <v>365</v>
      </c>
      <c r="AB11" s="185">
        <f>AE11*0.9</f>
        <v>803.7</v>
      </c>
      <c r="AC11" s="192">
        <v>803.7</v>
      </c>
      <c r="AD11" s="177">
        <f>AD10+AB11-AC11</f>
        <v>918</v>
      </c>
      <c r="AE11" s="266">
        <v>893</v>
      </c>
      <c r="AF11" t="s">
        <v>372</v>
      </c>
      <c r="AG11" s="389">
        <v>45708</v>
      </c>
      <c r="AH11" s="158">
        <v>23</v>
      </c>
      <c r="AI11" s="159" t="s">
        <v>365</v>
      </c>
      <c r="AJ11" s="159">
        <f>AM11*0.9</f>
        <v>799.2</v>
      </c>
      <c r="AK11" s="177"/>
      <c r="AL11" s="177">
        <f t="shared" ref="AL11:AL18" si="2">AL10+AJ11-AK11</f>
        <v>4451.4</v>
      </c>
      <c r="AM11" s="4">
        <v>888</v>
      </c>
    </row>
    <row r="12" s="347" customFormat="1" spans="1:41">
      <c r="A12" s="389">
        <v>45713</v>
      </c>
      <c r="B12" s="158">
        <v>41</v>
      </c>
      <c r="C12" s="159" t="s">
        <v>365</v>
      </c>
      <c r="D12" s="159">
        <f>G12*0.9</f>
        <v>1357.2</v>
      </c>
      <c r="E12" s="177"/>
      <c r="F12" s="177">
        <f t="shared" ref="F12:F22" si="3">F11+D12-E12</f>
        <v>1969.2</v>
      </c>
      <c r="G12" s="19">
        <v>1508</v>
      </c>
      <c r="H12" s="150"/>
      <c r="I12" s="389">
        <v>45760</v>
      </c>
      <c r="J12" s="158" t="s">
        <v>367</v>
      </c>
      <c r="K12" s="390" t="s">
        <v>373</v>
      </c>
      <c r="L12" s="159">
        <v>288</v>
      </c>
      <c r="M12" s="177">
        <v>288</v>
      </c>
      <c r="N12" s="177">
        <f t="shared" si="0"/>
        <v>43.3</v>
      </c>
      <c r="O12" s="19" t="s">
        <v>374</v>
      </c>
      <c r="P12" s="150"/>
      <c r="Q12" s="165">
        <v>45785</v>
      </c>
      <c r="R12" s="166">
        <v>14</v>
      </c>
      <c r="S12" s="168" t="s">
        <v>365</v>
      </c>
      <c r="T12" s="168">
        <v>3580</v>
      </c>
      <c r="U12" s="160"/>
      <c r="V12" s="160">
        <f t="shared" si="1"/>
        <v>3580</v>
      </c>
      <c r="W12" s="4">
        <v>4383</v>
      </c>
      <c r="Y12" s="389">
        <v>45965</v>
      </c>
      <c r="Z12" s="158"/>
      <c r="AA12" s="159" t="s">
        <v>375</v>
      </c>
      <c r="AB12" s="159"/>
      <c r="AC12" s="177">
        <v>900</v>
      </c>
      <c r="AD12" s="177">
        <f>AD11+AB12-AC12</f>
        <v>18</v>
      </c>
      <c r="AE12" s="4"/>
      <c r="AF12" s="150"/>
      <c r="AG12" s="165">
        <v>45716</v>
      </c>
      <c r="AH12" s="166">
        <v>48</v>
      </c>
      <c r="AI12" s="168" t="s">
        <v>365</v>
      </c>
      <c r="AJ12" s="159">
        <f>AM12*0.9</f>
        <v>91.8</v>
      </c>
      <c r="AK12" s="177"/>
      <c r="AL12" s="177">
        <f t="shared" si="2"/>
        <v>4543.2</v>
      </c>
      <c r="AM12" s="4">
        <v>102</v>
      </c>
      <c r="AN12" s="347">
        <f>SUM(AM10:AM12)</f>
        <v>5048</v>
      </c>
    </row>
    <row r="13" s="347" customFormat="1" spans="1:41">
      <c r="A13" s="165">
        <v>45719</v>
      </c>
      <c r="B13" s="166">
        <v>12</v>
      </c>
      <c r="C13" s="168" t="s">
        <v>365</v>
      </c>
      <c r="D13" s="159">
        <f>G13*0.9</f>
        <v>2142</v>
      </c>
      <c r="E13" s="177"/>
      <c r="F13" s="177">
        <f t="shared" si="3"/>
        <v>4111.2</v>
      </c>
      <c r="G13" s="19">
        <v>2380</v>
      </c>
      <c r="H13" s="441"/>
      <c r="I13" s="165">
        <v>45951</v>
      </c>
      <c r="J13" s="158">
        <v>56</v>
      </c>
      <c r="K13" s="167" t="s">
        <v>365</v>
      </c>
      <c r="L13" s="168">
        <f>O13</f>
        <v>1200</v>
      </c>
      <c r="M13" s="177">
        <v>1200</v>
      </c>
      <c r="N13" s="177">
        <f t="shared" si="0"/>
        <v>43.3</v>
      </c>
      <c r="O13" s="4">
        <v>1200</v>
      </c>
      <c r="P13" s="150"/>
      <c r="Q13" s="165">
        <v>45878</v>
      </c>
      <c r="R13" s="166">
        <v>20</v>
      </c>
      <c r="S13" s="168" t="s">
        <v>365</v>
      </c>
      <c r="T13" s="168">
        <v>300</v>
      </c>
      <c r="U13" s="160"/>
      <c r="V13" s="160">
        <f t="shared" si="1"/>
        <v>3880</v>
      </c>
      <c r="W13" s="4">
        <v>430</v>
      </c>
      <c r="X13" s="7"/>
      <c r="Y13" s="389"/>
      <c r="Z13" s="158"/>
      <c r="AA13" s="159"/>
      <c r="AB13" s="159"/>
      <c r="AC13" s="177"/>
      <c r="AD13" s="222"/>
      <c r="AE13" s="4"/>
      <c r="AF13" s="150"/>
      <c r="AG13" s="182">
        <v>45786</v>
      </c>
      <c r="AH13" s="193"/>
      <c r="AI13" s="191" t="s">
        <v>375</v>
      </c>
      <c r="AJ13" s="185"/>
      <c r="AK13" s="222">
        <v>4500</v>
      </c>
      <c r="AL13" s="222">
        <f t="shared" si="2"/>
        <v>43.1999999999998</v>
      </c>
      <c r="AM13" s="4"/>
    </row>
    <row r="14" s="347" customFormat="1" ht="24" spans="1:41">
      <c r="A14" s="165">
        <v>45721</v>
      </c>
      <c r="B14" s="166">
        <v>17</v>
      </c>
      <c r="C14" s="168" t="s">
        <v>365</v>
      </c>
      <c r="D14" s="159">
        <f>G14*0.9</f>
        <v>3628.35</v>
      </c>
      <c r="E14" s="177"/>
      <c r="F14" s="177">
        <f t="shared" si="3"/>
        <v>7739.55</v>
      </c>
      <c r="G14" s="19">
        <v>4031.5</v>
      </c>
      <c r="H14" s="441"/>
      <c r="I14" s="389">
        <v>45971</v>
      </c>
      <c r="J14" s="158">
        <v>27</v>
      </c>
      <c r="K14" s="167" t="s">
        <v>376</v>
      </c>
      <c r="L14" s="159">
        <v>241</v>
      </c>
      <c r="M14" s="177">
        <v>241</v>
      </c>
      <c r="N14" s="177">
        <f t="shared" si="0"/>
        <v>43.3</v>
      </c>
      <c r="O14" s="19">
        <v>241</v>
      </c>
      <c r="P14" s="150" t="s">
        <v>377</v>
      </c>
      <c r="Q14" s="165">
        <v>45897</v>
      </c>
      <c r="R14" s="167" t="s">
        <v>378</v>
      </c>
      <c r="S14" s="168" t="s">
        <v>365</v>
      </c>
      <c r="T14" s="191">
        <v>2734.5</v>
      </c>
      <c r="U14" s="160"/>
      <c r="V14" s="160">
        <f t="shared" si="1"/>
        <v>6614.5</v>
      </c>
      <c r="W14" s="4">
        <v>3706.5</v>
      </c>
      <c r="X14" s="7"/>
      <c r="Y14" s="389"/>
      <c r="Z14" s="158"/>
      <c r="AA14" s="159"/>
      <c r="AB14" s="159"/>
      <c r="AC14" s="177"/>
      <c r="AD14" s="222"/>
      <c r="AE14" s="4"/>
      <c r="AF14" s="150"/>
      <c r="AG14" s="182">
        <v>45786</v>
      </c>
      <c r="AH14" s="193"/>
      <c r="AI14" s="191" t="s">
        <v>379</v>
      </c>
      <c r="AJ14" s="185"/>
      <c r="AK14" s="222">
        <v>43.2</v>
      </c>
      <c r="AL14" s="222">
        <f t="shared" si="2"/>
        <v>-2.06057393370429e-13</v>
      </c>
      <c r="AM14" s="4"/>
    </row>
    <row r="15" s="347" customFormat="1" spans="1:41">
      <c r="A15" s="165">
        <v>45726</v>
      </c>
      <c r="B15" s="166">
        <v>32</v>
      </c>
      <c r="C15" s="422" t="s">
        <v>380</v>
      </c>
      <c r="D15" s="439"/>
      <c r="E15" s="440"/>
      <c r="F15" s="440">
        <f t="shared" si="3"/>
        <v>7739.55</v>
      </c>
      <c r="G15" s="353">
        <v>240</v>
      </c>
      <c r="H15" s="441"/>
      <c r="I15" s="199">
        <v>46039</v>
      </c>
      <c r="J15" s="183">
        <v>46</v>
      </c>
      <c r="K15" s="184" t="s">
        <v>376</v>
      </c>
      <c r="L15" s="185">
        <v>241</v>
      </c>
      <c r="M15" s="222"/>
      <c r="N15" s="222">
        <f t="shared" si="0"/>
        <v>284.3</v>
      </c>
      <c r="O15" s="19"/>
      <c r="P15" s="150"/>
      <c r="Q15" s="199" t="s">
        <v>381</v>
      </c>
      <c r="R15" s="219"/>
      <c r="S15" s="185" t="s">
        <v>382</v>
      </c>
      <c r="T15" s="185"/>
      <c r="U15" s="222">
        <v>2730</v>
      </c>
      <c r="V15" s="160">
        <f t="shared" si="1"/>
        <v>3884.5</v>
      </c>
      <c r="W15" s="388"/>
      <c r="X15" s="7"/>
      <c r="Y15" s="389"/>
      <c r="Z15" s="158"/>
      <c r="AA15" s="159"/>
      <c r="AB15" s="159"/>
      <c r="AC15" s="177"/>
      <c r="AD15" s="222"/>
      <c r="AE15" s="4"/>
      <c r="AF15" s="150"/>
      <c r="AG15" s="165">
        <v>45719</v>
      </c>
      <c r="AH15" s="166">
        <v>5</v>
      </c>
      <c r="AI15" s="168" t="s">
        <v>365</v>
      </c>
      <c r="AJ15" s="159">
        <f t="shared" ref="AJ15:AJ23" si="4">AM15*0.9</f>
        <v>688.5</v>
      </c>
      <c r="AK15" s="177"/>
      <c r="AL15" s="222">
        <f t="shared" si="2"/>
        <v>688.5</v>
      </c>
      <c r="AM15" s="4">
        <v>765</v>
      </c>
    </row>
    <row r="16" s="347" customFormat="1" spans="1:41">
      <c r="A16" s="165">
        <v>45733</v>
      </c>
      <c r="B16" s="166">
        <v>63</v>
      </c>
      <c r="C16" s="167" t="s">
        <v>365</v>
      </c>
      <c r="D16" s="159">
        <f t="shared" ref="D16:D23" si="5">G16*0.9</f>
        <v>2922.3</v>
      </c>
      <c r="E16" s="177"/>
      <c r="F16" s="177">
        <f t="shared" si="3"/>
        <v>10661.85</v>
      </c>
      <c r="G16" s="19">
        <v>3247</v>
      </c>
      <c r="H16" s="441"/>
      <c r="I16" s="389"/>
      <c r="J16" s="158"/>
      <c r="K16" s="390"/>
      <c r="L16" s="159"/>
      <c r="M16" s="177"/>
      <c r="N16" s="177">
        <f t="shared" si="0"/>
        <v>284.3</v>
      </c>
      <c r="O16" s="19"/>
      <c r="P16" s="150"/>
      <c r="Q16" s="389">
        <v>45968</v>
      </c>
      <c r="R16" s="390">
        <v>15</v>
      </c>
      <c r="S16" s="168" t="s">
        <v>365</v>
      </c>
      <c r="T16" s="159">
        <v>2590</v>
      </c>
      <c r="U16" s="177"/>
      <c r="V16" s="160">
        <f t="shared" si="1"/>
        <v>6474.5</v>
      </c>
      <c r="W16" s="4">
        <v>3470</v>
      </c>
      <c r="X16" s="7"/>
      <c r="Y16" s="389"/>
      <c r="Z16" s="158"/>
      <c r="AA16" s="159"/>
      <c r="AB16" s="159"/>
      <c r="AC16" s="177"/>
      <c r="AD16" s="222"/>
      <c r="AE16" s="4"/>
      <c r="AF16" s="150"/>
      <c r="AG16" s="165">
        <v>45720</v>
      </c>
      <c r="AH16" s="166">
        <v>13</v>
      </c>
      <c r="AI16" s="167" t="s">
        <v>365</v>
      </c>
      <c r="AJ16" s="159">
        <f t="shared" si="4"/>
        <v>1071</v>
      </c>
      <c r="AK16" s="177"/>
      <c r="AL16" s="222">
        <f t="shared" si="2"/>
        <v>1759.5</v>
      </c>
      <c r="AM16" s="4">
        <v>1190</v>
      </c>
    </row>
    <row r="17" s="347" customFormat="1" spans="1:40">
      <c r="A17" s="165">
        <v>45738</v>
      </c>
      <c r="B17" s="166">
        <v>86</v>
      </c>
      <c r="C17" s="167" t="s">
        <v>365</v>
      </c>
      <c r="D17" s="159">
        <f t="shared" si="5"/>
        <v>1829.7</v>
      </c>
      <c r="E17" s="177"/>
      <c r="F17" s="177">
        <f t="shared" si="3"/>
        <v>12491.55</v>
      </c>
      <c r="G17" s="19">
        <v>2033</v>
      </c>
      <c r="H17" s="441"/>
      <c r="I17" s="389"/>
      <c r="J17" s="158"/>
      <c r="K17" s="390"/>
      <c r="L17" s="159"/>
      <c r="M17" s="177"/>
      <c r="N17" s="177"/>
      <c r="O17" s="19"/>
      <c r="P17" s="150"/>
      <c r="Q17" s="389"/>
      <c r="R17" s="390"/>
      <c r="S17" s="185" t="s">
        <v>382</v>
      </c>
      <c r="T17" s="159"/>
      <c r="U17" s="177">
        <v>2530</v>
      </c>
      <c r="V17" s="160">
        <f t="shared" si="1"/>
        <v>3944.5</v>
      </c>
      <c r="W17" s="388"/>
      <c r="X17" s="7"/>
      <c r="Y17" s="389"/>
      <c r="Z17" s="158"/>
      <c r="AA17" s="159"/>
      <c r="AB17" s="159"/>
      <c r="AC17" s="177"/>
      <c r="AD17" s="222"/>
      <c r="AE17" s="4"/>
      <c r="AF17" s="150"/>
      <c r="AG17" s="165">
        <v>45721</v>
      </c>
      <c r="AH17" s="166">
        <v>15</v>
      </c>
      <c r="AI17" s="167" t="s">
        <v>365</v>
      </c>
      <c r="AJ17" s="159">
        <f t="shared" si="4"/>
        <v>555.75</v>
      </c>
      <c r="AK17" s="177"/>
      <c r="AL17" s="222">
        <f t="shared" si="2"/>
        <v>2315.25</v>
      </c>
      <c r="AM17" s="4">
        <v>617.5</v>
      </c>
    </row>
    <row r="18" s="347" customFormat="1" spans="1:40">
      <c r="A18" s="165">
        <v>45743</v>
      </c>
      <c r="B18" s="166">
        <v>113</v>
      </c>
      <c r="C18" s="167" t="s">
        <v>365</v>
      </c>
      <c r="D18" s="159">
        <f t="shared" si="5"/>
        <v>1530</v>
      </c>
      <c r="E18" s="177"/>
      <c r="F18" s="177">
        <f t="shared" si="3"/>
        <v>14021.55</v>
      </c>
      <c r="G18" s="19">
        <v>1700</v>
      </c>
      <c r="H18" s="441"/>
      <c r="I18" s="389"/>
      <c r="J18" s="158"/>
      <c r="K18" s="390"/>
      <c r="L18" s="159"/>
      <c r="M18" s="177"/>
      <c r="N18" s="177"/>
      <c r="O18" s="19"/>
      <c r="P18" s="150"/>
      <c r="Q18" s="389"/>
      <c r="R18" s="390"/>
      <c r="S18" s="159" t="s">
        <v>379</v>
      </c>
      <c r="T18" s="159"/>
      <c r="U18" s="177">
        <v>64.5</v>
      </c>
      <c r="V18" s="160">
        <f t="shared" si="1"/>
        <v>3880</v>
      </c>
      <c r="W18" s="388"/>
      <c r="X18" s="7">
        <f>SUM(W12:W18)</f>
        <v>11989.5</v>
      </c>
      <c r="Y18" s="389"/>
      <c r="Z18" s="158"/>
      <c r="AA18" s="159"/>
      <c r="AB18" s="159"/>
      <c r="AC18" s="177"/>
      <c r="AD18" s="222"/>
      <c r="AE18" s="4"/>
      <c r="AF18" s="150"/>
      <c r="AG18" s="165">
        <v>45723</v>
      </c>
      <c r="AH18" s="166">
        <v>25</v>
      </c>
      <c r="AI18" s="167" t="s">
        <v>365</v>
      </c>
      <c r="AJ18" s="159">
        <f t="shared" si="4"/>
        <v>315</v>
      </c>
      <c r="AK18" s="177"/>
      <c r="AL18" s="222">
        <f t="shared" si="2"/>
        <v>2630.25</v>
      </c>
      <c r="AM18" s="4">
        <v>350</v>
      </c>
    </row>
    <row r="19" s="347" customFormat="1" spans="1:40">
      <c r="A19" s="165">
        <v>45768</v>
      </c>
      <c r="B19" s="166">
        <v>59</v>
      </c>
      <c r="C19" s="167" t="s">
        <v>365</v>
      </c>
      <c r="D19" s="159">
        <f t="shared" si="5"/>
        <v>1933.2</v>
      </c>
      <c r="E19" s="177"/>
      <c r="F19" s="177">
        <f t="shared" si="3"/>
        <v>15954.75</v>
      </c>
      <c r="G19" s="19">
        <v>2148</v>
      </c>
      <c r="H19" s="150"/>
      <c r="I19" s="389"/>
      <c r="J19" s="158"/>
      <c r="K19" s="390"/>
      <c r="L19" s="159"/>
      <c r="M19" s="177"/>
      <c r="N19" s="177"/>
      <c r="O19" s="19"/>
      <c r="P19" s="150"/>
      <c r="Q19" s="165">
        <v>46018</v>
      </c>
      <c r="R19" s="158">
        <v>76</v>
      </c>
      <c r="S19" s="167" t="s">
        <v>365</v>
      </c>
      <c r="T19" s="159">
        <v>3065</v>
      </c>
      <c r="U19" s="184"/>
      <c r="V19" s="160">
        <f t="shared" ref="V19:V25" si="6">V18+T19-U19</f>
        <v>6945</v>
      </c>
      <c r="W19" s="5">
        <v>4125</v>
      </c>
      <c r="X19" s="7"/>
      <c r="Y19" s="389"/>
      <c r="Z19" s="158"/>
      <c r="AA19" s="159"/>
      <c r="AB19" s="159"/>
      <c r="AC19" s="177"/>
      <c r="AD19" s="222"/>
      <c r="AE19" s="4"/>
      <c r="AF19" s="150"/>
      <c r="AG19" s="165">
        <v>45727</v>
      </c>
      <c r="AH19" s="166">
        <v>36</v>
      </c>
      <c r="AI19" s="167" t="s">
        <v>365</v>
      </c>
      <c r="AJ19" s="159">
        <f t="shared" si="4"/>
        <v>1262.7</v>
      </c>
      <c r="AK19" s="177"/>
      <c r="AL19" s="177">
        <f t="shared" ref="AL15:AL25" si="7">AL18+AJ19-AK19</f>
        <v>3892.95</v>
      </c>
      <c r="AM19" s="4">
        <v>1403</v>
      </c>
    </row>
    <row r="20" s="347" customFormat="1" spans="1:40">
      <c r="A20" s="165">
        <v>45776</v>
      </c>
      <c r="B20" s="158">
        <v>97</v>
      </c>
      <c r="C20" s="167" t="s">
        <v>365</v>
      </c>
      <c r="D20" s="159">
        <f t="shared" si="5"/>
        <v>1506.6</v>
      </c>
      <c r="E20" s="177"/>
      <c r="F20" s="177">
        <f t="shared" si="3"/>
        <v>17461.35</v>
      </c>
      <c r="G20" s="19">
        <v>1674</v>
      </c>
      <c r="H20" s="150"/>
      <c r="I20" s="389"/>
      <c r="J20" s="158"/>
      <c r="K20" s="390"/>
      <c r="L20" s="159"/>
      <c r="M20" s="177"/>
      <c r="N20" s="177"/>
      <c r="O20" s="19"/>
      <c r="P20" s="150"/>
      <c r="Q20" s="389"/>
      <c r="R20" s="390"/>
      <c r="S20" s="159"/>
      <c r="T20" s="159"/>
      <c r="U20" s="177"/>
      <c r="V20" s="160">
        <f t="shared" si="6"/>
        <v>6945</v>
      </c>
      <c r="W20" s="388"/>
      <c r="X20" s="7"/>
      <c r="Y20" s="165"/>
      <c r="Z20" s="158"/>
      <c r="AA20" s="167"/>
      <c r="AB20" s="168"/>
      <c r="AC20" s="177"/>
      <c r="AD20" s="222"/>
      <c r="AE20" s="4"/>
      <c r="AF20" s="150"/>
      <c r="AG20" s="389">
        <v>45732</v>
      </c>
      <c r="AH20" s="158">
        <v>60</v>
      </c>
      <c r="AI20" s="167" t="s">
        <v>365</v>
      </c>
      <c r="AJ20" s="159">
        <f t="shared" si="4"/>
        <v>1436.4</v>
      </c>
      <c r="AK20" s="177"/>
      <c r="AL20" s="177">
        <f t="shared" si="7"/>
        <v>5329.35</v>
      </c>
      <c r="AM20" s="4">
        <v>1596</v>
      </c>
      <c r="AN20" s="347">
        <f>SUM(AM15:AM23)</f>
        <v>8564.5</v>
      </c>
    </row>
    <row r="21" s="347" customFormat="1" spans="1:40">
      <c r="A21" s="165">
        <v>45796</v>
      </c>
      <c r="B21" s="158">
        <v>53</v>
      </c>
      <c r="C21" s="167" t="s">
        <v>365</v>
      </c>
      <c r="D21" s="159">
        <f t="shared" si="5"/>
        <v>612</v>
      </c>
      <c r="E21" s="177"/>
      <c r="F21" s="177">
        <f t="shared" si="3"/>
        <v>18073.35</v>
      </c>
      <c r="G21" s="19">
        <v>680</v>
      </c>
      <c r="H21" s="150" t="s">
        <v>383</v>
      </c>
      <c r="I21" s="389"/>
      <c r="J21" s="158"/>
      <c r="K21" s="390"/>
      <c r="L21" s="159"/>
      <c r="M21" s="177"/>
      <c r="N21" s="177"/>
      <c r="O21" s="19"/>
      <c r="P21" s="150"/>
      <c r="Q21" s="389"/>
      <c r="R21" s="390"/>
      <c r="S21" s="159"/>
      <c r="T21" s="159"/>
      <c r="U21" s="177"/>
      <c r="V21" s="160">
        <f t="shared" si="6"/>
        <v>6945</v>
      </c>
      <c r="W21" s="388"/>
      <c r="X21" s="7"/>
      <c r="Y21" s="389"/>
      <c r="Z21" s="158"/>
      <c r="AA21" s="167"/>
      <c r="AB21" s="159"/>
      <c r="AC21" s="177"/>
      <c r="AD21" s="222"/>
      <c r="AE21" s="19"/>
      <c r="AF21" s="150"/>
      <c r="AG21" s="165">
        <v>45737</v>
      </c>
      <c r="AH21" s="166">
        <v>79</v>
      </c>
      <c r="AI21" s="167" t="s">
        <v>365</v>
      </c>
      <c r="AJ21" s="159">
        <f t="shared" si="4"/>
        <v>1454.4</v>
      </c>
      <c r="AK21" s="177"/>
      <c r="AL21" s="177">
        <f t="shared" si="7"/>
        <v>6783.75</v>
      </c>
      <c r="AM21" s="4">
        <v>1616</v>
      </c>
    </row>
    <row r="22" s="347" customFormat="1" spans="1:40">
      <c r="A22" s="165">
        <v>45826</v>
      </c>
      <c r="B22" s="158">
        <v>58</v>
      </c>
      <c r="C22" s="167" t="s">
        <v>365</v>
      </c>
      <c r="D22" s="159">
        <f t="shared" si="5"/>
        <v>427.5</v>
      </c>
      <c r="E22" s="177"/>
      <c r="F22" s="177">
        <f t="shared" si="3"/>
        <v>18500.85</v>
      </c>
      <c r="G22" s="19">
        <v>475</v>
      </c>
      <c r="H22" s="150"/>
      <c r="I22" s="389"/>
      <c r="J22" s="158"/>
      <c r="K22" s="390"/>
      <c r="L22" s="159"/>
      <c r="M22" s="177"/>
      <c r="N22" s="177"/>
      <c r="O22" s="19"/>
      <c r="P22" s="150"/>
      <c r="Q22" s="389"/>
      <c r="R22" s="390"/>
      <c r="S22" s="159"/>
      <c r="T22" s="159"/>
      <c r="U22" s="177"/>
      <c r="V22" s="160">
        <f t="shared" si="6"/>
        <v>6945</v>
      </c>
      <c r="W22" s="388"/>
      <c r="X22" s="7"/>
      <c r="Y22" s="389"/>
      <c r="Z22" s="158"/>
      <c r="AA22" s="159"/>
      <c r="AB22" s="159"/>
      <c r="AC22" s="177"/>
      <c r="AD22" s="177"/>
      <c r="AE22" s="7"/>
      <c r="AF22" s="150"/>
      <c r="AG22" s="165">
        <v>45740</v>
      </c>
      <c r="AH22" s="166">
        <v>91</v>
      </c>
      <c r="AI22" s="167" t="s">
        <v>365</v>
      </c>
      <c r="AJ22" s="159">
        <f t="shared" si="4"/>
        <v>618.3</v>
      </c>
      <c r="AK22" s="177"/>
      <c r="AL22" s="177">
        <f t="shared" si="7"/>
        <v>7402.05</v>
      </c>
      <c r="AM22" s="4">
        <v>687</v>
      </c>
    </row>
    <row r="23" s="347" customFormat="1" spans="1:40">
      <c r="A23" s="442">
        <v>45836</v>
      </c>
      <c r="B23" s="158">
        <v>92</v>
      </c>
      <c r="C23" s="167" t="s">
        <v>365</v>
      </c>
      <c r="D23" s="159">
        <f t="shared" si="5"/>
        <v>1009.8</v>
      </c>
      <c r="E23" s="177"/>
      <c r="F23" s="177">
        <f t="shared" ref="F23:F28" si="8">F22+D23-E23</f>
        <v>19510.65</v>
      </c>
      <c r="G23" s="19">
        <v>1122</v>
      </c>
      <c r="H23" s="150" t="s">
        <v>384</v>
      </c>
      <c r="I23" s="389"/>
      <c r="J23" s="158"/>
      <c r="K23" s="390"/>
      <c r="L23" s="159"/>
      <c r="M23" s="177"/>
      <c r="N23" s="177"/>
      <c r="O23" s="19"/>
      <c r="P23" s="150"/>
      <c r="Q23" s="389"/>
      <c r="R23" s="390"/>
      <c r="S23" s="159"/>
      <c r="T23" s="159"/>
      <c r="U23" s="177"/>
      <c r="V23" s="160">
        <f t="shared" si="6"/>
        <v>6945</v>
      </c>
      <c r="W23" s="388"/>
      <c r="X23" s="7"/>
      <c r="Y23" s="389"/>
      <c r="Z23" s="158"/>
      <c r="AA23" s="159"/>
      <c r="AB23" s="159"/>
      <c r="AC23" s="177"/>
      <c r="AD23" s="177"/>
      <c r="AE23" s="7"/>
      <c r="AF23" s="150"/>
      <c r="AG23" s="165">
        <v>45741</v>
      </c>
      <c r="AH23" s="166">
        <v>96</v>
      </c>
      <c r="AI23" s="167" t="s">
        <v>365</v>
      </c>
      <c r="AJ23" s="159">
        <f t="shared" si="4"/>
        <v>306</v>
      </c>
      <c r="AK23" s="177"/>
      <c r="AL23" s="177">
        <f t="shared" si="7"/>
        <v>7708.05</v>
      </c>
      <c r="AM23" s="4">
        <v>340</v>
      </c>
    </row>
    <row r="24" s="347" customFormat="1" spans="1:40">
      <c r="A24" s="389" t="s">
        <v>385</v>
      </c>
      <c r="B24" s="158"/>
      <c r="C24" s="439" t="s">
        <v>386</v>
      </c>
      <c r="D24" s="439"/>
      <c r="E24" s="440"/>
      <c r="F24" s="440">
        <f t="shared" si="8"/>
        <v>19510.65</v>
      </c>
      <c r="G24" s="353">
        <v>190</v>
      </c>
      <c r="H24" s="150"/>
      <c r="I24" s="389"/>
      <c r="J24" s="158"/>
      <c r="K24" s="390"/>
      <c r="L24" s="159"/>
      <c r="M24" s="177"/>
      <c r="N24" s="177"/>
      <c r="O24" s="19"/>
      <c r="P24" s="150"/>
      <c r="Q24" s="389"/>
      <c r="R24" s="390"/>
      <c r="S24" s="159"/>
      <c r="T24" s="159"/>
      <c r="U24" s="177"/>
      <c r="V24" s="160">
        <f t="shared" si="6"/>
        <v>6945</v>
      </c>
      <c r="W24" s="388"/>
      <c r="X24" s="7"/>
      <c r="Y24" s="389"/>
      <c r="Z24" s="158"/>
      <c r="AA24" s="159"/>
      <c r="AB24" s="159"/>
      <c r="AC24" s="177"/>
      <c r="AD24" s="177"/>
      <c r="AE24" s="7"/>
      <c r="AF24" s="150"/>
      <c r="AG24" s="182">
        <v>45834</v>
      </c>
      <c r="AH24" s="193"/>
      <c r="AI24" s="184" t="s">
        <v>369</v>
      </c>
      <c r="AJ24" s="185"/>
      <c r="AK24" s="222">
        <v>7650</v>
      </c>
      <c r="AL24" s="177">
        <f t="shared" si="7"/>
        <v>58.0500000000002</v>
      </c>
      <c r="AM24" s="4"/>
    </row>
    <row r="25" s="347" customFormat="1" spans="1:40">
      <c r="A25" s="165">
        <v>45843</v>
      </c>
      <c r="B25" s="158">
        <v>19</v>
      </c>
      <c r="C25" s="167" t="s">
        <v>365</v>
      </c>
      <c r="D25" s="159">
        <f t="shared" ref="D25:D34" si="9">G25*0.9</f>
        <v>2032.2</v>
      </c>
      <c r="E25" s="177"/>
      <c r="F25" s="177">
        <f t="shared" si="8"/>
        <v>21542.85</v>
      </c>
      <c r="G25" s="19">
        <v>2258</v>
      </c>
      <c r="H25" s="150"/>
      <c r="I25" s="389"/>
      <c r="J25" s="158"/>
      <c r="K25" s="390"/>
      <c r="L25" s="159"/>
      <c r="M25" s="177"/>
      <c r="N25" s="177"/>
      <c r="O25" s="19"/>
      <c r="P25" s="150"/>
      <c r="Q25" s="389"/>
      <c r="R25" s="390"/>
      <c r="S25" s="159"/>
      <c r="T25" s="159"/>
      <c r="U25" s="177"/>
      <c r="V25" s="160">
        <f t="shared" si="6"/>
        <v>6945</v>
      </c>
      <c r="W25" s="388"/>
      <c r="X25" s="7"/>
      <c r="Y25" s="389"/>
      <c r="Z25" s="158"/>
      <c r="AA25" s="159"/>
      <c r="AB25" s="159"/>
      <c r="AC25" s="177"/>
      <c r="AD25" s="177"/>
      <c r="AE25" s="7"/>
      <c r="AF25" s="150"/>
      <c r="AG25" s="165">
        <v>45834</v>
      </c>
      <c r="AH25" s="166"/>
      <c r="AI25" s="167" t="s">
        <v>379</v>
      </c>
      <c r="AJ25" s="159"/>
      <c r="AK25" s="177">
        <v>58.1</v>
      </c>
      <c r="AL25" s="177">
        <f t="shared" si="7"/>
        <v>-0.0499999999998195</v>
      </c>
      <c r="AM25" s="4"/>
      <c r="AN25" s="347">
        <f>SUM(AM26:AM33)</f>
        <v>12349</v>
      </c>
    </row>
    <row r="26" s="347" customFormat="1" spans="1:40">
      <c r="A26" s="165">
        <v>45845</v>
      </c>
      <c r="B26" s="158">
        <v>24</v>
      </c>
      <c r="C26" s="167" t="s">
        <v>365</v>
      </c>
      <c r="D26" s="159">
        <f t="shared" si="9"/>
        <v>382.5</v>
      </c>
      <c r="E26" s="177"/>
      <c r="F26" s="177">
        <f t="shared" si="8"/>
        <v>21925.35</v>
      </c>
      <c r="G26" s="19">
        <v>425</v>
      </c>
      <c r="H26" s="150"/>
      <c r="I26" s="389"/>
      <c r="J26" s="158"/>
      <c r="K26" s="390"/>
      <c r="L26" s="159"/>
      <c r="M26" s="177"/>
      <c r="N26" s="177"/>
      <c r="O26" s="19"/>
      <c r="P26" s="150"/>
      <c r="Q26" s="389"/>
      <c r="R26" s="390"/>
      <c r="S26" s="159"/>
      <c r="T26" s="159"/>
      <c r="U26" s="177"/>
      <c r="V26" s="177"/>
      <c r="W26" s="388"/>
      <c r="X26" s="7"/>
      <c r="Y26" s="389"/>
      <c r="Z26" s="158"/>
      <c r="AA26" s="159"/>
      <c r="AB26" s="159"/>
      <c r="AC26" s="177"/>
      <c r="AD26" s="177"/>
      <c r="AE26" s="7"/>
      <c r="AF26" s="150"/>
      <c r="AG26" s="165">
        <v>45748</v>
      </c>
      <c r="AH26" s="166">
        <v>1</v>
      </c>
      <c r="AI26" s="167" t="s">
        <v>365</v>
      </c>
      <c r="AJ26" s="159">
        <f>AM26*0.9</f>
        <v>675.9</v>
      </c>
      <c r="AK26" s="177"/>
      <c r="AL26" s="177">
        <f t="shared" ref="AL26:AL35" si="10">AL25+AJ26-AK26</f>
        <v>675.85</v>
      </c>
      <c r="AM26" s="4">
        <v>751</v>
      </c>
    </row>
    <row r="27" s="347" customFormat="1" spans="1:40">
      <c r="A27" s="165">
        <v>45856</v>
      </c>
      <c r="B27" s="158">
        <v>64</v>
      </c>
      <c r="C27" s="167" t="s">
        <v>365</v>
      </c>
      <c r="D27" s="159">
        <f t="shared" si="9"/>
        <v>918</v>
      </c>
      <c r="E27" s="177"/>
      <c r="F27" s="177">
        <f t="shared" si="8"/>
        <v>22843.35</v>
      </c>
      <c r="G27" s="19">
        <v>1020</v>
      </c>
      <c r="H27" s="150"/>
      <c r="I27" s="389"/>
      <c r="J27" s="158"/>
      <c r="K27" s="390"/>
      <c r="L27" s="159"/>
      <c r="M27" s="177"/>
      <c r="N27" s="177"/>
      <c r="O27" s="19"/>
      <c r="P27" s="150"/>
      <c r="Q27" s="389"/>
      <c r="R27" s="390"/>
      <c r="S27" s="159"/>
      <c r="T27" s="159"/>
      <c r="U27" s="177"/>
      <c r="V27" s="177"/>
      <c r="W27" s="388"/>
      <c r="X27" s="7"/>
      <c r="Y27" s="389"/>
      <c r="Z27" s="158"/>
      <c r="AA27" s="159"/>
      <c r="AB27" s="159"/>
      <c r="AC27" s="177"/>
      <c r="AD27" s="177"/>
      <c r="AE27" s="7"/>
      <c r="AF27" s="150"/>
      <c r="AG27" s="165">
        <v>45749</v>
      </c>
      <c r="AH27" s="166">
        <v>16</v>
      </c>
      <c r="AI27" s="167" t="s">
        <v>365</v>
      </c>
      <c r="AJ27" s="159">
        <f t="shared" ref="AJ27:AJ33" si="11">AM27*0.9</f>
        <v>554.4</v>
      </c>
      <c r="AK27" s="177"/>
      <c r="AL27" s="177">
        <f t="shared" si="10"/>
        <v>1230.25</v>
      </c>
      <c r="AM27" s="4">
        <v>616</v>
      </c>
    </row>
    <row r="28" s="347" customFormat="1" spans="1:40">
      <c r="A28" s="165">
        <v>45867</v>
      </c>
      <c r="B28" s="158">
        <v>91</v>
      </c>
      <c r="C28" s="167" t="s">
        <v>365</v>
      </c>
      <c r="D28" s="159">
        <f t="shared" si="9"/>
        <v>3262.5</v>
      </c>
      <c r="E28" s="177"/>
      <c r="F28" s="177">
        <f t="shared" si="8"/>
        <v>26105.85</v>
      </c>
      <c r="G28" s="19">
        <v>3625</v>
      </c>
      <c r="H28" s="150"/>
      <c r="I28" s="389"/>
      <c r="J28" s="158"/>
      <c r="K28" s="390"/>
      <c r="L28" s="159"/>
      <c r="M28" s="177"/>
      <c r="N28" s="177"/>
      <c r="O28" s="19"/>
      <c r="P28" s="150"/>
      <c r="Q28" s="389"/>
      <c r="R28" s="390"/>
      <c r="S28" s="159"/>
      <c r="T28" s="159"/>
      <c r="U28" s="177"/>
      <c r="V28" s="177"/>
      <c r="W28" s="388"/>
      <c r="X28" s="7"/>
      <c r="Y28" s="389"/>
      <c r="Z28" s="158"/>
      <c r="AA28" s="159"/>
      <c r="AB28" s="159"/>
      <c r="AC28" s="177"/>
      <c r="AD28" s="177"/>
      <c r="AE28" s="7"/>
      <c r="AF28" s="150"/>
      <c r="AG28" s="165">
        <v>45756</v>
      </c>
      <c r="AH28" s="166">
        <v>26</v>
      </c>
      <c r="AI28" s="167" t="s">
        <v>365</v>
      </c>
      <c r="AJ28" s="159">
        <f t="shared" si="11"/>
        <v>1271.7</v>
      </c>
      <c r="AK28" s="177"/>
      <c r="AL28" s="177">
        <f t="shared" si="10"/>
        <v>2501.95</v>
      </c>
      <c r="AM28" s="4">
        <v>1413</v>
      </c>
    </row>
    <row r="29" s="347" customFormat="1" spans="1:40">
      <c r="A29" s="165">
        <v>45871</v>
      </c>
      <c r="B29" s="166">
        <v>4</v>
      </c>
      <c r="C29" s="167" t="s">
        <v>365</v>
      </c>
      <c r="D29" s="159">
        <f t="shared" si="9"/>
        <v>1392.3</v>
      </c>
      <c r="E29" s="177"/>
      <c r="F29" s="177">
        <f t="shared" ref="F29:F36" si="12">F28+D29-E29</f>
        <v>27498.15</v>
      </c>
      <c r="G29" s="19">
        <v>1547</v>
      </c>
      <c r="H29" s="150"/>
      <c r="I29" s="389"/>
      <c r="J29" s="158"/>
      <c r="K29" s="390"/>
      <c r="L29" s="159"/>
      <c r="M29" s="177"/>
      <c r="N29" s="177"/>
      <c r="O29" s="19"/>
      <c r="P29" s="150"/>
      <c r="Q29" s="389"/>
      <c r="R29" s="390"/>
      <c r="S29" s="159"/>
      <c r="T29" s="159"/>
      <c r="U29" s="177"/>
      <c r="V29" s="177"/>
      <c r="W29" s="388"/>
      <c r="X29" s="7"/>
      <c r="Y29" s="389"/>
      <c r="Z29" s="158"/>
      <c r="AA29" s="159"/>
      <c r="AB29" s="159"/>
      <c r="AC29" s="177"/>
      <c r="AD29" s="177"/>
      <c r="AE29" s="7"/>
      <c r="AF29" s="150"/>
      <c r="AG29" s="165">
        <v>45766</v>
      </c>
      <c r="AH29" s="166">
        <v>55</v>
      </c>
      <c r="AI29" s="167" t="s">
        <v>365</v>
      </c>
      <c r="AJ29" s="159">
        <f t="shared" si="11"/>
        <v>421.2</v>
      </c>
      <c r="AK29" s="177"/>
      <c r="AL29" s="177">
        <f t="shared" si="10"/>
        <v>2923.15</v>
      </c>
      <c r="AM29" s="4">
        <v>468</v>
      </c>
    </row>
    <row r="30" s="347" customFormat="1" spans="1:40">
      <c r="A30" s="442">
        <v>45899</v>
      </c>
      <c r="B30" s="158">
        <v>86</v>
      </c>
      <c r="C30" s="167" t="s">
        <v>365</v>
      </c>
      <c r="D30" s="159">
        <f t="shared" si="9"/>
        <v>795.6</v>
      </c>
      <c r="E30" s="177"/>
      <c r="F30" s="177">
        <f t="shared" si="12"/>
        <v>28293.75</v>
      </c>
      <c r="G30" s="19">
        <v>884</v>
      </c>
      <c r="H30" s="150"/>
      <c r="I30" s="389"/>
      <c r="J30" s="158"/>
      <c r="K30" s="390"/>
      <c r="L30" s="159"/>
      <c r="M30" s="177"/>
      <c r="N30" s="177"/>
      <c r="O30" s="19"/>
      <c r="P30" s="150"/>
      <c r="Q30" s="389"/>
      <c r="R30" s="390"/>
      <c r="S30" s="159"/>
      <c r="T30" s="159"/>
      <c r="U30" s="177"/>
      <c r="V30" s="177"/>
      <c r="W30" s="388"/>
      <c r="X30" s="7"/>
      <c r="Y30" s="389"/>
      <c r="Z30" s="158"/>
      <c r="AA30" s="159"/>
      <c r="AB30" s="159"/>
      <c r="AC30" s="177"/>
      <c r="AD30" s="177"/>
      <c r="AE30" s="7"/>
      <c r="AF30" s="150"/>
      <c r="AG30" s="165">
        <v>45768</v>
      </c>
      <c r="AH30" s="166">
        <v>60</v>
      </c>
      <c r="AI30" s="167" t="s">
        <v>365</v>
      </c>
      <c r="AJ30" s="159">
        <f t="shared" si="11"/>
        <v>1170</v>
      </c>
      <c r="AK30" s="177"/>
      <c r="AL30" s="177">
        <f t="shared" si="10"/>
        <v>4093.15</v>
      </c>
      <c r="AM30" s="4">
        <v>1300</v>
      </c>
    </row>
    <row r="31" s="347" customFormat="1" spans="1:40">
      <c r="A31" s="165">
        <v>45913</v>
      </c>
      <c r="B31" s="158">
        <v>31</v>
      </c>
      <c r="C31" s="167" t="s">
        <v>365</v>
      </c>
      <c r="D31" s="159">
        <f t="shared" si="9"/>
        <v>2195.1</v>
      </c>
      <c r="E31" s="177"/>
      <c r="F31" s="177">
        <f t="shared" si="12"/>
        <v>30488.85</v>
      </c>
      <c r="G31" s="19">
        <v>2439</v>
      </c>
      <c r="H31" s="150" t="s">
        <v>387</v>
      </c>
      <c r="I31" s="389"/>
      <c r="J31" s="158"/>
      <c r="K31" s="390"/>
      <c r="L31" s="159"/>
      <c r="M31" s="177"/>
      <c r="N31" s="177"/>
      <c r="O31" s="19"/>
      <c r="P31" s="150"/>
      <c r="Q31" s="389"/>
      <c r="R31" s="390"/>
      <c r="S31" s="159"/>
      <c r="T31" s="159"/>
      <c r="U31" s="177"/>
      <c r="V31" s="177"/>
      <c r="W31" s="388"/>
      <c r="X31" s="7"/>
      <c r="Y31" s="389"/>
      <c r="Z31" s="158"/>
      <c r="AA31" s="159"/>
      <c r="AB31" s="159"/>
      <c r="AC31" s="177"/>
      <c r="AD31" s="177"/>
      <c r="AE31" s="7"/>
      <c r="AF31" s="150"/>
      <c r="AG31" s="165">
        <v>45769</v>
      </c>
      <c r="AH31" s="166">
        <v>69</v>
      </c>
      <c r="AI31" s="167" t="s">
        <v>365</v>
      </c>
      <c r="AJ31" s="159">
        <f t="shared" si="11"/>
        <v>466.2</v>
      </c>
      <c r="AK31" s="177"/>
      <c r="AL31" s="177">
        <f t="shared" si="10"/>
        <v>4559.35</v>
      </c>
      <c r="AM31" s="4">
        <v>518</v>
      </c>
    </row>
    <row r="32" s="347" customFormat="1" spans="1:40">
      <c r="A32" s="165">
        <v>45929</v>
      </c>
      <c r="B32" s="158">
        <v>87</v>
      </c>
      <c r="C32" s="167" t="s">
        <v>365</v>
      </c>
      <c r="D32" s="159">
        <f t="shared" si="9"/>
        <v>3179.7</v>
      </c>
      <c r="E32" s="177"/>
      <c r="F32" s="177">
        <f t="shared" si="12"/>
        <v>33668.55</v>
      </c>
      <c r="G32" s="19">
        <v>3533</v>
      </c>
      <c r="H32" s="150"/>
      <c r="I32" s="389"/>
      <c r="J32" s="158"/>
      <c r="K32" s="390"/>
      <c r="L32" s="159"/>
      <c r="M32" s="177"/>
      <c r="N32" s="177"/>
      <c r="O32" s="19"/>
      <c r="P32" s="150"/>
      <c r="Q32" s="389"/>
      <c r="R32" s="390"/>
      <c r="S32" s="159"/>
      <c r="T32" s="159"/>
      <c r="U32" s="177"/>
      <c r="V32" s="177"/>
      <c r="W32" s="388"/>
      <c r="X32" s="7"/>
      <c r="Y32" s="389"/>
      <c r="Z32" s="158"/>
      <c r="AA32" s="159"/>
      <c r="AB32" s="159"/>
      <c r="AC32" s="177"/>
      <c r="AD32" s="177"/>
      <c r="AE32" s="7"/>
      <c r="AF32" s="150"/>
      <c r="AG32" s="165">
        <v>45776</v>
      </c>
      <c r="AH32" s="166">
        <v>96</v>
      </c>
      <c r="AI32" s="167" t="s">
        <v>365</v>
      </c>
      <c r="AJ32" s="159">
        <f t="shared" si="11"/>
        <v>5636.7</v>
      </c>
      <c r="AK32" s="177"/>
      <c r="AL32" s="177">
        <f t="shared" si="10"/>
        <v>10196.05</v>
      </c>
      <c r="AM32" s="4">
        <v>6263</v>
      </c>
      <c r="AN32" s="347">
        <f>SUM(AM26:AM33)</f>
        <v>12349</v>
      </c>
    </row>
    <row r="33" s="347" customFormat="1" spans="1:39">
      <c r="A33" s="165">
        <v>46007</v>
      </c>
      <c r="B33" s="158">
        <v>38</v>
      </c>
      <c r="C33" s="167" t="s">
        <v>365</v>
      </c>
      <c r="D33" s="159">
        <f t="shared" si="9"/>
        <v>3099.6</v>
      </c>
      <c r="E33" s="222"/>
      <c r="F33" s="222">
        <f t="shared" si="12"/>
        <v>36768.15</v>
      </c>
      <c r="G33" s="19">
        <v>3444</v>
      </c>
      <c r="H33" s="443"/>
      <c r="I33" s="389"/>
      <c r="J33" s="158"/>
      <c r="K33" s="390"/>
      <c r="L33" s="159"/>
      <c r="M33" s="177"/>
      <c r="N33" s="177"/>
      <c r="O33" s="19"/>
      <c r="P33" s="150"/>
      <c r="Q33" s="389"/>
      <c r="R33" s="390"/>
      <c r="S33" s="159"/>
      <c r="T33" s="159"/>
      <c r="U33" s="177"/>
      <c r="V33" s="177"/>
      <c r="W33" s="388"/>
      <c r="X33" s="7"/>
      <c r="Y33" s="389"/>
      <c r="Z33" s="158"/>
      <c r="AA33" s="159"/>
      <c r="AB33" s="159"/>
      <c r="AC33" s="177"/>
      <c r="AD33" s="177"/>
      <c r="AE33" s="7"/>
      <c r="AF33" s="150"/>
      <c r="AG33" s="165">
        <v>45777</v>
      </c>
      <c r="AH33" s="166">
        <v>103</v>
      </c>
      <c r="AI33" s="167" t="s">
        <v>365</v>
      </c>
      <c r="AJ33" s="159">
        <f t="shared" si="11"/>
        <v>918</v>
      </c>
      <c r="AK33" s="177"/>
      <c r="AL33" s="177">
        <f t="shared" si="10"/>
        <v>11114.05</v>
      </c>
      <c r="AM33" s="4">
        <v>1020</v>
      </c>
    </row>
    <row r="34" s="347" customFormat="1" spans="1:39">
      <c r="A34" s="165">
        <v>46018</v>
      </c>
      <c r="B34" s="158">
        <v>77</v>
      </c>
      <c r="C34" s="184" t="s">
        <v>388</v>
      </c>
      <c r="D34" s="185">
        <f t="shared" si="9"/>
        <v>1108.8</v>
      </c>
      <c r="E34" s="177"/>
      <c r="F34" s="177">
        <f t="shared" si="12"/>
        <v>37876.95</v>
      </c>
      <c r="G34" s="19">
        <v>1232</v>
      </c>
      <c r="H34" s="444" t="s">
        <v>389</v>
      </c>
      <c r="I34" s="389"/>
      <c r="J34" s="158"/>
      <c r="K34" s="390"/>
      <c r="L34" s="159"/>
      <c r="M34" s="177"/>
      <c r="N34" s="177"/>
      <c r="O34" s="19"/>
      <c r="P34" s="150"/>
      <c r="Q34" s="389"/>
      <c r="R34" s="390"/>
      <c r="S34" s="159"/>
      <c r="T34" s="159"/>
      <c r="U34" s="177"/>
      <c r="V34" s="177"/>
      <c r="W34" s="388"/>
      <c r="X34" s="7"/>
      <c r="Y34" s="389"/>
      <c r="Z34" s="158"/>
      <c r="AA34" s="159"/>
      <c r="AB34" s="159"/>
      <c r="AC34" s="177"/>
      <c r="AD34" s="177"/>
      <c r="AE34" s="7"/>
      <c r="AF34" s="150"/>
      <c r="AG34" s="182">
        <v>45856</v>
      </c>
      <c r="AH34" s="193"/>
      <c r="AI34" s="184" t="s">
        <v>369</v>
      </c>
      <c r="AJ34" s="185"/>
      <c r="AK34" s="222">
        <v>11070</v>
      </c>
      <c r="AL34" s="177">
        <f t="shared" si="10"/>
        <v>44.0499999999993</v>
      </c>
      <c r="AM34" s="4"/>
    </row>
    <row r="35" s="347" customFormat="1" spans="1:39">
      <c r="A35" s="165">
        <v>46018</v>
      </c>
      <c r="B35" s="158">
        <v>77</v>
      </c>
      <c r="C35" s="184" t="s">
        <v>390</v>
      </c>
      <c r="D35" s="185"/>
      <c r="E35" s="177"/>
      <c r="F35" s="177">
        <f t="shared" si="12"/>
        <v>37876.95</v>
      </c>
      <c r="G35" s="266">
        <v>107.5</v>
      </c>
      <c r="H35" s="444" t="s">
        <v>71</v>
      </c>
      <c r="I35" s="389"/>
      <c r="J35" s="158"/>
      <c r="K35" s="390"/>
      <c r="L35" s="159"/>
      <c r="M35" s="177"/>
      <c r="N35" s="177"/>
      <c r="O35" s="19"/>
      <c r="P35" s="150"/>
      <c r="Q35" s="389"/>
      <c r="R35" s="390"/>
      <c r="S35" s="159"/>
      <c r="T35" s="159"/>
      <c r="U35" s="177"/>
      <c r="V35" s="177"/>
      <c r="W35" s="388"/>
      <c r="X35" s="7"/>
      <c r="Y35" s="389"/>
      <c r="Z35" s="158"/>
      <c r="AA35" s="159"/>
      <c r="AB35" s="159"/>
      <c r="AC35" s="177"/>
      <c r="AD35" s="177"/>
      <c r="AE35" s="7"/>
      <c r="AF35" s="150"/>
      <c r="AG35" s="182">
        <v>45856</v>
      </c>
      <c r="AH35" s="193"/>
      <c r="AI35" s="184" t="s">
        <v>379</v>
      </c>
      <c r="AJ35" s="185"/>
      <c r="AK35" s="222">
        <v>44</v>
      </c>
      <c r="AL35" s="177">
        <f t="shared" si="10"/>
        <v>0.0499999999992724</v>
      </c>
      <c r="AM35" s="4"/>
    </row>
    <row r="36" s="347" customFormat="1" spans="1:39">
      <c r="A36" s="442">
        <v>46038</v>
      </c>
      <c r="B36" s="158">
        <v>41</v>
      </c>
      <c r="C36" s="167" t="s">
        <v>365</v>
      </c>
      <c r="D36" s="159">
        <f>G36*0.9</f>
        <v>1101.6</v>
      </c>
      <c r="E36" s="177"/>
      <c r="F36" s="177">
        <f t="shared" si="12"/>
        <v>38978.55</v>
      </c>
      <c r="G36" s="19">
        <v>1224</v>
      </c>
      <c r="H36" s="150"/>
      <c r="I36" s="389"/>
      <c r="J36" s="158"/>
      <c r="K36" s="390"/>
      <c r="L36" s="159"/>
      <c r="M36" s="177"/>
      <c r="N36" s="177"/>
      <c r="O36" s="19"/>
      <c r="P36" s="150"/>
      <c r="Q36" s="389"/>
      <c r="R36" s="390"/>
      <c r="S36" s="159"/>
      <c r="T36" s="159"/>
      <c r="U36" s="177"/>
      <c r="V36" s="177"/>
      <c r="W36" s="388"/>
      <c r="X36" s="7"/>
      <c r="Y36" s="389"/>
      <c r="Z36" s="158"/>
      <c r="AA36" s="159"/>
      <c r="AB36" s="159"/>
      <c r="AC36" s="177"/>
      <c r="AD36" s="177"/>
      <c r="AE36" s="7"/>
      <c r="AF36" s="150"/>
      <c r="AG36" s="165">
        <v>45784</v>
      </c>
      <c r="AH36" s="166">
        <v>10</v>
      </c>
      <c r="AI36" s="167" t="s">
        <v>365</v>
      </c>
      <c r="AJ36" s="159">
        <f>AM36*0.9</f>
        <v>1211.4</v>
      </c>
      <c r="AK36" s="177"/>
      <c r="AL36" s="177">
        <f t="shared" ref="AL36:AL48" si="13">AL35+AJ36-AK36</f>
        <v>1211.45</v>
      </c>
      <c r="AM36" s="4">
        <v>1346</v>
      </c>
    </row>
    <row r="37" s="347" customFormat="1" spans="1:39">
      <c r="A37" s="442"/>
      <c r="B37" s="158"/>
      <c r="C37" s="167"/>
      <c r="D37" s="159"/>
      <c r="E37" s="177"/>
      <c r="F37" s="177"/>
      <c r="G37" s="19"/>
      <c r="H37" s="150"/>
      <c r="I37" s="389"/>
      <c r="J37" s="158"/>
      <c r="K37" s="390"/>
      <c r="L37" s="159"/>
      <c r="M37" s="177"/>
      <c r="N37" s="177"/>
      <c r="O37" s="19"/>
      <c r="P37" s="150"/>
      <c r="Q37" s="389"/>
      <c r="R37" s="390"/>
      <c r="S37" s="159"/>
      <c r="T37" s="159"/>
      <c r="U37" s="177"/>
      <c r="V37" s="177"/>
      <c r="W37" s="388"/>
      <c r="X37" s="7"/>
      <c r="Y37" s="389"/>
      <c r="Z37" s="158"/>
      <c r="AA37" s="159"/>
      <c r="AB37" s="159"/>
      <c r="AC37" s="177"/>
      <c r="AD37" s="177"/>
      <c r="AE37" s="7"/>
      <c r="AF37" s="150"/>
      <c r="AG37" s="165">
        <v>45785</v>
      </c>
      <c r="AH37" s="166">
        <v>16</v>
      </c>
      <c r="AI37" s="167" t="s">
        <v>365</v>
      </c>
      <c r="AJ37" s="159">
        <f t="shared" ref="AJ37:AJ46" si="14">AM37*0.9</f>
        <v>382.5</v>
      </c>
      <c r="AK37" s="177"/>
      <c r="AL37" s="177">
        <f t="shared" si="13"/>
        <v>1593.95</v>
      </c>
      <c r="AM37" s="4">
        <v>425</v>
      </c>
    </row>
    <row r="38" s="347" customFormat="1" spans="1:39">
      <c r="A38" s="442"/>
      <c r="B38" s="158"/>
      <c r="C38" s="167"/>
      <c r="D38" s="159"/>
      <c r="E38" s="177"/>
      <c r="F38" s="177"/>
      <c r="G38" s="19"/>
      <c r="H38" s="150"/>
      <c r="I38" s="389"/>
      <c r="J38" s="158"/>
      <c r="K38" s="390"/>
      <c r="L38" s="159"/>
      <c r="M38" s="177"/>
      <c r="N38" s="177"/>
      <c r="O38" s="19"/>
      <c r="P38" s="150"/>
      <c r="Q38" s="389"/>
      <c r="R38" s="390"/>
      <c r="S38" s="159"/>
      <c r="T38" s="159"/>
      <c r="U38" s="177"/>
      <c r="V38" s="177"/>
      <c r="W38" s="388"/>
      <c r="X38" s="7"/>
      <c r="Y38" s="389"/>
      <c r="Z38" s="158"/>
      <c r="AA38" s="159"/>
      <c r="AB38" s="159"/>
      <c r="AC38" s="177"/>
      <c r="AD38" s="177"/>
      <c r="AE38" s="7"/>
      <c r="AF38" s="150"/>
      <c r="AG38" s="165">
        <v>45790</v>
      </c>
      <c r="AH38" s="166">
        <v>23</v>
      </c>
      <c r="AI38" s="167" t="s">
        <v>365</v>
      </c>
      <c r="AJ38" s="159">
        <f t="shared" si="14"/>
        <v>1764</v>
      </c>
      <c r="AK38" s="177"/>
      <c r="AL38" s="177">
        <f t="shared" si="13"/>
        <v>3357.95</v>
      </c>
      <c r="AM38" s="4">
        <v>1960</v>
      </c>
    </row>
    <row r="39" s="347" customFormat="1" spans="1:39">
      <c r="A39" s="442"/>
      <c r="B39" s="158"/>
      <c r="C39" s="167"/>
      <c r="D39" s="159"/>
      <c r="E39" s="177"/>
      <c r="F39" s="177"/>
      <c r="G39" s="19"/>
      <c r="H39" s="150"/>
      <c r="I39" s="389"/>
      <c r="J39" s="158"/>
      <c r="K39" s="390"/>
      <c r="L39" s="159"/>
      <c r="M39" s="177"/>
      <c r="N39" s="177"/>
      <c r="O39" s="19"/>
      <c r="P39" s="150"/>
      <c r="Q39" s="389"/>
      <c r="R39" s="390"/>
      <c r="S39" s="159"/>
      <c r="T39" s="159"/>
      <c r="U39" s="177"/>
      <c r="V39" s="177"/>
      <c r="W39" s="388"/>
      <c r="X39" s="7"/>
      <c r="Y39" s="389"/>
      <c r="Z39" s="158"/>
      <c r="AA39" s="159"/>
      <c r="AB39" s="159"/>
      <c r="AC39" s="177"/>
      <c r="AD39" s="177"/>
      <c r="AE39" s="7"/>
      <c r="AF39" s="150"/>
      <c r="AG39" s="165">
        <v>45791</v>
      </c>
      <c r="AH39" s="166">
        <v>36</v>
      </c>
      <c r="AI39" s="167" t="s">
        <v>365</v>
      </c>
      <c r="AJ39" s="159">
        <f t="shared" si="14"/>
        <v>1148.4</v>
      </c>
      <c r="AK39" s="177"/>
      <c r="AL39" s="177">
        <f t="shared" si="13"/>
        <v>4506.35</v>
      </c>
      <c r="AM39" s="4">
        <v>1276</v>
      </c>
    </row>
    <row r="40" spans="1:39">
      <c r="H40" s="150"/>
      <c r="AG40" s="165">
        <v>45792</v>
      </c>
      <c r="AH40" s="166">
        <v>43</v>
      </c>
      <c r="AI40" s="167" t="s">
        <v>365</v>
      </c>
      <c r="AJ40" s="159">
        <f t="shared" si="14"/>
        <v>274.5</v>
      </c>
      <c r="AK40" s="177"/>
      <c r="AL40" s="177">
        <f t="shared" si="13"/>
        <v>4780.85</v>
      </c>
      <c r="AM40" s="4">
        <v>305</v>
      </c>
    </row>
    <row r="41" spans="1:39">
      <c r="AG41" s="165">
        <v>45792</v>
      </c>
      <c r="AH41" s="445"/>
      <c r="AI41" s="446" t="s">
        <v>391</v>
      </c>
      <c r="AJ41" s="439"/>
      <c r="AK41" s="440"/>
      <c r="AL41" s="440">
        <f t="shared" si="13"/>
        <v>4780.85</v>
      </c>
      <c r="AM41" s="447">
        <v>565</v>
      </c>
    </row>
    <row r="42" spans="1:39">
      <c r="AG42" s="165">
        <v>45796</v>
      </c>
      <c r="AH42" s="158">
        <v>52</v>
      </c>
      <c r="AI42" s="167" t="s">
        <v>365</v>
      </c>
      <c r="AJ42" s="159">
        <f t="shared" si="14"/>
        <v>1710</v>
      </c>
      <c r="AK42" s="177"/>
      <c r="AL42" s="177">
        <f t="shared" si="13"/>
        <v>6490.85</v>
      </c>
      <c r="AM42" s="19">
        <v>1900</v>
      </c>
    </row>
    <row r="43" spans="1:39">
      <c r="AG43" s="165">
        <v>45796</v>
      </c>
      <c r="AH43" s="448">
        <v>52</v>
      </c>
      <c r="AI43" s="446" t="s">
        <v>71</v>
      </c>
      <c r="AJ43" s="439"/>
      <c r="AK43" s="440"/>
      <c r="AL43" s="440">
        <f t="shared" si="13"/>
        <v>6490.85</v>
      </c>
      <c r="AM43" s="353">
        <v>1412.5</v>
      </c>
    </row>
    <row r="44" spans="1:39">
      <c r="AG44" s="165">
        <v>45797</v>
      </c>
      <c r="AH44" s="158">
        <v>56</v>
      </c>
      <c r="AI44" s="167" t="s">
        <v>365</v>
      </c>
      <c r="AJ44" s="159">
        <f t="shared" si="14"/>
        <v>2202.3</v>
      </c>
      <c r="AK44" s="177"/>
      <c r="AL44" s="177">
        <f t="shared" si="13"/>
        <v>8693.15</v>
      </c>
      <c r="AM44" s="19">
        <v>2447</v>
      </c>
    </row>
    <row r="45" spans="1:39">
      <c r="AG45" s="165">
        <v>45803</v>
      </c>
      <c r="AH45" s="158">
        <v>63</v>
      </c>
      <c r="AI45" s="167" t="s">
        <v>365</v>
      </c>
      <c r="AJ45" s="159">
        <f t="shared" si="14"/>
        <v>1440</v>
      </c>
      <c r="AK45" s="177"/>
      <c r="AL45" s="177">
        <f t="shared" si="13"/>
        <v>10133.15</v>
      </c>
      <c r="AM45" s="19">
        <v>1600</v>
      </c>
    </row>
    <row r="46" spans="1:39">
      <c r="AG46" s="165">
        <v>45804</v>
      </c>
      <c r="AH46" s="158">
        <v>66</v>
      </c>
      <c r="AI46" s="167" t="s">
        <v>365</v>
      </c>
      <c r="AJ46" s="159">
        <f t="shared" si="14"/>
        <v>1130.4</v>
      </c>
      <c r="AK46" s="177"/>
      <c r="AL46" s="177">
        <f t="shared" si="13"/>
        <v>11263.55</v>
      </c>
      <c r="AM46" s="19">
        <v>1256</v>
      </c>
    </row>
    <row r="47" spans="1:39">
      <c r="AG47" s="165">
        <v>45880</v>
      </c>
      <c r="AH47" s="158"/>
      <c r="AI47" s="184" t="s">
        <v>392</v>
      </c>
      <c r="AJ47" s="185"/>
      <c r="AK47" s="222">
        <v>11250</v>
      </c>
      <c r="AL47" s="177">
        <f t="shared" si="13"/>
        <v>13.5499999999993</v>
      </c>
      <c r="AM47" s="19"/>
    </row>
    <row r="48" spans="1:39">
      <c r="AG48" s="165">
        <v>45880</v>
      </c>
      <c r="AH48" s="158"/>
      <c r="AI48" s="184" t="s">
        <v>379</v>
      </c>
      <c r="AJ48" s="185"/>
      <c r="AK48" s="222">
        <v>13.5</v>
      </c>
      <c r="AL48" s="177">
        <f t="shared" si="13"/>
        <v>0.0499999999992724</v>
      </c>
      <c r="AM48" s="19"/>
    </row>
    <row r="49" spans="33:40">
      <c r="AG49" s="165">
        <v>45812</v>
      </c>
      <c r="AH49" s="158">
        <v>13</v>
      </c>
      <c r="AI49" s="167" t="s">
        <v>365</v>
      </c>
      <c r="AJ49" s="159">
        <f t="shared" ref="AJ49:AJ60" si="15">AM49*0.9</f>
        <v>670.5</v>
      </c>
      <c r="AK49" s="177"/>
      <c r="AL49" s="177">
        <f>AL47+AJ49-AK49</f>
        <v>684.049999999999</v>
      </c>
      <c r="AM49" s="19">
        <v>745</v>
      </c>
    </row>
    <row r="50" spans="33:40">
      <c r="AG50" s="165">
        <v>45813</v>
      </c>
      <c r="AH50" s="158">
        <v>14</v>
      </c>
      <c r="AI50" s="167" t="s">
        <v>365</v>
      </c>
      <c r="AJ50" s="159">
        <f t="shared" si="15"/>
        <v>193.5</v>
      </c>
      <c r="AK50" s="177"/>
      <c r="AL50" s="177">
        <f t="shared" ref="AL49:AL79" si="16">AL49+AJ50-AK50</f>
        <v>877.549999999999</v>
      </c>
      <c r="AM50" s="19">
        <v>215</v>
      </c>
    </row>
    <row r="51" spans="33:40">
      <c r="AG51" s="165">
        <v>45814</v>
      </c>
      <c r="AH51" s="158">
        <v>15</v>
      </c>
      <c r="AI51" s="167" t="s">
        <v>365</v>
      </c>
      <c r="AJ51" s="159">
        <f t="shared" si="15"/>
        <v>612</v>
      </c>
      <c r="AK51" s="177"/>
      <c r="AL51" s="177">
        <f t="shared" si="16"/>
        <v>1489.55</v>
      </c>
      <c r="AM51" s="19">
        <v>680</v>
      </c>
    </row>
    <row r="52" spans="33:40">
      <c r="AG52" s="165">
        <v>45816</v>
      </c>
      <c r="AH52" s="158">
        <v>19</v>
      </c>
      <c r="AI52" s="167" t="s">
        <v>365</v>
      </c>
      <c r="AJ52" s="159">
        <f t="shared" si="15"/>
        <v>3046.5</v>
      </c>
      <c r="AK52" s="177"/>
      <c r="AL52" s="177">
        <f t="shared" si="16"/>
        <v>4536.05</v>
      </c>
      <c r="AM52" s="19">
        <v>3385</v>
      </c>
    </row>
    <row r="53" spans="33:40">
      <c r="AG53" s="165">
        <v>45817</v>
      </c>
      <c r="AH53" s="158">
        <v>27</v>
      </c>
      <c r="AI53" s="167" t="s">
        <v>365</v>
      </c>
      <c r="AJ53" s="159">
        <f t="shared" si="15"/>
        <v>198.9</v>
      </c>
      <c r="AK53" s="177"/>
      <c r="AL53" s="177">
        <f t="shared" si="16"/>
        <v>4734.95</v>
      </c>
      <c r="AM53" s="19">
        <v>221</v>
      </c>
    </row>
    <row r="54" spans="33:40">
      <c r="AG54" s="165">
        <v>45822</v>
      </c>
      <c r="AH54" s="158">
        <v>44</v>
      </c>
      <c r="AI54" s="167" t="s">
        <v>365</v>
      </c>
      <c r="AJ54" s="159">
        <f t="shared" si="15"/>
        <v>1157.4</v>
      </c>
      <c r="AK54" s="177"/>
      <c r="AL54" s="177">
        <f t="shared" si="16"/>
        <v>5892.35</v>
      </c>
      <c r="AM54" s="19">
        <v>1286</v>
      </c>
    </row>
    <row r="55" spans="33:40">
      <c r="AG55" s="165">
        <v>45825</v>
      </c>
      <c r="AH55" s="158">
        <v>53</v>
      </c>
      <c r="AI55" s="167" t="s">
        <v>365</v>
      </c>
      <c r="AJ55" s="159">
        <f t="shared" si="15"/>
        <v>421.2</v>
      </c>
      <c r="AK55" s="177"/>
      <c r="AL55" s="177">
        <f t="shared" si="16"/>
        <v>6313.55</v>
      </c>
      <c r="AM55" s="19">
        <v>468</v>
      </c>
    </row>
    <row r="56" spans="33:40">
      <c r="AG56" s="165">
        <v>45831</v>
      </c>
      <c r="AH56" s="158">
        <v>70</v>
      </c>
      <c r="AI56" s="167" t="s">
        <v>365</v>
      </c>
      <c r="AJ56" s="159">
        <f t="shared" si="15"/>
        <v>727.2</v>
      </c>
      <c r="AK56" s="177"/>
      <c r="AL56" s="177">
        <f t="shared" si="16"/>
        <v>7040.75</v>
      </c>
      <c r="AM56" s="19">
        <v>808</v>
      </c>
    </row>
    <row r="57" spans="33:40">
      <c r="AG57" s="165">
        <v>45832</v>
      </c>
      <c r="AH57" s="158">
        <v>72</v>
      </c>
      <c r="AI57" s="167" t="s">
        <v>365</v>
      </c>
      <c r="AJ57" s="159">
        <f t="shared" si="15"/>
        <v>1098</v>
      </c>
      <c r="AK57" s="177"/>
      <c r="AL57" s="177">
        <f t="shared" si="16"/>
        <v>8138.75</v>
      </c>
      <c r="AM57" s="19">
        <v>1220</v>
      </c>
    </row>
    <row r="58" spans="33:40">
      <c r="AG58" s="165">
        <v>45833</v>
      </c>
      <c r="AH58" s="167" t="s">
        <v>393</v>
      </c>
      <c r="AI58" s="167" t="s">
        <v>365</v>
      </c>
      <c r="AJ58" s="159">
        <f t="shared" si="15"/>
        <v>382.5</v>
      </c>
      <c r="AK58" s="167"/>
      <c r="AL58" s="177">
        <f t="shared" si="16"/>
        <v>8521.25</v>
      </c>
      <c r="AM58" s="19">
        <v>425</v>
      </c>
    </row>
    <row r="59" spans="33:40">
      <c r="AG59" s="165">
        <v>45833</v>
      </c>
      <c r="AH59" s="167" t="s">
        <v>378</v>
      </c>
      <c r="AI59" s="167" t="s">
        <v>365</v>
      </c>
      <c r="AJ59" s="159">
        <f t="shared" si="15"/>
        <v>-151.2</v>
      </c>
      <c r="AK59" s="160"/>
      <c r="AL59" s="177">
        <f t="shared" si="16"/>
        <v>8370.05</v>
      </c>
      <c r="AM59" s="266">
        <v>-168</v>
      </c>
      <c r="AN59">
        <f>SUM(AM49:AM60)</f>
        <v>9477</v>
      </c>
    </row>
    <row r="60" spans="33:40">
      <c r="AG60" s="165">
        <v>45834</v>
      </c>
      <c r="AH60" s="167" t="s">
        <v>394</v>
      </c>
      <c r="AI60" s="167" t="s">
        <v>365</v>
      </c>
      <c r="AJ60" s="159">
        <f t="shared" si="15"/>
        <v>172.8</v>
      </c>
      <c r="AK60" s="160"/>
      <c r="AL60" s="177">
        <f t="shared" si="16"/>
        <v>8542.85</v>
      </c>
      <c r="AM60" s="7">
        <v>192</v>
      </c>
    </row>
    <row r="61" spans="33:40">
      <c r="AG61" s="182">
        <v>45912</v>
      </c>
      <c r="AH61" s="184"/>
      <c r="AI61" s="184" t="s">
        <v>392</v>
      </c>
      <c r="AJ61" s="185"/>
      <c r="AK61" s="192">
        <v>8542.9</v>
      </c>
      <c r="AL61" s="177">
        <f t="shared" si="16"/>
        <v>-0.0500000000029104</v>
      </c>
      <c r="AM61" s="7"/>
    </row>
    <row r="62" spans="33:40">
      <c r="AG62" s="165">
        <v>45839</v>
      </c>
      <c r="AH62" s="167" t="s">
        <v>395</v>
      </c>
      <c r="AI62" s="167" t="s">
        <v>365</v>
      </c>
      <c r="AJ62" s="159">
        <f>AM62*0.9</f>
        <v>1109.7</v>
      </c>
      <c r="AK62" s="160"/>
      <c r="AL62" s="177">
        <f t="shared" si="16"/>
        <v>1109.65</v>
      </c>
      <c r="AM62" s="7">
        <v>1233</v>
      </c>
    </row>
    <row r="63" spans="33:40">
      <c r="AG63" s="165">
        <v>45840</v>
      </c>
      <c r="AH63" s="167" t="s">
        <v>11</v>
      </c>
      <c r="AI63" s="167" t="s">
        <v>365</v>
      </c>
      <c r="AJ63" s="159">
        <f>AM63*0.9</f>
        <v>692.1</v>
      </c>
      <c r="AK63" s="160"/>
      <c r="AL63" s="177">
        <f t="shared" si="16"/>
        <v>1801.75</v>
      </c>
      <c r="AM63" s="7">
        <v>769</v>
      </c>
    </row>
    <row r="64" spans="33:40">
      <c r="AG64" s="165">
        <v>45848</v>
      </c>
      <c r="AH64" s="167" t="s">
        <v>396</v>
      </c>
      <c r="AI64" s="167" t="s">
        <v>365</v>
      </c>
      <c r="AJ64" s="159">
        <f>AM64*0.9</f>
        <v>1428.75</v>
      </c>
      <c r="AK64" s="160"/>
      <c r="AL64" s="177">
        <f t="shared" si="16"/>
        <v>3230.5</v>
      </c>
      <c r="AM64" s="7">
        <v>1587.5</v>
      </c>
    </row>
    <row r="65" spans="33:44">
      <c r="AG65" s="165">
        <v>45855</v>
      </c>
      <c r="AH65" s="167">
        <v>63</v>
      </c>
      <c r="AI65" s="167" t="s">
        <v>365</v>
      </c>
      <c r="AJ65" s="159">
        <f>AM65*0.9</f>
        <v>931.5</v>
      </c>
      <c r="AK65" s="160"/>
      <c r="AL65" s="177">
        <f t="shared" si="16"/>
        <v>4162</v>
      </c>
      <c r="AM65" s="7">
        <v>1035</v>
      </c>
    </row>
    <row r="66" spans="33:44">
      <c r="AG66" s="165">
        <v>45867</v>
      </c>
      <c r="AH66" s="167" t="s">
        <v>397</v>
      </c>
      <c r="AI66" s="167" t="s">
        <v>365</v>
      </c>
      <c r="AJ66" s="159">
        <f>AM66*0.9</f>
        <v>397.8</v>
      </c>
      <c r="AK66" s="160"/>
      <c r="AL66" s="177">
        <f t="shared" si="16"/>
        <v>4559.8</v>
      </c>
      <c r="AM66" s="7">
        <v>442</v>
      </c>
    </row>
    <row r="67" spans="33:44">
      <c r="AG67" s="182">
        <v>45941</v>
      </c>
      <c r="AH67" s="184"/>
      <c r="AI67" s="184"/>
      <c r="AJ67" s="185"/>
      <c r="AK67" s="192">
        <v>4559.8</v>
      </c>
      <c r="AL67" s="177">
        <f t="shared" si="16"/>
        <v>0</v>
      </c>
      <c r="AM67" s="7"/>
    </row>
    <row r="68" spans="33:44">
      <c r="AG68" s="227">
        <v>45875</v>
      </c>
      <c r="AH68" s="168" t="s">
        <v>398</v>
      </c>
      <c r="AI68" s="167" t="s">
        <v>365</v>
      </c>
      <c r="AJ68" s="159">
        <f>AM68*0.9</f>
        <v>1684.8</v>
      </c>
      <c r="AK68" s="160"/>
      <c r="AL68" s="177">
        <f t="shared" si="16"/>
        <v>1684.8</v>
      </c>
      <c r="AM68" s="7">
        <v>1872</v>
      </c>
    </row>
    <row r="69" spans="33:44">
      <c r="AG69" s="227">
        <v>45881</v>
      </c>
      <c r="AH69" s="168" t="s">
        <v>399</v>
      </c>
      <c r="AI69" s="167" t="s">
        <v>365</v>
      </c>
      <c r="AJ69" s="159">
        <f>AM69*0.9</f>
        <v>1323.9</v>
      </c>
      <c r="AK69" s="160"/>
      <c r="AL69" s="177">
        <f t="shared" si="16"/>
        <v>3008.7</v>
      </c>
      <c r="AM69" s="7">
        <v>1471</v>
      </c>
    </row>
    <row r="70" spans="33:44">
      <c r="AG70" s="227">
        <v>45881</v>
      </c>
      <c r="AH70" s="168" t="s">
        <v>399</v>
      </c>
      <c r="AI70" s="449" t="s">
        <v>391</v>
      </c>
      <c r="AJ70" s="439"/>
      <c r="AK70" s="450"/>
      <c r="AL70" s="177">
        <f t="shared" si="16"/>
        <v>3008.7</v>
      </c>
      <c r="AM70" s="353">
        <v>1375</v>
      </c>
      <c r="AN70" s="451" t="s">
        <v>400</v>
      </c>
      <c r="AO70" s="198"/>
      <c r="AP70" s="198"/>
    </row>
    <row r="71" spans="33:44">
      <c r="AG71" s="227">
        <v>45889</v>
      </c>
      <c r="AH71" s="168" t="s">
        <v>401</v>
      </c>
      <c r="AI71" s="171" t="s">
        <v>402</v>
      </c>
      <c r="AJ71" s="171">
        <f>AM71*95%</f>
        <v>456</v>
      </c>
      <c r="AK71" s="192"/>
      <c r="AL71" s="177">
        <f t="shared" si="16"/>
        <v>3464.7</v>
      </c>
      <c r="AM71" s="266">
        <v>480</v>
      </c>
    </row>
    <row r="72" spans="33:44">
      <c r="AG72" s="227">
        <v>45889</v>
      </c>
      <c r="AH72" s="168" t="s">
        <v>401</v>
      </c>
      <c r="AI72" s="167" t="s">
        <v>365</v>
      </c>
      <c r="AJ72" s="159">
        <f>AM72*0.9</f>
        <v>1469.25</v>
      </c>
      <c r="AK72" s="160"/>
      <c r="AL72" s="177">
        <f t="shared" si="16"/>
        <v>4933.95</v>
      </c>
      <c r="AM72" s="7">
        <v>1632.5</v>
      </c>
    </row>
    <row r="73" spans="33:44">
      <c r="AG73" s="227">
        <v>45891</v>
      </c>
      <c r="AH73" s="168" t="s">
        <v>403</v>
      </c>
      <c r="AI73" s="167" t="s">
        <v>365</v>
      </c>
      <c r="AJ73" s="159">
        <f>AM73*0.9</f>
        <v>397.8</v>
      </c>
      <c r="AK73" s="160"/>
      <c r="AL73" s="177">
        <f t="shared" si="16"/>
        <v>5331.75</v>
      </c>
      <c r="AM73" s="7">
        <v>442</v>
      </c>
      <c r="AR73">
        <f>SUM(AM68:AM76)</f>
        <v>8577.5</v>
      </c>
    </row>
    <row r="74" spans="33:44">
      <c r="AG74" s="227">
        <v>45891</v>
      </c>
      <c r="AH74" s="168" t="s">
        <v>200</v>
      </c>
      <c r="AI74" s="167" t="s">
        <v>365</v>
      </c>
      <c r="AJ74" s="159">
        <f>AM74*0.9</f>
        <v>765</v>
      </c>
      <c r="AK74" s="160"/>
      <c r="AL74" s="177">
        <f t="shared" si="16"/>
        <v>6096.75</v>
      </c>
      <c r="AM74" s="7">
        <v>850</v>
      </c>
    </row>
    <row r="75" spans="33:44">
      <c r="AG75" s="227">
        <v>45891</v>
      </c>
      <c r="AH75" s="168" t="s">
        <v>200</v>
      </c>
      <c r="AI75" s="171" t="s">
        <v>402</v>
      </c>
      <c r="AJ75" s="171">
        <f>AM75*95%</f>
        <v>228</v>
      </c>
      <c r="AK75" s="160"/>
      <c r="AL75" s="177">
        <f t="shared" si="16"/>
        <v>6324.75</v>
      </c>
      <c r="AM75" s="266">
        <v>240</v>
      </c>
    </row>
    <row r="76" spans="33:44">
      <c r="AG76" s="227">
        <v>45899</v>
      </c>
      <c r="AH76" s="168">
        <v>87</v>
      </c>
      <c r="AI76" s="167" t="s">
        <v>365</v>
      </c>
      <c r="AJ76" s="159">
        <f>AM76*0.9</f>
        <v>193.5</v>
      </c>
      <c r="AK76" s="160"/>
      <c r="AL76" s="177">
        <f t="shared" si="16"/>
        <v>6518.25</v>
      </c>
      <c r="AM76" s="21">
        <v>215</v>
      </c>
      <c r="AN76">
        <f>SUM(AM68:AM76)</f>
        <v>8577.5</v>
      </c>
    </row>
    <row r="77" spans="33:44">
      <c r="AG77" s="214">
        <v>45966</v>
      </c>
      <c r="AH77" s="185"/>
      <c r="AI77" s="219" t="s">
        <v>375</v>
      </c>
      <c r="AJ77" s="185"/>
      <c r="AK77" s="222">
        <v>6506</v>
      </c>
      <c r="AL77" s="222">
        <f t="shared" si="16"/>
        <v>12.25</v>
      </c>
      <c r="AM77" s="21"/>
    </row>
    <row r="78" spans="33:44">
      <c r="AG78" s="214"/>
      <c r="AH78" s="185"/>
      <c r="AI78" s="219"/>
      <c r="AJ78" s="185"/>
      <c r="AK78" s="222">
        <f>AL77</f>
        <v>12.25</v>
      </c>
      <c r="AL78" s="222">
        <f t="shared" si="16"/>
        <v>0</v>
      </c>
      <c r="AM78" s="21"/>
    </row>
    <row r="79" spans="33:44">
      <c r="AG79" s="227">
        <v>45905</v>
      </c>
      <c r="AH79" s="168" t="s">
        <v>404</v>
      </c>
      <c r="AI79" s="168" t="s">
        <v>365</v>
      </c>
      <c r="AJ79" s="159">
        <f>AM79*0.9</f>
        <v>810</v>
      </c>
      <c r="AK79" s="168"/>
      <c r="AL79" s="177">
        <f t="shared" si="16"/>
        <v>810</v>
      </c>
      <c r="AM79" s="21">
        <v>900</v>
      </c>
    </row>
    <row r="80" spans="33:44">
      <c r="AG80" s="227">
        <v>45908</v>
      </c>
      <c r="AH80" s="168" t="s">
        <v>405</v>
      </c>
      <c r="AI80" s="168" t="s">
        <v>365</v>
      </c>
      <c r="AJ80" s="159">
        <f>AM80*0.9</f>
        <v>445.05</v>
      </c>
      <c r="AK80" s="160"/>
      <c r="AL80" s="177">
        <f t="shared" ref="AL80:AL104" si="17">AL79+AJ80-AK80</f>
        <v>1255.05</v>
      </c>
      <c r="AM80" s="21">
        <v>494.5</v>
      </c>
    </row>
    <row r="81" spans="33:40">
      <c r="AG81" s="227">
        <v>45911</v>
      </c>
      <c r="AH81" s="168" t="s">
        <v>406</v>
      </c>
      <c r="AI81" s="168" t="s">
        <v>365</v>
      </c>
      <c r="AJ81" s="159">
        <f>AM81*0.9</f>
        <v>765</v>
      </c>
      <c r="AK81" s="160"/>
      <c r="AL81" s="177">
        <f t="shared" si="17"/>
        <v>2020.05</v>
      </c>
      <c r="AM81" s="21">
        <v>850</v>
      </c>
    </row>
    <row r="82" spans="33:40">
      <c r="AG82" s="227">
        <v>45913</v>
      </c>
      <c r="AH82" s="168" t="s">
        <v>206</v>
      </c>
      <c r="AI82" s="168" t="s">
        <v>365</v>
      </c>
      <c r="AJ82" s="159">
        <f>AM82*0.9</f>
        <v>172.8</v>
      </c>
      <c r="AK82" s="228"/>
      <c r="AL82" s="177">
        <f t="shared" si="17"/>
        <v>2192.85</v>
      </c>
      <c r="AM82" s="21">
        <v>192</v>
      </c>
    </row>
    <row r="83" spans="33:40">
      <c r="AG83" s="227">
        <v>45915</v>
      </c>
      <c r="AH83" s="168" t="s">
        <v>367</v>
      </c>
      <c r="AI83" s="168" t="s">
        <v>365</v>
      </c>
      <c r="AJ83" s="159">
        <f>AM83*0.9</f>
        <v>1404</v>
      </c>
      <c r="AK83" s="160"/>
      <c r="AL83" s="177">
        <f t="shared" si="17"/>
        <v>3596.85</v>
      </c>
      <c r="AM83" s="21">
        <v>1560</v>
      </c>
    </row>
    <row r="84" spans="33:40">
      <c r="AG84" s="227">
        <v>45915</v>
      </c>
      <c r="AH84" s="168" t="s">
        <v>407</v>
      </c>
      <c r="AI84" s="184" t="s">
        <v>408</v>
      </c>
      <c r="AJ84" s="184">
        <v>720</v>
      </c>
      <c r="AK84" s="192">
        <v>720</v>
      </c>
      <c r="AL84" s="177">
        <f t="shared" si="17"/>
        <v>3596.85</v>
      </c>
      <c r="AM84" s="9">
        <v>720</v>
      </c>
      <c r="AN84" s="224" t="s">
        <v>409</v>
      </c>
    </row>
    <row r="85" spans="33:40">
      <c r="AG85" s="227">
        <v>45919</v>
      </c>
      <c r="AH85" s="168">
        <v>50</v>
      </c>
      <c r="AI85" s="168" t="s">
        <v>365</v>
      </c>
      <c r="AJ85" s="159">
        <f>AM85*0.9</f>
        <v>1636.2</v>
      </c>
      <c r="AK85" s="160"/>
      <c r="AL85" s="177">
        <f t="shared" si="17"/>
        <v>5233.05</v>
      </c>
      <c r="AM85" s="21">
        <v>1818</v>
      </c>
    </row>
    <row r="86" spans="33:40">
      <c r="AG86" s="227">
        <v>45922</v>
      </c>
      <c r="AH86" s="168">
        <v>56</v>
      </c>
      <c r="AI86" s="168" t="s">
        <v>365</v>
      </c>
      <c r="AJ86" s="159">
        <f>AM86*0.9</f>
        <v>1349.1</v>
      </c>
      <c r="AK86" s="160"/>
      <c r="AL86" s="177">
        <f t="shared" si="17"/>
        <v>6582.15</v>
      </c>
      <c r="AM86" s="21">
        <v>1499</v>
      </c>
    </row>
    <row r="87" spans="33:40">
      <c r="AG87" s="227">
        <v>45922</v>
      </c>
      <c r="AH87" s="168">
        <v>57</v>
      </c>
      <c r="AI87" s="171" t="s">
        <v>402</v>
      </c>
      <c r="AJ87" s="171">
        <f>AM87*95%</f>
        <v>228</v>
      </c>
      <c r="AK87" s="160"/>
      <c r="AL87" s="177">
        <f t="shared" si="17"/>
        <v>6810.15</v>
      </c>
      <c r="AM87" s="21">
        <v>240</v>
      </c>
    </row>
    <row r="88" spans="33:40">
      <c r="AG88" s="227">
        <v>45923</v>
      </c>
      <c r="AH88" s="168" t="s">
        <v>410</v>
      </c>
      <c r="AI88" s="167" t="s">
        <v>365</v>
      </c>
      <c r="AJ88" s="159">
        <f>AM88*0.9</f>
        <v>382.5</v>
      </c>
      <c r="AK88" s="160"/>
      <c r="AL88" s="177">
        <f t="shared" si="17"/>
        <v>7192.65</v>
      </c>
      <c r="AM88" s="21">
        <v>425</v>
      </c>
    </row>
    <row r="89" spans="33:40">
      <c r="AG89" s="227">
        <v>45925</v>
      </c>
      <c r="AH89" s="168" t="s">
        <v>411</v>
      </c>
      <c r="AI89" s="167" t="s">
        <v>365</v>
      </c>
      <c r="AJ89" s="159">
        <f>AM89*0.9</f>
        <v>382.5</v>
      </c>
      <c r="AK89" s="160"/>
      <c r="AL89" s="177">
        <f t="shared" si="17"/>
        <v>7575.15</v>
      </c>
      <c r="AM89" s="21">
        <v>425</v>
      </c>
      <c r="AN89">
        <f>SUM(AM79:AM89)-AM84</f>
        <v>8403.5</v>
      </c>
    </row>
    <row r="90" spans="33:40">
      <c r="AG90" s="227"/>
      <c r="AH90" s="168"/>
      <c r="AI90" s="167"/>
      <c r="AJ90" s="159"/>
      <c r="AK90" s="160"/>
      <c r="AL90" s="177">
        <f t="shared" si="17"/>
        <v>7575.15</v>
      </c>
      <c r="AM90" s="21"/>
    </row>
    <row r="91" spans="33:40">
      <c r="AG91" s="227">
        <v>45938</v>
      </c>
      <c r="AH91" s="168" t="s">
        <v>412</v>
      </c>
      <c r="AI91" s="168" t="s">
        <v>365</v>
      </c>
      <c r="AJ91" s="159">
        <f t="shared" ref="AJ91:AJ96" si="18">AM91*0.9</f>
        <v>1684.8</v>
      </c>
      <c r="AK91" s="160"/>
      <c r="AL91" s="177">
        <f t="shared" si="17"/>
        <v>9259.95</v>
      </c>
      <c r="AM91" s="21">
        <v>1872</v>
      </c>
    </row>
    <row r="92" spans="33:40">
      <c r="AG92" s="227">
        <v>45943</v>
      </c>
      <c r="AH92" s="168" t="s">
        <v>405</v>
      </c>
      <c r="AI92" s="168" t="s">
        <v>365</v>
      </c>
      <c r="AJ92" s="159">
        <f t="shared" si="18"/>
        <v>795.6</v>
      </c>
      <c r="AK92" s="160"/>
      <c r="AL92" s="177">
        <f t="shared" si="17"/>
        <v>10055.55</v>
      </c>
      <c r="AM92" s="21">
        <v>884</v>
      </c>
    </row>
    <row r="93" spans="33:40">
      <c r="AG93" s="227">
        <v>45944</v>
      </c>
      <c r="AH93" s="168" t="s">
        <v>413</v>
      </c>
      <c r="AI93" s="168" t="s">
        <v>365</v>
      </c>
      <c r="AJ93" s="159">
        <f t="shared" si="18"/>
        <v>91.8</v>
      </c>
      <c r="AK93" s="160"/>
      <c r="AL93" s="177">
        <f t="shared" si="17"/>
        <v>10147.35</v>
      </c>
      <c r="AM93" s="21">
        <v>102</v>
      </c>
    </row>
    <row r="94" spans="33:40">
      <c r="AG94" s="227">
        <v>45945</v>
      </c>
      <c r="AH94" s="168" t="s">
        <v>406</v>
      </c>
      <c r="AI94" s="168" t="s">
        <v>365</v>
      </c>
      <c r="AJ94" s="159">
        <f t="shared" si="18"/>
        <v>382.5</v>
      </c>
      <c r="AK94" s="160"/>
      <c r="AL94" s="177">
        <f t="shared" si="17"/>
        <v>10529.85</v>
      </c>
      <c r="AM94" s="7">
        <v>425</v>
      </c>
    </row>
    <row r="95" spans="33:40">
      <c r="AG95" s="227">
        <v>45948</v>
      </c>
      <c r="AH95" s="168" t="s">
        <v>414</v>
      </c>
      <c r="AI95" s="168" t="s">
        <v>365</v>
      </c>
      <c r="AJ95" s="159">
        <f t="shared" si="18"/>
        <v>1058.4</v>
      </c>
      <c r="AK95" s="160"/>
      <c r="AL95" s="177">
        <f t="shared" si="17"/>
        <v>11588.25</v>
      </c>
      <c r="AM95" s="7">
        <v>1176</v>
      </c>
    </row>
    <row r="96" spans="33:40">
      <c r="AG96" s="227">
        <v>45951</v>
      </c>
      <c r="AH96" s="168" t="s">
        <v>193</v>
      </c>
      <c r="AI96" s="168" t="s">
        <v>365</v>
      </c>
      <c r="AJ96" s="159">
        <f t="shared" si="18"/>
        <v>61.2</v>
      </c>
      <c r="AK96" s="160"/>
      <c r="AL96" s="177">
        <f t="shared" si="17"/>
        <v>11649.45</v>
      </c>
      <c r="AM96" s="7">
        <v>68</v>
      </c>
    </row>
    <row r="97" spans="33:41">
      <c r="AG97" s="227">
        <v>45951</v>
      </c>
      <c r="AH97" s="168" t="s">
        <v>193</v>
      </c>
      <c r="AI97" s="191" t="s">
        <v>415</v>
      </c>
      <c r="AJ97" s="184">
        <f>AM97*95%</f>
        <v>1026</v>
      </c>
      <c r="AK97" s="160"/>
      <c r="AL97" s="177">
        <f t="shared" si="17"/>
        <v>12675.45</v>
      </c>
      <c r="AM97" s="12">
        <v>1080</v>
      </c>
    </row>
    <row r="98" spans="33:41">
      <c r="AG98" s="227">
        <v>45951</v>
      </c>
      <c r="AH98" s="168" t="s">
        <v>416</v>
      </c>
      <c r="AI98" s="168" t="s">
        <v>365</v>
      </c>
      <c r="AJ98" s="159">
        <f>AM98*0.9</f>
        <v>765</v>
      </c>
      <c r="AK98" s="160"/>
      <c r="AL98" s="177">
        <f t="shared" si="17"/>
        <v>13440.45</v>
      </c>
      <c r="AM98" s="7">
        <v>850</v>
      </c>
      <c r="AN98">
        <f>SUM(AM91:AM99)</f>
        <v>7783</v>
      </c>
    </row>
    <row r="99" spans="33:41">
      <c r="AG99" s="227">
        <v>45958</v>
      </c>
      <c r="AH99" s="168" t="s">
        <v>417</v>
      </c>
      <c r="AI99" s="168" t="s">
        <v>365</v>
      </c>
      <c r="AJ99" s="159">
        <f>AM99*0.9</f>
        <v>1193.4</v>
      </c>
      <c r="AK99" s="160"/>
      <c r="AL99" s="177">
        <f t="shared" si="17"/>
        <v>14633.85</v>
      </c>
      <c r="AM99" s="7">
        <v>1326</v>
      </c>
    </row>
    <row r="100" spans="33:41">
      <c r="AG100" s="237" t="s">
        <v>418</v>
      </c>
      <c r="AH100" s="181"/>
      <c r="AI100" s="181" t="s">
        <v>419</v>
      </c>
      <c r="AJ100" s="181"/>
      <c r="AK100" s="218">
        <v>12745</v>
      </c>
      <c r="AL100" s="177">
        <f t="shared" si="17"/>
        <v>1888.85</v>
      </c>
      <c r="AM100" s="7"/>
    </row>
    <row r="101" spans="33:41">
      <c r="AG101" s="237"/>
      <c r="AH101" s="181"/>
      <c r="AI101" s="181"/>
      <c r="AJ101" s="181"/>
      <c r="AK101" s="218"/>
      <c r="AL101" s="177">
        <f t="shared" si="17"/>
        <v>1888.85</v>
      </c>
      <c r="AM101" s="7"/>
    </row>
    <row r="102" spans="33:41">
      <c r="AG102" s="227">
        <v>45966</v>
      </c>
      <c r="AH102" s="168" t="s">
        <v>398</v>
      </c>
      <c r="AI102" s="168" t="s">
        <v>365</v>
      </c>
      <c r="AJ102" s="159">
        <f>AM102*0.9</f>
        <v>135</v>
      </c>
      <c r="AK102" s="160"/>
      <c r="AL102" s="177">
        <f t="shared" si="17"/>
        <v>2023.85</v>
      </c>
      <c r="AM102" s="7">
        <v>150</v>
      </c>
      <c r="AN102" s="198" t="s">
        <v>420</v>
      </c>
    </row>
    <row r="103" spans="33:41">
      <c r="AG103" s="227">
        <v>45967</v>
      </c>
      <c r="AH103" s="168" t="s">
        <v>198</v>
      </c>
      <c r="AI103" s="191" t="s">
        <v>415</v>
      </c>
      <c r="AJ103" s="184">
        <f t="shared" ref="AJ103:AJ106" si="19">AM103*95%</f>
        <v>2280</v>
      </c>
      <c r="AK103" s="192">
        <v>2280</v>
      </c>
      <c r="AL103" s="177">
        <f t="shared" si="17"/>
        <v>2023.85</v>
      </c>
      <c r="AM103" s="12">
        <v>2400</v>
      </c>
    </row>
    <row r="104" spans="33:41">
      <c r="AG104" s="227">
        <v>45968</v>
      </c>
      <c r="AH104" s="168" t="s">
        <v>421</v>
      </c>
      <c r="AI104" s="168" t="s">
        <v>365</v>
      </c>
      <c r="AJ104" s="159">
        <f>AM104*0.9</f>
        <v>1058.4</v>
      </c>
      <c r="AK104" s="160"/>
      <c r="AL104" s="177">
        <f t="shared" si="17"/>
        <v>3082.25</v>
      </c>
      <c r="AM104" s="7">
        <v>1176</v>
      </c>
    </row>
    <row r="105" spans="33:41">
      <c r="AG105" s="227">
        <v>45971</v>
      </c>
      <c r="AH105" s="168" t="s">
        <v>133</v>
      </c>
      <c r="AI105" s="191" t="s">
        <v>415</v>
      </c>
      <c r="AJ105" s="184">
        <f t="shared" si="19"/>
        <v>228</v>
      </c>
      <c r="AK105" s="160"/>
      <c r="AL105" s="177">
        <f t="shared" ref="AL103:AL114" si="20">AL104+AJ105-AK105</f>
        <v>3310.25</v>
      </c>
      <c r="AM105" s="12">
        <v>240</v>
      </c>
      <c r="AO105">
        <f>SUM(AM102:AM109)</f>
        <v>6541</v>
      </c>
    </row>
    <row r="106" spans="33:41">
      <c r="AG106" s="227">
        <v>45981</v>
      </c>
      <c r="AH106" s="168" t="s">
        <v>200</v>
      </c>
      <c r="AI106" s="191" t="s">
        <v>415</v>
      </c>
      <c r="AJ106" s="184">
        <f t="shared" si="19"/>
        <v>456</v>
      </c>
      <c r="AK106" s="160"/>
      <c r="AL106" s="177">
        <f t="shared" si="20"/>
        <v>3766.25</v>
      </c>
      <c r="AM106" s="12">
        <v>480</v>
      </c>
    </row>
    <row r="107" spans="33:41">
      <c r="AG107" s="227">
        <v>45981</v>
      </c>
      <c r="AH107" s="168" t="s">
        <v>200</v>
      </c>
      <c r="AI107" s="168" t="s">
        <v>422</v>
      </c>
      <c r="AJ107" s="159">
        <f t="shared" ref="AJ107:AJ114" si="21">AM107*0.9</f>
        <v>22.5</v>
      </c>
      <c r="AK107" s="160"/>
      <c r="AL107" s="177">
        <f t="shared" si="20"/>
        <v>3788.75</v>
      </c>
      <c r="AM107" s="12">
        <v>25</v>
      </c>
    </row>
    <row r="108" spans="33:41">
      <c r="AG108" s="227">
        <v>45985</v>
      </c>
      <c r="AH108" s="452">
        <v>67</v>
      </c>
      <c r="AI108" s="168" t="s">
        <v>365</v>
      </c>
      <c r="AJ108" s="159">
        <f t="shared" si="21"/>
        <v>1020.6</v>
      </c>
      <c r="AK108" s="228"/>
      <c r="AL108" s="177">
        <f t="shared" si="20"/>
        <v>4809.35</v>
      </c>
      <c r="AM108" s="7">
        <v>1134</v>
      </c>
    </row>
    <row r="109" spans="33:41">
      <c r="AG109" s="227">
        <v>45989</v>
      </c>
      <c r="AH109" s="452">
        <v>86</v>
      </c>
      <c r="AI109" s="168" t="s">
        <v>365</v>
      </c>
      <c r="AJ109" s="159">
        <f t="shared" si="21"/>
        <v>842.4</v>
      </c>
      <c r="AK109" s="228"/>
      <c r="AL109" s="177">
        <f t="shared" si="20"/>
        <v>5651.75</v>
      </c>
      <c r="AM109" s="7">
        <v>936</v>
      </c>
    </row>
    <row r="110" spans="33:41">
      <c r="AG110" s="227">
        <v>46000</v>
      </c>
      <c r="AH110" s="452">
        <v>20</v>
      </c>
      <c r="AI110" s="168" t="s">
        <v>365</v>
      </c>
      <c r="AJ110" s="159">
        <f t="shared" si="21"/>
        <v>1208.7</v>
      </c>
      <c r="AK110" s="228"/>
      <c r="AL110" s="177">
        <f t="shared" si="20"/>
        <v>6860.45</v>
      </c>
      <c r="AM110" s="7">
        <v>1343</v>
      </c>
    </row>
    <row r="111" spans="33:41">
      <c r="AG111" s="227">
        <v>46002</v>
      </c>
      <c r="AH111" s="243" t="s">
        <v>423</v>
      </c>
      <c r="AI111" s="168" t="s">
        <v>365</v>
      </c>
      <c r="AJ111" s="159">
        <f t="shared" si="21"/>
        <v>842.4</v>
      </c>
      <c r="AK111" s="228"/>
      <c r="AL111" s="177">
        <f t="shared" si="20"/>
        <v>7702.85</v>
      </c>
      <c r="AM111" s="7">
        <v>936</v>
      </c>
    </row>
    <row r="112" spans="33:41">
      <c r="AG112" s="227">
        <v>46014</v>
      </c>
      <c r="AH112" s="243" t="s">
        <v>192</v>
      </c>
      <c r="AI112" s="168" t="s">
        <v>365</v>
      </c>
      <c r="AJ112" s="159">
        <f t="shared" si="21"/>
        <v>990</v>
      </c>
      <c r="AK112" s="228"/>
      <c r="AL112" s="177">
        <f t="shared" si="20"/>
        <v>8692.85</v>
      </c>
      <c r="AM112" s="7">
        <v>1100</v>
      </c>
    </row>
    <row r="113" spans="33:39">
      <c r="AG113" s="227">
        <v>46029</v>
      </c>
      <c r="AH113" s="243" t="s">
        <v>421</v>
      </c>
      <c r="AI113" s="168" t="s">
        <v>365</v>
      </c>
      <c r="AJ113" s="159">
        <f t="shared" si="21"/>
        <v>802.8</v>
      </c>
      <c r="AK113" s="228"/>
      <c r="AL113" s="160">
        <f t="shared" si="20"/>
        <v>9495.65</v>
      </c>
      <c r="AM113" s="7">
        <v>892</v>
      </c>
    </row>
    <row r="114" spans="33:39">
      <c r="AG114" s="227">
        <v>46034</v>
      </c>
      <c r="AH114" s="243" t="s">
        <v>216</v>
      </c>
      <c r="AI114" s="168" t="s">
        <v>365</v>
      </c>
      <c r="AJ114" s="185">
        <f>AM114*0.95</f>
        <v>1596</v>
      </c>
      <c r="AK114" s="228"/>
      <c r="AL114" s="160">
        <f t="shared" si="20"/>
        <v>11091.65</v>
      </c>
      <c r="AM114" s="7">
        <v>1680</v>
      </c>
    </row>
    <row r="115" spans="33:39">
      <c r="AG115" s="227">
        <v>46036</v>
      </c>
      <c r="AH115" s="243" t="s">
        <v>424</v>
      </c>
      <c r="AI115" s="168" t="s">
        <v>365</v>
      </c>
      <c r="AJ115" s="159">
        <f>AM115*0.9</f>
        <v>780.3</v>
      </c>
      <c r="AK115" s="228"/>
      <c r="AL115" s="160"/>
      <c r="AM115" s="7">
        <v>867</v>
      </c>
    </row>
    <row r="116" spans="33:39">
      <c r="AG116" s="227">
        <v>46037</v>
      </c>
      <c r="AH116" s="243" t="s">
        <v>206</v>
      </c>
      <c r="AI116" s="168" t="s">
        <v>365</v>
      </c>
      <c r="AJ116" s="159">
        <f>AM116*0.9</f>
        <v>90</v>
      </c>
      <c r="AK116" s="228"/>
      <c r="AL116" s="160"/>
      <c r="AM116" s="7">
        <v>100</v>
      </c>
    </row>
    <row r="117" spans="33:39">
      <c r="AG117" s="227">
        <v>46039</v>
      </c>
      <c r="AH117" s="452" t="s">
        <v>425</v>
      </c>
      <c r="AI117" s="168" t="s">
        <v>365</v>
      </c>
      <c r="AJ117" s="159">
        <f>AM117*0.9</f>
        <v>172.8</v>
      </c>
      <c r="AK117" s="228"/>
      <c r="AL117" s="160"/>
      <c r="AM117" s="7">
        <v>192</v>
      </c>
    </row>
  </sheetData>
  <mergeCells count="72">
    <mergeCell ref="E1:F1"/>
    <mergeCell ref="H1:J1"/>
    <mergeCell ref="K1:L1"/>
    <mergeCell ref="P1:R1"/>
    <mergeCell ref="S1:T1"/>
    <mergeCell ref="Y1:AC1"/>
    <mergeCell ref="AG1:AI1"/>
    <mergeCell ref="AJ1:AK1"/>
    <mergeCell ref="A2:D2"/>
    <mergeCell ref="E2:F2"/>
    <mergeCell ref="H2:J2"/>
    <mergeCell ref="K2:L2"/>
    <mergeCell ref="N2:O2"/>
    <mergeCell ref="P2:R2"/>
    <mergeCell ref="S2:T2"/>
    <mergeCell ref="V2:W2"/>
    <mergeCell ref="Y2:AC2"/>
    <mergeCell ref="AG2:AK2"/>
    <mergeCell ref="A3:F3"/>
    <mergeCell ref="I3:N3"/>
    <mergeCell ref="Q3:V3"/>
    <mergeCell ref="Y3:AD3"/>
    <mergeCell ref="AG3:AL3"/>
    <mergeCell ref="A4:E4"/>
    <mergeCell ref="I4:M4"/>
    <mergeCell ref="Q4:U4"/>
    <mergeCell ref="Y4:AC4"/>
    <mergeCell ref="AG4:AK4"/>
    <mergeCell ref="A5:B5"/>
    <mergeCell ref="I5:J5"/>
    <mergeCell ref="Q5:R5"/>
    <mergeCell ref="Y5:Z5"/>
    <mergeCell ref="AG5:AH5"/>
    <mergeCell ref="A6:B6"/>
    <mergeCell ref="I6:J6"/>
    <mergeCell ref="Q6:R6"/>
    <mergeCell ref="Y6:Z6"/>
    <mergeCell ref="AG6:AH6"/>
    <mergeCell ref="A7:B7"/>
    <mergeCell ref="I7:J7"/>
    <mergeCell ref="Q7:R7"/>
    <mergeCell ref="AG7:AH7"/>
    <mergeCell ref="A8:A9"/>
    <mergeCell ref="B8:B9"/>
    <mergeCell ref="D8:D9"/>
    <mergeCell ref="E8:E9"/>
    <mergeCell ref="F8:F9"/>
    <mergeCell ref="H4:H6"/>
    <mergeCell ref="I8:I9"/>
    <mergeCell ref="J8:J9"/>
    <mergeCell ref="L8:L9"/>
    <mergeCell ref="M8:M9"/>
    <mergeCell ref="N8:N9"/>
    <mergeCell ref="O4:O5"/>
    <mergeCell ref="Q8:Q9"/>
    <mergeCell ref="R8:R9"/>
    <mergeCell ref="T8:T9"/>
    <mergeCell ref="U8:U9"/>
    <mergeCell ref="V8:V9"/>
    <mergeCell ref="W4:W5"/>
    <mergeCell ref="Y8:Y9"/>
    <mergeCell ref="Z8:Z9"/>
    <mergeCell ref="AB8:AB9"/>
    <mergeCell ref="AC8:AC9"/>
    <mergeCell ref="AD8:AD9"/>
    <mergeCell ref="AE4:AE5"/>
    <mergeCell ref="AG8:AG9"/>
    <mergeCell ref="AH8:AH9"/>
    <mergeCell ref="AJ8:AJ9"/>
    <mergeCell ref="AK8:AK9"/>
    <mergeCell ref="AL8:AL9"/>
    <mergeCell ref="AM4:AM5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30"/>
  <sheetViews>
    <sheetView topLeftCell="A16" workbookViewId="0">
      <selection activeCell="A2" sqref="A2:J2"/>
    </sheetView>
  </sheetViews>
  <sheetFormatPr defaultColWidth="9" defaultRowHeight="14.25"/>
  <cols>
    <col min="1" max="1" width="9.875"/>
    <col min="2" max="2" width="6.5" customWidth="1"/>
    <col min="3" max="3" width="11.25" customWidth="1"/>
    <col min="4" max="4" width="20.875" customWidth="1"/>
    <col min="5" max="5" width="9.375"/>
    <col min="6" max="6" width="12.75" customWidth="1"/>
    <col min="7" max="7" width="11.875" customWidth="1"/>
    <col min="8" max="8" width="26.625" customWidth="1"/>
    <col min="9" max="9" width="9.375"/>
    <col min="10" max="10" width="6.5" customWidth="1"/>
    <col min="11" max="11" width="10" customWidth="1"/>
    <col min="12" max="12" width="18.125" customWidth="1"/>
    <col min="13" max="13" width="9.375"/>
    <col min="14" max="14" width="12.75" customWidth="1"/>
    <col min="15" max="15" width="11.5" customWidth="1"/>
    <col min="16" max="16" width="10.375" customWidth="1"/>
    <col min="17" max="17" width="10.125"/>
    <col min="18" max="18" width="6.5" customWidth="1"/>
    <col min="19" max="19" width="10" customWidth="1"/>
    <col min="20" max="20" width="13.375" customWidth="1"/>
    <col min="21" max="21" width="9.375"/>
    <col min="22" max="22" width="12.75" customWidth="1"/>
    <col min="23" max="23" width="11.5" customWidth="1"/>
    <col min="24" max="24" width="26.25" customWidth="1"/>
    <col min="25" max="25" width="10.125"/>
    <col min="26" max="26" width="6.5" customWidth="1"/>
    <col min="27" max="27" width="10" customWidth="1"/>
    <col min="28" max="28" width="13.375" customWidth="1"/>
    <col min="29" max="29" width="9.375"/>
    <col min="30" max="30" width="12.75" customWidth="1"/>
    <col min="31" max="31" width="12.875" customWidth="1"/>
    <col min="32" max="32" width="12.375" customWidth="1"/>
    <col min="33" max="33" width="10.125"/>
    <col min="34" max="34" width="6.5" customWidth="1"/>
    <col min="35" max="35" width="16.875" customWidth="1"/>
    <col min="36" max="36" width="15.25" customWidth="1"/>
    <col min="37" max="37" width="10.375"/>
    <col min="38" max="38" width="12.75" customWidth="1"/>
    <col min="39" max="39" width="12.875" customWidth="1"/>
    <col min="42" max="42" width="9.375"/>
    <col min="44" max="44" width="9.375"/>
  </cols>
  <sheetData>
    <row r="1" ht="49" customHeight="1" spans="1:39">
      <c r="A1" s="348" t="s">
        <v>426</v>
      </c>
      <c r="B1" s="349"/>
      <c r="C1" s="349"/>
      <c r="D1" s="349"/>
      <c r="E1" s="51" t="s">
        <v>427</v>
      </c>
      <c r="F1" s="52"/>
      <c r="G1" s="53" t="s">
        <v>333</v>
      </c>
      <c r="H1" s="54" t="s">
        <v>334</v>
      </c>
      <c r="I1" s="54"/>
      <c r="J1" s="54"/>
      <c r="K1" s="55" t="s">
        <v>335</v>
      </c>
      <c r="L1" s="56"/>
      <c r="M1" s="57"/>
      <c r="N1" s="58" t="s">
        <v>336</v>
      </c>
      <c r="O1" s="59"/>
      <c r="P1" s="54"/>
      <c r="Q1" s="54"/>
      <c r="R1" s="54"/>
      <c r="S1" s="55"/>
      <c r="T1" s="56"/>
      <c r="U1" s="57"/>
      <c r="V1" s="58"/>
      <c r="W1" s="59"/>
      <c r="X1" s="60"/>
      <c r="Y1" s="61"/>
      <c r="Z1" s="61"/>
      <c r="AA1" s="61"/>
      <c r="AB1" s="61"/>
      <c r="AC1" s="62"/>
      <c r="AD1" s="59"/>
      <c r="AE1" s="63"/>
      <c r="AF1" s="60"/>
      <c r="AG1" s="350" t="s">
        <v>337</v>
      </c>
      <c r="AH1" s="350"/>
      <c r="AI1" s="350"/>
      <c r="AJ1" s="350"/>
      <c r="AK1" s="351"/>
      <c r="AL1" s="64"/>
      <c r="AM1" s="63"/>
    </row>
    <row r="2" ht="33" customHeight="1" spans="1:39">
      <c r="A2" s="65">
        <f>F4+N4+V4+AD4+AL4</f>
        <v>86137.27</v>
      </c>
      <c r="B2" s="66"/>
      <c r="C2" s="66"/>
      <c r="D2" s="66"/>
      <c r="E2" s="67">
        <f>A6+I6+Q6+Y6+AG6</f>
        <v>231075.51</v>
      </c>
      <c r="F2" s="68"/>
      <c r="G2" s="352">
        <f>F7+N7+V7+AD7+AL7</f>
        <v>21855</v>
      </c>
      <c r="H2" s="70">
        <f>D6+L6+T6+AB6+AJ6</f>
        <v>166793.24</v>
      </c>
      <c r="I2" s="71"/>
      <c r="J2" s="72"/>
      <c r="K2" s="67">
        <f>F6+N6+V6+AD6+AL6</f>
        <v>64282.27</v>
      </c>
      <c r="L2" s="65"/>
      <c r="M2" s="73"/>
      <c r="N2" s="74">
        <f>G6+O6+W6+AE6+AM6</f>
        <v>260970.4</v>
      </c>
      <c r="O2" s="65"/>
      <c r="P2" s="75"/>
      <c r="Q2" s="76"/>
      <c r="R2" s="77"/>
      <c r="S2" s="78"/>
      <c r="T2" s="79"/>
      <c r="U2" s="73"/>
      <c r="V2" s="80"/>
      <c r="W2" s="79"/>
      <c r="X2" s="81"/>
      <c r="Y2" s="82"/>
      <c r="Z2" s="82"/>
      <c r="AA2" s="82"/>
      <c r="AB2" s="82"/>
      <c r="AC2" s="83"/>
      <c r="AD2" s="84"/>
      <c r="AE2" s="85"/>
      <c r="AF2" s="81"/>
      <c r="AG2" s="86">
        <f>G6+I6+Q6+AE6+AM6</f>
        <v>254602.9</v>
      </c>
      <c r="AH2" s="86"/>
      <c r="AI2" s="86"/>
      <c r="AJ2" s="86"/>
      <c r="AK2" s="87"/>
      <c r="AL2" s="88"/>
      <c r="AM2" s="85"/>
    </row>
    <row r="3" ht="30" customHeight="1" spans="1:39">
      <c r="A3" s="89" t="s">
        <v>339</v>
      </c>
      <c r="B3" s="89"/>
      <c r="C3" s="89"/>
      <c r="D3" s="89"/>
      <c r="E3" s="89"/>
      <c r="F3" s="89"/>
      <c r="G3" s="353" t="s">
        <v>428</v>
      </c>
      <c r="H3" s="91"/>
      <c r="I3" s="89" t="s">
        <v>429</v>
      </c>
      <c r="J3" s="89"/>
      <c r="K3" s="89"/>
      <c r="L3" s="89"/>
      <c r="M3" s="89"/>
      <c r="N3" s="89"/>
      <c r="O3" s="7"/>
      <c r="P3" s="91"/>
      <c r="Q3" s="89" t="s">
        <v>341</v>
      </c>
      <c r="R3" s="89"/>
      <c r="S3" s="89"/>
      <c r="T3" s="89"/>
      <c r="U3" s="89"/>
      <c r="V3" s="89"/>
      <c r="W3" s="5"/>
      <c r="X3" s="91"/>
      <c r="Y3" s="89" t="s">
        <v>430</v>
      </c>
      <c r="Z3" s="89"/>
      <c r="AA3" s="89"/>
      <c r="AB3" s="89"/>
      <c r="AC3" s="89"/>
      <c r="AD3" s="89"/>
      <c r="AE3" s="5"/>
      <c r="AF3" s="91"/>
      <c r="AG3" s="89" t="s">
        <v>431</v>
      </c>
      <c r="AH3" s="89"/>
      <c r="AI3" s="89"/>
      <c r="AJ3" s="89"/>
      <c r="AK3" s="89"/>
      <c r="AL3" s="89"/>
      <c r="AM3" s="5"/>
    </row>
    <row r="4" ht="21" customHeight="1" spans="1:39">
      <c r="A4" s="354" t="s">
        <v>344</v>
      </c>
      <c r="B4" s="354"/>
      <c r="C4" s="354"/>
      <c r="D4" s="354"/>
      <c r="E4" s="354"/>
      <c r="F4" s="355">
        <f>F6</f>
        <v>45527.15</v>
      </c>
      <c r="G4" s="356">
        <f>F6+F7</f>
        <v>45527.15</v>
      </c>
      <c r="H4" s="357" t="s">
        <v>432</v>
      </c>
      <c r="I4" s="354" t="s">
        <v>344</v>
      </c>
      <c r="J4" s="354"/>
      <c r="K4" s="354"/>
      <c r="L4" s="354"/>
      <c r="M4" s="358"/>
      <c r="N4" s="354">
        <f>N6+N7</f>
        <v>21855</v>
      </c>
      <c r="O4" s="359" t="s">
        <v>346</v>
      </c>
      <c r="P4" s="96"/>
      <c r="Q4" s="354" t="s">
        <v>344</v>
      </c>
      <c r="R4" s="354"/>
      <c r="S4" s="354"/>
      <c r="T4" s="354"/>
      <c r="U4" s="358"/>
      <c r="V4" s="354">
        <f>V6+V7</f>
        <v>0</v>
      </c>
      <c r="W4" s="359" t="s">
        <v>346</v>
      </c>
      <c r="X4" s="96"/>
      <c r="Y4" s="92" t="s">
        <v>344</v>
      </c>
      <c r="Z4" s="92"/>
      <c r="AA4" s="92"/>
      <c r="AB4" s="92"/>
      <c r="AC4" s="93"/>
      <c r="AD4" s="97">
        <f>AD6+AD7</f>
        <v>4913.61</v>
      </c>
      <c r="AE4" s="95" t="s">
        <v>336</v>
      </c>
      <c r="AF4" s="96"/>
      <c r="AG4" s="354" t="s">
        <v>344</v>
      </c>
      <c r="AH4" s="354"/>
      <c r="AI4" s="354"/>
      <c r="AJ4" s="354"/>
      <c r="AK4" s="358"/>
      <c r="AL4" s="354">
        <f>AL6+AL7</f>
        <v>13841.51</v>
      </c>
      <c r="AM4" s="359" t="s">
        <v>346</v>
      </c>
    </row>
    <row r="5" spans="1:39">
      <c r="A5" s="98" t="s">
        <v>347</v>
      </c>
      <c r="B5" s="99"/>
      <c r="C5" s="99"/>
      <c r="D5" s="100" t="s">
        <v>348</v>
      </c>
      <c r="E5" s="99"/>
      <c r="F5" s="103" t="s">
        <v>349</v>
      </c>
      <c r="G5" s="7" t="s">
        <v>336</v>
      </c>
      <c r="H5" s="360"/>
      <c r="I5" s="98" t="s">
        <v>347</v>
      </c>
      <c r="J5" s="99"/>
      <c r="K5" s="99"/>
      <c r="L5" s="100" t="s">
        <v>348</v>
      </c>
      <c r="M5" s="99"/>
      <c r="N5" s="103" t="s">
        <v>349</v>
      </c>
      <c r="O5" s="361"/>
      <c r="P5" s="104"/>
      <c r="Q5" s="98" t="s">
        <v>347</v>
      </c>
      <c r="R5" s="99"/>
      <c r="S5" s="99"/>
      <c r="T5" s="100" t="s">
        <v>348</v>
      </c>
      <c r="U5" s="99"/>
      <c r="V5" s="103" t="s">
        <v>349</v>
      </c>
      <c r="W5" s="362"/>
      <c r="X5" s="104"/>
      <c r="Y5" s="98" t="s">
        <v>347</v>
      </c>
      <c r="Z5" s="99"/>
      <c r="AA5" s="99"/>
      <c r="AB5" s="100" t="s">
        <v>348</v>
      </c>
      <c r="AC5" s="99"/>
      <c r="AD5" s="103" t="s">
        <v>349</v>
      </c>
      <c r="AE5" s="85"/>
      <c r="AF5" s="104"/>
      <c r="AG5" s="98" t="s">
        <v>347</v>
      </c>
      <c r="AH5" s="99"/>
      <c r="AI5" s="99"/>
      <c r="AJ5" s="100" t="s">
        <v>348</v>
      </c>
      <c r="AK5" s="99"/>
      <c r="AL5" s="103" t="s">
        <v>349</v>
      </c>
      <c r="AM5" s="362"/>
    </row>
    <row r="6" ht="54" customHeight="1" spans="1:39">
      <c r="A6" s="105">
        <f>SUBTOTAL(9,D10:D49)</f>
        <v>62997.15</v>
      </c>
      <c r="B6" s="106"/>
      <c r="C6" s="106"/>
      <c r="D6" s="107">
        <f>SUBTOTAL(9,E10:E214)</f>
        <v>17470</v>
      </c>
      <c r="E6" s="106"/>
      <c r="F6" s="110">
        <f>A6-D6</f>
        <v>45527.15</v>
      </c>
      <c r="G6" s="7">
        <f>SUM(G10:G48)</f>
        <v>70697</v>
      </c>
      <c r="H6" s="363"/>
      <c r="I6" s="105">
        <f>SUBTOTAL(9,L10:L205)</f>
        <v>0</v>
      </c>
      <c r="J6" s="106"/>
      <c r="K6" s="106"/>
      <c r="L6" s="107">
        <f>SUBTOTAL(9,M10:M205)</f>
        <v>0</v>
      </c>
      <c r="M6" s="106"/>
      <c r="N6" s="110">
        <f>I6-L6</f>
        <v>0</v>
      </c>
      <c r="O6" s="5">
        <f>SUM(O10:O101)</f>
        <v>0</v>
      </c>
      <c r="P6" s="111"/>
      <c r="Q6" s="105">
        <f>SUBTOTAL(9,T10:T201)</f>
        <v>25630.5</v>
      </c>
      <c r="R6" s="106"/>
      <c r="S6" s="106"/>
      <c r="T6" s="107">
        <f>SUBTOTAL(9,U10:U201)</f>
        <v>25630.5</v>
      </c>
      <c r="U6" s="106"/>
      <c r="V6" s="110">
        <f>Q6-T6</f>
        <v>0</v>
      </c>
      <c r="W6" s="5">
        <f>SUM(W10:W201)</f>
        <v>31998</v>
      </c>
      <c r="X6" s="111"/>
      <c r="Y6" s="364">
        <f>SUM(AB10:AB79)</f>
        <v>39293.1</v>
      </c>
      <c r="Z6" s="365"/>
      <c r="AA6" s="366"/>
      <c r="AB6" s="107">
        <f>SUBTOTAL(9,AC10:AC225)</f>
        <v>34379.49</v>
      </c>
      <c r="AC6" s="365"/>
      <c r="AD6" s="367">
        <f>Y6-AB6</f>
        <v>4913.61</v>
      </c>
      <c r="AE6" s="7">
        <f>SUM(AE10:AE173)</f>
        <v>43659</v>
      </c>
      <c r="AF6" s="111"/>
      <c r="AG6" s="105">
        <f>SUBTOTAL(9,AJ10:AJ131)</f>
        <v>103154.76</v>
      </c>
      <c r="AH6" s="106"/>
      <c r="AI6" s="106"/>
      <c r="AJ6" s="107">
        <f>SUBTOTAL(9,AK10:AK122)</f>
        <v>89313.25</v>
      </c>
      <c r="AK6" s="106"/>
      <c r="AL6" s="110">
        <f>AG6-AJ6</f>
        <v>13841.51</v>
      </c>
      <c r="AM6" s="5">
        <f>SUM(AM10:AM226)</f>
        <v>114616.4</v>
      </c>
    </row>
    <row r="7" s="45" customFormat="1" ht="63" spans="1:39">
      <c r="A7" s="368" t="s">
        <v>354</v>
      </c>
      <c r="B7" s="369"/>
      <c r="C7" s="370">
        <v>72530</v>
      </c>
      <c r="D7" s="371" t="s">
        <v>433</v>
      </c>
      <c r="E7" s="372">
        <v>72530</v>
      </c>
      <c r="F7" s="373">
        <f>C7-E7</f>
        <v>0</v>
      </c>
      <c r="G7" s="374">
        <v>17975</v>
      </c>
      <c r="H7" s="375">
        <f>SUM(G6:G7)</f>
        <v>88672</v>
      </c>
      <c r="I7" s="376" t="s">
        <v>354</v>
      </c>
      <c r="J7" s="377"/>
      <c r="K7" s="378">
        <v>21855</v>
      </c>
      <c r="L7" s="379"/>
      <c r="M7" s="380"/>
      <c r="N7" s="381">
        <f>K7-M7</f>
        <v>21855</v>
      </c>
      <c r="O7" s="374"/>
      <c r="P7" s="118"/>
      <c r="Q7" s="376" t="s">
        <v>354</v>
      </c>
      <c r="R7" s="377"/>
      <c r="S7" s="378">
        <v>2488</v>
      </c>
      <c r="T7" s="382">
        <v>45448</v>
      </c>
      <c r="U7" s="380">
        <v>2488</v>
      </c>
      <c r="V7" s="381">
        <f>S7-U7</f>
        <v>0</v>
      </c>
      <c r="W7" s="130">
        <v>3185</v>
      </c>
      <c r="X7" s="111"/>
      <c r="Y7" s="383" t="s">
        <v>354</v>
      </c>
      <c r="Z7" s="384"/>
      <c r="AA7" s="385">
        <v>0</v>
      </c>
      <c r="AB7" s="135"/>
      <c r="AC7" s="132"/>
      <c r="AD7" s="111"/>
      <c r="AE7" s="5"/>
      <c r="AF7" s="111"/>
      <c r="AG7" s="376" t="s">
        <v>434</v>
      </c>
      <c r="AH7" s="377"/>
      <c r="AI7" s="378">
        <v>15217.6</v>
      </c>
      <c r="AJ7" s="379" t="s">
        <v>435</v>
      </c>
      <c r="AK7" s="380">
        <v>15217.6</v>
      </c>
      <c r="AL7" s="373">
        <f>AI7-AK7</f>
        <v>0</v>
      </c>
      <c r="AM7" s="386" t="s">
        <v>436</v>
      </c>
    </row>
    <row r="8" spans="1:39">
      <c r="A8" s="146" t="s">
        <v>356</v>
      </c>
      <c r="B8" s="147" t="s">
        <v>357</v>
      </c>
      <c r="C8" s="147" t="s">
        <v>358</v>
      </c>
      <c r="D8" s="147" t="s">
        <v>437</v>
      </c>
      <c r="E8" s="107" t="s">
        <v>348</v>
      </c>
      <c r="F8" s="151" t="s">
        <v>360</v>
      </c>
      <c r="G8" s="7" t="s">
        <v>361</v>
      </c>
      <c r="H8" s="111"/>
      <c r="I8" s="146" t="s">
        <v>356</v>
      </c>
      <c r="J8" s="147" t="s">
        <v>357</v>
      </c>
      <c r="K8" s="147" t="s">
        <v>358</v>
      </c>
      <c r="L8" s="147" t="s">
        <v>437</v>
      </c>
      <c r="M8" s="107" t="s">
        <v>348</v>
      </c>
      <c r="N8" s="151" t="s">
        <v>360</v>
      </c>
      <c r="O8" s="7" t="s">
        <v>363</v>
      </c>
      <c r="P8" s="111"/>
      <c r="Q8" s="146" t="s">
        <v>356</v>
      </c>
      <c r="R8" s="147" t="s">
        <v>357</v>
      </c>
      <c r="S8" s="147" t="s">
        <v>358</v>
      </c>
      <c r="T8" s="147" t="s">
        <v>362</v>
      </c>
      <c r="U8" s="107" t="s">
        <v>348</v>
      </c>
      <c r="V8" s="151" t="s">
        <v>360</v>
      </c>
      <c r="W8" s="5" t="s">
        <v>363</v>
      </c>
      <c r="X8" s="141"/>
      <c r="Y8" s="146" t="s">
        <v>356</v>
      </c>
      <c r="Z8" s="147" t="s">
        <v>357</v>
      </c>
      <c r="AA8" s="147" t="s">
        <v>358</v>
      </c>
      <c r="AB8" s="147" t="s">
        <v>437</v>
      </c>
      <c r="AC8" s="107" t="s">
        <v>348</v>
      </c>
      <c r="AD8" s="151" t="s">
        <v>360</v>
      </c>
      <c r="AE8" s="4" t="s">
        <v>363</v>
      </c>
      <c r="AF8" s="141"/>
      <c r="AG8" s="146" t="s">
        <v>356</v>
      </c>
      <c r="AH8" s="147" t="s">
        <v>357</v>
      </c>
      <c r="AI8" s="147" t="s">
        <v>358</v>
      </c>
      <c r="AJ8" s="147" t="s">
        <v>437</v>
      </c>
      <c r="AK8" s="107" t="s">
        <v>348</v>
      </c>
      <c r="AL8" s="151" t="s">
        <v>360</v>
      </c>
      <c r="AM8" s="5" t="s">
        <v>363</v>
      </c>
    </row>
    <row r="9" spans="1:39">
      <c r="A9" s="152"/>
      <c r="B9" s="153"/>
      <c r="C9" s="153"/>
      <c r="D9" s="153"/>
      <c r="E9" s="107"/>
      <c r="F9" s="156"/>
      <c r="G9" s="7"/>
      <c r="H9" s="141"/>
      <c r="I9" s="152"/>
      <c r="J9" s="153"/>
      <c r="K9" s="153"/>
      <c r="L9" s="153"/>
      <c r="M9" s="107"/>
      <c r="N9" s="156"/>
      <c r="O9" s="7" t="s">
        <v>364</v>
      </c>
      <c r="P9" s="141"/>
      <c r="Q9" s="152"/>
      <c r="R9" s="153"/>
      <c r="S9" s="153"/>
      <c r="T9" s="153"/>
      <c r="U9" s="107"/>
      <c r="V9" s="156"/>
      <c r="W9" s="5" t="s">
        <v>364</v>
      </c>
      <c r="X9" s="150"/>
      <c r="Y9" s="152"/>
      <c r="Z9" s="153"/>
      <c r="AA9" s="153"/>
      <c r="AB9" s="153"/>
      <c r="AC9" s="107"/>
      <c r="AD9" s="156"/>
      <c r="AE9" s="4" t="s">
        <v>364</v>
      </c>
      <c r="AF9" s="150"/>
      <c r="AG9" s="152"/>
      <c r="AH9" s="153"/>
      <c r="AI9" s="153"/>
      <c r="AJ9" s="153"/>
      <c r="AK9" s="107"/>
      <c r="AL9" s="156"/>
      <c r="AM9" s="5" t="s">
        <v>364</v>
      </c>
    </row>
    <row r="10" s="347" customFormat="1" spans="1:39">
      <c r="A10" s="157">
        <v>45351</v>
      </c>
      <c r="B10" s="158">
        <v>9</v>
      </c>
      <c r="C10" s="159" t="s">
        <v>365</v>
      </c>
      <c r="D10" s="159">
        <f>G10*90%</f>
        <v>3856.5</v>
      </c>
      <c r="E10" s="177"/>
      <c r="F10" s="177">
        <f>D10-E10</f>
        <v>3856.5</v>
      </c>
      <c r="G10" s="19">
        <v>4285</v>
      </c>
      <c r="H10" s="150"/>
      <c r="I10" s="157"/>
      <c r="J10" s="158"/>
      <c r="K10" s="159"/>
      <c r="L10" s="159"/>
      <c r="M10" s="177"/>
      <c r="N10" s="177">
        <f>L10-M10</f>
        <v>0</v>
      </c>
      <c r="O10" s="19"/>
      <c r="P10" s="150"/>
      <c r="Q10" s="387">
        <v>45363</v>
      </c>
      <c r="R10" s="158">
        <v>36</v>
      </c>
      <c r="S10" s="159" t="s">
        <v>365</v>
      </c>
      <c r="T10" s="159">
        <v>3022.5</v>
      </c>
      <c r="U10" s="177"/>
      <c r="V10" s="177">
        <f>T10-U10</f>
        <v>3022.5</v>
      </c>
      <c r="W10" s="388">
        <v>3771</v>
      </c>
      <c r="X10" s="150"/>
      <c r="Y10" s="157">
        <v>45521</v>
      </c>
      <c r="Z10" s="158">
        <v>59</v>
      </c>
      <c r="AA10" s="159" t="s">
        <v>365</v>
      </c>
      <c r="AB10" s="159">
        <f t="shared" ref="AB10:AB16" si="0">AE10*90%</f>
        <v>2050.2</v>
      </c>
      <c r="AC10" s="222"/>
      <c r="AD10" s="177">
        <f>AB10-AC10</f>
        <v>2050.2</v>
      </c>
      <c r="AE10" s="4">
        <v>2278</v>
      </c>
      <c r="AF10" s="150"/>
      <c r="AG10" s="389">
        <v>45347</v>
      </c>
      <c r="AH10" s="158">
        <v>5</v>
      </c>
      <c r="AI10" s="159" t="s">
        <v>365</v>
      </c>
      <c r="AJ10" s="159">
        <f t="shared" ref="AJ10:AJ16" si="1">AM10*90%</f>
        <v>693</v>
      </c>
      <c r="AK10" s="177"/>
      <c r="AL10" s="177">
        <f>AJ10-AK10</f>
        <v>693</v>
      </c>
      <c r="AM10" s="4">
        <v>770</v>
      </c>
    </row>
    <row r="11" s="347" customFormat="1" spans="1:39">
      <c r="A11" s="389">
        <v>45357</v>
      </c>
      <c r="B11" s="158">
        <v>12</v>
      </c>
      <c r="C11" s="159" t="s">
        <v>365</v>
      </c>
      <c r="D11" s="159">
        <f>G11*90%</f>
        <v>2295</v>
      </c>
      <c r="E11" s="177"/>
      <c r="F11" s="177">
        <f>F10+D11-E11</f>
        <v>6151.5</v>
      </c>
      <c r="G11" s="19">
        <v>2550</v>
      </c>
      <c r="H11" s="150"/>
      <c r="I11" s="389"/>
      <c r="J11" s="158"/>
      <c r="K11" s="390"/>
      <c r="L11" s="159"/>
      <c r="M11" s="177"/>
      <c r="N11" s="177">
        <f t="shared" ref="N11:N24" si="2">N10+L11-M11</f>
        <v>0</v>
      </c>
      <c r="O11" s="19"/>
      <c r="P11" s="150"/>
      <c r="Q11" s="389">
        <v>45366</v>
      </c>
      <c r="R11" s="390">
        <v>45</v>
      </c>
      <c r="S11" s="159" t="s">
        <v>365</v>
      </c>
      <c r="T11" s="159">
        <v>2813</v>
      </c>
      <c r="U11" s="177"/>
      <c r="V11" s="177">
        <f t="shared" ref="V11:V22" si="3">V10+T11-U11</f>
        <v>5835.5</v>
      </c>
      <c r="W11" s="388">
        <v>3470</v>
      </c>
      <c r="X11" s="391"/>
      <c r="Y11" s="389">
        <v>45526</v>
      </c>
      <c r="Z11" s="158">
        <v>73</v>
      </c>
      <c r="AA11" s="159" t="s">
        <v>365</v>
      </c>
      <c r="AB11" s="159">
        <f t="shared" si="0"/>
        <v>540</v>
      </c>
      <c r="AC11" s="222"/>
      <c r="AD11" s="177">
        <f t="shared" ref="AD11:AD18" si="4">AD10+AB11-AC11</f>
        <v>2590.2</v>
      </c>
      <c r="AE11" s="4">
        <v>600</v>
      </c>
      <c r="AF11" s="392"/>
      <c r="AG11" s="389">
        <v>45351</v>
      </c>
      <c r="AH11" s="158">
        <v>12</v>
      </c>
      <c r="AI11" s="159" t="s">
        <v>365</v>
      </c>
      <c r="AJ11" s="159">
        <f t="shared" si="1"/>
        <v>536.4</v>
      </c>
      <c r="AK11" s="177"/>
      <c r="AL11" s="177">
        <f t="shared" ref="AL11:AL20" si="5">AL10+AJ11-AK11</f>
        <v>1229.4</v>
      </c>
      <c r="AM11" s="4">
        <v>596</v>
      </c>
    </row>
    <row r="12" s="347" customFormat="1" spans="1:39">
      <c r="A12" s="389">
        <v>45360</v>
      </c>
      <c r="B12" s="158">
        <v>29</v>
      </c>
      <c r="C12" s="159" t="s">
        <v>365</v>
      </c>
      <c r="D12" s="159">
        <f>G12*90%</f>
        <v>1599.75</v>
      </c>
      <c r="E12" s="390"/>
      <c r="F12" s="177">
        <f t="shared" ref="F12:F49" si="6">F11+D12-E12</f>
        <v>7751.25</v>
      </c>
      <c r="G12" s="19">
        <v>1777.5</v>
      </c>
      <c r="H12" s="392"/>
      <c r="I12" s="389"/>
      <c r="J12" s="158"/>
      <c r="K12" s="390"/>
      <c r="L12" s="159"/>
      <c r="M12" s="390"/>
      <c r="N12" s="177">
        <f t="shared" si="2"/>
        <v>0</v>
      </c>
      <c r="O12" s="19"/>
      <c r="P12" s="150"/>
      <c r="Q12" s="389">
        <v>45391</v>
      </c>
      <c r="R12" s="158">
        <v>24</v>
      </c>
      <c r="S12" s="390" t="s">
        <v>365</v>
      </c>
      <c r="T12" s="159">
        <v>2350</v>
      </c>
      <c r="U12" s="159"/>
      <c r="V12" s="177">
        <f t="shared" si="3"/>
        <v>8185.5</v>
      </c>
      <c r="W12" s="388">
        <v>2620</v>
      </c>
      <c r="X12" s="391"/>
      <c r="Y12" s="199">
        <v>45559</v>
      </c>
      <c r="Z12" s="183"/>
      <c r="AA12" s="185" t="s">
        <v>375</v>
      </c>
      <c r="AB12" s="185"/>
      <c r="AC12" s="222">
        <v>2590.2</v>
      </c>
      <c r="AD12" s="222">
        <f t="shared" si="4"/>
        <v>0</v>
      </c>
      <c r="AE12" s="4"/>
      <c r="AF12" s="392"/>
      <c r="AG12" s="389">
        <v>45355</v>
      </c>
      <c r="AH12" s="158">
        <v>3</v>
      </c>
      <c r="AI12" s="159" t="s">
        <v>365</v>
      </c>
      <c r="AJ12" s="159">
        <f t="shared" si="1"/>
        <v>980.1</v>
      </c>
      <c r="AK12" s="177"/>
      <c r="AL12" s="177">
        <f t="shared" si="5"/>
        <v>2209.5</v>
      </c>
      <c r="AM12" s="4">
        <v>1089</v>
      </c>
    </row>
    <row r="13" s="347" customFormat="1" spans="1:39">
      <c r="A13" s="389">
        <v>45367</v>
      </c>
      <c r="B13" s="158">
        <v>48</v>
      </c>
      <c r="C13" s="159" t="s">
        <v>365</v>
      </c>
      <c r="D13" s="159">
        <f>G13*90%</f>
        <v>3375</v>
      </c>
      <c r="E13" s="390"/>
      <c r="F13" s="177">
        <f t="shared" si="6"/>
        <v>11126.25</v>
      </c>
      <c r="G13" s="19">
        <v>3750</v>
      </c>
      <c r="H13" s="392"/>
      <c r="I13" s="389"/>
      <c r="J13" s="158"/>
      <c r="K13" s="390"/>
      <c r="L13" s="159"/>
      <c r="M13" s="390"/>
      <c r="N13" s="177">
        <f t="shared" si="2"/>
        <v>0</v>
      </c>
      <c r="O13" s="19"/>
      <c r="P13" s="150"/>
      <c r="Q13" s="387">
        <v>45398</v>
      </c>
      <c r="R13" s="158">
        <v>51</v>
      </c>
      <c r="S13" s="393" t="s">
        <v>365</v>
      </c>
      <c r="T13" s="159">
        <v>2100</v>
      </c>
      <c r="U13" s="159"/>
      <c r="V13" s="177">
        <f t="shared" si="3"/>
        <v>10285.5</v>
      </c>
      <c r="W13" s="388">
        <v>3010</v>
      </c>
      <c r="X13" s="394" t="s">
        <v>438</v>
      </c>
      <c r="Y13" s="157">
        <v>45536</v>
      </c>
      <c r="Z13" s="158">
        <v>3</v>
      </c>
      <c r="AA13" s="159" t="s">
        <v>365</v>
      </c>
      <c r="AB13" s="159">
        <f t="shared" si="0"/>
        <v>550.8</v>
      </c>
      <c r="AC13" s="222"/>
      <c r="AD13" s="177">
        <f t="shared" si="4"/>
        <v>550.8</v>
      </c>
      <c r="AE13" s="4">
        <v>612</v>
      </c>
      <c r="AF13" s="395" t="s">
        <v>439</v>
      </c>
      <c r="AG13" s="389">
        <v>45358</v>
      </c>
      <c r="AH13" s="158">
        <v>16</v>
      </c>
      <c r="AI13" s="390" t="s">
        <v>365</v>
      </c>
      <c r="AJ13" s="159">
        <f t="shared" si="1"/>
        <v>3366</v>
      </c>
      <c r="AK13" s="177"/>
      <c r="AL13" s="177">
        <f t="shared" si="5"/>
        <v>5575.5</v>
      </c>
      <c r="AM13" s="4">
        <v>3740</v>
      </c>
    </row>
    <row r="14" s="347" customFormat="1" spans="1:39">
      <c r="A14" s="389">
        <v>45377</v>
      </c>
      <c r="B14" s="158">
        <v>67</v>
      </c>
      <c r="C14" s="159" t="s">
        <v>365</v>
      </c>
      <c r="D14" s="159">
        <f>G14*90%</f>
        <v>4479.3</v>
      </c>
      <c r="E14" s="390"/>
      <c r="F14" s="177">
        <f t="shared" si="6"/>
        <v>15605.55</v>
      </c>
      <c r="G14" s="19">
        <v>4977</v>
      </c>
      <c r="H14" s="392"/>
      <c r="I14" s="389"/>
      <c r="J14" s="158"/>
      <c r="K14" s="390"/>
      <c r="L14" s="159"/>
      <c r="M14" s="177"/>
      <c r="N14" s="177">
        <f t="shared" si="2"/>
        <v>0</v>
      </c>
      <c r="O14" s="19"/>
      <c r="P14" s="150"/>
      <c r="Q14" s="214">
        <v>45448</v>
      </c>
      <c r="R14" s="183"/>
      <c r="S14" s="163" t="s">
        <v>440</v>
      </c>
      <c r="T14" s="185"/>
      <c r="U14" s="185">
        <v>10285.5</v>
      </c>
      <c r="V14" s="177">
        <f t="shared" si="3"/>
        <v>0</v>
      </c>
      <c r="W14" s="388"/>
      <c r="X14" s="391"/>
      <c r="Y14" s="387">
        <v>45538</v>
      </c>
      <c r="Z14" s="158">
        <v>6</v>
      </c>
      <c r="AA14" s="159" t="s">
        <v>365</v>
      </c>
      <c r="AB14" s="159">
        <f t="shared" si="0"/>
        <v>1148.4</v>
      </c>
      <c r="AC14" s="177"/>
      <c r="AD14" s="177">
        <f t="shared" si="4"/>
        <v>1699.2</v>
      </c>
      <c r="AE14" s="19">
        <v>1276</v>
      </c>
      <c r="AF14" s="392"/>
      <c r="AG14" s="389">
        <v>45362</v>
      </c>
      <c r="AH14" s="158">
        <v>28</v>
      </c>
      <c r="AI14" s="390" t="s">
        <v>365</v>
      </c>
      <c r="AJ14" s="159">
        <f t="shared" si="1"/>
        <v>3386.7</v>
      </c>
      <c r="AK14" s="177"/>
      <c r="AL14" s="177">
        <f t="shared" si="5"/>
        <v>8962.2</v>
      </c>
      <c r="AM14" s="4">
        <v>3763</v>
      </c>
    </row>
    <row r="15" s="347" customFormat="1" spans="1:39">
      <c r="A15" s="182">
        <v>45637</v>
      </c>
      <c r="B15" s="183"/>
      <c r="C15" s="185" t="s">
        <v>441</v>
      </c>
      <c r="D15" s="185"/>
      <c r="E15" s="180">
        <v>7470</v>
      </c>
      <c r="F15" s="177">
        <f t="shared" si="6"/>
        <v>8135.55</v>
      </c>
      <c r="G15" s="266"/>
      <c r="H15" s="396" t="s">
        <v>442</v>
      </c>
      <c r="I15" s="199"/>
      <c r="J15" s="183"/>
      <c r="K15" s="219"/>
      <c r="L15" s="185"/>
      <c r="M15" s="222"/>
      <c r="N15" s="222">
        <f t="shared" si="2"/>
        <v>0</v>
      </c>
      <c r="O15" s="19"/>
      <c r="P15" s="150"/>
      <c r="Q15" s="389">
        <v>45444</v>
      </c>
      <c r="R15" s="158">
        <v>2</v>
      </c>
      <c r="S15" s="397" t="s">
        <v>365</v>
      </c>
      <c r="T15" s="159">
        <v>3487.5</v>
      </c>
      <c r="U15" s="159"/>
      <c r="V15" s="177">
        <f t="shared" si="3"/>
        <v>3487.5</v>
      </c>
      <c r="W15" s="4">
        <v>4437.5</v>
      </c>
      <c r="X15" s="391"/>
      <c r="Y15" s="157">
        <v>45540</v>
      </c>
      <c r="Z15" s="158">
        <v>10</v>
      </c>
      <c r="AA15" s="159" t="s">
        <v>365</v>
      </c>
      <c r="AB15" s="159">
        <f t="shared" si="0"/>
        <v>703.8</v>
      </c>
      <c r="AC15" s="177"/>
      <c r="AD15" s="177">
        <f t="shared" si="4"/>
        <v>2403</v>
      </c>
      <c r="AE15" s="4">
        <v>782</v>
      </c>
      <c r="AF15" s="392" t="s">
        <v>443</v>
      </c>
      <c r="AG15" s="389">
        <v>45372</v>
      </c>
      <c r="AH15" s="158">
        <v>54</v>
      </c>
      <c r="AI15" s="390" t="s">
        <v>365</v>
      </c>
      <c r="AJ15" s="159">
        <f t="shared" si="1"/>
        <v>2344.5</v>
      </c>
      <c r="AK15" s="390"/>
      <c r="AL15" s="177">
        <f t="shared" si="5"/>
        <v>11306.7</v>
      </c>
      <c r="AM15" s="4">
        <v>2605</v>
      </c>
    </row>
    <row r="16" s="347" customFormat="1" spans="1:39">
      <c r="A16" s="389">
        <v>45405</v>
      </c>
      <c r="B16" s="158">
        <v>76</v>
      </c>
      <c r="C16" s="390" t="s">
        <v>365</v>
      </c>
      <c r="D16" s="159">
        <f>G16*90%</f>
        <v>2088</v>
      </c>
      <c r="E16" s="390"/>
      <c r="F16" s="177">
        <f t="shared" si="6"/>
        <v>10223.55</v>
      </c>
      <c r="G16" s="19">
        <v>2320</v>
      </c>
      <c r="H16" s="392"/>
      <c r="I16" s="199"/>
      <c r="J16" s="183"/>
      <c r="K16" s="219"/>
      <c r="L16" s="185"/>
      <c r="M16" s="222"/>
      <c r="N16" s="222">
        <f t="shared" si="2"/>
        <v>0</v>
      </c>
      <c r="O16" s="19"/>
      <c r="P16" s="150"/>
      <c r="Q16" s="387">
        <v>45462</v>
      </c>
      <c r="R16" s="158">
        <v>50</v>
      </c>
      <c r="S16" s="397" t="s">
        <v>365</v>
      </c>
      <c r="T16" s="159">
        <v>4707.5</v>
      </c>
      <c r="U16" s="159"/>
      <c r="V16" s="222">
        <f t="shared" si="3"/>
        <v>8195</v>
      </c>
      <c r="W16" s="4">
        <v>5812</v>
      </c>
      <c r="X16" s="391"/>
      <c r="Y16" s="387">
        <v>45563</v>
      </c>
      <c r="Z16" s="158">
        <v>93</v>
      </c>
      <c r="AA16" s="159" t="s">
        <v>365</v>
      </c>
      <c r="AB16" s="159">
        <f t="shared" si="0"/>
        <v>792</v>
      </c>
      <c r="AC16" s="177"/>
      <c r="AD16" s="177">
        <f t="shared" si="4"/>
        <v>3195</v>
      </c>
      <c r="AE16" s="19">
        <v>880</v>
      </c>
      <c r="AF16" s="392"/>
      <c r="AG16" s="389">
        <v>45381</v>
      </c>
      <c r="AH16" s="158">
        <v>86</v>
      </c>
      <c r="AI16" s="390" t="s">
        <v>365</v>
      </c>
      <c r="AJ16" s="159">
        <f t="shared" si="1"/>
        <v>1239.3</v>
      </c>
      <c r="AK16" s="390"/>
      <c r="AL16" s="177">
        <f t="shared" si="5"/>
        <v>12546</v>
      </c>
      <c r="AM16" s="4">
        <v>1377</v>
      </c>
    </row>
    <row r="17" s="347" customFormat="1" spans="1:41">
      <c r="A17" s="389">
        <v>45410</v>
      </c>
      <c r="B17" s="158">
        <v>108</v>
      </c>
      <c r="C17" s="390" t="s">
        <v>365</v>
      </c>
      <c r="D17" s="159">
        <f>G17*90%</f>
        <v>2719.35</v>
      </c>
      <c r="E17" s="390"/>
      <c r="F17" s="177">
        <f t="shared" si="6"/>
        <v>12942.9</v>
      </c>
      <c r="G17" s="19">
        <v>3021.5</v>
      </c>
      <c r="H17" s="392"/>
      <c r="I17" s="199"/>
      <c r="J17" s="183"/>
      <c r="K17" s="219"/>
      <c r="L17" s="185"/>
      <c r="M17" s="222"/>
      <c r="N17" s="222">
        <f t="shared" si="2"/>
        <v>0</v>
      </c>
      <c r="O17" s="19"/>
      <c r="P17" s="150"/>
      <c r="Q17" s="214">
        <v>45539</v>
      </c>
      <c r="R17" s="183"/>
      <c r="S17" s="398" t="s">
        <v>440</v>
      </c>
      <c r="T17" s="185"/>
      <c r="U17" s="185">
        <v>8195</v>
      </c>
      <c r="V17" s="222">
        <f t="shared" si="3"/>
        <v>0</v>
      </c>
      <c r="W17" s="4"/>
      <c r="X17" s="391"/>
      <c r="Y17" s="157">
        <v>45637</v>
      </c>
      <c r="Z17" s="158"/>
      <c r="AA17" s="185" t="s">
        <v>444</v>
      </c>
      <c r="AB17" s="159"/>
      <c r="AC17" s="222">
        <v>3150</v>
      </c>
      <c r="AD17" s="222">
        <f t="shared" si="4"/>
        <v>45.0000000000005</v>
      </c>
      <c r="AE17" s="4"/>
      <c r="AF17" s="392" t="s">
        <v>443</v>
      </c>
      <c r="AG17" s="199">
        <v>45417</v>
      </c>
      <c r="AH17" s="183"/>
      <c r="AI17" s="399" t="s">
        <v>445</v>
      </c>
      <c r="AJ17" s="185"/>
      <c r="AK17" s="219">
        <v>2424</v>
      </c>
      <c r="AL17" s="177">
        <f t="shared" si="5"/>
        <v>10122</v>
      </c>
      <c r="AM17" s="4"/>
    </row>
    <row r="18" s="347" customFormat="1" spans="1:41">
      <c r="A18" s="199">
        <v>45656</v>
      </c>
      <c r="B18" s="183"/>
      <c r="C18" s="219" t="s">
        <v>392</v>
      </c>
      <c r="D18" s="185"/>
      <c r="E18" s="219">
        <v>10000</v>
      </c>
      <c r="F18" s="177">
        <f t="shared" si="6"/>
        <v>2942.9</v>
      </c>
      <c r="G18" s="19"/>
      <c r="H18" s="392"/>
      <c r="I18" s="389"/>
      <c r="J18" s="158"/>
      <c r="K18" s="390"/>
      <c r="L18" s="159"/>
      <c r="M18" s="177"/>
      <c r="N18" s="222">
        <f t="shared" si="2"/>
        <v>0</v>
      </c>
      <c r="O18" s="19"/>
      <c r="P18" s="150"/>
      <c r="Q18" s="389">
        <v>45520</v>
      </c>
      <c r="R18" s="158">
        <v>52</v>
      </c>
      <c r="S18" s="390" t="s">
        <v>365</v>
      </c>
      <c r="T18" s="159">
        <v>3162.5</v>
      </c>
      <c r="U18" s="167"/>
      <c r="V18" s="177">
        <f t="shared" si="3"/>
        <v>3162.5</v>
      </c>
      <c r="W18" s="388">
        <v>4097.5</v>
      </c>
      <c r="X18" s="391"/>
      <c r="Y18" s="157">
        <v>45637</v>
      </c>
      <c r="Z18" s="158"/>
      <c r="AA18" s="185" t="s">
        <v>446</v>
      </c>
      <c r="AB18" s="159"/>
      <c r="AC18" s="222">
        <v>45</v>
      </c>
      <c r="AD18" s="222">
        <f t="shared" si="4"/>
        <v>4.54747350886464e-13</v>
      </c>
      <c r="AE18" s="4"/>
      <c r="AF18" s="392"/>
      <c r="AG18" s="199">
        <v>45447</v>
      </c>
      <c r="AH18" s="183"/>
      <c r="AI18" s="399" t="s">
        <v>447</v>
      </c>
      <c r="AJ18" s="185"/>
      <c r="AK18" s="219">
        <v>10047</v>
      </c>
      <c r="AL18" s="177">
        <f t="shared" si="5"/>
        <v>75</v>
      </c>
      <c r="AM18" s="4"/>
    </row>
    <row r="19" s="347" customFormat="1" spans="1:41">
      <c r="A19" s="389">
        <v>45439</v>
      </c>
      <c r="B19" s="158">
        <v>78</v>
      </c>
      <c r="C19" s="390" t="s">
        <v>365</v>
      </c>
      <c r="D19" s="159">
        <f>G19*90%</f>
        <v>489.6</v>
      </c>
      <c r="E19" s="390"/>
      <c r="F19" s="177">
        <f t="shared" si="6"/>
        <v>3432.5</v>
      </c>
      <c r="G19" s="19">
        <v>544</v>
      </c>
      <c r="H19" s="392"/>
      <c r="I19" s="199"/>
      <c r="J19" s="183"/>
      <c r="K19" s="219"/>
      <c r="L19" s="185"/>
      <c r="M19" s="222"/>
      <c r="N19" s="222">
        <f t="shared" ref="N19:N47" si="7">N18+L19-M19</f>
        <v>0</v>
      </c>
      <c r="O19" s="19"/>
      <c r="P19" s="150"/>
      <c r="Q19" s="215">
        <v>45561</v>
      </c>
      <c r="R19" s="183"/>
      <c r="S19" s="163" t="s">
        <v>448</v>
      </c>
      <c r="T19" s="185"/>
      <c r="U19" s="185">
        <v>3162.5</v>
      </c>
      <c r="V19" s="222">
        <f t="shared" si="3"/>
        <v>0</v>
      </c>
      <c r="W19" s="388"/>
      <c r="X19" s="391"/>
      <c r="Y19" s="157">
        <v>45572</v>
      </c>
      <c r="Z19" s="158">
        <v>13</v>
      </c>
      <c r="AA19" s="159" t="s">
        <v>365</v>
      </c>
      <c r="AB19" s="159">
        <f t="shared" ref="AB19:AB24" si="8">AE19*90%</f>
        <v>2907.9</v>
      </c>
      <c r="AC19" s="177"/>
      <c r="AD19" s="222">
        <f t="shared" ref="AD19:AD26" si="9">AD18+AB19-AC19</f>
        <v>2907.9</v>
      </c>
      <c r="AE19" s="4">
        <v>3231</v>
      </c>
      <c r="AF19" s="392"/>
      <c r="AG19" s="199">
        <v>45447</v>
      </c>
      <c r="AH19" s="183"/>
      <c r="AI19" s="399" t="s">
        <v>449</v>
      </c>
      <c r="AJ19" s="185"/>
      <c r="AK19" s="219">
        <v>75</v>
      </c>
      <c r="AL19" s="222">
        <f t="shared" si="5"/>
        <v>0</v>
      </c>
      <c r="AM19" s="4"/>
    </row>
    <row r="20" s="347" customFormat="1" spans="1:41">
      <c r="A20" s="389">
        <v>45447</v>
      </c>
      <c r="B20" s="158">
        <v>9</v>
      </c>
      <c r="C20" s="390" t="s">
        <v>365</v>
      </c>
      <c r="D20" s="159">
        <f>G20*90%</f>
        <v>1850.4</v>
      </c>
      <c r="E20" s="390"/>
      <c r="F20" s="177">
        <f t="shared" si="6"/>
        <v>5282.9</v>
      </c>
      <c r="G20" s="19">
        <v>2056</v>
      </c>
      <c r="H20" s="392"/>
      <c r="I20" s="199"/>
      <c r="J20" s="183"/>
      <c r="K20" s="219"/>
      <c r="L20" s="185"/>
      <c r="M20" s="222"/>
      <c r="N20" s="222">
        <f t="shared" si="7"/>
        <v>0</v>
      </c>
      <c r="O20" s="19"/>
      <c r="P20" s="150"/>
      <c r="Q20" s="165">
        <v>45593</v>
      </c>
      <c r="R20" s="158">
        <v>85</v>
      </c>
      <c r="S20" s="390" t="s">
        <v>365</v>
      </c>
      <c r="T20" s="159">
        <v>3987.5</v>
      </c>
      <c r="U20" s="159"/>
      <c r="V20" s="177">
        <f t="shared" si="3"/>
        <v>3987.5</v>
      </c>
      <c r="W20" s="4">
        <v>4780</v>
      </c>
      <c r="X20" s="391"/>
      <c r="Y20" s="157">
        <v>45579</v>
      </c>
      <c r="Z20" s="158">
        <v>38</v>
      </c>
      <c r="AA20" s="159" t="s">
        <v>365</v>
      </c>
      <c r="AB20" s="159">
        <f t="shared" si="8"/>
        <v>535.5</v>
      </c>
      <c r="AC20" s="177"/>
      <c r="AD20" s="222">
        <f t="shared" si="9"/>
        <v>3443.4</v>
      </c>
      <c r="AE20" s="4">
        <v>595</v>
      </c>
      <c r="AF20" s="392"/>
      <c r="AG20" s="389">
        <v>45383</v>
      </c>
      <c r="AH20" s="158">
        <v>2</v>
      </c>
      <c r="AI20" s="390" t="s">
        <v>365</v>
      </c>
      <c r="AJ20" s="159">
        <f t="shared" ref="AJ20:AJ43" si="10">AM20*90%</f>
        <v>612</v>
      </c>
      <c r="AK20" s="177"/>
      <c r="AL20" s="177">
        <f t="shared" si="5"/>
        <v>612</v>
      </c>
      <c r="AM20" s="4">
        <v>680</v>
      </c>
    </row>
    <row r="21" s="347" customFormat="1" spans="1:41">
      <c r="A21" s="389">
        <v>45464</v>
      </c>
      <c r="B21" s="158">
        <v>57</v>
      </c>
      <c r="C21" s="390" t="s">
        <v>365</v>
      </c>
      <c r="D21" s="159">
        <f>G21*90%</f>
        <v>535.5</v>
      </c>
      <c r="E21" s="390"/>
      <c r="F21" s="177">
        <f t="shared" si="6"/>
        <v>5818.4</v>
      </c>
      <c r="G21" s="19">
        <v>595</v>
      </c>
      <c r="H21" s="392"/>
      <c r="I21" s="389"/>
      <c r="J21" s="158"/>
      <c r="K21" s="390"/>
      <c r="L21" s="159"/>
      <c r="M21" s="177"/>
      <c r="N21" s="222">
        <f t="shared" si="7"/>
        <v>0</v>
      </c>
      <c r="O21" s="19"/>
      <c r="P21" s="150"/>
      <c r="Q21" s="215">
        <v>45643</v>
      </c>
      <c r="R21" s="183"/>
      <c r="S21" s="163" t="s">
        <v>440</v>
      </c>
      <c r="T21" s="185"/>
      <c r="U21" s="185">
        <v>3980</v>
      </c>
      <c r="V21" s="222">
        <f t="shared" si="3"/>
        <v>7.5</v>
      </c>
      <c r="W21" s="266"/>
      <c r="X21" s="164"/>
      <c r="Y21" s="165">
        <v>45583</v>
      </c>
      <c r="Z21" s="158">
        <v>51</v>
      </c>
      <c r="AA21" s="168" t="s">
        <v>365</v>
      </c>
      <c r="AB21" s="159">
        <f t="shared" si="8"/>
        <v>581.4</v>
      </c>
      <c r="AC21" s="177"/>
      <c r="AD21" s="222">
        <f t="shared" si="9"/>
        <v>4024.8</v>
      </c>
      <c r="AE21" s="4">
        <v>646</v>
      </c>
      <c r="AF21" s="392"/>
      <c r="AG21" s="389">
        <v>45384</v>
      </c>
      <c r="AH21" s="158">
        <v>3</v>
      </c>
      <c r="AI21" s="390" t="s">
        <v>365</v>
      </c>
      <c r="AJ21" s="159">
        <f t="shared" si="10"/>
        <v>3418.65</v>
      </c>
      <c r="AK21" s="177"/>
      <c r="AL21" s="177">
        <f t="shared" ref="AL20:AL36" si="11">AL20+AJ21-AK21</f>
        <v>4030.65</v>
      </c>
      <c r="AM21" s="4">
        <v>3798.5</v>
      </c>
    </row>
    <row r="22" spans="1:41">
      <c r="A22" s="389">
        <v>45471</v>
      </c>
      <c r="B22" s="158">
        <v>81</v>
      </c>
      <c r="C22" s="390" t="s">
        <v>365</v>
      </c>
      <c r="D22" s="159">
        <f>G22*90%</f>
        <v>5242.5</v>
      </c>
      <c r="E22" s="390"/>
      <c r="F22" s="177">
        <f t="shared" si="6"/>
        <v>11060.9</v>
      </c>
      <c r="G22" s="19">
        <v>5825</v>
      </c>
      <c r="H22" s="391" t="s">
        <v>450</v>
      </c>
      <c r="I22" s="182"/>
      <c r="J22" s="183"/>
      <c r="K22" s="184"/>
      <c r="L22" s="185"/>
      <c r="M22" s="192"/>
      <c r="N22" s="192">
        <f t="shared" si="7"/>
        <v>0</v>
      </c>
      <c r="O22" s="7"/>
      <c r="P22" s="150"/>
      <c r="Q22" s="215">
        <v>45643</v>
      </c>
      <c r="R22" s="183"/>
      <c r="S22" s="163" t="s">
        <v>379</v>
      </c>
      <c r="T22" s="185"/>
      <c r="U22" s="185">
        <v>7.5</v>
      </c>
      <c r="V22" s="222">
        <f t="shared" si="3"/>
        <v>0</v>
      </c>
      <c r="W22" s="266"/>
      <c r="X22" s="164"/>
      <c r="Y22" s="157">
        <v>45584</v>
      </c>
      <c r="Z22" s="158">
        <v>56</v>
      </c>
      <c r="AA22" s="168" t="s">
        <v>365</v>
      </c>
      <c r="AB22" s="159">
        <f t="shared" si="8"/>
        <v>336.6</v>
      </c>
      <c r="AC22" s="177"/>
      <c r="AD22" s="222">
        <f t="shared" si="9"/>
        <v>4361.4</v>
      </c>
      <c r="AE22" s="4">
        <v>374</v>
      </c>
      <c r="AF22" s="162"/>
      <c r="AG22" s="389">
        <v>45388</v>
      </c>
      <c r="AH22" s="158">
        <v>15</v>
      </c>
      <c r="AI22" s="390" t="s">
        <v>365</v>
      </c>
      <c r="AJ22" s="159">
        <f t="shared" si="10"/>
        <v>2070</v>
      </c>
      <c r="AK22" s="390"/>
      <c r="AL22" s="177">
        <f t="shared" si="11"/>
        <v>6100.65</v>
      </c>
      <c r="AM22" s="4">
        <v>2300</v>
      </c>
      <c r="AO22" s="347"/>
    </row>
    <row r="23" spans="1:41">
      <c r="A23" s="389">
        <v>45471</v>
      </c>
      <c r="B23" s="158">
        <v>81</v>
      </c>
      <c r="C23" s="180" t="s">
        <v>451</v>
      </c>
      <c r="D23" s="185"/>
      <c r="E23" s="390"/>
      <c r="F23" s="177">
        <f t="shared" si="6"/>
        <v>11060.9</v>
      </c>
      <c r="G23" s="266">
        <v>240</v>
      </c>
      <c r="H23" s="162"/>
      <c r="I23" s="182"/>
      <c r="J23" s="183"/>
      <c r="K23" s="184"/>
      <c r="L23" s="185"/>
      <c r="M23" s="192"/>
      <c r="N23" s="192">
        <f t="shared" si="7"/>
        <v>0</v>
      </c>
      <c r="O23" s="7"/>
      <c r="P23" s="150"/>
      <c r="Q23" s="157"/>
      <c r="R23" s="158"/>
      <c r="S23" s="163"/>
      <c r="T23" s="159"/>
      <c r="U23" s="159"/>
      <c r="V23" s="177"/>
      <c r="W23" s="266"/>
      <c r="X23" s="164"/>
      <c r="Y23" s="157">
        <v>45588</v>
      </c>
      <c r="Z23" s="158">
        <v>64</v>
      </c>
      <c r="AA23" s="168" t="s">
        <v>365</v>
      </c>
      <c r="AB23" s="159">
        <f t="shared" si="8"/>
        <v>1098</v>
      </c>
      <c r="AC23" s="177"/>
      <c r="AD23" s="222">
        <f t="shared" si="9"/>
        <v>5459.4</v>
      </c>
      <c r="AE23" s="4">
        <v>1220</v>
      </c>
      <c r="AF23" s="162"/>
      <c r="AG23" s="389">
        <v>45390</v>
      </c>
      <c r="AH23" s="158">
        <v>19</v>
      </c>
      <c r="AI23" s="390" t="s">
        <v>365</v>
      </c>
      <c r="AJ23" s="159">
        <f t="shared" si="10"/>
        <v>1101.6</v>
      </c>
      <c r="AK23" s="177"/>
      <c r="AL23" s="177">
        <f t="shared" si="11"/>
        <v>7202.25</v>
      </c>
      <c r="AM23" s="4">
        <v>1224</v>
      </c>
      <c r="AO23" s="347"/>
    </row>
    <row r="24" spans="1:41">
      <c r="A24" s="199"/>
      <c r="B24" s="183"/>
      <c r="C24" s="219"/>
      <c r="D24" s="185"/>
      <c r="E24" s="219"/>
      <c r="F24" s="177">
        <f t="shared" si="6"/>
        <v>11060.9</v>
      </c>
      <c r="G24" s="266"/>
      <c r="H24" s="162"/>
      <c r="I24" s="165"/>
      <c r="J24" s="158"/>
      <c r="K24" s="167"/>
      <c r="L24" s="159"/>
      <c r="M24" s="160"/>
      <c r="N24" s="192">
        <f t="shared" si="7"/>
        <v>0</v>
      </c>
      <c r="O24" s="7"/>
      <c r="P24" s="150"/>
      <c r="Q24" s="157"/>
      <c r="R24" s="158"/>
      <c r="S24" s="163"/>
      <c r="T24" s="159"/>
      <c r="U24" s="159"/>
      <c r="V24" s="160"/>
      <c r="W24" s="12"/>
      <c r="X24" s="164"/>
      <c r="Y24" s="165">
        <v>45593</v>
      </c>
      <c r="Z24" s="158">
        <v>88</v>
      </c>
      <c r="AA24" s="167" t="s">
        <v>365</v>
      </c>
      <c r="AB24" s="159">
        <f t="shared" si="8"/>
        <v>1606.5</v>
      </c>
      <c r="AC24" s="177"/>
      <c r="AD24" s="222">
        <f t="shared" si="9"/>
        <v>7065.9</v>
      </c>
      <c r="AE24" s="4">
        <v>1785</v>
      </c>
      <c r="AF24" s="162"/>
      <c r="AG24" s="165">
        <v>45393</v>
      </c>
      <c r="AH24" s="158">
        <v>35</v>
      </c>
      <c r="AI24" s="167" t="s">
        <v>365</v>
      </c>
      <c r="AJ24" s="159">
        <f t="shared" si="10"/>
        <v>1530</v>
      </c>
      <c r="AK24" s="160"/>
      <c r="AL24" s="160">
        <f t="shared" si="11"/>
        <v>8732.25</v>
      </c>
      <c r="AM24" s="4">
        <v>1700</v>
      </c>
    </row>
    <row r="25" spans="1:41">
      <c r="A25" s="389">
        <v>45479</v>
      </c>
      <c r="B25" s="158">
        <v>13</v>
      </c>
      <c r="C25" s="390" t="s">
        <v>365</v>
      </c>
      <c r="D25" s="159">
        <f>G25*90%</f>
        <v>4650.3</v>
      </c>
      <c r="E25" s="390"/>
      <c r="F25" s="177">
        <f t="shared" si="6"/>
        <v>15711.2</v>
      </c>
      <c r="G25" s="19">
        <v>5167</v>
      </c>
      <c r="H25" s="400" t="s">
        <v>452</v>
      </c>
      <c r="I25" s="182"/>
      <c r="J25" s="183"/>
      <c r="K25" s="184"/>
      <c r="L25" s="185"/>
      <c r="M25" s="192"/>
      <c r="N25" s="192">
        <f t="shared" si="7"/>
        <v>0</v>
      </c>
      <c r="O25" s="7"/>
      <c r="P25" s="150"/>
      <c r="Q25" s="157"/>
      <c r="R25" s="158"/>
      <c r="S25" s="163"/>
      <c r="T25" s="159"/>
      <c r="U25" s="159"/>
      <c r="V25" s="160"/>
      <c r="W25" s="12"/>
      <c r="X25" s="164"/>
      <c r="Y25" s="182">
        <v>45650</v>
      </c>
      <c r="Z25" s="183"/>
      <c r="AA25" s="184" t="s">
        <v>392</v>
      </c>
      <c r="AB25" s="185"/>
      <c r="AC25" s="222">
        <v>7050</v>
      </c>
      <c r="AD25" s="222">
        <f t="shared" si="9"/>
        <v>15.9000000000005</v>
      </c>
      <c r="AE25" s="388"/>
      <c r="AF25" s="162">
        <f>SUM(AE19:AE24)</f>
        <v>7851</v>
      </c>
      <c r="AG25" s="165">
        <v>45394</v>
      </c>
      <c r="AH25" s="158">
        <v>38</v>
      </c>
      <c r="AI25" s="167" t="s">
        <v>365</v>
      </c>
      <c r="AJ25" s="159">
        <f t="shared" si="10"/>
        <v>2142</v>
      </c>
      <c r="AK25" s="167"/>
      <c r="AL25" s="160">
        <f t="shared" si="11"/>
        <v>10874.25</v>
      </c>
      <c r="AM25" s="4">
        <v>2380</v>
      </c>
    </row>
    <row r="26" spans="1:41">
      <c r="A26" s="389">
        <v>45483</v>
      </c>
      <c r="B26" s="158">
        <v>33</v>
      </c>
      <c r="C26" s="390" t="s">
        <v>365</v>
      </c>
      <c r="D26" s="159">
        <f>G26*90%</f>
        <v>153</v>
      </c>
      <c r="E26" s="390"/>
      <c r="F26" s="177">
        <f t="shared" si="6"/>
        <v>15864.2</v>
      </c>
      <c r="G26" s="19">
        <v>170</v>
      </c>
      <c r="H26" s="162"/>
      <c r="I26" s="182"/>
      <c r="J26" s="183"/>
      <c r="K26" s="184"/>
      <c r="L26" s="185"/>
      <c r="M26" s="192"/>
      <c r="N26" s="192">
        <f t="shared" si="7"/>
        <v>0</v>
      </c>
      <c r="O26" s="7"/>
      <c r="P26" s="150"/>
      <c r="Q26" s="157"/>
      <c r="R26" s="158"/>
      <c r="S26" s="163"/>
      <c r="T26" s="159"/>
      <c r="U26" s="159"/>
      <c r="V26" s="160"/>
      <c r="W26" s="12"/>
      <c r="X26" s="164"/>
      <c r="Y26" s="182"/>
      <c r="Z26" s="183"/>
      <c r="AA26" s="184" t="s">
        <v>446</v>
      </c>
      <c r="AB26" s="185"/>
      <c r="AC26" s="222">
        <v>15.9</v>
      </c>
      <c r="AD26" s="222">
        <f t="shared" si="9"/>
        <v>5.45341549695877e-13</v>
      </c>
      <c r="AE26" s="388"/>
      <c r="AF26" s="162"/>
      <c r="AG26" s="165">
        <v>45399</v>
      </c>
      <c r="AH26" s="158">
        <v>57</v>
      </c>
      <c r="AI26" s="167" t="s">
        <v>365</v>
      </c>
      <c r="AJ26" s="159">
        <f t="shared" si="10"/>
        <v>1759.5</v>
      </c>
      <c r="AK26" s="160"/>
      <c r="AL26" s="160">
        <f t="shared" si="11"/>
        <v>12633.75</v>
      </c>
      <c r="AM26" s="4">
        <v>1955</v>
      </c>
    </row>
    <row r="27" ht="15" spans="1:41">
      <c r="A27" s="389">
        <v>45483</v>
      </c>
      <c r="B27" s="158">
        <v>33</v>
      </c>
      <c r="C27" s="401" t="s">
        <v>452</v>
      </c>
      <c r="D27" s="185">
        <f>G27</f>
        <v>66</v>
      </c>
      <c r="E27" s="390"/>
      <c r="F27" s="177">
        <f t="shared" si="6"/>
        <v>15930.2</v>
      </c>
      <c r="G27" s="266">
        <v>66</v>
      </c>
      <c r="H27" s="402"/>
      <c r="I27" s="165"/>
      <c r="J27" s="158"/>
      <c r="K27" s="167"/>
      <c r="L27" s="159"/>
      <c r="M27" s="160"/>
      <c r="N27" s="192">
        <f t="shared" si="7"/>
        <v>0</v>
      </c>
      <c r="O27" s="7"/>
      <c r="P27" s="150"/>
      <c r="Q27" s="157"/>
      <c r="R27" s="158"/>
      <c r="S27" s="163"/>
      <c r="T27" s="159"/>
      <c r="U27" s="159"/>
      <c r="V27" s="160"/>
      <c r="W27" s="12"/>
      <c r="X27" s="164"/>
      <c r="Y27" s="165">
        <v>45601</v>
      </c>
      <c r="Z27" s="158">
        <v>6</v>
      </c>
      <c r="AA27" s="167" t="s">
        <v>365</v>
      </c>
      <c r="AB27" s="159">
        <f t="shared" ref="AB27:AB33" si="12">AE27*90%</f>
        <v>688.5</v>
      </c>
      <c r="AC27" s="177"/>
      <c r="AD27" s="177">
        <f t="shared" ref="AD27:AD35" si="13">AD26+AB27-AC27</f>
        <v>688.500000000001</v>
      </c>
      <c r="AE27" s="4">
        <v>765</v>
      </c>
      <c r="AF27" s="162"/>
      <c r="AG27" s="165">
        <v>45401</v>
      </c>
      <c r="AH27" s="158">
        <v>63</v>
      </c>
      <c r="AI27" s="167" t="s">
        <v>365</v>
      </c>
      <c r="AJ27" s="159">
        <f t="shared" si="10"/>
        <v>1040.4</v>
      </c>
      <c r="AK27" s="160"/>
      <c r="AL27" s="160">
        <f t="shared" si="11"/>
        <v>13674.15</v>
      </c>
      <c r="AM27" s="4">
        <v>1156</v>
      </c>
    </row>
    <row r="28" spans="1:41">
      <c r="A28" s="165">
        <v>45489</v>
      </c>
      <c r="B28" s="158">
        <v>58</v>
      </c>
      <c r="C28" s="167" t="s">
        <v>365</v>
      </c>
      <c r="D28" s="159">
        <f>G28*90%</f>
        <v>612</v>
      </c>
      <c r="E28" s="390"/>
      <c r="F28" s="177">
        <f t="shared" si="6"/>
        <v>16542.2</v>
      </c>
      <c r="G28" s="19">
        <v>680</v>
      </c>
      <c r="H28" s="403" t="s">
        <v>453</v>
      </c>
      <c r="I28" s="182"/>
      <c r="J28" s="183"/>
      <c r="K28" s="404"/>
      <c r="L28" s="185"/>
      <c r="M28" s="192"/>
      <c r="N28" s="192">
        <f t="shared" si="7"/>
        <v>0</v>
      </c>
      <c r="O28" s="7"/>
      <c r="P28" s="150"/>
      <c r="Q28" s="157"/>
      <c r="R28" s="158"/>
      <c r="S28" s="163"/>
      <c r="T28" s="159"/>
      <c r="U28" s="159"/>
      <c r="V28" s="160"/>
      <c r="W28" s="12"/>
      <c r="X28" s="164"/>
      <c r="Y28" s="165">
        <v>45603</v>
      </c>
      <c r="Z28" s="158">
        <v>14</v>
      </c>
      <c r="AA28" s="167" t="s">
        <v>365</v>
      </c>
      <c r="AB28" s="159">
        <f t="shared" si="12"/>
        <v>703.8</v>
      </c>
      <c r="AC28" s="160"/>
      <c r="AD28" s="177">
        <f t="shared" si="13"/>
        <v>1392.3</v>
      </c>
      <c r="AE28" s="5">
        <v>782</v>
      </c>
      <c r="AF28" s="162"/>
      <c r="AG28" s="165">
        <v>45402</v>
      </c>
      <c r="AH28" s="158">
        <v>66</v>
      </c>
      <c r="AI28" s="167" t="s">
        <v>365</v>
      </c>
      <c r="AJ28" s="159">
        <f t="shared" si="10"/>
        <v>642.6</v>
      </c>
      <c r="AK28" s="167"/>
      <c r="AL28" s="160">
        <f t="shared" si="11"/>
        <v>14316.75</v>
      </c>
      <c r="AM28" s="4">
        <v>714</v>
      </c>
    </row>
    <row r="29" ht="15" spans="1:41">
      <c r="A29" s="165">
        <v>45501</v>
      </c>
      <c r="B29" s="158">
        <v>88</v>
      </c>
      <c r="C29" s="401" t="s">
        <v>454</v>
      </c>
      <c r="D29" s="185">
        <v>64.5</v>
      </c>
      <c r="E29" s="167"/>
      <c r="F29" s="177">
        <f t="shared" si="6"/>
        <v>16606.7</v>
      </c>
      <c r="G29" s="266">
        <v>64.5</v>
      </c>
      <c r="H29" s="405"/>
      <c r="I29" s="182"/>
      <c r="J29" s="183"/>
      <c r="K29" s="184"/>
      <c r="L29" s="185"/>
      <c r="M29" s="192"/>
      <c r="N29" s="192">
        <f t="shared" si="7"/>
        <v>0</v>
      </c>
      <c r="O29" s="7"/>
      <c r="P29" s="150"/>
      <c r="Q29" s="157"/>
      <c r="R29" s="158"/>
      <c r="S29" s="163"/>
      <c r="T29" s="159"/>
      <c r="U29" s="159"/>
      <c r="V29" s="160"/>
      <c r="W29" s="12"/>
      <c r="X29" s="164"/>
      <c r="Y29" s="165">
        <v>45606</v>
      </c>
      <c r="Z29" s="158">
        <v>27</v>
      </c>
      <c r="AA29" s="167" t="s">
        <v>365</v>
      </c>
      <c r="AB29" s="159">
        <f t="shared" si="12"/>
        <v>153</v>
      </c>
      <c r="AC29" s="160"/>
      <c r="AD29" s="177">
        <f t="shared" si="13"/>
        <v>1545.3</v>
      </c>
      <c r="AE29" s="5">
        <v>170</v>
      </c>
      <c r="AF29" s="162"/>
      <c r="AG29" s="165">
        <v>45406</v>
      </c>
      <c r="AH29" s="158">
        <v>82</v>
      </c>
      <c r="AI29" s="167" t="s">
        <v>365</v>
      </c>
      <c r="AJ29" s="159">
        <f t="shared" si="10"/>
        <v>367.2</v>
      </c>
      <c r="AK29" s="160"/>
      <c r="AL29" s="160">
        <f t="shared" si="11"/>
        <v>14683.95</v>
      </c>
      <c r="AM29" s="4">
        <v>408</v>
      </c>
    </row>
    <row r="30" spans="1:41">
      <c r="A30" s="165">
        <v>45501</v>
      </c>
      <c r="B30" s="158">
        <v>88</v>
      </c>
      <c r="C30" s="167" t="s">
        <v>365</v>
      </c>
      <c r="D30" s="159">
        <f>G30*90%</f>
        <v>1086.3</v>
      </c>
      <c r="E30" s="167"/>
      <c r="F30" s="177">
        <f t="shared" si="6"/>
        <v>17693</v>
      </c>
      <c r="G30" s="406">
        <v>1207</v>
      </c>
      <c r="H30" s="407"/>
      <c r="I30" s="165"/>
      <c r="J30" s="158"/>
      <c r="K30" s="167"/>
      <c r="L30" s="159"/>
      <c r="M30" s="160"/>
      <c r="N30" s="192">
        <f t="shared" si="7"/>
        <v>0</v>
      </c>
      <c r="O30" s="7"/>
      <c r="P30" s="150"/>
      <c r="Q30" s="157"/>
      <c r="R30" s="158"/>
      <c r="S30" s="163"/>
      <c r="T30" s="159"/>
      <c r="U30" s="159"/>
      <c r="V30" s="160"/>
      <c r="W30" s="12"/>
      <c r="X30" s="164"/>
      <c r="Y30" s="165">
        <v>45616</v>
      </c>
      <c r="Z30" s="158">
        <v>55</v>
      </c>
      <c r="AA30" s="167" t="s">
        <v>365</v>
      </c>
      <c r="AB30" s="159">
        <f t="shared" si="12"/>
        <v>688.5</v>
      </c>
      <c r="AC30" s="160"/>
      <c r="AD30" s="177">
        <f t="shared" si="13"/>
        <v>2233.8</v>
      </c>
      <c r="AE30" s="5">
        <v>765</v>
      </c>
      <c r="AF30" s="162"/>
      <c r="AG30" s="165">
        <v>45407</v>
      </c>
      <c r="AH30" s="158">
        <v>85</v>
      </c>
      <c r="AI30" s="167" t="s">
        <v>365</v>
      </c>
      <c r="AJ30" s="159">
        <f t="shared" si="10"/>
        <v>174.15</v>
      </c>
      <c r="AK30" s="160"/>
      <c r="AL30" s="160">
        <f t="shared" si="11"/>
        <v>14858.1</v>
      </c>
      <c r="AM30" s="4">
        <v>193.5</v>
      </c>
    </row>
    <row r="31" spans="1:41">
      <c r="A31" s="165">
        <v>45503</v>
      </c>
      <c r="B31" s="158">
        <v>30</v>
      </c>
      <c r="C31" s="167" t="s">
        <v>365</v>
      </c>
      <c r="D31" s="159">
        <f>G31*90%</f>
        <v>693</v>
      </c>
      <c r="E31" s="167"/>
      <c r="F31" s="177">
        <f t="shared" si="6"/>
        <v>18386</v>
      </c>
      <c r="G31" s="408">
        <v>770</v>
      </c>
      <c r="H31" s="162"/>
      <c r="I31" s="182"/>
      <c r="J31" s="183"/>
      <c r="K31" s="184"/>
      <c r="L31" s="185"/>
      <c r="M31" s="192"/>
      <c r="N31" s="192">
        <f t="shared" si="7"/>
        <v>0</v>
      </c>
      <c r="O31" s="7"/>
      <c r="P31" s="150"/>
      <c r="Q31" s="157"/>
      <c r="R31" s="158"/>
      <c r="S31" s="163"/>
      <c r="T31" s="159"/>
      <c r="U31" s="159"/>
      <c r="V31" s="160"/>
      <c r="W31" s="12"/>
      <c r="X31" s="164"/>
      <c r="Y31" s="409">
        <v>45621</v>
      </c>
      <c r="Z31" s="166">
        <v>78</v>
      </c>
      <c r="AA31" s="167" t="s">
        <v>365</v>
      </c>
      <c r="AB31" s="159">
        <f t="shared" si="12"/>
        <v>612</v>
      </c>
      <c r="AC31" s="192"/>
      <c r="AD31" s="177">
        <f t="shared" si="13"/>
        <v>2845.8</v>
      </c>
      <c r="AE31" s="5">
        <v>680</v>
      </c>
      <c r="AF31" s="162"/>
      <c r="AG31" s="165">
        <v>45409</v>
      </c>
      <c r="AH31" s="158">
        <v>95</v>
      </c>
      <c r="AI31" s="167" t="s">
        <v>365</v>
      </c>
      <c r="AJ31" s="159">
        <f t="shared" si="10"/>
        <v>1822.5</v>
      </c>
      <c r="AK31" s="167"/>
      <c r="AL31" s="160">
        <f t="shared" si="11"/>
        <v>16680.6</v>
      </c>
      <c r="AM31" s="4">
        <v>2025</v>
      </c>
    </row>
    <row r="32" spans="1:41">
      <c r="A32" s="165">
        <v>45520</v>
      </c>
      <c r="B32" s="158">
        <v>53</v>
      </c>
      <c r="C32" s="167" t="s">
        <v>365</v>
      </c>
      <c r="D32" s="159">
        <f>G32*90%</f>
        <v>1787.85</v>
      </c>
      <c r="E32" s="167"/>
      <c r="F32" s="177">
        <f t="shared" si="6"/>
        <v>20173.85</v>
      </c>
      <c r="G32" s="7">
        <v>1986.5</v>
      </c>
      <c r="H32" s="391" t="s">
        <v>450</v>
      </c>
      <c r="I32" s="182"/>
      <c r="J32" s="410"/>
      <c r="K32" s="184"/>
      <c r="L32" s="185"/>
      <c r="M32" s="192"/>
      <c r="N32" s="192">
        <f t="shared" si="7"/>
        <v>0</v>
      </c>
      <c r="O32" s="7"/>
      <c r="P32" s="150"/>
      <c r="Q32" s="157"/>
      <c r="R32" s="158"/>
      <c r="S32" s="163"/>
      <c r="T32" s="159"/>
      <c r="U32" s="159"/>
      <c r="V32" s="160"/>
      <c r="W32" s="12"/>
      <c r="X32" s="164"/>
      <c r="Y32" s="409">
        <v>45621</v>
      </c>
      <c r="Z32" s="166">
        <v>27</v>
      </c>
      <c r="AA32" s="167" t="s">
        <v>365</v>
      </c>
      <c r="AB32" s="159">
        <f t="shared" si="12"/>
        <v>76.5</v>
      </c>
      <c r="AC32" s="192"/>
      <c r="AD32" s="177">
        <f t="shared" si="13"/>
        <v>2922.3</v>
      </c>
      <c r="AE32" s="5">
        <v>85</v>
      </c>
      <c r="AF32" s="162"/>
      <c r="AG32" s="182">
        <v>45458</v>
      </c>
      <c r="AH32" s="183"/>
      <c r="AI32" s="184" t="s">
        <v>455</v>
      </c>
      <c r="AJ32" s="185"/>
      <c r="AK32" s="184">
        <v>2499</v>
      </c>
      <c r="AL32" s="192">
        <f t="shared" si="11"/>
        <v>14181.6</v>
      </c>
      <c r="AM32" s="4"/>
      <c r="AN32" s="198" t="s">
        <v>456</v>
      </c>
    </row>
    <row r="33" spans="1:44">
      <c r="A33" s="165">
        <v>45527</v>
      </c>
      <c r="B33" s="158">
        <v>68</v>
      </c>
      <c r="C33" s="390" t="s">
        <v>365</v>
      </c>
      <c r="D33" s="159">
        <f>G33*90%</f>
        <v>1836</v>
      </c>
      <c r="E33" s="167"/>
      <c r="F33" s="177">
        <f t="shared" si="6"/>
        <v>22009.85</v>
      </c>
      <c r="G33" s="7">
        <v>2040</v>
      </c>
      <c r="H33" s="162"/>
      <c r="I33" s="165"/>
      <c r="J33" s="158"/>
      <c r="K33" s="167"/>
      <c r="L33" s="159"/>
      <c r="M33" s="160"/>
      <c r="N33" s="192">
        <f t="shared" si="7"/>
        <v>0</v>
      </c>
      <c r="O33" s="7"/>
      <c r="P33" s="150"/>
      <c r="Q33" s="157"/>
      <c r="R33" s="158"/>
      <c r="S33" s="163"/>
      <c r="T33" s="159"/>
      <c r="U33" s="159"/>
      <c r="V33" s="160"/>
      <c r="W33" s="12"/>
      <c r="X33" s="164"/>
      <c r="Y33" s="409">
        <v>45626</v>
      </c>
      <c r="Z33" s="166">
        <v>96</v>
      </c>
      <c r="AA33" s="167" t="s">
        <v>365</v>
      </c>
      <c r="AB33" s="159">
        <f t="shared" si="12"/>
        <v>703.8</v>
      </c>
      <c r="AC33" s="192"/>
      <c r="AD33" s="177">
        <f t="shared" si="13"/>
        <v>3626.1</v>
      </c>
      <c r="AE33" s="5">
        <v>782</v>
      </c>
      <c r="AF33" s="162"/>
      <c r="AG33" s="182">
        <v>45460</v>
      </c>
      <c r="AH33" s="183"/>
      <c r="AI33" s="184" t="s">
        <v>457</v>
      </c>
      <c r="AJ33" s="185"/>
      <c r="AK33" s="184">
        <v>4998</v>
      </c>
      <c r="AL33" s="192">
        <f t="shared" si="11"/>
        <v>9183.6</v>
      </c>
      <c r="AM33" s="4"/>
      <c r="AN33" s="198" t="s">
        <v>456</v>
      </c>
    </row>
    <row r="34" spans="1:44">
      <c r="A34" s="165">
        <v>45527</v>
      </c>
      <c r="B34" s="158">
        <v>68</v>
      </c>
      <c r="C34" s="219" t="s">
        <v>451</v>
      </c>
      <c r="D34" s="185"/>
      <c r="E34" s="167"/>
      <c r="F34" s="177">
        <f t="shared" si="6"/>
        <v>22009.85</v>
      </c>
      <c r="G34" s="12">
        <v>240</v>
      </c>
      <c r="H34" s="162"/>
      <c r="I34" s="182"/>
      <c r="J34" s="183"/>
      <c r="K34" s="184"/>
      <c r="L34" s="185"/>
      <c r="M34" s="192"/>
      <c r="N34" s="192">
        <f t="shared" si="7"/>
        <v>0</v>
      </c>
      <c r="O34" s="7"/>
      <c r="P34" s="150"/>
      <c r="Q34" s="157"/>
      <c r="R34" s="158"/>
      <c r="S34" s="163"/>
      <c r="T34" s="159"/>
      <c r="U34" s="159"/>
      <c r="V34" s="160"/>
      <c r="W34" s="12"/>
      <c r="X34" s="164"/>
      <c r="Y34" s="196">
        <v>45683</v>
      </c>
      <c r="Z34" s="193"/>
      <c r="AA34" s="184" t="s">
        <v>392</v>
      </c>
      <c r="AB34" s="159"/>
      <c r="AC34" s="192">
        <v>3600</v>
      </c>
      <c r="AD34" s="177">
        <f t="shared" si="13"/>
        <v>26.1000000000004</v>
      </c>
      <c r="AE34" s="5"/>
      <c r="AF34" s="162">
        <f>SUM(AE27:AE33)</f>
        <v>4029</v>
      </c>
      <c r="AG34" s="182">
        <v>45483</v>
      </c>
      <c r="AH34" s="411" t="s">
        <v>392</v>
      </c>
      <c r="AI34" s="412"/>
      <c r="AJ34" s="413"/>
      <c r="AK34" s="184">
        <v>9180</v>
      </c>
      <c r="AL34" s="192">
        <f t="shared" si="11"/>
        <v>3.59999999999854</v>
      </c>
      <c r="AM34" s="4"/>
      <c r="AN34" s="198"/>
    </row>
    <row r="35" spans="1:44">
      <c r="A35" s="165">
        <v>45540</v>
      </c>
      <c r="B35" s="158">
        <v>14</v>
      </c>
      <c r="C35" s="159" t="s">
        <v>365</v>
      </c>
      <c r="D35" s="159">
        <f>G35*90%</f>
        <v>1805.4</v>
      </c>
      <c r="E35" s="167"/>
      <c r="F35" s="177">
        <f t="shared" si="6"/>
        <v>23815.25</v>
      </c>
      <c r="G35" s="7">
        <v>2006</v>
      </c>
      <c r="H35" s="162"/>
      <c r="I35" s="182"/>
      <c r="J35" s="183"/>
      <c r="K35" s="184"/>
      <c r="L35" s="185"/>
      <c r="M35" s="192"/>
      <c r="N35" s="192">
        <f t="shared" si="7"/>
        <v>0</v>
      </c>
      <c r="O35" s="7"/>
      <c r="P35" s="150"/>
      <c r="Q35" s="157"/>
      <c r="R35" s="158"/>
      <c r="S35" s="163"/>
      <c r="T35" s="159"/>
      <c r="U35" s="159"/>
      <c r="V35" s="160"/>
      <c r="W35" s="12"/>
      <c r="X35" s="164"/>
      <c r="Y35" s="196">
        <v>45683</v>
      </c>
      <c r="Z35" s="193"/>
      <c r="AA35" s="184" t="s">
        <v>379</v>
      </c>
      <c r="AB35" s="159"/>
      <c r="AC35" s="192">
        <v>26.1</v>
      </c>
      <c r="AD35" s="177">
        <f t="shared" si="13"/>
        <v>3.62376795237651e-13</v>
      </c>
      <c r="AE35" s="5"/>
      <c r="AF35" s="162"/>
      <c r="AG35" s="204">
        <v>45483</v>
      </c>
      <c r="AH35" s="414"/>
      <c r="AI35" s="415" t="s">
        <v>458</v>
      </c>
      <c r="AJ35" s="416"/>
      <c r="AK35" s="206">
        <v>3.6</v>
      </c>
      <c r="AL35" s="192">
        <f t="shared" si="11"/>
        <v>-1.45528034067866e-12</v>
      </c>
      <c r="AM35" s="4"/>
    </row>
    <row r="36" spans="1:44">
      <c r="A36" s="165">
        <v>45558</v>
      </c>
      <c r="B36" s="158">
        <v>75</v>
      </c>
      <c r="C36" s="159" t="s">
        <v>365</v>
      </c>
      <c r="D36" s="159">
        <f>G36*90%</f>
        <v>2483.1</v>
      </c>
      <c r="E36" s="167"/>
      <c r="F36" s="177">
        <f t="shared" si="6"/>
        <v>26298.35</v>
      </c>
      <c r="G36" s="7">
        <v>2759</v>
      </c>
      <c r="H36" s="162"/>
      <c r="I36" s="165"/>
      <c r="J36" s="158"/>
      <c r="K36" s="167"/>
      <c r="L36" s="159"/>
      <c r="M36" s="160"/>
      <c r="N36" s="192">
        <f t="shared" si="7"/>
        <v>0</v>
      </c>
      <c r="O36" s="7"/>
      <c r="P36" s="150"/>
      <c r="Q36" s="157"/>
      <c r="R36" s="158"/>
      <c r="S36" s="163"/>
      <c r="T36" s="159"/>
      <c r="U36" s="159"/>
      <c r="V36" s="160"/>
      <c r="W36" s="12"/>
      <c r="X36" s="164"/>
      <c r="Y36" s="165">
        <v>45633</v>
      </c>
      <c r="Z36" s="158">
        <v>21</v>
      </c>
      <c r="AA36" s="167" t="s">
        <v>365</v>
      </c>
      <c r="AB36" s="159">
        <f>AE36*90%</f>
        <v>688.5</v>
      </c>
      <c r="AC36" s="192"/>
      <c r="AD36" s="177">
        <f t="shared" ref="AD36:AD44" si="14">AD35+AB36-AC36</f>
        <v>688.5</v>
      </c>
      <c r="AE36" s="5">
        <v>765</v>
      </c>
      <c r="AF36" s="162"/>
      <c r="AG36" s="165">
        <v>45420</v>
      </c>
      <c r="AH36" s="158">
        <v>6</v>
      </c>
      <c r="AI36" s="167" t="s">
        <v>365</v>
      </c>
      <c r="AJ36" s="159">
        <f>AM36*90%</f>
        <v>1530</v>
      </c>
      <c r="AK36" s="160"/>
      <c r="AL36" s="160">
        <f t="shared" si="11"/>
        <v>1530</v>
      </c>
      <c r="AM36" s="4">
        <v>1700</v>
      </c>
    </row>
    <row r="37" spans="1:44">
      <c r="A37" s="165">
        <v>45564</v>
      </c>
      <c r="B37" s="158">
        <v>101</v>
      </c>
      <c r="C37" s="159" t="s">
        <v>365</v>
      </c>
      <c r="D37" s="159">
        <f>G37*90%</f>
        <v>5800.5</v>
      </c>
      <c r="E37" s="167"/>
      <c r="F37" s="177">
        <f t="shared" si="6"/>
        <v>32098.85</v>
      </c>
      <c r="G37" s="7">
        <v>6445</v>
      </c>
      <c r="H37" s="391" t="s">
        <v>450</v>
      </c>
      <c r="I37" s="182"/>
      <c r="J37" s="183"/>
      <c r="K37" s="184"/>
      <c r="L37" s="185"/>
      <c r="M37" s="192"/>
      <c r="N37" s="192">
        <f t="shared" si="7"/>
        <v>0</v>
      </c>
      <c r="O37" s="7"/>
      <c r="P37" s="150"/>
      <c r="Q37" s="157"/>
      <c r="R37" s="158"/>
      <c r="S37" s="163"/>
      <c r="T37" s="159"/>
      <c r="U37" s="159"/>
      <c r="V37" s="160"/>
      <c r="W37" s="12"/>
      <c r="X37" s="164"/>
      <c r="Y37" s="165">
        <v>45633</v>
      </c>
      <c r="Z37" s="158">
        <v>25</v>
      </c>
      <c r="AA37" s="167" t="s">
        <v>365</v>
      </c>
      <c r="AB37" s="159">
        <f>AE37*90%</f>
        <v>32.4</v>
      </c>
      <c r="AC37" s="192"/>
      <c r="AD37" s="177">
        <f t="shared" si="14"/>
        <v>720.9</v>
      </c>
      <c r="AE37" s="5">
        <v>36</v>
      </c>
      <c r="AF37" s="162"/>
      <c r="AG37" s="165">
        <v>45422</v>
      </c>
      <c r="AH37" s="158">
        <v>16</v>
      </c>
      <c r="AI37" s="167" t="s">
        <v>365</v>
      </c>
      <c r="AJ37" s="159">
        <f t="shared" ref="AJ37:AJ44" si="15">AM37*90%</f>
        <v>1491.48</v>
      </c>
      <c r="AK37" s="167"/>
      <c r="AL37" s="160">
        <f t="shared" ref="AL37:AL66" si="16">AL36+AJ37-AK37</f>
        <v>3021.48</v>
      </c>
      <c r="AM37" s="4">
        <v>1657.2</v>
      </c>
    </row>
    <row r="38" spans="1:44">
      <c r="A38" s="165">
        <v>45572</v>
      </c>
      <c r="B38" s="158">
        <v>6</v>
      </c>
      <c r="C38" s="159" t="s">
        <v>365</v>
      </c>
      <c r="D38" s="159">
        <f>G38*90%</f>
        <v>382.5</v>
      </c>
      <c r="E38" s="167"/>
      <c r="F38" s="177">
        <f t="shared" si="6"/>
        <v>32481.35</v>
      </c>
      <c r="G38" s="7">
        <v>425</v>
      </c>
      <c r="H38" s="162"/>
      <c r="I38" s="182"/>
      <c r="J38" s="183"/>
      <c r="K38" s="184"/>
      <c r="L38" s="185"/>
      <c r="M38" s="192"/>
      <c r="N38" s="192">
        <f t="shared" si="7"/>
        <v>0</v>
      </c>
      <c r="O38" s="7"/>
      <c r="P38" s="150"/>
      <c r="Q38" s="157"/>
      <c r="R38" s="158"/>
      <c r="S38" s="163"/>
      <c r="T38" s="159"/>
      <c r="U38" s="159"/>
      <c r="V38" s="160"/>
      <c r="W38" s="12"/>
      <c r="X38" s="164"/>
      <c r="Y38" s="157">
        <v>45637</v>
      </c>
      <c r="Z38" s="158">
        <v>33</v>
      </c>
      <c r="AA38" s="167" t="s">
        <v>365</v>
      </c>
      <c r="AB38" s="159">
        <f>AE38*90%</f>
        <v>669.6</v>
      </c>
      <c r="AC38" s="192"/>
      <c r="AD38" s="177">
        <f t="shared" si="14"/>
        <v>1390.5</v>
      </c>
      <c r="AE38" s="5">
        <v>744</v>
      </c>
      <c r="AF38" s="162"/>
      <c r="AG38" s="165">
        <v>45425</v>
      </c>
      <c r="AH38" s="158">
        <v>34</v>
      </c>
      <c r="AI38" s="167" t="s">
        <v>365</v>
      </c>
      <c r="AJ38" s="159">
        <f t="shared" si="15"/>
        <v>461.7</v>
      </c>
      <c r="AK38" s="160"/>
      <c r="AL38" s="160">
        <f t="shared" si="16"/>
        <v>3483.18</v>
      </c>
      <c r="AM38" s="4">
        <v>513</v>
      </c>
    </row>
    <row r="39" spans="1:44">
      <c r="A39" s="165">
        <v>45594</v>
      </c>
      <c r="B39" s="158">
        <v>89</v>
      </c>
      <c r="C39" s="184" t="s">
        <v>71</v>
      </c>
      <c r="D39" s="159"/>
      <c r="E39" s="167"/>
      <c r="F39" s="177">
        <f t="shared" si="6"/>
        <v>32481.35</v>
      </c>
      <c r="G39" s="266">
        <v>240</v>
      </c>
      <c r="H39" s="162"/>
      <c r="I39" s="165"/>
      <c r="J39" s="158"/>
      <c r="K39" s="167"/>
      <c r="L39" s="159"/>
      <c r="M39" s="160"/>
      <c r="N39" s="192">
        <f t="shared" si="7"/>
        <v>0</v>
      </c>
      <c r="O39" s="7"/>
      <c r="P39" s="150"/>
      <c r="Q39" s="157"/>
      <c r="R39" s="158"/>
      <c r="S39" s="163"/>
      <c r="T39" s="159"/>
      <c r="U39" s="159"/>
      <c r="V39" s="160"/>
      <c r="W39" s="12"/>
      <c r="X39" s="164"/>
      <c r="Y39" s="157">
        <v>45643</v>
      </c>
      <c r="Z39" s="158">
        <v>55</v>
      </c>
      <c r="AA39" s="167" t="s">
        <v>365</v>
      </c>
      <c r="AB39" s="159">
        <f>AE39*90%</f>
        <v>135</v>
      </c>
      <c r="AC39" s="192"/>
      <c r="AD39" s="177">
        <f t="shared" si="14"/>
        <v>1525.5</v>
      </c>
      <c r="AE39" s="5">
        <v>150</v>
      </c>
      <c r="AF39" s="162">
        <f>SUM(AE36:AE40)</f>
        <v>2647</v>
      </c>
      <c r="AG39" s="165">
        <v>45429</v>
      </c>
      <c r="AH39" s="158">
        <v>48</v>
      </c>
      <c r="AI39" s="167" t="s">
        <v>365</v>
      </c>
      <c r="AJ39" s="159">
        <f t="shared" si="15"/>
        <v>688.5</v>
      </c>
      <c r="AK39" s="160"/>
      <c r="AL39" s="160">
        <f t="shared" si="16"/>
        <v>4171.68</v>
      </c>
      <c r="AM39" s="4">
        <v>765</v>
      </c>
    </row>
    <row r="40" spans="1:44">
      <c r="A40" s="165">
        <v>45594</v>
      </c>
      <c r="B40" s="158">
        <v>89</v>
      </c>
      <c r="C40" s="167" t="s">
        <v>365</v>
      </c>
      <c r="D40" s="159">
        <f>G40*90%</f>
        <v>5094</v>
      </c>
      <c r="E40" s="167"/>
      <c r="F40" s="177">
        <f t="shared" si="6"/>
        <v>37575.35</v>
      </c>
      <c r="G40" s="7">
        <v>5660</v>
      </c>
      <c r="H40" s="162"/>
      <c r="I40" s="182"/>
      <c r="J40" s="183"/>
      <c r="K40" s="184"/>
      <c r="L40" s="185"/>
      <c r="M40" s="192"/>
      <c r="N40" s="192">
        <f t="shared" si="7"/>
        <v>0</v>
      </c>
      <c r="O40" s="7"/>
      <c r="P40" s="150"/>
      <c r="Q40" s="157"/>
      <c r="R40" s="158"/>
      <c r="S40" s="163"/>
      <c r="T40" s="159"/>
      <c r="U40" s="159"/>
      <c r="V40" s="160"/>
      <c r="W40" s="12"/>
      <c r="X40" s="164"/>
      <c r="Y40" s="157">
        <v>45652</v>
      </c>
      <c r="Z40" s="158">
        <v>79</v>
      </c>
      <c r="AA40" s="167" t="s">
        <v>365</v>
      </c>
      <c r="AB40" s="159">
        <f>AE40*90%</f>
        <v>856.8</v>
      </c>
      <c r="AC40" s="192"/>
      <c r="AD40" s="177">
        <f t="shared" si="14"/>
        <v>2382.3</v>
      </c>
      <c r="AE40" s="5">
        <v>952</v>
      </c>
      <c r="AF40" s="162"/>
      <c r="AG40" s="165">
        <v>45432</v>
      </c>
      <c r="AH40" s="158">
        <v>63</v>
      </c>
      <c r="AI40" s="167" t="s">
        <v>365</v>
      </c>
      <c r="AJ40" s="159">
        <f t="shared" si="15"/>
        <v>3182.4</v>
      </c>
      <c r="AK40" s="160"/>
      <c r="AL40" s="160">
        <f t="shared" si="16"/>
        <v>7354.08</v>
      </c>
      <c r="AM40" s="4">
        <v>3536</v>
      </c>
    </row>
    <row r="41" spans="1:44">
      <c r="A41" s="165">
        <v>45603</v>
      </c>
      <c r="B41" s="158">
        <v>15</v>
      </c>
      <c r="C41" s="167" t="s">
        <v>365</v>
      </c>
      <c r="D41" s="159">
        <f>G41*90%</f>
        <v>576</v>
      </c>
      <c r="E41" s="167"/>
      <c r="F41" s="177">
        <f t="shared" si="6"/>
        <v>38151.35</v>
      </c>
      <c r="G41" s="7">
        <v>640</v>
      </c>
      <c r="H41" s="162">
        <f>SUM(D43:D45)</f>
        <v>5523.3</v>
      </c>
      <c r="I41" s="182"/>
      <c r="J41" s="183"/>
      <c r="K41" s="184"/>
      <c r="L41" s="185"/>
      <c r="M41" s="192"/>
      <c r="N41" s="192">
        <f t="shared" si="7"/>
        <v>0</v>
      </c>
      <c r="O41" s="7"/>
      <c r="P41" s="150"/>
      <c r="Q41" s="157"/>
      <c r="R41" s="158"/>
      <c r="S41" s="163"/>
      <c r="T41" s="159"/>
      <c r="U41" s="159"/>
      <c r="V41" s="160"/>
      <c r="W41" s="12"/>
      <c r="X41" s="164"/>
      <c r="Y41" s="157"/>
      <c r="Z41" s="158"/>
      <c r="AA41" s="167"/>
      <c r="AB41" s="159"/>
      <c r="AC41" s="192"/>
      <c r="AD41" s="177">
        <f t="shared" si="14"/>
        <v>2382.3</v>
      </c>
      <c r="AE41" s="5"/>
      <c r="AF41" s="162"/>
      <c r="AG41" s="165">
        <v>45434</v>
      </c>
      <c r="AH41" s="158">
        <v>66</v>
      </c>
      <c r="AI41" s="167" t="s">
        <v>365</v>
      </c>
      <c r="AJ41" s="159">
        <f t="shared" si="15"/>
        <v>461.7</v>
      </c>
      <c r="AK41" s="160"/>
      <c r="AL41" s="160">
        <f t="shared" si="16"/>
        <v>7815.78</v>
      </c>
      <c r="AM41" s="4">
        <v>513</v>
      </c>
    </row>
    <row r="42" spans="1:44">
      <c r="A42" s="165">
        <v>45617</v>
      </c>
      <c r="B42" s="158">
        <v>60</v>
      </c>
      <c r="C42" s="159" t="s">
        <v>365</v>
      </c>
      <c r="D42" s="159">
        <f>G42*90%</f>
        <v>694.8</v>
      </c>
      <c r="E42" s="167"/>
      <c r="F42" s="177">
        <f t="shared" si="6"/>
        <v>38846.15</v>
      </c>
      <c r="G42" s="7">
        <v>772</v>
      </c>
      <c r="I42" s="165"/>
      <c r="J42" s="158"/>
      <c r="K42" s="167"/>
      <c r="L42" s="159"/>
      <c r="M42" s="160"/>
      <c r="N42" s="192">
        <f t="shared" si="7"/>
        <v>0</v>
      </c>
      <c r="O42" s="7"/>
      <c r="P42" s="150"/>
      <c r="Q42" s="157"/>
      <c r="R42" s="158"/>
      <c r="S42" s="163"/>
      <c r="T42" s="159"/>
      <c r="U42" s="159"/>
      <c r="V42" s="160"/>
      <c r="W42" s="12"/>
      <c r="X42" s="164"/>
      <c r="Y42" s="165">
        <v>45664</v>
      </c>
      <c r="Z42" s="158">
        <v>29</v>
      </c>
      <c r="AA42" s="167" t="s">
        <v>365</v>
      </c>
      <c r="AB42" s="168">
        <f>AE42*90%</f>
        <v>397.8</v>
      </c>
      <c r="AC42" s="192"/>
      <c r="AD42" s="177">
        <f t="shared" si="14"/>
        <v>2780.1</v>
      </c>
      <c r="AE42" s="5">
        <v>442</v>
      </c>
      <c r="AF42" s="162"/>
      <c r="AG42" s="165">
        <v>45437</v>
      </c>
      <c r="AH42" s="158">
        <v>74</v>
      </c>
      <c r="AI42" s="167" t="s">
        <v>365</v>
      </c>
      <c r="AJ42" s="159">
        <f t="shared" si="15"/>
        <v>4267.98</v>
      </c>
      <c r="AK42" s="167"/>
      <c r="AL42" s="160">
        <f t="shared" si="16"/>
        <v>12083.76</v>
      </c>
      <c r="AM42" s="4">
        <v>4742.2</v>
      </c>
    </row>
    <row r="43" spans="1:44">
      <c r="A43" s="165">
        <v>45637</v>
      </c>
      <c r="B43" s="158">
        <v>24</v>
      </c>
      <c r="C43" s="159" t="s">
        <v>365</v>
      </c>
      <c r="D43" s="159">
        <f>G43*90%</f>
        <v>5202</v>
      </c>
      <c r="E43" s="167"/>
      <c r="F43" s="177">
        <f t="shared" si="6"/>
        <v>44048.15</v>
      </c>
      <c r="G43" s="7">
        <v>5780</v>
      </c>
      <c r="I43" s="182"/>
      <c r="J43" s="183"/>
      <c r="K43" s="184"/>
      <c r="L43" s="185"/>
      <c r="M43" s="192"/>
      <c r="N43" s="192">
        <f t="shared" si="7"/>
        <v>0</v>
      </c>
      <c r="O43" s="7"/>
      <c r="P43" s="150"/>
      <c r="Q43" s="157"/>
      <c r="R43" s="158"/>
      <c r="S43" s="163"/>
      <c r="T43" s="159"/>
      <c r="U43" s="159"/>
      <c r="V43" s="160"/>
      <c r="W43" s="12"/>
      <c r="X43" s="164"/>
      <c r="Y43" s="165">
        <v>45667</v>
      </c>
      <c r="Z43" s="158">
        <v>37</v>
      </c>
      <c r="AA43" s="167" t="s">
        <v>365</v>
      </c>
      <c r="AB43" s="168">
        <f>AE43*90%</f>
        <v>535.5</v>
      </c>
      <c r="AC43" s="192"/>
      <c r="AD43" s="177">
        <f t="shared" si="14"/>
        <v>3315.6</v>
      </c>
      <c r="AE43" s="5">
        <v>595</v>
      </c>
      <c r="AF43" s="162">
        <f>SUM(AE42:AE43)</f>
        <v>1037</v>
      </c>
      <c r="AG43" s="389">
        <v>45441</v>
      </c>
      <c r="AH43" s="158">
        <v>83</v>
      </c>
      <c r="AI43" s="390" t="s">
        <v>365</v>
      </c>
      <c r="AJ43" s="159">
        <f t="shared" si="15"/>
        <v>1156.5</v>
      </c>
      <c r="AK43" s="160"/>
      <c r="AL43" s="160">
        <f t="shared" si="16"/>
        <v>13240.26</v>
      </c>
      <c r="AM43" s="5">
        <v>1285</v>
      </c>
    </row>
    <row r="44" spans="1:44">
      <c r="A44" s="182">
        <v>45653</v>
      </c>
      <c r="B44" s="183"/>
      <c r="C44" s="181" t="s">
        <v>391</v>
      </c>
      <c r="D44" s="159"/>
      <c r="E44" s="184"/>
      <c r="F44" s="177">
        <f t="shared" si="6"/>
        <v>44048.15</v>
      </c>
      <c r="G44" s="241"/>
      <c r="H44" s="417">
        <v>359</v>
      </c>
      <c r="I44" s="182"/>
      <c r="J44" s="183"/>
      <c r="K44" s="184"/>
      <c r="L44" s="185"/>
      <c r="M44" s="192"/>
      <c r="N44" s="192">
        <f t="shared" si="7"/>
        <v>0</v>
      </c>
      <c r="O44" s="7"/>
      <c r="P44" s="150"/>
      <c r="Q44" s="157"/>
      <c r="R44" s="158"/>
      <c r="S44" s="163"/>
      <c r="T44" s="159"/>
      <c r="U44" s="159"/>
      <c r="V44" s="160"/>
      <c r="W44" s="12"/>
      <c r="X44" s="164"/>
      <c r="Y44" s="215">
        <v>45711</v>
      </c>
      <c r="Z44" s="183"/>
      <c r="AA44" s="219" t="s">
        <v>392</v>
      </c>
      <c r="AB44" s="159"/>
      <c r="AC44" s="222">
        <v>3315.6</v>
      </c>
      <c r="AD44" s="177">
        <f t="shared" si="14"/>
        <v>0</v>
      </c>
      <c r="AE44" s="5"/>
      <c r="AF44" s="400" t="s">
        <v>459</v>
      </c>
      <c r="AG44" s="165">
        <v>45442</v>
      </c>
      <c r="AH44" s="166">
        <v>87</v>
      </c>
      <c r="AI44" s="167" t="s">
        <v>365</v>
      </c>
      <c r="AJ44" s="159">
        <f t="shared" si="15"/>
        <v>459</v>
      </c>
      <c r="AK44" s="160"/>
      <c r="AL44" s="160">
        <f t="shared" si="16"/>
        <v>13699.26</v>
      </c>
      <c r="AM44" s="5">
        <v>510</v>
      </c>
    </row>
    <row r="45" spans="1:44">
      <c r="A45" s="165">
        <v>45656</v>
      </c>
      <c r="B45" s="158">
        <v>96</v>
      </c>
      <c r="C45" s="159" t="s">
        <v>365</v>
      </c>
      <c r="D45" s="159">
        <f>G45*90%</f>
        <v>321.3</v>
      </c>
      <c r="E45" s="167"/>
      <c r="F45" s="177">
        <f t="shared" si="6"/>
        <v>44369.45</v>
      </c>
      <c r="G45" s="7">
        <v>357</v>
      </c>
      <c r="I45" s="165"/>
      <c r="J45" s="158"/>
      <c r="K45" s="167"/>
      <c r="L45" s="159"/>
      <c r="M45" s="160"/>
      <c r="N45" s="192">
        <f t="shared" si="7"/>
        <v>0</v>
      </c>
      <c r="O45" s="7"/>
      <c r="P45" s="150"/>
      <c r="Q45" s="157"/>
      <c r="R45" s="158"/>
      <c r="S45" s="163"/>
      <c r="T45" s="159"/>
      <c r="U45" s="159"/>
      <c r="V45" s="160"/>
      <c r="W45" s="12"/>
      <c r="X45" s="164"/>
      <c r="Y45" s="157"/>
      <c r="Z45" s="158"/>
      <c r="AA45" s="159"/>
      <c r="AB45" s="159"/>
      <c r="AC45" s="160"/>
      <c r="AD45" s="160">
        <f>AB45-AC45</f>
        <v>0</v>
      </c>
      <c r="AE45" s="5"/>
      <c r="AF45" s="162">
        <f>SUM(AE47:AE53)</f>
        <v>3094.5</v>
      </c>
      <c r="AG45" s="182">
        <v>45477</v>
      </c>
      <c r="AH45" s="193"/>
      <c r="AI45" s="184" t="s">
        <v>455</v>
      </c>
      <c r="AJ45" s="185"/>
      <c r="AK45" s="192">
        <v>2499</v>
      </c>
      <c r="AL45" s="160">
        <f t="shared" si="16"/>
        <v>11200.26</v>
      </c>
      <c r="AM45" s="5"/>
    </row>
    <row r="46" spans="1:44">
      <c r="A46" s="165">
        <v>45663</v>
      </c>
      <c r="B46" s="158">
        <v>23</v>
      </c>
      <c r="C46" s="167" t="s">
        <v>365</v>
      </c>
      <c r="D46" s="172">
        <f>G46</f>
        <v>48</v>
      </c>
      <c r="E46" s="167"/>
      <c r="F46" s="177">
        <f t="shared" si="6"/>
        <v>44417.45</v>
      </c>
      <c r="G46" s="21">
        <v>48</v>
      </c>
      <c r="I46" s="182"/>
      <c r="J46" s="183"/>
      <c r="K46" s="184"/>
      <c r="L46" s="185"/>
      <c r="M46" s="192"/>
      <c r="N46" s="192">
        <f t="shared" si="7"/>
        <v>0</v>
      </c>
      <c r="O46" s="7"/>
      <c r="P46" s="150"/>
      <c r="Q46" s="157"/>
      <c r="R46" s="158"/>
      <c r="S46" s="163"/>
      <c r="T46" s="159"/>
      <c r="U46" s="159"/>
      <c r="V46" s="160"/>
      <c r="W46" s="12"/>
      <c r="X46" s="164"/>
      <c r="Y46" s="214" t="s">
        <v>1</v>
      </c>
      <c r="Z46" s="183"/>
      <c r="AA46" s="185"/>
      <c r="AB46" s="185"/>
      <c r="AC46" s="192"/>
      <c r="AD46" s="160">
        <f>AB46-AC46</f>
        <v>0</v>
      </c>
      <c r="AE46" s="5"/>
      <c r="AF46" s="162"/>
      <c r="AG46" s="182">
        <v>45485</v>
      </c>
      <c r="AH46" s="193"/>
      <c r="AI46" s="184" t="s">
        <v>455</v>
      </c>
      <c r="AJ46" s="185"/>
      <c r="AK46" s="192">
        <v>2499</v>
      </c>
      <c r="AL46" s="160">
        <f t="shared" si="16"/>
        <v>8701.26</v>
      </c>
      <c r="AM46" s="5"/>
      <c r="AR46">
        <f>SUM(AJ36:AJ44)</f>
        <v>13699.26</v>
      </c>
    </row>
    <row r="47" spans="1:44">
      <c r="A47" s="165">
        <v>45673</v>
      </c>
      <c r="B47" s="158">
        <v>56</v>
      </c>
      <c r="C47" s="167" t="s">
        <v>365</v>
      </c>
      <c r="D47" s="159">
        <f>G47*90%</f>
        <v>1109.7</v>
      </c>
      <c r="E47" s="167"/>
      <c r="F47" s="177">
        <f t="shared" si="6"/>
        <v>45527.15</v>
      </c>
      <c r="G47" s="7">
        <v>1233</v>
      </c>
      <c r="I47" s="182"/>
      <c r="J47" s="183"/>
      <c r="K47" s="184"/>
      <c r="L47" s="185"/>
      <c r="M47" s="192"/>
      <c r="N47" s="192">
        <f t="shared" si="7"/>
        <v>0</v>
      </c>
      <c r="O47" s="7"/>
      <c r="P47" s="150"/>
      <c r="Q47" s="157"/>
      <c r="R47" s="158"/>
      <c r="S47" s="163"/>
      <c r="T47" s="159"/>
      <c r="U47" s="159"/>
      <c r="V47" s="160"/>
      <c r="W47" s="12"/>
      <c r="Y47" s="387">
        <v>45546</v>
      </c>
      <c r="Z47" s="158">
        <v>36</v>
      </c>
      <c r="AA47" s="159" t="s">
        <v>365</v>
      </c>
      <c r="AB47" s="159">
        <f>AE47*90%</f>
        <v>119.25</v>
      </c>
      <c r="AC47" s="192"/>
      <c r="AD47" s="160">
        <f>AB47-AC47</f>
        <v>119.25</v>
      </c>
      <c r="AE47" s="5">
        <v>132.5</v>
      </c>
      <c r="AF47" s="162"/>
      <c r="AG47" s="182">
        <v>45488</v>
      </c>
      <c r="AH47" s="193"/>
      <c r="AI47" s="184" t="s">
        <v>455</v>
      </c>
      <c r="AJ47" s="185"/>
      <c r="AK47" s="192">
        <v>2499</v>
      </c>
      <c r="AL47" s="160">
        <f t="shared" si="16"/>
        <v>6202.26</v>
      </c>
      <c r="AM47" s="5"/>
    </row>
    <row r="48" spans="1:44">
      <c r="A48" s="165"/>
      <c r="B48" s="158"/>
      <c r="C48" s="159"/>
      <c r="D48" s="159"/>
      <c r="E48" s="167"/>
      <c r="F48" s="177">
        <f t="shared" si="6"/>
        <v>45527.15</v>
      </c>
      <c r="G48" s="7"/>
      <c r="Q48" s="157"/>
      <c r="R48" s="158"/>
      <c r="S48" s="163"/>
      <c r="T48" s="159"/>
      <c r="U48" s="159"/>
      <c r="V48" s="160"/>
      <c r="W48" s="12"/>
      <c r="Y48" s="227">
        <v>45549</v>
      </c>
      <c r="Z48" s="166">
        <v>49</v>
      </c>
      <c r="AA48" s="168" t="s">
        <v>365</v>
      </c>
      <c r="AB48" s="159">
        <f t="shared" ref="AB47:AB59" si="17">AE48*90%</f>
        <v>168.3</v>
      </c>
      <c r="AC48" s="192"/>
      <c r="AD48" s="160">
        <f t="shared" ref="AD48:AD59" si="18">AD47+AB48-AC48</f>
        <v>287.55</v>
      </c>
      <c r="AE48" s="5">
        <v>187</v>
      </c>
      <c r="AF48" s="164" t="s">
        <v>460</v>
      </c>
      <c r="AG48" s="182">
        <v>45495</v>
      </c>
      <c r="AH48" s="193"/>
      <c r="AI48" s="184" t="s">
        <v>455</v>
      </c>
      <c r="AJ48" s="185"/>
      <c r="AK48" s="192">
        <v>2499</v>
      </c>
      <c r="AL48" s="160">
        <f t="shared" si="16"/>
        <v>3703.26</v>
      </c>
      <c r="AM48" s="5"/>
    </row>
    <row r="49" spans="1:44">
      <c r="A49" s="165"/>
      <c r="B49" s="158"/>
      <c r="C49" s="159"/>
      <c r="D49" s="159"/>
      <c r="E49" s="167"/>
      <c r="F49" s="177">
        <f t="shared" si="6"/>
        <v>45527.15</v>
      </c>
      <c r="G49" s="7"/>
      <c r="Q49" s="157"/>
      <c r="R49" s="158"/>
      <c r="S49" s="163"/>
      <c r="T49" s="159"/>
      <c r="U49" s="159"/>
      <c r="V49" s="160"/>
      <c r="W49" s="12"/>
      <c r="Y49" s="227">
        <v>45558</v>
      </c>
      <c r="Z49" s="166">
        <v>77</v>
      </c>
      <c r="AA49" s="168" t="s">
        <v>365</v>
      </c>
      <c r="AB49" s="159">
        <f t="shared" si="17"/>
        <v>923.4</v>
      </c>
      <c r="AC49" s="192"/>
      <c r="AD49" s="160">
        <f t="shared" si="18"/>
        <v>1210.95</v>
      </c>
      <c r="AE49" s="5">
        <v>1026</v>
      </c>
      <c r="AF49" s="162"/>
      <c r="AG49" s="165">
        <v>45449</v>
      </c>
      <c r="AH49" s="166">
        <v>19</v>
      </c>
      <c r="AI49" s="167" t="s">
        <v>365</v>
      </c>
      <c r="AJ49" s="168">
        <f>AM49*90%</f>
        <v>94.5</v>
      </c>
      <c r="AK49" s="167"/>
      <c r="AL49" s="160">
        <f t="shared" si="16"/>
        <v>3797.76</v>
      </c>
      <c r="AM49" s="5">
        <v>105</v>
      </c>
    </row>
    <row r="50" spans="1:44">
      <c r="Y50" s="165">
        <v>45563</v>
      </c>
      <c r="Z50" s="166">
        <v>95</v>
      </c>
      <c r="AA50" s="168" t="s">
        <v>365</v>
      </c>
      <c r="AB50" s="159">
        <f t="shared" si="17"/>
        <v>346.5</v>
      </c>
      <c r="AC50" s="192"/>
      <c r="AD50" s="160">
        <f t="shared" si="18"/>
        <v>1557.45</v>
      </c>
      <c r="AE50" s="5">
        <v>385</v>
      </c>
      <c r="AF50" s="162"/>
      <c r="AG50" s="165">
        <v>45451</v>
      </c>
      <c r="AH50" s="166">
        <v>30</v>
      </c>
      <c r="AI50" s="167" t="s">
        <v>365</v>
      </c>
      <c r="AJ50" s="168">
        <f t="shared" ref="AJ50:AJ73" si="19">AM50*90%</f>
        <v>2907.9</v>
      </c>
      <c r="AK50" s="160"/>
      <c r="AL50" s="160">
        <f t="shared" si="16"/>
        <v>6705.66</v>
      </c>
      <c r="AM50" s="5">
        <v>3231</v>
      </c>
    </row>
    <row r="51" spans="1:44">
      <c r="Y51" s="227">
        <v>45572</v>
      </c>
      <c r="Z51" s="166">
        <v>11</v>
      </c>
      <c r="AA51" s="168" t="s">
        <v>365</v>
      </c>
      <c r="AB51" s="159">
        <f t="shared" si="17"/>
        <v>636.3</v>
      </c>
      <c r="AC51" s="192"/>
      <c r="AD51" s="160">
        <f t="shared" si="18"/>
        <v>2193.75</v>
      </c>
      <c r="AE51" s="5">
        <v>707</v>
      </c>
      <c r="AF51" s="162"/>
      <c r="AG51" s="165">
        <v>45460</v>
      </c>
      <c r="AH51" s="166">
        <v>44</v>
      </c>
      <c r="AI51" s="167" t="s">
        <v>365</v>
      </c>
      <c r="AJ51" s="168">
        <f t="shared" si="19"/>
        <v>3136.5</v>
      </c>
      <c r="AK51" s="160"/>
      <c r="AL51" s="160">
        <f t="shared" si="16"/>
        <v>9842.16</v>
      </c>
      <c r="AM51" s="5">
        <v>3485</v>
      </c>
    </row>
    <row r="52" spans="1:44">
      <c r="Y52" s="165">
        <v>45576</v>
      </c>
      <c r="Z52" s="166">
        <v>24</v>
      </c>
      <c r="AA52" s="167" t="s">
        <v>365</v>
      </c>
      <c r="AB52" s="159">
        <f t="shared" si="17"/>
        <v>407.7</v>
      </c>
      <c r="AC52" s="192"/>
      <c r="AD52" s="160">
        <f t="shared" si="18"/>
        <v>2601.45</v>
      </c>
      <c r="AE52" s="5">
        <v>453</v>
      </c>
      <c r="AF52" s="162"/>
      <c r="AG52" s="165">
        <v>45461</v>
      </c>
      <c r="AH52" s="158">
        <v>48</v>
      </c>
      <c r="AI52" s="167" t="s">
        <v>365</v>
      </c>
      <c r="AJ52" s="168">
        <f t="shared" si="19"/>
        <v>1530.9</v>
      </c>
      <c r="AK52" s="167"/>
      <c r="AL52" s="160">
        <f t="shared" si="16"/>
        <v>11373.06</v>
      </c>
      <c r="AM52" s="5">
        <v>1701</v>
      </c>
    </row>
    <row r="53" spans="1:44">
      <c r="Y53" s="227">
        <v>45596</v>
      </c>
      <c r="Z53" s="166">
        <v>106</v>
      </c>
      <c r="AA53" s="168" t="s">
        <v>365</v>
      </c>
      <c r="AB53" s="159">
        <f t="shared" si="17"/>
        <v>183.6</v>
      </c>
      <c r="AC53" s="192"/>
      <c r="AD53" s="160">
        <f t="shared" si="18"/>
        <v>2785.05</v>
      </c>
      <c r="AE53" s="5">
        <v>204</v>
      </c>
      <c r="AF53" s="162"/>
      <c r="AG53" s="165">
        <v>45464</v>
      </c>
      <c r="AH53" s="166">
        <v>56</v>
      </c>
      <c r="AI53" s="167" t="s">
        <v>365</v>
      </c>
      <c r="AJ53" s="168">
        <f t="shared" si="19"/>
        <v>1134</v>
      </c>
      <c r="AK53" s="160"/>
      <c r="AL53" s="160">
        <f t="shared" si="16"/>
        <v>12507.06</v>
      </c>
      <c r="AM53" s="5">
        <v>1260</v>
      </c>
    </row>
    <row r="54" spans="1:44">
      <c r="Y54" s="229"/>
      <c r="Z54" s="193"/>
      <c r="AA54" s="191" t="s">
        <v>382</v>
      </c>
      <c r="AB54" s="191"/>
      <c r="AC54" s="192">
        <v>2785.09</v>
      </c>
      <c r="AD54" s="160">
        <f t="shared" si="18"/>
        <v>-0.0400000000004184</v>
      </c>
      <c r="AE54" s="5"/>
      <c r="AF54" s="162"/>
      <c r="AG54" s="165">
        <v>45467</v>
      </c>
      <c r="AH54" s="166">
        <v>69</v>
      </c>
      <c r="AI54" s="167" t="s">
        <v>365</v>
      </c>
      <c r="AJ54" s="168">
        <f t="shared" si="19"/>
        <v>612</v>
      </c>
      <c r="AK54" s="160"/>
      <c r="AL54" s="160">
        <f t="shared" si="16"/>
        <v>13119.06</v>
      </c>
      <c r="AM54" s="5">
        <v>680</v>
      </c>
    </row>
    <row r="55" spans="1:44">
      <c r="Y55" s="165">
        <v>45601</v>
      </c>
      <c r="Z55" s="166">
        <v>8</v>
      </c>
      <c r="AA55" s="167" t="s">
        <v>365</v>
      </c>
      <c r="AB55" s="159">
        <f>AE55*90%</f>
        <v>15.3</v>
      </c>
      <c r="AC55" s="192"/>
      <c r="AD55" s="160">
        <f t="shared" si="18"/>
        <v>15.2599999999996</v>
      </c>
      <c r="AE55" s="5">
        <v>17</v>
      </c>
      <c r="AF55" s="162"/>
      <c r="AG55" s="165">
        <v>45467</v>
      </c>
      <c r="AH55" s="166">
        <v>70</v>
      </c>
      <c r="AI55" s="167" t="s">
        <v>365</v>
      </c>
      <c r="AJ55" s="168">
        <f t="shared" si="19"/>
        <v>2539.8</v>
      </c>
      <c r="AK55" s="167"/>
      <c r="AL55" s="160">
        <f t="shared" si="16"/>
        <v>15658.86</v>
      </c>
      <c r="AM55" s="5">
        <v>2822</v>
      </c>
    </row>
    <row r="56" spans="1:44">
      <c r="Y56" s="165">
        <v>45602</v>
      </c>
      <c r="Z56" s="166">
        <v>12</v>
      </c>
      <c r="AA56" s="167" t="s">
        <v>365</v>
      </c>
      <c r="AB56" s="159">
        <f t="shared" ref="AB56:AB76" si="20">AE56*90%</f>
        <v>33.75</v>
      </c>
      <c r="AC56" s="192"/>
      <c r="AD56" s="160">
        <f t="shared" ref="AD56:AD77" si="21">AD55+AB56-AC56</f>
        <v>49.0099999999996</v>
      </c>
      <c r="AE56" s="5">
        <v>37.5</v>
      </c>
      <c r="AF56" s="162"/>
      <c r="AG56" s="165">
        <v>45471</v>
      </c>
      <c r="AH56" s="158">
        <v>86</v>
      </c>
      <c r="AI56" s="167" t="s">
        <v>365</v>
      </c>
      <c r="AJ56" s="168">
        <f t="shared" si="19"/>
        <v>1454.4</v>
      </c>
      <c r="AK56" s="160"/>
      <c r="AL56" s="160">
        <f t="shared" si="16"/>
        <v>17113.26</v>
      </c>
      <c r="AM56" s="5">
        <v>1616</v>
      </c>
    </row>
    <row r="57" spans="1:44">
      <c r="Y57" s="165">
        <v>45606</v>
      </c>
      <c r="Z57" s="166">
        <v>25</v>
      </c>
      <c r="AA57" s="167" t="s">
        <v>365</v>
      </c>
      <c r="AB57" s="159">
        <f t="shared" si="20"/>
        <v>863.55</v>
      </c>
      <c r="AC57" s="192"/>
      <c r="AD57" s="160">
        <f t="shared" si="21"/>
        <v>912.56</v>
      </c>
      <c r="AE57" s="5">
        <v>959.5</v>
      </c>
      <c r="AF57" s="162"/>
      <c r="AG57" s="418">
        <v>45479</v>
      </c>
      <c r="AH57" s="166">
        <v>14</v>
      </c>
      <c r="AI57" s="167" t="s">
        <v>365</v>
      </c>
      <c r="AJ57" s="168">
        <f t="shared" si="19"/>
        <v>2523.6</v>
      </c>
      <c r="AK57" s="160"/>
      <c r="AL57" s="160">
        <f t="shared" si="16"/>
        <v>19636.86</v>
      </c>
      <c r="AM57" s="7">
        <v>2804</v>
      </c>
      <c r="AO57">
        <f>SUM(AM57:AM62)</f>
        <v>7704</v>
      </c>
    </row>
    <row r="58" spans="1:44">
      <c r="Y58" s="165">
        <v>45607</v>
      </c>
      <c r="Z58" s="166">
        <v>29</v>
      </c>
      <c r="AA58" s="167" t="s">
        <v>365</v>
      </c>
      <c r="AB58" s="159">
        <f t="shared" si="20"/>
        <v>405</v>
      </c>
      <c r="AC58" s="192"/>
      <c r="AD58" s="160">
        <f t="shared" si="21"/>
        <v>1317.56</v>
      </c>
      <c r="AE58" s="5">
        <v>450</v>
      </c>
      <c r="AF58" s="162"/>
      <c r="AG58" s="418">
        <v>45481</v>
      </c>
      <c r="AH58" s="166">
        <v>21</v>
      </c>
      <c r="AI58" s="167" t="s">
        <v>365</v>
      </c>
      <c r="AJ58" s="168">
        <f t="shared" si="19"/>
        <v>397.8</v>
      </c>
      <c r="AK58" s="160"/>
      <c r="AL58" s="160">
        <f t="shared" si="16"/>
        <v>20034.66</v>
      </c>
      <c r="AM58" s="7">
        <v>442</v>
      </c>
      <c r="AO58">
        <f>SUM(AM49:AM62)</f>
        <v>22604</v>
      </c>
    </row>
    <row r="59" spans="1:44">
      <c r="Y59" s="409">
        <v>45608</v>
      </c>
      <c r="Z59" s="166">
        <v>34</v>
      </c>
      <c r="AA59" s="167" t="s">
        <v>365</v>
      </c>
      <c r="AB59" s="159">
        <f t="shared" si="20"/>
        <v>90</v>
      </c>
      <c r="AC59" s="192"/>
      <c r="AD59" s="160">
        <f t="shared" si="21"/>
        <v>1407.56</v>
      </c>
      <c r="AE59" s="5">
        <v>100</v>
      </c>
      <c r="AF59" s="162"/>
      <c r="AG59" s="418">
        <v>45484</v>
      </c>
      <c r="AH59" s="166">
        <v>35</v>
      </c>
      <c r="AI59" s="167" t="s">
        <v>365</v>
      </c>
      <c r="AJ59" s="168">
        <f t="shared" si="19"/>
        <v>474.3</v>
      </c>
      <c r="AK59" s="160"/>
      <c r="AL59" s="160">
        <f t="shared" si="16"/>
        <v>20508.96</v>
      </c>
      <c r="AM59" s="7">
        <v>527</v>
      </c>
    </row>
    <row r="60" spans="1:44">
      <c r="Y60" s="409">
        <v>45610</v>
      </c>
      <c r="Z60" s="166">
        <v>37</v>
      </c>
      <c r="AA60" s="167" t="s">
        <v>365</v>
      </c>
      <c r="AB60" s="159">
        <f t="shared" si="20"/>
        <v>474.3</v>
      </c>
      <c r="AC60" s="192"/>
      <c r="AD60" s="160">
        <f t="shared" si="21"/>
        <v>1881.86</v>
      </c>
      <c r="AE60" s="5">
        <v>527</v>
      </c>
      <c r="AF60" s="162">
        <v>2091</v>
      </c>
      <c r="AG60" s="418">
        <v>45488</v>
      </c>
      <c r="AH60" s="166">
        <v>55</v>
      </c>
      <c r="AI60" s="167" t="s">
        <v>365</v>
      </c>
      <c r="AJ60" s="168">
        <f t="shared" si="19"/>
        <v>96.75</v>
      </c>
      <c r="AK60" s="160"/>
      <c r="AL60" s="160">
        <f t="shared" si="16"/>
        <v>20605.71</v>
      </c>
      <c r="AM60" s="7">
        <v>107.5</v>
      </c>
    </row>
    <row r="61" spans="1:44">
      <c r="Y61" s="196">
        <v>45711</v>
      </c>
      <c r="Z61" s="193"/>
      <c r="AA61" s="184" t="s">
        <v>375</v>
      </c>
      <c r="AB61" s="185"/>
      <c r="AC61" s="192">
        <v>1881.9</v>
      </c>
      <c r="AD61" s="160">
        <f t="shared" si="21"/>
        <v>-0.0400000000006457</v>
      </c>
      <c r="AE61" s="5"/>
      <c r="AF61" s="400" t="s">
        <v>461</v>
      </c>
      <c r="AG61" s="418">
        <v>45489</v>
      </c>
      <c r="AH61" s="166">
        <v>57</v>
      </c>
      <c r="AI61" s="167" t="s">
        <v>365</v>
      </c>
      <c r="AJ61" s="168">
        <f t="shared" si="19"/>
        <v>2923.2</v>
      </c>
      <c r="AK61" s="160"/>
      <c r="AL61" s="160">
        <f t="shared" si="16"/>
        <v>23528.91</v>
      </c>
      <c r="AM61" s="7">
        <v>3248</v>
      </c>
      <c r="AN61" s="419" t="s">
        <v>462</v>
      </c>
    </row>
    <row r="62" spans="1:44">
      <c r="Y62" s="157">
        <v>45631</v>
      </c>
      <c r="Z62" s="158">
        <v>13</v>
      </c>
      <c r="AA62" s="167" t="s">
        <v>365</v>
      </c>
      <c r="AB62" s="159">
        <f t="shared" si="20"/>
        <v>580.05</v>
      </c>
      <c r="AC62" s="192"/>
      <c r="AD62" s="160">
        <f t="shared" si="21"/>
        <v>580.009999999999</v>
      </c>
      <c r="AE62" s="5">
        <v>644.5</v>
      </c>
      <c r="AF62" s="162"/>
      <c r="AG62" s="227">
        <v>45496</v>
      </c>
      <c r="AH62" s="166">
        <v>74</v>
      </c>
      <c r="AI62" s="167" t="s">
        <v>365</v>
      </c>
      <c r="AJ62" s="168">
        <f t="shared" si="19"/>
        <v>517.95</v>
      </c>
      <c r="AK62" s="160"/>
      <c r="AL62" s="160">
        <f t="shared" si="16"/>
        <v>24046.86</v>
      </c>
      <c r="AM62" s="7">
        <v>575.5</v>
      </c>
    </row>
    <row r="63" spans="1:44">
      <c r="Y63" s="165">
        <v>45633</v>
      </c>
      <c r="Z63" s="158">
        <v>20</v>
      </c>
      <c r="AA63" s="167" t="s">
        <v>365</v>
      </c>
      <c r="AB63" s="159">
        <f t="shared" si="20"/>
        <v>711</v>
      </c>
      <c r="AC63" s="192"/>
      <c r="AD63" s="160">
        <f t="shared" si="21"/>
        <v>1291.01</v>
      </c>
      <c r="AE63" s="5">
        <v>790</v>
      </c>
      <c r="AF63" s="162"/>
      <c r="AG63" s="229" t="s">
        <v>463</v>
      </c>
      <c r="AH63" s="193"/>
      <c r="AI63" s="191" t="s">
        <v>447</v>
      </c>
      <c r="AJ63" s="168">
        <f t="shared" si="19"/>
        <v>0</v>
      </c>
      <c r="AK63" s="192">
        <v>20000</v>
      </c>
      <c r="AL63" s="160">
        <f t="shared" si="16"/>
        <v>4046.86</v>
      </c>
      <c r="AM63" s="7"/>
      <c r="AN63" s="420" t="s">
        <v>464</v>
      </c>
      <c r="AO63" s="421"/>
      <c r="AP63" s="396"/>
      <c r="AQ63" s="396"/>
      <c r="AR63" s="396"/>
    </row>
    <row r="64" spans="1:44">
      <c r="Y64" s="157">
        <v>45637</v>
      </c>
      <c r="Z64" s="158">
        <v>32</v>
      </c>
      <c r="AA64" s="167" t="s">
        <v>365</v>
      </c>
      <c r="AB64" s="159">
        <f t="shared" si="20"/>
        <v>703.8</v>
      </c>
      <c r="AC64" s="192"/>
      <c r="AD64" s="160">
        <f t="shared" si="21"/>
        <v>1994.81</v>
      </c>
      <c r="AE64" s="5">
        <v>782</v>
      </c>
      <c r="AF64" s="162"/>
      <c r="AG64" s="237">
        <v>45503</v>
      </c>
      <c r="AH64" s="179">
        <v>91</v>
      </c>
      <c r="AI64" s="181" t="s">
        <v>365</v>
      </c>
      <c r="AJ64" s="168">
        <f t="shared" si="19"/>
        <v>0</v>
      </c>
      <c r="AK64" s="218"/>
      <c r="AL64" s="160">
        <f t="shared" si="16"/>
        <v>4046.86</v>
      </c>
      <c r="AN64" s="266" t="s">
        <v>465</v>
      </c>
    </row>
    <row r="65" spans="25:39">
      <c r="Y65" s="157">
        <v>45644</v>
      </c>
      <c r="Z65" s="158">
        <v>57</v>
      </c>
      <c r="AA65" s="167" t="s">
        <v>365</v>
      </c>
      <c r="AB65" s="159">
        <f t="shared" si="20"/>
        <v>1431</v>
      </c>
      <c r="AC65" s="192"/>
      <c r="AD65" s="160">
        <f t="shared" si="21"/>
        <v>3425.81</v>
      </c>
      <c r="AE65" s="5">
        <v>1590</v>
      </c>
      <c r="AF65" s="162"/>
      <c r="AG65" s="227">
        <v>45707</v>
      </c>
      <c r="AH65" s="166"/>
      <c r="AI65" s="175" t="s">
        <v>466</v>
      </c>
      <c r="AJ65" s="422"/>
      <c r="AK65" s="188">
        <v>714</v>
      </c>
      <c r="AL65" s="188">
        <f t="shared" si="16"/>
        <v>3332.86</v>
      </c>
      <c r="AM65" s="7"/>
    </row>
    <row r="66" spans="25:39">
      <c r="Y66" s="165">
        <v>45648</v>
      </c>
      <c r="Z66" s="158">
        <v>70</v>
      </c>
      <c r="AA66" s="167" t="s">
        <v>365</v>
      </c>
      <c r="AB66" s="159">
        <f t="shared" si="20"/>
        <v>1737.9</v>
      </c>
      <c r="AC66" s="192"/>
      <c r="AD66" s="160">
        <f t="shared" si="21"/>
        <v>5163.71</v>
      </c>
      <c r="AE66" s="5">
        <v>1931</v>
      </c>
      <c r="AF66" s="162"/>
      <c r="AG66" s="227">
        <v>45707</v>
      </c>
      <c r="AH66" s="166"/>
      <c r="AI66" s="175" t="s">
        <v>392</v>
      </c>
      <c r="AJ66" s="422"/>
      <c r="AK66" s="188">
        <v>3332.9</v>
      </c>
      <c r="AL66" s="188">
        <f t="shared" si="16"/>
        <v>-0.0400000000031469</v>
      </c>
      <c r="AM66" s="7"/>
    </row>
    <row r="67" spans="25:39">
      <c r="Y67" s="157">
        <v>45653</v>
      </c>
      <c r="Z67" s="158">
        <v>82</v>
      </c>
      <c r="AA67" s="167" t="s">
        <v>365</v>
      </c>
      <c r="AB67" s="159">
        <f t="shared" si="20"/>
        <v>531</v>
      </c>
      <c r="AC67" s="192"/>
      <c r="AD67" s="160">
        <f t="shared" si="21"/>
        <v>5694.71</v>
      </c>
      <c r="AE67" s="423">
        <v>590</v>
      </c>
      <c r="AF67" s="162"/>
      <c r="AG67" s="214" t="s">
        <v>467</v>
      </c>
      <c r="AH67" s="166"/>
      <c r="AI67" s="168"/>
      <c r="AJ67" s="168">
        <f>AM67*90%</f>
        <v>0</v>
      </c>
      <c r="AK67" s="160"/>
      <c r="AL67" s="160"/>
      <c r="AM67" s="7"/>
    </row>
    <row r="68" spans="25:39">
      <c r="Y68" s="157">
        <v>45656</v>
      </c>
      <c r="Z68" s="158">
        <v>95</v>
      </c>
      <c r="AA68" s="167" t="s">
        <v>365</v>
      </c>
      <c r="AB68" s="159">
        <f t="shared" si="20"/>
        <v>225</v>
      </c>
      <c r="AC68" s="192"/>
      <c r="AD68" s="160">
        <f t="shared" si="21"/>
        <v>5919.71</v>
      </c>
      <c r="AE68" s="5">
        <v>250</v>
      </c>
      <c r="AF68" s="162"/>
      <c r="AG68" s="227"/>
      <c r="AH68" s="166"/>
      <c r="AI68" s="168"/>
      <c r="AJ68" s="168"/>
      <c r="AK68" s="160"/>
      <c r="AL68" s="160">
        <f>AL67+AJ68-AK68</f>
        <v>0</v>
      </c>
      <c r="AM68" s="7"/>
    </row>
    <row r="69" spans="25:39">
      <c r="Y69" s="157">
        <v>45728</v>
      </c>
      <c r="Z69" s="158"/>
      <c r="AA69" s="390" t="s">
        <v>392</v>
      </c>
      <c r="AB69" s="159"/>
      <c r="AC69" s="222">
        <v>5919.7</v>
      </c>
      <c r="AD69" s="160">
        <f t="shared" si="21"/>
        <v>0.00999999999930878</v>
      </c>
      <c r="AE69" s="5"/>
      <c r="AF69" s="162">
        <f>SUM(AE62:AE68)</f>
        <v>6577.5</v>
      </c>
      <c r="AG69" s="227">
        <v>45503</v>
      </c>
      <c r="AH69" s="166">
        <v>91</v>
      </c>
      <c r="AI69" s="168" t="s">
        <v>365</v>
      </c>
      <c r="AJ69" s="168">
        <f t="shared" ref="AJ69:AJ80" si="22">AM69*90%</f>
        <v>581.4</v>
      </c>
      <c r="AK69" s="160"/>
      <c r="AL69" s="160">
        <f>AL68+AJ69-AK69</f>
        <v>581.4</v>
      </c>
      <c r="AM69" s="7">
        <v>646</v>
      </c>
    </row>
    <row r="70" spans="25:39">
      <c r="Y70" s="165">
        <v>45659</v>
      </c>
      <c r="Z70" s="158">
        <v>2</v>
      </c>
      <c r="AA70" s="167" t="s">
        <v>365</v>
      </c>
      <c r="AB70" s="159">
        <f t="shared" si="20"/>
        <v>2663.1</v>
      </c>
      <c r="AC70" s="192"/>
      <c r="AD70" s="160">
        <f t="shared" si="21"/>
        <v>2663.11</v>
      </c>
      <c r="AE70" s="5">
        <v>2959</v>
      </c>
      <c r="AF70" s="162"/>
      <c r="AG70" s="227">
        <v>45506</v>
      </c>
      <c r="AH70" s="166">
        <v>2</v>
      </c>
      <c r="AI70" s="168" t="s">
        <v>365</v>
      </c>
      <c r="AJ70" s="168">
        <f t="shared" si="22"/>
        <v>61.2</v>
      </c>
      <c r="AK70" s="160"/>
      <c r="AL70" s="160">
        <f>AL69+AJ70-AK70</f>
        <v>642.6</v>
      </c>
      <c r="AM70" s="7">
        <v>68</v>
      </c>
    </row>
    <row r="71" spans="25:39">
      <c r="Y71" s="165">
        <v>45660</v>
      </c>
      <c r="Z71" s="158">
        <v>5</v>
      </c>
      <c r="AA71" s="167" t="s">
        <v>365</v>
      </c>
      <c r="AB71" s="159">
        <f t="shared" si="20"/>
        <v>562.5</v>
      </c>
      <c r="AC71" s="192"/>
      <c r="AD71" s="160">
        <f t="shared" si="21"/>
        <v>3225.61</v>
      </c>
      <c r="AE71" s="5">
        <v>625</v>
      </c>
      <c r="AF71" s="162"/>
      <c r="AG71" s="227">
        <v>45507</v>
      </c>
      <c r="AH71" s="166">
        <v>3</v>
      </c>
      <c r="AI71" s="168" t="s">
        <v>365</v>
      </c>
      <c r="AJ71" s="168">
        <f t="shared" si="22"/>
        <v>894.6</v>
      </c>
      <c r="AK71" s="160"/>
      <c r="AL71" s="160">
        <f t="shared" ref="AL71:AL88" si="23">AL70+AJ71-AK71</f>
        <v>1537.2</v>
      </c>
      <c r="AM71" s="7">
        <v>994</v>
      </c>
    </row>
    <row r="72" spans="25:39">
      <c r="Y72" s="165">
        <v>45661</v>
      </c>
      <c r="Z72" s="158">
        <v>12</v>
      </c>
      <c r="AA72" s="167" t="s">
        <v>365</v>
      </c>
      <c r="AB72" s="159">
        <f t="shared" si="20"/>
        <v>1340.1</v>
      </c>
      <c r="AC72" s="192"/>
      <c r="AD72" s="160">
        <f t="shared" si="21"/>
        <v>4565.71</v>
      </c>
      <c r="AE72" s="5">
        <v>1489</v>
      </c>
      <c r="AF72" s="162"/>
      <c r="AG72" s="227">
        <v>45507</v>
      </c>
      <c r="AH72" s="166">
        <v>5</v>
      </c>
      <c r="AI72" s="168" t="s">
        <v>365</v>
      </c>
      <c r="AJ72" s="168">
        <f t="shared" si="22"/>
        <v>61.2</v>
      </c>
      <c r="AK72" s="160"/>
      <c r="AL72" s="160">
        <f t="shared" si="23"/>
        <v>1598.4</v>
      </c>
      <c r="AM72" s="7">
        <v>68</v>
      </c>
    </row>
    <row r="73" spans="25:39">
      <c r="Y73" s="165">
        <v>45661</v>
      </c>
      <c r="Z73" s="158">
        <v>17</v>
      </c>
      <c r="AA73" s="167" t="s">
        <v>365</v>
      </c>
      <c r="AB73" s="159">
        <f t="shared" si="20"/>
        <v>414</v>
      </c>
      <c r="AC73" s="192"/>
      <c r="AD73" s="160">
        <f t="shared" si="21"/>
        <v>4979.71</v>
      </c>
      <c r="AE73" s="5">
        <v>460</v>
      </c>
      <c r="AG73" s="227">
        <v>45511</v>
      </c>
      <c r="AH73" s="166">
        <v>9</v>
      </c>
      <c r="AI73" s="168" t="s">
        <v>365</v>
      </c>
      <c r="AJ73" s="168">
        <f t="shared" si="22"/>
        <v>558</v>
      </c>
      <c r="AK73" s="160"/>
      <c r="AL73" s="160">
        <f t="shared" si="23"/>
        <v>2156.4</v>
      </c>
      <c r="AM73" s="7">
        <v>620</v>
      </c>
    </row>
    <row r="74" spans="25:39">
      <c r="Y74" s="165">
        <v>45668</v>
      </c>
      <c r="Z74" s="158">
        <v>36</v>
      </c>
      <c r="AA74" s="167" t="s">
        <v>365</v>
      </c>
      <c r="AB74" s="159">
        <f t="shared" si="20"/>
        <v>2497.5</v>
      </c>
      <c r="AC74" s="192"/>
      <c r="AD74" s="160">
        <f t="shared" si="21"/>
        <v>7477.21</v>
      </c>
      <c r="AE74" s="5">
        <v>2775</v>
      </c>
      <c r="AG74" s="227">
        <v>45511</v>
      </c>
      <c r="AH74" s="166">
        <v>18</v>
      </c>
      <c r="AI74" s="168" t="s">
        <v>365</v>
      </c>
      <c r="AJ74" s="168">
        <f t="shared" si="22"/>
        <v>76.5</v>
      </c>
      <c r="AK74" s="160"/>
      <c r="AL74" s="160">
        <f t="shared" si="23"/>
        <v>2232.9</v>
      </c>
      <c r="AM74" s="7">
        <v>85</v>
      </c>
    </row>
    <row r="75" spans="25:39">
      <c r="Y75" s="165">
        <v>45671</v>
      </c>
      <c r="Z75" s="158">
        <v>48</v>
      </c>
      <c r="AA75" s="167" t="s">
        <v>365</v>
      </c>
      <c r="AB75" s="159">
        <f t="shared" si="20"/>
        <v>1346.4</v>
      </c>
      <c r="AC75" s="192"/>
      <c r="AD75" s="160">
        <f t="shared" si="21"/>
        <v>8823.61</v>
      </c>
      <c r="AE75" s="5">
        <v>1496</v>
      </c>
      <c r="AF75">
        <f>SUM(AE70:AE75)</f>
        <v>9804</v>
      </c>
      <c r="AG75" s="227">
        <v>45514</v>
      </c>
      <c r="AH75" s="166">
        <v>29</v>
      </c>
      <c r="AI75" s="168" t="s">
        <v>365</v>
      </c>
      <c r="AJ75" s="168">
        <f t="shared" si="22"/>
        <v>496.35</v>
      </c>
      <c r="AK75" s="160"/>
      <c r="AL75" s="160">
        <f t="shared" si="23"/>
        <v>2729.25</v>
      </c>
      <c r="AM75" s="7">
        <v>551.5</v>
      </c>
    </row>
    <row r="76" spans="25:39">
      <c r="Y76" s="165">
        <v>45673</v>
      </c>
      <c r="Z76" s="158">
        <v>57</v>
      </c>
      <c r="AA76" s="167" t="s">
        <v>365</v>
      </c>
      <c r="AB76" s="159">
        <f t="shared" si="20"/>
        <v>90</v>
      </c>
      <c r="AC76" s="192"/>
      <c r="AD76" s="160">
        <f t="shared" si="21"/>
        <v>8913.61</v>
      </c>
      <c r="AE76" s="5">
        <v>100</v>
      </c>
      <c r="AG76" s="227">
        <v>45517</v>
      </c>
      <c r="AH76" s="166">
        <v>34</v>
      </c>
      <c r="AI76" s="168" t="s">
        <v>365</v>
      </c>
      <c r="AJ76" s="168">
        <f t="shared" si="22"/>
        <v>1050.3</v>
      </c>
      <c r="AK76" s="160"/>
      <c r="AL76" s="160">
        <f t="shared" si="23"/>
        <v>3779.55</v>
      </c>
      <c r="AM76" s="7">
        <v>1167</v>
      </c>
    </row>
    <row r="77" spans="25:39">
      <c r="Y77" s="389">
        <v>45728</v>
      </c>
      <c r="Z77" s="158"/>
      <c r="AA77" s="390" t="s">
        <v>392</v>
      </c>
      <c r="AB77" s="159"/>
      <c r="AC77" s="222">
        <v>4000</v>
      </c>
      <c r="AD77" s="160">
        <f t="shared" si="21"/>
        <v>4913.61</v>
      </c>
      <c r="AE77" s="5"/>
      <c r="AF77">
        <f>SUM(AE62:AE76)</f>
        <v>16481.5</v>
      </c>
      <c r="AG77" s="227">
        <v>45518</v>
      </c>
      <c r="AH77" s="166">
        <v>47</v>
      </c>
      <c r="AI77" s="168" t="s">
        <v>365</v>
      </c>
      <c r="AJ77" s="168">
        <f t="shared" si="22"/>
        <v>193.5</v>
      </c>
      <c r="AK77" s="160"/>
      <c r="AL77" s="160">
        <f t="shared" si="23"/>
        <v>3973.05</v>
      </c>
      <c r="AM77" s="7">
        <v>215</v>
      </c>
    </row>
    <row r="78" spans="25:39">
      <c r="AG78" s="227">
        <v>45523</v>
      </c>
      <c r="AH78" s="166">
        <v>66</v>
      </c>
      <c r="AI78" s="168" t="s">
        <v>365</v>
      </c>
      <c r="AJ78" s="168">
        <f t="shared" si="22"/>
        <v>1356.3</v>
      </c>
      <c r="AK78" s="160"/>
      <c r="AL78" s="160">
        <f t="shared" si="23"/>
        <v>5329.35</v>
      </c>
      <c r="AM78" s="7">
        <v>1507</v>
      </c>
    </row>
    <row r="79" spans="25:39">
      <c r="AG79" s="227">
        <v>45527</v>
      </c>
      <c r="AH79" s="166">
        <v>80</v>
      </c>
      <c r="AI79" s="168" t="s">
        <v>365</v>
      </c>
      <c r="AJ79" s="168">
        <f t="shared" si="22"/>
        <v>421.2</v>
      </c>
      <c r="AK79" s="160"/>
      <c r="AL79" s="160">
        <f t="shared" si="23"/>
        <v>5750.55</v>
      </c>
      <c r="AM79" s="7">
        <v>468</v>
      </c>
    </row>
    <row r="80" spans="25:39">
      <c r="AG80" s="229">
        <v>45558</v>
      </c>
      <c r="AH80" s="193"/>
      <c r="AI80" s="191" t="s">
        <v>375</v>
      </c>
      <c r="AJ80" s="191"/>
      <c r="AK80" s="192">
        <v>5750.55</v>
      </c>
      <c r="AL80" s="160">
        <f t="shared" si="23"/>
        <v>0</v>
      </c>
      <c r="AM80" s="7"/>
    </row>
    <row r="81" spans="33:40">
      <c r="AG81" s="227"/>
      <c r="AH81" s="166"/>
      <c r="AI81" s="168"/>
      <c r="AJ81" s="168"/>
      <c r="AK81" s="160"/>
      <c r="AL81" s="160">
        <f t="shared" si="23"/>
        <v>0</v>
      </c>
      <c r="AM81" s="7"/>
    </row>
    <row r="82" spans="33:40">
      <c r="AG82" s="227"/>
      <c r="AH82" s="166"/>
      <c r="AI82" s="168"/>
      <c r="AJ82" s="168"/>
      <c r="AK82" s="160"/>
      <c r="AL82" s="160">
        <f t="shared" si="23"/>
        <v>0</v>
      </c>
      <c r="AM82" s="7"/>
    </row>
    <row r="83" spans="33:40">
      <c r="AG83" s="227"/>
      <c r="AH83" s="166"/>
      <c r="AI83" s="191"/>
      <c r="AJ83" s="168"/>
      <c r="AK83" s="160"/>
      <c r="AL83" s="160">
        <f t="shared" si="23"/>
        <v>0</v>
      </c>
      <c r="AM83" s="7"/>
    </row>
    <row r="84" spans="33:40">
      <c r="AG84" s="227"/>
      <c r="AH84" s="166"/>
      <c r="AI84" s="168"/>
      <c r="AJ84" s="168"/>
      <c r="AK84" s="160"/>
      <c r="AL84" s="160">
        <f t="shared" si="23"/>
        <v>0</v>
      </c>
      <c r="AM84" s="7"/>
    </row>
    <row r="85" spans="33:40">
      <c r="AG85" s="227"/>
      <c r="AH85" s="166"/>
      <c r="AI85" s="168"/>
      <c r="AJ85" s="168"/>
      <c r="AK85" s="160"/>
      <c r="AL85" s="160">
        <f t="shared" si="23"/>
        <v>0</v>
      </c>
      <c r="AM85" s="7"/>
    </row>
    <row r="86" spans="33:40">
      <c r="AG86" s="227"/>
      <c r="AH86" s="166"/>
      <c r="AI86" s="168"/>
      <c r="AJ86" s="168"/>
      <c r="AK86" s="160"/>
      <c r="AL86" s="160">
        <f t="shared" si="23"/>
        <v>0</v>
      </c>
      <c r="AM86" s="7"/>
    </row>
    <row r="87" spans="33:40">
      <c r="AG87" s="227"/>
      <c r="AH87" s="166"/>
      <c r="AI87" s="168"/>
      <c r="AJ87" s="168"/>
      <c r="AK87" s="160"/>
      <c r="AL87" s="160">
        <f t="shared" si="23"/>
        <v>0</v>
      </c>
      <c r="AM87" s="7"/>
    </row>
    <row r="88" spans="33:40">
      <c r="AG88" s="227"/>
      <c r="AH88" s="166"/>
      <c r="AI88" s="168"/>
      <c r="AJ88" s="168"/>
      <c r="AK88" s="160"/>
      <c r="AL88" s="160">
        <f t="shared" si="23"/>
        <v>0</v>
      </c>
      <c r="AM88" s="7"/>
    </row>
    <row r="89" ht="18.75" spans="33:40">
      <c r="AG89" s="424" t="s">
        <v>468</v>
      </c>
      <c r="AH89" s="166"/>
      <c r="AI89" s="168"/>
      <c r="AJ89" s="168">
        <f>AM89*90%</f>
        <v>0</v>
      </c>
      <c r="AK89" s="160"/>
      <c r="AL89" s="160">
        <v>0</v>
      </c>
      <c r="AM89" s="7"/>
    </row>
    <row r="90" spans="33:40">
      <c r="AG90" s="227">
        <v>45500</v>
      </c>
      <c r="AH90" s="166">
        <v>85</v>
      </c>
      <c r="AI90" s="168" t="s">
        <v>365</v>
      </c>
      <c r="AJ90" s="168">
        <f>AM90*90%</f>
        <v>550.8</v>
      </c>
      <c r="AK90" s="160"/>
      <c r="AL90" s="160">
        <f>AL89+AJ90-AK90</f>
        <v>550.8</v>
      </c>
      <c r="AM90" s="7">
        <v>612</v>
      </c>
    </row>
    <row r="91" spans="33:40">
      <c r="AG91" s="227">
        <v>45503</v>
      </c>
      <c r="AH91" s="166">
        <v>94</v>
      </c>
      <c r="AI91" s="168" t="s">
        <v>365</v>
      </c>
      <c r="AJ91" s="168">
        <f t="shared" ref="AJ91:AJ108" si="24">AM91*90%</f>
        <v>535.5</v>
      </c>
      <c r="AK91" s="160"/>
      <c r="AL91" s="160">
        <f>AL90+AJ91-AK91</f>
        <v>1086.3</v>
      </c>
      <c r="AM91" s="7">
        <v>595</v>
      </c>
    </row>
    <row r="92" spans="33:40">
      <c r="AG92" s="227">
        <v>45504</v>
      </c>
      <c r="AH92" s="166">
        <v>96</v>
      </c>
      <c r="AI92" s="168" t="s">
        <v>365</v>
      </c>
      <c r="AJ92" s="168">
        <f t="shared" si="24"/>
        <v>2089.35</v>
      </c>
      <c r="AK92" s="160"/>
      <c r="AL92" s="160">
        <f t="shared" ref="AL92:AL113" si="25">AL91+AJ92-AK92</f>
        <v>3175.65</v>
      </c>
      <c r="AM92" s="7">
        <v>2321.5</v>
      </c>
      <c r="AN92">
        <f>SUM(AM90:AM99)</f>
        <v>17163</v>
      </c>
    </row>
    <row r="93" spans="33:40">
      <c r="AG93" s="227">
        <v>45509</v>
      </c>
      <c r="AH93" s="166">
        <v>6</v>
      </c>
      <c r="AI93" s="168" t="s">
        <v>365</v>
      </c>
      <c r="AJ93" s="168">
        <f t="shared" si="24"/>
        <v>1101.6</v>
      </c>
      <c r="AK93" s="160"/>
      <c r="AL93" s="160">
        <f t="shared" si="25"/>
        <v>4277.25</v>
      </c>
      <c r="AM93" s="7">
        <v>1224</v>
      </c>
    </row>
    <row r="94" spans="33:40">
      <c r="AG94" s="227">
        <v>45511</v>
      </c>
      <c r="AH94" s="166">
        <v>17</v>
      </c>
      <c r="AI94" s="168" t="s">
        <v>365</v>
      </c>
      <c r="AJ94" s="168">
        <f t="shared" si="24"/>
        <v>137.7</v>
      </c>
      <c r="AK94" s="160"/>
      <c r="AL94" s="160">
        <f t="shared" si="25"/>
        <v>4414.95</v>
      </c>
      <c r="AM94" s="7">
        <v>153</v>
      </c>
    </row>
    <row r="95" spans="33:40">
      <c r="AG95" s="227">
        <v>45514</v>
      </c>
      <c r="AH95" s="166">
        <v>27</v>
      </c>
      <c r="AI95" s="168" t="s">
        <v>365</v>
      </c>
      <c r="AJ95" s="168">
        <f t="shared" si="24"/>
        <v>2289.15</v>
      </c>
      <c r="AK95" s="160"/>
      <c r="AL95" s="160">
        <f t="shared" si="25"/>
        <v>6704.1</v>
      </c>
      <c r="AM95" s="7">
        <v>2543.5</v>
      </c>
    </row>
    <row r="96" spans="33:40">
      <c r="AG96" s="227">
        <v>45520</v>
      </c>
      <c r="AH96" s="166">
        <v>56</v>
      </c>
      <c r="AI96" s="168" t="s">
        <v>365</v>
      </c>
      <c r="AJ96" s="168">
        <f t="shared" si="24"/>
        <v>2333.7</v>
      </c>
      <c r="AK96" s="160"/>
      <c r="AL96" s="160">
        <f t="shared" si="25"/>
        <v>9037.8</v>
      </c>
      <c r="AM96" s="7">
        <v>2593</v>
      </c>
    </row>
    <row r="97" spans="33:41">
      <c r="AG97" s="227">
        <v>45521</v>
      </c>
      <c r="AH97" s="166">
        <v>62</v>
      </c>
      <c r="AI97" s="168" t="s">
        <v>365</v>
      </c>
      <c r="AJ97" s="168">
        <f t="shared" si="24"/>
        <v>229.5</v>
      </c>
      <c r="AK97" s="160"/>
      <c r="AL97" s="160">
        <f t="shared" si="25"/>
        <v>9267.3</v>
      </c>
      <c r="AM97" s="7">
        <v>255</v>
      </c>
    </row>
    <row r="98" spans="33:41">
      <c r="AG98" s="227">
        <v>45523</v>
      </c>
      <c r="AH98" s="166">
        <v>64</v>
      </c>
      <c r="AI98" s="168" t="s">
        <v>365</v>
      </c>
      <c r="AJ98" s="168">
        <f t="shared" si="24"/>
        <v>3109.5</v>
      </c>
      <c r="AK98" s="160"/>
      <c r="AL98" s="160">
        <f t="shared" si="25"/>
        <v>12376.8</v>
      </c>
      <c r="AM98" s="7">
        <v>3455</v>
      </c>
    </row>
    <row r="99" spans="33:41">
      <c r="AG99" s="227">
        <v>45524</v>
      </c>
      <c r="AH99" s="166">
        <v>67</v>
      </c>
      <c r="AI99" s="168" t="s">
        <v>365</v>
      </c>
      <c r="AJ99" s="168">
        <f t="shared" si="24"/>
        <v>3069.9</v>
      </c>
      <c r="AK99" s="160"/>
      <c r="AL99" s="160">
        <f t="shared" si="25"/>
        <v>15446.7</v>
      </c>
      <c r="AM99" s="7">
        <v>3411</v>
      </c>
    </row>
    <row r="100" spans="33:41">
      <c r="AG100" s="229">
        <v>45571</v>
      </c>
      <c r="AH100" s="193"/>
      <c r="AI100" s="425" t="s">
        <v>469</v>
      </c>
      <c r="AJ100" s="191"/>
      <c r="AK100" s="192">
        <v>10000</v>
      </c>
      <c r="AL100" s="192">
        <f t="shared" si="25"/>
        <v>5446.7</v>
      </c>
      <c r="AM100" s="7"/>
    </row>
    <row r="101" spans="33:41">
      <c r="AG101" s="229">
        <v>45581</v>
      </c>
      <c r="AH101" s="193"/>
      <c r="AI101" s="191" t="s">
        <v>470</v>
      </c>
      <c r="AJ101" s="191"/>
      <c r="AK101" s="192">
        <v>5446.7</v>
      </c>
      <c r="AL101" s="192">
        <f t="shared" si="25"/>
        <v>0</v>
      </c>
      <c r="AM101" s="7"/>
    </row>
    <row r="102" spans="33:41">
      <c r="AG102" s="227">
        <v>45536</v>
      </c>
      <c r="AH102" s="166">
        <v>1</v>
      </c>
      <c r="AI102" s="168" t="s">
        <v>365</v>
      </c>
      <c r="AJ102" s="168">
        <f t="shared" ref="AJ102:AJ108" si="26">AM102*90%</f>
        <v>135.45</v>
      </c>
      <c r="AK102" s="160"/>
      <c r="AL102" s="160">
        <f t="shared" si="25"/>
        <v>135.45</v>
      </c>
      <c r="AM102" s="7">
        <v>150.5</v>
      </c>
      <c r="AO102">
        <f>SUM(AM102:AM108)</f>
        <v>5385</v>
      </c>
    </row>
    <row r="103" spans="33:41">
      <c r="AG103" s="227">
        <v>45537</v>
      </c>
      <c r="AH103" s="166">
        <v>2</v>
      </c>
      <c r="AI103" s="168" t="s">
        <v>365</v>
      </c>
      <c r="AJ103" s="168">
        <f t="shared" si="26"/>
        <v>483.75</v>
      </c>
      <c r="AK103" s="160"/>
      <c r="AL103" s="160">
        <f t="shared" si="25"/>
        <v>619.2</v>
      </c>
      <c r="AM103" s="7">
        <v>537.5</v>
      </c>
    </row>
    <row r="104" spans="33:41">
      <c r="AG104" s="227">
        <v>45542</v>
      </c>
      <c r="AH104" s="166">
        <v>24</v>
      </c>
      <c r="AI104" s="168" t="s">
        <v>365</v>
      </c>
      <c r="AJ104" s="168">
        <f t="shared" si="26"/>
        <v>1229.4</v>
      </c>
      <c r="AK104" s="160"/>
      <c r="AL104" s="160">
        <f t="shared" si="25"/>
        <v>1848.6</v>
      </c>
      <c r="AM104" s="7">
        <v>1366</v>
      </c>
    </row>
    <row r="105" spans="33:41">
      <c r="AG105" s="227">
        <v>45550</v>
      </c>
      <c r="AH105" s="166">
        <v>53</v>
      </c>
      <c r="AI105" s="168" t="s">
        <v>365</v>
      </c>
      <c r="AJ105" s="168">
        <f t="shared" si="26"/>
        <v>45</v>
      </c>
      <c r="AK105" s="160"/>
      <c r="AL105" s="160">
        <f t="shared" si="25"/>
        <v>1893.6</v>
      </c>
      <c r="AM105" s="7">
        <v>50</v>
      </c>
    </row>
    <row r="106" spans="33:41">
      <c r="AG106" s="227">
        <v>45553</v>
      </c>
      <c r="AH106" s="166">
        <v>55</v>
      </c>
      <c r="AI106" s="168" t="s">
        <v>365</v>
      </c>
      <c r="AJ106" s="168">
        <f t="shared" si="26"/>
        <v>673.2</v>
      </c>
      <c r="AK106" s="160"/>
      <c r="AL106" s="160">
        <f t="shared" si="25"/>
        <v>2566.8</v>
      </c>
      <c r="AM106" s="7">
        <v>748</v>
      </c>
    </row>
    <row r="107" spans="33:41">
      <c r="AG107" s="227">
        <v>45559</v>
      </c>
      <c r="AH107" s="166">
        <v>79</v>
      </c>
      <c r="AI107" s="168" t="s">
        <v>365</v>
      </c>
      <c r="AJ107" s="168">
        <f t="shared" si="26"/>
        <v>1132.2</v>
      </c>
      <c r="AK107" s="160"/>
      <c r="AL107" s="160">
        <f t="shared" si="25"/>
        <v>3699</v>
      </c>
      <c r="AM107" s="7">
        <v>1258</v>
      </c>
    </row>
    <row r="108" spans="33:41">
      <c r="AG108" s="227">
        <v>45563</v>
      </c>
      <c r="AH108" s="166">
        <v>96</v>
      </c>
      <c r="AI108" s="168" t="s">
        <v>365</v>
      </c>
      <c r="AJ108" s="168">
        <f t="shared" si="26"/>
        <v>1147.5</v>
      </c>
      <c r="AK108" s="160"/>
      <c r="AL108" s="160">
        <f t="shared" si="25"/>
        <v>4846.5</v>
      </c>
      <c r="AM108" s="7">
        <v>1275</v>
      </c>
      <c r="AN108" s="198" t="s">
        <v>471</v>
      </c>
    </row>
    <row r="109" spans="33:41">
      <c r="AG109" s="229"/>
      <c r="AH109" s="193"/>
      <c r="AI109" s="191" t="s">
        <v>382</v>
      </c>
      <c r="AJ109" s="191"/>
      <c r="AK109" s="192">
        <v>4846.5</v>
      </c>
      <c r="AL109" s="160">
        <f t="shared" si="25"/>
        <v>0</v>
      </c>
      <c r="AM109" s="7"/>
    </row>
    <row r="110" spans="33:41">
      <c r="AG110" s="227">
        <v>45572</v>
      </c>
      <c r="AH110" s="166">
        <v>9</v>
      </c>
      <c r="AI110" s="168" t="s">
        <v>365</v>
      </c>
      <c r="AJ110" s="168">
        <f>AM110*90%</f>
        <v>3992.4</v>
      </c>
      <c r="AK110" s="160"/>
      <c r="AL110" s="160">
        <f t="shared" si="25"/>
        <v>3992.4</v>
      </c>
      <c r="AM110" s="7">
        <v>4436</v>
      </c>
    </row>
    <row r="111" spans="33:41">
      <c r="AG111" s="227">
        <v>45575</v>
      </c>
      <c r="AH111" s="166">
        <v>20</v>
      </c>
      <c r="AI111" s="168" t="s">
        <v>365</v>
      </c>
      <c r="AJ111" s="168">
        <f t="shared" ref="AJ111:AJ129" si="27">AM111*90%</f>
        <v>205.2</v>
      </c>
      <c r="AK111" s="160"/>
      <c r="AL111" s="160">
        <f t="shared" si="25"/>
        <v>4197.6</v>
      </c>
      <c r="AM111" s="7">
        <v>228</v>
      </c>
    </row>
    <row r="112" spans="33:41">
      <c r="AG112" s="227">
        <v>45586</v>
      </c>
      <c r="AH112" s="166">
        <v>60</v>
      </c>
      <c r="AI112" s="168" t="s">
        <v>365</v>
      </c>
      <c r="AJ112" s="168">
        <f t="shared" si="27"/>
        <v>180</v>
      </c>
      <c r="AK112" s="160"/>
      <c r="AL112" s="160">
        <f t="shared" si="25"/>
        <v>4377.6</v>
      </c>
      <c r="AM112" s="7">
        <v>200</v>
      </c>
    </row>
    <row r="113" spans="31:42">
      <c r="AG113" s="227">
        <v>45587</v>
      </c>
      <c r="AH113" s="166">
        <v>62</v>
      </c>
      <c r="AI113" s="168" t="s">
        <v>365</v>
      </c>
      <c r="AJ113" s="168">
        <f t="shared" si="27"/>
        <v>380.25</v>
      </c>
      <c r="AK113" s="160"/>
      <c r="AL113" s="160">
        <f t="shared" si="25"/>
        <v>4757.85</v>
      </c>
      <c r="AM113" s="7">
        <v>422.5</v>
      </c>
      <c r="AP113">
        <f>SUM(AM110:AM113)</f>
        <v>5286.5</v>
      </c>
    </row>
    <row r="114" spans="31:42">
      <c r="AE114" s="347"/>
      <c r="AG114" s="227"/>
      <c r="AH114" s="166"/>
      <c r="AI114" s="168"/>
      <c r="AJ114" s="168">
        <f t="shared" si="27"/>
        <v>0</v>
      </c>
      <c r="AK114" s="160"/>
      <c r="AL114" s="160">
        <f t="shared" ref="AL114:AL130" si="28">AL113+AJ114-AK114</f>
        <v>4757.85</v>
      </c>
      <c r="AM114" s="7"/>
    </row>
    <row r="115" spans="31:42">
      <c r="AG115" s="227">
        <v>45603</v>
      </c>
      <c r="AH115" s="166">
        <v>13</v>
      </c>
      <c r="AI115" s="168" t="s">
        <v>365</v>
      </c>
      <c r="AJ115" s="168">
        <f t="shared" si="27"/>
        <v>766.8</v>
      </c>
      <c r="AK115" s="160"/>
      <c r="AL115" s="160">
        <f t="shared" si="28"/>
        <v>5524.65</v>
      </c>
      <c r="AM115" s="7">
        <v>852</v>
      </c>
    </row>
    <row r="116" spans="31:42">
      <c r="AG116" s="227">
        <v>45604</v>
      </c>
      <c r="AH116" s="166">
        <v>17</v>
      </c>
      <c r="AI116" s="168" t="s">
        <v>365</v>
      </c>
      <c r="AJ116" s="168">
        <f t="shared" si="27"/>
        <v>61.2</v>
      </c>
      <c r="AK116" s="160"/>
      <c r="AL116" s="160">
        <f t="shared" si="28"/>
        <v>5585.85</v>
      </c>
      <c r="AM116" s="7">
        <v>68</v>
      </c>
    </row>
    <row r="117" spans="31:42">
      <c r="AG117" s="227">
        <v>45606</v>
      </c>
      <c r="AH117" s="168" t="s">
        <v>133</v>
      </c>
      <c r="AI117" s="168" t="s">
        <v>365</v>
      </c>
      <c r="AJ117" s="168">
        <f t="shared" si="27"/>
        <v>711</v>
      </c>
      <c r="AK117" s="160"/>
      <c r="AL117" s="160">
        <f t="shared" si="28"/>
        <v>6296.85</v>
      </c>
      <c r="AM117" s="7">
        <v>790</v>
      </c>
    </row>
    <row r="118" spans="31:42">
      <c r="AG118" s="227">
        <v>45608</v>
      </c>
      <c r="AH118" s="168" t="s">
        <v>472</v>
      </c>
      <c r="AI118" s="168" t="s">
        <v>365</v>
      </c>
      <c r="AJ118" s="168">
        <f t="shared" si="27"/>
        <v>137.7</v>
      </c>
      <c r="AK118" s="160"/>
      <c r="AL118" s="160">
        <f t="shared" si="28"/>
        <v>6434.55</v>
      </c>
      <c r="AM118" s="7">
        <v>153</v>
      </c>
    </row>
    <row r="119" spans="31:42">
      <c r="AG119" s="227">
        <v>45614</v>
      </c>
      <c r="AH119" s="168" t="s">
        <v>473</v>
      </c>
      <c r="AI119" s="168" t="s">
        <v>365</v>
      </c>
      <c r="AJ119" s="168">
        <f t="shared" si="27"/>
        <v>202.5</v>
      </c>
      <c r="AK119" s="228"/>
      <c r="AL119" s="160">
        <f t="shared" si="28"/>
        <v>6637.05</v>
      </c>
      <c r="AM119" s="7">
        <v>225</v>
      </c>
    </row>
    <row r="120" spans="31:42">
      <c r="AG120" s="227">
        <v>45616</v>
      </c>
      <c r="AH120" s="243" t="s">
        <v>193</v>
      </c>
      <c r="AI120" s="168" t="s">
        <v>365</v>
      </c>
      <c r="AJ120" s="168">
        <f t="shared" si="27"/>
        <v>711</v>
      </c>
      <c r="AK120" s="160"/>
      <c r="AL120" s="160">
        <f t="shared" si="28"/>
        <v>7348.05</v>
      </c>
      <c r="AM120" s="7">
        <v>790</v>
      </c>
    </row>
    <row r="121" spans="31:42">
      <c r="AG121" s="227">
        <v>45618</v>
      </c>
      <c r="AH121" s="168" t="s">
        <v>474</v>
      </c>
      <c r="AI121" s="168" t="s">
        <v>365</v>
      </c>
      <c r="AJ121" s="168">
        <f t="shared" si="27"/>
        <v>963.9</v>
      </c>
      <c r="AK121" s="160"/>
      <c r="AL121" s="160">
        <f t="shared" si="28"/>
        <v>8311.95</v>
      </c>
      <c r="AM121" s="7">
        <v>1071</v>
      </c>
      <c r="AP121">
        <f>SUM(AM115:AM122)</f>
        <v>4969</v>
      </c>
    </row>
    <row r="122" spans="31:42">
      <c r="AG122" s="227">
        <v>45619</v>
      </c>
      <c r="AH122" s="168" t="s">
        <v>475</v>
      </c>
      <c r="AI122" s="168" t="s">
        <v>365</v>
      </c>
      <c r="AJ122" s="168">
        <f t="shared" si="27"/>
        <v>918</v>
      </c>
      <c r="AK122" s="160"/>
      <c r="AL122" s="160">
        <f t="shared" si="28"/>
        <v>9229.95</v>
      </c>
      <c r="AM122" s="7">
        <v>1020</v>
      </c>
    </row>
    <row r="123" spans="31:42">
      <c r="AG123" s="227"/>
      <c r="AH123" s="168"/>
      <c r="AI123" s="168"/>
      <c r="AJ123" s="168">
        <f t="shared" si="27"/>
        <v>0</v>
      </c>
      <c r="AK123" s="160"/>
      <c r="AL123" s="160">
        <f t="shared" si="28"/>
        <v>9229.95</v>
      </c>
      <c r="AM123" s="7"/>
    </row>
    <row r="124" spans="31:42">
      <c r="AG124" s="227">
        <v>45631</v>
      </c>
      <c r="AH124" s="168" t="s">
        <v>11</v>
      </c>
      <c r="AI124" s="168" t="s">
        <v>365</v>
      </c>
      <c r="AJ124" s="168">
        <f t="shared" si="27"/>
        <v>4131.9</v>
      </c>
      <c r="AK124" s="160"/>
      <c r="AL124" s="160">
        <f t="shared" si="28"/>
        <v>13361.85</v>
      </c>
      <c r="AM124" s="7">
        <v>4591</v>
      </c>
    </row>
    <row r="125" spans="31:42">
      <c r="AG125" s="227">
        <v>45639</v>
      </c>
      <c r="AH125" s="243" t="s">
        <v>407</v>
      </c>
      <c r="AI125" s="168" t="s">
        <v>365</v>
      </c>
      <c r="AJ125" s="168">
        <f t="shared" si="27"/>
        <v>1548</v>
      </c>
      <c r="AK125" s="160"/>
      <c r="AL125" s="160">
        <f t="shared" si="28"/>
        <v>14909.85</v>
      </c>
      <c r="AM125" s="7">
        <v>1720</v>
      </c>
    </row>
    <row r="126" spans="31:42">
      <c r="AG126" s="227">
        <v>45644</v>
      </c>
      <c r="AH126" s="243" t="s">
        <v>476</v>
      </c>
      <c r="AI126" s="168" t="s">
        <v>365</v>
      </c>
      <c r="AJ126" s="168">
        <f t="shared" si="27"/>
        <v>61.2</v>
      </c>
      <c r="AK126" s="160"/>
      <c r="AL126" s="160">
        <f t="shared" si="28"/>
        <v>14971.05</v>
      </c>
      <c r="AM126" s="7">
        <v>68</v>
      </c>
    </row>
    <row r="127" spans="31:42">
      <c r="AG127" s="426">
        <v>45868</v>
      </c>
      <c r="AH127" s="427" t="s">
        <v>477</v>
      </c>
      <c r="AI127" s="175" t="s">
        <v>478</v>
      </c>
      <c r="AJ127" s="168">
        <f t="shared" si="27"/>
        <v>76.5</v>
      </c>
      <c r="AK127" s="188"/>
      <c r="AL127" s="160">
        <f t="shared" si="28"/>
        <v>15047.55</v>
      </c>
      <c r="AM127" s="19">
        <v>85</v>
      </c>
      <c r="AO127">
        <f>SUM(AM124:AM129)</f>
        <v>5124</v>
      </c>
      <c r="AP127" t="s">
        <v>479</v>
      </c>
    </row>
    <row r="128" spans="31:42">
      <c r="AG128" s="237">
        <v>45657</v>
      </c>
      <c r="AH128" s="181"/>
      <c r="AI128" s="181" t="s">
        <v>480</v>
      </c>
      <c r="AJ128" s="168">
        <f t="shared" si="27"/>
        <v>-1071</v>
      </c>
      <c r="AK128" s="218"/>
      <c r="AL128" s="160">
        <f t="shared" si="28"/>
        <v>13976.55</v>
      </c>
      <c r="AM128" s="241">
        <v>-1190</v>
      </c>
    </row>
    <row r="129" spans="33:39">
      <c r="AG129" s="237">
        <v>45657</v>
      </c>
      <c r="AH129" s="168"/>
      <c r="AI129" s="181" t="s">
        <v>481</v>
      </c>
      <c r="AJ129" s="168">
        <f t="shared" si="27"/>
        <v>-135</v>
      </c>
      <c r="AK129" s="218"/>
      <c r="AL129" s="160">
        <f t="shared" si="28"/>
        <v>13841.55</v>
      </c>
      <c r="AM129" s="7">
        <v>-150</v>
      </c>
    </row>
    <row r="130" spans="33:39">
      <c r="AG130" s="165">
        <v>45680</v>
      </c>
      <c r="AH130" s="158"/>
      <c r="AI130" s="167"/>
      <c r="AJ130" s="159"/>
      <c r="AK130" s="218">
        <v>13841.6</v>
      </c>
      <c r="AL130" s="160">
        <f t="shared" si="28"/>
        <v>-0.0499999999992724</v>
      </c>
      <c r="AM130" s="7"/>
    </row>
  </sheetData>
  <mergeCells count="73">
    <mergeCell ref="E1:F1"/>
    <mergeCell ref="H1:J1"/>
    <mergeCell ref="K1:L1"/>
    <mergeCell ref="P1:R1"/>
    <mergeCell ref="S1:T1"/>
    <mergeCell ref="Y1:AC1"/>
    <mergeCell ref="AG1:AK1"/>
    <mergeCell ref="A2:D2"/>
    <mergeCell ref="E2:F2"/>
    <mergeCell ref="H2:J2"/>
    <mergeCell ref="K2:L2"/>
    <mergeCell ref="N2:O2"/>
    <mergeCell ref="P2:R2"/>
    <mergeCell ref="S2:T2"/>
    <mergeCell ref="V2:W2"/>
    <mergeCell ref="Y2:AC2"/>
    <mergeCell ref="AG2:AK2"/>
    <mergeCell ref="A3:F3"/>
    <mergeCell ref="I3:N3"/>
    <mergeCell ref="Q3:V3"/>
    <mergeCell ref="Y3:AD3"/>
    <mergeCell ref="AG3:AL3"/>
    <mergeCell ref="A4:E4"/>
    <mergeCell ref="I4:M4"/>
    <mergeCell ref="Q4:U4"/>
    <mergeCell ref="Y4:AC4"/>
    <mergeCell ref="AG4:AK4"/>
    <mergeCell ref="A5:B5"/>
    <mergeCell ref="I5:J5"/>
    <mergeCell ref="Q5:R5"/>
    <mergeCell ref="Y5:Z5"/>
    <mergeCell ref="AG5:AH5"/>
    <mergeCell ref="A6:B6"/>
    <mergeCell ref="I6:J6"/>
    <mergeCell ref="Q6:R6"/>
    <mergeCell ref="Y6:Z6"/>
    <mergeCell ref="AG6:AH6"/>
    <mergeCell ref="A7:B7"/>
    <mergeCell ref="I7:J7"/>
    <mergeCell ref="Q7:R7"/>
    <mergeCell ref="AG7:AH7"/>
    <mergeCell ref="AH34:AJ34"/>
    <mergeCell ref="A8:A9"/>
    <mergeCell ref="B8:B9"/>
    <mergeCell ref="D8:D9"/>
    <mergeCell ref="E8:E9"/>
    <mergeCell ref="F8:F9"/>
    <mergeCell ref="H4:H6"/>
    <mergeCell ref="H28:H29"/>
    <mergeCell ref="I8:I9"/>
    <mergeCell ref="J8:J9"/>
    <mergeCell ref="L8:L9"/>
    <mergeCell ref="M8:M9"/>
    <mergeCell ref="N8:N9"/>
    <mergeCell ref="O4:O5"/>
    <mergeCell ref="Q8:Q9"/>
    <mergeCell ref="R8:R9"/>
    <mergeCell ref="T8:T9"/>
    <mergeCell ref="U8:U9"/>
    <mergeCell ref="V8:V9"/>
    <mergeCell ref="W4:W5"/>
    <mergeCell ref="Y8:Y9"/>
    <mergeCell ref="Z8:Z9"/>
    <mergeCell ref="AB8:AB9"/>
    <mergeCell ref="AC8:AC9"/>
    <mergeCell ref="AD8:AD9"/>
    <mergeCell ref="AE4:AE5"/>
    <mergeCell ref="AG8:AG9"/>
    <mergeCell ref="AH8:AH9"/>
    <mergeCell ref="AJ8:AJ9"/>
    <mergeCell ref="AK8:AK9"/>
    <mergeCell ref="AL8:AL9"/>
    <mergeCell ref="AM4:AM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311"/>
  <sheetViews>
    <sheetView zoomScale="130" zoomScaleNormal="130" topLeftCell="E47" workbookViewId="0">
      <selection activeCell="A2" sqref="A2:J2"/>
    </sheetView>
  </sheetViews>
  <sheetFormatPr defaultColWidth="9" defaultRowHeight="14.25"/>
  <cols>
    <col min="1" max="1" width="9.375" style="274"/>
    <col min="2" max="2" width="10.1833333333333" style="274" customWidth="1"/>
    <col min="3" max="3" width="17.3" style="274" customWidth="1"/>
    <col min="4" max="4" width="18.2666666666667" style="274" customWidth="1"/>
    <col min="5" max="7" width="9" style="274"/>
    <col min="8" max="8" width="6.75" style="274" customWidth="1"/>
    <col min="9" max="9" width="7.375" style="274" customWidth="1"/>
    <col min="10" max="10" width="5.375" style="274" customWidth="1"/>
    <col min="11" max="11" width="9" style="274"/>
    <col min="12" max="12" width="17.7916666666667" style="274" customWidth="1"/>
    <col min="13" max="13" width="9.31666666666667" style="274" customWidth="1"/>
    <col min="15" max="15" width="13.625" customWidth="1"/>
    <col min="16" max="16" width="10.25" customWidth="1"/>
  </cols>
  <sheetData>
    <row r="1" s="273" customFormat="1" ht="13.5" spans="1:18">
      <c r="A1" s="276" t="s">
        <v>482</v>
      </c>
      <c r="B1" s="277"/>
      <c r="C1" s="277"/>
      <c r="D1" s="277"/>
      <c r="E1" s="278"/>
      <c r="F1" s="278"/>
      <c r="G1" s="278"/>
      <c r="H1" s="279"/>
      <c r="I1" s="279"/>
      <c r="J1" s="280"/>
      <c r="K1" s="278"/>
      <c r="L1" s="281"/>
      <c r="M1" s="278"/>
      <c r="N1" s="282"/>
      <c r="O1" s="283" t="s">
        <v>363</v>
      </c>
      <c r="P1" s="284"/>
      <c r="Q1" s="278">
        <f>SUM(Q3:Q15)</f>
        <v>17363</v>
      </c>
      <c r="R1" s="285"/>
    </row>
    <row r="2" s="273" customFormat="1" ht="13.5" spans="1:18">
      <c r="A2" s="286" t="s">
        <v>356</v>
      </c>
      <c r="B2" s="287" t="s">
        <v>357</v>
      </c>
      <c r="C2" s="286" t="s">
        <v>483</v>
      </c>
      <c r="D2" s="287" t="s">
        <v>484</v>
      </c>
      <c r="E2" s="287" t="s">
        <v>485</v>
      </c>
      <c r="F2" s="287"/>
      <c r="G2" s="287" t="s">
        <v>486</v>
      </c>
      <c r="H2" s="287" t="s">
        <v>487</v>
      </c>
      <c r="I2" s="288" t="s">
        <v>488</v>
      </c>
      <c r="J2" s="287" t="s">
        <v>486</v>
      </c>
      <c r="K2" s="287" t="s">
        <v>489</v>
      </c>
      <c r="L2" s="287" t="s">
        <v>486</v>
      </c>
      <c r="M2" s="279" t="s">
        <v>490</v>
      </c>
      <c r="N2" s="289" t="s">
        <v>491</v>
      </c>
      <c r="O2" s="287" t="s">
        <v>492</v>
      </c>
      <c r="P2" s="288" t="s">
        <v>488</v>
      </c>
      <c r="Q2" s="287" t="s">
        <v>489</v>
      </c>
      <c r="R2" s="279" t="s">
        <v>490</v>
      </c>
    </row>
    <row r="3" s="274" customFormat="1" ht="18" customHeight="1" spans="1:18">
      <c r="A3" s="290">
        <v>44965</v>
      </c>
      <c r="B3" s="274" t="s">
        <v>11</v>
      </c>
      <c r="C3" s="291" t="s">
        <v>493</v>
      </c>
      <c r="D3" s="292" t="s">
        <v>268</v>
      </c>
      <c r="E3" s="293">
        <v>35</v>
      </c>
      <c r="F3" s="293" t="s">
        <v>494</v>
      </c>
      <c r="G3" s="293" t="s">
        <v>495</v>
      </c>
      <c r="H3" s="294">
        <v>10</v>
      </c>
      <c r="I3" s="295">
        <v>9</v>
      </c>
      <c r="J3" s="293" t="s">
        <v>496</v>
      </c>
      <c r="K3" s="296">
        <f>SUM(E3*H3*I3)</f>
        <v>3150</v>
      </c>
      <c r="L3" s="291" t="s">
        <v>497</v>
      </c>
      <c r="M3" s="297"/>
      <c r="N3" s="298" t="s">
        <v>498</v>
      </c>
      <c r="O3" s="274" t="s">
        <v>499</v>
      </c>
      <c r="P3" s="295">
        <v>9</v>
      </c>
      <c r="Q3" s="274">
        <f>SUM(E3*H3*P3)</f>
        <v>3150</v>
      </c>
    </row>
    <row r="4" s="224" customFormat="1" spans="1:18">
      <c r="A4" s="299">
        <v>44966</v>
      </c>
      <c r="B4" s="224" t="s">
        <v>500</v>
      </c>
      <c r="C4" s="300"/>
      <c r="D4" s="224" t="s">
        <v>501</v>
      </c>
      <c r="E4" s="301">
        <v>25</v>
      </c>
      <c r="F4" s="301" t="s">
        <v>494</v>
      </c>
      <c r="G4" s="301" t="s">
        <v>495</v>
      </c>
      <c r="H4" s="302">
        <v>5</v>
      </c>
      <c r="I4" s="224">
        <v>21.5</v>
      </c>
      <c r="J4" s="301" t="s">
        <v>496</v>
      </c>
      <c r="K4" s="303">
        <f>SUM(E4*H4*I4)</f>
        <v>2687.5</v>
      </c>
      <c r="L4" s="224" t="s">
        <v>502</v>
      </c>
      <c r="N4" s="304" t="s">
        <v>498</v>
      </c>
      <c r="O4" s="224" t="s">
        <v>499</v>
      </c>
      <c r="P4" s="224">
        <v>21.5</v>
      </c>
      <c r="Q4" s="224">
        <f>SUM(E4*H4*P4)</f>
        <v>2687.5</v>
      </c>
    </row>
    <row r="5" s="274" customFormat="1" spans="1:18">
      <c r="A5" s="290">
        <v>44968</v>
      </c>
      <c r="B5" s="274" t="s">
        <v>503</v>
      </c>
      <c r="D5" s="274" t="s">
        <v>96</v>
      </c>
      <c r="E5" s="293">
        <v>25</v>
      </c>
      <c r="F5" s="293" t="s">
        <v>494</v>
      </c>
      <c r="G5" s="293" t="s">
        <v>495</v>
      </c>
      <c r="H5" s="294">
        <v>2</v>
      </c>
      <c r="I5" s="295">
        <v>15</v>
      </c>
      <c r="J5" s="293" t="s">
        <v>496</v>
      </c>
      <c r="K5" s="296">
        <f>SUM(E5*H5*I5)</f>
        <v>750</v>
      </c>
      <c r="L5" s="274" t="s">
        <v>504</v>
      </c>
      <c r="M5" s="297"/>
      <c r="N5" s="298" t="s">
        <v>498</v>
      </c>
      <c r="O5" s="274" t="s">
        <v>505</v>
      </c>
      <c r="P5" s="295">
        <v>21.5</v>
      </c>
      <c r="Q5" s="274">
        <f>SUM(E5*H5*P5)</f>
        <v>1075</v>
      </c>
    </row>
    <row r="6" s="274" customFormat="1" ht="18" customHeight="1" spans="1:18">
      <c r="A6" s="290">
        <v>44968</v>
      </c>
      <c r="B6" s="274" t="s">
        <v>503</v>
      </c>
      <c r="C6" s="291" t="s">
        <v>506</v>
      </c>
      <c r="D6" s="292" t="s">
        <v>10</v>
      </c>
      <c r="E6" s="293">
        <v>10</v>
      </c>
      <c r="F6" s="293" t="s">
        <v>494</v>
      </c>
      <c r="G6" s="293" t="s">
        <v>495</v>
      </c>
      <c r="H6" s="294">
        <v>2</v>
      </c>
      <c r="I6" s="295">
        <v>15</v>
      </c>
      <c r="J6" s="293" t="s">
        <v>496</v>
      </c>
      <c r="K6" s="296">
        <f>SUM(E6*H6*I6)</f>
        <v>300</v>
      </c>
      <c r="L6" s="291" t="s">
        <v>507</v>
      </c>
      <c r="M6" s="297">
        <f>SUM(K5:K6)</f>
        <v>1050</v>
      </c>
      <c r="N6" s="298" t="s">
        <v>498</v>
      </c>
      <c r="O6" s="274" t="s">
        <v>505</v>
      </c>
      <c r="P6" s="295">
        <v>21.5</v>
      </c>
      <c r="Q6" s="274">
        <f>SUM(E6*H6*P6)</f>
        <v>430</v>
      </c>
      <c r="R6" s="274">
        <f>SUM(Q5:Q6)</f>
        <v>1505</v>
      </c>
    </row>
    <row r="7" s="224" customFormat="1" ht="18" customHeight="1" spans="1:18">
      <c r="A7" s="299">
        <v>44970</v>
      </c>
      <c r="B7" s="224" t="s">
        <v>508</v>
      </c>
      <c r="C7" s="305" t="s">
        <v>509</v>
      </c>
      <c r="D7" s="306" t="s">
        <v>268</v>
      </c>
      <c r="E7" s="301">
        <v>35</v>
      </c>
      <c r="F7" s="301" t="s">
        <v>494</v>
      </c>
      <c r="G7" s="301" t="s">
        <v>495</v>
      </c>
      <c r="H7" s="302">
        <v>5</v>
      </c>
      <c r="I7" s="307">
        <v>8.3</v>
      </c>
      <c r="J7" s="301" t="s">
        <v>496</v>
      </c>
      <c r="K7" s="303">
        <f>SUM(E7*H7*I7)</f>
        <v>1452.5</v>
      </c>
      <c r="L7" s="305" t="s">
        <v>510</v>
      </c>
      <c r="M7" s="308"/>
      <c r="N7" s="304" t="s">
        <v>511</v>
      </c>
      <c r="O7" s="224" t="s">
        <v>512</v>
      </c>
      <c r="P7" s="307">
        <v>9.5</v>
      </c>
      <c r="Q7" s="224">
        <f>SUM(E7*H7*P7)</f>
        <v>1662.5</v>
      </c>
    </row>
    <row r="8" s="224" customFormat="1" spans="1:18">
      <c r="A8" s="299">
        <v>44970</v>
      </c>
      <c r="B8" s="224" t="s">
        <v>508</v>
      </c>
      <c r="C8" s="305" t="s">
        <v>513</v>
      </c>
      <c r="D8" s="306" t="s">
        <v>514</v>
      </c>
      <c r="E8" s="301">
        <v>0.4</v>
      </c>
      <c r="F8" s="301" t="s">
        <v>494</v>
      </c>
      <c r="G8" s="301" t="s">
        <v>495</v>
      </c>
      <c r="H8" s="302">
        <v>3</v>
      </c>
      <c r="I8" s="307">
        <v>20</v>
      </c>
      <c r="J8" s="301" t="s">
        <v>496</v>
      </c>
      <c r="K8" s="303">
        <f>H8*I8</f>
        <v>60</v>
      </c>
      <c r="L8" s="309" t="s">
        <v>515</v>
      </c>
      <c r="M8" s="310">
        <f>SUM(K7:K8)</f>
        <v>1512.5</v>
      </c>
      <c r="N8" s="304"/>
      <c r="O8" s="224" t="s">
        <v>512</v>
      </c>
      <c r="P8" s="224">
        <v>0</v>
      </c>
    </row>
    <row r="9" s="274" customFormat="1" spans="1:18">
      <c r="A9" s="290">
        <v>44971</v>
      </c>
      <c r="B9" s="274" t="s">
        <v>516</v>
      </c>
      <c r="C9" s="311" t="s">
        <v>517</v>
      </c>
      <c r="D9" s="274" t="s">
        <v>80</v>
      </c>
      <c r="E9" s="293">
        <v>21</v>
      </c>
      <c r="F9" s="293" t="s">
        <v>494</v>
      </c>
      <c r="G9" s="293" t="s">
        <v>495</v>
      </c>
      <c r="H9" s="294">
        <v>1</v>
      </c>
      <c r="I9" s="274">
        <v>21.5</v>
      </c>
      <c r="J9" s="293" t="s">
        <v>496</v>
      </c>
      <c r="K9" s="296">
        <f t="shared" ref="K9:K14" si="0">SUM(E9*H9*I9)</f>
        <v>451.5</v>
      </c>
      <c r="L9" s="291" t="s">
        <v>518</v>
      </c>
      <c r="N9" s="298" t="s">
        <v>498</v>
      </c>
      <c r="O9" s="274" t="s">
        <v>499</v>
      </c>
      <c r="P9" s="274">
        <v>21.5</v>
      </c>
      <c r="Q9" s="274">
        <f t="shared" ref="Q9:Q14" si="1">SUM(E9*H9*P9)</f>
        <v>451.5</v>
      </c>
      <c r="R9" s="274">
        <f>SUBTOTAL(9,Q1:Q9)</f>
        <v>26819.5</v>
      </c>
    </row>
    <row r="10" s="274" customFormat="1" spans="1:18">
      <c r="A10" s="290">
        <v>44971</v>
      </c>
      <c r="B10" s="274" t="s">
        <v>516</v>
      </c>
      <c r="C10" s="311" t="s">
        <v>517</v>
      </c>
      <c r="D10" s="274" t="s">
        <v>80</v>
      </c>
      <c r="E10" s="293">
        <v>20</v>
      </c>
      <c r="F10" s="293" t="s">
        <v>494</v>
      </c>
      <c r="G10" s="293" t="s">
        <v>495</v>
      </c>
      <c r="H10" s="294">
        <v>2</v>
      </c>
      <c r="I10" s="274">
        <v>21.5</v>
      </c>
      <c r="J10" s="293" t="s">
        <v>496</v>
      </c>
      <c r="K10" s="296">
        <f t="shared" si="0"/>
        <v>860</v>
      </c>
      <c r="L10" s="291" t="s">
        <v>518</v>
      </c>
      <c r="N10" s="298" t="s">
        <v>498</v>
      </c>
      <c r="O10" s="274" t="s">
        <v>499</v>
      </c>
      <c r="P10" s="274">
        <v>21.5</v>
      </c>
      <c r="Q10" s="274">
        <f t="shared" si="1"/>
        <v>860</v>
      </c>
      <c r="R10" s="274">
        <f>SUBTOTAL(9,Q1:Q10)</f>
        <v>27679.5</v>
      </c>
    </row>
    <row r="11" s="274" customFormat="1" spans="1:18">
      <c r="A11" s="290">
        <v>44971</v>
      </c>
      <c r="B11" s="274" t="s">
        <v>516</v>
      </c>
      <c r="C11" s="312"/>
      <c r="D11" s="274" t="s">
        <v>86</v>
      </c>
      <c r="E11" s="293">
        <v>26</v>
      </c>
      <c r="F11" s="293" t="s">
        <v>494</v>
      </c>
      <c r="G11" s="293" t="s">
        <v>495</v>
      </c>
      <c r="H11" s="294">
        <v>2</v>
      </c>
      <c r="I11" s="295">
        <v>17</v>
      </c>
      <c r="J11" s="293" t="s">
        <v>496</v>
      </c>
      <c r="K11" s="296">
        <f t="shared" si="0"/>
        <v>884</v>
      </c>
      <c r="L11" s="291" t="s">
        <v>496</v>
      </c>
      <c r="N11" s="298" t="s">
        <v>498</v>
      </c>
      <c r="O11" s="274" t="s">
        <v>499</v>
      </c>
      <c r="P11" s="295">
        <v>17</v>
      </c>
      <c r="Q11" s="274">
        <f t="shared" si="1"/>
        <v>884</v>
      </c>
    </row>
    <row r="12" s="274" customFormat="1" spans="1:18">
      <c r="A12" s="290">
        <v>44971</v>
      </c>
      <c r="B12" s="274" t="s">
        <v>516</v>
      </c>
      <c r="C12" s="312"/>
      <c r="D12" s="274" t="s">
        <v>86</v>
      </c>
      <c r="E12" s="293">
        <v>25</v>
      </c>
      <c r="F12" s="293" t="s">
        <v>494</v>
      </c>
      <c r="G12" s="293" t="s">
        <v>495</v>
      </c>
      <c r="H12" s="294">
        <v>3</v>
      </c>
      <c r="I12" s="295">
        <v>17</v>
      </c>
      <c r="J12" s="293" t="s">
        <v>496</v>
      </c>
      <c r="K12" s="296">
        <f t="shared" si="0"/>
        <v>1275</v>
      </c>
      <c r="L12" s="291" t="s">
        <v>496</v>
      </c>
      <c r="M12" s="310">
        <f>SUM(K9:K12)</f>
        <v>3470.5</v>
      </c>
      <c r="N12" s="298" t="s">
        <v>498</v>
      </c>
      <c r="O12" s="274" t="s">
        <v>499</v>
      </c>
      <c r="P12" s="295">
        <v>17</v>
      </c>
      <c r="Q12" s="274">
        <f t="shared" si="1"/>
        <v>1275</v>
      </c>
    </row>
    <row r="13" s="224" customFormat="1" ht="18" customHeight="1" spans="1:18">
      <c r="A13" s="299">
        <v>44973</v>
      </c>
      <c r="B13" s="224" t="s">
        <v>472</v>
      </c>
      <c r="C13" s="305" t="s">
        <v>509</v>
      </c>
      <c r="D13" s="306" t="s">
        <v>268</v>
      </c>
      <c r="E13" s="301">
        <v>35</v>
      </c>
      <c r="F13" s="301" t="s">
        <v>494</v>
      </c>
      <c r="G13" s="301" t="s">
        <v>495</v>
      </c>
      <c r="H13" s="302">
        <v>10</v>
      </c>
      <c r="I13" s="307">
        <v>8.3</v>
      </c>
      <c r="J13" s="301" t="s">
        <v>496</v>
      </c>
      <c r="K13" s="303">
        <f t="shared" si="0"/>
        <v>2905</v>
      </c>
      <c r="L13" s="305" t="s">
        <v>519</v>
      </c>
      <c r="M13" s="308"/>
      <c r="N13" s="304" t="s">
        <v>511</v>
      </c>
      <c r="O13" s="224" t="s">
        <v>512</v>
      </c>
      <c r="P13" s="307">
        <v>9.5</v>
      </c>
      <c r="Q13" s="224">
        <f t="shared" si="1"/>
        <v>3325</v>
      </c>
    </row>
    <row r="14" s="224" customFormat="1" ht="18" customHeight="1" spans="1:18">
      <c r="A14" s="299">
        <v>44973</v>
      </c>
      <c r="B14" s="224" t="s">
        <v>472</v>
      </c>
      <c r="C14" s="305" t="s">
        <v>520</v>
      </c>
      <c r="D14" s="306" t="s">
        <v>60</v>
      </c>
      <c r="E14" s="301">
        <v>25</v>
      </c>
      <c r="F14" s="301" t="s">
        <v>494</v>
      </c>
      <c r="G14" s="301" t="s">
        <v>495</v>
      </c>
      <c r="H14" s="302">
        <v>5</v>
      </c>
      <c r="I14" s="307">
        <v>10.3</v>
      </c>
      <c r="J14" s="301" t="s">
        <v>496</v>
      </c>
      <c r="K14" s="303">
        <f t="shared" si="0"/>
        <v>1287.5</v>
      </c>
      <c r="L14" s="305" t="s">
        <v>521</v>
      </c>
      <c r="M14" s="308"/>
      <c r="N14" s="304" t="s">
        <v>498</v>
      </c>
      <c r="O14" s="224" t="s">
        <v>512</v>
      </c>
      <c r="P14" s="307">
        <v>12.5</v>
      </c>
      <c r="Q14" s="224">
        <f t="shared" si="1"/>
        <v>1562.5</v>
      </c>
      <c r="R14" s="224">
        <f>SUM(Q13:Q14)</f>
        <v>4887.5</v>
      </c>
    </row>
    <row r="15" s="224" customFormat="1" spans="1:18">
      <c r="A15" s="299">
        <v>44973</v>
      </c>
      <c r="B15" s="224" t="s">
        <v>472</v>
      </c>
      <c r="C15" s="305" t="s">
        <v>513</v>
      </c>
      <c r="D15" s="306" t="s">
        <v>514</v>
      </c>
      <c r="E15" s="301">
        <v>0.4</v>
      </c>
      <c r="F15" s="301" t="s">
        <v>494</v>
      </c>
      <c r="G15" s="301" t="s">
        <v>495</v>
      </c>
      <c r="H15" s="302">
        <v>4</v>
      </c>
      <c r="I15" s="307">
        <v>20</v>
      </c>
      <c r="J15" s="301" t="s">
        <v>496</v>
      </c>
      <c r="K15" s="303">
        <f>H15*I15</f>
        <v>80</v>
      </c>
      <c r="L15" s="305" t="s">
        <v>515</v>
      </c>
      <c r="M15" s="310">
        <f>SUM(K13:K15)</f>
        <v>4272.5</v>
      </c>
      <c r="N15" s="304"/>
      <c r="O15" s="224" t="s">
        <v>512</v>
      </c>
      <c r="P15" s="224">
        <v>0</v>
      </c>
    </row>
    <row r="16" s="274" customFormat="1" ht="18" customHeight="1" spans="1:18">
      <c r="A16" s="290">
        <v>44974</v>
      </c>
      <c r="B16" s="274" t="s">
        <v>206</v>
      </c>
      <c r="C16" s="291" t="s">
        <v>493</v>
      </c>
      <c r="D16" s="292" t="s">
        <v>268</v>
      </c>
      <c r="E16" s="293">
        <v>35</v>
      </c>
      <c r="F16" s="293" t="s">
        <v>494</v>
      </c>
      <c r="G16" s="293" t="s">
        <v>495</v>
      </c>
      <c r="H16" s="294">
        <v>14</v>
      </c>
      <c r="I16" s="295">
        <v>9</v>
      </c>
      <c r="J16" s="293" t="s">
        <v>496</v>
      </c>
      <c r="K16" s="296">
        <f t="shared" ref="K16:K21" si="2">SUM(E16*H16*I16)</f>
        <v>4410</v>
      </c>
      <c r="L16" s="291" t="s">
        <v>497</v>
      </c>
      <c r="M16" s="297"/>
      <c r="N16" s="298" t="s">
        <v>498</v>
      </c>
      <c r="O16" s="274" t="s">
        <v>499</v>
      </c>
      <c r="P16" s="295">
        <v>9</v>
      </c>
      <c r="Q16" s="274">
        <f t="shared" ref="Q16:Q19" si="3">SUM(E16*H16*P16)</f>
        <v>4410</v>
      </c>
    </row>
    <row r="17" s="274" customFormat="1" ht="18" customHeight="1" spans="1:19">
      <c r="A17" s="290">
        <v>44974</v>
      </c>
      <c r="B17" s="274" t="s">
        <v>206</v>
      </c>
      <c r="C17" s="291" t="s">
        <v>522</v>
      </c>
      <c r="D17" s="292" t="s">
        <v>523</v>
      </c>
      <c r="E17" s="293">
        <v>25</v>
      </c>
      <c r="F17" s="293" t="s">
        <v>494</v>
      </c>
      <c r="G17" s="293" t="s">
        <v>495</v>
      </c>
      <c r="H17" s="294">
        <v>2</v>
      </c>
      <c r="I17" s="295">
        <v>12</v>
      </c>
      <c r="J17" s="293" t="s">
        <v>496</v>
      </c>
      <c r="K17" s="296">
        <f t="shared" si="2"/>
        <v>600</v>
      </c>
      <c r="L17" s="291" t="s">
        <v>524</v>
      </c>
      <c r="M17" s="297">
        <f>SUM(K16:K17)</f>
        <v>5010</v>
      </c>
      <c r="N17" s="298" t="s">
        <v>498</v>
      </c>
      <c r="O17" s="274" t="s">
        <v>499</v>
      </c>
      <c r="P17" s="295">
        <v>12</v>
      </c>
      <c r="Q17" s="274">
        <f t="shared" si="3"/>
        <v>600</v>
      </c>
      <c r="R17" s="274">
        <f>SUM(Q16:Q17)</f>
        <v>5010</v>
      </c>
    </row>
    <row r="18" s="224" customFormat="1" ht="18" customHeight="1" spans="1:19">
      <c r="A18" s="299">
        <v>44975</v>
      </c>
      <c r="B18" s="224" t="s">
        <v>525</v>
      </c>
      <c r="C18" s="313">
        <v>44998</v>
      </c>
      <c r="D18" s="314" t="s">
        <v>526</v>
      </c>
      <c r="E18" s="301">
        <v>5</v>
      </c>
      <c r="F18" s="301" t="s">
        <v>494</v>
      </c>
      <c r="G18" s="301" t="s">
        <v>495</v>
      </c>
      <c r="H18" s="302">
        <v>1</v>
      </c>
      <c r="I18" s="307">
        <v>17</v>
      </c>
      <c r="J18" s="301" t="s">
        <v>496</v>
      </c>
      <c r="K18" s="303">
        <f t="shared" si="2"/>
        <v>85</v>
      </c>
      <c r="L18" s="305" t="s">
        <v>527</v>
      </c>
      <c r="M18" s="308"/>
      <c r="N18" s="304" t="s">
        <v>498</v>
      </c>
      <c r="O18" s="224" t="s">
        <v>499</v>
      </c>
      <c r="P18" s="307"/>
    </row>
    <row r="19" s="224" customFormat="1" spans="1:19">
      <c r="A19" s="299">
        <v>44975</v>
      </c>
      <c r="B19" s="224" t="s">
        <v>525</v>
      </c>
      <c r="C19" s="315" t="s">
        <v>528</v>
      </c>
      <c r="D19" s="224" t="s">
        <v>529</v>
      </c>
      <c r="E19" s="301">
        <v>22</v>
      </c>
      <c r="F19" s="301" t="s">
        <v>494</v>
      </c>
      <c r="G19" s="301" t="s">
        <v>495</v>
      </c>
      <c r="H19" s="302">
        <v>1</v>
      </c>
      <c r="I19" s="307">
        <v>17</v>
      </c>
      <c r="J19" s="301" t="s">
        <v>496</v>
      </c>
      <c r="K19" s="303">
        <f t="shared" si="2"/>
        <v>374</v>
      </c>
      <c r="L19" s="224" t="s">
        <v>530</v>
      </c>
      <c r="N19" s="304" t="s">
        <v>498</v>
      </c>
      <c r="O19" s="224" t="s">
        <v>499</v>
      </c>
      <c r="P19" s="224">
        <v>17</v>
      </c>
      <c r="Q19" s="224">
        <f t="shared" si="3"/>
        <v>374</v>
      </c>
    </row>
    <row r="20" s="274" customFormat="1" ht="18" customHeight="1" spans="1:19">
      <c r="A20" s="290">
        <v>44976</v>
      </c>
      <c r="B20" s="274" t="s">
        <v>473</v>
      </c>
      <c r="C20" s="291" t="s">
        <v>531</v>
      </c>
      <c r="D20" s="292" t="s">
        <v>268</v>
      </c>
      <c r="E20" s="293">
        <v>28</v>
      </c>
      <c r="F20" s="293" t="s">
        <v>494</v>
      </c>
      <c r="G20" s="293" t="s">
        <v>495</v>
      </c>
      <c r="H20" s="294">
        <v>2</v>
      </c>
      <c r="I20" s="203">
        <v>9.5</v>
      </c>
      <c r="J20" s="293" t="s">
        <v>496</v>
      </c>
      <c r="K20" s="296">
        <f t="shared" si="2"/>
        <v>532</v>
      </c>
      <c r="L20" s="291" t="s">
        <v>532</v>
      </c>
      <c r="M20" s="297"/>
      <c r="N20" s="298" t="s">
        <v>498</v>
      </c>
      <c r="O20" s="274" t="s">
        <v>533</v>
      </c>
      <c r="P20" s="295">
        <v>9.5</v>
      </c>
    </row>
    <row r="21" s="224" customFormat="1" ht="18" customHeight="1" spans="1:19">
      <c r="A21" s="299">
        <v>44978</v>
      </c>
      <c r="B21" s="224" t="s">
        <v>403</v>
      </c>
      <c r="C21" s="305" t="s">
        <v>534</v>
      </c>
      <c r="D21" s="306" t="s">
        <v>535</v>
      </c>
      <c r="E21" s="301">
        <v>20</v>
      </c>
      <c r="F21" s="301" t="s">
        <v>494</v>
      </c>
      <c r="G21" s="301" t="s">
        <v>495</v>
      </c>
      <c r="H21" s="302">
        <v>2</v>
      </c>
      <c r="I21" s="307">
        <v>16.5</v>
      </c>
      <c r="J21" s="301" t="s">
        <v>496</v>
      </c>
      <c r="K21" s="303">
        <f t="shared" si="2"/>
        <v>660</v>
      </c>
      <c r="L21" s="305" t="s">
        <v>536</v>
      </c>
      <c r="M21" s="308" t="s">
        <v>537</v>
      </c>
      <c r="N21" s="304" t="s">
        <v>498</v>
      </c>
      <c r="O21" s="224" t="s">
        <v>512</v>
      </c>
      <c r="P21" s="307">
        <v>21</v>
      </c>
      <c r="Q21" s="224">
        <f>SUM(E21*H21*P21)</f>
        <v>840</v>
      </c>
      <c r="S21" s="316" t="s">
        <v>538</v>
      </c>
    </row>
    <row r="22" s="224" customFormat="1" ht="18" customHeight="1" spans="1:19">
      <c r="A22" s="299">
        <v>44978</v>
      </c>
      <c r="B22" s="224" t="s">
        <v>403</v>
      </c>
      <c r="C22" s="305" t="s">
        <v>539</v>
      </c>
      <c r="D22" s="306" t="s">
        <v>540</v>
      </c>
      <c r="E22" s="301">
        <v>20</v>
      </c>
      <c r="F22" s="301" t="s">
        <v>494</v>
      </c>
      <c r="G22" s="301" t="s">
        <v>495</v>
      </c>
      <c r="H22" s="302">
        <v>2</v>
      </c>
      <c r="I22" s="307">
        <v>16.5</v>
      </c>
      <c r="J22" s="301" t="s">
        <v>496</v>
      </c>
      <c r="K22" s="303">
        <f t="shared" ref="K22:K29" si="4">SUM(E22*H22*I22)</f>
        <v>660</v>
      </c>
      <c r="L22" s="305" t="s">
        <v>541</v>
      </c>
      <c r="M22" s="308" t="s">
        <v>537</v>
      </c>
      <c r="N22" s="304" t="s">
        <v>498</v>
      </c>
      <c r="O22" s="224" t="s">
        <v>512</v>
      </c>
      <c r="P22" s="307">
        <v>21</v>
      </c>
      <c r="Q22" s="224">
        <f>SUM(E22*H22*P22)</f>
        <v>840</v>
      </c>
      <c r="R22" s="224">
        <f>SUM(Q18:Q22)</f>
        <v>2054</v>
      </c>
    </row>
    <row r="23" s="274" customFormat="1" spans="1:19">
      <c r="A23" s="290">
        <v>44978</v>
      </c>
      <c r="B23" s="274" t="s">
        <v>195</v>
      </c>
      <c r="C23" s="312" t="s">
        <v>542</v>
      </c>
      <c r="D23" s="274" t="s">
        <v>543</v>
      </c>
      <c r="E23" s="293">
        <v>26</v>
      </c>
      <c r="F23" s="293" t="s">
        <v>494</v>
      </c>
      <c r="G23" s="293" t="s">
        <v>495</v>
      </c>
      <c r="H23" s="294">
        <v>1</v>
      </c>
      <c r="I23" s="295">
        <v>17</v>
      </c>
      <c r="J23" s="293" t="s">
        <v>496</v>
      </c>
      <c r="K23" s="296">
        <f t="shared" si="4"/>
        <v>442</v>
      </c>
      <c r="L23" s="274" t="s">
        <v>544</v>
      </c>
      <c r="N23" s="298" t="s">
        <v>498</v>
      </c>
      <c r="O23" s="274" t="s">
        <v>499</v>
      </c>
      <c r="P23" s="295">
        <v>17</v>
      </c>
      <c r="Q23" s="274">
        <v>2125</v>
      </c>
      <c r="R23" s="274">
        <v>2873</v>
      </c>
    </row>
    <row r="24" s="274" customFormat="1" spans="1:19">
      <c r="A24" s="290">
        <v>44978</v>
      </c>
      <c r="B24" s="274" t="s">
        <v>195</v>
      </c>
      <c r="C24" s="312" t="s">
        <v>545</v>
      </c>
      <c r="D24" s="274" t="s">
        <v>546</v>
      </c>
      <c r="E24" s="293">
        <v>24</v>
      </c>
      <c r="F24" s="293" t="s">
        <v>494</v>
      </c>
      <c r="G24" s="293" t="s">
        <v>495</v>
      </c>
      <c r="H24" s="294">
        <v>2</v>
      </c>
      <c r="I24" s="295">
        <v>17</v>
      </c>
      <c r="J24" s="293" t="s">
        <v>496</v>
      </c>
      <c r="K24" s="296">
        <f t="shared" si="4"/>
        <v>816</v>
      </c>
      <c r="L24" s="274" t="s">
        <v>544</v>
      </c>
      <c r="M24" s="274">
        <f>SUM(K23:K24)</f>
        <v>1258</v>
      </c>
      <c r="N24" s="298" t="s">
        <v>498</v>
      </c>
      <c r="O24" s="274" t="s">
        <v>499</v>
      </c>
      <c r="P24" s="295">
        <v>17</v>
      </c>
      <c r="Q24" s="274">
        <v>2125</v>
      </c>
      <c r="R24" s="274">
        <v>2873</v>
      </c>
    </row>
    <row r="25" s="224" customFormat="1" ht="18" customHeight="1" spans="1:19">
      <c r="A25" s="299">
        <v>44979</v>
      </c>
      <c r="B25" s="224" t="s">
        <v>547</v>
      </c>
      <c r="C25" s="305" t="s">
        <v>548</v>
      </c>
      <c r="D25" s="306" t="s">
        <v>268</v>
      </c>
      <c r="E25" s="301">
        <v>28</v>
      </c>
      <c r="F25" s="301" t="s">
        <v>494</v>
      </c>
      <c r="G25" s="301" t="s">
        <v>495</v>
      </c>
      <c r="H25" s="302">
        <v>2</v>
      </c>
      <c r="I25" s="307">
        <v>8.5</v>
      </c>
      <c r="J25" s="301" t="s">
        <v>496</v>
      </c>
      <c r="K25" s="303">
        <f t="shared" si="4"/>
        <v>476</v>
      </c>
      <c r="L25" s="305" t="s">
        <v>549</v>
      </c>
      <c r="M25" s="308"/>
      <c r="N25" s="304" t="s">
        <v>498</v>
      </c>
      <c r="O25" s="224" t="s">
        <v>550</v>
      </c>
      <c r="P25" s="307">
        <v>8.5</v>
      </c>
    </row>
    <row r="26" s="274" customFormat="1" ht="18" customHeight="1" spans="1:19">
      <c r="A26" s="290">
        <v>44979</v>
      </c>
      <c r="B26" s="274" t="s">
        <v>416</v>
      </c>
      <c r="C26" s="291" t="s">
        <v>551</v>
      </c>
      <c r="D26" s="292" t="s">
        <v>552</v>
      </c>
      <c r="E26" s="293">
        <v>18</v>
      </c>
      <c r="F26" s="293" t="s">
        <v>494</v>
      </c>
      <c r="G26" s="293" t="s">
        <v>495</v>
      </c>
      <c r="H26" s="294">
        <v>1</v>
      </c>
      <c r="I26" s="295">
        <v>6.5</v>
      </c>
      <c r="J26" s="293" t="s">
        <v>496</v>
      </c>
      <c r="K26" s="296">
        <f t="shared" si="4"/>
        <v>117</v>
      </c>
      <c r="L26" s="297" t="s">
        <v>537</v>
      </c>
      <c r="M26" s="297">
        <v>117</v>
      </c>
      <c r="N26" s="298" t="s">
        <v>498</v>
      </c>
      <c r="O26" s="274" t="s">
        <v>512</v>
      </c>
      <c r="P26" s="295">
        <v>6.5</v>
      </c>
      <c r="Q26" s="274">
        <f>SUM(E26*H26*P26)</f>
        <v>117</v>
      </c>
      <c r="S26" s="317" t="s">
        <v>538</v>
      </c>
    </row>
    <row r="27" s="224" customFormat="1" ht="18" customHeight="1" spans="1:19">
      <c r="A27" s="299">
        <v>44980</v>
      </c>
      <c r="B27" s="224" t="s">
        <v>553</v>
      </c>
      <c r="C27" s="305" t="s">
        <v>493</v>
      </c>
      <c r="D27" s="306" t="s">
        <v>268</v>
      </c>
      <c r="E27" s="301">
        <v>28</v>
      </c>
      <c r="F27" s="301" t="s">
        <v>494</v>
      </c>
      <c r="G27" s="301" t="s">
        <v>495</v>
      </c>
      <c r="H27" s="302">
        <v>2</v>
      </c>
      <c r="I27" s="307">
        <v>9</v>
      </c>
      <c r="J27" s="301" t="s">
        <v>496</v>
      </c>
      <c r="K27" s="303">
        <f t="shared" si="4"/>
        <v>504</v>
      </c>
      <c r="L27" s="305" t="s">
        <v>554</v>
      </c>
      <c r="M27" s="308"/>
      <c r="N27" s="304" t="s">
        <v>498</v>
      </c>
      <c r="O27" s="224" t="s">
        <v>499</v>
      </c>
      <c r="P27" s="307">
        <v>9.5</v>
      </c>
    </row>
    <row r="28" s="224" customFormat="1" spans="1:19">
      <c r="A28" s="299">
        <v>44980</v>
      </c>
      <c r="B28" s="224" t="s">
        <v>553</v>
      </c>
      <c r="C28" s="300" t="s">
        <v>555</v>
      </c>
      <c r="D28" s="224" t="s">
        <v>556</v>
      </c>
      <c r="E28" s="301">
        <v>20</v>
      </c>
      <c r="F28" s="301" t="s">
        <v>494</v>
      </c>
      <c r="G28" s="301" t="s">
        <v>495</v>
      </c>
      <c r="H28" s="302">
        <v>1</v>
      </c>
      <c r="I28" s="307">
        <v>17</v>
      </c>
      <c r="J28" s="301" t="s">
        <v>496</v>
      </c>
      <c r="K28" s="303">
        <f t="shared" si="4"/>
        <v>340</v>
      </c>
      <c r="L28" s="305" t="s">
        <v>496</v>
      </c>
      <c r="M28" s="308"/>
      <c r="N28" s="304" t="s">
        <v>498</v>
      </c>
      <c r="O28" s="224" t="s">
        <v>499</v>
      </c>
      <c r="P28" s="318">
        <v>17</v>
      </c>
      <c r="Q28" s="224">
        <f>SUM(E28*H28*P28)</f>
        <v>340</v>
      </c>
      <c r="R28" s="301"/>
      <c r="S28" s="305"/>
    </row>
    <row r="29" s="224" customFormat="1" spans="1:19">
      <c r="A29" s="299">
        <v>44980</v>
      </c>
      <c r="B29" s="224" t="s">
        <v>553</v>
      </c>
      <c r="C29" s="300">
        <v>1451</v>
      </c>
      <c r="D29" s="224" t="s">
        <v>557</v>
      </c>
      <c r="E29" s="301">
        <v>20</v>
      </c>
      <c r="F29" s="301" t="s">
        <v>494</v>
      </c>
      <c r="G29" s="301" t="s">
        <v>495</v>
      </c>
      <c r="H29" s="302">
        <v>1</v>
      </c>
      <c r="I29" s="307">
        <v>16.8</v>
      </c>
      <c r="J29" s="301" t="s">
        <v>496</v>
      </c>
      <c r="K29" s="303">
        <f t="shared" si="4"/>
        <v>336</v>
      </c>
      <c r="L29" s="305" t="s">
        <v>558</v>
      </c>
      <c r="N29" s="304" t="s">
        <v>498</v>
      </c>
      <c r="O29" s="224" t="s">
        <v>499</v>
      </c>
      <c r="P29" s="307">
        <v>16.8</v>
      </c>
      <c r="Q29" s="224" t="e">
        <f>SUM(#REF!*#REF!*P29)</f>
        <v>#REF!</v>
      </c>
    </row>
    <row r="30" s="224" customFormat="1" spans="1:19">
      <c r="A30" s="299">
        <v>44980</v>
      </c>
      <c r="B30" s="224" t="s">
        <v>553</v>
      </c>
      <c r="D30" s="224" t="s">
        <v>559</v>
      </c>
      <c r="E30" s="301">
        <v>20</v>
      </c>
      <c r="F30" s="301" t="s">
        <v>560</v>
      </c>
      <c r="G30" s="301" t="s">
        <v>561</v>
      </c>
      <c r="H30" s="302">
        <v>1</v>
      </c>
      <c r="I30" s="307">
        <v>15</v>
      </c>
      <c r="J30" s="301" t="s">
        <v>496</v>
      </c>
      <c r="K30" s="303">
        <f>SUM(H30*I30)</f>
        <v>15</v>
      </c>
      <c r="L30" s="305" t="s">
        <v>558</v>
      </c>
      <c r="M30" s="224">
        <f>SUM(K27:K30)</f>
        <v>1195</v>
      </c>
      <c r="N30" s="304" t="s">
        <v>498</v>
      </c>
      <c r="O30" s="224" t="s">
        <v>499</v>
      </c>
      <c r="P30" s="307"/>
    </row>
    <row r="31" s="274" customFormat="1" spans="1:19">
      <c r="A31" s="290">
        <v>44980</v>
      </c>
      <c r="B31" s="274" t="s">
        <v>562</v>
      </c>
      <c r="D31" s="274" t="s">
        <v>563</v>
      </c>
      <c r="E31" s="293">
        <v>25</v>
      </c>
      <c r="F31" s="293" t="s">
        <v>494</v>
      </c>
      <c r="G31" s="293" t="s">
        <v>495</v>
      </c>
      <c r="H31" s="294">
        <v>1</v>
      </c>
      <c r="I31" s="295">
        <v>15</v>
      </c>
      <c r="J31" s="293" t="s">
        <v>496</v>
      </c>
      <c r="K31" s="296">
        <f t="shared" ref="K31:K46" si="5">SUM(E31*H31*I31)</f>
        <v>375</v>
      </c>
      <c r="L31" s="274" t="s">
        <v>564</v>
      </c>
      <c r="M31" s="297"/>
      <c r="N31" s="298" t="s">
        <v>498</v>
      </c>
      <c r="O31" s="274" t="s">
        <v>512</v>
      </c>
      <c r="P31" s="295">
        <v>19.5</v>
      </c>
      <c r="Q31" s="274">
        <f t="shared" ref="Q31:Q37" si="6">SUM(E31*H31*P31)</f>
        <v>487.5</v>
      </c>
    </row>
    <row r="32" s="274" customFormat="1" ht="18" customHeight="1" spans="1:19">
      <c r="A32" s="290">
        <v>44980</v>
      </c>
      <c r="B32" s="274" t="s">
        <v>562</v>
      </c>
      <c r="C32" s="291"/>
      <c r="D32" s="292" t="s">
        <v>10</v>
      </c>
      <c r="E32" s="293">
        <v>10</v>
      </c>
      <c r="F32" s="293" t="s">
        <v>494</v>
      </c>
      <c r="G32" s="293" t="s">
        <v>495</v>
      </c>
      <c r="H32" s="294">
        <v>1</v>
      </c>
      <c r="I32" s="295">
        <v>16.5</v>
      </c>
      <c r="J32" s="293" t="s">
        <v>496</v>
      </c>
      <c r="K32" s="296">
        <f t="shared" si="5"/>
        <v>165</v>
      </c>
      <c r="L32" s="297" t="s">
        <v>537</v>
      </c>
      <c r="M32" s="297"/>
      <c r="N32" s="298" t="s">
        <v>498</v>
      </c>
      <c r="O32" s="274" t="s">
        <v>512</v>
      </c>
      <c r="P32" s="295">
        <v>19.5</v>
      </c>
      <c r="Q32" s="274">
        <f t="shared" si="6"/>
        <v>195</v>
      </c>
    </row>
    <row r="33" s="274" customFormat="1" ht="18" customHeight="1" spans="1:19">
      <c r="A33" s="290">
        <v>44980</v>
      </c>
      <c r="B33" s="274" t="s">
        <v>562</v>
      </c>
      <c r="C33" s="291" t="s">
        <v>509</v>
      </c>
      <c r="D33" s="292" t="s">
        <v>268</v>
      </c>
      <c r="E33" s="293">
        <v>35</v>
      </c>
      <c r="F33" s="293" t="s">
        <v>494</v>
      </c>
      <c r="G33" s="293" t="s">
        <v>495</v>
      </c>
      <c r="H33" s="294">
        <v>10</v>
      </c>
      <c r="I33" s="295">
        <v>8.3</v>
      </c>
      <c r="J33" s="293" t="s">
        <v>496</v>
      </c>
      <c r="K33" s="296">
        <f t="shared" si="5"/>
        <v>2905</v>
      </c>
      <c r="L33" s="291" t="s">
        <v>565</v>
      </c>
      <c r="M33" s="297">
        <f>SUM(K31:K33)</f>
        <v>3445</v>
      </c>
      <c r="N33" s="298" t="s">
        <v>511</v>
      </c>
      <c r="O33" s="274" t="s">
        <v>512</v>
      </c>
      <c r="P33" s="295">
        <v>9.5</v>
      </c>
      <c r="Q33" s="274">
        <f t="shared" si="6"/>
        <v>3325</v>
      </c>
      <c r="R33" s="274">
        <f>SUM(Q31:Q33)</f>
        <v>4007.5</v>
      </c>
    </row>
    <row r="34" s="224" customFormat="1" spans="1:19">
      <c r="A34" s="299">
        <v>44981</v>
      </c>
      <c r="B34" s="224" t="s">
        <v>566</v>
      </c>
      <c r="C34" s="315" t="s">
        <v>567</v>
      </c>
      <c r="D34" s="224" t="s">
        <v>568</v>
      </c>
      <c r="E34" s="301">
        <v>20</v>
      </c>
      <c r="F34" s="301" t="s">
        <v>494</v>
      </c>
      <c r="G34" s="301" t="s">
        <v>495</v>
      </c>
      <c r="H34" s="302">
        <v>2</v>
      </c>
      <c r="I34" s="307">
        <v>21.5</v>
      </c>
      <c r="J34" s="301" t="s">
        <v>496</v>
      </c>
      <c r="K34" s="303">
        <f t="shared" si="5"/>
        <v>860</v>
      </c>
      <c r="L34" s="305" t="s">
        <v>569</v>
      </c>
      <c r="N34" s="304" t="s">
        <v>498</v>
      </c>
      <c r="O34" s="224" t="s">
        <v>499</v>
      </c>
      <c r="P34" s="307">
        <v>21.5</v>
      </c>
      <c r="Q34" s="224">
        <v>774</v>
      </c>
    </row>
    <row r="35" s="224" customFormat="1" ht="18" customHeight="1" spans="1:19">
      <c r="A35" s="299">
        <v>44981</v>
      </c>
      <c r="B35" s="224" t="s">
        <v>566</v>
      </c>
      <c r="C35" s="305" t="s">
        <v>493</v>
      </c>
      <c r="D35" s="306" t="s">
        <v>268</v>
      </c>
      <c r="E35" s="301">
        <v>35</v>
      </c>
      <c r="F35" s="301" t="s">
        <v>494</v>
      </c>
      <c r="G35" s="301" t="s">
        <v>495</v>
      </c>
      <c r="H35" s="302">
        <v>20</v>
      </c>
      <c r="I35" s="307">
        <v>9</v>
      </c>
      <c r="J35" s="301" t="s">
        <v>496</v>
      </c>
      <c r="K35" s="303">
        <f t="shared" si="5"/>
        <v>6300</v>
      </c>
      <c r="L35" s="305" t="s">
        <v>497</v>
      </c>
      <c r="M35" s="308">
        <f>SUM(K34:K35)</f>
        <v>7160</v>
      </c>
      <c r="N35" s="304" t="s">
        <v>498</v>
      </c>
      <c r="O35" s="224" t="s">
        <v>499</v>
      </c>
      <c r="P35" s="307">
        <v>9</v>
      </c>
      <c r="Q35" s="224">
        <f t="shared" si="6"/>
        <v>6300</v>
      </c>
    </row>
    <row r="36" s="274" customFormat="1" ht="18" customHeight="1" spans="1:19">
      <c r="A36" s="290">
        <v>44982</v>
      </c>
      <c r="B36" s="274" t="s">
        <v>411</v>
      </c>
      <c r="C36" s="291" t="s">
        <v>522</v>
      </c>
      <c r="D36" s="292" t="s">
        <v>523</v>
      </c>
      <c r="E36" s="293">
        <v>25</v>
      </c>
      <c r="F36" s="293" t="s">
        <v>494</v>
      </c>
      <c r="G36" s="293" t="s">
        <v>495</v>
      </c>
      <c r="H36" s="294">
        <v>5</v>
      </c>
      <c r="I36" s="295">
        <v>12</v>
      </c>
      <c r="J36" s="293" t="s">
        <v>496</v>
      </c>
      <c r="K36" s="296">
        <f t="shared" si="5"/>
        <v>1500</v>
      </c>
      <c r="L36" s="291" t="s">
        <v>570</v>
      </c>
      <c r="M36" s="297"/>
      <c r="N36" s="298" t="s">
        <v>498</v>
      </c>
      <c r="O36" s="274" t="s">
        <v>499</v>
      </c>
      <c r="P36" s="295">
        <v>12</v>
      </c>
      <c r="Q36" s="274">
        <f t="shared" si="6"/>
        <v>1500</v>
      </c>
      <c r="R36" s="274">
        <f>SUM(Q34:Q36)</f>
        <v>8574</v>
      </c>
    </row>
    <row r="37" s="274" customFormat="1" spans="1:19">
      <c r="A37" s="290">
        <v>44982</v>
      </c>
      <c r="B37" s="274" t="s">
        <v>411</v>
      </c>
      <c r="C37" s="312"/>
      <c r="D37" s="274" t="s">
        <v>86</v>
      </c>
      <c r="E37" s="293">
        <v>25</v>
      </c>
      <c r="F37" s="293" t="s">
        <v>494</v>
      </c>
      <c r="G37" s="293" t="s">
        <v>495</v>
      </c>
      <c r="H37" s="294">
        <v>6</v>
      </c>
      <c r="I37" s="295">
        <v>17</v>
      </c>
      <c r="J37" s="293" t="s">
        <v>496</v>
      </c>
      <c r="K37" s="296">
        <f t="shared" si="5"/>
        <v>2550</v>
      </c>
      <c r="L37" s="291" t="s">
        <v>496</v>
      </c>
      <c r="N37" s="298" t="s">
        <v>498</v>
      </c>
      <c r="O37" s="274" t="s">
        <v>499</v>
      </c>
      <c r="P37" s="295">
        <v>17</v>
      </c>
      <c r="Q37" s="274">
        <f t="shared" si="6"/>
        <v>2550</v>
      </c>
    </row>
    <row r="38" s="274" customFormat="1" spans="1:19">
      <c r="A38" s="290">
        <v>44982</v>
      </c>
      <c r="B38" s="274" t="s">
        <v>411</v>
      </c>
      <c r="D38" s="274" t="s">
        <v>108</v>
      </c>
      <c r="E38" s="293">
        <v>25</v>
      </c>
      <c r="F38" s="293" t="s">
        <v>494</v>
      </c>
      <c r="G38" s="293" t="s">
        <v>495</v>
      </c>
      <c r="H38" s="294">
        <v>1</v>
      </c>
      <c r="I38" s="295">
        <v>17</v>
      </c>
      <c r="J38" s="293" t="s">
        <v>496</v>
      </c>
      <c r="K38" s="296">
        <f t="shared" si="5"/>
        <v>425</v>
      </c>
      <c r="L38" s="274" t="s">
        <v>571</v>
      </c>
      <c r="M38" s="297">
        <f>SUM(K36:K39)</f>
        <v>4900</v>
      </c>
      <c r="N38" s="298" t="s">
        <v>498</v>
      </c>
      <c r="O38" s="274" t="s">
        <v>499</v>
      </c>
      <c r="P38" s="295">
        <v>17</v>
      </c>
      <c r="Q38" s="274">
        <v>850</v>
      </c>
    </row>
    <row r="39" s="274" customFormat="1" spans="1:19">
      <c r="A39" s="290">
        <v>44982</v>
      </c>
      <c r="B39" s="274" t="s">
        <v>411</v>
      </c>
      <c r="C39" s="312" t="s">
        <v>542</v>
      </c>
      <c r="D39" s="274" t="s">
        <v>543</v>
      </c>
      <c r="E39" s="293">
        <v>25</v>
      </c>
      <c r="F39" s="293" t="s">
        <v>494</v>
      </c>
      <c r="G39" s="293" t="s">
        <v>495</v>
      </c>
      <c r="H39" s="294">
        <v>1</v>
      </c>
      <c r="I39" s="295">
        <v>17</v>
      </c>
      <c r="J39" s="293" t="s">
        <v>496</v>
      </c>
      <c r="K39" s="296">
        <f t="shared" si="5"/>
        <v>425</v>
      </c>
      <c r="L39" s="274" t="s">
        <v>544</v>
      </c>
      <c r="N39" s="298" t="s">
        <v>498</v>
      </c>
      <c r="O39" s="274" t="s">
        <v>499</v>
      </c>
      <c r="P39" s="295">
        <v>17</v>
      </c>
      <c r="Q39" s="274">
        <v>2125</v>
      </c>
      <c r="R39" s="274">
        <v>2873</v>
      </c>
    </row>
    <row r="40" s="224" customFormat="1" ht="18" customHeight="1" spans="1:19">
      <c r="A40" s="299">
        <v>44984</v>
      </c>
      <c r="B40" s="224" t="s">
        <v>572</v>
      </c>
      <c r="C40" s="305" t="s">
        <v>531</v>
      </c>
      <c r="D40" s="306" t="s">
        <v>268</v>
      </c>
      <c r="E40" s="301">
        <v>28</v>
      </c>
      <c r="F40" s="301" t="s">
        <v>494</v>
      </c>
      <c r="G40" s="301" t="s">
        <v>495</v>
      </c>
      <c r="H40" s="302">
        <v>5</v>
      </c>
      <c r="I40" s="307">
        <v>9</v>
      </c>
      <c r="J40" s="301" t="s">
        <v>496</v>
      </c>
      <c r="K40" s="303">
        <f t="shared" si="5"/>
        <v>1260</v>
      </c>
      <c r="L40" s="305" t="s">
        <v>532</v>
      </c>
      <c r="M40" s="308">
        <f>K40</f>
        <v>1260</v>
      </c>
      <c r="N40" s="304" t="s">
        <v>498</v>
      </c>
      <c r="O40" s="224" t="s">
        <v>533</v>
      </c>
      <c r="P40" s="307">
        <v>9</v>
      </c>
    </row>
    <row r="41" s="274" customFormat="1" spans="1:19">
      <c r="A41" s="290">
        <v>44985</v>
      </c>
      <c r="B41" s="274" t="s">
        <v>371</v>
      </c>
      <c r="C41" s="312" t="s">
        <v>545</v>
      </c>
      <c r="D41" s="274" t="s">
        <v>546</v>
      </c>
      <c r="E41" s="293">
        <v>24</v>
      </c>
      <c r="F41" s="293" t="s">
        <v>494</v>
      </c>
      <c r="G41" s="293" t="s">
        <v>495</v>
      </c>
      <c r="H41" s="294">
        <v>1</v>
      </c>
      <c r="I41" s="295">
        <v>17</v>
      </c>
      <c r="J41" s="293" t="s">
        <v>496</v>
      </c>
      <c r="K41" s="296">
        <f t="shared" si="5"/>
        <v>408</v>
      </c>
      <c r="L41" s="274" t="s">
        <v>544</v>
      </c>
      <c r="N41" s="298" t="s">
        <v>498</v>
      </c>
      <c r="O41" s="274" t="s">
        <v>499</v>
      </c>
      <c r="P41" s="295">
        <v>17</v>
      </c>
      <c r="Q41" s="274">
        <v>2125</v>
      </c>
      <c r="R41" s="274">
        <v>2873</v>
      </c>
    </row>
    <row r="42" s="274" customFormat="1" spans="1:19">
      <c r="A42" s="290">
        <v>44985</v>
      </c>
      <c r="B42" s="274" t="s">
        <v>371</v>
      </c>
      <c r="C42" s="312">
        <v>201208</v>
      </c>
      <c r="D42" s="274" t="s">
        <v>573</v>
      </c>
      <c r="E42" s="293">
        <v>24</v>
      </c>
      <c r="F42" s="293" t="s">
        <v>494</v>
      </c>
      <c r="G42" s="293" t="s">
        <v>495</v>
      </c>
      <c r="H42" s="294">
        <v>5</v>
      </c>
      <c r="I42" s="295">
        <v>17</v>
      </c>
      <c r="J42" s="293" t="s">
        <v>496</v>
      </c>
      <c r="K42" s="296">
        <f t="shared" si="5"/>
        <v>2040</v>
      </c>
      <c r="L42" s="274" t="s">
        <v>574</v>
      </c>
      <c r="N42" s="298" t="s">
        <v>498</v>
      </c>
      <c r="O42" s="274" t="s">
        <v>499</v>
      </c>
      <c r="P42" s="295">
        <v>17</v>
      </c>
      <c r="Q42" s="274">
        <v>2125</v>
      </c>
      <c r="R42" s="274">
        <v>2873</v>
      </c>
    </row>
    <row r="43" s="274" customFormat="1" spans="1:19">
      <c r="A43" s="290">
        <v>44985</v>
      </c>
      <c r="B43" s="274" t="s">
        <v>371</v>
      </c>
      <c r="C43" s="312" t="s">
        <v>395</v>
      </c>
      <c r="D43" s="274" t="s">
        <v>575</v>
      </c>
      <c r="E43" s="293">
        <v>26</v>
      </c>
      <c r="F43" s="293" t="s">
        <v>494</v>
      </c>
      <c r="G43" s="293" t="s">
        <v>495</v>
      </c>
      <c r="H43" s="294">
        <v>2</v>
      </c>
      <c r="I43" s="295">
        <v>17</v>
      </c>
      <c r="J43" s="293" t="s">
        <v>496</v>
      </c>
      <c r="K43" s="296">
        <f t="shared" si="5"/>
        <v>884</v>
      </c>
      <c r="L43" s="291" t="s">
        <v>496</v>
      </c>
      <c r="M43" s="274">
        <f>SUM(K41:K43)</f>
        <v>3332</v>
      </c>
      <c r="N43" s="298" t="s">
        <v>498</v>
      </c>
      <c r="O43" s="274" t="s">
        <v>499</v>
      </c>
      <c r="P43" s="319">
        <v>17</v>
      </c>
      <c r="Q43" s="274">
        <f t="shared" ref="Q43:Q46" si="7">SUM(E43*H43*P43)</f>
        <v>884</v>
      </c>
      <c r="R43" s="293"/>
      <c r="S43" s="291"/>
    </row>
    <row r="44" s="274" customFormat="1" spans="1:19">
      <c r="A44" s="290">
        <v>44988</v>
      </c>
      <c r="B44" s="274" t="s">
        <v>404</v>
      </c>
      <c r="C44" s="312"/>
      <c r="D44" s="274" t="s">
        <v>86</v>
      </c>
      <c r="E44" s="293">
        <v>25</v>
      </c>
      <c r="F44" s="293" t="s">
        <v>494</v>
      </c>
      <c r="G44" s="293" t="s">
        <v>495</v>
      </c>
      <c r="H44" s="294">
        <v>10</v>
      </c>
      <c r="I44" s="295">
        <v>17</v>
      </c>
      <c r="J44" s="293" t="s">
        <v>496</v>
      </c>
      <c r="K44" s="296">
        <f t="shared" si="5"/>
        <v>4250</v>
      </c>
      <c r="L44" s="291" t="s">
        <v>496</v>
      </c>
      <c r="N44" s="298" t="s">
        <v>498</v>
      </c>
      <c r="O44" s="274" t="s">
        <v>499</v>
      </c>
      <c r="P44" s="295">
        <v>17</v>
      </c>
      <c r="Q44" s="274">
        <f t="shared" si="7"/>
        <v>4250</v>
      </c>
    </row>
    <row r="45" s="224" customFormat="1" ht="18" customHeight="1" spans="1:19">
      <c r="A45" s="299">
        <v>44989</v>
      </c>
      <c r="B45" s="224" t="s">
        <v>421</v>
      </c>
      <c r="C45" s="305" t="s">
        <v>493</v>
      </c>
      <c r="D45" s="306" t="s">
        <v>268</v>
      </c>
      <c r="E45" s="301">
        <v>35</v>
      </c>
      <c r="F45" s="301" t="s">
        <v>494</v>
      </c>
      <c r="G45" s="301" t="s">
        <v>495</v>
      </c>
      <c r="H45" s="302">
        <v>22</v>
      </c>
      <c r="I45" s="307">
        <v>9</v>
      </c>
      <c r="J45" s="301" t="s">
        <v>496</v>
      </c>
      <c r="K45" s="303">
        <f t="shared" si="5"/>
        <v>6930</v>
      </c>
      <c r="L45" s="305" t="s">
        <v>497</v>
      </c>
      <c r="M45" s="308">
        <f>K45</f>
        <v>6930</v>
      </c>
      <c r="N45" s="304" t="s">
        <v>498</v>
      </c>
      <c r="O45" s="224" t="s">
        <v>499</v>
      </c>
      <c r="P45" s="307">
        <v>9</v>
      </c>
      <c r="Q45" s="224">
        <f t="shared" si="7"/>
        <v>6930</v>
      </c>
    </row>
    <row r="46" s="274" customFormat="1" spans="1:19">
      <c r="A46" s="290">
        <v>44991</v>
      </c>
      <c r="B46" s="274" t="s">
        <v>576</v>
      </c>
      <c r="C46" s="291" t="s">
        <v>513</v>
      </c>
      <c r="D46" s="292" t="s">
        <v>514</v>
      </c>
      <c r="E46" s="293">
        <v>0.4</v>
      </c>
      <c r="F46" s="293" t="s">
        <v>494</v>
      </c>
      <c r="G46" s="293" t="s">
        <v>495</v>
      </c>
      <c r="H46" s="294">
        <v>4</v>
      </c>
      <c r="I46" s="295">
        <v>20</v>
      </c>
      <c r="J46" s="293" t="s">
        <v>496</v>
      </c>
      <c r="K46" s="296">
        <f>H46*I46</f>
        <v>80</v>
      </c>
      <c r="L46" s="291" t="s">
        <v>577</v>
      </c>
      <c r="M46" s="320"/>
      <c r="N46" s="298" t="s">
        <v>123</v>
      </c>
      <c r="O46" s="274" t="s">
        <v>512</v>
      </c>
      <c r="P46" s="274">
        <v>0</v>
      </c>
    </row>
    <row r="47" s="274" customFormat="1" ht="18" customHeight="1" spans="1:19">
      <c r="A47" s="290">
        <v>44991</v>
      </c>
      <c r="B47" s="274" t="s">
        <v>576</v>
      </c>
      <c r="C47" s="291" t="s">
        <v>551</v>
      </c>
      <c r="D47" s="292" t="s">
        <v>552</v>
      </c>
      <c r="E47" s="293">
        <v>180</v>
      </c>
      <c r="F47" s="293" t="s">
        <v>494</v>
      </c>
      <c r="G47" s="293" t="s">
        <v>495</v>
      </c>
      <c r="H47" s="294">
        <v>1</v>
      </c>
      <c r="I47" s="295">
        <v>5.5</v>
      </c>
      <c r="J47" s="293" t="s">
        <v>496</v>
      </c>
      <c r="K47" s="296">
        <f t="shared" ref="K47:K58" si="8">SUM(E47*H47*I47)</f>
        <v>990</v>
      </c>
      <c r="L47" s="297" t="s">
        <v>537</v>
      </c>
      <c r="M47" s="297"/>
      <c r="N47" s="298" t="s">
        <v>498</v>
      </c>
      <c r="O47" s="274" t="s">
        <v>512</v>
      </c>
      <c r="P47" s="295">
        <v>6.5</v>
      </c>
      <c r="Q47" s="274">
        <f t="shared" ref="Q47:Q49" si="9">SUM(E47*H47*P47)</f>
        <v>1170</v>
      </c>
    </row>
    <row r="48" s="274" customFormat="1" ht="18" customHeight="1" spans="1:19">
      <c r="A48" s="290">
        <v>44991</v>
      </c>
      <c r="B48" s="274" t="s">
        <v>576</v>
      </c>
      <c r="C48" s="291" t="s">
        <v>520</v>
      </c>
      <c r="D48" s="292" t="s">
        <v>60</v>
      </c>
      <c r="E48" s="293">
        <v>25</v>
      </c>
      <c r="F48" s="293" t="s">
        <v>494</v>
      </c>
      <c r="G48" s="293" t="s">
        <v>495</v>
      </c>
      <c r="H48" s="294">
        <v>5</v>
      </c>
      <c r="I48" s="295">
        <v>10.3</v>
      </c>
      <c r="J48" s="293" t="s">
        <v>496</v>
      </c>
      <c r="K48" s="296">
        <f t="shared" si="8"/>
        <v>1287.5</v>
      </c>
      <c r="L48" s="291" t="s">
        <v>521</v>
      </c>
      <c r="M48" s="297">
        <f>SUM(K46:K48)</f>
        <v>2357.5</v>
      </c>
      <c r="N48" s="298" t="s">
        <v>498</v>
      </c>
      <c r="O48" s="274" t="s">
        <v>512</v>
      </c>
      <c r="P48" s="295">
        <v>12.5</v>
      </c>
      <c r="Q48" s="274">
        <f t="shared" si="9"/>
        <v>1562.5</v>
      </c>
      <c r="R48" s="274">
        <f>SUM(Q47:Q48)</f>
        <v>2732.5</v>
      </c>
    </row>
    <row r="49" s="224" customFormat="1" ht="18" customHeight="1" spans="1:18">
      <c r="A49" s="299">
        <v>44994</v>
      </c>
      <c r="B49" s="224" t="s">
        <v>423</v>
      </c>
      <c r="C49" s="305" t="s">
        <v>509</v>
      </c>
      <c r="D49" s="306" t="s">
        <v>268</v>
      </c>
      <c r="E49" s="301">
        <v>35</v>
      </c>
      <c r="F49" s="301" t="s">
        <v>494</v>
      </c>
      <c r="G49" s="301" t="s">
        <v>495</v>
      </c>
      <c r="H49" s="302">
        <v>10</v>
      </c>
      <c r="I49" s="307">
        <v>8.3</v>
      </c>
      <c r="J49" s="301" t="s">
        <v>496</v>
      </c>
      <c r="K49" s="303">
        <f t="shared" si="8"/>
        <v>2905</v>
      </c>
      <c r="L49" s="305" t="s">
        <v>519</v>
      </c>
      <c r="M49" s="308"/>
      <c r="N49" s="304" t="s">
        <v>511</v>
      </c>
      <c r="O49" s="224" t="s">
        <v>512</v>
      </c>
      <c r="P49" s="307">
        <v>9.5</v>
      </c>
      <c r="Q49" s="224">
        <f t="shared" si="9"/>
        <v>3325</v>
      </c>
    </row>
    <row r="50" s="274" customFormat="1" ht="18" customHeight="1" spans="1:18">
      <c r="A50" s="290">
        <v>44994</v>
      </c>
      <c r="B50" s="274" t="s">
        <v>424</v>
      </c>
      <c r="C50" s="291" t="s">
        <v>578</v>
      </c>
      <c r="D50" s="292" t="s">
        <v>579</v>
      </c>
      <c r="E50" s="293">
        <v>20</v>
      </c>
      <c r="F50" s="293" t="s">
        <v>494</v>
      </c>
      <c r="G50" s="293" t="s">
        <v>495</v>
      </c>
      <c r="H50" s="294">
        <v>1</v>
      </c>
      <c r="I50" s="295">
        <v>21.5</v>
      </c>
      <c r="J50" s="293" t="s">
        <v>496</v>
      </c>
      <c r="K50" s="296">
        <f t="shared" si="8"/>
        <v>430</v>
      </c>
      <c r="L50" s="291" t="s">
        <v>580</v>
      </c>
      <c r="M50" s="297"/>
      <c r="N50" s="298" t="s">
        <v>498</v>
      </c>
      <c r="O50" s="274" t="s">
        <v>533</v>
      </c>
      <c r="P50" s="295"/>
    </row>
    <row r="51" s="274" customFormat="1" ht="18" customHeight="1" spans="1:18">
      <c r="A51" s="290">
        <v>44994</v>
      </c>
      <c r="B51" s="274" t="s">
        <v>424</v>
      </c>
      <c r="C51" s="291" t="s">
        <v>83</v>
      </c>
      <c r="D51" s="292" t="s">
        <v>84</v>
      </c>
      <c r="E51" s="293">
        <v>20</v>
      </c>
      <c r="F51" s="293" t="s">
        <v>494</v>
      </c>
      <c r="G51" s="293" t="s">
        <v>495</v>
      </c>
      <c r="H51" s="294">
        <v>1</v>
      </c>
      <c r="I51" s="295">
        <v>17</v>
      </c>
      <c r="J51" s="293" t="s">
        <v>496</v>
      </c>
      <c r="K51" s="296">
        <f t="shared" si="8"/>
        <v>340</v>
      </c>
      <c r="L51" s="291" t="s">
        <v>496</v>
      </c>
      <c r="M51" s="297"/>
      <c r="N51" s="298" t="s">
        <v>498</v>
      </c>
      <c r="O51" s="274" t="s">
        <v>533</v>
      </c>
      <c r="P51" s="295"/>
    </row>
    <row r="52" s="224" customFormat="1" ht="18" customHeight="1" spans="1:18">
      <c r="A52" s="299">
        <v>44995</v>
      </c>
      <c r="B52" s="224" t="s">
        <v>367</v>
      </c>
      <c r="C52" s="305" t="s">
        <v>531</v>
      </c>
      <c r="D52" s="306" t="s">
        <v>268</v>
      </c>
      <c r="E52" s="301">
        <v>28</v>
      </c>
      <c r="F52" s="301" t="s">
        <v>494</v>
      </c>
      <c r="G52" s="301" t="s">
        <v>495</v>
      </c>
      <c r="H52" s="302">
        <v>10</v>
      </c>
      <c r="I52" s="307">
        <v>9</v>
      </c>
      <c r="J52" s="301" t="s">
        <v>496</v>
      </c>
      <c r="K52" s="303">
        <f t="shared" si="8"/>
        <v>2520</v>
      </c>
      <c r="L52" s="305" t="s">
        <v>532</v>
      </c>
      <c r="M52" s="308">
        <f>K52</f>
        <v>2520</v>
      </c>
      <c r="N52" s="304" t="s">
        <v>498</v>
      </c>
      <c r="O52" s="224" t="s">
        <v>533</v>
      </c>
      <c r="P52" s="307">
        <v>9</v>
      </c>
    </row>
    <row r="53" s="274" customFormat="1" spans="1:18">
      <c r="A53" s="290">
        <v>44995</v>
      </c>
      <c r="B53" s="274" t="s">
        <v>407</v>
      </c>
      <c r="C53" s="312" t="s">
        <v>581</v>
      </c>
      <c r="D53" s="274" t="s">
        <v>191</v>
      </c>
      <c r="E53" s="293">
        <v>20</v>
      </c>
      <c r="F53" s="293" t="s">
        <v>494</v>
      </c>
      <c r="G53" s="293" t="s">
        <v>495</v>
      </c>
      <c r="H53" s="294">
        <v>3</v>
      </c>
      <c r="I53" s="295">
        <v>21.5</v>
      </c>
      <c r="J53" s="293" t="s">
        <v>496</v>
      </c>
      <c r="K53" s="296">
        <f t="shared" ref="K53:K76" si="10">SUM(E53*H53*I53)</f>
        <v>1290</v>
      </c>
      <c r="L53" s="274" t="s">
        <v>502</v>
      </c>
      <c r="M53" s="297"/>
      <c r="N53" s="298" t="s">
        <v>498</v>
      </c>
      <c r="O53" s="274" t="s">
        <v>499</v>
      </c>
      <c r="P53" s="295">
        <v>21.5</v>
      </c>
      <c r="Q53" s="274">
        <f>SUM(E53*H53*P53)</f>
        <v>1290</v>
      </c>
    </row>
    <row r="54" s="274" customFormat="1" spans="1:18">
      <c r="A54" s="290">
        <v>44995</v>
      </c>
      <c r="B54" s="274" t="s">
        <v>407</v>
      </c>
      <c r="C54" s="312" t="s">
        <v>542</v>
      </c>
      <c r="D54" s="274" t="s">
        <v>543</v>
      </c>
      <c r="E54" s="293">
        <v>25</v>
      </c>
      <c r="F54" s="293" t="s">
        <v>494</v>
      </c>
      <c r="G54" s="293" t="s">
        <v>495</v>
      </c>
      <c r="H54" s="294">
        <v>1</v>
      </c>
      <c r="I54" s="295">
        <v>17</v>
      </c>
      <c r="J54" s="293" t="s">
        <v>496</v>
      </c>
      <c r="K54" s="296">
        <f t="shared" si="10"/>
        <v>425</v>
      </c>
      <c r="L54" s="274" t="s">
        <v>544</v>
      </c>
      <c r="N54" s="298" t="s">
        <v>498</v>
      </c>
      <c r="O54" s="274" t="s">
        <v>499</v>
      </c>
      <c r="P54" s="295">
        <v>17</v>
      </c>
      <c r="Q54" s="274">
        <f t="shared" ref="Q54:Q64" si="11">SUM(E54*H54*P54)</f>
        <v>425</v>
      </c>
      <c r="R54" s="274">
        <v>2873</v>
      </c>
    </row>
    <row r="55" s="274" customFormat="1" spans="1:18">
      <c r="A55" s="290">
        <v>44995</v>
      </c>
      <c r="B55" s="274" t="s">
        <v>407</v>
      </c>
      <c r="C55" s="312" t="s">
        <v>545</v>
      </c>
      <c r="D55" s="274" t="s">
        <v>546</v>
      </c>
      <c r="E55" s="293">
        <v>23</v>
      </c>
      <c r="F55" s="293" t="s">
        <v>494</v>
      </c>
      <c r="G55" s="293" t="s">
        <v>495</v>
      </c>
      <c r="H55" s="294">
        <v>1</v>
      </c>
      <c r="I55" s="295">
        <v>17</v>
      </c>
      <c r="J55" s="293" t="s">
        <v>496</v>
      </c>
      <c r="K55" s="296">
        <f t="shared" si="10"/>
        <v>391</v>
      </c>
      <c r="L55" s="274" t="s">
        <v>544</v>
      </c>
      <c r="N55" s="298" t="s">
        <v>498</v>
      </c>
      <c r="O55" s="274" t="s">
        <v>499</v>
      </c>
      <c r="P55" s="295">
        <v>17</v>
      </c>
      <c r="Q55" s="274">
        <f t="shared" si="11"/>
        <v>391</v>
      </c>
      <c r="R55" s="274">
        <v>2873</v>
      </c>
    </row>
    <row r="56" s="274" customFormat="1" spans="1:18">
      <c r="A56" s="290">
        <v>44995</v>
      </c>
      <c r="B56" s="274" t="s">
        <v>407</v>
      </c>
      <c r="D56" s="274" t="s">
        <v>108</v>
      </c>
      <c r="E56" s="293">
        <v>25</v>
      </c>
      <c r="F56" s="293" t="s">
        <v>494</v>
      </c>
      <c r="G56" s="293" t="s">
        <v>495</v>
      </c>
      <c r="H56" s="294">
        <v>1</v>
      </c>
      <c r="I56" s="295">
        <v>17</v>
      </c>
      <c r="J56" s="293" t="s">
        <v>496</v>
      </c>
      <c r="K56" s="296">
        <f t="shared" si="10"/>
        <v>425</v>
      </c>
      <c r="L56" s="274" t="s">
        <v>571</v>
      </c>
      <c r="M56" s="297"/>
      <c r="N56" s="298" t="s">
        <v>498</v>
      </c>
      <c r="O56" s="274" t="s">
        <v>499</v>
      </c>
      <c r="P56" s="295">
        <v>17</v>
      </c>
      <c r="Q56" s="274">
        <f t="shared" si="11"/>
        <v>425</v>
      </c>
    </row>
    <row r="57" s="274" customFormat="1" spans="1:18">
      <c r="A57" s="290">
        <v>44995</v>
      </c>
      <c r="B57" s="274" t="s">
        <v>407</v>
      </c>
      <c r="C57" s="274" t="s">
        <v>21</v>
      </c>
      <c r="D57" s="274" t="s">
        <v>582</v>
      </c>
      <c r="E57" s="293">
        <v>18</v>
      </c>
      <c r="F57" s="293" t="s">
        <v>494</v>
      </c>
      <c r="G57" s="293" t="s">
        <v>495</v>
      </c>
      <c r="H57" s="294">
        <v>1</v>
      </c>
      <c r="I57" s="295">
        <v>21.5</v>
      </c>
      <c r="J57" s="293" t="s">
        <v>496</v>
      </c>
      <c r="K57" s="296">
        <f t="shared" si="10"/>
        <v>387</v>
      </c>
      <c r="L57" s="274" t="s">
        <v>583</v>
      </c>
      <c r="M57" s="297"/>
      <c r="N57" s="298" t="s">
        <v>498</v>
      </c>
      <c r="O57" s="274" t="s">
        <v>499</v>
      </c>
      <c r="P57" s="295">
        <v>17</v>
      </c>
      <c r="Q57" s="274">
        <f t="shared" si="11"/>
        <v>306</v>
      </c>
    </row>
    <row r="58" s="274" customFormat="1" spans="1:18">
      <c r="A58" s="290">
        <v>44995</v>
      </c>
      <c r="B58" s="274" t="s">
        <v>407</v>
      </c>
      <c r="C58" s="274" t="s">
        <v>21</v>
      </c>
      <c r="D58" s="274" t="s">
        <v>22</v>
      </c>
      <c r="E58" s="293">
        <v>18</v>
      </c>
      <c r="F58" s="293" t="s">
        <v>494</v>
      </c>
      <c r="G58" s="293" t="s">
        <v>495</v>
      </c>
      <c r="H58" s="294">
        <v>1</v>
      </c>
      <c r="I58" s="295">
        <v>9.5</v>
      </c>
      <c r="J58" s="293" t="s">
        <v>496</v>
      </c>
      <c r="K58" s="296">
        <f t="shared" si="10"/>
        <v>171</v>
      </c>
      <c r="L58" s="274" t="s">
        <v>496</v>
      </c>
      <c r="M58" s="297">
        <f>SUM(K53:K58)</f>
        <v>3089</v>
      </c>
      <c r="N58" s="298" t="s">
        <v>498</v>
      </c>
      <c r="O58" s="274" t="s">
        <v>499</v>
      </c>
      <c r="P58" s="295">
        <v>17</v>
      </c>
      <c r="Q58" s="274">
        <f t="shared" si="11"/>
        <v>306</v>
      </c>
    </row>
    <row r="59" s="224" customFormat="1" ht="18" customHeight="1" spans="1:18">
      <c r="A59" s="299">
        <v>44996</v>
      </c>
      <c r="B59" s="224" t="s">
        <v>473</v>
      </c>
      <c r="C59" s="305" t="s">
        <v>83</v>
      </c>
      <c r="D59" s="306" t="s">
        <v>84</v>
      </c>
      <c r="E59" s="301">
        <v>20</v>
      </c>
      <c r="F59" s="301" t="s">
        <v>494</v>
      </c>
      <c r="G59" s="301" t="s">
        <v>495</v>
      </c>
      <c r="H59" s="302">
        <v>1</v>
      </c>
      <c r="I59" s="307">
        <v>17</v>
      </c>
      <c r="J59" s="301" t="s">
        <v>496</v>
      </c>
      <c r="K59" s="303">
        <f t="shared" si="10"/>
        <v>340</v>
      </c>
      <c r="L59" s="305" t="s">
        <v>496</v>
      </c>
      <c r="M59" s="308"/>
      <c r="N59" s="304" t="s">
        <v>498</v>
      </c>
      <c r="O59" s="224" t="s">
        <v>533</v>
      </c>
      <c r="P59" s="307"/>
      <c r="Q59" s="274">
        <f t="shared" si="11"/>
        <v>0</v>
      </c>
    </row>
    <row r="60" s="274" customFormat="1" ht="18" customHeight="1" spans="1:18">
      <c r="A60" s="290">
        <v>44998</v>
      </c>
      <c r="B60" s="274" t="s">
        <v>401</v>
      </c>
      <c r="C60" s="291" t="s">
        <v>531</v>
      </c>
      <c r="D60" s="292" t="s">
        <v>268</v>
      </c>
      <c r="E60" s="293">
        <v>28</v>
      </c>
      <c r="F60" s="293" t="s">
        <v>494</v>
      </c>
      <c r="G60" s="293" t="s">
        <v>495</v>
      </c>
      <c r="H60" s="294">
        <v>20</v>
      </c>
      <c r="I60" s="295">
        <v>9</v>
      </c>
      <c r="J60" s="293" t="s">
        <v>496</v>
      </c>
      <c r="K60" s="296">
        <f t="shared" si="10"/>
        <v>5040</v>
      </c>
      <c r="L60" s="291" t="s">
        <v>532</v>
      </c>
      <c r="M60" s="297">
        <f>K60</f>
        <v>5040</v>
      </c>
      <c r="N60" s="298" t="s">
        <v>498</v>
      </c>
      <c r="O60" s="274" t="s">
        <v>533</v>
      </c>
      <c r="P60" s="295">
        <v>9</v>
      </c>
      <c r="Q60" s="274">
        <f t="shared" si="11"/>
        <v>5040</v>
      </c>
    </row>
    <row r="61" s="224" customFormat="1" ht="18" customHeight="1" spans="1:18">
      <c r="A61" s="299">
        <v>44999</v>
      </c>
      <c r="B61" s="224" t="s">
        <v>584</v>
      </c>
      <c r="C61" s="305">
        <v>178</v>
      </c>
      <c r="D61" s="306" t="s">
        <v>73</v>
      </c>
      <c r="E61" s="301">
        <v>25</v>
      </c>
      <c r="F61" s="301" t="s">
        <v>494</v>
      </c>
      <c r="G61" s="301" t="s">
        <v>495</v>
      </c>
      <c r="H61" s="302">
        <v>1</v>
      </c>
      <c r="I61" s="307">
        <v>17</v>
      </c>
      <c r="J61" s="301" t="s">
        <v>496</v>
      </c>
      <c r="K61" s="303">
        <f t="shared" si="10"/>
        <v>425</v>
      </c>
      <c r="L61" s="305" t="s">
        <v>580</v>
      </c>
      <c r="M61" s="308"/>
      <c r="N61" s="304" t="s">
        <v>498</v>
      </c>
      <c r="O61" s="224" t="s">
        <v>533</v>
      </c>
      <c r="P61" s="307">
        <v>17</v>
      </c>
      <c r="Q61" s="274">
        <f t="shared" si="11"/>
        <v>425</v>
      </c>
    </row>
    <row r="62" s="224" customFormat="1" ht="18" customHeight="1" spans="1:18">
      <c r="A62" s="299">
        <v>44999</v>
      </c>
      <c r="B62" s="224" t="s">
        <v>584</v>
      </c>
      <c r="C62" s="305">
        <v>178</v>
      </c>
      <c r="D62" s="306" t="s">
        <v>73</v>
      </c>
      <c r="E62" s="301">
        <v>24</v>
      </c>
      <c r="F62" s="301" t="s">
        <v>494</v>
      </c>
      <c r="G62" s="301" t="s">
        <v>495</v>
      </c>
      <c r="H62" s="302">
        <v>1</v>
      </c>
      <c r="I62" s="307">
        <v>17</v>
      </c>
      <c r="J62" s="301" t="s">
        <v>496</v>
      </c>
      <c r="K62" s="303">
        <f t="shared" si="10"/>
        <v>408</v>
      </c>
      <c r="L62" s="305" t="s">
        <v>580</v>
      </c>
      <c r="M62" s="308"/>
      <c r="N62" s="304" t="s">
        <v>498</v>
      </c>
      <c r="O62" s="224" t="s">
        <v>533</v>
      </c>
      <c r="P62" s="307">
        <v>17</v>
      </c>
      <c r="Q62" s="274">
        <f t="shared" si="11"/>
        <v>408</v>
      </c>
    </row>
    <row r="63" s="224" customFormat="1" ht="18" customHeight="1" spans="1:18">
      <c r="A63" s="299">
        <v>44994</v>
      </c>
      <c r="B63" s="224" t="s">
        <v>424</v>
      </c>
      <c r="C63" s="305" t="s">
        <v>9</v>
      </c>
      <c r="D63" s="306" t="s">
        <v>10</v>
      </c>
      <c r="E63" s="301">
        <v>10</v>
      </c>
      <c r="F63" s="301" t="s">
        <v>494</v>
      </c>
      <c r="G63" s="301" t="s">
        <v>495</v>
      </c>
      <c r="H63" s="302">
        <v>2</v>
      </c>
      <c r="I63" s="307">
        <v>17</v>
      </c>
      <c r="J63" s="301" t="s">
        <v>496</v>
      </c>
      <c r="K63" s="303">
        <f t="shared" si="10"/>
        <v>340</v>
      </c>
      <c r="L63" s="305" t="s">
        <v>585</v>
      </c>
      <c r="M63" s="308"/>
      <c r="N63" s="304" t="s">
        <v>498</v>
      </c>
      <c r="O63" s="224" t="s">
        <v>533</v>
      </c>
      <c r="P63" s="307">
        <v>17</v>
      </c>
      <c r="Q63" s="274">
        <f t="shared" si="11"/>
        <v>340</v>
      </c>
    </row>
    <row r="64" s="224" customFormat="1" ht="18" customHeight="1" spans="1:18">
      <c r="A64" s="299">
        <v>44999</v>
      </c>
      <c r="B64" s="224" t="s">
        <v>584</v>
      </c>
      <c r="C64" s="305">
        <v>178</v>
      </c>
      <c r="D64" s="306" t="s">
        <v>73</v>
      </c>
      <c r="E64" s="301">
        <v>1</v>
      </c>
      <c r="F64" s="301" t="s">
        <v>494</v>
      </c>
      <c r="G64" s="301" t="s">
        <v>495</v>
      </c>
      <c r="H64" s="302">
        <v>-1</v>
      </c>
      <c r="I64" s="307">
        <v>17</v>
      </c>
      <c r="J64" s="301" t="s">
        <v>496</v>
      </c>
      <c r="K64" s="321">
        <f t="shared" si="10"/>
        <v>-17</v>
      </c>
      <c r="L64" s="305" t="s">
        <v>544</v>
      </c>
      <c r="M64" s="308">
        <f>SUM(K61:K64)</f>
        <v>1156</v>
      </c>
      <c r="N64" s="304" t="s">
        <v>498</v>
      </c>
      <c r="O64" s="224" t="s">
        <v>533</v>
      </c>
      <c r="P64" s="307">
        <v>17</v>
      </c>
      <c r="Q64" s="274">
        <f t="shared" si="11"/>
        <v>-17</v>
      </c>
    </row>
    <row r="65" s="274" customFormat="1" ht="18" customHeight="1" spans="1:18">
      <c r="A65" s="290">
        <v>44998</v>
      </c>
      <c r="B65" s="274" t="s">
        <v>403</v>
      </c>
      <c r="C65" s="312" t="s">
        <v>586</v>
      </c>
      <c r="D65" s="322" t="s">
        <v>587</v>
      </c>
      <c r="E65" s="293">
        <v>2</v>
      </c>
      <c r="F65" s="293" t="s">
        <v>494</v>
      </c>
      <c r="G65" s="293" t="s">
        <v>495</v>
      </c>
      <c r="H65" s="294">
        <v>1</v>
      </c>
      <c r="I65" s="295"/>
      <c r="J65" s="293" t="s">
        <v>496</v>
      </c>
      <c r="K65" s="296">
        <f t="shared" si="10"/>
        <v>0</v>
      </c>
      <c r="L65" s="291" t="s">
        <v>544</v>
      </c>
      <c r="M65" s="297"/>
      <c r="N65" s="298"/>
      <c r="P65" s="295">
        <v>22</v>
      </c>
    </row>
    <row r="66" s="274" customFormat="1" spans="1:18">
      <c r="A66" s="290">
        <v>44998</v>
      </c>
      <c r="B66" s="274" t="s">
        <v>403</v>
      </c>
      <c r="C66" s="312" t="s">
        <v>588</v>
      </c>
      <c r="D66" s="274" t="s">
        <v>543</v>
      </c>
      <c r="E66" s="293">
        <v>26</v>
      </c>
      <c r="F66" s="293" t="s">
        <v>494</v>
      </c>
      <c r="G66" s="293" t="s">
        <v>495</v>
      </c>
      <c r="H66" s="294">
        <v>1</v>
      </c>
      <c r="I66" s="295">
        <v>17</v>
      </c>
      <c r="J66" s="293" t="s">
        <v>496</v>
      </c>
      <c r="K66" s="296">
        <f t="shared" si="10"/>
        <v>442</v>
      </c>
      <c r="L66" s="291" t="s">
        <v>496</v>
      </c>
      <c r="N66" s="298" t="s">
        <v>498</v>
      </c>
      <c r="O66" s="274" t="s">
        <v>589</v>
      </c>
      <c r="P66" s="295">
        <v>17</v>
      </c>
      <c r="R66" s="274">
        <v>2873</v>
      </c>
    </row>
    <row r="67" s="274" customFormat="1" ht="18" customHeight="1" spans="1:18">
      <c r="A67" s="290">
        <v>44998</v>
      </c>
      <c r="B67" s="274" t="s">
        <v>403</v>
      </c>
      <c r="C67" s="291" t="s">
        <v>590</v>
      </c>
      <c r="D67" s="292" t="s">
        <v>84</v>
      </c>
      <c r="E67" s="293">
        <v>20</v>
      </c>
      <c r="F67" s="293" t="s">
        <v>494</v>
      </c>
      <c r="G67" s="293" t="s">
        <v>495</v>
      </c>
      <c r="H67" s="294">
        <v>1</v>
      </c>
      <c r="I67" s="295">
        <v>17</v>
      </c>
      <c r="J67" s="293" t="s">
        <v>496</v>
      </c>
      <c r="K67" s="296">
        <f t="shared" si="10"/>
        <v>340</v>
      </c>
      <c r="L67" s="291" t="s">
        <v>496</v>
      </c>
      <c r="M67" s="297">
        <f>SUM(K65:K67)</f>
        <v>782</v>
      </c>
      <c r="N67" s="298" t="s">
        <v>498</v>
      </c>
      <c r="O67" s="274" t="s">
        <v>589</v>
      </c>
      <c r="P67" s="295">
        <v>17</v>
      </c>
    </row>
    <row r="68" s="224" customFormat="1" ht="18" customHeight="1" spans="1:18">
      <c r="A68" s="299">
        <v>45000</v>
      </c>
      <c r="B68" s="224" t="s">
        <v>476</v>
      </c>
      <c r="C68" s="305" t="s">
        <v>591</v>
      </c>
      <c r="D68" s="306" t="s">
        <v>268</v>
      </c>
      <c r="E68" s="301">
        <v>28</v>
      </c>
      <c r="F68" s="301" t="s">
        <v>494</v>
      </c>
      <c r="G68" s="301" t="s">
        <v>495</v>
      </c>
      <c r="H68" s="302">
        <v>5</v>
      </c>
      <c r="I68" s="307">
        <v>9</v>
      </c>
      <c r="J68" s="301" t="s">
        <v>496</v>
      </c>
      <c r="K68" s="303">
        <f t="shared" si="10"/>
        <v>1260</v>
      </c>
      <c r="L68" s="305" t="s">
        <v>592</v>
      </c>
      <c r="M68" s="308">
        <f>K68</f>
        <v>1260</v>
      </c>
      <c r="N68" s="304" t="s">
        <v>498</v>
      </c>
      <c r="O68" s="224" t="s">
        <v>533</v>
      </c>
      <c r="P68" s="307">
        <v>9</v>
      </c>
      <c r="Q68" s="224">
        <f>SUM(E68*H68*P68)</f>
        <v>1260</v>
      </c>
    </row>
    <row r="69" s="274" customFormat="1" ht="18" customHeight="1" spans="1:18">
      <c r="A69" s="290">
        <v>45000</v>
      </c>
      <c r="B69" s="274" t="s">
        <v>410</v>
      </c>
      <c r="C69" s="291" t="s">
        <v>493</v>
      </c>
      <c r="D69" s="292" t="s">
        <v>268</v>
      </c>
      <c r="E69" s="293">
        <v>35</v>
      </c>
      <c r="F69" s="293" t="s">
        <v>494</v>
      </c>
      <c r="G69" s="293" t="s">
        <v>495</v>
      </c>
      <c r="H69" s="294">
        <v>10</v>
      </c>
      <c r="I69" s="295">
        <v>9</v>
      </c>
      <c r="J69" s="293" t="s">
        <v>496</v>
      </c>
      <c r="K69" s="296">
        <f t="shared" si="10"/>
        <v>3150</v>
      </c>
      <c r="L69" s="291" t="s">
        <v>497</v>
      </c>
      <c r="M69" s="297"/>
      <c r="N69" s="298" t="s">
        <v>498</v>
      </c>
      <c r="O69" s="274" t="s">
        <v>499</v>
      </c>
      <c r="P69" s="295">
        <v>9</v>
      </c>
      <c r="Q69" s="274">
        <f t="shared" ref="Q69:Q76" si="12">SUM(E69*H69*P69)</f>
        <v>3150</v>
      </c>
    </row>
    <row r="70" s="274" customFormat="1" spans="1:18">
      <c r="A70" s="290">
        <v>45000</v>
      </c>
      <c r="B70" s="274" t="s">
        <v>410</v>
      </c>
      <c r="C70" s="312"/>
      <c r="D70" s="274" t="s">
        <v>86</v>
      </c>
      <c r="E70" s="293">
        <v>25</v>
      </c>
      <c r="F70" s="293" t="s">
        <v>494</v>
      </c>
      <c r="G70" s="293" t="s">
        <v>495</v>
      </c>
      <c r="H70" s="294">
        <v>5</v>
      </c>
      <c r="I70" s="295">
        <v>17</v>
      </c>
      <c r="J70" s="293" t="s">
        <v>496</v>
      </c>
      <c r="K70" s="296">
        <f t="shared" si="10"/>
        <v>2125</v>
      </c>
      <c r="L70" s="291" t="s">
        <v>496</v>
      </c>
      <c r="N70" s="298" t="s">
        <v>498</v>
      </c>
      <c r="O70" s="274" t="s">
        <v>499</v>
      </c>
      <c r="P70" s="295">
        <v>17</v>
      </c>
      <c r="Q70" s="274">
        <f t="shared" si="12"/>
        <v>2125</v>
      </c>
    </row>
    <row r="71" s="274" customFormat="1" spans="1:18">
      <c r="A71" s="290">
        <v>45000</v>
      </c>
      <c r="B71" s="274" t="s">
        <v>410</v>
      </c>
      <c r="D71" s="274" t="s">
        <v>108</v>
      </c>
      <c r="E71" s="293">
        <v>25</v>
      </c>
      <c r="F71" s="293" t="s">
        <v>494</v>
      </c>
      <c r="G71" s="293" t="s">
        <v>495</v>
      </c>
      <c r="H71" s="294">
        <v>1</v>
      </c>
      <c r="I71" s="295">
        <v>17</v>
      </c>
      <c r="J71" s="293" t="s">
        <v>496</v>
      </c>
      <c r="K71" s="296">
        <f t="shared" si="10"/>
        <v>425</v>
      </c>
      <c r="L71" s="274" t="s">
        <v>571</v>
      </c>
      <c r="M71" s="297"/>
      <c r="N71" s="298" t="s">
        <v>498</v>
      </c>
      <c r="O71" s="274" t="s">
        <v>499</v>
      </c>
      <c r="P71" s="295">
        <v>17</v>
      </c>
      <c r="Q71" s="274">
        <v>850</v>
      </c>
    </row>
    <row r="72" s="274" customFormat="1" spans="1:18">
      <c r="A72" s="290">
        <v>45000</v>
      </c>
      <c r="B72" s="274" t="s">
        <v>410</v>
      </c>
      <c r="C72" s="312"/>
      <c r="D72" s="274" t="s">
        <v>593</v>
      </c>
      <c r="E72" s="293">
        <v>70</v>
      </c>
      <c r="F72" s="293" t="s">
        <v>494</v>
      </c>
      <c r="G72" s="293" t="s">
        <v>495</v>
      </c>
      <c r="H72" s="294">
        <v>-1</v>
      </c>
      <c r="I72" s="295">
        <v>17</v>
      </c>
      <c r="J72" s="293" t="s">
        <v>496</v>
      </c>
      <c r="K72" s="321">
        <f t="shared" si="10"/>
        <v>-1190</v>
      </c>
      <c r="L72" s="291" t="s">
        <v>594</v>
      </c>
      <c r="M72" s="274">
        <f>SUM(K69:K72)</f>
        <v>4510</v>
      </c>
      <c r="N72" s="298" t="s">
        <v>498</v>
      </c>
      <c r="O72" s="274" t="s">
        <v>499</v>
      </c>
      <c r="P72" s="295">
        <v>17</v>
      </c>
      <c r="Q72" s="274">
        <f t="shared" si="12"/>
        <v>-1190</v>
      </c>
    </row>
    <row r="73" s="198" customFormat="1" spans="1:18">
      <c r="A73" s="323">
        <v>45001</v>
      </c>
      <c r="C73" s="324" t="s">
        <v>567</v>
      </c>
      <c r="D73" s="198" t="s">
        <v>568</v>
      </c>
      <c r="E73" s="325">
        <v>20</v>
      </c>
      <c r="F73" s="325" t="s">
        <v>494</v>
      </c>
      <c r="G73" s="325" t="s">
        <v>495</v>
      </c>
      <c r="H73" s="326">
        <v>1</v>
      </c>
      <c r="I73" s="203">
        <v>21.5</v>
      </c>
      <c r="J73" s="325" t="s">
        <v>496</v>
      </c>
      <c r="K73" s="327">
        <f t="shared" si="10"/>
        <v>430</v>
      </c>
      <c r="L73" s="309" t="s">
        <v>595</v>
      </c>
      <c r="N73" s="328" t="s">
        <v>498</v>
      </c>
      <c r="O73" s="198" t="s">
        <v>499</v>
      </c>
      <c r="P73" s="203">
        <v>21.5</v>
      </c>
      <c r="Q73" s="198">
        <v>774</v>
      </c>
    </row>
    <row r="74" s="224" customFormat="1" ht="18" customHeight="1" spans="1:18">
      <c r="A74" s="299">
        <v>45001</v>
      </c>
      <c r="B74" s="224" t="s">
        <v>596</v>
      </c>
      <c r="C74" s="305" t="s">
        <v>509</v>
      </c>
      <c r="D74" s="306" t="s">
        <v>268</v>
      </c>
      <c r="E74" s="301">
        <v>35</v>
      </c>
      <c r="F74" s="301" t="s">
        <v>494</v>
      </c>
      <c r="G74" s="301" t="s">
        <v>495</v>
      </c>
      <c r="H74" s="302">
        <v>10</v>
      </c>
      <c r="I74" s="307">
        <v>8.3</v>
      </c>
      <c r="J74" s="301" t="s">
        <v>496</v>
      </c>
      <c r="K74" s="303">
        <f t="shared" si="10"/>
        <v>2905</v>
      </c>
      <c r="L74" s="305" t="s">
        <v>565</v>
      </c>
      <c r="M74" s="308"/>
      <c r="N74" s="304" t="s">
        <v>511</v>
      </c>
      <c r="O74" s="224" t="s">
        <v>512</v>
      </c>
      <c r="P74" s="307">
        <v>9.5</v>
      </c>
      <c r="Q74" s="224">
        <f t="shared" si="12"/>
        <v>3325</v>
      </c>
      <c r="R74" s="224">
        <f>SUM(Q59:Q74)</f>
        <v>16490</v>
      </c>
    </row>
    <row r="75" s="224" customFormat="1" ht="18" customHeight="1" spans="1:18">
      <c r="A75" s="299">
        <v>45001</v>
      </c>
      <c r="B75" s="224" t="s">
        <v>596</v>
      </c>
      <c r="C75" s="305" t="s">
        <v>551</v>
      </c>
      <c r="D75" s="306" t="s">
        <v>552</v>
      </c>
      <c r="E75" s="301">
        <v>180</v>
      </c>
      <c r="F75" s="301" t="s">
        <v>494</v>
      </c>
      <c r="G75" s="301" t="s">
        <v>495</v>
      </c>
      <c r="H75" s="302">
        <v>1</v>
      </c>
      <c r="I75" s="307">
        <v>5.5</v>
      </c>
      <c r="J75" s="301" t="s">
        <v>496</v>
      </c>
      <c r="K75" s="303">
        <f t="shared" si="10"/>
        <v>990</v>
      </c>
      <c r="L75" s="308" t="s">
        <v>537</v>
      </c>
      <c r="M75" s="308"/>
      <c r="N75" s="304" t="s">
        <v>498</v>
      </c>
      <c r="O75" s="224" t="s">
        <v>512</v>
      </c>
      <c r="P75" s="307">
        <v>6.5</v>
      </c>
      <c r="Q75" s="224">
        <f t="shared" si="12"/>
        <v>1170</v>
      </c>
    </row>
    <row r="76" s="224" customFormat="1" ht="18" customHeight="1" spans="1:18">
      <c r="A76" s="299">
        <v>45001</v>
      </c>
      <c r="B76" s="224" t="s">
        <v>596</v>
      </c>
      <c r="C76" s="305" t="s">
        <v>520</v>
      </c>
      <c r="D76" s="306" t="s">
        <v>60</v>
      </c>
      <c r="E76" s="301">
        <v>25</v>
      </c>
      <c r="F76" s="301" t="s">
        <v>494</v>
      </c>
      <c r="G76" s="301" t="s">
        <v>495</v>
      </c>
      <c r="H76" s="302">
        <v>5</v>
      </c>
      <c r="I76" s="307">
        <v>10.3</v>
      </c>
      <c r="J76" s="301" t="s">
        <v>496</v>
      </c>
      <c r="K76" s="303">
        <f t="shared" si="10"/>
        <v>1287.5</v>
      </c>
      <c r="L76" s="305" t="s">
        <v>521</v>
      </c>
      <c r="M76" s="308">
        <f>SUM(K74:K76)</f>
        <v>5182.5</v>
      </c>
      <c r="N76" s="304" t="s">
        <v>498</v>
      </c>
      <c r="O76" s="224" t="s">
        <v>512</v>
      </c>
      <c r="P76" s="307">
        <v>12.5</v>
      </c>
      <c r="Q76" s="224">
        <f t="shared" si="12"/>
        <v>1562.5</v>
      </c>
      <c r="R76" s="224">
        <f>SUM(Q75:Q76)</f>
        <v>2732.5</v>
      </c>
    </row>
    <row r="77" s="274" customFormat="1" spans="1:18">
      <c r="A77" s="290">
        <v>45002</v>
      </c>
      <c r="B77" s="274" t="s">
        <v>597</v>
      </c>
      <c r="C77" s="312" t="s">
        <v>542</v>
      </c>
      <c r="D77" s="274" t="s">
        <v>543</v>
      </c>
      <c r="E77" s="293">
        <v>25</v>
      </c>
      <c r="F77" s="293" t="s">
        <v>494</v>
      </c>
      <c r="G77" s="293" t="s">
        <v>495</v>
      </c>
      <c r="H77" s="294">
        <v>3</v>
      </c>
      <c r="I77" s="295">
        <v>17</v>
      </c>
      <c r="J77" s="293" t="s">
        <v>496</v>
      </c>
      <c r="K77" s="296">
        <f t="shared" ref="K77:K81" si="13">SUM(E77*H77*I77)</f>
        <v>1275</v>
      </c>
      <c r="L77" s="274" t="s">
        <v>544</v>
      </c>
      <c r="N77" s="298" t="s">
        <v>498</v>
      </c>
      <c r="O77" s="274" t="s">
        <v>499</v>
      </c>
      <c r="P77" s="295">
        <v>17</v>
      </c>
      <c r="Q77" s="274">
        <f t="shared" ref="Q77:Q81" si="14">SUM(E77*H77*P77)</f>
        <v>1275</v>
      </c>
      <c r="R77" s="274">
        <v>2873</v>
      </c>
    </row>
    <row r="78" s="274" customFormat="1" spans="1:18">
      <c r="A78" s="290">
        <v>45002</v>
      </c>
      <c r="B78" s="274" t="s">
        <v>597</v>
      </c>
      <c r="C78" s="312" t="s">
        <v>545</v>
      </c>
      <c r="D78" s="274" t="s">
        <v>546</v>
      </c>
      <c r="E78" s="293">
        <v>23</v>
      </c>
      <c r="F78" s="293" t="s">
        <v>494</v>
      </c>
      <c r="G78" s="293" t="s">
        <v>495</v>
      </c>
      <c r="H78" s="294">
        <v>3</v>
      </c>
      <c r="I78" s="295">
        <v>17</v>
      </c>
      <c r="J78" s="293" t="s">
        <v>496</v>
      </c>
      <c r="K78" s="296">
        <f t="shared" si="13"/>
        <v>1173</v>
      </c>
      <c r="L78" s="274" t="s">
        <v>544</v>
      </c>
      <c r="N78" s="298" t="s">
        <v>498</v>
      </c>
      <c r="O78" s="274" t="s">
        <v>499</v>
      </c>
      <c r="P78" s="295">
        <v>17</v>
      </c>
      <c r="Q78" s="274">
        <f t="shared" si="14"/>
        <v>1173</v>
      </c>
      <c r="R78" s="274">
        <v>2873</v>
      </c>
    </row>
    <row r="79" s="274" customFormat="1" spans="1:18">
      <c r="A79" s="290">
        <v>45002</v>
      </c>
      <c r="B79" s="274" t="s">
        <v>597</v>
      </c>
      <c r="C79" s="311" t="s">
        <v>567</v>
      </c>
      <c r="D79" s="274" t="s">
        <v>568</v>
      </c>
      <c r="E79" s="293">
        <v>20</v>
      </c>
      <c r="F79" s="293" t="s">
        <v>494</v>
      </c>
      <c r="G79" s="293" t="s">
        <v>495</v>
      </c>
      <c r="H79" s="294">
        <v>2</v>
      </c>
      <c r="I79" s="295">
        <v>21.5</v>
      </c>
      <c r="J79" s="293" t="s">
        <v>496</v>
      </c>
      <c r="K79" s="296">
        <f t="shared" si="13"/>
        <v>860</v>
      </c>
      <c r="L79" s="291" t="s">
        <v>569</v>
      </c>
      <c r="N79" s="298" t="s">
        <v>498</v>
      </c>
      <c r="O79" s="274" t="s">
        <v>499</v>
      </c>
      <c r="P79" s="295">
        <v>21.5</v>
      </c>
      <c r="Q79" s="274">
        <v>774</v>
      </c>
    </row>
    <row r="80" s="274" customFormat="1" spans="1:18">
      <c r="A80" s="290">
        <v>45002</v>
      </c>
      <c r="B80" s="274" t="s">
        <v>597</v>
      </c>
      <c r="C80" s="274" t="s">
        <v>21</v>
      </c>
      <c r="D80" s="274" t="s">
        <v>582</v>
      </c>
      <c r="E80" s="293">
        <v>18</v>
      </c>
      <c r="F80" s="293" t="s">
        <v>494</v>
      </c>
      <c r="G80" s="293" t="s">
        <v>495</v>
      </c>
      <c r="H80" s="294">
        <v>1</v>
      </c>
      <c r="I80" s="295">
        <v>21.5</v>
      </c>
      <c r="J80" s="293" t="s">
        <v>496</v>
      </c>
      <c r="K80" s="296">
        <f t="shared" si="13"/>
        <v>387</v>
      </c>
      <c r="L80" s="274" t="s">
        <v>583</v>
      </c>
      <c r="M80" s="297"/>
      <c r="N80" s="298" t="s">
        <v>498</v>
      </c>
      <c r="O80" s="274" t="s">
        <v>499</v>
      </c>
      <c r="P80" s="295">
        <v>17</v>
      </c>
      <c r="Q80" s="274">
        <f t="shared" si="14"/>
        <v>306</v>
      </c>
    </row>
    <row r="81" s="274" customFormat="1" spans="1:19">
      <c r="A81" s="290">
        <v>45002</v>
      </c>
      <c r="B81" s="274" t="s">
        <v>597</v>
      </c>
      <c r="C81" s="274" t="s">
        <v>21</v>
      </c>
      <c r="D81" s="274" t="s">
        <v>22</v>
      </c>
      <c r="E81" s="293">
        <v>18</v>
      </c>
      <c r="F81" s="293" t="s">
        <v>494</v>
      </c>
      <c r="G81" s="293" t="s">
        <v>495</v>
      </c>
      <c r="H81" s="294">
        <v>1</v>
      </c>
      <c r="I81" s="295">
        <v>9.5</v>
      </c>
      <c r="J81" s="293" t="s">
        <v>496</v>
      </c>
      <c r="K81" s="296">
        <f t="shared" si="13"/>
        <v>171</v>
      </c>
      <c r="L81" s="274" t="s">
        <v>496</v>
      </c>
      <c r="M81" s="297">
        <f>SUM(K77:K81)</f>
        <v>3866</v>
      </c>
      <c r="N81" s="298" t="s">
        <v>498</v>
      </c>
      <c r="O81" s="274" t="s">
        <v>499</v>
      </c>
      <c r="P81" s="295">
        <v>17</v>
      </c>
      <c r="Q81" s="274">
        <f t="shared" si="14"/>
        <v>306</v>
      </c>
    </row>
    <row r="82" s="224" customFormat="1" ht="18" customHeight="1" spans="1:19">
      <c r="A82" s="299">
        <v>45003</v>
      </c>
      <c r="B82" s="224" t="s">
        <v>598</v>
      </c>
      <c r="C82" s="305" t="s">
        <v>493</v>
      </c>
      <c r="D82" s="306" t="s">
        <v>268</v>
      </c>
      <c r="E82" s="301">
        <v>35</v>
      </c>
      <c r="F82" s="301" t="s">
        <v>494</v>
      </c>
      <c r="G82" s="301" t="s">
        <v>495</v>
      </c>
      <c r="H82" s="302">
        <v>15</v>
      </c>
      <c r="I82" s="307">
        <v>9</v>
      </c>
      <c r="J82" s="301" t="s">
        <v>496</v>
      </c>
      <c r="K82" s="303">
        <f t="shared" ref="K82:K102" si="15">SUM(E82*H82*I82)</f>
        <v>4725</v>
      </c>
      <c r="L82" s="305" t="s">
        <v>497</v>
      </c>
      <c r="M82" s="308">
        <f>K82</f>
        <v>4725</v>
      </c>
      <c r="N82" s="304" t="s">
        <v>498</v>
      </c>
      <c r="O82" s="224" t="s">
        <v>499</v>
      </c>
      <c r="P82" s="307">
        <v>9</v>
      </c>
      <c r="Q82" s="224">
        <f t="shared" ref="Q82:Q104" si="16">SUM(E82*H82*P82)</f>
        <v>4725</v>
      </c>
    </row>
    <row r="83" s="224" customFormat="1" ht="18" customHeight="1" spans="1:19">
      <c r="A83" s="299">
        <v>45003</v>
      </c>
      <c r="B83" s="224" t="s">
        <v>598</v>
      </c>
      <c r="C83" s="305" t="s">
        <v>522</v>
      </c>
      <c r="D83" s="306" t="s">
        <v>523</v>
      </c>
      <c r="E83" s="301">
        <v>25</v>
      </c>
      <c r="F83" s="301" t="s">
        <v>494</v>
      </c>
      <c r="G83" s="301" t="s">
        <v>495</v>
      </c>
      <c r="H83" s="302">
        <v>5</v>
      </c>
      <c r="I83" s="307">
        <v>12</v>
      </c>
      <c r="J83" s="301" t="s">
        <v>496</v>
      </c>
      <c r="K83" s="303">
        <f t="shared" si="15"/>
        <v>1500</v>
      </c>
      <c r="L83" s="305" t="s">
        <v>599</v>
      </c>
      <c r="M83" s="308"/>
      <c r="N83" s="304" t="s">
        <v>498</v>
      </c>
      <c r="O83" s="224" t="s">
        <v>499</v>
      </c>
      <c r="P83" s="307">
        <v>12</v>
      </c>
      <c r="Q83" s="224">
        <f t="shared" si="16"/>
        <v>1500</v>
      </c>
      <c r="R83" s="224">
        <f>SUM(Q82:Q83)</f>
        <v>6225</v>
      </c>
    </row>
    <row r="84" s="224" customFormat="1" spans="1:19">
      <c r="A84" s="299">
        <v>45003</v>
      </c>
      <c r="B84" s="224" t="s">
        <v>598</v>
      </c>
      <c r="C84" s="300">
        <v>2938</v>
      </c>
      <c r="D84" s="224" t="s">
        <v>600</v>
      </c>
      <c r="E84" s="301">
        <v>26</v>
      </c>
      <c r="F84" s="301" t="s">
        <v>494</v>
      </c>
      <c r="G84" s="301" t="s">
        <v>495</v>
      </c>
      <c r="H84" s="302">
        <v>3</v>
      </c>
      <c r="I84" s="307">
        <v>17</v>
      </c>
      <c r="J84" s="301" t="s">
        <v>496</v>
      </c>
      <c r="K84" s="303">
        <f t="shared" si="15"/>
        <v>1326</v>
      </c>
      <c r="L84" s="305" t="s">
        <v>496</v>
      </c>
      <c r="M84" s="308">
        <f>SUM(K82:K84)</f>
        <v>7551</v>
      </c>
      <c r="N84" s="304" t="s">
        <v>498</v>
      </c>
      <c r="O84" s="224" t="s">
        <v>499</v>
      </c>
      <c r="P84" s="307">
        <v>17</v>
      </c>
      <c r="Q84" s="224">
        <f t="shared" si="16"/>
        <v>1326</v>
      </c>
      <c r="R84" s="301"/>
      <c r="S84" s="305"/>
    </row>
    <row r="85" s="274" customFormat="1" spans="1:19">
      <c r="A85" s="290">
        <v>45006</v>
      </c>
      <c r="B85" s="274" t="s">
        <v>601</v>
      </c>
      <c r="C85" s="274" t="s">
        <v>12</v>
      </c>
      <c r="D85" s="274" t="s">
        <v>13</v>
      </c>
      <c r="E85" s="293">
        <v>20</v>
      </c>
      <c r="F85" s="293" t="s">
        <v>494</v>
      </c>
      <c r="G85" s="293" t="s">
        <v>495</v>
      </c>
      <c r="H85" s="294">
        <v>1</v>
      </c>
      <c r="I85" s="295">
        <v>21.5</v>
      </c>
      <c r="J85" s="293" t="s">
        <v>496</v>
      </c>
      <c r="K85" s="296">
        <f t="shared" si="15"/>
        <v>430</v>
      </c>
      <c r="L85" s="274" t="s">
        <v>583</v>
      </c>
      <c r="M85" s="297"/>
      <c r="N85" s="298" t="s">
        <v>498</v>
      </c>
      <c r="O85" s="274" t="s">
        <v>533</v>
      </c>
      <c r="P85" s="295">
        <v>21.5</v>
      </c>
      <c r="Q85" s="274">
        <f t="shared" si="16"/>
        <v>430</v>
      </c>
    </row>
    <row r="86" s="274" customFormat="1" spans="1:19">
      <c r="A86" s="290">
        <v>45006</v>
      </c>
      <c r="B86" s="274" t="s">
        <v>601</v>
      </c>
      <c r="C86" s="274" t="s">
        <v>21</v>
      </c>
      <c r="D86" s="274" t="s">
        <v>22</v>
      </c>
      <c r="E86" s="293">
        <v>18</v>
      </c>
      <c r="F86" s="293" t="s">
        <v>494</v>
      </c>
      <c r="G86" s="293" t="s">
        <v>495</v>
      </c>
      <c r="H86" s="294">
        <v>1</v>
      </c>
      <c r="I86" s="295">
        <v>9.5</v>
      </c>
      <c r="J86" s="293" t="s">
        <v>496</v>
      </c>
      <c r="K86" s="296">
        <f t="shared" si="15"/>
        <v>171</v>
      </c>
      <c r="L86" s="274" t="s">
        <v>496</v>
      </c>
      <c r="M86" s="297">
        <f>SUM(K81:K86)</f>
        <v>8323</v>
      </c>
      <c r="N86" s="298" t="s">
        <v>498</v>
      </c>
      <c r="O86" s="274" t="s">
        <v>533</v>
      </c>
      <c r="P86" s="295">
        <v>9.5</v>
      </c>
      <c r="Q86" s="274">
        <f t="shared" si="16"/>
        <v>171</v>
      </c>
    </row>
    <row r="87" s="224" customFormat="1" ht="18" customHeight="1" spans="1:19">
      <c r="A87" s="299">
        <v>45006</v>
      </c>
      <c r="B87" s="224" t="s">
        <v>371</v>
      </c>
      <c r="C87" s="305" t="s">
        <v>591</v>
      </c>
      <c r="D87" s="306" t="s">
        <v>268</v>
      </c>
      <c r="E87" s="301">
        <v>28</v>
      </c>
      <c r="F87" s="301" t="s">
        <v>494</v>
      </c>
      <c r="G87" s="301" t="s">
        <v>495</v>
      </c>
      <c r="H87" s="302">
        <v>10</v>
      </c>
      <c r="I87" s="307">
        <v>9</v>
      </c>
      <c r="J87" s="301" t="s">
        <v>496</v>
      </c>
      <c r="K87" s="303">
        <f t="shared" si="15"/>
        <v>2520</v>
      </c>
      <c r="L87" s="305" t="s">
        <v>592</v>
      </c>
      <c r="M87" s="308">
        <f>K87</f>
        <v>2520</v>
      </c>
      <c r="N87" s="304" t="s">
        <v>498</v>
      </c>
      <c r="O87" s="224" t="s">
        <v>533</v>
      </c>
      <c r="P87" s="307">
        <v>9</v>
      </c>
      <c r="Q87" s="224">
        <f t="shared" si="16"/>
        <v>2520</v>
      </c>
    </row>
    <row r="88" s="274" customFormat="1" ht="18" customHeight="1" spans="1:19">
      <c r="A88" s="290">
        <v>45007</v>
      </c>
      <c r="B88" s="274" t="s">
        <v>397</v>
      </c>
      <c r="C88" s="291" t="s">
        <v>509</v>
      </c>
      <c r="D88" s="292" t="s">
        <v>268</v>
      </c>
      <c r="E88" s="293">
        <v>35</v>
      </c>
      <c r="F88" s="293" t="s">
        <v>494</v>
      </c>
      <c r="G88" s="293" t="s">
        <v>495</v>
      </c>
      <c r="H88" s="294">
        <v>5</v>
      </c>
      <c r="I88" s="295">
        <v>8.3</v>
      </c>
      <c r="J88" s="293" t="s">
        <v>496</v>
      </c>
      <c r="K88" s="296">
        <f t="shared" si="15"/>
        <v>1452.5</v>
      </c>
      <c r="L88" s="291" t="s">
        <v>565</v>
      </c>
      <c r="M88" s="297"/>
      <c r="N88" s="298" t="s">
        <v>511</v>
      </c>
      <c r="O88" s="274" t="s">
        <v>512</v>
      </c>
      <c r="P88" s="295">
        <v>9.5</v>
      </c>
      <c r="Q88" s="274">
        <f t="shared" si="16"/>
        <v>1662.5</v>
      </c>
      <c r="R88" s="274">
        <f>SUM(Q74:Q88)</f>
        <v>22226</v>
      </c>
    </row>
    <row r="89" s="274" customFormat="1" ht="18" customHeight="1" spans="1:19">
      <c r="A89" s="290">
        <v>45007</v>
      </c>
      <c r="B89" s="274" t="s">
        <v>397</v>
      </c>
      <c r="C89" s="291" t="s">
        <v>551</v>
      </c>
      <c r="D89" s="292" t="s">
        <v>552</v>
      </c>
      <c r="E89" s="293">
        <v>180</v>
      </c>
      <c r="F89" s="293" t="s">
        <v>494</v>
      </c>
      <c r="G89" s="293" t="s">
        <v>495</v>
      </c>
      <c r="H89" s="294">
        <v>1</v>
      </c>
      <c r="I89" s="295">
        <v>5.5</v>
      </c>
      <c r="J89" s="293" t="s">
        <v>496</v>
      </c>
      <c r="K89" s="296">
        <f t="shared" si="15"/>
        <v>990</v>
      </c>
      <c r="L89" s="297" t="s">
        <v>537</v>
      </c>
      <c r="M89" s="297"/>
      <c r="N89" s="298" t="s">
        <v>498</v>
      </c>
      <c r="O89" s="274" t="s">
        <v>512</v>
      </c>
      <c r="P89" s="295">
        <v>6.5</v>
      </c>
      <c r="Q89" s="274">
        <f t="shared" si="16"/>
        <v>1170</v>
      </c>
    </row>
    <row r="90" s="274" customFormat="1" ht="18" customHeight="1" spans="1:19">
      <c r="A90" s="290">
        <v>45007</v>
      </c>
      <c r="B90" s="274" t="s">
        <v>397</v>
      </c>
      <c r="C90" s="291" t="s">
        <v>520</v>
      </c>
      <c r="D90" s="292" t="s">
        <v>60</v>
      </c>
      <c r="E90" s="293">
        <v>25</v>
      </c>
      <c r="F90" s="293" t="s">
        <v>494</v>
      </c>
      <c r="G90" s="293" t="s">
        <v>495</v>
      </c>
      <c r="H90" s="294">
        <v>6</v>
      </c>
      <c r="I90" s="295">
        <v>10.3</v>
      </c>
      <c r="J90" s="293" t="s">
        <v>496</v>
      </c>
      <c r="K90" s="296">
        <f t="shared" si="15"/>
        <v>1545</v>
      </c>
      <c r="L90" s="291" t="s">
        <v>521</v>
      </c>
      <c r="M90" s="297">
        <f>SUM(K88:K90)</f>
        <v>3987.5</v>
      </c>
      <c r="N90" s="298" t="s">
        <v>498</v>
      </c>
      <c r="O90" s="274" t="s">
        <v>512</v>
      </c>
      <c r="P90" s="295">
        <v>12.5</v>
      </c>
      <c r="Q90" s="274">
        <f t="shared" si="16"/>
        <v>1875</v>
      </c>
      <c r="R90" s="274">
        <f>SUM(Q89:Q90)</f>
        <v>3045</v>
      </c>
    </row>
    <row r="91" s="224" customFormat="1" spans="1:19">
      <c r="A91" s="299">
        <v>45007</v>
      </c>
      <c r="B91" s="224" t="s">
        <v>602</v>
      </c>
      <c r="C91" s="300" t="s">
        <v>555</v>
      </c>
      <c r="D91" s="224" t="s">
        <v>556</v>
      </c>
      <c r="E91" s="301">
        <v>20</v>
      </c>
      <c r="F91" s="301" t="s">
        <v>494</v>
      </c>
      <c r="G91" s="301" t="s">
        <v>495</v>
      </c>
      <c r="H91" s="302">
        <v>1</v>
      </c>
      <c r="I91" s="307">
        <v>17</v>
      </c>
      <c r="J91" s="301" t="s">
        <v>496</v>
      </c>
      <c r="K91" s="303">
        <f t="shared" si="15"/>
        <v>340</v>
      </c>
      <c r="L91" s="305" t="s">
        <v>603</v>
      </c>
      <c r="M91" s="308"/>
      <c r="N91" s="304" t="s">
        <v>498</v>
      </c>
      <c r="O91" s="224" t="s">
        <v>499</v>
      </c>
      <c r="P91" s="318">
        <v>17</v>
      </c>
      <c r="Q91" s="224">
        <f t="shared" si="16"/>
        <v>340</v>
      </c>
      <c r="R91" s="301"/>
      <c r="S91" s="305"/>
    </row>
    <row r="92" s="274" customFormat="1" ht="18" customHeight="1" spans="1:19">
      <c r="A92" s="290">
        <v>45008</v>
      </c>
      <c r="B92" s="274" t="s">
        <v>604</v>
      </c>
      <c r="C92" s="291" t="s">
        <v>605</v>
      </c>
      <c r="D92" s="292" t="s">
        <v>606</v>
      </c>
      <c r="E92" s="293">
        <v>180</v>
      </c>
      <c r="F92" s="293" t="s">
        <v>494</v>
      </c>
      <c r="G92" s="293" t="s">
        <v>495</v>
      </c>
      <c r="H92" s="294">
        <v>1</v>
      </c>
      <c r="I92" s="295">
        <v>8</v>
      </c>
      <c r="J92" s="293" t="s">
        <v>496</v>
      </c>
      <c r="K92" s="296">
        <f t="shared" si="15"/>
        <v>1440</v>
      </c>
      <c r="L92" s="291" t="s">
        <v>558</v>
      </c>
      <c r="M92" s="297">
        <f>K92</f>
        <v>1440</v>
      </c>
      <c r="N92" s="298" t="s">
        <v>498</v>
      </c>
      <c r="O92" s="274" t="s">
        <v>533</v>
      </c>
      <c r="P92" s="295"/>
      <c r="Q92" s="274">
        <f t="shared" si="16"/>
        <v>0</v>
      </c>
    </row>
    <row r="93" s="224" customFormat="1" ht="18" customHeight="1" spans="1:19">
      <c r="A93" s="299">
        <v>45009</v>
      </c>
      <c r="B93" s="224" t="s">
        <v>607</v>
      </c>
      <c r="C93" s="305" t="s">
        <v>608</v>
      </c>
      <c r="D93" s="306" t="s">
        <v>609</v>
      </c>
      <c r="E93" s="301">
        <v>23</v>
      </c>
      <c r="F93" s="301" t="s">
        <v>494</v>
      </c>
      <c r="G93" s="301" t="s">
        <v>495</v>
      </c>
      <c r="H93" s="302">
        <v>1</v>
      </c>
      <c r="I93" s="307">
        <v>17</v>
      </c>
      <c r="J93" s="301" t="s">
        <v>496</v>
      </c>
      <c r="K93" s="303">
        <f t="shared" si="15"/>
        <v>391</v>
      </c>
      <c r="L93" s="305" t="s">
        <v>544</v>
      </c>
      <c r="M93" s="308"/>
      <c r="N93" s="304" t="s">
        <v>498</v>
      </c>
      <c r="O93" s="224" t="s">
        <v>533</v>
      </c>
      <c r="P93" s="307">
        <v>17</v>
      </c>
      <c r="Q93" s="274">
        <f t="shared" si="16"/>
        <v>391</v>
      </c>
    </row>
    <row r="94" s="224" customFormat="1" ht="18" customHeight="1" spans="1:19">
      <c r="A94" s="299">
        <v>45009</v>
      </c>
      <c r="B94" s="224" t="s">
        <v>607</v>
      </c>
      <c r="C94" s="305" t="s">
        <v>610</v>
      </c>
      <c r="D94" s="306" t="s">
        <v>611</v>
      </c>
      <c r="E94" s="301">
        <v>23</v>
      </c>
      <c r="F94" s="301" t="s">
        <v>494</v>
      </c>
      <c r="G94" s="301" t="s">
        <v>495</v>
      </c>
      <c r="H94" s="302">
        <v>1</v>
      </c>
      <c r="I94" s="307">
        <v>17</v>
      </c>
      <c r="J94" s="301" t="s">
        <v>496</v>
      </c>
      <c r="K94" s="303">
        <f t="shared" si="15"/>
        <v>391</v>
      </c>
      <c r="L94" s="305" t="s">
        <v>544</v>
      </c>
      <c r="M94" s="308"/>
      <c r="N94" s="304" t="s">
        <v>498</v>
      </c>
      <c r="O94" s="224" t="s">
        <v>533</v>
      </c>
      <c r="P94" s="307">
        <v>17</v>
      </c>
      <c r="Q94" s="274">
        <f t="shared" si="16"/>
        <v>391</v>
      </c>
    </row>
    <row r="95" s="224" customFormat="1" ht="18" customHeight="1" spans="1:19">
      <c r="A95" s="299">
        <v>45009</v>
      </c>
      <c r="B95" s="224" t="s">
        <v>607</v>
      </c>
      <c r="C95" s="305" t="s">
        <v>83</v>
      </c>
      <c r="D95" s="306" t="s">
        <v>84</v>
      </c>
      <c r="E95" s="301">
        <v>20</v>
      </c>
      <c r="F95" s="301" t="s">
        <v>494</v>
      </c>
      <c r="G95" s="301" t="s">
        <v>495</v>
      </c>
      <c r="H95" s="302">
        <v>2</v>
      </c>
      <c r="I95" s="307">
        <v>17</v>
      </c>
      <c r="J95" s="301" t="s">
        <v>496</v>
      </c>
      <c r="K95" s="303">
        <f t="shared" si="15"/>
        <v>680</v>
      </c>
      <c r="L95" s="305" t="s">
        <v>496</v>
      </c>
      <c r="M95" s="308">
        <f>SUM(K93:K95)</f>
        <v>1462</v>
      </c>
      <c r="N95" s="304" t="s">
        <v>498</v>
      </c>
      <c r="O95" s="224" t="s">
        <v>533</v>
      </c>
      <c r="P95" s="307"/>
      <c r="Q95" s="274">
        <f t="shared" si="16"/>
        <v>0</v>
      </c>
    </row>
    <row r="96" s="274" customFormat="1" ht="18" customHeight="1" spans="1:19">
      <c r="A96" s="290">
        <v>45010</v>
      </c>
      <c r="B96" s="274" t="s">
        <v>612</v>
      </c>
      <c r="C96" s="291">
        <v>10139</v>
      </c>
      <c r="D96" s="292" t="s">
        <v>45</v>
      </c>
      <c r="E96" s="293">
        <v>23</v>
      </c>
      <c r="F96" s="293" t="s">
        <v>494</v>
      </c>
      <c r="G96" s="293" t="s">
        <v>495</v>
      </c>
      <c r="H96" s="294">
        <v>1</v>
      </c>
      <c r="I96" s="295">
        <v>17</v>
      </c>
      <c r="J96" s="293" t="s">
        <v>496</v>
      </c>
      <c r="K96" s="296">
        <f t="shared" si="15"/>
        <v>391</v>
      </c>
      <c r="L96" s="291" t="s">
        <v>496</v>
      </c>
      <c r="M96" s="297"/>
      <c r="N96" s="298" t="s">
        <v>498</v>
      </c>
      <c r="O96" s="274" t="s">
        <v>533</v>
      </c>
      <c r="P96" s="295">
        <v>17</v>
      </c>
      <c r="Q96" s="274">
        <f t="shared" si="16"/>
        <v>391</v>
      </c>
    </row>
    <row r="97" s="274" customFormat="1" ht="18" customHeight="1" spans="1:19">
      <c r="A97" s="290">
        <v>45010</v>
      </c>
      <c r="B97" s="274" t="s">
        <v>612</v>
      </c>
      <c r="C97" s="291" t="s">
        <v>613</v>
      </c>
      <c r="D97" s="292" t="s">
        <v>47</v>
      </c>
      <c r="E97" s="293">
        <v>25</v>
      </c>
      <c r="F97" s="293" t="s">
        <v>494</v>
      </c>
      <c r="G97" s="293" t="s">
        <v>495</v>
      </c>
      <c r="H97" s="294">
        <v>1</v>
      </c>
      <c r="I97" s="295">
        <v>17</v>
      </c>
      <c r="J97" s="293" t="s">
        <v>496</v>
      </c>
      <c r="K97" s="296">
        <f t="shared" si="15"/>
        <v>425</v>
      </c>
      <c r="L97" s="291" t="s">
        <v>496</v>
      </c>
      <c r="M97" s="297"/>
      <c r="N97" s="298" t="s">
        <v>498</v>
      </c>
      <c r="O97" s="274" t="s">
        <v>533</v>
      </c>
      <c r="P97" s="295">
        <v>17</v>
      </c>
      <c r="Q97" s="274">
        <f t="shared" si="16"/>
        <v>425</v>
      </c>
    </row>
    <row r="98" s="274" customFormat="1" ht="18" customHeight="1" spans="1:19">
      <c r="A98" s="290">
        <v>45010</v>
      </c>
      <c r="B98" s="274" t="s">
        <v>612</v>
      </c>
      <c r="C98" s="291" t="s">
        <v>83</v>
      </c>
      <c r="D98" s="292" t="s">
        <v>84</v>
      </c>
      <c r="E98" s="293">
        <v>20</v>
      </c>
      <c r="F98" s="293" t="s">
        <v>494</v>
      </c>
      <c r="G98" s="293" t="s">
        <v>495</v>
      </c>
      <c r="H98" s="294">
        <v>5</v>
      </c>
      <c r="I98" s="295">
        <v>17</v>
      </c>
      <c r="J98" s="293" t="s">
        <v>496</v>
      </c>
      <c r="K98" s="296">
        <f t="shared" si="15"/>
        <v>1700</v>
      </c>
      <c r="L98" s="291" t="s">
        <v>496</v>
      </c>
      <c r="M98" s="297"/>
      <c r="N98" s="298" t="s">
        <v>498</v>
      </c>
      <c r="O98" s="274" t="s">
        <v>533</v>
      </c>
      <c r="P98" s="295">
        <v>17</v>
      </c>
      <c r="Q98" s="274">
        <f t="shared" si="16"/>
        <v>1700</v>
      </c>
    </row>
    <row r="99" s="274" customFormat="1" ht="18" customHeight="1" spans="1:19">
      <c r="A99" s="290">
        <v>45010</v>
      </c>
      <c r="B99" s="274" t="s">
        <v>612</v>
      </c>
      <c r="C99" s="291" t="s">
        <v>9</v>
      </c>
      <c r="D99" s="292" t="s">
        <v>10</v>
      </c>
      <c r="E99" s="293">
        <v>10</v>
      </c>
      <c r="F99" s="293" t="s">
        <v>494</v>
      </c>
      <c r="G99" s="293" t="s">
        <v>495</v>
      </c>
      <c r="H99" s="294">
        <v>3</v>
      </c>
      <c r="I99" s="295">
        <v>17</v>
      </c>
      <c r="J99" s="293" t="s">
        <v>496</v>
      </c>
      <c r="K99" s="296">
        <f t="shared" si="15"/>
        <v>510</v>
      </c>
      <c r="L99" s="291" t="s">
        <v>585</v>
      </c>
      <c r="M99" s="297"/>
      <c r="N99" s="298" t="s">
        <v>498</v>
      </c>
      <c r="O99" s="274" t="s">
        <v>533</v>
      </c>
      <c r="P99" s="295">
        <v>17</v>
      </c>
      <c r="Q99" s="274">
        <f t="shared" si="16"/>
        <v>510</v>
      </c>
    </row>
    <row r="100" s="274" customFormat="1" ht="18" customHeight="1" spans="1:19">
      <c r="A100" s="290">
        <v>45010</v>
      </c>
      <c r="B100" s="274" t="s">
        <v>612</v>
      </c>
      <c r="C100" s="291" t="s">
        <v>614</v>
      </c>
      <c r="D100" s="292" t="s">
        <v>615</v>
      </c>
      <c r="E100" s="293">
        <v>26</v>
      </c>
      <c r="F100" s="293" t="s">
        <v>494</v>
      </c>
      <c r="G100" s="293" t="s">
        <v>495</v>
      </c>
      <c r="H100" s="294">
        <v>1</v>
      </c>
      <c r="I100" s="295">
        <v>17</v>
      </c>
      <c r="J100" s="293" t="s">
        <v>496</v>
      </c>
      <c r="K100" s="296">
        <f t="shared" si="15"/>
        <v>442</v>
      </c>
      <c r="L100" s="291" t="s">
        <v>496</v>
      </c>
      <c r="M100" s="297"/>
      <c r="N100" s="298" t="s">
        <v>498</v>
      </c>
      <c r="O100" s="274" t="s">
        <v>533</v>
      </c>
      <c r="P100" s="295">
        <v>17</v>
      </c>
      <c r="Q100" s="274">
        <f t="shared" si="16"/>
        <v>442</v>
      </c>
    </row>
    <row r="101" s="274" customFormat="1" ht="18" customHeight="1" spans="1:19">
      <c r="A101" s="290">
        <v>45010</v>
      </c>
      <c r="B101" s="274" t="s">
        <v>612</v>
      </c>
      <c r="C101" s="291">
        <v>10258</v>
      </c>
      <c r="D101" s="292" t="s">
        <v>616</v>
      </c>
      <c r="E101" s="293">
        <v>20</v>
      </c>
      <c r="F101" s="293" t="s">
        <v>494</v>
      </c>
      <c r="G101" s="293" t="s">
        <v>495</v>
      </c>
      <c r="H101" s="294">
        <v>2</v>
      </c>
      <c r="I101" s="295">
        <v>21.5</v>
      </c>
      <c r="J101" s="293" t="s">
        <v>496</v>
      </c>
      <c r="K101" s="296">
        <f t="shared" si="15"/>
        <v>860</v>
      </c>
      <c r="L101" s="291" t="s">
        <v>496</v>
      </c>
      <c r="M101" s="297"/>
      <c r="N101" s="298" t="s">
        <v>498</v>
      </c>
      <c r="O101" s="274" t="s">
        <v>533</v>
      </c>
      <c r="P101" s="295">
        <v>21.5</v>
      </c>
      <c r="Q101" s="274">
        <f t="shared" si="16"/>
        <v>860</v>
      </c>
    </row>
    <row r="102" s="274" customFormat="1" ht="18" customHeight="1" spans="1:19">
      <c r="A102" s="290">
        <v>45010</v>
      </c>
      <c r="B102" s="274" t="s">
        <v>612</v>
      </c>
      <c r="C102" s="291" t="s">
        <v>617</v>
      </c>
      <c r="D102" s="292" t="s">
        <v>618</v>
      </c>
      <c r="E102" s="293">
        <v>26</v>
      </c>
      <c r="F102" s="293" t="s">
        <v>494</v>
      </c>
      <c r="G102" s="293" t="s">
        <v>495</v>
      </c>
      <c r="H102" s="294">
        <v>1</v>
      </c>
      <c r="I102" s="295">
        <v>21.5</v>
      </c>
      <c r="J102" s="293" t="s">
        <v>496</v>
      </c>
      <c r="K102" s="296">
        <f t="shared" si="15"/>
        <v>559</v>
      </c>
      <c r="L102" s="291" t="s">
        <v>496</v>
      </c>
      <c r="M102" s="297">
        <f>SUM(K96:K102)</f>
        <v>4887</v>
      </c>
      <c r="N102" s="298" t="s">
        <v>498</v>
      </c>
      <c r="O102" s="274" t="s">
        <v>533</v>
      </c>
      <c r="P102" s="295">
        <v>21.5</v>
      </c>
      <c r="Q102" s="274">
        <f t="shared" si="16"/>
        <v>559</v>
      </c>
    </row>
    <row r="103" s="224" customFormat="1" spans="1:19">
      <c r="A103" s="299">
        <v>45010</v>
      </c>
      <c r="B103" s="224" t="s">
        <v>619</v>
      </c>
      <c r="C103" s="300" t="s">
        <v>395</v>
      </c>
      <c r="D103" s="224" t="s">
        <v>575</v>
      </c>
      <c r="E103" s="301">
        <v>26</v>
      </c>
      <c r="F103" s="301" t="s">
        <v>494</v>
      </c>
      <c r="G103" s="301" t="s">
        <v>495</v>
      </c>
      <c r="H103" s="302">
        <v>2</v>
      </c>
      <c r="I103" s="307">
        <v>17</v>
      </c>
      <c r="J103" s="301" t="s">
        <v>496</v>
      </c>
      <c r="K103" s="303">
        <f t="shared" ref="K103:K120" si="17">SUM(E103*H103*I103)</f>
        <v>884</v>
      </c>
      <c r="L103" s="305" t="s">
        <v>496</v>
      </c>
      <c r="N103" s="304" t="s">
        <v>498</v>
      </c>
      <c r="O103" s="224" t="s">
        <v>499</v>
      </c>
      <c r="P103" s="318">
        <v>17</v>
      </c>
      <c r="Q103" s="224">
        <f t="shared" si="16"/>
        <v>884</v>
      </c>
      <c r="R103" s="301"/>
      <c r="S103" s="305"/>
    </row>
    <row r="104" s="224" customFormat="1" spans="1:19">
      <c r="A104" s="299">
        <v>45010</v>
      </c>
      <c r="B104" s="224" t="s">
        <v>619</v>
      </c>
      <c r="C104" s="300"/>
      <c r="D104" s="224" t="s">
        <v>86</v>
      </c>
      <c r="E104" s="301">
        <v>25</v>
      </c>
      <c r="F104" s="301" t="s">
        <v>494</v>
      </c>
      <c r="G104" s="301" t="s">
        <v>495</v>
      </c>
      <c r="H104" s="302">
        <v>5</v>
      </c>
      <c r="I104" s="307">
        <v>17</v>
      </c>
      <c r="J104" s="301" t="s">
        <v>496</v>
      </c>
      <c r="K104" s="303">
        <f t="shared" si="17"/>
        <v>2125</v>
      </c>
      <c r="L104" s="305" t="s">
        <v>496</v>
      </c>
      <c r="M104" s="224">
        <f>SUM(K103:K104)</f>
        <v>3009</v>
      </c>
      <c r="N104" s="304" t="s">
        <v>498</v>
      </c>
      <c r="O104" s="224" t="s">
        <v>499</v>
      </c>
      <c r="P104" s="307">
        <v>17</v>
      </c>
      <c r="Q104" s="224">
        <f t="shared" si="16"/>
        <v>2125</v>
      </c>
    </row>
    <row r="105" s="274" customFormat="1" spans="1:19">
      <c r="A105" s="290">
        <v>45010</v>
      </c>
      <c r="B105" s="274" t="s">
        <v>620</v>
      </c>
      <c r="C105" s="312"/>
      <c r="D105" s="274" t="s">
        <v>621</v>
      </c>
      <c r="E105" s="293">
        <v>20</v>
      </c>
      <c r="F105" s="293" t="s">
        <v>494</v>
      </c>
      <c r="G105" s="293" t="s">
        <v>495</v>
      </c>
      <c r="H105" s="294">
        <v>3</v>
      </c>
      <c r="I105" s="295">
        <v>16.5</v>
      </c>
      <c r="J105" s="293" t="s">
        <v>496</v>
      </c>
      <c r="K105" s="296">
        <f t="shared" si="17"/>
        <v>990</v>
      </c>
      <c r="L105" s="305" t="s">
        <v>622</v>
      </c>
      <c r="N105" s="298" t="s">
        <v>498</v>
      </c>
      <c r="O105" s="274" t="s">
        <v>589</v>
      </c>
      <c r="P105" s="295">
        <v>16.5</v>
      </c>
      <c r="R105" s="274">
        <v>2873</v>
      </c>
    </row>
    <row r="106" s="274" customFormat="1" ht="18" customHeight="1" spans="1:19">
      <c r="A106" s="290">
        <v>45010</v>
      </c>
      <c r="B106" s="274" t="s">
        <v>620</v>
      </c>
      <c r="C106" s="291" t="s">
        <v>623</v>
      </c>
      <c r="D106" s="292" t="s">
        <v>10</v>
      </c>
      <c r="E106" s="293">
        <v>10</v>
      </c>
      <c r="F106" s="293" t="s">
        <v>494</v>
      </c>
      <c r="G106" s="293" t="s">
        <v>495</v>
      </c>
      <c r="H106" s="294">
        <v>3</v>
      </c>
      <c r="I106" s="295">
        <v>17</v>
      </c>
      <c r="J106" s="293" t="s">
        <v>496</v>
      </c>
      <c r="K106" s="296">
        <f t="shared" si="17"/>
        <v>510</v>
      </c>
      <c r="L106" s="291" t="s">
        <v>624</v>
      </c>
      <c r="M106" s="297">
        <f>SUM(K105:K106)</f>
        <v>1500</v>
      </c>
      <c r="N106" s="298" t="s">
        <v>498</v>
      </c>
      <c r="O106" s="274" t="s">
        <v>589</v>
      </c>
      <c r="P106" s="295">
        <v>17</v>
      </c>
    </row>
    <row r="107" s="224" customFormat="1" spans="1:19">
      <c r="A107" s="299">
        <v>45013</v>
      </c>
      <c r="B107" s="224" t="s">
        <v>625</v>
      </c>
      <c r="C107" s="300"/>
      <c r="D107" s="224" t="s">
        <v>621</v>
      </c>
      <c r="E107" s="301">
        <v>20</v>
      </c>
      <c r="F107" s="301" t="s">
        <v>494</v>
      </c>
      <c r="G107" s="301" t="s">
        <v>495</v>
      </c>
      <c r="H107" s="302">
        <v>5</v>
      </c>
      <c r="I107" s="307">
        <v>16.5</v>
      </c>
      <c r="J107" s="301" t="s">
        <v>496</v>
      </c>
      <c r="K107" s="303">
        <f t="shared" si="17"/>
        <v>1650</v>
      </c>
      <c r="L107" s="305" t="s">
        <v>622</v>
      </c>
      <c r="N107" s="304" t="s">
        <v>498</v>
      </c>
      <c r="O107" s="224" t="s">
        <v>589</v>
      </c>
      <c r="P107" s="307">
        <v>16.5</v>
      </c>
      <c r="R107" s="224">
        <v>2873</v>
      </c>
    </row>
    <row r="108" s="224" customFormat="1" ht="18" customHeight="1" spans="1:19">
      <c r="A108" s="299">
        <v>45013</v>
      </c>
      <c r="B108" s="224" t="s">
        <v>625</v>
      </c>
      <c r="C108" s="305" t="s">
        <v>623</v>
      </c>
      <c r="D108" s="306" t="s">
        <v>10</v>
      </c>
      <c r="E108" s="301">
        <v>10</v>
      </c>
      <c r="F108" s="301" t="s">
        <v>494</v>
      </c>
      <c r="G108" s="301" t="s">
        <v>495</v>
      </c>
      <c r="H108" s="302">
        <v>10</v>
      </c>
      <c r="I108" s="307">
        <v>17</v>
      </c>
      <c r="J108" s="301" t="s">
        <v>496</v>
      </c>
      <c r="K108" s="303">
        <f t="shared" si="17"/>
        <v>1700</v>
      </c>
      <c r="L108" s="305" t="s">
        <v>624</v>
      </c>
      <c r="M108" s="308"/>
      <c r="N108" s="304" t="s">
        <v>498</v>
      </c>
      <c r="O108" s="224" t="s">
        <v>589</v>
      </c>
      <c r="P108" s="307">
        <v>17</v>
      </c>
    </row>
    <row r="109" s="224" customFormat="1" ht="18" customHeight="1" spans="1:19">
      <c r="A109" s="299">
        <v>45013</v>
      </c>
      <c r="B109" s="224" t="s">
        <v>625</v>
      </c>
      <c r="C109" s="305"/>
      <c r="D109" s="306" t="s">
        <v>626</v>
      </c>
      <c r="E109" s="301">
        <v>5</v>
      </c>
      <c r="F109" s="301" t="s">
        <v>494</v>
      </c>
      <c r="G109" s="301" t="s">
        <v>495</v>
      </c>
      <c r="H109" s="302">
        <v>3</v>
      </c>
      <c r="I109" s="307">
        <v>48</v>
      </c>
      <c r="J109" s="301" t="s">
        <v>496</v>
      </c>
      <c r="K109" s="303">
        <f t="shared" si="17"/>
        <v>720</v>
      </c>
      <c r="L109" s="305" t="s">
        <v>496</v>
      </c>
      <c r="M109" s="308"/>
      <c r="N109" s="304" t="s">
        <v>498</v>
      </c>
      <c r="O109" s="224" t="s">
        <v>589</v>
      </c>
      <c r="P109" s="307">
        <v>48</v>
      </c>
    </row>
    <row r="110" s="224" customFormat="1" ht="18" customHeight="1" spans="1:19">
      <c r="A110" s="299">
        <v>45013</v>
      </c>
      <c r="B110" s="224" t="s">
        <v>625</v>
      </c>
      <c r="C110" s="300"/>
      <c r="D110" s="306" t="s">
        <v>627</v>
      </c>
      <c r="E110" s="301">
        <v>5</v>
      </c>
      <c r="F110" s="301" t="s">
        <v>494</v>
      </c>
      <c r="G110" s="301" t="s">
        <v>495</v>
      </c>
      <c r="H110" s="302">
        <v>1</v>
      </c>
      <c r="I110" s="307">
        <v>32</v>
      </c>
      <c r="J110" s="301" t="s">
        <v>496</v>
      </c>
      <c r="K110" s="303">
        <f t="shared" si="17"/>
        <v>160</v>
      </c>
      <c r="L110" s="305" t="s">
        <v>628</v>
      </c>
      <c r="M110" s="308"/>
      <c r="N110" s="304" t="s">
        <v>498</v>
      </c>
      <c r="O110" s="224" t="s">
        <v>589</v>
      </c>
      <c r="P110" s="307">
        <v>32</v>
      </c>
    </row>
    <row r="111" s="274" customFormat="1" ht="18" customHeight="1" spans="1:19">
      <c r="A111" s="299">
        <v>45013</v>
      </c>
      <c r="B111" s="224" t="s">
        <v>625</v>
      </c>
      <c r="C111" s="312"/>
      <c r="D111" s="306" t="s">
        <v>629</v>
      </c>
      <c r="E111" s="301">
        <v>5</v>
      </c>
      <c r="F111" s="301" t="s">
        <v>494</v>
      </c>
      <c r="G111" s="301" t="s">
        <v>495</v>
      </c>
      <c r="H111" s="302">
        <v>1</v>
      </c>
      <c r="I111" s="307">
        <v>14</v>
      </c>
      <c r="J111" s="301" t="s">
        <v>496</v>
      </c>
      <c r="K111" s="303">
        <f t="shared" si="17"/>
        <v>70</v>
      </c>
      <c r="L111" s="305" t="s">
        <v>628</v>
      </c>
      <c r="M111" s="297">
        <f>SUM(K107:K111)</f>
        <v>4300</v>
      </c>
      <c r="N111" s="304" t="s">
        <v>498</v>
      </c>
      <c r="O111" s="224" t="s">
        <v>589</v>
      </c>
      <c r="P111" s="295">
        <v>14</v>
      </c>
    </row>
    <row r="112" s="198" customFormat="1" ht="18" customHeight="1" spans="1:19">
      <c r="A112" s="323">
        <v>45015</v>
      </c>
      <c r="C112" s="329" t="s">
        <v>630</v>
      </c>
      <c r="D112" s="330" t="s">
        <v>631</v>
      </c>
      <c r="E112" s="325">
        <v>2</v>
      </c>
      <c r="F112" s="325" t="s">
        <v>494</v>
      </c>
      <c r="G112" s="325" t="s">
        <v>495</v>
      </c>
      <c r="H112" s="326">
        <v>1</v>
      </c>
      <c r="I112" s="203">
        <v>17</v>
      </c>
      <c r="J112" s="325" t="s">
        <v>496</v>
      </c>
      <c r="K112" s="327">
        <f t="shared" si="17"/>
        <v>34</v>
      </c>
      <c r="L112" s="309" t="s">
        <v>632</v>
      </c>
      <c r="M112" s="331"/>
      <c r="N112" s="328" t="s">
        <v>498</v>
      </c>
      <c r="O112" s="198" t="s">
        <v>499</v>
      </c>
      <c r="P112" s="203"/>
    </row>
    <row r="113" s="198" customFormat="1" spans="1:18">
      <c r="A113" s="323">
        <v>45015</v>
      </c>
      <c r="C113" s="329" t="s">
        <v>633</v>
      </c>
      <c r="D113" s="330" t="s">
        <v>631</v>
      </c>
      <c r="E113" s="325">
        <v>2</v>
      </c>
      <c r="F113" s="325" t="s">
        <v>494</v>
      </c>
      <c r="G113" s="325" t="s">
        <v>495</v>
      </c>
      <c r="H113" s="326">
        <v>1</v>
      </c>
      <c r="I113" s="203">
        <v>17</v>
      </c>
      <c r="J113" s="325" t="s">
        <v>496</v>
      </c>
      <c r="K113" s="327">
        <f t="shared" si="17"/>
        <v>34</v>
      </c>
      <c r="L113" s="309" t="s">
        <v>632</v>
      </c>
      <c r="N113" s="328" t="s">
        <v>498</v>
      </c>
      <c r="O113" s="198" t="s">
        <v>499</v>
      </c>
    </row>
    <row r="114" s="198" customFormat="1" spans="1:18">
      <c r="A114" s="323">
        <v>45015</v>
      </c>
      <c r="C114" s="329" t="s">
        <v>634</v>
      </c>
      <c r="D114" s="330" t="s">
        <v>631</v>
      </c>
      <c r="E114" s="325">
        <v>2</v>
      </c>
      <c r="F114" s="325" t="s">
        <v>494</v>
      </c>
      <c r="G114" s="325" t="s">
        <v>495</v>
      </c>
      <c r="H114" s="326">
        <v>1</v>
      </c>
      <c r="I114" s="203">
        <v>17</v>
      </c>
      <c r="J114" s="325" t="s">
        <v>496</v>
      </c>
      <c r="K114" s="327">
        <f t="shared" si="17"/>
        <v>34</v>
      </c>
      <c r="L114" s="309" t="s">
        <v>632</v>
      </c>
      <c r="N114" s="328" t="s">
        <v>498</v>
      </c>
      <c r="O114" s="198" t="s">
        <v>499</v>
      </c>
    </row>
    <row r="115" s="198" customFormat="1" spans="1:18">
      <c r="A115" s="323">
        <v>45015</v>
      </c>
      <c r="C115" s="329" t="s">
        <v>635</v>
      </c>
      <c r="D115" s="330" t="s">
        <v>631</v>
      </c>
      <c r="E115" s="325">
        <v>2</v>
      </c>
      <c r="F115" s="325" t="s">
        <v>494</v>
      </c>
      <c r="G115" s="325" t="s">
        <v>495</v>
      </c>
      <c r="H115" s="326">
        <v>1</v>
      </c>
      <c r="I115" s="203">
        <v>17</v>
      </c>
      <c r="J115" s="325" t="s">
        <v>496</v>
      </c>
      <c r="K115" s="327">
        <f t="shared" si="17"/>
        <v>34</v>
      </c>
      <c r="L115" s="309" t="s">
        <v>632</v>
      </c>
      <c r="N115" s="328" t="s">
        <v>498</v>
      </c>
      <c r="O115" s="198" t="s">
        <v>499</v>
      </c>
    </row>
    <row r="116" s="224" customFormat="1" ht="18" customHeight="1" spans="1:18">
      <c r="A116" s="299">
        <v>45016</v>
      </c>
      <c r="B116" s="224" t="s">
        <v>636</v>
      </c>
      <c r="C116" s="305" t="s">
        <v>578</v>
      </c>
      <c r="D116" s="306" t="s">
        <v>165</v>
      </c>
      <c r="E116" s="301">
        <v>20</v>
      </c>
      <c r="F116" s="301" t="s">
        <v>494</v>
      </c>
      <c r="G116" s="301" t="s">
        <v>495</v>
      </c>
      <c r="H116" s="302">
        <v>2</v>
      </c>
      <c r="I116" s="307">
        <v>21.5</v>
      </c>
      <c r="J116" s="301" t="s">
        <v>496</v>
      </c>
      <c r="K116" s="303">
        <f t="shared" si="17"/>
        <v>860</v>
      </c>
      <c r="L116" s="305" t="s">
        <v>496</v>
      </c>
      <c r="M116" s="308"/>
      <c r="N116" s="304" t="s">
        <v>498</v>
      </c>
      <c r="O116" s="224" t="s">
        <v>533</v>
      </c>
      <c r="P116" s="307"/>
    </row>
    <row r="117" s="224" customFormat="1" ht="18" customHeight="1" spans="1:18">
      <c r="A117" s="299">
        <v>45016</v>
      </c>
      <c r="B117" s="224" t="s">
        <v>636</v>
      </c>
      <c r="C117" s="305" t="s">
        <v>83</v>
      </c>
      <c r="D117" s="306" t="s">
        <v>84</v>
      </c>
      <c r="E117" s="301">
        <v>20</v>
      </c>
      <c r="F117" s="301" t="s">
        <v>494</v>
      </c>
      <c r="G117" s="301" t="s">
        <v>495</v>
      </c>
      <c r="H117" s="302">
        <v>4</v>
      </c>
      <c r="I117" s="307">
        <v>17</v>
      </c>
      <c r="J117" s="301" t="s">
        <v>496</v>
      </c>
      <c r="K117" s="303">
        <f t="shared" si="17"/>
        <v>1360</v>
      </c>
      <c r="L117" s="305" t="s">
        <v>496</v>
      </c>
      <c r="M117" s="308">
        <f>SUM(K116:K117)</f>
        <v>2220</v>
      </c>
      <c r="N117" s="304" t="s">
        <v>498</v>
      </c>
      <c r="O117" s="224" t="s">
        <v>533</v>
      </c>
      <c r="P117" s="307">
        <v>17</v>
      </c>
      <c r="Q117" s="224">
        <f>SUM(E117*H117*P117)</f>
        <v>1360</v>
      </c>
    </row>
    <row r="118" s="274" customFormat="1" ht="18" customHeight="1" spans="1:18">
      <c r="A118" s="290">
        <v>45016</v>
      </c>
      <c r="B118" s="274" t="s">
        <v>637</v>
      </c>
      <c r="C118" s="291" t="s">
        <v>638</v>
      </c>
      <c r="D118" s="292" t="s">
        <v>639</v>
      </c>
      <c r="E118" s="293">
        <v>20</v>
      </c>
      <c r="F118" s="293" t="s">
        <v>494</v>
      </c>
      <c r="G118" s="293" t="s">
        <v>495</v>
      </c>
      <c r="H118" s="294">
        <v>1</v>
      </c>
      <c r="I118" s="295">
        <v>22</v>
      </c>
      <c r="J118" s="293" t="s">
        <v>496</v>
      </c>
      <c r="K118" s="296">
        <f t="shared" ref="K118:K149" si="18">SUM(E118*H118*I118)</f>
        <v>440</v>
      </c>
      <c r="L118" s="291" t="s">
        <v>640</v>
      </c>
      <c r="M118" s="297"/>
      <c r="N118" s="298" t="s">
        <v>498</v>
      </c>
      <c r="O118" s="274" t="s">
        <v>589</v>
      </c>
      <c r="P118" s="295"/>
      <c r="Q118" s="274">
        <f>SUM(E118*H118*P118)</f>
        <v>0</v>
      </c>
    </row>
    <row r="119" s="274" customFormat="1" ht="18" customHeight="1" spans="1:18">
      <c r="A119" s="290">
        <v>45016</v>
      </c>
      <c r="B119" s="274" t="s">
        <v>637</v>
      </c>
      <c r="C119" s="291" t="s">
        <v>641</v>
      </c>
      <c r="D119" s="292" t="s">
        <v>642</v>
      </c>
      <c r="E119" s="293">
        <v>10</v>
      </c>
      <c r="F119" s="293" t="s">
        <v>494</v>
      </c>
      <c r="G119" s="293" t="s">
        <v>495</v>
      </c>
      <c r="H119" s="294">
        <v>1</v>
      </c>
      <c r="I119" s="295">
        <v>22</v>
      </c>
      <c r="J119" s="293" t="s">
        <v>496</v>
      </c>
      <c r="K119" s="296">
        <f t="shared" si="18"/>
        <v>220</v>
      </c>
      <c r="L119" s="291" t="s">
        <v>643</v>
      </c>
      <c r="M119" s="297"/>
      <c r="N119" s="298" t="s">
        <v>498</v>
      </c>
      <c r="O119" s="274" t="s">
        <v>589</v>
      </c>
      <c r="P119" s="295"/>
      <c r="Q119" s="274">
        <f>SUM(E119*H119*P119)</f>
        <v>0</v>
      </c>
    </row>
    <row r="120" s="274" customFormat="1" ht="18" customHeight="1" spans="1:18">
      <c r="A120" s="290">
        <v>45016</v>
      </c>
      <c r="B120" s="274" t="s">
        <v>637</v>
      </c>
      <c r="C120" s="309" t="s">
        <v>644</v>
      </c>
      <c r="D120" s="292" t="s">
        <v>587</v>
      </c>
      <c r="E120" s="293">
        <v>20</v>
      </c>
      <c r="F120" s="293" t="s">
        <v>494</v>
      </c>
      <c r="G120" s="293" t="s">
        <v>495</v>
      </c>
      <c r="H120" s="294">
        <v>2</v>
      </c>
      <c r="I120" s="295">
        <v>22</v>
      </c>
      <c r="J120" s="293" t="s">
        <v>496</v>
      </c>
      <c r="K120" s="296">
        <f t="shared" si="18"/>
        <v>880</v>
      </c>
      <c r="L120" s="291" t="s">
        <v>640</v>
      </c>
      <c r="M120" s="297"/>
      <c r="N120" s="298" t="s">
        <v>498</v>
      </c>
      <c r="O120" s="274" t="s">
        <v>589</v>
      </c>
      <c r="P120" s="295"/>
      <c r="Q120" s="274">
        <f>SUM(E120*H120*P120)</f>
        <v>0</v>
      </c>
    </row>
    <row r="121" s="274" customFormat="1" ht="18" customHeight="1" spans="1:18">
      <c r="A121" s="290">
        <v>45016</v>
      </c>
      <c r="B121" s="274" t="s">
        <v>637</v>
      </c>
      <c r="C121" s="291" t="s">
        <v>645</v>
      </c>
      <c r="D121" s="292" t="s">
        <v>646</v>
      </c>
      <c r="E121" s="293">
        <v>4</v>
      </c>
      <c r="F121" s="293" t="s">
        <v>494</v>
      </c>
      <c r="G121" s="293" t="s">
        <v>495</v>
      </c>
      <c r="H121" s="294">
        <v>1</v>
      </c>
      <c r="I121" s="295">
        <v>22</v>
      </c>
      <c r="J121" s="293" t="s">
        <v>496</v>
      </c>
      <c r="K121" s="296">
        <f t="shared" si="18"/>
        <v>88</v>
      </c>
      <c r="L121" s="291" t="s">
        <v>640</v>
      </c>
      <c r="M121" s="297"/>
      <c r="N121" s="298" t="s">
        <v>498</v>
      </c>
      <c r="O121" s="274" t="s">
        <v>589</v>
      </c>
      <c r="P121" s="295"/>
    </row>
    <row r="122" s="274" customFormat="1" ht="18" customHeight="1" spans="1:18">
      <c r="A122" s="290">
        <v>45016</v>
      </c>
      <c r="B122" s="274" t="s">
        <v>637</v>
      </c>
      <c r="C122" s="291" t="s">
        <v>590</v>
      </c>
      <c r="D122" s="292" t="s">
        <v>84</v>
      </c>
      <c r="E122" s="293">
        <v>20</v>
      </c>
      <c r="F122" s="293" t="s">
        <v>494</v>
      </c>
      <c r="G122" s="293" t="s">
        <v>495</v>
      </c>
      <c r="H122" s="294">
        <v>4</v>
      </c>
      <c r="I122" s="295">
        <v>17</v>
      </c>
      <c r="J122" s="293" t="s">
        <v>496</v>
      </c>
      <c r="K122" s="296">
        <f t="shared" si="18"/>
        <v>1360</v>
      </c>
      <c r="L122" s="291" t="s">
        <v>640</v>
      </c>
      <c r="M122" s="297">
        <f>SUM(K118:K122)</f>
        <v>2988</v>
      </c>
      <c r="N122" s="298" t="s">
        <v>498</v>
      </c>
      <c r="O122" s="274" t="s">
        <v>589</v>
      </c>
      <c r="P122" s="295"/>
    </row>
    <row r="123" s="224" customFormat="1" ht="18" customHeight="1" spans="1:18">
      <c r="A123" s="299">
        <v>45016</v>
      </c>
      <c r="B123" s="224" t="s">
        <v>647</v>
      </c>
      <c r="C123" s="305" t="s">
        <v>509</v>
      </c>
      <c r="D123" s="306" t="s">
        <v>268</v>
      </c>
      <c r="E123" s="301">
        <v>35</v>
      </c>
      <c r="F123" s="301" t="s">
        <v>494</v>
      </c>
      <c r="G123" s="301" t="s">
        <v>495</v>
      </c>
      <c r="H123" s="302">
        <v>2</v>
      </c>
      <c r="I123" s="307">
        <v>8.3</v>
      </c>
      <c r="J123" s="301" t="s">
        <v>496</v>
      </c>
      <c r="K123" s="303">
        <f t="shared" si="18"/>
        <v>581</v>
      </c>
      <c r="L123" s="305" t="s">
        <v>565</v>
      </c>
      <c r="M123" s="308"/>
      <c r="N123" s="304" t="s">
        <v>511</v>
      </c>
      <c r="O123" s="274" t="s">
        <v>512</v>
      </c>
      <c r="P123" s="307">
        <v>9.5</v>
      </c>
      <c r="Q123" s="224">
        <f t="shared" ref="Q123:Q146" si="19">SUM(E123*H123*P123)</f>
        <v>665</v>
      </c>
    </row>
    <row r="124" s="224" customFormat="1" ht="18" customHeight="1" spans="1:18">
      <c r="A124" s="299">
        <v>45016</v>
      </c>
      <c r="B124" s="224" t="s">
        <v>647</v>
      </c>
      <c r="C124" s="305" t="s">
        <v>551</v>
      </c>
      <c r="D124" s="306" t="s">
        <v>552</v>
      </c>
      <c r="E124" s="301">
        <v>180</v>
      </c>
      <c r="F124" s="301" t="s">
        <v>494</v>
      </c>
      <c r="G124" s="301" t="s">
        <v>495</v>
      </c>
      <c r="H124" s="302">
        <v>1</v>
      </c>
      <c r="I124" s="307">
        <v>5.5</v>
      </c>
      <c r="J124" s="301" t="s">
        <v>496</v>
      </c>
      <c r="K124" s="303">
        <f t="shared" si="18"/>
        <v>990</v>
      </c>
      <c r="L124" s="308" t="s">
        <v>537</v>
      </c>
      <c r="M124" s="308">
        <f>SUM(K123:K124)</f>
        <v>1571</v>
      </c>
      <c r="N124" s="304" t="s">
        <v>498</v>
      </c>
      <c r="O124" s="274" t="s">
        <v>512</v>
      </c>
      <c r="P124" s="307">
        <v>6.5</v>
      </c>
      <c r="Q124" s="224">
        <f t="shared" si="19"/>
        <v>1170</v>
      </c>
      <c r="R124" s="224">
        <f>SUM(Q123:Q124)</f>
        <v>1835</v>
      </c>
    </row>
    <row r="125" s="274" customFormat="1" ht="18" customHeight="1" spans="1:18">
      <c r="A125" s="290">
        <v>45017</v>
      </c>
      <c r="B125" s="274" t="s">
        <v>56</v>
      </c>
      <c r="C125" s="291" t="s">
        <v>591</v>
      </c>
      <c r="D125" s="292" t="s">
        <v>268</v>
      </c>
      <c r="E125" s="293">
        <v>28</v>
      </c>
      <c r="F125" s="293" t="s">
        <v>494</v>
      </c>
      <c r="G125" s="293" t="s">
        <v>495</v>
      </c>
      <c r="H125" s="294">
        <v>10</v>
      </c>
      <c r="I125" s="295">
        <v>9</v>
      </c>
      <c r="J125" s="293" t="s">
        <v>496</v>
      </c>
      <c r="K125" s="296">
        <f t="shared" si="18"/>
        <v>2520</v>
      </c>
      <c r="L125" s="291" t="s">
        <v>592</v>
      </c>
      <c r="M125" s="297">
        <f>K125</f>
        <v>2520</v>
      </c>
      <c r="N125" s="298" t="s">
        <v>498</v>
      </c>
      <c r="O125" s="274" t="s">
        <v>533</v>
      </c>
      <c r="P125" s="295">
        <v>9</v>
      </c>
      <c r="Q125" s="274">
        <f t="shared" si="19"/>
        <v>2520</v>
      </c>
    </row>
    <row r="126" s="274" customFormat="1" ht="18" customHeight="1" spans="1:18">
      <c r="A126" s="290">
        <v>45017</v>
      </c>
      <c r="B126" s="274" t="s">
        <v>56</v>
      </c>
      <c r="C126" s="291" t="s">
        <v>648</v>
      </c>
      <c r="D126" s="292" t="s">
        <v>649</v>
      </c>
      <c r="E126" s="293">
        <v>25</v>
      </c>
      <c r="F126" s="293" t="s">
        <v>494</v>
      </c>
      <c r="G126" s="293" t="s">
        <v>495</v>
      </c>
      <c r="H126" s="294">
        <v>1</v>
      </c>
      <c r="I126" s="295">
        <v>17</v>
      </c>
      <c r="J126" s="293" t="s">
        <v>496</v>
      </c>
      <c r="K126" s="296">
        <f t="shared" si="18"/>
        <v>425</v>
      </c>
      <c r="L126" s="291" t="s">
        <v>496</v>
      </c>
      <c r="M126" s="297"/>
      <c r="N126" s="298" t="s">
        <v>498</v>
      </c>
      <c r="O126" s="274" t="s">
        <v>533</v>
      </c>
      <c r="P126" s="295">
        <v>17</v>
      </c>
      <c r="Q126" s="274">
        <f t="shared" si="19"/>
        <v>425</v>
      </c>
    </row>
    <row r="127" s="274" customFormat="1" ht="18" customHeight="1" spans="1:18">
      <c r="A127" s="290">
        <v>45017</v>
      </c>
      <c r="B127" s="274" t="s">
        <v>56</v>
      </c>
      <c r="C127" s="291" t="s">
        <v>608</v>
      </c>
      <c r="D127" s="292" t="s">
        <v>609</v>
      </c>
      <c r="E127" s="293">
        <v>25</v>
      </c>
      <c r="F127" s="293" t="s">
        <v>494</v>
      </c>
      <c r="G127" s="293" t="s">
        <v>495</v>
      </c>
      <c r="H127" s="294">
        <v>1</v>
      </c>
      <c r="I127" s="295">
        <v>17</v>
      </c>
      <c r="J127" s="293" t="s">
        <v>496</v>
      </c>
      <c r="K127" s="296">
        <f t="shared" si="18"/>
        <v>425</v>
      </c>
      <c r="L127" s="291" t="s">
        <v>496</v>
      </c>
      <c r="M127" s="297"/>
      <c r="N127" s="298" t="s">
        <v>498</v>
      </c>
      <c r="O127" s="274" t="s">
        <v>533</v>
      </c>
      <c r="P127" s="295">
        <v>17</v>
      </c>
      <c r="Q127" s="274">
        <f t="shared" si="19"/>
        <v>425</v>
      </c>
    </row>
    <row r="128" s="274" customFormat="1" ht="18" customHeight="1" spans="1:18">
      <c r="A128" s="290">
        <v>45017</v>
      </c>
      <c r="B128" s="274" t="s">
        <v>56</v>
      </c>
      <c r="C128" s="291" t="s">
        <v>608</v>
      </c>
      <c r="D128" s="292" t="s">
        <v>609</v>
      </c>
      <c r="E128" s="293">
        <v>26</v>
      </c>
      <c r="F128" s="293" t="s">
        <v>494</v>
      </c>
      <c r="G128" s="293" t="s">
        <v>495</v>
      </c>
      <c r="H128" s="294">
        <v>1</v>
      </c>
      <c r="I128" s="295">
        <v>17</v>
      </c>
      <c r="J128" s="293" t="s">
        <v>496</v>
      </c>
      <c r="K128" s="296">
        <f t="shared" si="18"/>
        <v>442</v>
      </c>
      <c r="L128" s="291" t="s">
        <v>496</v>
      </c>
      <c r="M128" s="297"/>
      <c r="N128" s="298" t="s">
        <v>498</v>
      </c>
      <c r="O128" s="274" t="s">
        <v>533</v>
      </c>
      <c r="P128" s="295">
        <v>17</v>
      </c>
      <c r="Q128" s="274">
        <f t="shared" si="19"/>
        <v>442</v>
      </c>
    </row>
    <row r="129" s="274" customFormat="1" ht="18" customHeight="1" spans="1:20">
      <c r="A129" s="290">
        <v>45017</v>
      </c>
      <c r="B129" s="274" t="s">
        <v>56</v>
      </c>
      <c r="C129" s="291">
        <v>178</v>
      </c>
      <c r="D129" s="292" t="s">
        <v>73</v>
      </c>
      <c r="E129" s="293">
        <v>24</v>
      </c>
      <c r="F129" s="293" t="s">
        <v>494</v>
      </c>
      <c r="G129" s="293" t="s">
        <v>495</v>
      </c>
      <c r="H129" s="294">
        <v>2</v>
      </c>
      <c r="I129" s="295">
        <v>17</v>
      </c>
      <c r="J129" s="293" t="s">
        <v>496</v>
      </c>
      <c r="K129" s="296">
        <f t="shared" si="18"/>
        <v>816</v>
      </c>
      <c r="L129" s="291" t="s">
        <v>496</v>
      </c>
      <c r="M129" s="297"/>
      <c r="N129" s="298" t="s">
        <v>498</v>
      </c>
      <c r="O129" s="274" t="s">
        <v>533</v>
      </c>
      <c r="P129" s="295">
        <v>17</v>
      </c>
      <c r="Q129" s="274">
        <f t="shared" si="19"/>
        <v>816</v>
      </c>
    </row>
    <row r="130" s="274" customFormat="1" ht="18" customHeight="1" spans="1:20">
      <c r="A130" s="290">
        <v>45017</v>
      </c>
      <c r="B130" s="274" t="s">
        <v>56</v>
      </c>
      <c r="C130" s="291" t="s">
        <v>9</v>
      </c>
      <c r="D130" s="292" t="s">
        <v>10</v>
      </c>
      <c r="E130" s="293">
        <v>10</v>
      </c>
      <c r="F130" s="293" t="s">
        <v>494</v>
      </c>
      <c r="G130" s="293" t="s">
        <v>495</v>
      </c>
      <c r="H130" s="294">
        <v>3</v>
      </c>
      <c r="I130" s="295">
        <v>17</v>
      </c>
      <c r="J130" s="293" t="s">
        <v>496</v>
      </c>
      <c r="K130" s="296">
        <f t="shared" si="18"/>
        <v>510</v>
      </c>
      <c r="L130" s="291" t="s">
        <v>585</v>
      </c>
      <c r="M130" s="297">
        <f>SUM(K125:K130)</f>
        <v>5138</v>
      </c>
      <c r="N130" s="298" t="s">
        <v>498</v>
      </c>
      <c r="O130" s="274" t="s">
        <v>533</v>
      </c>
      <c r="P130" s="295">
        <v>17</v>
      </c>
      <c r="Q130" s="274">
        <f t="shared" si="19"/>
        <v>510</v>
      </c>
    </row>
    <row r="131" s="274" customFormat="1" ht="18" customHeight="1" spans="1:20">
      <c r="A131" s="290">
        <v>45017</v>
      </c>
      <c r="C131" s="291" t="s">
        <v>591</v>
      </c>
      <c r="D131" s="292" t="s">
        <v>268</v>
      </c>
      <c r="E131" s="293">
        <v>28</v>
      </c>
      <c r="F131" s="293" t="s">
        <v>494</v>
      </c>
      <c r="G131" s="293" t="s">
        <v>495</v>
      </c>
      <c r="H131" s="294">
        <v>6</v>
      </c>
      <c r="I131" s="295"/>
      <c r="J131" s="293" t="s">
        <v>496</v>
      </c>
      <c r="K131" s="296">
        <f t="shared" si="18"/>
        <v>0</v>
      </c>
      <c r="L131" s="309" t="s">
        <v>650</v>
      </c>
      <c r="M131" s="297">
        <f>K131</f>
        <v>0</v>
      </c>
      <c r="N131" s="298" t="s">
        <v>498</v>
      </c>
      <c r="O131" s="274" t="s">
        <v>533</v>
      </c>
      <c r="P131" s="295">
        <v>9</v>
      </c>
      <c r="Q131" s="274">
        <f t="shared" si="19"/>
        <v>1512</v>
      </c>
    </row>
    <row r="132" s="224" customFormat="1" ht="18" customHeight="1" spans="1:20">
      <c r="A132" s="299">
        <v>45017</v>
      </c>
      <c r="B132" s="224" t="s">
        <v>11</v>
      </c>
      <c r="C132" s="305" t="s">
        <v>509</v>
      </c>
      <c r="D132" s="306" t="s">
        <v>268</v>
      </c>
      <c r="E132" s="301">
        <v>35</v>
      </c>
      <c r="F132" s="301" t="s">
        <v>494</v>
      </c>
      <c r="G132" s="301" t="s">
        <v>495</v>
      </c>
      <c r="H132" s="302">
        <v>5</v>
      </c>
      <c r="I132" s="307">
        <v>8.3</v>
      </c>
      <c r="J132" s="301" t="s">
        <v>496</v>
      </c>
      <c r="K132" s="303">
        <f t="shared" si="18"/>
        <v>1452.5</v>
      </c>
      <c r="L132" s="305" t="s">
        <v>565</v>
      </c>
      <c r="M132" s="308"/>
      <c r="N132" s="304" t="s">
        <v>511</v>
      </c>
      <c r="O132" s="274" t="s">
        <v>512</v>
      </c>
      <c r="P132" s="307">
        <v>9.5</v>
      </c>
      <c r="Q132" s="224">
        <f t="shared" si="19"/>
        <v>1662.5</v>
      </c>
    </row>
    <row r="133" s="275" customFormat="1" ht="18" customHeight="1" spans="1:20">
      <c r="A133" s="332">
        <v>45023</v>
      </c>
      <c r="B133" s="275" t="s">
        <v>405</v>
      </c>
      <c r="C133" s="333" t="s">
        <v>509</v>
      </c>
      <c r="D133" s="334" t="s">
        <v>268</v>
      </c>
      <c r="E133" s="335">
        <v>35</v>
      </c>
      <c r="F133" s="335" t="s">
        <v>494</v>
      </c>
      <c r="G133" s="335" t="s">
        <v>495</v>
      </c>
      <c r="H133" s="336">
        <v>10</v>
      </c>
      <c r="I133" s="337">
        <v>8.3</v>
      </c>
      <c r="J133" s="335" t="s">
        <v>496</v>
      </c>
      <c r="K133" s="338">
        <f t="shared" si="18"/>
        <v>2905</v>
      </c>
      <c r="L133" s="305" t="s">
        <v>565</v>
      </c>
      <c r="M133" s="339"/>
      <c r="N133" s="340" t="s">
        <v>511</v>
      </c>
      <c r="O133" s="275" t="s">
        <v>512</v>
      </c>
      <c r="P133" s="337">
        <v>9.5</v>
      </c>
      <c r="Q133" s="275">
        <f t="shared" si="19"/>
        <v>3325</v>
      </c>
    </row>
    <row r="134" s="198" customFormat="1" ht="18" customHeight="1" spans="1:20">
      <c r="A134" s="323">
        <v>45024</v>
      </c>
      <c r="B134" s="198" t="s">
        <v>399</v>
      </c>
      <c r="C134" s="309"/>
      <c r="D134" s="330" t="s">
        <v>651</v>
      </c>
      <c r="E134" s="325">
        <v>18</v>
      </c>
      <c r="F134" s="325" t="s">
        <v>494</v>
      </c>
      <c r="G134" s="325" t="s">
        <v>495</v>
      </c>
      <c r="H134" s="326">
        <v>1</v>
      </c>
      <c r="I134" s="203"/>
      <c r="J134" s="325" t="s">
        <v>496</v>
      </c>
      <c r="K134" s="327">
        <f t="shared" si="18"/>
        <v>0</v>
      </c>
      <c r="L134" s="309" t="s">
        <v>652</v>
      </c>
      <c r="M134" s="331"/>
      <c r="N134" s="328" t="s">
        <v>653</v>
      </c>
      <c r="O134" s="198" t="s">
        <v>512</v>
      </c>
      <c r="P134" s="203">
        <v>8.5</v>
      </c>
      <c r="Q134" s="198">
        <f t="shared" si="19"/>
        <v>153</v>
      </c>
    </row>
    <row r="135" s="274" customFormat="1" ht="18" customHeight="1" spans="1:20">
      <c r="A135" s="290">
        <v>45024</v>
      </c>
      <c r="B135" s="274" t="s">
        <v>155</v>
      </c>
      <c r="C135" s="291">
        <v>178</v>
      </c>
      <c r="D135" s="292" t="s">
        <v>73</v>
      </c>
      <c r="E135" s="293">
        <v>25</v>
      </c>
      <c r="F135" s="293" t="s">
        <v>494</v>
      </c>
      <c r="G135" s="293" t="s">
        <v>495</v>
      </c>
      <c r="H135" s="294">
        <v>2</v>
      </c>
      <c r="I135" s="295">
        <v>17</v>
      </c>
      <c r="J135" s="293" t="s">
        <v>496</v>
      </c>
      <c r="K135" s="341">
        <f t="shared" si="18"/>
        <v>850</v>
      </c>
      <c r="L135" s="291" t="s">
        <v>496</v>
      </c>
      <c r="M135" s="297"/>
      <c r="N135" s="298" t="s">
        <v>498</v>
      </c>
      <c r="O135" s="274" t="s">
        <v>533</v>
      </c>
      <c r="P135" s="295">
        <v>17</v>
      </c>
      <c r="Q135" s="274">
        <f t="shared" si="19"/>
        <v>850</v>
      </c>
    </row>
    <row r="136" s="274" customFormat="1" spans="1:20">
      <c r="A136" s="290">
        <v>45024</v>
      </c>
      <c r="B136" s="274" t="s">
        <v>155</v>
      </c>
      <c r="C136" s="274" t="s">
        <v>12</v>
      </c>
      <c r="D136" s="274" t="s">
        <v>13</v>
      </c>
      <c r="E136" s="293">
        <v>20</v>
      </c>
      <c r="F136" s="293" t="s">
        <v>494</v>
      </c>
      <c r="G136" s="293" t="s">
        <v>495</v>
      </c>
      <c r="H136" s="294">
        <v>2</v>
      </c>
      <c r="I136" s="295">
        <v>21.5</v>
      </c>
      <c r="J136" s="293" t="s">
        <v>496</v>
      </c>
      <c r="K136" s="296">
        <f t="shared" si="18"/>
        <v>860</v>
      </c>
      <c r="L136" s="291" t="s">
        <v>496</v>
      </c>
      <c r="M136" s="297"/>
      <c r="N136" s="298" t="s">
        <v>498</v>
      </c>
      <c r="O136" s="274" t="s">
        <v>533</v>
      </c>
      <c r="P136" s="295">
        <v>21.5</v>
      </c>
      <c r="Q136" s="274">
        <f t="shared" si="19"/>
        <v>860</v>
      </c>
    </row>
    <row r="137" s="274" customFormat="1" ht="18" customHeight="1" spans="1:20">
      <c r="A137" s="290">
        <v>45024</v>
      </c>
      <c r="B137" s="274" t="s">
        <v>155</v>
      </c>
      <c r="C137" s="291" t="s">
        <v>610</v>
      </c>
      <c r="D137" s="292" t="s">
        <v>611</v>
      </c>
      <c r="E137" s="293">
        <v>25</v>
      </c>
      <c r="F137" s="293" t="s">
        <v>494</v>
      </c>
      <c r="G137" s="293" t="s">
        <v>495</v>
      </c>
      <c r="H137" s="294">
        <v>2</v>
      </c>
      <c r="I137" s="295">
        <v>17</v>
      </c>
      <c r="J137" s="293" t="s">
        <v>496</v>
      </c>
      <c r="K137" s="296">
        <f t="shared" si="18"/>
        <v>850</v>
      </c>
      <c r="L137" s="291" t="s">
        <v>496</v>
      </c>
      <c r="M137" s="297"/>
      <c r="N137" s="298" t="s">
        <v>498</v>
      </c>
      <c r="O137" s="274" t="s">
        <v>533</v>
      </c>
      <c r="P137" s="295">
        <v>17</v>
      </c>
      <c r="Q137" s="274">
        <f t="shared" si="19"/>
        <v>850</v>
      </c>
    </row>
    <row r="138" s="274" customFormat="1" spans="1:20">
      <c r="A138" s="290">
        <v>45024</v>
      </c>
      <c r="B138" s="274" t="s">
        <v>155</v>
      </c>
      <c r="C138" s="647" t="s">
        <v>654</v>
      </c>
      <c r="D138" s="274" t="s">
        <v>53</v>
      </c>
      <c r="E138" s="293">
        <v>20</v>
      </c>
      <c r="F138" s="293" t="s">
        <v>494</v>
      </c>
      <c r="G138" s="293" t="s">
        <v>495</v>
      </c>
      <c r="H138" s="294">
        <v>1</v>
      </c>
      <c r="I138" s="203">
        <v>21.5</v>
      </c>
      <c r="J138" s="293" t="s">
        <v>496</v>
      </c>
      <c r="K138" s="296">
        <f t="shared" si="18"/>
        <v>430</v>
      </c>
      <c r="L138" s="291" t="s">
        <v>655</v>
      </c>
      <c r="M138" s="297"/>
      <c r="N138" s="298" t="s">
        <v>498</v>
      </c>
      <c r="O138" s="274" t="s">
        <v>533</v>
      </c>
      <c r="P138" s="295">
        <v>21.5</v>
      </c>
      <c r="Q138" s="274">
        <f t="shared" si="19"/>
        <v>430</v>
      </c>
    </row>
    <row r="139" s="274" customFormat="1" spans="1:20">
      <c r="A139" s="290">
        <v>45024</v>
      </c>
      <c r="B139" s="274" t="s">
        <v>155</v>
      </c>
      <c r="C139" s="312" t="s">
        <v>555</v>
      </c>
      <c r="D139" s="274" t="s">
        <v>656</v>
      </c>
      <c r="E139" s="293">
        <v>20</v>
      </c>
      <c r="F139" s="293" t="s">
        <v>494</v>
      </c>
      <c r="G139" s="293" t="s">
        <v>495</v>
      </c>
      <c r="H139" s="294">
        <v>3</v>
      </c>
      <c r="I139" s="295">
        <v>17</v>
      </c>
      <c r="J139" s="293" t="s">
        <v>496</v>
      </c>
      <c r="K139" s="296">
        <f t="shared" si="18"/>
        <v>1020</v>
      </c>
      <c r="L139" s="291" t="s">
        <v>496</v>
      </c>
      <c r="M139" s="297"/>
      <c r="N139" s="298" t="s">
        <v>498</v>
      </c>
      <c r="O139" s="274" t="s">
        <v>533</v>
      </c>
      <c r="P139" s="319">
        <v>17</v>
      </c>
      <c r="Q139" s="274">
        <f t="shared" si="19"/>
        <v>1020</v>
      </c>
      <c r="R139" s="293"/>
      <c r="S139" s="291"/>
    </row>
    <row r="140" s="274" customFormat="1" ht="18" customHeight="1" spans="1:20">
      <c r="A140" s="290">
        <v>45024</v>
      </c>
      <c r="B140" s="274" t="s">
        <v>155</v>
      </c>
      <c r="C140" s="291" t="s">
        <v>9</v>
      </c>
      <c r="D140" s="292" t="s">
        <v>10</v>
      </c>
      <c r="E140" s="293">
        <v>10</v>
      </c>
      <c r="F140" s="293" t="s">
        <v>494</v>
      </c>
      <c r="G140" s="293" t="s">
        <v>495</v>
      </c>
      <c r="H140" s="294">
        <v>2</v>
      </c>
      <c r="I140" s="295">
        <v>17</v>
      </c>
      <c r="J140" s="293" t="s">
        <v>496</v>
      </c>
      <c r="K140" s="296">
        <f t="shared" si="18"/>
        <v>340</v>
      </c>
      <c r="L140" s="291" t="s">
        <v>585</v>
      </c>
      <c r="M140" s="297"/>
      <c r="N140" s="298" t="s">
        <v>498</v>
      </c>
      <c r="O140" s="274" t="s">
        <v>533</v>
      </c>
      <c r="P140" s="295">
        <v>17</v>
      </c>
      <c r="Q140" s="274">
        <f t="shared" si="19"/>
        <v>340</v>
      </c>
    </row>
    <row r="141" s="274" customFormat="1" ht="18" customHeight="1" spans="1:20">
      <c r="A141" s="290">
        <v>45024</v>
      </c>
      <c r="B141" s="274" t="s">
        <v>155</v>
      </c>
      <c r="C141" s="291" t="s">
        <v>83</v>
      </c>
      <c r="D141" s="292" t="s">
        <v>84</v>
      </c>
      <c r="E141" s="293">
        <v>20</v>
      </c>
      <c r="F141" s="293" t="s">
        <v>494</v>
      </c>
      <c r="G141" s="293" t="s">
        <v>495</v>
      </c>
      <c r="H141" s="294">
        <v>5</v>
      </c>
      <c r="I141" s="295">
        <v>17</v>
      </c>
      <c r="J141" s="293" t="s">
        <v>496</v>
      </c>
      <c r="K141" s="296">
        <f t="shared" si="18"/>
        <v>1700</v>
      </c>
      <c r="L141" s="291" t="s">
        <v>496</v>
      </c>
      <c r="M141" s="297"/>
      <c r="N141" s="298" t="s">
        <v>498</v>
      </c>
      <c r="O141" s="274" t="s">
        <v>533</v>
      </c>
      <c r="P141" s="295">
        <v>17</v>
      </c>
      <c r="Q141" s="274">
        <f t="shared" si="19"/>
        <v>1700</v>
      </c>
    </row>
    <row r="142" s="274" customFormat="1" spans="1:20">
      <c r="A142" s="290">
        <v>45024</v>
      </c>
      <c r="B142" s="274" t="s">
        <v>155</v>
      </c>
      <c r="D142" s="274" t="s">
        <v>657</v>
      </c>
      <c r="E142" s="293">
        <v>18</v>
      </c>
      <c r="F142" s="293" t="s">
        <v>494</v>
      </c>
      <c r="G142" s="293" t="s">
        <v>495</v>
      </c>
      <c r="H142" s="294">
        <v>3</v>
      </c>
      <c r="I142" s="295">
        <v>9.5</v>
      </c>
      <c r="J142" s="293" t="s">
        <v>496</v>
      </c>
      <c r="K142" s="296">
        <f t="shared" si="18"/>
        <v>513</v>
      </c>
      <c r="L142" s="291" t="s">
        <v>558</v>
      </c>
      <c r="M142" s="297">
        <f>SUM(K135:K142)</f>
        <v>6563</v>
      </c>
      <c r="N142" s="298" t="s">
        <v>498</v>
      </c>
      <c r="O142" s="274" t="s">
        <v>533</v>
      </c>
      <c r="P142" s="295">
        <v>9.5</v>
      </c>
      <c r="Q142" s="274">
        <f t="shared" si="19"/>
        <v>513</v>
      </c>
      <c r="R142" s="274">
        <f>SUM(Q135:Q142)</f>
        <v>6563</v>
      </c>
      <c r="S142" s="274" t="s">
        <v>658</v>
      </c>
      <c r="T142" s="274" t="s">
        <v>271</v>
      </c>
    </row>
    <row r="143" s="224" customFormat="1" spans="1:20">
      <c r="A143" s="299">
        <v>45026</v>
      </c>
      <c r="B143" s="224" t="s">
        <v>423</v>
      </c>
      <c r="D143" s="224" t="s">
        <v>96</v>
      </c>
      <c r="E143" s="301">
        <v>25</v>
      </c>
      <c r="F143" s="301" t="s">
        <v>494</v>
      </c>
      <c r="G143" s="301" t="s">
        <v>495</v>
      </c>
      <c r="H143" s="302">
        <v>1</v>
      </c>
      <c r="I143" s="307">
        <v>15</v>
      </c>
      <c r="J143" s="301" t="s">
        <v>496</v>
      </c>
      <c r="K143" s="303">
        <f t="shared" si="18"/>
        <v>375</v>
      </c>
      <c r="L143" s="198" t="s">
        <v>659</v>
      </c>
      <c r="M143" s="308"/>
      <c r="N143" s="304" t="s">
        <v>498</v>
      </c>
      <c r="O143" s="224" t="s">
        <v>505</v>
      </c>
      <c r="P143" s="307">
        <v>21.5</v>
      </c>
      <c r="Q143" s="224">
        <f t="shared" si="19"/>
        <v>537.5</v>
      </c>
    </row>
    <row r="144" s="224" customFormat="1" spans="1:20">
      <c r="A144" s="299">
        <v>45026</v>
      </c>
      <c r="B144" s="224" t="s">
        <v>423</v>
      </c>
      <c r="D144" s="224" t="s">
        <v>96</v>
      </c>
      <c r="E144" s="301">
        <v>26</v>
      </c>
      <c r="F144" s="301" t="s">
        <v>494</v>
      </c>
      <c r="G144" s="301" t="s">
        <v>495</v>
      </c>
      <c r="H144" s="302">
        <v>1</v>
      </c>
      <c r="I144" s="307">
        <v>15</v>
      </c>
      <c r="J144" s="301" t="s">
        <v>496</v>
      </c>
      <c r="K144" s="303">
        <f t="shared" si="18"/>
        <v>390</v>
      </c>
      <c r="L144" s="198" t="s">
        <v>659</v>
      </c>
      <c r="M144" s="308"/>
      <c r="N144" s="304" t="s">
        <v>498</v>
      </c>
      <c r="O144" s="224" t="s">
        <v>505</v>
      </c>
      <c r="P144" s="307">
        <v>21.5</v>
      </c>
      <c r="Q144" s="224">
        <f t="shared" si="19"/>
        <v>559</v>
      </c>
    </row>
    <row r="145" s="224" customFormat="1" ht="18" customHeight="1" spans="1:18">
      <c r="A145" s="299">
        <v>45026</v>
      </c>
      <c r="B145" s="224" t="s">
        <v>423</v>
      </c>
      <c r="C145" s="305" t="s">
        <v>506</v>
      </c>
      <c r="D145" s="306" t="s">
        <v>10</v>
      </c>
      <c r="E145" s="301">
        <v>10</v>
      </c>
      <c r="F145" s="301" t="s">
        <v>494</v>
      </c>
      <c r="G145" s="301" t="s">
        <v>495</v>
      </c>
      <c r="H145" s="302">
        <v>2</v>
      </c>
      <c r="I145" s="307">
        <v>15</v>
      </c>
      <c r="J145" s="301" t="s">
        <v>496</v>
      </c>
      <c r="K145" s="303">
        <f t="shared" si="18"/>
        <v>300</v>
      </c>
      <c r="L145" s="198" t="s">
        <v>659</v>
      </c>
      <c r="M145" s="308">
        <f>SUM(K143:K145)</f>
        <v>1065</v>
      </c>
      <c r="N145" s="304" t="s">
        <v>498</v>
      </c>
      <c r="O145" s="224" t="s">
        <v>505</v>
      </c>
      <c r="P145" s="307">
        <v>21.5</v>
      </c>
      <c r="Q145" s="224">
        <f t="shared" si="19"/>
        <v>430</v>
      </c>
      <c r="R145" s="224">
        <f>SUM(Q143:Q145)</f>
        <v>1526.5</v>
      </c>
    </row>
    <row r="146" s="274" customFormat="1" ht="18" customHeight="1" spans="1:18">
      <c r="A146" s="290">
        <v>45026</v>
      </c>
      <c r="B146" s="274" t="s">
        <v>406</v>
      </c>
      <c r="C146" s="342" t="s">
        <v>630</v>
      </c>
      <c r="D146" s="292" t="s">
        <v>631</v>
      </c>
      <c r="E146" s="293">
        <v>2</v>
      </c>
      <c r="F146" s="293" t="s">
        <v>494</v>
      </c>
      <c r="G146" s="293" t="s">
        <v>495</v>
      </c>
      <c r="H146" s="294">
        <v>1</v>
      </c>
      <c r="I146" s="295">
        <v>17</v>
      </c>
      <c r="J146" s="293" t="s">
        <v>496</v>
      </c>
      <c r="K146" s="296">
        <f t="shared" si="18"/>
        <v>34</v>
      </c>
      <c r="L146" s="291" t="s">
        <v>660</v>
      </c>
      <c r="M146" s="297"/>
      <c r="N146" s="298" t="s">
        <v>498</v>
      </c>
      <c r="O146" s="274" t="s">
        <v>499</v>
      </c>
      <c r="P146" s="295"/>
    </row>
    <row r="147" s="274" customFormat="1" spans="1:18">
      <c r="A147" s="290">
        <v>45026</v>
      </c>
      <c r="B147" s="274" t="s">
        <v>406</v>
      </c>
      <c r="C147" s="342" t="s">
        <v>633</v>
      </c>
      <c r="D147" s="292" t="s">
        <v>631</v>
      </c>
      <c r="E147" s="293">
        <v>2</v>
      </c>
      <c r="F147" s="293" t="s">
        <v>494</v>
      </c>
      <c r="G147" s="293" t="s">
        <v>495</v>
      </c>
      <c r="H147" s="294">
        <v>1</v>
      </c>
      <c r="I147" s="295">
        <v>17</v>
      </c>
      <c r="J147" s="293" t="s">
        <v>496</v>
      </c>
      <c r="K147" s="296">
        <f t="shared" si="18"/>
        <v>34</v>
      </c>
      <c r="L147" s="291" t="s">
        <v>660</v>
      </c>
      <c r="N147" s="298" t="s">
        <v>498</v>
      </c>
      <c r="O147" s="274" t="s">
        <v>499</v>
      </c>
    </row>
    <row r="148" s="274" customFormat="1" spans="1:18">
      <c r="A148" s="290">
        <v>45026</v>
      </c>
      <c r="B148" s="274" t="s">
        <v>406</v>
      </c>
      <c r="C148" s="342" t="s">
        <v>634</v>
      </c>
      <c r="D148" s="292" t="s">
        <v>631</v>
      </c>
      <c r="E148" s="293">
        <v>2</v>
      </c>
      <c r="F148" s="293" t="s">
        <v>494</v>
      </c>
      <c r="G148" s="293" t="s">
        <v>495</v>
      </c>
      <c r="H148" s="294">
        <v>1</v>
      </c>
      <c r="I148" s="295">
        <v>17</v>
      </c>
      <c r="J148" s="293" t="s">
        <v>496</v>
      </c>
      <c r="K148" s="296">
        <f t="shared" si="18"/>
        <v>34</v>
      </c>
      <c r="L148" s="291" t="s">
        <v>660</v>
      </c>
      <c r="N148" s="298" t="s">
        <v>498</v>
      </c>
      <c r="O148" s="274" t="s">
        <v>499</v>
      </c>
    </row>
    <row r="149" s="274" customFormat="1" spans="1:18">
      <c r="A149" s="290">
        <v>45026</v>
      </c>
      <c r="B149" s="274" t="s">
        <v>406</v>
      </c>
      <c r="C149" s="342" t="s">
        <v>635</v>
      </c>
      <c r="D149" s="292" t="s">
        <v>631</v>
      </c>
      <c r="E149" s="293">
        <v>2</v>
      </c>
      <c r="F149" s="293" t="s">
        <v>494</v>
      </c>
      <c r="G149" s="293" t="s">
        <v>495</v>
      </c>
      <c r="H149" s="294">
        <v>1</v>
      </c>
      <c r="I149" s="295">
        <v>17</v>
      </c>
      <c r="J149" s="293" t="s">
        <v>496</v>
      </c>
      <c r="K149" s="296">
        <f t="shared" si="18"/>
        <v>34</v>
      </c>
      <c r="L149" s="291" t="s">
        <v>660</v>
      </c>
      <c r="N149" s="298" t="s">
        <v>498</v>
      </c>
      <c r="O149" s="274" t="s">
        <v>499</v>
      </c>
    </row>
    <row r="150" s="274" customFormat="1" ht="18" customHeight="1" spans="1:18">
      <c r="A150" s="290">
        <v>45026</v>
      </c>
      <c r="B150" s="274" t="s">
        <v>406</v>
      </c>
      <c r="C150" s="291" t="s">
        <v>493</v>
      </c>
      <c r="D150" s="292" t="s">
        <v>268</v>
      </c>
      <c r="E150" s="293">
        <v>35</v>
      </c>
      <c r="F150" s="293" t="s">
        <v>494</v>
      </c>
      <c r="G150" s="293" t="s">
        <v>495</v>
      </c>
      <c r="H150" s="294">
        <v>10</v>
      </c>
      <c r="I150" s="295">
        <v>9</v>
      </c>
      <c r="J150" s="293" t="s">
        <v>496</v>
      </c>
      <c r="K150" s="296">
        <f t="shared" ref="K150:K158" si="20">SUM(E150*H150*I150)</f>
        <v>3150</v>
      </c>
      <c r="L150" s="291" t="s">
        <v>497</v>
      </c>
      <c r="M150" s="297"/>
      <c r="N150" s="298" t="s">
        <v>498</v>
      </c>
      <c r="O150" s="274" t="s">
        <v>499</v>
      </c>
      <c r="P150" s="295">
        <v>9</v>
      </c>
      <c r="Q150" s="274">
        <f t="shared" ref="Q150:Q156" si="21">SUM(E150*H150*P150)</f>
        <v>3150</v>
      </c>
    </row>
    <row r="151" s="274" customFormat="1" ht="18" customHeight="1" spans="1:18">
      <c r="A151" s="290">
        <v>45026</v>
      </c>
      <c r="B151" s="274" t="s">
        <v>406</v>
      </c>
      <c r="C151" s="291" t="s">
        <v>522</v>
      </c>
      <c r="D151" s="292" t="s">
        <v>523</v>
      </c>
      <c r="E151" s="293">
        <v>25</v>
      </c>
      <c r="F151" s="293" t="s">
        <v>494</v>
      </c>
      <c r="G151" s="293" t="s">
        <v>495</v>
      </c>
      <c r="H151" s="294">
        <v>3</v>
      </c>
      <c r="I151" s="295">
        <v>12</v>
      </c>
      <c r="J151" s="293" t="s">
        <v>496</v>
      </c>
      <c r="K151" s="296">
        <f t="shared" si="20"/>
        <v>900</v>
      </c>
      <c r="L151" s="291" t="s">
        <v>661</v>
      </c>
      <c r="M151" s="297"/>
      <c r="N151" s="298" t="s">
        <v>498</v>
      </c>
      <c r="O151" s="274" t="s">
        <v>499</v>
      </c>
      <c r="P151" s="274">
        <v>12</v>
      </c>
      <c r="Q151" s="274">
        <f t="shared" si="21"/>
        <v>900</v>
      </c>
      <c r="R151" s="274">
        <f>SUM(Q150:Q151)</f>
        <v>4050</v>
      </c>
    </row>
    <row r="152" s="274" customFormat="1" ht="18" customHeight="1" spans="1:18">
      <c r="A152" s="290">
        <v>45026</v>
      </c>
      <c r="B152" s="274" t="s">
        <v>406</v>
      </c>
      <c r="C152" s="342" t="s">
        <v>630</v>
      </c>
      <c r="D152" s="292" t="s">
        <v>662</v>
      </c>
      <c r="E152" s="293">
        <v>1</v>
      </c>
      <c r="F152" s="293" t="s">
        <v>494</v>
      </c>
      <c r="G152" s="293" t="s">
        <v>495</v>
      </c>
      <c r="H152" s="294">
        <v>1</v>
      </c>
      <c r="I152" s="295">
        <v>17</v>
      </c>
      <c r="J152" s="293" t="s">
        <v>496</v>
      </c>
      <c r="K152" s="296">
        <f t="shared" si="20"/>
        <v>17</v>
      </c>
      <c r="L152" s="291" t="s">
        <v>663</v>
      </c>
      <c r="M152" s="297">
        <f>SUM(K146:K152)</f>
        <v>4203</v>
      </c>
      <c r="N152" s="298" t="s">
        <v>498</v>
      </c>
      <c r="O152" s="274" t="s">
        <v>499</v>
      </c>
      <c r="P152" s="295"/>
    </row>
    <row r="153" s="198" customFormat="1" ht="18" customHeight="1" spans="1:18">
      <c r="A153" s="323">
        <v>45026</v>
      </c>
      <c r="B153" s="198" t="s">
        <v>516</v>
      </c>
      <c r="C153" s="309" t="s">
        <v>551</v>
      </c>
      <c r="D153" s="330" t="s">
        <v>552</v>
      </c>
      <c r="E153" s="325">
        <v>180</v>
      </c>
      <c r="F153" s="325" t="s">
        <v>494</v>
      </c>
      <c r="G153" s="325" t="s">
        <v>495</v>
      </c>
      <c r="H153" s="326">
        <v>1</v>
      </c>
      <c r="I153" s="203">
        <v>5.5</v>
      </c>
      <c r="J153" s="325" t="s">
        <v>496</v>
      </c>
      <c r="K153" s="327">
        <f t="shared" si="20"/>
        <v>990</v>
      </c>
      <c r="L153" s="331" t="s">
        <v>537</v>
      </c>
      <c r="M153" s="331"/>
      <c r="N153" s="328" t="s">
        <v>498</v>
      </c>
      <c r="O153" s="198" t="s">
        <v>512</v>
      </c>
      <c r="P153" s="203">
        <v>6.5</v>
      </c>
      <c r="Q153" s="198">
        <f t="shared" si="21"/>
        <v>1170</v>
      </c>
    </row>
    <row r="154" s="198" customFormat="1" ht="18" customHeight="1" spans="1:18">
      <c r="A154" s="323">
        <v>45026</v>
      </c>
      <c r="B154" s="198" t="s">
        <v>516</v>
      </c>
      <c r="C154" s="309" t="s">
        <v>520</v>
      </c>
      <c r="D154" s="330" t="s">
        <v>60</v>
      </c>
      <c r="E154" s="325">
        <v>25</v>
      </c>
      <c r="F154" s="325" t="s">
        <v>494</v>
      </c>
      <c r="G154" s="325" t="s">
        <v>495</v>
      </c>
      <c r="H154" s="326">
        <v>5</v>
      </c>
      <c r="I154" s="203">
        <v>10.3</v>
      </c>
      <c r="J154" s="325" t="s">
        <v>496</v>
      </c>
      <c r="K154" s="327">
        <f t="shared" si="20"/>
        <v>1287.5</v>
      </c>
      <c r="L154" s="309" t="s">
        <v>664</v>
      </c>
      <c r="M154" s="331">
        <f>SUM(K152:K154)</f>
        <v>2294.5</v>
      </c>
      <c r="N154" s="328" t="s">
        <v>498</v>
      </c>
      <c r="O154" s="198" t="s">
        <v>512</v>
      </c>
      <c r="P154" s="203">
        <v>12.5</v>
      </c>
      <c r="Q154" s="198">
        <f t="shared" si="21"/>
        <v>1562.5</v>
      </c>
      <c r="R154" s="198">
        <f>SUM(Q153:Q154)</f>
        <v>2732.5</v>
      </c>
    </row>
    <row r="155" s="274" customFormat="1" ht="18" customHeight="1" spans="1:18">
      <c r="A155" s="290">
        <v>45028</v>
      </c>
      <c r="B155" s="274" t="s">
        <v>424</v>
      </c>
      <c r="C155" s="309" t="s">
        <v>644</v>
      </c>
      <c r="D155" s="292" t="s">
        <v>587</v>
      </c>
      <c r="E155" s="293">
        <v>21</v>
      </c>
      <c r="F155" s="293" t="s">
        <v>494</v>
      </c>
      <c r="G155" s="293" t="s">
        <v>495</v>
      </c>
      <c r="H155" s="294">
        <v>1</v>
      </c>
      <c r="I155" s="295">
        <v>22</v>
      </c>
      <c r="J155" s="293" t="s">
        <v>496</v>
      </c>
      <c r="K155" s="296">
        <f t="shared" si="20"/>
        <v>462</v>
      </c>
      <c r="L155" s="291" t="s">
        <v>640</v>
      </c>
      <c r="M155" s="297"/>
      <c r="N155" s="298" t="s">
        <v>498</v>
      </c>
      <c r="O155" s="274" t="s">
        <v>589</v>
      </c>
      <c r="P155" s="295"/>
      <c r="Q155" s="274">
        <f t="shared" si="21"/>
        <v>0</v>
      </c>
    </row>
    <row r="156" s="274" customFormat="1" ht="18" customHeight="1" spans="1:18">
      <c r="A156" s="290">
        <v>45028</v>
      </c>
      <c r="B156" s="274" t="s">
        <v>424</v>
      </c>
      <c r="C156" s="309" t="s">
        <v>644</v>
      </c>
      <c r="D156" s="292" t="s">
        <v>587</v>
      </c>
      <c r="E156" s="293">
        <v>20</v>
      </c>
      <c r="F156" s="293" t="s">
        <v>494</v>
      </c>
      <c r="G156" s="293" t="s">
        <v>495</v>
      </c>
      <c r="H156" s="294">
        <v>1</v>
      </c>
      <c r="I156" s="295">
        <v>22</v>
      </c>
      <c r="J156" s="293" t="s">
        <v>496</v>
      </c>
      <c r="K156" s="296">
        <f t="shared" si="20"/>
        <v>440</v>
      </c>
      <c r="L156" s="291" t="s">
        <v>640</v>
      </c>
      <c r="M156" s="297"/>
      <c r="N156" s="298" t="s">
        <v>498</v>
      </c>
      <c r="O156" s="274" t="s">
        <v>589</v>
      </c>
      <c r="P156" s="295"/>
      <c r="Q156" s="274">
        <f t="shared" si="21"/>
        <v>0</v>
      </c>
    </row>
    <row r="157" s="274" customFormat="1" ht="18" customHeight="1" spans="1:18">
      <c r="A157" s="290">
        <v>45028</v>
      </c>
      <c r="B157" s="274" t="s">
        <v>424</v>
      </c>
      <c r="C157" s="291" t="s">
        <v>590</v>
      </c>
      <c r="D157" s="292" t="s">
        <v>84</v>
      </c>
      <c r="E157" s="293">
        <v>20</v>
      </c>
      <c r="F157" s="293" t="s">
        <v>494</v>
      </c>
      <c r="G157" s="293" t="s">
        <v>495</v>
      </c>
      <c r="H157" s="294">
        <v>2</v>
      </c>
      <c r="I157" s="295">
        <v>17</v>
      </c>
      <c r="J157" s="293" t="s">
        <v>496</v>
      </c>
      <c r="K157" s="296">
        <f t="shared" si="20"/>
        <v>680</v>
      </c>
      <c r="L157" s="291" t="s">
        <v>640</v>
      </c>
      <c r="M157" s="297">
        <f>SUM(K155:K157)</f>
        <v>1582</v>
      </c>
      <c r="N157" s="298" t="s">
        <v>498</v>
      </c>
      <c r="O157" s="274" t="s">
        <v>589</v>
      </c>
      <c r="P157" s="295"/>
    </row>
    <row r="158" s="224" customFormat="1" spans="1:18">
      <c r="A158" s="299">
        <v>45027</v>
      </c>
      <c r="B158" s="224" t="s">
        <v>206</v>
      </c>
      <c r="C158" s="224" t="s">
        <v>665</v>
      </c>
      <c r="D158" s="306" t="s">
        <v>268</v>
      </c>
      <c r="E158" s="301">
        <v>28</v>
      </c>
      <c r="F158" s="301" t="s">
        <v>494</v>
      </c>
      <c r="G158" s="301" t="s">
        <v>495</v>
      </c>
      <c r="H158" s="302">
        <v>2</v>
      </c>
      <c r="I158" s="203">
        <v>9.5</v>
      </c>
      <c r="J158" s="301" t="s">
        <v>496</v>
      </c>
      <c r="K158" s="303">
        <f t="shared" ref="K158:K170" si="22">SUM(E158*H158*I158)</f>
        <v>532</v>
      </c>
      <c r="L158" s="224" t="s">
        <v>666</v>
      </c>
      <c r="N158" s="304" t="s">
        <v>498</v>
      </c>
      <c r="O158" s="224" t="s">
        <v>589</v>
      </c>
    </row>
    <row r="159" s="224" customFormat="1" spans="1:18">
      <c r="A159" s="299">
        <v>45027</v>
      </c>
      <c r="B159" s="224" t="s">
        <v>206</v>
      </c>
      <c r="C159" s="224" t="s">
        <v>667</v>
      </c>
      <c r="D159" s="224" t="s">
        <v>668</v>
      </c>
      <c r="E159" s="301">
        <v>25</v>
      </c>
      <c r="F159" s="301" t="s">
        <v>494</v>
      </c>
      <c r="G159" s="301" t="s">
        <v>495</v>
      </c>
      <c r="H159" s="302">
        <v>2</v>
      </c>
      <c r="I159" s="203">
        <v>13.5</v>
      </c>
      <c r="J159" s="301" t="s">
        <v>496</v>
      </c>
      <c r="K159" s="303">
        <f t="shared" si="22"/>
        <v>675</v>
      </c>
      <c r="L159" s="224" t="s">
        <v>669</v>
      </c>
      <c r="N159" s="304" t="s">
        <v>498</v>
      </c>
      <c r="O159" s="224" t="s">
        <v>589</v>
      </c>
    </row>
    <row r="160" s="224" customFormat="1" spans="1:18">
      <c r="A160" s="299">
        <v>45027</v>
      </c>
      <c r="B160" s="224" t="s">
        <v>206</v>
      </c>
      <c r="C160" s="224" t="s">
        <v>670</v>
      </c>
      <c r="D160" s="224" t="s">
        <v>60</v>
      </c>
      <c r="E160" s="301">
        <v>25</v>
      </c>
      <c r="F160" s="301" t="s">
        <v>494</v>
      </c>
      <c r="G160" s="301" t="s">
        <v>495</v>
      </c>
      <c r="H160" s="302">
        <v>2</v>
      </c>
      <c r="I160" s="203">
        <v>12.5</v>
      </c>
      <c r="J160" s="301" t="s">
        <v>496</v>
      </c>
      <c r="K160" s="303">
        <f t="shared" si="22"/>
        <v>625</v>
      </c>
      <c r="L160" s="224" t="s">
        <v>671</v>
      </c>
      <c r="M160" s="224">
        <f>SUM(K158:K160)</f>
        <v>1832</v>
      </c>
      <c r="N160" s="304" t="s">
        <v>498</v>
      </c>
      <c r="O160" s="224" t="s">
        <v>589</v>
      </c>
    </row>
    <row r="161" s="274" customFormat="1" spans="1:19">
      <c r="A161" s="290">
        <v>45028</v>
      </c>
      <c r="B161" s="274" t="s">
        <v>672</v>
      </c>
      <c r="C161" s="312">
        <v>201208</v>
      </c>
      <c r="D161" s="274" t="s">
        <v>573</v>
      </c>
      <c r="E161" s="293">
        <v>23</v>
      </c>
      <c r="F161" s="293" t="s">
        <v>494</v>
      </c>
      <c r="G161" s="293" t="s">
        <v>495</v>
      </c>
      <c r="H161" s="294">
        <v>2</v>
      </c>
      <c r="I161" s="295">
        <v>17</v>
      </c>
      <c r="J161" s="293" t="s">
        <v>496</v>
      </c>
      <c r="K161" s="296">
        <f t="shared" si="22"/>
        <v>782</v>
      </c>
      <c r="L161" s="274" t="s">
        <v>574</v>
      </c>
      <c r="N161" s="298" t="s">
        <v>498</v>
      </c>
      <c r="O161" s="274" t="s">
        <v>499</v>
      </c>
      <c r="P161" s="295">
        <v>17</v>
      </c>
      <c r="Q161" s="274">
        <v>2125</v>
      </c>
      <c r="R161" s="274">
        <v>2873</v>
      </c>
    </row>
    <row r="162" s="274" customFormat="1" spans="1:19">
      <c r="A162" s="290">
        <v>45028</v>
      </c>
      <c r="B162" s="274" t="s">
        <v>672</v>
      </c>
      <c r="C162" s="312" t="s">
        <v>395</v>
      </c>
      <c r="D162" s="274" t="s">
        <v>575</v>
      </c>
      <c r="E162" s="293">
        <v>25</v>
      </c>
      <c r="F162" s="293" t="s">
        <v>494</v>
      </c>
      <c r="G162" s="293" t="s">
        <v>495</v>
      </c>
      <c r="H162" s="294">
        <v>1</v>
      </c>
      <c r="I162" s="295">
        <v>17</v>
      </c>
      <c r="J162" s="293" t="s">
        <v>496</v>
      </c>
      <c r="K162" s="296">
        <f t="shared" si="22"/>
        <v>425</v>
      </c>
      <c r="L162" s="291" t="s">
        <v>496</v>
      </c>
      <c r="N162" s="298" t="s">
        <v>498</v>
      </c>
      <c r="O162" s="274" t="s">
        <v>499</v>
      </c>
      <c r="P162" s="319">
        <v>17</v>
      </c>
      <c r="Q162" s="274">
        <f t="shared" ref="Q162:Q166" si="23">SUM(E162*H162*P162)</f>
        <v>425</v>
      </c>
      <c r="R162" s="293"/>
      <c r="S162" s="291"/>
    </row>
    <row r="163" s="274" customFormat="1" spans="1:19">
      <c r="A163" s="290">
        <v>45028</v>
      </c>
      <c r="B163" s="274" t="s">
        <v>672</v>
      </c>
      <c r="C163" s="312"/>
      <c r="D163" s="274" t="s">
        <v>86</v>
      </c>
      <c r="E163" s="293">
        <v>25</v>
      </c>
      <c r="F163" s="293" t="s">
        <v>494</v>
      </c>
      <c r="G163" s="293" t="s">
        <v>495</v>
      </c>
      <c r="H163" s="294">
        <v>5</v>
      </c>
      <c r="I163" s="295">
        <v>17</v>
      </c>
      <c r="J163" s="293" t="s">
        <v>496</v>
      </c>
      <c r="K163" s="296">
        <f t="shared" si="22"/>
        <v>2125</v>
      </c>
      <c r="L163" s="291" t="s">
        <v>496</v>
      </c>
      <c r="M163" s="274">
        <f>SUM(K161:K163)</f>
        <v>3332</v>
      </c>
      <c r="N163" s="298" t="s">
        <v>498</v>
      </c>
      <c r="O163" s="274" t="s">
        <v>499</v>
      </c>
      <c r="P163" s="295">
        <v>17</v>
      </c>
      <c r="Q163" s="274">
        <f t="shared" si="23"/>
        <v>2125</v>
      </c>
    </row>
    <row r="164" s="224" customFormat="1" ht="18" customHeight="1" spans="1:19">
      <c r="A164" s="299">
        <v>45028</v>
      </c>
      <c r="B164" s="224" t="s">
        <v>367</v>
      </c>
      <c r="C164" s="305" t="s">
        <v>614</v>
      </c>
      <c r="D164" s="306" t="s">
        <v>615</v>
      </c>
      <c r="E164" s="301">
        <v>25</v>
      </c>
      <c r="F164" s="301" t="s">
        <v>494</v>
      </c>
      <c r="G164" s="301" t="s">
        <v>495</v>
      </c>
      <c r="H164" s="302">
        <v>2</v>
      </c>
      <c r="I164" s="307">
        <v>17</v>
      </c>
      <c r="J164" s="301" t="s">
        <v>496</v>
      </c>
      <c r="K164" s="303">
        <f t="shared" si="22"/>
        <v>850</v>
      </c>
      <c r="L164" s="305" t="s">
        <v>496</v>
      </c>
      <c r="M164" s="308"/>
      <c r="N164" s="304" t="s">
        <v>498</v>
      </c>
      <c r="O164" s="224" t="s">
        <v>533</v>
      </c>
      <c r="P164" s="307">
        <v>17</v>
      </c>
      <c r="Q164" s="224">
        <f t="shared" si="23"/>
        <v>850</v>
      </c>
    </row>
    <row r="165" s="224" customFormat="1" ht="18" customHeight="1" spans="1:19">
      <c r="A165" s="299">
        <v>45028</v>
      </c>
      <c r="B165" s="224" t="s">
        <v>367</v>
      </c>
      <c r="C165" s="305" t="s">
        <v>610</v>
      </c>
      <c r="D165" s="306" t="s">
        <v>611</v>
      </c>
      <c r="E165" s="301">
        <v>25</v>
      </c>
      <c r="F165" s="301" t="s">
        <v>494</v>
      </c>
      <c r="G165" s="301" t="s">
        <v>495</v>
      </c>
      <c r="H165" s="302">
        <v>2</v>
      </c>
      <c r="I165" s="307">
        <v>17</v>
      </c>
      <c r="J165" s="301" t="s">
        <v>496</v>
      </c>
      <c r="K165" s="303">
        <f t="shared" si="22"/>
        <v>850</v>
      </c>
      <c r="L165" s="305" t="s">
        <v>496</v>
      </c>
      <c r="M165" s="308"/>
      <c r="N165" s="304" t="s">
        <v>498</v>
      </c>
      <c r="O165" s="224" t="s">
        <v>533</v>
      </c>
      <c r="P165" s="307">
        <v>17</v>
      </c>
      <c r="Q165" s="224">
        <f t="shared" si="23"/>
        <v>850</v>
      </c>
    </row>
    <row r="166" s="224" customFormat="1" ht="18" customHeight="1" spans="1:19">
      <c r="A166" s="299">
        <v>45028</v>
      </c>
      <c r="B166" s="224" t="s">
        <v>367</v>
      </c>
      <c r="C166" s="305" t="s">
        <v>83</v>
      </c>
      <c r="D166" s="306" t="s">
        <v>84</v>
      </c>
      <c r="E166" s="301">
        <v>20</v>
      </c>
      <c r="F166" s="301" t="s">
        <v>494</v>
      </c>
      <c r="G166" s="301" t="s">
        <v>495</v>
      </c>
      <c r="H166" s="302">
        <v>2</v>
      </c>
      <c r="I166" s="307">
        <v>17</v>
      </c>
      <c r="J166" s="301" t="s">
        <v>496</v>
      </c>
      <c r="K166" s="303">
        <f t="shared" si="22"/>
        <v>680</v>
      </c>
      <c r="L166" s="305" t="s">
        <v>496</v>
      </c>
      <c r="M166" s="308">
        <f>SUM(K164:K166)</f>
        <v>2380</v>
      </c>
      <c r="N166" s="304" t="s">
        <v>498</v>
      </c>
      <c r="O166" s="224" t="s">
        <v>533</v>
      </c>
      <c r="P166" s="307">
        <v>17</v>
      </c>
      <c r="Q166" s="224">
        <f t="shared" si="23"/>
        <v>680</v>
      </c>
    </row>
    <row r="167" s="274" customFormat="1" spans="1:19">
      <c r="A167" s="290">
        <v>45029</v>
      </c>
      <c r="C167" s="274" t="s">
        <v>673</v>
      </c>
      <c r="D167" s="274" t="s">
        <v>668</v>
      </c>
      <c r="E167" s="293">
        <v>25</v>
      </c>
      <c r="F167" s="293" t="s">
        <v>494</v>
      </c>
      <c r="G167" s="293" t="s">
        <v>495</v>
      </c>
      <c r="H167" s="294">
        <v>2</v>
      </c>
      <c r="I167" s="295"/>
      <c r="J167" s="293" t="s">
        <v>496</v>
      </c>
      <c r="K167" s="296">
        <f t="shared" si="22"/>
        <v>0</v>
      </c>
      <c r="L167" s="198" t="s">
        <v>674</v>
      </c>
      <c r="N167" s="298" t="s">
        <v>498</v>
      </c>
      <c r="O167" s="274" t="s">
        <v>589</v>
      </c>
    </row>
    <row r="168" s="224" customFormat="1" ht="18" customHeight="1" spans="1:19">
      <c r="A168" s="299">
        <v>45030</v>
      </c>
      <c r="B168" s="224" t="s">
        <v>675</v>
      </c>
      <c r="C168" s="305" t="s">
        <v>509</v>
      </c>
      <c r="D168" s="306" t="s">
        <v>268</v>
      </c>
      <c r="E168" s="301">
        <v>35</v>
      </c>
      <c r="F168" s="301" t="s">
        <v>494</v>
      </c>
      <c r="G168" s="301" t="s">
        <v>495</v>
      </c>
      <c r="H168" s="302">
        <v>10</v>
      </c>
      <c r="I168" s="307">
        <v>8.3</v>
      </c>
      <c r="J168" s="301" t="s">
        <v>496</v>
      </c>
      <c r="K168" s="303">
        <f t="shared" si="22"/>
        <v>2905</v>
      </c>
      <c r="L168" s="305" t="s">
        <v>676</v>
      </c>
      <c r="M168" s="308"/>
      <c r="N168" s="304" t="s">
        <v>511</v>
      </c>
      <c r="O168" s="224" t="s">
        <v>512</v>
      </c>
      <c r="P168" s="307">
        <v>9.5</v>
      </c>
      <c r="Q168" s="224">
        <f t="shared" ref="Q168:Q174" si="24">SUM(E168*H168*P168)</f>
        <v>3325</v>
      </c>
    </row>
    <row r="169" s="224" customFormat="1" ht="18" customHeight="1" spans="1:19">
      <c r="A169" s="299">
        <v>45030</v>
      </c>
      <c r="B169" s="224" t="s">
        <v>675</v>
      </c>
      <c r="C169" s="305" t="s">
        <v>551</v>
      </c>
      <c r="D169" s="306" t="s">
        <v>552</v>
      </c>
      <c r="E169" s="301">
        <v>180</v>
      </c>
      <c r="F169" s="301" t="s">
        <v>494</v>
      </c>
      <c r="G169" s="301" t="s">
        <v>495</v>
      </c>
      <c r="H169" s="302">
        <v>1</v>
      </c>
      <c r="I169" s="307">
        <v>5.5</v>
      </c>
      <c r="J169" s="301" t="s">
        <v>496</v>
      </c>
      <c r="K169" s="303">
        <f t="shared" si="22"/>
        <v>990</v>
      </c>
      <c r="L169" s="308" t="s">
        <v>537</v>
      </c>
      <c r="M169" s="308">
        <f>SUM(K168:K169)</f>
        <v>3895</v>
      </c>
      <c r="N169" s="304" t="s">
        <v>498</v>
      </c>
      <c r="O169" s="224" t="s">
        <v>512</v>
      </c>
      <c r="P169" s="307">
        <v>6.5</v>
      </c>
      <c r="Q169" s="224">
        <f t="shared" si="24"/>
        <v>1170</v>
      </c>
      <c r="R169" s="224">
        <f>SUM(Q168:Q169)</f>
        <v>4495</v>
      </c>
    </row>
    <row r="170" s="274" customFormat="1" ht="18" customHeight="1" spans="1:19">
      <c r="A170" s="290">
        <v>45031</v>
      </c>
      <c r="B170" s="274" t="s">
        <v>584</v>
      </c>
      <c r="C170" s="291" t="s">
        <v>520</v>
      </c>
      <c r="D170" s="292" t="s">
        <v>60</v>
      </c>
      <c r="E170" s="293">
        <v>25</v>
      </c>
      <c r="F170" s="293" t="s">
        <v>494</v>
      </c>
      <c r="G170" s="293" t="s">
        <v>495</v>
      </c>
      <c r="H170" s="294">
        <v>5</v>
      </c>
      <c r="I170" s="295">
        <v>10.3</v>
      </c>
      <c r="J170" s="293" t="s">
        <v>496</v>
      </c>
      <c r="K170" s="296">
        <f t="shared" si="22"/>
        <v>1287.5</v>
      </c>
      <c r="L170" s="291" t="s">
        <v>677</v>
      </c>
      <c r="M170" s="297">
        <f>SUM(K168:K170)</f>
        <v>5182.5</v>
      </c>
      <c r="N170" s="298" t="s">
        <v>498</v>
      </c>
      <c r="O170" s="274" t="s">
        <v>512</v>
      </c>
      <c r="P170" s="295">
        <v>12.5</v>
      </c>
      <c r="Q170" s="274">
        <f t="shared" si="24"/>
        <v>1562.5</v>
      </c>
      <c r="R170" s="274">
        <f>SUM(Q169:Q170)</f>
        <v>2732.5</v>
      </c>
    </row>
    <row r="171" s="224" customFormat="1" spans="1:19">
      <c r="A171" s="299">
        <v>45030</v>
      </c>
      <c r="B171" s="224" t="s">
        <v>678</v>
      </c>
      <c r="C171" s="224" t="s">
        <v>679</v>
      </c>
      <c r="D171" s="224" t="s">
        <v>680</v>
      </c>
      <c r="E171" s="301">
        <v>20</v>
      </c>
      <c r="F171" s="301" t="s">
        <v>494</v>
      </c>
      <c r="G171" s="301" t="s">
        <v>495</v>
      </c>
      <c r="H171" s="302">
        <v>1</v>
      </c>
      <c r="I171" s="307">
        <v>22</v>
      </c>
      <c r="J171" s="301" t="s">
        <v>496</v>
      </c>
      <c r="K171" s="303">
        <f t="shared" ref="K171:K177" si="25">SUM(E171*H171*I171)</f>
        <v>440</v>
      </c>
      <c r="L171" s="224" t="s">
        <v>681</v>
      </c>
      <c r="M171" s="308"/>
      <c r="N171" s="304" t="s">
        <v>498</v>
      </c>
      <c r="O171" s="224" t="s">
        <v>247</v>
      </c>
      <c r="P171" s="307">
        <v>22</v>
      </c>
      <c r="Q171" s="224">
        <f t="shared" si="24"/>
        <v>440</v>
      </c>
    </row>
    <row r="172" s="224" customFormat="1" spans="1:19">
      <c r="A172" s="299">
        <v>45030</v>
      </c>
      <c r="B172" s="224" t="s">
        <v>678</v>
      </c>
      <c r="C172" s="300">
        <v>22091</v>
      </c>
      <c r="D172" s="224" t="s">
        <v>682</v>
      </c>
      <c r="E172" s="301">
        <v>20</v>
      </c>
      <c r="F172" s="301" t="s">
        <v>494</v>
      </c>
      <c r="G172" s="301" t="s">
        <v>495</v>
      </c>
      <c r="H172" s="302">
        <v>1</v>
      </c>
      <c r="I172" s="307">
        <v>22</v>
      </c>
      <c r="J172" s="301" t="s">
        <v>496</v>
      </c>
      <c r="K172" s="303">
        <f t="shared" si="25"/>
        <v>440</v>
      </c>
      <c r="L172" s="224" t="s">
        <v>681</v>
      </c>
      <c r="M172" s="308"/>
      <c r="N172" s="304" t="s">
        <v>498</v>
      </c>
      <c r="O172" s="224" t="s">
        <v>247</v>
      </c>
      <c r="P172" s="307">
        <v>22</v>
      </c>
      <c r="Q172" s="224">
        <f t="shared" si="24"/>
        <v>440</v>
      </c>
    </row>
    <row r="173" s="224" customFormat="1" spans="1:19">
      <c r="A173" s="299">
        <v>45030</v>
      </c>
      <c r="B173" s="224" t="s">
        <v>678</v>
      </c>
      <c r="C173" s="300" t="s">
        <v>683</v>
      </c>
      <c r="D173" s="224" t="s">
        <v>611</v>
      </c>
      <c r="E173" s="301">
        <v>25</v>
      </c>
      <c r="F173" s="301" t="s">
        <v>494</v>
      </c>
      <c r="G173" s="301" t="s">
        <v>495</v>
      </c>
      <c r="H173" s="302">
        <v>1</v>
      </c>
      <c r="I173" s="307">
        <v>18</v>
      </c>
      <c r="J173" s="301" t="s">
        <v>496</v>
      </c>
      <c r="K173" s="303">
        <f t="shared" si="25"/>
        <v>450</v>
      </c>
      <c r="L173" s="224" t="s">
        <v>681</v>
      </c>
      <c r="M173" s="308"/>
      <c r="N173" s="304" t="s">
        <v>498</v>
      </c>
      <c r="O173" s="224" t="s">
        <v>247</v>
      </c>
      <c r="P173" s="307">
        <v>18</v>
      </c>
      <c r="Q173" s="224">
        <f t="shared" si="24"/>
        <v>450</v>
      </c>
    </row>
    <row r="174" s="224" customFormat="1" spans="1:19">
      <c r="A174" s="299">
        <v>45030</v>
      </c>
      <c r="B174" s="224" t="s">
        <v>678</v>
      </c>
      <c r="C174" s="300" t="s">
        <v>684</v>
      </c>
      <c r="D174" s="224" t="s">
        <v>84</v>
      </c>
      <c r="E174" s="301">
        <v>20</v>
      </c>
      <c r="F174" s="301" t="s">
        <v>494</v>
      </c>
      <c r="G174" s="301" t="s">
        <v>495</v>
      </c>
      <c r="H174" s="302">
        <v>3</v>
      </c>
      <c r="I174" s="307">
        <v>18</v>
      </c>
      <c r="J174" s="301" t="s">
        <v>496</v>
      </c>
      <c r="K174" s="303">
        <f t="shared" si="25"/>
        <v>1080</v>
      </c>
      <c r="L174" s="224" t="s">
        <v>685</v>
      </c>
      <c r="M174" s="308">
        <f>SUM(K171:K174)</f>
        <v>2410</v>
      </c>
      <c r="N174" s="304" t="s">
        <v>498</v>
      </c>
      <c r="O174" s="224" t="s">
        <v>247</v>
      </c>
      <c r="P174" s="307">
        <v>18</v>
      </c>
      <c r="Q174" s="224">
        <f t="shared" si="24"/>
        <v>1080</v>
      </c>
    </row>
    <row r="175" s="274" customFormat="1" spans="1:19">
      <c r="A175" s="290">
        <v>45033</v>
      </c>
      <c r="B175" s="274" t="s">
        <v>584</v>
      </c>
      <c r="C175" s="312"/>
      <c r="D175" s="274" t="s">
        <v>621</v>
      </c>
      <c r="E175" s="293">
        <v>20</v>
      </c>
      <c r="F175" s="293" t="s">
        <v>494</v>
      </c>
      <c r="G175" s="293" t="s">
        <v>495</v>
      </c>
      <c r="H175" s="294">
        <v>5</v>
      </c>
      <c r="I175" s="295">
        <v>16.5</v>
      </c>
      <c r="J175" s="293" t="s">
        <v>496</v>
      </c>
      <c r="K175" s="296">
        <f t="shared" ref="K175:K190" si="26">SUM(E175*H175*I175)</f>
        <v>1650</v>
      </c>
      <c r="L175" s="291" t="s">
        <v>622</v>
      </c>
      <c r="N175" s="298" t="s">
        <v>498</v>
      </c>
      <c r="O175" s="274" t="s">
        <v>589</v>
      </c>
      <c r="P175" s="295">
        <v>16.5</v>
      </c>
      <c r="R175" s="274">
        <v>2873</v>
      </c>
    </row>
    <row r="176" s="274" customFormat="1" ht="18" customHeight="1" spans="1:19">
      <c r="A176" s="290">
        <v>45033</v>
      </c>
      <c r="B176" s="274" t="s">
        <v>584</v>
      </c>
      <c r="C176" s="291" t="s">
        <v>623</v>
      </c>
      <c r="D176" s="292" t="s">
        <v>10</v>
      </c>
      <c r="E176" s="293">
        <v>10</v>
      </c>
      <c r="F176" s="293" t="s">
        <v>494</v>
      </c>
      <c r="G176" s="293" t="s">
        <v>495</v>
      </c>
      <c r="H176" s="294">
        <v>5</v>
      </c>
      <c r="I176" s="295">
        <v>17</v>
      </c>
      <c r="J176" s="293" t="s">
        <v>496</v>
      </c>
      <c r="K176" s="296">
        <f t="shared" si="25"/>
        <v>850</v>
      </c>
      <c r="L176" s="291" t="s">
        <v>624</v>
      </c>
      <c r="M176" s="297"/>
      <c r="N176" s="298" t="s">
        <v>498</v>
      </c>
      <c r="O176" s="274" t="s">
        <v>589</v>
      </c>
      <c r="P176" s="295">
        <v>17</v>
      </c>
    </row>
    <row r="177" s="274" customFormat="1" spans="1:20">
      <c r="A177" s="290">
        <v>45033</v>
      </c>
      <c r="B177" s="274" t="s">
        <v>584</v>
      </c>
      <c r="C177" s="274" t="s">
        <v>665</v>
      </c>
      <c r="D177" s="292" t="s">
        <v>268</v>
      </c>
      <c r="E177" s="293">
        <v>28</v>
      </c>
      <c r="F177" s="293" t="s">
        <v>494</v>
      </c>
      <c r="G177" s="293" t="s">
        <v>495</v>
      </c>
      <c r="H177" s="294">
        <v>5</v>
      </c>
      <c r="I177" s="295">
        <v>9.5</v>
      </c>
      <c r="J177" s="293" t="s">
        <v>496</v>
      </c>
      <c r="K177" s="296">
        <f t="shared" si="26"/>
        <v>1330</v>
      </c>
      <c r="L177" s="274" t="s">
        <v>666</v>
      </c>
      <c r="N177" s="298" t="s">
        <v>498</v>
      </c>
      <c r="O177" s="274" t="s">
        <v>589</v>
      </c>
      <c r="P177" s="274">
        <v>9.5</v>
      </c>
    </row>
    <row r="178" s="198" customFormat="1" spans="1:20">
      <c r="A178" s="290">
        <v>45033</v>
      </c>
      <c r="B178" s="274" t="s">
        <v>584</v>
      </c>
      <c r="C178" s="274" t="s">
        <v>673</v>
      </c>
      <c r="D178" s="274" t="s">
        <v>668</v>
      </c>
      <c r="E178" s="293">
        <v>25</v>
      </c>
      <c r="F178" s="293" t="s">
        <v>494</v>
      </c>
      <c r="G178" s="293" t="s">
        <v>495</v>
      </c>
      <c r="H178" s="294">
        <v>2</v>
      </c>
      <c r="I178" s="295">
        <v>13.5</v>
      </c>
      <c r="J178" s="293" t="s">
        <v>496</v>
      </c>
      <c r="K178" s="296">
        <f t="shared" si="26"/>
        <v>675</v>
      </c>
      <c r="L178" s="198" t="s">
        <v>686</v>
      </c>
      <c r="M178" s="198">
        <f>SUM(K175:K178)</f>
        <v>4505</v>
      </c>
      <c r="N178" s="328" t="s">
        <v>498</v>
      </c>
      <c r="O178" s="198" t="s">
        <v>589</v>
      </c>
    </row>
    <row r="179" s="224" customFormat="1" ht="18" customHeight="1" spans="1:20">
      <c r="A179" s="299">
        <v>45033</v>
      </c>
      <c r="B179" s="224" t="s">
        <v>195</v>
      </c>
      <c r="C179" s="305" t="s">
        <v>9</v>
      </c>
      <c r="D179" s="306" t="s">
        <v>10</v>
      </c>
      <c r="E179" s="301">
        <v>10</v>
      </c>
      <c r="F179" s="301" t="s">
        <v>494</v>
      </c>
      <c r="G179" s="301" t="s">
        <v>495</v>
      </c>
      <c r="H179" s="302">
        <v>3</v>
      </c>
      <c r="I179" s="307">
        <v>17</v>
      </c>
      <c r="J179" s="301" t="s">
        <v>496</v>
      </c>
      <c r="K179" s="303">
        <f t="shared" si="26"/>
        <v>510</v>
      </c>
      <c r="L179" s="305" t="s">
        <v>585</v>
      </c>
      <c r="M179" s="308"/>
      <c r="N179" s="304" t="s">
        <v>498</v>
      </c>
      <c r="O179" s="224" t="s">
        <v>533</v>
      </c>
      <c r="P179" s="307">
        <v>17</v>
      </c>
      <c r="Q179" s="224">
        <f t="shared" ref="Q179:Q182" si="27">SUM(E179*H179*P179)</f>
        <v>510</v>
      </c>
    </row>
    <row r="180" s="274" customFormat="1" spans="1:20">
      <c r="A180" s="290">
        <v>45034</v>
      </c>
      <c r="B180" s="274" t="s">
        <v>547</v>
      </c>
      <c r="D180" s="274" t="s">
        <v>657</v>
      </c>
      <c r="E180" s="293">
        <v>18</v>
      </c>
      <c r="F180" s="293" t="s">
        <v>494</v>
      </c>
      <c r="G180" s="293" t="s">
        <v>495</v>
      </c>
      <c r="H180" s="294">
        <v>1</v>
      </c>
      <c r="I180" s="295">
        <v>9.5</v>
      </c>
      <c r="J180" s="293" t="s">
        <v>496</v>
      </c>
      <c r="K180" s="296">
        <f t="shared" si="26"/>
        <v>171</v>
      </c>
      <c r="L180" s="291" t="s">
        <v>558</v>
      </c>
      <c r="M180" s="297"/>
      <c r="N180" s="298" t="s">
        <v>498</v>
      </c>
      <c r="O180" s="274" t="s">
        <v>533</v>
      </c>
      <c r="P180" s="295">
        <v>9.5</v>
      </c>
      <c r="Q180" s="274">
        <f t="shared" si="27"/>
        <v>171</v>
      </c>
      <c r="R180" s="274">
        <f>SUM(Q173:Q180)</f>
        <v>2211</v>
      </c>
      <c r="S180" s="274" t="s">
        <v>658</v>
      </c>
      <c r="T180" s="274" t="s">
        <v>271</v>
      </c>
    </row>
    <row r="181" s="274" customFormat="1" ht="18" customHeight="1" spans="1:20">
      <c r="A181" s="290">
        <v>45034</v>
      </c>
      <c r="B181" s="274" t="s">
        <v>547</v>
      </c>
      <c r="C181" s="291" t="s">
        <v>605</v>
      </c>
      <c r="D181" s="292" t="s">
        <v>606</v>
      </c>
      <c r="E181" s="293">
        <v>180</v>
      </c>
      <c r="F181" s="293" t="s">
        <v>494</v>
      </c>
      <c r="G181" s="293" t="s">
        <v>495</v>
      </c>
      <c r="H181" s="294">
        <v>2</v>
      </c>
      <c r="I181" s="295">
        <v>8</v>
      </c>
      <c r="J181" s="293" t="s">
        <v>496</v>
      </c>
      <c r="K181" s="296">
        <f t="shared" si="26"/>
        <v>2880</v>
      </c>
      <c r="L181" s="291" t="s">
        <v>558</v>
      </c>
      <c r="M181" s="297"/>
      <c r="N181" s="298" t="s">
        <v>498</v>
      </c>
      <c r="O181" s="274" t="s">
        <v>533</v>
      </c>
      <c r="P181" s="295"/>
      <c r="Q181" s="274">
        <f t="shared" si="27"/>
        <v>0</v>
      </c>
    </row>
    <row r="182" s="274" customFormat="1" ht="18" customHeight="1" spans="1:20">
      <c r="A182" s="290">
        <v>45034</v>
      </c>
      <c r="B182" s="274" t="s">
        <v>547</v>
      </c>
      <c r="C182" s="291" t="s">
        <v>9</v>
      </c>
      <c r="D182" s="292" t="s">
        <v>10</v>
      </c>
      <c r="E182" s="293">
        <v>10</v>
      </c>
      <c r="F182" s="293" t="s">
        <v>494</v>
      </c>
      <c r="G182" s="293" t="s">
        <v>495</v>
      </c>
      <c r="H182" s="294">
        <v>2</v>
      </c>
      <c r="I182" s="295">
        <v>17</v>
      </c>
      <c r="J182" s="293" t="s">
        <v>496</v>
      </c>
      <c r="K182" s="296">
        <f t="shared" si="26"/>
        <v>340</v>
      </c>
      <c r="L182" s="291" t="s">
        <v>585</v>
      </c>
      <c r="M182" s="297">
        <f>SUM(K180:K182)</f>
        <v>3391</v>
      </c>
      <c r="N182" s="298" t="s">
        <v>498</v>
      </c>
      <c r="O182" s="274" t="s">
        <v>533</v>
      </c>
      <c r="P182" s="295">
        <v>17</v>
      </c>
      <c r="Q182" s="274">
        <f t="shared" si="27"/>
        <v>340</v>
      </c>
    </row>
    <row r="183" s="224" customFormat="1" spans="1:20">
      <c r="A183" s="299">
        <v>45037</v>
      </c>
      <c r="B183" s="224" t="s">
        <v>475</v>
      </c>
      <c r="D183" s="224" t="s">
        <v>687</v>
      </c>
      <c r="E183" s="224">
        <v>8</v>
      </c>
      <c r="F183" s="301" t="s">
        <v>494</v>
      </c>
      <c r="G183" s="301" t="s">
        <v>495</v>
      </c>
      <c r="H183" s="302">
        <v>1</v>
      </c>
      <c r="I183" s="307">
        <v>14.5</v>
      </c>
      <c r="J183" s="301" t="s">
        <v>496</v>
      </c>
      <c r="K183" s="303">
        <f t="shared" si="26"/>
        <v>116</v>
      </c>
      <c r="L183" s="224" t="s">
        <v>496</v>
      </c>
      <c r="O183" s="224" t="s">
        <v>589</v>
      </c>
    </row>
    <row r="184" s="224" customFormat="1" spans="1:20">
      <c r="A184" s="299">
        <v>45037</v>
      </c>
      <c r="B184" s="224" t="s">
        <v>475</v>
      </c>
      <c r="C184" s="300"/>
      <c r="D184" s="224" t="s">
        <v>621</v>
      </c>
      <c r="E184" s="301">
        <v>20</v>
      </c>
      <c r="F184" s="301" t="s">
        <v>494</v>
      </c>
      <c r="G184" s="301" t="s">
        <v>495</v>
      </c>
      <c r="H184" s="302">
        <v>6</v>
      </c>
      <c r="I184" s="307">
        <v>16.5</v>
      </c>
      <c r="J184" s="301" t="s">
        <v>496</v>
      </c>
      <c r="K184" s="303">
        <f t="shared" si="26"/>
        <v>1980</v>
      </c>
      <c r="L184" s="305" t="s">
        <v>622</v>
      </c>
      <c r="N184" s="304" t="s">
        <v>498</v>
      </c>
      <c r="O184" s="224" t="s">
        <v>589</v>
      </c>
      <c r="P184" s="307">
        <v>16.5</v>
      </c>
      <c r="R184" s="224">
        <v>2873</v>
      </c>
    </row>
    <row r="185" s="224" customFormat="1" ht="18" customHeight="1" spans="1:20">
      <c r="A185" s="299">
        <v>45037</v>
      </c>
      <c r="B185" s="224" t="s">
        <v>475</v>
      </c>
      <c r="C185" s="305" t="s">
        <v>623</v>
      </c>
      <c r="D185" s="306" t="s">
        <v>10</v>
      </c>
      <c r="E185" s="301">
        <v>10</v>
      </c>
      <c r="F185" s="301" t="s">
        <v>494</v>
      </c>
      <c r="G185" s="301" t="s">
        <v>495</v>
      </c>
      <c r="H185" s="302">
        <v>6</v>
      </c>
      <c r="I185" s="307">
        <v>17</v>
      </c>
      <c r="J185" s="301" t="s">
        <v>496</v>
      </c>
      <c r="K185" s="303">
        <f t="shared" si="26"/>
        <v>1020</v>
      </c>
      <c r="L185" s="305" t="s">
        <v>624</v>
      </c>
      <c r="M185" s="308"/>
      <c r="N185" s="304" t="s">
        <v>498</v>
      </c>
      <c r="O185" s="224" t="s">
        <v>589</v>
      </c>
      <c r="P185" s="307">
        <v>17</v>
      </c>
    </row>
    <row r="186" s="224" customFormat="1" spans="1:20">
      <c r="A186" s="299">
        <v>45037</v>
      </c>
      <c r="B186" s="224" t="s">
        <v>475</v>
      </c>
      <c r="C186" s="224" t="s">
        <v>665</v>
      </c>
      <c r="D186" s="306" t="s">
        <v>268</v>
      </c>
      <c r="E186" s="301">
        <v>28</v>
      </c>
      <c r="F186" s="301" t="s">
        <v>494</v>
      </c>
      <c r="G186" s="301" t="s">
        <v>495</v>
      </c>
      <c r="H186" s="302">
        <v>5</v>
      </c>
      <c r="I186" s="307">
        <v>9.5</v>
      </c>
      <c r="J186" s="301" t="s">
        <v>496</v>
      </c>
      <c r="K186" s="303">
        <f t="shared" si="26"/>
        <v>1330</v>
      </c>
      <c r="L186" s="224" t="s">
        <v>666</v>
      </c>
      <c r="N186" s="304" t="s">
        <v>498</v>
      </c>
      <c r="O186" s="224" t="s">
        <v>589</v>
      </c>
      <c r="P186" s="224">
        <v>9.5</v>
      </c>
    </row>
    <row r="187" s="224" customFormat="1" spans="1:20">
      <c r="A187" s="299">
        <v>45037</v>
      </c>
      <c r="B187" s="224" t="s">
        <v>475</v>
      </c>
      <c r="C187" s="224" t="s">
        <v>673</v>
      </c>
      <c r="D187" s="224" t="s">
        <v>668</v>
      </c>
      <c r="E187" s="301">
        <v>25</v>
      </c>
      <c r="F187" s="301" t="s">
        <v>494</v>
      </c>
      <c r="G187" s="301" t="s">
        <v>495</v>
      </c>
      <c r="H187" s="302">
        <v>3</v>
      </c>
      <c r="I187" s="307">
        <v>13.5</v>
      </c>
      <c r="J187" s="301" t="s">
        <v>496</v>
      </c>
      <c r="K187" s="303">
        <f t="shared" si="26"/>
        <v>1012.5</v>
      </c>
      <c r="L187" s="224" t="s">
        <v>688</v>
      </c>
      <c r="M187" s="224">
        <f>SUM(K183:K187)</f>
        <v>5458.5</v>
      </c>
      <c r="N187" s="304" t="s">
        <v>498</v>
      </c>
      <c r="O187" s="224" t="s">
        <v>589</v>
      </c>
    </row>
    <row r="188" s="274" customFormat="1" spans="1:20">
      <c r="A188" s="290">
        <v>45040</v>
      </c>
      <c r="B188" s="274" t="s">
        <v>393</v>
      </c>
      <c r="C188" s="312" t="s">
        <v>689</v>
      </c>
      <c r="D188" s="274" t="s">
        <v>10</v>
      </c>
      <c r="E188" s="293">
        <v>10</v>
      </c>
      <c r="F188" s="293" t="s">
        <v>494</v>
      </c>
      <c r="G188" s="293" t="s">
        <v>495</v>
      </c>
      <c r="H188" s="294">
        <v>2</v>
      </c>
      <c r="I188" s="295">
        <v>18</v>
      </c>
      <c r="J188" s="293" t="s">
        <v>496</v>
      </c>
      <c r="K188" s="296">
        <f t="shared" ref="K188:K213" si="28">SUM(E188*H188*I188)</f>
        <v>360</v>
      </c>
      <c r="L188" s="274" t="s">
        <v>624</v>
      </c>
      <c r="M188" s="297">
        <f>SUM(K188:K188)</f>
        <v>360</v>
      </c>
      <c r="N188" s="298" t="s">
        <v>498</v>
      </c>
      <c r="O188" s="274" t="s">
        <v>247</v>
      </c>
      <c r="P188" s="295">
        <v>18</v>
      </c>
      <c r="Q188" s="274">
        <f>SUM(E188*H188*P188)</f>
        <v>360</v>
      </c>
    </row>
    <row r="189" s="274" customFormat="1" spans="1:20">
      <c r="A189" s="290">
        <v>45040</v>
      </c>
      <c r="B189" s="274" t="s">
        <v>393</v>
      </c>
      <c r="C189" s="312" t="s">
        <v>683</v>
      </c>
      <c r="D189" s="274" t="s">
        <v>611</v>
      </c>
      <c r="E189" s="293">
        <v>25</v>
      </c>
      <c r="F189" s="293" t="s">
        <v>494</v>
      </c>
      <c r="G189" s="293" t="s">
        <v>495</v>
      </c>
      <c r="H189" s="294">
        <v>1</v>
      </c>
      <c r="I189" s="295">
        <v>18</v>
      </c>
      <c r="J189" s="293" t="s">
        <v>496</v>
      </c>
      <c r="K189" s="296">
        <f t="shared" si="28"/>
        <v>450</v>
      </c>
      <c r="L189" s="274" t="s">
        <v>496</v>
      </c>
      <c r="M189" s="297"/>
      <c r="N189" s="298" t="s">
        <v>498</v>
      </c>
      <c r="O189" s="274" t="s">
        <v>247</v>
      </c>
      <c r="P189" s="295">
        <v>18</v>
      </c>
      <c r="Q189" s="274">
        <f>SUM(E189*H189*P189)</f>
        <v>450</v>
      </c>
    </row>
    <row r="190" s="274" customFormat="1" spans="1:20">
      <c r="A190" s="290">
        <v>45040</v>
      </c>
      <c r="B190" s="274" t="s">
        <v>393</v>
      </c>
      <c r="C190" s="312" t="s">
        <v>684</v>
      </c>
      <c r="D190" s="274" t="s">
        <v>84</v>
      </c>
      <c r="E190" s="293">
        <v>20</v>
      </c>
      <c r="F190" s="293" t="s">
        <v>494</v>
      </c>
      <c r="G190" s="293" t="s">
        <v>495</v>
      </c>
      <c r="H190" s="294">
        <v>3</v>
      </c>
      <c r="I190" s="295">
        <v>18</v>
      </c>
      <c r="J190" s="293" t="s">
        <v>496</v>
      </c>
      <c r="K190" s="296">
        <f t="shared" si="28"/>
        <v>1080</v>
      </c>
      <c r="L190" s="274" t="s">
        <v>685</v>
      </c>
      <c r="M190" s="297">
        <f>SUM(K188:K190)</f>
        <v>1890</v>
      </c>
      <c r="N190" s="298" t="s">
        <v>498</v>
      </c>
      <c r="O190" s="274" t="s">
        <v>247</v>
      </c>
      <c r="P190" s="295">
        <v>18</v>
      </c>
      <c r="Q190" s="274">
        <f>SUM(E190*H190*P190)</f>
        <v>1080</v>
      </c>
    </row>
    <row r="191" s="224" customFormat="1" spans="1:20">
      <c r="A191" s="299">
        <v>45038</v>
      </c>
      <c r="B191" s="224" t="s">
        <v>378</v>
      </c>
      <c r="C191" s="224" t="s">
        <v>665</v>
      </c>
      <c r="D191" s="224" t="s">
        <v>268</v>
      </c>
      <c r="E191" s="224">
        <v>28</v>
      </c>
      <c r="F191" s="301" t="s">
        <v>494</v>
      </c>
      <c r="G191" s="301" t="s">
        <v>495</v>
      </c>
      <c r="H191" s="302">
        <v>1</v>
      </c>
      <c r="I191" s="307">
        <v>8.6</v>
      </c>
      <c r="J191" s="301" t="s">
        <v>496</v>
      </c>
      <c r="K191" s="303">
        <f t="shared" si="28"/>
        <v>240.8</v>
      </c>
      <c r="L191" s="224" t="s">
        <v>690</v>
      </c>
      <c r="N191" s="304" t="s">
        <v>498</v>
      </c>
      <c r="O191" s="224" t="s">
        <v>194</v>
      </c>
    </row>
    <row r="192" s="224" customFormat="1" spans="1:20">
      <c r="A192" s="299">
        <v>45038</v>
      </c>
      <c r="B192" s="224" t="s">
        <v>378</v>
      </c>
      <c r="C192" s="224" t="s">
        <v>691</v>
      </c>
      <c r="D192" s="224" t="s">
        <v>268</v>
      </c>
      <c r="E192" s="224">
        <v>28</v>
      </c>
      <c r="F192" s="301" t="s">
        <v>494</v>
      </c>
      <c r="G192" s="301" t="s">
        <v>495</v>
      </c>
      <c r="H192" s="302">
        <v>1</v>
      </c>
      <c r="I192" s="307">
        <v>8.3</v>
      </c>
      <c r="J192" s="301" t="s">
        <v>496</v>
      </c>
      <c r="K192" s="303">
        <f t="shared" si="28"/>
        <v>232.4</v>
      </c>
      <c r="L192" s="224" t="s">
        <v>690</v>
      </c>
      <c r="M192" s="224">
        <f>SUM(K191:K192)</f>
        <v>473.2</v>
      </c>
      <c r="N192" s="304" t="s">
        <v>498</v>
      </c>
      <c r="O192" s="224" t="s">
        <v>194</v>
      </c>
    </row>
    <row r="193" s="274" customFormat="1" ht="18" customHeight="1" spans="1:19">
      <c r="A193" s="290">
        <v>45040</v>
      </c>
      <c r="B193" s="274" t="s">
        <v>307</v>
      </c>
      <c r="C193" s="291" t="s">
        <v>534</v>
      </c>
      <c r="D193" s="292" t="s">
        <v>535</v>
      </c>
      <c r="E193" s="293">
        <v>20</v>
      </c>
      <c r="F193" s="293" t="s">
        <v>494</v>
      </c>
      <c r="G193" s="293" t="s">
        <v>495</v>
      </c>
      <c r="H193" s="294">
        <v>1</v>
      </c>
      <c r="I193" s="295">
        <v>16.5</v>
      </c>
      <c r="J193" s="293" t="s">
        <v>496</v>
      </c>
      <c r="K193" s="296">
        <f t="shared" si="28"/>
        <v>330</v>
      </c>
      <c r="L193" s="291" t="s">
        <v>692</v>
      </c>
      <c r="M193" s="297"/>
      <c r="N193" s="298" t="s">
        <v>498</v>
      </c>
      <c r="O193" s="198" t="s">
        <v>512</v>
      </c>
      <c r="P193" s="295">
        <v>21</v>
      </c>
      <c r="Q193" s="224">
        <f t="shared" ref="Q193:Q195" si="29">SUM(E193*H193*P193)</f>
        <v>420</v>
      </c>
      <c r="S193" s="317" t="s">
        <v>538</v>
      </c>
    </row>
    <row r="194" s="274" customFormat="1" ht="18" customHeight="1" spans="1:19">
      <c r="A194" s="290">
        <v>45040</v>
      </c>
      <c r="B194" s="274" t="s">
        <v>307</v>
      </c>
      <c r="C194" s="291" t="s">
        <v>539</v>
      </c>
      <c r="D194" s="292" t="s">
        <v>540</v>
      </c>
      <c r="E194" s="293">
        <v>20</v>
      </c>
      <c r="F194" s="293" t="s">
        <v>494</v>
      </c>
      <c r="G194" s="293" t="s">
        <v>495</v>
      </c>
      <c r="H194" s="294">
        <v>1</v>
      </c>
      <c r="I194" s="295">
        <v>16.5</v>
      </c>
      <c r="J194" s="293" t="s">
        <v>496</v>
      </c>
      <c r="K194" s="296">
        <f t="shared" si="28"/>
        <v>330</v>
      </c>
      <c r="L194" s="291" t="s">
        <v>693</v>
      </c>
      <c r="M194" s="297"/>
      <c r="N194" s="298" t="s">
        <v>498</v>
      </c>
      <c r="O194" s="198" t="s">
        <v>512</v>
      </c>
      <c r="P194" s="295">
        <v>21</v>
      </c>
      <c r="Q194" s="224">
        <f t="shared" si="29"/>
        <v>420</v>
      </c>
      <c r="R194" s="274">
        <f>SUM(Q190:Q194)</f>
        <v>1920</v>
      </c>
    </row>
    <row r="195" s="274" customFormat="1" ht="18" customHeight="1" spans="1:19">
      <c r="A195" s="290">
        <v>45040</v>
      </c>
      <c r="B195" s="274" t="s">
        <v>307</v>
      </c>
      <c r="C195" s="291" t="s">
        <v>509</v>
      </c>
      <c r="D195" s="292" t="s">
        <v>268</v>
      </c>
      <c r="E195" s="293">
        <v>35</v>
      </c>
      <c r="F195" s="293" t="s">
        <v>494</v>
      </c>
      <c r="G195" s="293" t="s">
        <v>495</v>
      </c>
      <c r="H195" s="294">
        <v>10</v>
      </c>
      <c r="I195" s="295">
        <v>8.3</v>
      </c>
      <c r="J195" s="293" t="s">
        <v>496</v>
      </c>
      <c r="K195" s="296">
        <f t="shared" si="28"/>
        <v>2905</v>
      </c>
      <c r="L195" s="291" t="s">
        <v>694</v>
      </c>
      <c r="M195" s="297">
        <f>SUM(K193:K195)</f>
        <v>3565</v>
      </c>
      <c r="N195" s="298" t="s">
        <v>511</v>
      </c>
      <c r="O195" s="274" t="s">
        <v>512</v>
      </c>
      <c r="P195" s="295">
        <v>9.5</v>
      </c>
      <c r="Q195" s="274">
        <f t="shared" si="29"/>
        <v>3325</v>
      </c>
    </row>
    <row r="196" s="224" customFormat="1" ht="18" customHeight="1" spans="1:19">
      <c r="A196" s="299">
        <v>45040</v>
      </c>
      <c r="B196" s="224" t="s">
        <v>695</v>
      </c>
      <c r="C196" s="305" t="s">
        <v>9</v>
      </c>
      <c r="D196" s="306" t="s">
        <v>10</v>
      </c>
      <c r="E196" s="301">
        <v>10</v>
      </c>
      <c r="F196" s="301" t="s">
        <v>494</v>
      </c>
      <c r="G196" s="301" t="s">
        <v>495</v>
      </c>
      <c r="H196" s="302">
        <v>1</v>
      </c>
      <c r="I196" s="307">
        <v>17</v>
      </c>
      <c r="J196" s="301" t="s">
        <v>496</v>
      </c>
      <c r="K196" s="296">
        <f t="shared" si="28"/>
        <v>170</v>
      </c>
      <c r="L196" s="305" t="s">
        <v>585</v>
      </c>
      <c r="M196" s="308"/>
      <c r="N196" s="304" t="s">
        <v>498</v>
      </c>
      <c r="O196" s="224" t="s">
        <v>533</v>
      </c>
      <c r="P196" s="307">
        <v>17</v>
      </c>
      <c r="Q196" s="224">
        <v>510</v>
      </c>
    </row>
    <row r="197" s="224" customFormat="1" ht="18" customHeight="1" spans="1:19">
      <c r="A197" s="299">
        <v>45040</v>
      </c>
      <c r="B197" s="224" t="s">
        <v>695</v>
      </c>
      <c r="C197" s="305"/>
      <c r="D197" s="306" t="s">
        <v>191</v>
      </c>
      <c r="E197" s="301">
        <v>20</v>
      </c>
      <c r="F197" s="301" t="s">
        <v>494</v>
      </c>
      <c r="G197" s="301" t="s">
        <v>495</v>
      </c>
      <c r="H197" s="302">
        <v>1</v>
      </c>
      <c r="I197" s="307">
        <v>21.5</v>
      </c>
      <c r="J197" s="301" t="s">
        <v>496</v>
      </c>
      <c r="K197" s="296">
        <f t="shared" si="28"/>
        <v>430</v>
      </c>
      <c r="L197" s="305" t="s">
        <v>681</v>
      </c>
      <c r="M197" s="308">
        <f>SUM(K196:K197)</f>
        <v>600</v>
      </c>
      <c r="N197" s="304" t="s">
        <v>498</v>
      </c>
      <c r="O197" s="224" t="s">
        <v>533</v>
      </c>
      <c r="P197" s="307">
        <v>21.5</v>
      </c>
      <c r="Q197" s="224">
        <v>559</v>
      </c>
    </row>
    <row r="198" s="274" customFormat="1" ht="18" customHeight="1" spans="1:19">
      <c r="A198" s="290">
        <v>45042</v>
      </c>
      <c r="B198" s="274" t="s">
        <v>696</v>
      </c>
      <c r="C198" s="291" t="s">
        <v>697</v>
      </c>
      <c r="D198" s="292" t="s">
        <v>698</v>
      </c>
      <c r="E198" s="293">
        <v>26</v>
      </c>
      <c r="F198" s="293" t="s">
        <v>494</v>
      </c>
      <c r="G198" s="293" t="s">
        <v>495</v>
      </c>
      <c r="H198" s="294">
        <v>4</v>
      </c>
      <c r="I198" s="295">
        <v>17</v>
      </c>
      <c r="J198" s="293" t="s">
        <v>496</v>
      </c>
      <c r="K198" s="296">
        <f t="shared" si="28"/>
        <v>1768</v>
      </c>
      <c r="L198" s="291" t="s">
        <v>580</v>
      </c>
      <c r="M198" s="297"/>
      <c r="N198" s="298" t="s">
        <v>498</v>
      </c>
      <c r="O198" s="274" t="s">
        <v>533</v>
      </c>
      <c r="P198" s="295">
        <v>17</v>
      </c>
      <c r="Q198" s="274">
        <f t="shared" ref="Q198:Q200" si="30">SUM(E198*H198*P198)</f>
        <v>1768</v>
      </c>
    </row>
    <row r="199" s="274" customFormat="1" ht="18" customHeight="1" spans="1:19">
      <c r="A199" s="290">
        <v>45042</v>
      </c>
      <c r="B199" s="274" t="s">
        <v>696</v>
      </c>
      <c r="C199" s="291" t="s">
        <v>9</v>
      </c>
      <c r="D199" s="292" t="s">
        <v>10</v>
      </c>
      <c r="E199" s="293">
        <v>10</v>
      </c>
      <c r="F199" s="293" t="s">
        <v>494</v>
      </c>
      <c r="G199" s="293" t="s">
        <v>495</v>
      </c>
      <c r="H199" s="294">
        <v>5</v>
      </c>
      <c r="I199" s="295">
        <v>17</v>
      </c>
      <c r="J199" s="293" t="s">
        <v>496</v>
      </c>
      <c r="K199" s="296">
        <f t="shared" si="28"/>
        <v>850</v>
      </c>
      <c r="L199" s="291" t="s">
        <v>585</v>
      </c>
      <c r="M199" s="297">
        <f>SUM(K198:K199)</f>
        <v>2618</v>
      </c>
      <c r="N199" s="298" t="s">
        <v>498</v>
      </c>
      <c r="O199" s="274" t="s">
        <v>533</v>
      </c>
      <c r="P199" s="295">
        <v>17</v>
      </c>
      <c r="Q199" s="274">
        <f t="shared" si="30"/>
        <v>850</v>
      </c>
    </row>
    <row r="200" s="224" customFormat="1" ht="18" customHeight="1" spans="1:19">
      <c r="A200" s="299">
        <v>45043</v>
      </c>
      <c r="B200" s="224" t="s">
        <v>477</v>
      </c>
      <c r="C200" s="305" t="s">
        <v>520</v>
      </c>
      <c r="D200" s="306" t="s">
        <v>60</v>
      </c>
      <c r="E200" s="301">
        <v>25</v>
      </c>
      <c r="F200" s="301" t="s">
        <v>494</v>
      </c>
      <c r="G200" s="301" t="s">
        <v>495</v>
      </c>
      <c r="H200" s="302">
        <v>10</v>
      </c>
      <c r="I200" s="307">
        <v>10.3</v>
      </c>
      <c r="J200" s="301" t="s">
        <v>496</v>
      </c>
      <c r="K200" s="303">
        <f t="shared" si="28"/>
        <v>2575</v>
      </c>
      <c r="L200" s="305" t="s">
        <v>664</v>
      </c>
      <c r="M200" s="308">
        <f>K200</f>
        <v>2575</v>
      </c>
      <c r="N200" s="304" t="s">
        <v>498</v>
      </c>
      <c r="O200" s="224" t="s">
        <v>512</v>
      </c>
      <c r="P200" s="307">
        <v>12.5</v>
      </c>
      <c r="Q200" s="224">
        <f t="shared" si="30"/>
        <v>3125</v>
      </c>
      <c r="R200" s="224">
        <f>SUM(Q199:Q200)</f>
        <v>3975</v>
      </c>
    </row>
    <row r="201" spans="1:19">
      <c r="A201" s="290">
        <v>45043</v>
      </c>
      <c r="B201" s="274" t="s">
        <v>604</v>
      </c>
      <c r="C201" s="312" t="s">
        <v>699</v>
      </c>
      <c r="D201" s="274" t="s">
        <v>700</v>
      </c>
      <c r="E201" s="293">
        <v>5</v>
      </c>
      <c r="F201" s="293" t="s">
        <v>494</v>
      </c>
      <c r="G201" s="293" t="s">
        <v>495</v>
      </c>
      <c r="H201" s="294">
        <v>1</v>
      </c>
      <c r="I201" s="295">
        <v>17</v>
      </c>
      <c r="J201" s="293" t="s">
        <v>496</v>
      </c>
      <c r="K201" s="303">
        <f t="shared" si="28"/>
        <v>85</v>
      </c>
      <c r="L201" s="291" t="s">
        <v>496</v>
      </c>
    </row>
    <row r="202" spans="1:19">
      <c r="A202" s="290">
        <v>45043</v>
      </c>
      <c r="B202" s="274" t="s">
        <v>604</v>
      </c>
      <c r="C202" s="311" t="s">
        <v>701</v>
      </c>
      <c r="D202" s="274" t="s">
        <v>702</v>
      </c>
      <c r="E202" s="293">
        <v>5</v>
      </c>
      <c r="F202" s="293" t="s">
        <v>494</v>
      </c>
      <c r="G202" s="293" t="s">
        <v>495</v>
      </c>
      <c r="H202" s="294">
        <v>1</v>
      </c>
      <c r="I202" s="295">
        <v>21.5</v>
      </c>
      <c r="J202" s="293" t="s">
        <v>496</v>
      </c>
      <c r="K202" s="303">
        <f t="shared" si="28"/>
        <v>107.5</v>
      </c>
      <c r="L202" s="291" t="s">
        <v>496</v>
      </c>
    </row>
    <row r="203" s="224" customFormat="1" ht="18" customHeight="1" spans="1:19">
      <c r="A203" s="299">
        <v>45043</v>
      </c>
      <c r="B203" s="224" t="s">
        <v>703</v>
      </c>
      <c r="C203" s="305" t="s">
        <v>509</v>
      </c>
      <c r="D203" s="306" t="s">
        <v>268</v>
      </c>
      <c r="E203" s="301">
        <v>35</v>
      </c>
      <c r="F203" s="301" t="s">
        <v>494</v>
      </c>
      <c r="G203" s="301" t="s">
        <v>495</v>
      </c>
      <c r="H203" s="302">
        <v>5</v>
      </c>
      <c r="I203" s="307">
        <v>8.3</v>
      </c>
      <c r="J203" s="301" t="s">
        <v>496</v>
      </c>
      <c r="K203" s="303">
        <f t="shared" si="28"/>
        <v>1452.5</v>
      </c>
      <c r="L203" s="305" t="s">
        <v>704</v>
      </c>
      <c r="M203" s="308"/>
      <c r="N203" s="304" t="s">
        <v>511</v>
      </c>
      <c r="O203" s="224" t="s">
        <v>512</v>
      </c>
      <c r="P203" s="307">
        <v>9.5</v>
      </c>
      <c r="Q203" s="224">
        <f t="shared" ref="Q203:Q208" si="31">SUM(E203*H203*P203)</f>
        <v>1662.5</v>
      </c>
    </row>
    <row r="204" s="224" customFormat="1" ht="18" customHeight="1" spans="1:19">
      <c r="A204" s="299">
        <v>45043</v>
      </c>
      <c r="B204" s="224" t="s">
        <v>703</v>
      </c>
      <c r="C204" s="305" t="s">
        <v>551</v>
      </c>
      <c r="D204" s="306" t="s">
        <v>552</v>
      </c>
      <c r="E204" s="301">
        <v>180</v>
      </c>
      <c r="F204" s="301" t="s">
        <v>494</v>
      </c>
      <c r="G204" s="301" t="s">
        <v>495</v>
      </c>
      <c r="H204" s="302">
        <v>1</v>
      </c>
      <c r="I204" s="307">
        <v>5.5</v>
      </c>
      <c r="J204" s="301" t="s">
        <v>496</v>
      </c>
      <c r="K204" s="303">
        <f t="shared" si="28"/>
        <v>990</v>
      </c>
      <c r="L204" s="308" t="s">
        <v>537</v>
      </c>
      <c r="M204" s="308">
        <f>SUM(K203:K204)</f>
        <v>2442.5</v>
      </c>
      <c r="N204" s="304" t="s">
        <v>498</v>
      </c>
      <c r="O204" s="224" t="s">
        <v>512</v>
      </c>
      <c r="P204" s="307">
        <v>6.5</v>
      </c>
      <c r="Q204" s="224">
        <f t="shared" si="31"/>
        <v>1170</v>
      </c>
      <c r="R204" s="224">
        <f>SUM(Q203:Q204)</f>
        <v>2832.5</v>
      </c>
    </row>
    <row r="205" s="274" customFormat="1" spans="1:19">
      <c r="A205" s="290">
        <v>45044</v>
      </c>
      <c r="C205" s="274" t="s">
        <v>705</v>
      </c>
      <c r="D205" s="274" t="s">
        <v>706</v>
      </c>
      <c r="E205" s="274">
        <v>1</v>
      </c>
      <c r="F205" s="293" t="s">
        <v>494</v>
      </c>
      <c r="G205" s="293" t="s">
        <v>495</v>
      </c>
      <c r="H205" s="294">
        <v>1</v>
      </c>
      <c r="I205" s="295"/>
      <c r="J205" s="293" t="s">
        <v>496</v>
      </c>
      <c r="K205" s="296">
        <f t="shared" si="28"/>
        <v>0</v>
      </c>
      <c r="L205" s="274" t="s">
        <v>707</v>
      </c>
      <c r="O205" s="274" t="s">
        <v>499</v>
      </c>
    </row>
    <row r="206" s="224" customFormat="1" ht="18" customHeight="1" spans="1:19">
      <c r="A206" s="299">
        <v>45052</v>
      </c>
      <c r="B206" s="224" t="s">
        <v>500</v>
      </c>
      <c r="C206" s="305" t="s">
        <v>493</v>
      </c>
      <c r="D206" s="306" t="s">
        <v>268</v>
      </c>
      <c r="E206" s="301">
        <v>35</v>
      </c>
      <c r="F206" s="301" t="s">
        <v>494</v>
      </c>
      <c r="G206" s="301" t="s">
        <v>495</v>
      </c>
      <c r="H206" s="302">
        <v>10</v>
      </c>
      <c r="I206" s="307">
        <v>9</v>
      </c>
      <c r="J206" s="301" t="s">
        <v>496</v>
      </c>
      <c r="K206" s="303">
        <f t="shared" si="28"/>
        <v>3150</v>
      </c>
      <c r="L206" s="305" t="s">
        <v>497</v>
      </c>
      <c r="M206" s="308"/>
      <c r="N206" s="304" t="s">
        <v>498</v>
      </c>
      <c r="O206" s="224" t="s">
        <v>499</v>
      </c>
      <c r="P206" s="307">
        <v>9</v>
      </c>
      <c r="Q206" s="224">
        <f t="shared" si="31"/>
        <v>3150</v>
      </c>
    </row>
    <row r="207" s="224" customFormat="1" spans="1:19">
      <c r="A207" s="299">
        <v>45052</v>
      </c>
      <c r="B207" s="224" t="s">
        <v>500</v>
      </c>
      <c r="C207" s="300" t="s">
        <v>542</v>
      </c>
      <c r="D207" s="224" t="s">
        <v>543</v>
      </c>
      <c r="E207" s="301">
        <v>26</v>
      </c>
      <c r="F207" s="301" t="s">
        <v>494</v>
      </c>
      <c r="G207" s="301" t="s">
        <v>495</v>
      </c>
      <c r="H207" s="302">
        <v>3</v>
      </c>
      <c r="I207" s="307">
        <v>17</v>
      </c>
      <c r="J207" s="301" t="s">
        <v>496</v>
      </c>
      <c r="K207" s="303">
        <f t="shared" si="28"/>
        <v>1326</v>
      </c>
      <c r="L207" s="224" t="s">
        <v>544</v>
      </c>
      <c r="N207" s="304" t="s">
        <v>498</v>
      </c>
      <c r="O207" s="224" t="s">
        <v>499</v>
      </c>
      <c r="P207" s="307">
        <v>17</v>
      </c>
      <c r="Q207" s="224">
        <f t="shared" si="31"/>
        <v>1326</v>
      </c>
      <c r="R207" s="224">
        <v>2873</v>
      </c>
    </row>
    <row r="208" s="224" customFormat="1" spans="1:19">
      <c r="A208" s="299">
        <v>45052</v>
      </c>
      <c r="B208" s="224" t="s">
        <v>500</v>
      </c>
      <c r="C208" s="300" t="s">
        <v>545</v>
      </c>
      <c r="D208" s="224" t="s">
        <v>546</v>
      </c>
      <c r="E208" s="301">
        <v>23</v>
      </c>
      <c r="F208" s="301" t="s">
        <v>494</v>
      </c>
      <c r="G208" s="301" t="s">
        <v>495</v>
      </c>
      <c r="H208" s="302">
        <v>1</v>
      </c>
      <c r="I208" s="307">
        <v>17</v>
      </c>
      <c r="J208" s="301" t="s">
        <v>496</v>
      </c>
      <c r="K208" s="303">
        <f t="shared" si="28"/>
        <v>391</v>
      </c>
      <c r="L208" s="224" t="s">
        <v>544</v>
      </c>
      <c r="N208" s="304" t="s">
        <v>498</v>
      </c>
      <c r="O208" s="224" t="s">
        <v>499</v>
      </c>
      <c r="P208" s="307">
        <v>17</v>
      </c>
      <c r="Q208" s="224">
        <f t="shared" si="31"/>
        <v>391</v>
      </c>
      <c r="R208" s="224">
        <v>2873</v>
      </c>
    </row>
    <row r="209" s="224" customFormat="1" spans="1:20">
      <c r="A209" s="299">
        <v>45052</v>
      </c>
      <c r="B209" s="224" t="s">
        <v>500</v>
      </c>
      <c r="C209" s="300" t="s">
        <v>545</v>
      </c>
      <c r="D209" s="224" t="s">
        <v>546</v>
      </c>
      <c r="E209" s="301">
        <v>22</v>
      </c>
      <c r="F209" s="301" t="s">
        <v>494</v>
      </c>
      <c r="G209" s="301" t="s">
        <v>495</v>
      </c>
      <c r="H209" s="302">
        <v>2</v>
      </c>
      <c r="I209" s="307">
        <v>17</v>
      </c>
      <c r="J209" s="301" t="s">
        <v>496</v>
      </c>
      <c r="K209" s="303">
        <f t="shared" ref="K209:K260" si="32">SUM(E209*H209*I209)</f>
        <v>748</v>
      </c>
      <c r="L209" s="224" t="s">
        <v>544</v>
      </c>
      <c r="M209" s="224">
        <f>SUM(K206:K209)</f>
        <v>5615</v>
      </c>
      <c r="N209" s="304" t="s">
        <v>498</v>
      </c>
      <c r="O209" s="224" t="s">
        <v>499</v>
      </c>
      <c r="P209" s="307">
        <v>17</v>
      </c>
      <c r="Q209" s="224">
        <f t="shared" ref="Q209:Q212" si="33">SUM(E209*H209*P209)</f>
        <v>748</v>
      </c>
      <c r="R209" s="224">
        <v>2873</v>
      </c>
    </row>
    <row r="210" s="274" customFormat="1" spans="1:20">
      <c r="A210" s="290">
        <v>45052</v>
      </c>
      <c r="B210" s="274" t="s">
        <v>708</v>
      </c>
      <c r="C210" s="647" t="s">
        <v>654</v>
      </c>
      <c r="D210" s="274" t="s">
        <v>53</v>
      </c>
      <c r="E210" s="293">
        <v>21</v>
      </c>
      <c r="F210" s="293" t="s">
        <v>494</v>
      </c>
      <c r="G210" s="293" t="s">
        <v>495</v>
      </c>
      <c r="H210" s="294">
        <v>1</v>
      </c>
      <c r="I210" s="295">
        <v>21.5</v>
      </c>
      <c r="J210" s="293" t="s">
        <v>496</v>
      </c>
      <c r="K210" s="296">
        <f t="shared" si="32"/>
        <v>451.5</v>
      </c>
      <c r="L210" s="291" t="s">
        <v>655</v>
      </c>
      <c r="M210" s="297"/>
      <c r="N210" s="298" t="s">
        <v>498</v>
      </c>
      <c r="O210" s="274" t="s">
        <v>533</v>
      </c>
      <c r="P210" s="295">
        <v>21.5</v>
      </c>
      <c r="Q210" s="274">
        <f t="shared" si="33"/>
        <v>451.5</v>
      </c>
    </row>
    <row r="211" s="274" customFormat="1" spans="1:20">
      <c r="A211" s="290">
        <v>45052</v>
      </c>
      <c r="B211" s="274" t="s">
        <v>708</v>
      </c>
      <c r="C211" s="312" t="s">
        <v>555</v>
      </c>
      <c r="D211" s="274" t="s">
        <v>656</v>
      </c>
      <c r="E211" s="293">
        <v>20</v>
      </c>
      <c r="F211" s="293" t="s">
        <v>494</v>
      </c>
      <c r="G211" s="293" t="s">
        <v>495</v>
      </c>
      <c r="H211" s="294">
        <v>1</v>
      </c>
      <c r="I211" s="295">
        <v>17</v>
      </c>
      <c r="J211" s="293" t="s">
        <v>496</v>
      </c>
      <c r="K211" s="296">
        <f t="shared" si="32"/>
        <v>340</v>
      </c>
      <c r="L211" s="291" t="s">
        <v>496</v>
      </c>
      <c r="M211" s="297"/>
      <c r="N211" s="298" t="s">
        <v>498</v>
      </c>
      <c r="O211" s="274" t="s">
        <v>533</v>
      </c>
      <c r="P211" s="319">
        <v>17</v>
      </c>
      <c r="Q211" s="274">
        <f t="shared" si="33"/>
        <v>340</v>
      </c>
      <c r="R211" s="293"/>
      <c r="S211" s="291"/>
    </row>
    <row r="212" s="274" customFormat="1" ht="18" customHeight="1" spans="1:20">
      <c r="A212" s="290">
        <v>45052</v>
      </c>
      <c r="B212" s="274" t="s">
        <v>708</v>
      </c>
      <c r="C212" s="291" t="s">
        <v>83</v>
      </c>
      <c r="D212" s="292" t="s">
        <v>84</v>
      </c>
      <c r="E212" s="293">
        <v>20</v>
      </c>
      <c r="F212" s="293" t="s">
        <v>494</v>
      </c>
      <c r="G212" s="293" t="s">
        <v>495</v>
      </c>
      <c r="H212" s="294">
        <v>3</v>
      </c>
      <c r="I212" s="295">
        <v>17</v>
      </c>
      <c r="J212" s="293" t="s">
        <v>496</v>
      </c>
      <c r="K212" s="296">
        <f t="shared" si="32"/>
        <v>1020</v>
      </c>
      <c r="L212" s="291" t="s">
        <v>496</v>
      </c>
      <c r="M212" s="297"/>
      <c r="N212" s="298" t="s">
        <v>498</v>
      </c>
      <c r="O212" s="274" t="s">
        <v>533</v>
      </c>
      <c r="P212" s="295">
        <v>17</v>
      </c>
      <c r="Q212" s="274">
        <f t="shared" si="33"/>
        <v>1020</v>
      </c>
    </row>
    <row r="213" s="274" customFormat="1" ht="18" customHeight="1" spans="1:20">
      <c r="A213" s="290">
        <v>45052</v>
      </c>
      <c r="B213" s="274" t="s">
        <v>708</v>
      </c>
      <c r="C213" s="291" t="s">
        <v>578</v>
      </c>
      <c r="D213" s="292" t="s">
        <v>165</v>
      </c>
      <c r="E213" s="293">
        <v>20</v>
      </c>
      <c r="F213" s="293" t="s">
        <v>494</v>
      </c>
      <c r="G213" s="293" t="s">
        <v>495</v>
      </c>
      <c r="H213" s="294">
        <v>2</v>
      </c>
      <c r="I213" s="295">
        <v>21.5</v>
      </c>
      <c r="J213" s="293" t="s">
        <v>496</v>
      </c>
      <c r="K213" s="296">
        <f t="shared" si="32"/>
        <v>860</v>
      </c>
      <c r="L213" s="291" t="s">
        <v>496</v>
      </c>
      <c r="M213" s="297"/>
      <c r="N213" s="298" t="s">
        <v>498</v>
      </c>
      <c r="O213" s="274" t="s">
        <v>533</v>
      </c>
      <c r="P213" s="295">
        <v>21.5</v>
      </c>
    </row>
    <row r="214" s="274" customFormat="1" spans="1:20">
      <c r="A214" s="290">
        <v>45052</v>
      </c>
      <c r="B214" s="274" t="s">
        <v>708</v>
      </c>
      <c r="D214" s="274" t="s">
        <v>657</v>
      </c>
      <c r="E214" s="293">
        <v>18</v>
      </c>
      <c r="F214" s="293" t="s">
        <v>494</v>
      </c>
      <c r="G214" s="293" t="s">
        <v>495</v>
      </c>
      <c r="H214" s="294">
        <v>1</v>
      </c>
      <c r="I214" s="295">
        <v>9.5</v>
      </c>
      <c r="J214" s="293" t="s">
        <v>496</v>
      </c>
      <c r="K214" s="296">
        <f t="shared" si="32"/>
        <v>171</v>
      </c>
      <c r="L214" s="291" t="s">
        <v>558</v>
      </c>
      <c r="M214" s="297">
        <f>SUM(K210:K214)</f>
        <v>2842.5</v>
      </c>
      <c r="N214" s="298" t="s">
        <v>498</v>
      </c>
      <c r="O214" s="274" t="s">
        <v>533</v>
      </c>
      <c r="P214" s="295">
        <v>9.5</v>
      </c>
      <c r="Q214" s="274">
        <f t="shared" ref="Q214:Q222" si="34">SUM(E214*H214*P214)</f>
        <v>171</v>
      </c>
      <c r="R214" s="274">
        <f>SUM(Q206:Q214)</f>
        <v>7597.5</v>
      </c>
      <c r="S214" s="274" t="s">
        <v>658</v>
      </c>
      <c r="T214" s="274" t="s">
        <v>271</v>
      </c>
    </row>
    <row r="215" s="224" customFormat="1" ht="18" customHeight="1" spans="1:20">
      <c r="A215" s="299">
        <v>45053</v>
      </c>
      <c r="B215" s="224" t="s">
        <v>198</v>
      </c>
      <c r="C215" s="305" t="s">
        <v>591</v>
      </c>
      <c r="D215" s="306" t="s">
        <v>268</v>
      </c>
      <c r="E215" s="301">
        <v>28</v>
      </c>
      <c r="F215" s="301" t="s">
        <v>494</v>
      </c>
      <c r="G215" s="301" t="s">
        <v>495</v>
      </c>
      <c r="H215" s="302">
        <v>10</v>
      </c>
      <c r="I215" s="307">
        <v>9</v>
      </c>
      <c r="J215" s="301" t="s">
        <v>496</v>
      </c>
      <c r="K215" s="303">
        <f t="shared" si="32"/>
        <v>2520</v>
      </c>
      <c r="L215" s="343" t="s">
        <v>709</v>
      </c>
      <c r="M215" s="308">
        <f>K215</f>
        <v>2520</v>
      </c>
      <c r="N215" s="304" t="s">
        <v>498</v>
      </c>
      <c r="O215" s="224" t="s">
        <v>533</v>
      </c>
      <c r="P215" s="307">
        <v>9</v>
      </c>
      <c r="Q215" s="224">
        <f t="shared" si="34"/>
        <v>2520</v>
      </c>
    </row>
    <row r="216" s="274" customFormat="1" ht="18" customHeight="1" spans="1:20">
      <c r="A216" s="290">
        <v>45055</v>
      </c>
      <c r="B216" s="274" t="s">
        <v>576</v>
      </c>
      <c r="C216" s="291" t="s">
        <v>697</v>
      </c>
      <c r="D216" s="292" t="s">
        <v>698</v>
      </c>
      <c r="E216" s="293">
        <v>25</v>
      </c>
      <c r="F216" s="293" t="s">
        <v>494</v>
      </c>
      <c r="G216" s="293" t="s">
        <v>495</v>
      </c>
      <c r="H216" s="294">
        <v>3</v>
      </c>
      <c r="I216" s="295">
        <v>17</v>
      </c>
      <c r="J216" s="293" t="s">
        <v>496</v>
      </c>
      <c r="K216" s="296">
        <f t="shared" si="32"/>
        <v>1275</v>
      </c>
      <c r="L216" s="291" t="s">
        <v>580</v>
      </c>
      <c r="M216" s="297"/>
      <c r="N216" s="298" t="s">
        <v>498</v>
      </c>
      <c r="O216" s="274" t="s">
        <v>533</v>
      </c>
      <c r="P216" s="295">
        <v>17</v>
      </c>
      <c r="Q216" s="274">
        <f t="shared" si="34"/>
        <v>1275</v>
      </c>
    </row>
    <row r="217" s="274" customFormat="1" ht="18" customHeight="1" spans="1:20">
      <c r="A217" s="290">
        <v>45055</v>
      </c>
      <c r="B217" s="274" t="s">
        <v>576</v>
      </c>
      <c r="C217" s="291" t="s">
        <v>9</v>
      </c>
      <c r="D217" s="292" t="s">
        <v>10</v>
      </c>
      <c r="E217" s="293">
        <v>10</v>
      </c>
      <c r="F217" s="293" t="s">
        <v>494</v>
      </c>
      <c r="G217" s="293" t="s">
        <v>495</v>
      </c>
      <c r="H217" s="294">
        <v>3</v>
      </c>
      <c r="I217" s="295">
        <v>17</v>
      </c>
      <c r="J217" s="293" t="s">
        <v>496</v>
      </c>
      <c r="K217" s="296">
        <f t="shared" si="32"/>
        <v>510</v>
      </c>
      <c r="L217" s="291" t="s">
        <v>585</v>
      </c>
      <c r="M217" s="297">
        <f>SUM(K216:K217)</f>
        <v>1785</v>
      </c>
      <c r="N217" s="298" t="s">
        <v>498</v>
      </c>
      <c r="O217" s="274" t="s">
        <v>533</v>
      </c>
      <c r="P217" s="295">
        <v>17</v>
      </c>
      <c r="Q217" s="274">
        <f t="shared" si="34"/>
        <v>510</v>
      </c>
    </row>
    <row r="218" s="224" customFormat="1" spans="1:20">
      <c r="A218" s="299">
        <v>45057</v>
      </c>
      <c r="B218" s="224" t="s">
        <v>133</v>
      </c>
      <c r="C218" s="306" t="s">
        <v>710</v>
      </c>
      <c r="D218" s="306" t="s">
        <v>268</v>
      </c>
      <c r="E218" s="301">
        <v>28</v>
      </c>
      <c r="F218" s="301" t="s">
        <v>494</v>
      </c>
      <c r="G218" s="301" t="s">
        <v>495</v>
      </c>
      <c r="H218" s="302">
        <v>1</v>
      </c>
      <c r="I218" s="203">
        <v>8.5</v>
      </c>
      <c r="J218" s="301" t="s">
        <v>496</v>
      </c>
      <c r="K218" s="303">
        <f t="shared" si="32"/>
        <v>238</v>
      </c>
      <c r="L218" s="305" t="s">
        <v>711</v>
      </c>
      <c r="M218" s="308"/>
      <c r="N218" s="304" t="s">
        <v>498</v>
      </c>
      <c r="O218" s="224" t="s">
        <v>712</v>
      </c>
      <c r="P218" s="307">
        <v>11</v>
      </c>
      <c r="Q218" s="274">
        <f t="shared" si="34"/>
        <v>308</v>
      </c>
    </row>
    <row r="219" s="274" customFormat="1" ht="18" customHeight="1" spans="1:20">
      <c r="A219" s="290">
        <v>45058</v>
      </c>
      <c r="B219" s="274" t="s">
        <v>155</v>
      </c>
      <c r="C219" s="291" t="s">
        <v>509</v>
      </c>
      <c r="D219" s="292" t="s">
        <v>268</v>
      </c>
      <c r="E219" s="293">
        <v>35</v>
      </c>
      <c r="F219" s="293" t="s">
        <v>494</v>
      </c>
      <c r="G219" s="293" t="s">
        <v>495</v>
      </c>
      <c r="H219" s="294">
        <v>5</v>
      </c>
      <c r="I219" s="295">
        <v>8.3</v>
      </c>
      <c r="J219" s="293" t="s">
        <v>496</v>
      </c>
      <c r="K219" s="296">
        <f t="shared" si="32"/>
        <v>1452.5</v>
      </c>
      <c r="L219" s="291" t="s">
        <v>713</v>
      </c>
      <c r="M219" s="297">
        <f>SUM(K215:K219)</f>
        <v>5995.5</v>
      </c>
      <c r="N219" s="298" t="s">
        <v>511</v>
      </c>
      <c r="O219" s="274" t="s">
        <v>512</v>
      </c>
      <c r="P219" s="295">
        <v>9.5</v>
      </c>
      <c r="Q219" s="274">
        <f t="shared" si="34"/>
        <v>1662.5</v>
      </c>
    </row>
    <row r="220" s="224" customFormat="1" spans="1:20">
      <c r="A220" s="299">
        <v>45058</v>
      </c>
      <c r="B220" s="224" t="s">
        <v>413</v>
      </c>
      <c r="C220" s="300" t="s">
        <v>714</v>
      </c>
      <c r="D220" s="224" t="s">
        <v>700</v>
      </c>
      <c r="E220" s="301">
        <v>25</v>
      </c>
      <c r="F220" s="301" t="s">
        <v>494</v>
      </c>
      <c r="G220" s="301" t="s">
        <v>495</v>
      </c>
      <c r="H220" s="302">
        <v>1</v>
      </c>
      <c r="I220" s="307">
        <v>17</v>
      </c>
      <c r="J220" s="301" t="s">
        <v>496</v>
      </c>
      <c r="K220" s="303">
        <f t="shared" si="32"/>
        <v>425</v>
      </c>
      <c r="L220" s="305" t="s">
        <v>715</v>
      </c>
      <c r="N220" s="304" t="s">
        <v>498</v>
      </c>
      <c r="O220" s="224" t="s">
        <v>499</v>
      </c>
      <c r="P220" s="307">
        <v>17</v>
      </c>
      <c r="Q220" s="224">
        <f t="shared" si="34"/>
        <v>425</v>
      </c>
    </row>
    <row r="221" s="224" customFormat="1" spans="1:20">
      <c r="A221" s="299">
        <v>45057</v>
      </c>
      <c r="B221" s="224" t="s">
        <v>413</v>
      </c>
      <c r="C221" s="315" t="s">
        <v>716</v>
      </c>
      <c r="D221" s="224" t="s">
        <v>702</v>
      </c>
      <c r="E221" s="301">
        <v>21</v>
      </c>
      <c r="F221" s="301" t="s">
        <v>494</v>
      </c>
      <c r="G221" s="301" t="s">
        <v>495</v>
      </c>
      <c r="H221" s="302">
        <v>1</v>
      </c>
      <c r="I221" s="307">
        <v>21.5</v>
      </c>
      <c r="J221" s="301" t="s">
        <v>496</v>
      </c>
      <c r="K221" s="303">
        <f t="shared" si="32"/>
        <v>451.5</v>
      </c>
      <c r="L221" s="305" t="s">
        <v>717</v>
      </c>
      <c r="N221" s="304" t="s">
        <v>498</v>
      </c>
      <c r="O221" s="224" t="s">
        <v>499</v>
      </c>
      <c r="P221" s="307">
        <v>21.5</v>
      </c>
      <c r="Q221" s="224">
        <f t="shared" si="34"/>
        <v>451.5</v>
      </c>
    </row>
    <row r="222" s="224" customFormat="1" spans="1:20">
      <c r="A222" s="299">
        <v>45057</v>
      </c>
      <c r="B222" s="224" t="s">
        <v>413</v>
      </c>
      <c r="C222" s="300" t="s">
        <v>395</v>
      </c>
      <c r="D222" s="224" t="s">
        <v>718</v>
      </c>
      <c r="E222" s="301">
        <v>25</v>
      </c>
      <c r="F222" s="301" t="s">
        <v>494</v>
      </c>
      <c r="G222" s="301" t="s">
        <v>495</v>
      </c>
      <c r="H222" s="302">
        <v>4</v>
      </c>
      <c r="I222" s="307">
        <v>17</v>
      </c>
      <c r="J222" s="301" t="s">
        <v>496</v>
      </c>
      <c r="K222" s="303">
        <f t="shared" si="32"/>
        <v>1700</v>
      </c>
      <c r="L222" s="305" t="s">
        <v>496</v>
      </c>
      <c r="N222" s="304" t="s">
        <v>498</v>
      </c>
      <c r="O222" s="224" t="s">
        <v>499</v>
      </c>
      <c r="P222" s="307">
        <v>17</v>
      </c>
      <c r="Q222" s="224">
        <f t="shared" si="34"/>
        <v>1700</v>
      </c>
      <c r="R222" s="301"/>
      <c r="S222" s="305"/>
    </row>
    <row r="223" s="224" customFormat="1" spans="1:20">
      <c r="A223" s="299">
        <v>45057</v>
      </c>
      <c r="B223" s="224" t="s">
        <v>413</v>
      </c>
      <c r="C223" s="224" t="s">
        <v>719</v>
      </c>
      <c r="D223" s="224" t="s">
        <v>70</v>
      </c>
      <c r="E223" s="307">
        <v>1</v>
      </c>
      <c r="F223" s="301" t="s">
        <v>494</v>
      </c>
      <c r="G223" s="301" t="s">
        <v>495</v>
      </c>
      <c r="H223" s="302">
        <v>1</v>
      </c>
      <c r="I223" s="307"/>
      <c r="J223" s="301" t="s">
        <v>496</v>
      </c>
      <c r="K223" s="303">
        <f t="shared" si="32"/>
        <v>0</v>
      </c>
      <c r="L223" s="224" t="s">
        <v>720</v>
      </c>
      <c r="N223" s="304" t="s">
        <v>498</v>
      </c>
      <c r="O223" s="224" t="s">
        <v>499</v>
      </c>
    </row>
    <row r="224" s="224" customFormat="1" spans="1:20">
      <c r="A224" s="299">
        <v>45057</v>
      </c>
      <c r="B224" s="224" t="s">
        <v>413</v>
      </c>
      <c r="C224" s="224" t="s">
        <v>721</v>
      </c>
      <c r="D224" s="224" t="s">
        <v>702</v>
      </c>
      <c r="E224" s="307">
        <v>1</v>
      </c>
      <c r="F224" s="301" t="s">
        <v>494</v>
      </c>
      <c r="G224" s="301" t="s">
        <v>495</v>
      </c>
      <c r="H224" s="302">
        <v>1</v>
      </c>
      <c r="I224" s="307"/>
      <c r="J224" s="301" t="s">
        <v>496</v>
      </c>
      <c r="K224" s="303">
        <f t="shared" si="32"/>
        <v>0</v>
      </c>
      <c r="L224" s="224" t="s">
        <v>722</v>
      </c>
      <c r="N224" s="304" t="s">
        <v>498</v>
      </c>
      <c r="O224" s="224" t="s">
        <v>499</v>
      </c>
    </row>
    <row r="225" s="224" customFormat="1" spans="1:19">
      <c r="A225" s="299">
        <v>45057</v>
      </c>
      <c r="B225" s="224" t="s">
        <v>413</v>
      </c>
      <c r="C225" s="224" t="s">
        <v>723</v>
      </c>
      <c r="D225" s="224" t="s">
        <v>724</v>
      </c>
      <c r="E225" s="307">
        <v>1</v>
      </c>
      <c r="F225" s="301" t="s">
        <v>494</v>
      </c>
      <c r="G225" s="301" t="s">
        <v>495</v>
      </c>
      <c r="H225" s="302">
        <v>1</v>
      </c>
      <c r="I225" s="307"/>
      <c r="J225" s="301" t="s">
        <v>496</v>
      </c>
      <c r="K225" s="303">
        <f t="shared" si="32"/>
        <v>0</v>
      </c>
      <c r="N225" s="304" t="s">
        <v>498</v>
      </c>
      <c r="O225" s="224" t="s">
        <v>499</v>
      </c>
    </row>
    <row r="226" s="274" customFormat="1" spans="1:19">
      <c r="A226" s="290">
        <v>45059</v>
      </c>
      <c r="B226" s="274" t="s">
        <v>472</v>
      </c>
      <c r="C226" s="274" t="s">
        <v>667</v>
      </c>
      <c r="D226" s="274" t="s">
        <v>668</v>
      </c>
      <c r="E226" s="293">
        <v>25</v>
      </c>
      <c r="F226" s="293" t="s">
        <v>494</v>
      </c>
      <c r="G226" s="293" t="s">
        <v>495</v>
      </c>
      <c r="H226" s="294">
        <v>1</v>
      </c>
      <c r="I226" s="295">
        <v>12</v>
      </c>
      <c r="J226" s="293" t="s">
        <v>496</v>
      </c>
      <c r="K226" s="296">
        <f t="shared" si="32"/>
        <v>300</v>
      </c>
      <c r="L226" s="274" t="s">
        <v>725</v>
      </c>
      <c r="N226" s="298" t="s">
        <v>498</v>
      </c>
      <c r="O226" s="274" t="s">
        <v>712</v>
      </c>
      <c r="P226" s="295">
        <v>15</v>
      </c>
      <c r="Q226" s="198">
        <f t="shared" ref="Q226:Q235" si="35">SUM(E226*H226*P226)</f>
        <v>375</v>
      </c>
      <c r="S226" s="317" t="s">
        <v>726</v>
      </c>
    </row>
    <row r="227" s="274" customFormat="1" spans="1:19">
      <c r="A227" s="290">
        <v>45059</v>
      </c>
      <c r="B227" s="274" t="s">
        <v>472</v>
      </c>
      <c r="D227" s="274" t="s">
        <v>727</v>
      </c>
      <c r="E227" s="295">
        <v>5</v>
      </c>
      <c r="F227" s="293" t="s">
        <v>494</v>
      </c>
      <c r="G227" s="293" t="s">
        <v>495</v>
      </c>
      <c r="H227" s="294">
        <v>1</v>
      </c>
      <c r="I227" s="295"/>
      <c r="J227" s="293" t="s">
        <v>496</v>
      </c>
      <c r="K227" s="296">
        <f t="shared" si="32"/>
        <v>0</v>
      </c>
      <c r="L227" s="274" t="s">
        <v>728</v>
      </c>
      <c r="N227" s="298" t="s">
        <v>498</v>
      </c>
      <c r="O227" s="274" t="s">
        <v>712</v>
      </c>
      <c r="P227" s="295">
        <v>30</v>
      </c>
      <c r="Q227" s="198">
        <f t="shared" si="35"/>
        <v>150</v>
      </c>
      <c r="R227" s="274">
        <f>SUM(Q226:Q227)</f>
        <v>525</v>
      </c>
    </row>
    <row r="228" s="198" customFormat="1" ht="18" customHeight="1" spans="1:19">
      <c r="A228" s="323">
        <v>45058</v>
      </c>
      <c r="B228" s="198" t="s">
        <v>729</v>
      </c>
      <c r="C228" s="309" t="s">
        <v>710</v>
      </c>
      <c r="D228" s="330" t="s">
        <v>268</v>
      </c>
      <c r="E228" s="325">
        <v>28</v>
      </c>
      <c r="F228" s="325" t="s">
        <v>494</v>
      </c>
      <c r="G228" s="325" t="s">
        <v>495</v>
      </c>
      <c r="H228" s="326">
        <v>2</v>
      </c>
      <c r="I228" s="203">
        <v>10.5</v>
      </c>
      <c r="J228" s="325" t="s">
        <v>496</v>
      </c>
      <c r="K228" s="327">
        <f t="shared" si="32"/>
        <v>588</v>
      </c>
      <c r="L228" s="309" t="s">
        <v>730</v>
      </c>
      <c r="M228" s="331">
        <f>K228</f>
        <v>588</v>
      </c>
      <c r="N228" s="298" t="s">
        <v>498</v>
      </c>
      <c r="O228" s="198" t="s">
        <v>499</v>
      </c>
      <c r="P228" s="203">
        <v>10.5</v>
      </c>
      <c r="Q228" s="198">
        <f t="shared" si="35"/>
        <v>588</v>
      </c>
    </row>
    <row r="229" s="274" customFormat="1" ht="18" customHeight="1" spans="1:19">
      <c r="A229" s="290">
        <v>45062</v>
      </c>
      <c r="B229" s="274" t="s">
        <v>424</v>
      </c>
      <c r="C229" s="291" t="s">
        <v>534</v>
      </c>
      <c r="D229" s="292" t="s">
        <v>535</v>
      </c>
      <c r="E229" s="293">
        <v>21</v>
      </c>
      <c r="F229" s="293" t="s">
        <v>494</v>
      </c>
      <c r="G229" s="293" t="s">
        <v>495</v>
      </c>
      <c r="H229" s="294">
        <v>1</v>
      </c>
      <c r="I229" s="295">
        <v>16.5</v>
      </c>
      <c r="J229" s="293" t="s">
        <v>496</v>
      </c>
      <c r="K229" s="296">
        <f t="shared" si="32"/>
        <v>346.5</v>
      </c>
      <c r="L229" s="291" t="s">
        <v>692</v>
      </c>
      <c r="M229" s="297"/>
      <c r="N229" s="298" t="s">
        <v>498</v>
      </c>
      <c r="O229" s="198" t="s">
        <v>731</v>
      </c>
      <c r="P229" s="295">
        <v>23</v>
      </c>
      <c r="Q229" s="224">
        <f t="shared" si="35"/>
        <v>483</v>
      </c>
      <c r="S229" s="317" t="s">
        <v>538</v>
      </c>
    </row>
    <row r="230" s="224" customFormat="1" ht="18" customHeight="1" spans="1:19">
      <c r="A230" s="299">
        <v>45064</v>
      </c>
      <c r="B230" s="224" t="s">
        <v>401</v>
      </c>
      <c r="C230" s="305" t="s">
        <v>697</v>
      </c>
      <c r="D230" s="306" t="s">
        <v>698</v>
      </c>
      <c r="E230" s="301">
        <v>25</v>
      </c>
      <c r="F230" s="301" t="s">
        <v>494</v>
      </c>
      <c r="G230" s="301" t="s">
        <v>495</v>
      </c>
      <c r="H230" s="302">
        <v>5</v>
      </c>
      <c r="I230" s="307">
        <v>17</v>
      </c>
      <c r="J230" s="301" t="s">
        <v>496</v>
      </c>
      <c r="K230" s="303">
        <f t="shared" si="32"/>
        <v>2125</v>
      </c>
      <c r="L230" s="305" t="s">
        <v>580</v>
      </c>
      <c r="M230" s="308"/>
      <c r="N230" s="304" t="s">
        <v>498</v>
      </c>
      <c r="O230" s="224" t="s">
        <v>533</v>
      </c>
      <c r="P230" s="307">
        <v>17</v>
      </c>
      <c r="Q230" s="224">
        <f t="shared" si="35"/>
        <v>2125</v>
      </c>
    </row>
    <row r="231" s="224" customFormat="1" ht="18" customHeight="1" spans="1:19">
      <c r="A231" s="299">
        <v>45064</v>
      </c>
      <c r="B231" s="224" t="s">
        <v>401</v>
      </c>
      <c r="C231" s="305" t="s">
        <v>697</v>
      </c>
      <c r="D231" s="306" t="s">
        <v>698</v>
      </c>
      <c r="E231" s="301">
        <v>26</v>
      </c>
      <c r="F231" s="301" t="s">
        <v>494</v>
      </c>
      <c r="G231" s="301" t="s">
        <v>495</v>
      </c>
      <c r="H231" s="302">
        <v>1</v>
      </c>
      <c r="I231" s="307">
        <v>17</v>
      </c>
      <c r="J231" s="301" t="s">
        <v>496</v>
      </c>
      <c r="K231" s="303">
        <f t="shared" si="32"/>
        <v>442</v>
      </c>
      <c r="L231" s="305" t="s">
        <v>580</v>
      </c>
      <c r="M231" s="308"/>
      <c r="N231" s="304" t="s">
        <v>498</v>
      </c>
      <c r="O231" s="224" t="s">
        <v>533</v>
      </c>
      <c r="P231" s="307">
        <v>17</v>
      </c>
      <c r="Q231" s="224">
        <f t="shared" si="35"/>
        <v>442</v>
      </c>
    </row>
    <row r="232" s="224" customFormat="1" ht="18" customHeight="1" spans="1:19">
      <c r="A232" s="299">
        <v>45064</v>
      </c>
      <c r="B232" s="224" t="s">
        <v>401</v>
      </c>
      <c r="C232" s="305" t="s">
        <v>9</v>
      </c>
      <c r="D232" s="306" t="s">
        <v>10</v>
      </c>
      <c r="E232" s="301">
        <v>10</v>
      </c>
      <c r="F232" s="301" t="s">
        <v>494</v>
      </c>
      <c r="G232" s="301" t="s">
        <v>495</v>
      </c>
      <c r="H232" s="302">
        <v>7</v>
      </c>
      <c r="I232" s="307">
        <v>17</v>
      </c>
      <c r="J232" s="301" t="s">
        <v>496</v>
      </c>
      <c r="K232" s="303">
        <f t="shared" si="32"/>
        <v>1190</v>
      </c>
      <c r="L232" s="305" t="s">
        <v>585</v>
      </c>
      <c r="M232" s="308">
        <f>SUM(K230:K232)</f>
        <v>3757</v>
      </c>
      <c r="N232" s="304" t="s">
        <v>498</v>
      </c>
      <c r="O232" s="224" t="s">
        <v>533</v>
      </c>
      <c r="P232" s="307">
        <v>17</v>
      </c>
      <c r="Q232" s="224">
        <f t="shared" si="35"/>
        <v>1190</v>
      </c>
    </row>
    <row r="233" s="274" customFormat="1" ht="18" customHeight="1" spans="1:19">
      <c r="A233" s="290">
        <v>45043</v>
      </c>
      <c r="B233" s="274" t="s">
        <v>703</v>
      </c>
      <c r="C233" s="291" t="s">
        <v>551</v>
      </c>
      <c r="D233" s="292" t="s">
        <v>552</v>
      </c>
      <c r="E233" s="293">
        <v>180</v>
      </c>
      <c r="F233" s="293" t="s">
        <v>494</v>
      </c>
      <c r="G233" s="293" t="s">
        <v>495</v>
      </c>
      <c r="H233" s="294">
        <v>1</v>
      </c>
      <c r="I233" s="295">
        <v>5.5</v>
      </c>
      <c r="J233" s="293" t="s">
        <v>496</v>
      </c>
      <c r="K233" s="296">
        <f t="shared" si="32"/>
        <v>990</v>
      </c>
      <c r="L233" s="297" t="s">
        <v>537</v>
      </c>
      <c r="M233" s="297">
        <f>SUM(K232:K233)</f>
        <v>2180</v>
      </c>
      <c r="N233" s="298" t="s">
        <v>498</v>
      </c>
      <c r="O233" s="274" t="s">
        <v>512</v>
      </c>
      <c r="P233" s="295">
        <v>6.5</v>
      </c>
      <c r="Q233" s="274">
        <f t="shared" si="35"/>
        <v>1170</v>
      </c>
      <c r="R233" s="274">
        <f>SUM(Q232:Q233)</f>
        <v>2360</v>
      </c>
    </row>
    <row r="234" s="224" customFormat="1" ht="18" customHeight="1" spans="1:19">
      <c r="A234" s="299">
        <v>45068</v>
      </c>
      <c r="B234" s="224" t="s">
        <v>476</v>
      </c>
      <c r="C234" s="305" t="s">
        <v>710</v>
      </c>
      <c r="D234" s="306" t="s">
        <v>268</v>
      </c>
      <c r="E234" s="301">
        <v>28</v>
      </c>
      <c r="F234" s="301" t="s">
        <v>494</v>
      </c>
      <c r="G234" s="301" t="s">
        <v>495</v>
      </c>
      <c r="H234" s="302">
        <v>2</v>
      </c>
      <c r="I234" s="307">
        <v>10.5</v>
      </c>
      <c r="J234" s="301" t="s">
        <v>496</v>
      </c>
      <c r="K234" s="303">
        <f t="shared" si="32"/>
        <v>588</v>
      </c>
      <c r="L234" s="305" t="s">
        <v>732</v>
      </c>
      <c r="M234" s="308">
        <f>K234</f>
        <v>588</v>
      </c>
      <c r="N234" s="304" t="s">
        <v>498</v>
      </c>
      <c r="O234" s="224" t="s">
        <v>499</v>
      </c>
      <c r="P234" s="307">
        <v>10.5</v>
      </c>
      <c r="Q234" s="224">
        <f t="shared" si="35"/>
        <v>588</v>
      </c>
    </row>
    <row r="235" s="224" customFormat="1" spans="1:19">
      <c r="A235" s="299">
        <v>45068</v>
      </c>
      <c r="B235" s="224" t="s">
        <v>476</v>
      </c>
      <c r="C235" s="300" t="s">
        <v>555</v>
      </c>
      <c r="D235" s="224" t="s">
        <v>656</v>
      </c>
      <c r="E235" s="301">
        <v>20</v>
      </c>
      <c r="F235" s="301" t="s">
        <v>494</v>
      </c>
      <c r="G235" s="301" t="s">
        <v>495</v>
      </c>
      <c r="H235" s="302">
        <v>1</v>
      </c>
      <c r="I235" s="307">
        <v>17</v>
      </c>
      <c r="J235" s="301" t="s">
        <v>496</v>
      </c>
      <c r="K235" s="303">
        <f t="shared" si="32"/>
        <v>340</v>
      </c>
      <c r="L235" s="305" t="s">
        <v>496</v>
      </c>
      <c r="M235" s="308"/>
      <c r="N235" s="304" t="s">
        <v>498</v>
      </c>
      <c r="O235" s="224" t="s">
        <v>499</v>
      </c>
      <c r="P235" s="307">
        <v>17</v>
      </c>
      <c r="Q235" s="224">
        <f t="shared" si="35"/>
        <v>340</v>
      </c>
      <c r="R235" s="301"/>
      <c r="S235" s="305"/>
    </row>
    <row r="236" s="224" customFormat="1" spans="1:19">
      <c r="A236" s="299">
        <v>45068</v>
      </c>
      <c r="B236" s="224" t="s">
        <v>476</v>
      </c>
      <c r="C236" s="224" t="s">
        <v>733</v>
      </c>
      <c r="D236" s="224" t="s">
        <v>734</v>
      </c>
      <c r="E236" s="307">
        <v>25</v>
      </c>
      <c r="F236" s="301" t="s">
        <v>494</v>
      </c>
      <c r="G236" s="301" t="s">
        <v>495</v>
      </c>
      <c r="H236" s="302">
        <v>1</v>
      </c>
      <c r="I236" s="307">
        <v>17</v>
      </c>
      <c r="J236" s="301" t="s">
        <v>496</v>
      </c>
      <c r="K236" s="303">
        <f t="shared" si="32"/>
        <v>425</v>
      </c>
      <c r="L236" s="305" t="s">
        <v>496</v>
      </c>
      <c r="N236" s="304" t="s">
        <v>498</v>
      </c>
      <c r="O236" s="224" t="s">
        <v>499</v>
      </c>
      <c r="P236" s="307">
        <v>17</v>
      </c>
    </row>
    <row r="237" s="274" customFormat="1" spans="1:19">
      <c r="A237" s="290">
        <v>45068</v>
      </c>
      <c r="B237" s="274" t="s">
        <v>562</v>
      </c>
      <c r="C237" s="312"/>
      <c r="D237" s="274" t="s">
        <v>621</v>
      </c>
      <c r="E237" s="293">
        <v>20</v>
      </c>
      <c r="F237" s="293" t="s">
        <v>494</v>
      </c>
      <c r="G237" s="293" t="s">
        <v>495</v>
      </c>
      <c r="H237" s="294">
        <v>5</v>
      </c>
      <c r="I237" s="295">
        <v>16.5</v>
      </c>
      <c r="J237" s="293" t="s">
        <v>496</v>
      </c>
      <c r="K237" s="296">
        <f t="shared" si="32"/>
        <v>1650</v>
      </c>
      <c r="L237" s="291" t="s">
        <v>622</v>
      </c>
      <c r="N237" s="298" t="s">
        <v>498</v>
      </c>
      <c r="O237" s="274" t="s">
        <v>589</v>
      </c>
      <c r="P237" s="295">
        <v>16.5</v>
      </c>
      <c r="R237" s="274">
        <v>2873</v>
      </c>
    </row>
    <row r="238" s="274" customFormat="1" ht="18" customHeight="1" spans="1:19">
      <c r="A238" s="290">
        <v>45068</v>
      </c>
      <c r="B238" s="274" t="s">
        <v>562</v>
      </c>
      <c r="C238" s="291" t="s">
        <v>623</v>
      </c>
      <c r="D238" s="292" t="s">
        <v>10</v>
      </c>
      <c r="E238" s="293">
        <v>10</v>
      </c>
      <c r="F238" s="293" t="s">
        <v>494</v>
      </c>
      <c r="G238" s="293" t="s">
        <v>495</v>
      </c>
      <c r="H238" s="294">
        <v>14</v>
      </c>
      <c r="I238" s="295">
        <v>17</v>
      </c>
      <c r="J238" s="293" t="s">
        <v>496</v>
      </c>
      <c r="K238" s="296">
        <f t="shared" si="32"/>
        <v>2380</v>
      </c>
      <c r="L238" s="291" t="s">
        <v>624</v>
      </c>
      <c r="M238" s="297"/>
      <c r="N238" s="298" t="s">
        <v>498</v>
      </c>
      <c r="O238" s="274" t="s">
        <v>589</v>
      </c>
      <c r="P238" s="295">
        <v>17</v>
      </c>
    </row>
    <row r="239" s="224" customFormat="1" ht="18" customHeight="1" spans="1:19">
      <c r="A239" s="299">
        <v>45069</v>
      </c>
      <c r="B239" s="224" t="s">
        <v>735</v>
      </c>
      <c r="C239" s="305" t="s">
        <v>493</v>
      </c>
      <c r="D239" s="306" t="s">
        <v>268</v>
      </c>
      <c r="E239" s="301">
        <v>35</v>
      </c>
      <c r="F239" s="301" t="s">
        <v>494</v>
      </c>
      <c r="G239" s="301" t="s">
        <v>495</v>
      </c>
      <c r="H239" s="302">
        <v>8</v>
      </c>
      <c r="I239" s="307">
        <v>9</v>
      </c>
      <c r="J239" s="301" t="s">
        <v>496</v>
      </c>
      <c r="K239" s="303">
        <f t="shared" si="32"/>
        <v>2520</v>
      </c>
      <c r="L239" s="305" t="s">
        <v>497</v>
      </c>
      <c r="M239" s="308"/>
      <c r="N239" s="304" t="s">
        <v>498</v>
      </c>
      <c r="O239" s="224" t="s">
        <v>499</v>
      </c>
      <c r="P239" s="307">
        <v>9</v>
      </c>
      <c r="Q239" s="224">
        <f t="shared" ref="Q239:Q249" si="36">SUM(E239*H239*P239)</f>
        <v>2520</v>
      </c>
    </row>
    <row r="240" s="274" customFormat="1" spans="1:19">
      <c r="A240" s="290">
        <v>45070</v>
      </c>
      <c r="B240" s="274" t="s">
        <v>566</v>
      </c>
      <c r="C240" s="312"/>
      <c r="D240" s="274" t="s">
        <v>86</v>
      </c>
      <c r="E240" s="293">
        <v>25</v>
      </c>
      <c r="F240" s="293" t="s">
        <v>494</v>
      </c>
      <c r="G240" s="293" t="s">
        <v>495</v>
      </c>
      <c r="H240" s="294">
        <v>5</v>
      </c>
      <c r="I240" s="295">
        <v>17</v>
      </c>
      <c r="J240" s="293" t="s">
        <v>496</v>
      </c>
      <c r="K240" s="296">
        <f t="shared" si="32"/>
        <v>2125</v>
      </c>
      <c r="L240" s="291" t="s">
        <v>496</v>
      </c>
      <c r="N240" s="298" t="s">
        <v>498</v>
      </c>
      <c r="O240" s="274" t="s">
        <v>499</v>
      </c>
      <c r="P240" s="295">
        <v>17</v>
      </c>
      <c r="Q240" s="274">
        <f t="shared" si="36"/>
        <v>2125</v>
      </c>
    </row>
    <row r="241" s="274" customFormat="1" spans="1:19">
      <c r="A241" s="290">
        <v>45070</v>
      </c>
      <c r="B241" s="274" t="s">
        <v>566</v>
      </c>
      <c r="C241" s="312"/>
      <c r="D241" s="274" t="s">
        <v>86</v>
      </c>
      <c r="E241" s="293">
        <v>26</v>
      </c>
      <c r="F241" s="293" t="s">
        <v>494</v>
      </c>
      <c r="G241" s="293" t="s">
        <v>495</v>
      </c>
      <c r="H241" s="294">
        <v>1</v>
      </c>
      <c r="I241" s="295">
        <v>17</v>
      </c>
      <c r="J241" s="293" t="s">
        <v>496</v>
      </c>
      <c r="K241" s="296">
        <f t="shared" si="32"/>
        <v>442</v>
      </c>
      <c r="L241" s="291" t="s">
        <v>496</v>
      </c>
      <c r="N241" s="298" t="s">
        <v>498</v>
      </c>
      <c r="O241" s="274" t="s">
        <v>499</v>
      </c>
      <c r="P241" s="295">
        <v>17</v>
      </c>
      <c r="Q241" s="274">
        <f t="shared" si="36"/>
        <v>442</v>
      </c>
    </row>
    <row r="242" s="274" customFormat="1" spans="1:19">
      <c r="A242" s="290">
        <v>45070</v>
      </c>
      <c r="B242" s="274" t="s">
        <v>566</v>
      </c>
      <c r="C242" s="312"/>
      <c r="D242" s="274" t="s">
        <v>736</v>
      </c>
      <c r="E242" s="293">
        <v>20</v>
      </c>
      <c r="F242" s="293" t="s">
        <v>494</v>
      </c>
      <c r="G242" s="293" t="s">
        <v>495</v>
      </c>
      <c r="H242" s="294">
        <v>1</v>
      </c>
      <c r="I242" s="295">
        <v>17</v>
      </c>
      <c r="J242" s="293" t="s">
        <v>496</v>
      </c>
      <c r="K242" s="296">
        <f t="shared" si="32"/>
        <v>340</v>
      </c>
      <c r="L242" s="291" t="s">
        <v>737</v>
      </c>
      <c r="M242" s="274">
        <f>SUM(K240:K242)</f>
        <v>2907</v>
      </c>
      <c r="N242" s="298" t="s">
        <v>498</v>
      </c>
      <c r="O242" s="274" t="s">
        <v>499</v>
      </c>
      <c r="P242" s="295">
        <v>17</v>
      </c>
      <c r="Q242" s="274">
        <f t="shared" si="36"/>
        <v>340</v>
      </c>
    </row>
    <row r="243" s="198" customFormat="1" spans="1:19">
      <c r="A243" s="323">
        <v>45077</v>
      </c>
      <c r="B243" s="198" t="s">
        <v>738</v>
      </c>
      <c r="D243" s="198" t="s">
        <v>739</v>
      </c>
      <c r="E243" s="325">
        <v>4</v>
      </c>
      <c r="F243" s="325" t="s">
        <v>494</v>
      </c>
      <c r="G243" s="325" t="s">
        <v>495</v>
      </c>
      <c r="H243" s="326">
        <v>1</v>
      </c>
      <c r="I243" s="203">
        <v>17</v>
      </c>
      <c r="J243" s="325" t="s">
        <v>496</v>
      </c>
      <c r="K243" s="327">
        <f t="shared" si="32"/>
        <v>68</v>
      </c>
      <c r="L243" s="198" t="s">
        <v>740</v>
      </c>
      <c r="M243" s="198" t="s">
        <v>741</v>
      </c>
      <c r="N243" s="328" t="s">
        <v>498</v>
      </c>
      <c r="O243" s="198" t="s">
        <v>742</v>
      </c>
      <c r="P243" s="203">
        <v>20</v>
      </c>
      <c r="Q243" s="198">
        <f t="shared" si="36"/>
        <v>80</v>
      </c>
      <c r="S243" s="344" t="s">
        <v>726</v>
      </c>
    </row>
    <row r="244" s="198" customFormat="1" spans="1:19">
      <c r="A244" s="323">
        <v>45077</v>
      </c>
      <c r="B244" s="198" t="s">
        <v>738</v>
      </c>
      <c r="D244" s="198" t="s">
        <v>10</v>
      </c>
      <c r="E244" s="325">
        <v>2</v>
      </c>
      <c r="F244" s="325" t="s">
        <v>494</v>
      </c>
      <c r="G244" s="325" t="s">
        <v>495</v>
      </c>
      <c r="H244" s="326">
        <v>1</v>
      </c>
      <c r="I244" s="203">
        <v>17</v>
      </c>
      <c r="J244" s="325" t="s">
        <v>496</v>
      </c>
      <c r="K244" s="327">
        <f t="shared" si="32"/>
        <v>34</v>
      </c>
      <c r="L244" s="198" t="s">
        <v>743</v>
      </c>
      <c r="M244" s="198" t="s">
        <v>741</v>
      </c>
      <c r="N244" s="328" t="s">
        <v>498</v>
      </c>
      <c r="O244" s="198" t="s">
        <v>742</v>
      </c>
      <c r="P244" s="203">
        <v>21</v>
      </c>
      <c r="Q244" s="198">
        <f t="shared" si="36"/>
        <v>42</v>
      </c>
      <c r="S244" s="344" t="s">
        <v>726</v>
      </c>
    </row>
    <row r="245" s="224" customFormat="1" ht="18" customHeight="1" spans="1:19">
      <c r="A245" s="299">
        <v>45079</v>
      </c>
      <c r="B245" s="224" t="s">
        <v>744</v>
      </c>
      <c r="C245" s="305" t="s">
        <v>493</v>
      </c>
      <c r="D245" s="306" t="s">
        <v>268</v>
      </c>
      <c r="E245" s="301">
        <v>35</v>
      </c>
      <c r="F245" s="301" t="s">
        <v>494</v>
      </c>
      <c r="G245" s="301" t="s">
        <v>495</v>
      </c>
      <c r="H245" s="302">
        <v>10</v>
      </c>
      <c r="I245" s="307">
        <v>9</v>
      </c>
      <c r="J245" s="301" t="s">
        <v>496</v>
      </c>
      <c r="K245" s="303">
        <f t="shared" si="32"/>
        <v>3150</v>
      </c>
      <c r="L245" s="305" t="s">
        <v>497</v>
      </c>
      <c r="M245" s="308"/>
      <c r="N245" s="304" t="s">
        <v>498</v>
      </c>
      <c r="O245" s="224" t="s">
        <v>499</v>
      </c>
      <c r="P245" s="307">
        <v>9</v>
      </c>
      <c r="Q245" s="224">
        <f t="shared" si="36"/>
        <v>3150</v>
      </c>
    </row>
    <row r="246" s="224" customFormat="1" ht="18" customHeight="1" spans="1:19">
      <c r="A246" s="299">
        <v>45079</v>
      </c>
      <c r="B246" s="224" t="s">
        <v>744</v>
      </c>
      <c r="C246" s="305" t="s">
        <v>522</v>
      </c>
      <c r="D246" s="306" t="s">
        <v>523</v>
      </c>
      <c r="E246" s="301">
        <v>25</v>
      </c>
      <c r="F246" s="301" t="s">
        <v>494</v>
      </c>
      <c r="G246" s="301" t="s">
        <v>495</v>
      </c>
      <c r="H246" s="302">
        <v>5</v>
      </c>
      <c r="I246" s="307">
        <v>12</v>
      </c>
      <c r="J246" s="301" t="s">
        <v>496</v>
      </c>
      <c r="K246" s="303">
        <f t="shared" si="32"/>
        <v>1500</v>
      </c>
      <c r="L246" s="305" t="s">
        <v>661</v>
      </c>
      <c r="M246" s="308"/>
      <c r="N246" s="304" t="s">
        <v>498</v>
      </c>
      <c r="O246" s="224" t="s">
        <v>499</v>
      </c>
      <c r="P246" s="224">
        <v>12</v>
      </c>
      <c r="Q246" s="224">
        <f t="shared" si="36"/>
        <v>1500</v>
      </c>
      <c r="R246" s="224">
        <f>SUM(Q245:Q246)</f>
        <v>4650</v>
      </c>
    </row>
    <row r="247" s="274" customFormat="1" ht="18" customHeight="1" spans="1:19">
      <c r="A247" s="290">
        <v>45079</v>
      </c>
      <c r="B247" s="274" t="s">
        <v>500</v>
      </c>
      <c r="C247" s="291">
        <v>10139</v>
      </c>
      <c r="D247" s="292" t="s">
        <v>45</v>
      </c>
      <c r="E247" s="293">
        <v>23</v>
      </c>
      <c r="F247" s="293" t="s">
        <v>494</v>
      </c>
      <c r="G247" s="293" t="s">
        <v>495</v>
      </c>
      <c r="H247" s="294">
        <v>1</v>
      </c>
      <c r="I247" s="295">
        <v>17</v>
      </c>
      <c r="J247" s="293" t="s">
        <v>496</v>
      </c>
      <c r="K247" s="296">
        <f t="shared" si="32"/>
        <v>391</v>
      </c>
      <c r="L247" s="291" t="s">
        <v>496</v>
      </c>
      <c r="M247" s="297"/>
      <c r="N247" s="298" t="s">
        <v>498</v>
      </c>
      <c r="O247" s="274" t="s">
        <v>533</v>
      </c>
      <c r="P247" s="295">
        <v>17</v>
      </c>
      <c r="Q247" s="274">
        <f t="shared" si="36"/>
        <v>391</v>
      </c>
    </row>
    <row r="248" s="274" customFormat="1" ht="18" customHeight="1" spans="1:19">
      <c r="A248" s="290">
        <v>45079</v>
      </c>
      <c r="B248" s="274" t="s">
        <v>500</v>
      </c>
      <c r="C248" s="291" t="s">
        <v>613</v>
      </c>
      <c r="D248" s="292" t="s">
        <v>47</v>
      </c>
      <c r="E248" s="293">
        <v>26</v>
      </c>
      <c r="F248" s="293" t="s">
        <v>494</v>
      </c>
      <c r="G248" s="293" t="s">
        <v>495</v>
      </c>
      <c r="H248" s="294">
        <v>1</v>
      </c>
      <c r="I248" s="295">
        <v>17</v>
      </c>
      <c r="J248" s="293" t="s">
        <v>496</v>
      </c>
      <c r="K248" s="296">
        <f t="shared" si="32"/>
        <v>442</v>
      </c>
      <c r="L248" s="291" t="s">
        <v>496</v>
      </c>
      <c r="M248" s="297"/>
      <c r="N248" s="298" t="s">
        <v>498</v>
      </c>
      <c r="O248" s="274" t="s">
        <v>533</v>
      </c>
      <c r="P248" s="295">
        <v>17</v>
      </c>
      <c r="Q248" s="274">
        <f t="shared" si="36"/>
        <v>442</v>
      </c>
    </row>
    <row r="249" s="274" customFormat="1" ht="18" customHeight="1" spans="1:19">
      <c r="A249" s="290">
        <v>45079</v>
      </c>
      <c r="B249" s="274" t="s">
        <v>500</v>
      </c>
      <c r="C249" s="291" t="s">
        <v>697</v>
      </c>
      <c r="D249" s="292" t="s">
        <v>698</v>
      </c>
      <c r="E249" s="293">
        <v>25</v>
      </c>
      <c r="F249" s="293" t="s">
        <v>494</v>
      </c>
      <c r="G249" s="293" t="s">
        <v>495</v>
      </c>
      <c r="H249" s="294">
        <v>3</v>
      </c>
      <c r="I249" s="295">
        <v>17</v>
      </c>
      <c r="J249" s="293" t="s">
        <v>496</v>
      </c>
      <c r="K249" s="296">
        <f t="shared" si="32"/>
        <v>1275</v>
      </c>
      <c r="L249" s="291" t="s">
        <v>580</v>
      </c>
      <c r="M249" s="297"/>
      <c r="N249" s="298" t="s">
        <v>498</v>
      </c>
      <c r="O249" s="274" t="s">
        <v>533</v>
      </c>
      <c r="P249" s="295">
        <v>17</v>
      </c>
      <c r="Q249" s="274">
        <f t="shared" si="36"/>
        <v>1275</v>
      </c>
    </row>
    <row r="250" s="274" customFormat="1" ht="18" customHeight="1" spans="1:19">
      <c r="A250" s="290">
        <v>45079</v>
      </c>
      <c r="B250" s="274" t="s">
        <v>500</v>
      </c>
      <c r="C250" s="291" t="s">
        <v>578</v>
      </c>
      <c r="D250" s="292" t="s">
        <v>165</v>
      </c>
      <c r="E250" s="293">
        <v>20</v>
      </c>
      <c r="F250" s="293" t="s">
        <v>494</v>
      </c>
      <c r="G250" s="293" t="s">
        <v>495</v>
      </c>
      <c r="H250" s="294">
        <v>1</v>
      </c>
      <c r="I250" s="295">
        <v>21.5</v>
      </c>
      <c r="J250" s="293" t="s">
        <v>496</v>
      </c>
      <c r="K250" s="296">
        <f t="shared" si="32"/>
        <v>430</v>
      </c>
      <c r="L250" s="291" t="s">
        <v>496</v>
      </c>
      <c r="M250" s="297"/>
      <c r="N250" s="298" t="s">
        <v>498</v>
      </c>
      <c r="O250" s="274" t="s">
        <v>533</v>
      </c>
      <c r="P250" s="295">
        <v>21.5</v>
      </c>
    </row>
    <row r="251" s="274" customFormat="1" ht="18" customHeight="1" spans="1:19">
      <c r="A251" s="290">
        <v>45079</v>
      </c>
      <c r="B251" s="274" t="s">
        <v>500</v>
      </c>
      <c r="C251" s="291">
        <v>178</v>
      </c>
      <c r="D251" s="292" t="s">
        <v>73</v>
      </c>
      <c r="E251" s="293">
        <v>26</v>
      </c>
      <c r="F251" s="293" t="s">
        <v>494</v>
      </c>
      <c r="G251" s="293" t="s">
        <v>495</v>
      </c>
      <c r="H251" s="294">
        <v>1</v>
      </c>
      <c r="I251" s="295">
        <v>17</v>
      </c>
      <c r="J251" s="293" t="s">
        <v>496</v>
      </c>
      <c r="K251" s="341">
        <f t="shared" si="32"/>
        <v>442</v>
      </c>
      <c r="L251" s="291" t="s">
        <v>745</v>
      </c>
      <c r="M251" s="297"/>
      <c r="N251" s="298" t="s">
        <v>498</v>
      </c>
      <c r="O251" s="274" t="s">
        <v>533</v>
      </c>
      <c r="P251" s="295">
        <v>17</v>
      </c>
      <c r="Q251" s="274">
        <f t="shared" ref="Q251:Q259" si="37">SUM(E251*H251*P251)</f>
        <v>442</v>
      </c>
    </row>
    <row r="252" s="274" customFormat="1" ht="18" customHeight="1" spans="1:19">
      <c r="A252" s="290">
        <v>45079</v>
      </c>
      <c r="B252" s="274" t="s">
        <v>500</v>
      </c>
      <c r="C252" s="291" t="s">
        <v>9</v>
      </c>
      <c r="D252" s="292" t="s">
        <v>10</v>
      </c>
      <c r="E252" s="293">
        <v>10</v>
      </c>
      <c r="F252" s="293" t="s">
        <v>494</v>
      </c>
      <c r="G252" s="293" t="s">
        <v>495</v>
      </c>
      <c r="H252" s="294">
        <v>7</v>
      </c>
      <c r="I252" s="295">
        <v>17</v>
      </c>
      <c r="J252" s="293" t="s">
        <v>496</v>
      </c>
      <c r="K252" s="296">
        <f t="shared" si="32"/>
        <v>1190</v>
      </c>
      <c r="L252" s="291" t="s">
        <v>585</v>
      </c>
      <c r="M252" s="297"/>
      <c r="N252" s="298" t="s">
        <v>498</v>
      </c>
      <c r="O252" s="274" t="s">
        <v>533</v>
      </c>
      <c r="P252" s="295">
        <v>17</v>
      </c>
      <c r="Q252" s="274">
        <f t="shared" si="37"/>
        <v>1190</v>
      </c>
    </row>
    <row r="253" s="224" customFormat="1" spans="1:19">
      <c r="A253" s="299">
        <v>45080</v>
      </c>
      <c r="B253" s="224" t="s">
        <v>708</v>
      </c>
      <c r="D253" s="224" t="s">
        <v>96</v>
      </c>
      <c r="E253" s="301">
        <v>26</v>
      </c>
      <c r="F253" s="301" t="s">
        <v>494</v>
      </c>
      <c r="G253" s="301" t="s">
        <v>495</v>
      </c>
      <c r="H253" s="302">
        <v>1</v>
      </c>
      <c r="I253" s="307">
        <v>15</v>
      </c>
      <c r="J253" s="301" t="s">
        <v>496</v>
      </c>
      <c r="K253" s="303">
        <f t="shared" si="32"/>
        <v>390</v>
      </c>
      <c r="L253" s="198" t="s">
        <v>694</v>
      </c>
      <c r="M253" s="308"/>
      <c r="N253" s="304" t="s">
        <v>498</v>
      </c>
      <c r="O253" s="224" t="s">
        <v>505</v>
      </c>
      <c r="P253" s="307">
        <v>21.5</v>
      </c>
      <c r="Q253" s="224">
        <f t="shared" si="37"/>
        <v>559</v>
      </c>
    </row>
    <row r="254" s="224" customFormat="1" spans="1:19">
      <c r="A254" s="299">
        <v>45080</v>
      </c>
      <c r="B254" s="224" t="s">
        <v>708</v>
      </c>
      <c r="D254" s="224" t="s">
        <v>96</v>
      </c>
      <c r="E254" s="301">
        <v>25</v>
      </c>
      <c r="F254" s="301" t="s">
        <v>494</v>
      </c>
      <c r="G254" s="301" t="s">
        <v>495</v>
      </c>
      <c r="H254" s="302">
        <v>1</v>
      </c>
      <c r="I254" s="307">
        <v>15</v>
      </c>
      <c r="J254" s="301" t="s">
        <v>496</v>
      </c>
      <c r="K254" s="303">
        <f t="shared" si="32"/>
        <v>375</v>
      </c>
      <c r="L254" s="198" t="s">
        <v>694</v>
      </c>
      <c r="M254" s="308"/>
      <c r="N254" s="304" t="s">
        <v>498</v>
      </c>
      <c r="O254" s="224" t="s">
        <v>505</v>
      </c>
      <c r="P254" s="307">
        <v>21.5</v>
      </c>
      <c r="Q254" s="224">
        <f t="shared" si="37"/>
        <v>537.5</v>
      </c>
    </row>
    <row r="255" s="224" customFormat="1" ht="18" customHeight="1" spans="1:19">
      <c r="A255" s="299">
        <v>45080</v>
      </c>
      <c r="B255" s="224" t="s">
        <v>708</v>
      </c>
      <c r="C255" s="305" t="s">
        <v>506</v>
      </c>
      <c r="D255" s="306" t="s">
        <v>10</v>
      </c>
      <c r="E255" s="301">
        <v>10</v>
      </c>
      <c r="F255" s="301" t="s">
        <v>494</v>
      </c>
      <c r="G255" s="301" t="s">
        <v>495</v>
      </c>
      <c r="H255" s="302">
        <v>3</v>
      </c>
      <c r="I255" s="307">
        <v>15</v>
      </c>
      <c r="J255" s="301" t="s">
        <v>496</v>
      </c>
      <c r="K255" s="303">
        <f t="shared" si="32"/>
        <v>450</v>
      </c>
      <c r="L255" s="198" t="s">
        <v>624</v>
      </c>
      <c r="M255" s="308">
        <f>SUM(K253:K255)</f>
        <v>1215</v>
      </c>
      <c r="N255" s="304" t="s">
        <v>498</v>
      </c>
      <c r="O255" s="224" t="s">
        <v>505</v>
      </c>
      <c r="P255" s="307">
        <v>21.5</v>
      </c>
      <c r="Q255" s="224">
        <f t="shared" si="37"/>
        <v>645</v>
      </c>
      <c r="R255" s="224">
        <f>SUM(Q253:Q255)</f>
        <v>1741.5</v>
      </c>
    </row>
    <row r="256" s="198" customFormat="1" ht="18" customHeight="1" spans="1:19">
      <c r="A256" s="323">
        <v>45082</v>
      </c>
      <c r="B256" s="198" t="s">
        <v>123</v>
      </c>
      <c r="C256" s="309" t="s">
        <v>746</v>
      </c>
      <c r="D256" s="330" t="s">
        <v>606</v>
      </c>
      <c r="E256" s="325">
        <v>18</v>
      </c>
      <c r="F256" s="325" t="s">
        <v>494</v>
      </c>
      <c r="G256" s="325" t="s">
        <v>495</v>
      </c>
      <c r="H256" s="326">
        <v>2</v>
      </c>
      <c r="I256" s="203"/>
      <c r="J256" s="325" t="s">
        <v>496</v>
      </c>
      <c r="K256" s="327">
        <f t="shared" si="32"/>
        <v>0</v>
      </c>
      <c r="L256" s="309" t="s">
        <v>747</v>
      </c>
      <c r="M256" s="331">
        <f>K256</f>
        <v>0</v>
      </c>
      <c r="N256" s="328" t="s">
        <v>498</v>
      </c>
      <c r="O256" s="198" t="s">
        <v>499</v>
      </c>
      <c r="P256" s="203"/>
      <c r="Q256" s="198">
        <f t="shared" si="37"/>
        <v>0</v>
      </c>
    </row>
    <row r="257" s="274" customFormat="1" spans="1:19">
      <c r="A257" s="290">
        <v>45089</v>
      </c>
      <c r="B257" s="274" t="s">
        <v>508</v>
      </c>
      <c r="C257" s="312"/>
      <c r="D257" s="274" t="s">
        <v>86</v>
      </c>
      <c r="E257" s="293">
        <v>25</v>
      </c>
      <c r="F257" s="293" t="s">
        <v>494</v>
      </c>
      <c r="G257" s="293" t="s">
        <v>495</v>
      </c>
      <c r="H257" s="294">
        <v>3</v>
      </c>
      <c r="I257" s="295">
        <v>17</v>
      </c>
      <c r="J257" s="293" t="s">
        <v>496</v>
      </c>
      <c r="K257" s="296">
        <f t="shared" ref="K257:K314" si="38">SUM(E257*H257*I257)</f>
        <v>1275</v>
      </c>
      <c r="L257" s="291" t="s">
        <v>748</v>
      </c>
      <c r="N257" s="298" t="s">
        <v>498</v>
      </c>
      <c r="O257" s="274" t="s">
        <v>499</v>
      </c>
      <c r="P257" s="295">
        <v>17</v>
      </c>
      <c r="Q257" s="274">
        <f t="shared" si="37"/>
        <v>1275</v>
      </c>
    </row>
    <row r="258" s="274" customFormat="1" spans="1:19">
      <c r="A258" s="290">
        <v>45089</v>
      </c>
      <c r="B258" s="274" t="s">
        <v>508</v>
      </c>
      <c r="C258" s="312"/>
      <c r="D258" s="274" t="s">
        <v>86</v>
      </c>
      <c r="E258" s="293">
        <v>26</v>
      </c>
      <c r="F258" s="293" t="s">
        <v>494</v>
      </c>
      <c r="G258" s="293" t="s">
        <v>495</v>
      </c>
      <c r="H258" s="294">
        <v>2</v>
      </c>
      <c r="I258" s="295">
        <v>17</v>
      </c>
      <c r="J258" s="293" t="s">
        <v>496</v>
      </c>
      <c r="K258" s="296">
        <f t="shared" si="38"/>
        <v>884</v>
      </c>
      <c r="L258" s="291" t="s">
        <v>496</v>
      </c>
      <c r="N258" s="298" t="s">
        <v>498</v>
      </c>
      <c r="O258" s="274" t="s">
        <v>499</v>
      </c>
      <c r="P258" s="295">
        <v>17</v>
      </c>
      <c r="Q258" s="274">
        <f t="shared" si="37"/>
        <v>884</v>
      </c>
    </row>
    <row r="259" s="274" customFormat="1" spans="1:19">
      <c r="A259" s="290">
        <v>45089</v>
      </c>
      <c r="B259" s="274" t="s">
        <v>508</v>
      </c>
      <c r="C259" s="312">
        <v>2938</v>
      </c>
      <c r="D259" s="274" t="s">
        <v>600</v>
      </c>
      <c r="E259" s="293">
        <v>24</v>
      </c>
      <c r="F259" s="293" t="s">
        <v>494</v>
      </c>
      <c r="G259" s="293" t="s">
        <v>495</v>
      </c>
      <c r="H259" s="294">
        <v>1</v>
      </c>
      <c r="I259" s="295">
        <v>17</v>
      </c>
      <c r="J259" s="293" t="s">
        <v>496</v>
      </c>
      <c r="K259" s="296">
        <f t="shared" si="38"/>
        <v>408</v>
      </c>
      <c r="L259" s="291" t="s">
        <v>496</v>
      </c>
      <c r="M259" s="297"/>
      <c r="N259" s="298" t="s">
        <v>498</v>
      </c>
      <c r="O259" s="274" t="s">
        <v>499</v>
      </c>
      <c r="P259" s="295">
        <v>17</v>
      </c>
      <c r="Q259" s="274">
        <f t="shared" si="37"/>
        <v>408</v>
      </c>
      <c r="R259" s="293"/>
      <c r="S259" s="291"/>
    </row>
    <row r="260" spans="1:19">
      <c r="A260" s="290">
        <v>45089</v>
      </c>
      <c r="B260" s="274" t="s">
        <v>508</v>
      </c>
      <c r="C260" s="291" t="s">
        <v>746</v>
      </c>
      <c r="D260" s="330" t="s">
        <v>606</v>
      </c>
      <c r="E260" s="293">
        <v>18</v>
      </c>
      <c r="F260" s="293" t="s">
        <v>494</v>
      </c>
      <c r="G260" s="293" t="s">
        <v>495</v>
      </c>
      <c r="H260" s="294">
        <v>2</v>
      </c>
      <c r="I260" s="295">
        <v>9</v>
      </c>
      <c r="J260" s="293" t="s">
        <v>496</v>
      </c>
      <c r="K260" s="296">
        <f t="shared" si="38"/>
        <v>324</v>
      </c>
      <c r="L260" s="291" t="s">
        <v>749</v>
      </c>
      <c r="M260" s="345" t="s">
        <v>750</v>
      </c>
      <c r="N260" t="s">
        <v>751</v>
      </c>
    </row>
    <row r="261" s="274" customFormat="1" spans="1:19">
      <c r="A261" s="290">
        <v>45089</v>
      </c>
      <c r="B261" s="274" t="s">
        <v>508</v>
      </c>
      <c r="C261" s="311" t="s">
        <v>517</v>
      </c>
      <c r="D261" s="274" t="s">
        <v>80</v>
      </c>
      <c r="E261" s="293">
        <v>20</v>
      </c>
      <c r="F261" s="293" t="s">
        <v>494</v>
      </c>
      <c r="G261" s="293" t="s">
        <v>495</v>
      </c>
      <c r="H261" s="294">
        <v>1</v>
      </c>
      <c r="I261" s="274">
        <v>21.5</v>
      </c>
      <c r="J261" s="293" t="s">
        <v>496</v>
      </c>
      <c r="K261" s="296">
        <f t="shared" si="38"/>
        <v>430</v>
      </c>
      <c r="L261" s="291" t="s">
        <v>518</v>
      </c>
      <c r="M261" s="274">
        <f>SUM(K257:K261)</f>
        <v>3321</v>
      </c>
      <c r="N261" s="298" t="s">
        <v>498</v>
      </c>
      <c r="O261" s="274" t="s">
        <v>499</v>
      </c>
      <c r="P261" s="274">
        <v>21.5</v>
      </c>
      <c r="Q261" s="274">
        <f t="shared" ref="Q261:Q265" si="39">SUM(E261*H261*P261)</f>
        <v>430</v>
      </c>
      <c r="R261" s="274">
        <f>SUBTOTAL(9,Q233:Q265)</f>
        <v>23497.5</v>
      </c>
    </row>
    <row r="262" s="224" customFormat="1" ht="18" customHeight="1" spans="1:19">
      <c r="A262" s="299">
        <v>45097</v>
      </c>
      <c r="B262" s="224" t="s">
        <v>416</v>
      </c>
      <c r="C262" s="305" t="s">
        <v>697</v>
      </c>
      <c r="D262" s="306" t="s">
        <v>698</v>
      </c>
      <c r="E262" s="301">
        <v>25</v>
      </c>
      <c r="F262" s="301" t="s">
        <v>494</v>
      </c>
      <c r="G262" s="301" t="s">
        <v>495</v>
      </c>
      <c r="H262" s="302">
        <v>4</v>
      </c>
      <c r="I262" s="307">
        <v>17</v>
      </c>
      <c r="J262" s="301" t="s">
        <v>496</v>
      </c>
      <c r="K262" s="303">
        <f t="shared" si="38"/>
        <v>1700</v>
      </c>
      <c r="L262" s="305" t="s">
        <v>496</v>
      </c>
      <c r="M262" s="308"/>
      <c r="N262" s="304" t="s">
        <v>498</v>
      </c>
      <c r="O262" s="224" t="s">
        <v>533</v>
      </c>
      <c r="P262" s="307">
        <v>17</v>
      </c>
      <c r="Q262" s="224">
        <f t="shared" si="39"/>
        <v>1700</v>
      </c>
    </row>
    <row r="263" s="224" customFormat="1" ht="18" customHeight="1" spans="1:19">
      <c r="A263" s="299">
        <v>45097</v>
      </c>
      <c r="B263" s="224" t="s">
        <v>416</v>
      </c>
      <c r="C263" s="305" t="s">
        <v>697</v>
      </c>
      <c r="D263" s="306" t="s">
        <v>698</v>
      </c>
      <c r="E263" s="301">
        <v>26</v>
      </c>
      <c r="F263" s="301" t="s">
        <v>494</v>
      </c>
      <c r="G263" s="301" t="s">
        <v>495</v>
      </c>
      <c r="H263" s="302">
        <v>1</v>
      </c>
      <c r="I263" s="307">
        <v>17</v>
      </c>
      <c r="J263" s="301" t="s">
        <v>496</v>
      </c>
      <c r="K263" s="303">
        <f t="shared" si="38"/>
        <v>442</v>
      </c>
      <c r="L263" s="305" t="s">
        <v>496</v>
      </c>
      <c r="M263" s="308"/>
      <c r="N263" s="304" t="s">
        <v>498</v>
      </c>
      <c r="O263" s="224" t="s">
        <v>533</v>
      </c>
      <c r="P263" s="307">
        <v>17</v>
      </c>
      <c r="Q263" s="224">
        <f t="shared" si="39"/>
        <v>442</v>
      </c>
    </row>
    <row r="264" s="224" customFormat="1" ht="18" customHeight="1" spans="1:19">
      <c r="A264" s="299">
        <v>45097</v>
      </c>
      <c r="B264" s="224" t="s">
        <v>416</v>
      </c>
      <c r="C264" s="305" t="s">
        <v>9</v>
      </c>
      <c r="D264" s="306" t="s">
        <v>10</v>
      </c>
      <c r="E264" s="301">
        <v>10</v>
      </c>
      <c r="F264" s="301" t="s">
        <v>494</v>
      </c>
      <c r="G264" s="301" t="s">
        <v>495</v>
      </c>
      <c r="H264" s="302">
        <v>6</v>
      </c>
      <c r="I264" s="307">
        <v>17</v>
      </c>
      <c r="J264" s="301" t="s">
        <v>496</v>
      </c>
      <c r="K264" s="303">
        <f t="shared" si="38"/>
        <v>1020</v>
      </c>
      <c r="L264" s="305" t="s">
        <v>585</v>
      </c>
      <c r="M264" s="308">
        <f>SUM(K262:K264)</f>
        <v>3162</v>
      </c>
      <c r="N264" s="304" t="s">
        <v>498</v>
      </c>
      <c r="O264" s="224" t="s">
        <v>533</v>
      </c>
      <c r="P264" s="307">
        <v>17</v>
      </c>
      <c r="Q264" s="224">
        <f t="shared" si="39"/>
        <v>1020</v>
      </c>
    </row>
    <row r="265" s="274" customFormat="1" spans="1:19">
      <c r="A265" s="290">
        <v>45100</v>
      </c>
      <c r="B265" s="274" t="s">
        <v>752</v>
      </c>
      <c r="C265" s="274" t="s">
        <v>679</v>
      </c>
      <c r="D265" s="274" t="s">
        <v>680</v>
      </c>
      <c r="E265" s="293">
        <v>20</v>
      </c>
      <c r="F265" s="293" t="s">
        <v>494</v>
      </c>
      <c r="G265" s="293" t="s">
        <v>495</v>
      </c>
      <c r="H265" s="294">
        <v>-1</v>
      </c>
      <c r="I265" s="295">
        <v>22</v>
      </c>
      <c r="J265" s="293" t="s">
        <v>496</v>
      </c>
      <c r="K265" s="346">
        <f t="shared" si="38"/>
        <v>-440</v>
      </c>
      <c r="L265" s="274" t="s">
        <v>753</v>
      </c>
      <c r="M265" s="297"/>
      <c r="N265" s="298" t="s">
        <v>498</v>
      </c>
      <c r="O265" s="274" t="s">
        <v>247</v>
      </c>
      <c r="P265" s="295">
        <v>22</v>
      </c>
      <c r="Q265" s="274">
        <f t="shared" si="39"/>
        <v>-440</v>
      </c>
    </row>
    <row r="266" s="224" customFormat="1" spans="1:19">
      <c r="A266" s="299">
        <v>45103</v>
      </c>
      <c r="B266" s="224" t="s">
        <v>596</v>
      </c>
      <c r="C266" s="224" t="s">
        <v>733</v>
      </c>
      <c r="D266" s="224" t="s">
        <v>734</v>
      </c>
      <c r="E266" s="307">
        <v>24</v>
      </c>
      <c r="F266" s="301" t="s">
        <v>494</v>
      </c>
      <c r="G266" s="301" t="s">
        <v>495</v>
      </c>
      <c r="H266" s="302">
        <v>3</v>
      </c>
      <c r="I266" s="307">
        <v>17</v>
      </c>
      <c r="J266" s="301" t="s">
        <v>496</v>
      </c>
      <c r="K266" s="303">
        <f t="shared" si="38"/>
        <v>1224</v>
      </c>
      <c r="L266" s="305" t="s">
        <v>496</v>
      </c>
      <c r="N266" s="304" t="s">
        <v>498</v>
      </c>
      <c r="O266" s="224" t="s">
        <v>499</v>
      </c>
      <c r="P266" s="307">
        <v>17</v>
      </c>
    </row>
    <row r="267" s="224" customFormat="1" spans="1:19">
      <c r="A267" s="299">
        <v>45103</v>
      </c>
      <c r="B267" s="224" t="s">
        <v>596</v>
      </c>
      <c r="C267" s="315" t="s">
        <v>716</v>
      </c>
      <c r="D267" s="224" t="s">
        <v>702</v>
      </c>
      <c r="E267" s="301">
        <v>20</v>
      </c>
      <c r="F267" s="301" t="s">
        <v>494</v>
      </c>
      <c r="G267" s="301" t="s">
        <v>495</v>
      </c>
      <c r="H267" s="302">
        <v>8</v>
      </c>
      <c r="I267" s="307">
        <v>21.5</v>
      </c>
      <c r="J267" s="301" t="s">
        <v>496</v>
      </c>
      <c r="K267" s="303">
        <f t="shared" si="38"/>
        <v>3440</v>
      </c>
      <c r="L267" s="305" t="s">
        <v>717</v>
      </c>
      <c r="N267" s="304" t="s">
        <v>498</v>
      </c>
      <c r="O267" s="224" t="s">
        <v>499</v>
      </c>
      <c r="P267" s="307">
        <v>21.5</v>
      </c>
      <c r="Q267" s="224">
        <f t="shared" ref="Q267:Q273" si="40">SUM(E267*H267*P267)</f>
        <v>3440</v>
      </c>
    </row>
    <row r="268" s="224" customFormat="1" spans="1:19">
      <c r="A268" s="299">
        <v>45103</v>
      </c>
      <c r="B268" s="224" t="s">
        <v>596</v>
      </c>
      <c r="C268" s="315" t="s">
        <v>49</v>
      </c>
      <c r="D268" s="224" t="s">
        <v>50</v>
      </c>
      <c r="E268" s="301">
        <v>25</v>
      </c>
      <c r="F268" s="301" t="s">
        <v>494</v>
      </c>
      <c r="G268" s="301" t="s">
        <v>495</v>
      </c>
      <c r="H268" s="302">
        <v>6</v>
      </c>
      <c r="I268" s="307">
        <v>17</v>
      </c>
      <c r="J268" s="301" t="s">
        <v>496</v>
      </c>
      <c r="K268" s="303">
        <f t="shared" si="38"/>
        <v>2550</v>
      </c>
      <c r="L268" s="305" t="s">
        <v>681</v>
      </c>
      <c r="N268" s="304" t="s">
        <v>498</v>
      </c>
      <c r="O268" s="224" t="s">
        <v>499</v>
      </c>
      <c r="P268" s="307">
        <v>21.5</v>
      </c>
      <c r="Q268" s="224">
        <f t="shared" si="40"/>
        <v>3225</v>
      </c>
    </row>
    <row r="269" s="224" customFormat="1" ht="18" customHeight="1" spans="1:19">
      <c r="A269" s="299">
        <v>45103</v>
      </c>
      <c r="B269" s="224" t="s">
        <v>596</v>
      </c>
      <c r="C269" s="305" t="s">
        <v>493</v>
      </c>
      <c r="D269" s="306" t="s">
        <v>268</v>
      </c>
      <c r="E269" s="301">
        <v>35</v>
      </c>
      <c r="F269" s="301" t="s">
        <v>494</v>
      </c>
      <c r="G269" s="301" t="s">
        <v>495</v>
      </c>
      <c r="H269" s="302">
        <v>10</v>
      </c>
      <c r="I269" s="307">
        <v>9</v>
      </c>
      <c r="J269" s="301" t="s">
        <v>496</v>
      </c>
      <c r="K269" s="303">
        <f t="shared" si="38"/>
        <v>3150</v>
      </c>
      <c r="L269" s="305" t="s">
        <v>497</v>
      </c>
      <c r="M269" s="308"/>
      <c r="N269" s="304" t="s">
        <v>498</v>
      </c>
      <c r="O269" s="224" t="s">
        <v>499</v>
      </c>
      <c r="P269" s="307">
        <v>9</v>
      </c>
      <c r="Q269" s="224">
        <f t="shared" si="40"/>
        <v>3150</v>
      </c>
    </row>
    <row r="270" s="224" customFormat="1" ht="18" customHeight="1" spans="1:19">
      <c r="A270" s="299">
        <v>45103</v>
      </c>
      <c r="B270" s="224" t="s">
        <v>596</v>
      </c>
      <c r="C270" s="305" t="s">
        <v>522</v>
      </c>
      <c r="D270" s="306" t="s">
        <v>523</v>
      </c>
      <c r="E270" s="301">
        <v>25</v>
      </c>
      <c r="F270" s="301" t="s">
        <v>494</v>
      </c>
      <c r="G270" s="301" t="s">
        <v>495</v>
      </c>
      <c r="H270" s="302">
        <v>2</v>
      </c>
      <c r="I270" s="307">
        <v>12</v>
      </c>
      <c r="J270" s="301" t="s">
        <v>496</v>
      </c>
      <c r="K270" s="303">
        <f t="shared" si="38"/>
        <v>600</v>
      </c>
      <c r="L270" s="305" t="s">
        <v>661</v>
      </c>
      <c r="M270" s="308">
        <f>SUM(K266:K270)</f>
        <v>10964</v>
      </c>
      <c r="N270" s="304" t="s">
        <v>498</v>
      </c>
      <c r="O270" s="224" t="s">
        <v>499</v>
      </c>
      <c r="P270" s="224">
        <v>12</v>
      </c>
      <c r="Q270" s="224">
        <f t="shared" si="40"/>
        <v>600</v>
      </c>
      <c r="R270" s="224">
        <f>SUM(Q269:Q270)</f>
        <v>3750</v>
      </c>
    </row>
    <row r="271" s="274" customFormat="1" spans="1:19">
      <c r="A271" s="290">
        <v>45103</v>
      </c>
      <c r="B271" s="274" t="s">
        <v>754</v>
      </c>
      <c r="C271" s="312"/>
      <c r="D271" s="274" t="s">
        <v>86</v>
      </c>
      <c r="E271" s="293">
        <v>25</v>
      </c>
      <c r="F271" s="293" t="s">
        <v>494</v>
      </c>
      <c r="G271" s="293" t="s">
        <v>495</v>
      </c>
      <c r="H271" s="294">
        <v>5</v>
      </c>
      <c r="I271" s="295">
        <v>17</v>
      </c>
      <c r="J271" s="293" t="s">
        <v>496</v>
      </c>
      <c r="K271" s="296">
        <f t="shared" si="38"/>
        <v>2125</v>
      </c>
      <c r="L271" s="291" t="s">
        <v>748</v>
      </c>
      <c r="N271" s="298" t="s">
        <v>498</v>
      </c>
      <c r="O271" s="274" t="s">
        <v>499</v>
      </c>
      <c r="P271" s="295">
        <v>17</v>
      </c>
      <c r="Q271" s="274">
        <f t="shared" si="40"/>
        <v>2125</v>
      </c>
    </row>
    <row r="272" s="274" customFormat="1" spans="1:19">
      <c r="A272" s="290">
        <v>45103</v>
      </c>
      <c r="B272" s="274" t="s">
        <v>754</v>
      </c>
      <c r="C272" s="312" t="s">
        <v>542</v>
      </c>
      <c r="D272" s="274" t="s">
        <v>543</v>
      </c>
      <c r="E272" s="293">
        <v>25</v>
      </c>
      <c r="F272" s="293" t="s">
        <v>494</v>
      </c>
      <c r="G272" s="293" t="s">
        <v>495</v>
      </c>
      <c r="H272" s="294">
        <v>1</v>
      </c>
      <c r="I272" s="295">
        <v>17</v>
      </c>
      <c r="J272" s="293" t="s">
        <v>496</v>
      </c>
      <c r="K272" s="296">
        <f t="shared" si="38"/>
        <v>425</v>
      </c>
      <c r="L272" s="274" t="s">
        <v>544</v>
      </c>
      <c r="N272" s="298" t="s">
        <v>498</v>
      </c>
      <c r="O272" s="274" t="s">
        <v>499</v>
      </c>
      <c r="P272" s="295">
        <v>17</v>
      </c>
      <c r="Q272" s="274">
        <f t="shared" si="40"/>
        <v>425</v>
      </c>
      <c r="R272" s="274">
        <v>2873</v>
      </c>
    </row>
    <row r="273" s="274" customFormat="1" spans="1:20">
      <c r="A273" s="290">
        <v>45103</v>
      </c>
      <c r="B273" s="274" t="s">
        <v>754</v>
      </c>
      <c r="C273" s="312" t="s">
        <v>545</v>
      </c>
      <c r="D273" s="274" t="s">
        <v>546</v>
      </c>
      <c r="E273" s="293">
        <v>23</v>
      </c>
      <c r="F273" s="293" t="s">
        <v>494</v>
      </c>
      <c r="G273" s="293" t="s">
        <v>495</v>
      </c>
      <c r="H273" s="294">
        <v>2</v>
      </c>
      <c r="I273" s="295">
        <v>17</v>
      </c>
      <c r="J273" s="293" t="s">
        <v>496</v>
      </c>
      <c r="K273" s="296">
        <f t="shared" si="38"/>
        <v>782</v>
      </c>
      <c r="L273" s="274" t="s">
        <v>544</v>
      </c>
      <c r="M273" s="274">
        <f>SUM(K270:K273)</f>
        <v>3932</v>
      </c>
      <c r="N273" s="298" t="s">
        <v>498</v>
      </c>
      <c r="O273" s="274" t="s">
        <v>499</v>
      </c>
      <c r="P273" s="295">
        <v>17</v>
      </c>
      <c r="Q273" s="274">
        <f t="shared" si="40"/>
        <v>782</v>
      </c>
      <c r="R273" s="274">
        <v>2873</v>
      </c>
    </row>
    <row r="274" s="224" customFormat="1" ht="18" customHeight="1" spans="1:20">
      <c r="A274" s="299">
        <v>45079</v>
      </c>
      <c r="B274" s="224" t="s">
        <v>500</v>
      </c>
      <c r="C274" s="305" t="s">
        <v>578</v>
      </c>
      <c r="D274" s="306" t="s">
        <v>165</v>
      </c>
      <c r="E274" s="301">
        <v>20</v>
      </c>
      <c r="F274" s="301" t="s">
        <v>494</v>
      </c>
      <c r="G274" s="301" t="s">
        <v>495</v>
      </c>
      <c r="H274" s="302">
        <v>1</v>
      </c>
      <c r="I274" s="307">
        <v>21.5</v>
      </c>
      <c r="J274" s="301" t="s">
        <v>496</v>
      </c>
      <c r="K274" s="303">
        <f t="shared" si="38"/>
        <v>430</v>
      </c>
      <c r="L274" s="305" t="s">
        <v>496</v>
      </c>
      <c r="M274" s="308"/>
      <c r="N274" s="304" t="s">
        <v>498</v>
      </c>
      <c r="O274" s="224" t="s">
        <v>533</v>
      </c>
      <c r="P274" s="307">
        <v>21.5</v>
      </c>
    </row>
    <row r="275" s="274" customFormat="1" ht="18" customHeight="1" spans="1:20">
      <c r="A275" s="290">
        <v>45108</v>
      </c>
      <c r="B275" s="274" t="s">
        <v>11</v>
      </c>
      <c r="C275" s="291" t="s">
        <v>578</v>
      </c>
      <c r="D275" s="292" t="s">
        <v>165</v>
      </c>
      <c r="E275" s="293">
        <v>21</v>
      </c>
      <c r="F275" s="293" t="s">
        <v>494</v>
      </c>
      <c r="G275" s="293" t="s">
        <v>495</v>
      </c>
      <c r="H275" s="294">
        <v>1</v>
      </c>
      <c r="I275" s="295">
        <v>21.5</v>
      </c>
      <c r="J275" s="293" t="s">
        <v>496</v>
      </c>
      <c r="K275" s="303">
        <f t="shared" si="38"/>
        <v>451.5</v>
      </c>
      <c r="L275" s="291" t="s">
        <v>580</v>
      </c>
      <c r="M275" s="297"/>
      <c r="N275" s="298" t="s">
        <v>498</v>
      </c>
      <c r="O275" s="274" t="s">
        <v>533</v>
      </c>
      <c r="P275" s="295"/>
    </row>
    <row r="276" s="274" customFormat="1" spans="1:20">
      <c r="A276" s="290">
        <v>45108</v>
      </c>
      <c r="B276" s="274" t="s">
        <v>11</v>
      </c>
      <c r="C276" s="274" t="s">
        <v>12</v>
      </c>
      <c r="D276" s="274" t="s">
        <v>13</v>
      </c>
      <c r="E276" s="293">
        <v>20</v>
      </c>
      <c r="F276" s="293" t="s">
        <v>494</v>
      </c>
      <c r="G276" s="293" t="s">
        <v>495</v>
      </c>
      <c r="H276" s="294">
        <v>1</v>
      </c>
      <c r="I276" s="295">
        <v>21.5</v>
      </c>
      <c r="J276" s="293" t="s">
        <v>496</v>
      </c>
      <c r="K276" s="303">
        <f t="shared" si="38"/>
        <v>430</v>
      </c>
      <c r="L276" s="274" t="s">
        <v>583</v>
      </c>
      <c r="M276" s="297"/>
      <c r="N276" s="298" t="s">
        <v>498</v>
      </c>
      <c r="O276" s="274" t="s">
        <v>533</v>
      </c>
      <c r="P276" s="295">
        <v>21.5</v>
      </c>
      <c r="Q276" s="274">
        <v>430</v>
      </c>
    </row>
    <row r="277" s="274" customFormat="1" ht="18" customHeight="1" spans="1:20">
      <c r="A277" s="290">
        <v>45108</v>
      </c>
      <c r="B277" s="274" t="s">
        <v>11</v>
      </c>
      <c r="C277" s="291" t="s">
        <v>83</v>
      </c>
      <c r="D277" s="292" t="s">
        <v>84</v>
      </c>
      <c r="E277" s="293">
        <v>20</v>
      </c>
      <c r="F277" s="293" t="s">
        <v>494</v>
      </c>
      <c r="G277" s="293" t="s">
        <v>495</v>
      </c>
      <c r="H277" s="294">
        <v>1</v>
      </c>
      <c r="I277" s="295">
        <v>17</v>
      </c>
      <c r="J277" s="293" t="s">
        <v>496</v>
      </c>
      <c r="K277" s="303">
        <f t="shared" si="38"/>
        <v>340</v>
      </c>
      <c r="L277" s="291" t="s">
        <v>496</v>
      </c>
      <c r="M277" s="297"/>
      <c r="N277" s="298" t="s">
        <v>498</v>
      </c>
      <c r="O277" s="274" t="s">
        <v>533</v>
      </c>
      <c r="P277" s="295">
        <v>17</v>
      </c>
      <c r="Q277" s="274">
        <f t="shared" ref="Q277:Q283" si="41">SUM(E277*H277*P277)</f>
        <v>340</v>
      </c>
    </row>
    <row r="278" s="274" customFormat="1" spans="1:20">
      <c r="A278" s="290">
        <v>45108</v>
      </c>
      <c r="B278" s="274" t="s">
        <v>11</v>
      </c>
      <c r="D278" s="274" t="s">
        <v>657</v>
      </c>
      <c r="E278" s="293">
        <v>18</v>
      </c>
      <c r="F278" s="293" t="s">
        <v>494</v>
      </c>
      <c r="G278" s="293" t="s">
        <v>495</v>
      </c>
      <c r="H278" s="294">
        <v>1</v>
      </c>
      <c r="I278" s="295">
        <v>9.5</v>
      </c>
      <c r="J278" s="293" t="s">
        <v>496</v>
      </c>
      <c r="K278" s="303">
        <f t="shared" si="38"/>
        <v>171</v>
      </c>
      <c r="L278" s="291" t="s">
        <v>558</v>
      </c>
      <c r="M278" s="297">
        <f>SUM(K275:K278)</f>
        <v>1392.5</v>
      </c>
      <c r="N278" s="298" t="s">
        <v>498</v>
      </c>
      <c r="O278" s="274" t="s">
        <v>533</v>
      </c>
      <c r="P278" s="295">
        <v>9.5</v>
      </c>
      <c r="Q278" s="274">
        <f t="shared" si="41"/>
        <v>171</v>
      </c>
      <c r="R278" s="274">
        <f>SUM(Q271:Q278)</f>
        <v>4273</v>
      </c>
      <c r="S278" s="274" t="s">
        <v>658</v>
      </c>
      <c r="T278" s="274" t="s">
        <v>271</v>
      </c>
    </row>
    <row r="279" s="224" customFormat="1" ht="18" customHeight="1" spans="1:20">
      <c r="A279" s="299">
        <v>45113</v>
      </c>
      <c r="B279" s="224" t="s">
        <v>755</v>
      </c>
      <c r="C279" s="305" t="s">
        <v>493</v>
      </c>
      <c r="D279" s="306" t="s">
        <v>268</v>
      </c>
      <c r="E279" s="301">
        <v>35</v>
      </c>
      <c r="F279" s="301" t="s">
        <v>494</v>
      </c>
      <c r="G279" s="301" t="s">
        <v>495</v>
      </c>
      <c r="H279" s="302">
        <v>10</v>
      </c>
      <c r="I279" s="307">
        <v>9</v>
      </c>
      <c r="J279" s="301" t="s">
        <v>496</v>
      </c>
      <c r="K279" s="303">
        <f t="shared" si="38"/>
        <v>3150</v>
      </c>
      <c r="L279" s="305" t="s">
        <v>497</v>
      </c>
      <c r="M279" s="308"/>
      <c r="N279" s="304" t="s">
        <v>498</v>
      </c>
      <c r="O279" s="224" t="s">
        <v>499</v>
      </c>
      <c r="P279" s="307">
        <v>9</v>
      </c>
      <c r="Q279" s="224">
        <f t="shared" si="41"/>
        <v>3150</v>
      </c>
    </row>
    <row r="280" s="224" customFormat="1" ht="18" customHeight="1" spans="1:20">
      <c r="A280" s="299">
        <v>45113</v>
      </c>
      <c r="B280" s="224" t="s">
        <v>755</v>
      </c>
      <c r="C280" s="305" t="s">
        <v>756</v>
      </c>
      <c r="D280" s="306" t="s">
        <v>60</v>
      </c>
      <c r="E280" s="301">
        <v>25</v>
      </c>
      <c r="F280" s="301" t="s">
        <v>494</v>
      </c>
      <c r="G280" s="301" t="s">
        <v>495</v>
      </c>
      <c r="H280" s="302">
        <v>2</v>
      </c>
      <c r="I280" s="307">
        <v>12.5</v>
      </c>
      <c r="J280" s="301" t="s">
        <v>496</v>
      </c>
      <c r="K280" s="303">
        <f t="shared" si="38"/>
        <v>625</v>
      </c>
      <c r="L280" s="305" t="s">
        <v>757</v>
      </c>
      <c r="M280" s="308"/>
      <c r="N280" s="304" t="s">
        <v>498</v>
      </c>
      <c r="O280" s="224" t="s">
        <v>499</v>
      </c>
      <c r="P280" s="307">
        <v>9</v>
      </c>
      <c r="Q280" s="224">
        <f t="shared" si="41"/>
        <v>450</v>
      </c>
    </row>
    <row r="281" s="224" customFormat="1" ht="18" customHeight="1" spans="1:20">
      <c r="A281" s="299">
        <v>45113</v>
      </c>
      <c r="B281" s="224" t="s">
        <v>755</v>
      </c>
      <c r="C281" s="305" t="s">
        <v>522</v>
      </c>
      <c r="D281" s="306" t="s">
        <v>523</v>
      </c>
      <c r="E281" s="301">
        <v>25</v>
      </c>
      <c r="F281" s="301" t="s">
        <v>494</v>
      </c>
      <c r="G281" s="301" t="s">
        <v>495</v>
      </c>
      <c r="H281" s="302">
        <v>2</v>
      </c>
      <c r="I281" s="307">
        <v>12</v>
      </c>
      <c r="J281" s="301" t="s">
        <v>496</v>
      </c>
      <c r="K281" s="303">
        <f t="shared" si="38"/>
        <v>600</v>
      </c>
      <c r="L281" s="305" t="s">
        <v>661</v>
      </c>
      <c r="M281" s="308">
        <f>SUM(K276:K281)</f>
        <v>5316</v>
      </c>
      <c r="N281" s="304" t="s">
        <v>498</v>
      </c>
      <c r="O281" s="224" t="s">
        <v>499</v>
      </c>
      <c r="P281" s="224">
        <v>12</v>
      </c>
      <c r="Q281" s="224">
        <f t="shared" si="41"/>
        <v>600</v>
      </c>
      <c r="R281" s="224">
        <f>SUM(Q279:Q281)</f>
        <v>4200</v>
      </c>
    </row>
    <row r="282" s="274" customFormat="1" spans="1:20">
      <c r="A282" s="290">
        <v>45115</v>
      </c>
      <c r="B282" s="274" t="s">
        <v>576</v>
      </c>
      <c r="D282" s="274" t="s">
        <v>96</v>
      </c>
      <c r="E282" s="293">
        <v>25</v>
      </c>
      <c r="F282" s="293" t="s">
        <v>494</v>
      </c>
      <c r="G282" s="293" t="s">
        <v>495</v>
      </c>
      <c r="H282" s="294">
        <v>2</v>
      </c>
      <c r="I282" s="295">
        <v>15</v>
      </c>
      <c r="J282" s="293" t="s">
        <v>496</v>
      </c>
      <c r="K282" s="296">
        <f t="shared" si="38"/>
        <v>750</v>
      </c>
      <c r="L282" s="274" t="s">
        <v>694</v>
      </c>
      <c r="M282" s="297"/>
      <c r="N282" s="298" t="s">
        <v>498</v>
      </c>
      <c r="O282" s="274" t="s">
        <v>505</v>
      </c>
      <c r="P282" s="295">
        <v>21.5</v>
      </c>
      <c r="Q282" s="274">
        <f t="shared" si="41"/>
        <v>1075</v>
      </c>
    </row>
    <row r="283" s="274" customFormat="1" ht="18" customHeight="1" spans="1:20">
      <c r="A283" s="290">
        <v>45115</v>
      </c>
      <c r="B283" s="274" t="s">
        <v>576</v>
      </c>
      <c r="C283" s="291" t="s">
        <v>506</v>
      </c>
      <c r="D283" s="292" t="s">
        <v>10</v>
      </c>
      <c r="E283" s="293">
        <v>10</v>
      </c>
      <c r="F283" s="293" t="s">
        <v>494</v>
      </c>
      <c r="G283" s="293" t="s">
        <v>495</v>
      </c>
      <c r="H283" s="294">
        <v>3</v>
      </c>
      <c r="I283" s="295">
        <v>15</v>
      </c>
      <c r="J283" s="293" t="s">
        <v>496</v>
      </c>
      <c r="K283" s="296">
        <f t="shared" si="38"/>
        <v>450</v>
      </c>
      <c r="L283" s="274" t="s">
        <v>624</v>
      </c>
      <c r="M283" s="297">
        <f>SUM(K281:K283)</f>
        <v>1800</v>
      </c>
      <c r="N283" s="298" t="s">
        <v>498</v>
      </c>
      <c r="O283" s="274" t="s">
        <v>505</v>
      </c>
      <c r="P283" s="295">
        <v>21.5</v>
      </c>
      <c r="Q283" s="274">
        <f t="shared" si="41"/>
        <v>645</v>
      </c>
      <c r="R283" s="274">
        <f>SUM(Q281:Q283)</f>
        <v>2320</v>
      </c>
    </row>
    <row r="284" s="224" customFormat="1" spans="1:20">
      <c r="A284" s="299">
        <v>45118</v>
      </c>
      <c r="B284" s="224" t="s">
        <v>133</v>
      </c>
      <c r="C284" s="315" t="s">
        <v>567</v>
      </c>
      <c r="D284" s="224" t="s">
        <v>568</v>
      </c>
      <c r="E284" s="301">
        <v>20</v>
      </c>
      <c r="F284" s="301" t="s">
        <v>494</v>
      </c>
      <c r="G284" s="301" t="s">
        <v>495</v>
      </c>
      <c r="H284" s="302">
        <v>2</v>
      </c>
      <c r="I284" s="307">
        <v>21.5</v>
      </c>
      <c r="J284" s="301" t="s">
        <v>496</v>
      </c>
      <c r="K284" s="303">
        <f t="shared" si="38"/>
        <v>860</v>
      </c>
      <c r="L284" s="305" t="s">
        <v>569</v>
      </c>
      <c r="N284" s="304" t="s">
        <v>498</v>
      </c>
      <c r="O284" s="224" t="s">
        <v>499</v>
      </c>
      <c r="P284" s="307">
        <v>21.5</v>
      </c>
      <c r="Q284" s="224">
        <v>774</v>
      </c>
    </row>
    <row r="285" s="224" customFormat="1" spans="1:20">
      <c r="A285" s="299">
        <v>45118</v>
      </c>
      <c r="B285" s="224" t="s">
        <v>133</v>
      </c>
      <c r="C285" s="224" t="s">
        <v>21</v>
      </c>
      <c r="D285" s="224" t="s">
        <v>582</v>
      </c>
      <c r="E285" s="301">
        <v>18</v>
      </c>
      <c r="F285" s="301" t="s">
        <v>494</v>
      </c>
      <c r="G285" s="301" t="s">
        <v>495</v>
      </c>
      <c r="H285" s="302">
        <v>1</v>
      </c>
      <c r="I285" s="307">
        <v>21.5</v>
      </c>
      <c r="J285" s="301" t="s">
        <v>496</v>
      </c>
      <c r="K285" s="303">
        <f t="shared" si="38"/>
        <v>387</v>
      </c>
      <c r="L285" s="224" t="s">
        <v>694</v>
      </c>
      <c r="M285" s="308"/>
      <c r="N285" s="304" t="s">
        <v>498</v>
      </c>
      <c r="O285" s="224" t="s">
        <v>499</v>
      </c>
      <c r="P285" s="307">
        <v>17</v>
      </c>
      <c r="Q285" s="224">
        <f t="shared" ref="Q285:Q290" si="42">SUM(E285*H285*P285)</f>
        <v>306</v>
      </c>
    </row>
    <row r="286" s="224" customFormat="1" spans="1:20">
      <c r="A286" s="299">
        <v>45118</v>
      </c>
      <c r="B286" s="224" t="s">
        <v>133</v>
      </c>
      <c r="C286" s="224" t="s">
        <v>21</v>
      </c>
      <c r="D286" s="224" t="s">
        <v>22</v>
      </c>
      <c r="E286" s="301">
        <v>18</v>
      </c>
      <c r="F286" s="301" t="s">
        <v>494</v>
      </c>
      <c r="G286" s="301" t="s">
        <v>495</v>
      </c>
      <c r="H286" s="302">
        <v>1</v>
      </c>
      <c r="I286" s="307">
        <v>9.5</v>
      </c>
      <c r="J286" s="301" t="s">
        <v>496</v>
      </c>
      <c r="K286" s="303">
        <f t="shared" si="38"/>
        <v>171</v>
      </c>
      <c r="L286" s="224" t="s">
        <v>496</v>
      </c>
      <c r="M286" s="308">
        <f>SUM(K282:K286)</f>
        <v>2618</v>
      </c>
      <c r="N286" s="304" t="s">
        <v>498</v>
      </c>
      <c r="O286" s="224" t="s">
        <v>499</v>
      </c>
      <c r="P286" s="307">
        <v>17</v>
      </c>
      <c r="Q286" s="224">
        <f t="shared" si="42"/>
        <v>306</v>
      </c>
    </row>
    <row r="287" s="224" customFormat="1" spans="1:20">
      <c r="A287" s="299">
        <v>45118</v>
      </c>
      <c r="B287" s="224" t="s">
        <v>133</v>
      </c>
      <c r="C287" s="315" t="s">
        <v>49</v>
      </c>
      <c r="D287" s="224" t="s">
        <v>50</v>
      </c>
      <c r="E287" s="301">
        <v>25</v>
      </c>
      <c r="F287" s="301" t="s">
        <v>494</v>
      </c>
      <c r="G287" s="301" t="s">
        <v>495</v>
      </c>
      <c r="H287" s="302">
        <v>5</v>
      </c>
      <c r="I287" s="307">
        <v>17</v>
      </c>
      <c r="J287" s="301" t="s">
        <v>496</v>
      </c>
      <c r="K287" s="303">
        <f t="shared" si="38"/>
        <v>2125</v>
      </c>
      <c r="L287" s="305" t="s">
        <v>681</v>
      </c>
      <c r="N287" s="304" t="s">
        <v>498</v>
      </c>
      <c r="O287" s="224" t="s">
        <v>499</v>
      </c>
      <c r="P287" s="307">
        <v>21.5</v>
      </c>
      <c r="Q287" s="224">
        <f t="shared" si="42"/>
        <v>2687.5</v>
      </c>
    </row>
    <row r="288" s="224" customFormat="1" spans="1:20">
      <c r="A288" s="299">
        <v>45118</v>
      </c>
      <c r="B288" s="224" t="s">
        <v>133</v>
      </c>
      <c r="C288" s="300" t="s">
        <v>555</v>
      </c>
      <c r="D288" s="224" t="s">
        <v>656</v>
      </c>
      <c r="E288" s="301">
        <v>20</v>
      </c>
      <c r="F288" s="301" t="s">
        <v>494</v>
      </c>
      <c r="G288" s="301" t="s">
        <v>495</v>
      </c>
      <c r="H288" s="302">
        <v>1</v>
      </c>
      <c r="I288" s="307">
        <v>17</v>
      </c>
      <c r="J288" s="301" t="s">
        <v>496</v>
      </c>
      <c r="K288" s="303">
        <f t="shared" si="38"/>
        <v>340</v>
      </c>
      <c r="L288" s="305" t="s">
        <v>496</v>
      </c>
      <c r="M288" s="308"/>
      <c r="N288" s="304" t="s">
        <v>498</v>
      </c>
      <c r="O288" s="224" t="s">
        <v>499</v>
      </c>
      <c r="P288" s="307">
        <v>17</v>
      </c>
      <c r="Q288" s="224">
        <f t="shared" si="42"/>
        <v>340</v>
      </c>
      <c r="R288" s="301"/>
      <c r="S288" s="305"/>
    </row>
    <row r="289" s="224" customFormat="1" ht="18" customHeight="1" spans="1:19">
      <c r="A289" s="299">
        <v>45118</v>
      </c>
      <c r="B289" s="224" t="s">
        <v>133</v>
      </c>
      <c r="C289" s="305" t="s">
        <v>493</v>
      </c>
      <c r="D289" s="306" t="s">
        <v>268</v>
      </c>
      <c r="E289" s="301">
        <v>35</v>
      </c>
      <c r="F289" s="301" t="s">
        <v>494</v>
      </c>
      <c r="G289" s="301" t="s">
        <v>495</v>
      </c>
      <c r="H289" s="302">
        <v>10</v>
      </c>
      <c r="I289" s="307">
        <v>9</v>
      </c>
      <c r="J289" s="301" t="s">
        <v>496</v>
      </c>
      <c r="K289" s="303">
        <f t="shared" si="38"/>
        <v>3150</v>
      </c>
      <c r="L289" s="305" t="s">
        <v>497</v>
      </c>
      <c r="M289" s="308"/>
      <c r="N289" s="304" t="s">
        <v>498</v>
      </c>
      <c r="O289" s="224" t="s">
        <v>499</v>
      </c>
      <c r="P289" s="307">
        <v>9</v>
      </c>
      <c r="Q289" s="224">
        <f t="shared" si="42"/>
        <v>3150</v>
      </c>
    </row>
    <row r="290" s="274" customFormat="1" ht="18" customHeight="1" spans="1:19">
      <c r="A290" s="290">
        <v>45124</v>
      </c>
      <c r="B290" s="274" t="s">
        <v>473</v>
      </c>
      <c r="C290" s="291" t="s">
        <v>551</v>
      </c>
      <c r="D290" s="292" t="s">
        <v>552</v>
      </c>
      <c r="E290" s="293">
        <v>18</v>
      </c>
      <c r="F290" s="293" t="s">
        <v>494</v>
      </c>
      <c r="G290" s="293" t="s">
        <v>495</v>
      </c>
      <c r="H290" s="294">
        <v>3</v>
      </c>
      <c r="I290" s="295">
        <v>6.5</v>
      </c>
      <c r="J290" s="293" t="s">
        <v>496</v>
      </c>
      <c r="K290" s="296">
        <f t="shared" si="38"/>
        <v>351</v>
      </c>
      <c r="L290" s="331" t="s">
        <v>758</v>
      </c>
      <c r="M290" s="297">
        <v>117</v>
      </c>
      <c r="N290" s="298" t="s">
        <v>498</v>
      </c>
      <c r="O290" s="274" t="s">
        <v>759</v>
      </c>
      <c r="P290" s="295"/>
      <c r="Q290" s="274">
        <f t="shared" si="42"/>
        <v>0</v>
      </c>
      <c r="S290" s="317" t="s">
        <v>538</v>
      </c>
    </row>
    <row r="291" s="224" customFormat="1" spans="1:19">
      <c r="A291" s="299">
        <v>45124</v>
      </c>
      <c r="B291" s="224" t="s">
        <v>675</v>
      </c>
      <c r="C291" s="315" t="s">
        <v>567</v>
      </c>
      <c r="D291" s="224" t="s">
        <v>568</v>
      </c>
      <c r="E291" s="301">
        <v>21</v>
      </c>
      <c r="F291" s="301" t="s">
        <v>494</v>
      </c>
      <c r="G291" s="301" t="s">
        <v>495</v>
      </c>
      <c r="H291" s="302">
        <v>1</v>
      </c>
      <c r="I291" s="307">
        <v>21.5</v>
      </c>
      <c r="J291" s="301" t="s">
        <v>496</v>
      </c>
      <c r="K291" s="303">
        <f t="shared" si="38"/>
        <v>451.5</v>
      </c>
      <c r="L291" s="305" t="s">
        <v>569</v>
      </c>
      <c r="N291" s="304" t="s">
        <v>498</v>
      </c>
      <c r="O291" s="224" t="s">
        <v>499</v>
      </c>
      <c r="P291" s="307">
        <v>21.5</v>
      </c>
      <c r="Q291" s="224">
        <v>774</v>
      </c>
    </row>
    <row r="292" s="224" customFormat="1" spans="1:19">
      <c r="A292" s="299">
        <v>45124</v>
      </c>
      <c r="B292" s="224" t="s">
        <v>675</v>
      </c>
      <c r="C292" s="224" t="s">
        <v>21</v>
      </c>
      <c r="D292" s="224" t="s">
        <v>582</v>
      </c>
      <c r="E292" s="301">
        <v>18</v>
      </c>
      <c r="F292" s="301" t="s">
        <v>494</v>
      </c>
      <c r="G292" s="301" t="s">
        <v>495</v>
      </c>
      <c r="H292" s="302">
        <v>1</v>
      </c>
      <c r="I292" s="307">
        <v>21.5</v>
      </c>
      <c r="J292" s="301" t="s">
        <v>496</v>
      </c>
      <c r="K292" s="303">
        <f t="shared" si="38"/>
        <v>387</v>
      </c>
      <c r="L292" s="224" t="s">
        <v>694</v>
      </c>
      <c r="M292" s="308"/>
      <c r="N292" s="304" t="s">
        <v>498</v>
      </c>
      <c r="O292" s="224" t="s">
        <v>499</v>
      </c>
      <c r="P292" s="307">
        <v>17</v>
      </c>
      <c r="Q292" s="224">
        <f t="shared" ref="Q292:Q307" si="43">SUM(E292*H292*P292)</f>
        <v>306</v>
      </c>
    </row>
    <row r="293" s="224" customFormat="1" spans="1:19">
      <c r="A293" s="299">
        <v>45124</v>
      </c>
      <c r="B293" s="224" t="s">
        <v>675</v>
      </c>
      <c r="C293" s="224" t="s">
        <v>21</v>
      </c>
      <c r="D293" s="224" t="s">
        <v>22</v>
      </c>
      <c r="E293" s="301">
        <v>18</v>
      </c>
      <c r="F293" s="301" t="s">
        <v>494</v>
      </c>
      <c r="G293" s="301" t="s">
        <v>495</v>
      </c>
      <c r="H293" s="302">
        <v>1</v>
      </c>
      <c r="I293" s="307">
        <v>9.5</v>
      </c>
      <c r="J293" s="301" t="s">
        <v>496</v>
      </c>
      <c r="K293" s="303">
        <f t="shared" si="38"/>
        <v>171</v>
      </c>
      <c r="L293" s="224" t="s">
        <v>496</v>
      </c>
      <c r="M293" s="308">
        <f t="shared" ref="M293:M298" si="44">SUM(K289:K293)</f>
        <v>4510.5</v>
      </c>
      <c r="N293" s="304" t="s">
        <v>498</v>
      </c>
      <c r="O293" s="224" t="s">
        <v>499</v>
      </c>
      <c r="P293" s="307">
        <v>17</v>
      </c>
      <c r="Q293" s="224">
        <f t="shared" si="43"/>
        <v>306</v>
      </c>
    </row>
    <row r="294" s="224" customFormat="1" spans="1:19">
      <c r="A294" s="299">
        <v>45124</v>
      </c>
      <c r="B294" s="224" t="s">
        <v>675</v>
      </c>
      <c r="C294" s="315" t="s">
        <v>49</v>
      </c>
      <c r="D294" s="224" t="s">
        <v>50</v>
      </c>
      <c r="E294" s="301">
        <v>25</v>
      </c>
      <c r="F294" s="301" t="s">
        <v>494</v>
      </c>
      <c r="G294" s="301" t="s">
        <v>495</v>
      </c>
      <c r="H294" s="302">
        <v>2</v>
      </c>
      <c r="I294" s="307">
        <v>17</v>
      </c>
      <c r="J294" s="301" t="s">
        <v>496</v>
      </c>
      <c r="K294" s="303">
        <f t="shared" si="38"/>
        <v>850</v>
      </c>
      <c r="L294" s="305" t="s">
        <v>681</v>
      </c>
      <c r="N294" s="304" t="s">
        <v>498</v>
      </c>
      <c r="O294" s="224" t="s">
        <v>499</v>
      </c>
      <c r="P294" s="307">
        <v>21.5</v>
      </c>
      <c r="Q294" s="224">
        <f t="shared" si="43"/>
        <v>1075</v>
      </c>
    </row>
    <row r="295" s="224" customFormat="1" spans="1:19">
      <c r="A295" s="299">
        <v>45124</v>
      </c>
      <c r="B295" s="224" t="s">
        <v>675</v>
      </c>
      <c r="C295" s="300" t="s">
        <v>542</v>
      </c>
      <c r="D295" s="224" t="s">
        <v>543</v>
      </c>
      <c r="E295" s="301">
        <v>26</v>
      </c>
      <c r="F295" s="301" t="s">
        <v>494</v>
      </c>
      <c r="G295" s="301" t="s">
        <v>495</v>
      </c>
      <c r="H295" s="302">
        <v>1</v>
      </c>
      <c r="I295" s="307">
        <v>17</v>
      </c>
      <c r="J295" s="301" t="s">
        <v>496</v>
      </c>
      <c r="K295" s="303">
        <f t="shared" si="38"/>
        <v>442</v>
      </c>
      <c r="L295" s="224" t="s">
        <v>544</v>
      </c>
      <c r="N295" s="304" t="s">
        <v>498</v>
      </c>
      <c r="O295" s="224" t="s">
        <v>499</v>
      </c>
      <c r="P295" s="307">
        <v>17</v>
      </c>
      <c r="Q295" s="224">
        <f t="shared" si="43"/>
        <v>442</v>
      </c>
      <c r="R295" s="224">
        <v>2873</v>
      </c>
    </row>
    <row r="296" s="224" customFormat="1" spans="1:19">
      <c r="A296" s="299">
        <v>45124</v>
      </c>
      <c r="B296" s="224" t="s">
        <v>675</v>
      </c>
      <c r="C296" s="300" t="s">
        <v>542</v>
      </c>
      <c r="D296" s="224" t="s">
        <v>543</v>
      </c>
      <c r="E296" s="301">
        <v>27</v>
      </c>
      <c r="F296" s="301" t="s">
        <v>494</v>
      </c>
      <c r="G296" s="301" t="s">
        <v>495</v>
      </c>
      <c r="H296" s="302">
        <v>1</v>
      </c>
      <c r="I296" s="307">
        <v>17</v>
      </c>
      <c r="J296" s="301" t="s">
        <v>496</v>
      </c>
      <c r="K296" s="303">
        <f t="shared" si="38"/>
        <v>459</v>
      </c>
      <c r="L296" s="224" t="s">
        <v>544</v>
      </c>
      <c r="N296" s="304" t="s">
        <v>498</v>
      </c>
      <c r="O296" s="224" t="s">
        <v>499</v>
      </c>
      <c r="P296" s="307">
        <v>17</v>
      </c>
      <c r="Q296" s="224">
        <f t="shared" si="43"/>
        <v>459</v>
      </c>
      <c r="R296" s="224">
        <v>2873</v>
      </c>
    </row>
    <row r="297" s="224" customFormat="1" spans="1:19">
      <c r="A297" s="299">
        <v>45124</v>
      </c>
      <c r="B297" s="224" t="s">
        <v>675</v>
      </c>
      <c r="C297" s="300" t="s">
        <v>545</v>
      </c>
      <c r="D297" s="224" t="s">
        <v>546</v>
      </c>
      <c r="E297" s="301">
        <v>24</v>
      </c>
      <c r="F297" s="301" t="s">
        <v>494</v>
      </c>
      <c r="G297" s="301" t="s">
        <v>495</v>
      </c>
      <c r="H297" s="302">
        <v>1</v>
      </c>
      <c r="I297" s="307">
        <v>17</v>
      </c>
      <c r="J297" s="301" t="s">
        <v>496</v>
      </c>
      <c r="K297" s="303">
        <f t="shared" si="38"/>
        <v>408</v>
      </c>
      <c r="L297" s="224" t="s">
        <v>544</v>
      </c>
      <c r="M297" s="224">
        <f t="shared" si="44"/>
        <v>2330</v>
      </c>
      <c r="N297" s="304" t="s">
        <v>498</v>
      </c>
      <c r="O297" s="224" t="s">
        <v>499</v>
      </c>
      <c r="P297" s="307">
        <v>17</v>
      </c>
      <c r="Q297" s="224">
        <f t="shared" si="43"/>
        <v>408</v>
      </c>
      <c r="R297" s="224">
        <v>2873</v>
      </c>
    </row>
    <row r="298" s="224" customFormat="1" spans="1:19">
      <c r="A298" s="299">
        <v>45124</v>
      </c>
      <c r="B298" s="224" t="s">
        <v>675</v>
      </c>
      <c r="C298" s="300" t="s">
        <v>545</v>
      </c>
      <c r="D298" s="224" t="s">
        <v>546</v>
      </c>
      <c r="E298" s="301">
        <v>25</v>
      </c>
      <c r="F298" s="301" t="s">
        <v>494</v>
      </c>
      <c r="G298" s="301" t="s">
        <v>495</v>
      </c>
      <c r="H298" s="302">
        <v>1</v>
      </c>
      <c r="I298" s="307">
        <v>17</v>
      </c>
      <c r="J298" s="301" t="s">
        <v>496</v>
      </c>
      <c r="K298" s="303">
        <f t="shared" si="38"/>
        <v>425</v>
      </c>
      <c r="L298" s="224" t="s">
        <v>544</v>
      </c>
      <c r="M298" s="224">
        <f t="shared" si="44"/>
        <v>2584</v>
      </c>
      <c r="N298" s="304" t="s">
        <v>498</v>
      </c>
      <c r="O298" s="224" t="s">
        <v>499</v>
      </c>
      <c r="P298" s="307">
        <v>17</v>
      </c>
      <c r="Q298" s="224">
        <f t="shared" si="43"/>
        <v>425</v>
      </c>
      <c r="R298" s="224">
        <v>2873</v>
      </c>
    </row>
    <row r="299" s="224" customFormat="1" spans="1:19">
      <c r="A299" s="299">
        <v>45124</v>
      </c>
      <c r="B299" s="224" t="s">
        <v>675</v>
      </c>
      <c r="C299" s="300" t="s">
        <v>555</v>
      </c>
      <c r="D299" s="224" t="s">
        <v>656</v>
      </c>
      <c r="E299" s="301">
        <v>20</v>
      </c>
      <c r="F299" s="301" t="s">
        <v>494</v>
      </c>
      <c r="G299" s="301" t="s">
        <v>495</v>
      </c>
      <c r="H299" s="302">
        <v>1</v>
      </c>
      <c r="I299" s="307">
        <v>17</v>
      </c>
      <c r="J299" s="301" t="s">
        <v>496</v>
      </c>
      <c r="K299" s="303">
        <f t="shared" si="38"/>
        <v>340</v>
      </c>
      <c r="L299" s="305" t="s">
        <v>496</v>
      </c>
      <c r="M299" s="308"/>
      <c r="N299" s="304" t="s">
        <v>498</v>
      </c>
      <c r="O299" s="224" t="s">
        <v>499</v>
      </c>
      <c r="P299" s="307">
        <v>17</v>
      </c>
      <c r="Q299" s="224">
        <f t="shared" si="43"/>
        <v>340</v>
      </c>
      <c r="R299" s="301"/>
      <c r="S299" s="305"/>
    </row>
    <row r="300" s="224" customFormat="1" ht="18" customHeight="1" spans="1:19">
      <c r="A300" s="299">
        <v>45124</v>
      </c>
      <c r="B300" s="224" t="s">
        <v>675</v>
      </c>
      <c r="C300" s="305" t="s">
        <v>493</v>
      </c>
      <c r="D300" s="306" t="s">
        <v>268</v>
      </c>
      <c r="E300" s="301">
        <v>35</v>
      </c>
      <c r="F300" s="301" t="s">
        <v>494</v>
      </c>
      <c r="G300" s="301" t="s">
        <v>495</v>
      </c>
      <c r="H300" s="302">
        <v>10</v>
      </c>
      <c r="I300" s="307">
        <v>9</v>
      </c>
      <c r="J300" s="301" t="s">
        <v>496</v>
      </c>
      <c r="K300" s="303">
        <f t="shared" si="38"/>
        <v>3150</v>
      </c>
      <c r="L300" s="305" t="s">
        <v>497</v>
      </c>
      <c r="M300" s="308"/>
      <c r="N300" s="304" t="s">
        <v>498</v>
      </c>
      <c r="O300" s="224" t="s">
        <v>499</v>
      </c>
      <c r="P300" s="307">
        <v>9</v>
      </c>
      <c r="Q300" s="224">
        <f t="shared" si="43"/>
        <v>3150</v>
      </c>
    </row>
    <row r="301" s="224" customFormat="1" ht="18" customHeight="1" spans="1:19">
      <c r="A301" s="299">
        <v>45124</v>
      </c>
      <c r="B301" s="224" t="s">
        <v>675</v>
      </c>
      <c r="C301" s="305" t="s">
        <v>756</v>
      </c>
      <c r="D301" s="306" t="s">
        <v>60</v>
      </c>
      <c r="E301" s="301">
        <v>25</v>
      </c>
      <c r="F301" s="301" t="s">
        <v>494</v>
      </c>
      <c r="G301" s="301" t="s">
        <v>495</v>
      </c>
      <c r="H301" s="302">
        <v>2</v>
      </c>
      <c r="I301" s="307">
        <v>12.5</v>
      </c>
      <c r="J301" s="301" t="s">
        <v>496</v>
      </c>
      <c r="K301" s="303">
        <f t="shared" si="38"/>
        <v>625</v>
      </c>
      <c r="L301" s="305" t="s">
        <v>760</v>
      </c>
      <c r="M301" s="308"/>
      <c r="N301" s="304" t="s">
        <v>498</v>
      </c>
      <c r="O301" s="224" t="s">
        <v>499</v>
      </c>
      <c r="P301" s="307">
        <v>9</v>
      </c>
      <c r="Q301" s="224">
        <f t="shared" si="43"/>
        <v>450</v>
      </c>
    </row>
    <row r="302" s="224" customFormat="1" ht="18" customHeight="1" spans="1:19">
      <c r="A302" s="299">
        <v>45124</v>
      </c>
      <c r="B302" s="224" t="s">
        <v>675</v>
      </c>
      <c r="C302" s="305" t="s">
        <v>522</v>
      </c>
      <c r="D302" s="306" t="s">
        <v>523</v>
      </c>
      <c r="E302" s="301">
        <v>25</v>
      </c>
      <c r="F302" s="301" t="s">
        <v>494</v>
      </c>
      <c r="G302" s="301" t="s">
        <v>495</v>
      </c>
      <c r="H302" s="302">
        <v>2</v>
      </c>
      <c r="I302" s="307">
        <v>12</v>
      </c>
      <c r="J302" s="301" t="s">
        <v>496</v>
      </c>
      <c r="K302" s="303">
        <f t="shared" si="38"/>
        <v>600</v>
      </c>
      <c r="L302" s="305" t="s">
        <v>661</v>
      </c>
      <c r="M302" s="308">
        <f>SUM(K293:K302)</f>
        <v>7470</v>
      </c>
      <c r="N302" s="304" t="s">
        <v>498</v>
      </c>
      <c r="O302" s="224" t="s">
        <v>499</v>
      </c>
      <c r="P302" s="224">
        <v>12</v>
      </c>
      <c r="Q302" s="224">
        <f t="shared" si="43"/>
        <v>600</v>
      </c>
      <c r="R302" s="224">
        <f>SUM(Q300:Q302)</f>
        <v>4200</v>
      </c>
    </row>
    <row r="303" s="274" customFormat="1" ht="18" customHeight="1" spans="1:19">
      <c r="A303" s="290">
        <v>45017</v>
      </c>
      <c r="B303" s="274" t="s">
        <v>56</v>
      </c>
      <c r="C303" s="291" t="s">
        <v>608</v>
      </c>
      <c r="D303" s="292" t="s">
        <v>609</v>
      </c>
      <c r="E303" s="293">
        <v>26</v>
      </c>
      <c r="F303" s="293" t="s">
        <v>494</v>
      </c>
      <c r="G303" s="293" t="s">
        <v>495</v>
      </c>
      <c r="H303" s="294">
        <v>1</v>
      </c>
      <c r="I303" s="295">
        <v>17</v>
      </c>
      <c r="J303" s="293" t="s">
        <v>496</v>
      </c>
      <c r="K303" s="296">
        <f t="shared" si="38"/>
        <v>442</v>
      </c>
      <c r="L303" s="291" t="s">
        <v>496</v>
      </c>
      <c r="M303" s="297"/>
      <c r="N303" s="298" t="s">
        <v>498</v>
      </c>
      <c r="O303" s="274" t="s">
        <v>533</v>
      </c>
      <c r="P303" s="295">
        <v>17</v>
      </c>
      <c r="Q303" s="274">
        <f t="shared" si="43"/>
        <v>442</v>
      </c>
    </row>
    <row r="304" s="274" customFormat="1" spans="1:19">
      <c r="A304" s="290">
        <v>45108</v>
      </c>
      <c r="B304" s="274" t="s">
        <v>11</v>
      </c>
      <c r="C304" s="274" t="s">
        <v>12</v>
      </c>
      <c r="D304" s="274" t="s">
        <v>13</v>
      </c>
      <c r="E304" s="293">
        <v>20</v>
      </c>
      <c r="F304" s="293" t="s">
        <v>494</v>
      </c>
      <c r="G304" s="293" t="s">
        <v>495</v>
      </c>
      <c r="H304" s="294">
        <v>1</v>
      </c>
      <c r="I304" s="295">
        <v>21.5</v>
      </c>
      <c r="J304" s="293" t="s">
        <v>496</v>
      </c>
      <c r="K304" s="303">
        <f t="shared" si="38"/>
        <v>430</v>
      </c>
      <c r="L304" s="274" t="s">
        <v>583</v>
      </c>
      <c r="M304" s="297"/>
      <c r="N304" s="298" t="s">
        <v>498</v>
      </c>
      <c r="O304" s="274" t="s">
        <v>533</v>
      </c>
      <c r="P304" s="295">
        <v>21.5</v>
      </c>
      <c r="Q304" s="274">
        <v>430</v>
      </c>
    </row>
    <row r="305" s="274" customFormat="1" spans="1:20">
      <c r="A305" s="290">
        <v>45108</v>
      </c>
      <c r="B305" s="274" t="s">
        <v>11</v>
      </c>
      <c r="D305" s="274" t="s">
        <v>657</v>
      </c>
      <c r="E305" s="293">
        <v>18</v>
      </c>
      <c r="F305" s="293" t="s">
        <v>494</v>
      </c>
      <c r="G305" s="293" t="s">
        <v>495</v>
      </c>
      <c r="H305" s="294">
        <v>1</v>
      </c>
      <c r="I305" s="295">
        <v>9.5</v>
      </c>
      <c r="J305" s="293" t="s">
        <v>496</v>
      </c>
      <c r="K305" s="303">
        <f t="shared" si="38"/>
        <v>171</v>
      </c>
      <c r="L305" s="291" t="s">
        <v>558</v>
      </c>
      <c r="M305" s="297">
        <f>SUM(K303:K305)</f>
        <v>1043</v>
      </c>
      <c r="N305" s="298" t="s">
        <v>498</v>
      </c>
      <c r="O305" s="274" t="s">
        <v>533</v>
      </c>
      <c r="P305" s="295">
        <v>9.5</v>
      </c>
      <c r="Q305" s="274">
        <f t="shared" ref="Q305:Q311" si="45">SUM(E305*H305*P305)</f>
        <v>171</v>
      </c>
      <c r="R305" s="274">
        <f>SUM(Q299:Q305)</f>
        <v>5583</v>
      </c>
      <c r="S305" s="274" t="s">
        <v>658</v>
      </c>
      <c r="T305" s="274" t="s">
        <v>271</v>
      </c>
    </row>
    <row r="306" s="224" customFormat="1" spans="1:20">
      <c r="A306" s="299">
        <v>45124</v>
      </c>
      <c r="B306" s="224" t="s">
        <v>675</v>
      </c>
      <c r="C306" s="315" t="s">
        <v>49</v>
      </c>
      <c r="D306" s="224" t="s">
        <v>50</v>
      </c>
      <c r="E306" s="301">
        <v>25</v>
      </c>
      <c r="F306" s="301" t="s">
        <v>494</v>
      </c>
      <c r="G306" s="301" t="s">
        <v>495</v>
      </c>
      <c r="H306" s="302">
        <v>2</v>
      </c>
      <c r="I306" s="307">
        <v>17</v>
      </c>
      <c r="J306" s="301" t="s">
        <v>496</v>
      </c>
      <c r="K306" s="303">
        <f t="shared" si="38"/>
        <v>850</v>
      </c>
      <c r="L306" s="305" t="s">
        <v>681</v>
      </c>
      <c r="N306" s="304" t="s">
        <v>498</v>
      </c>
      <c r="O306" s="224" t="s">
        <v>499</v>
      </c>
      <c r="P306" s="307">
        <v>21.5</v>
      </c>
      <c r="Q306" s="224">
        <f t="shared" si="45"/>
        <v>1075</v>
      </c>
    </row>
    <row r="307" s="224" customFormat="1" spans="1:20">
      <c r="A307" s="299">
        <v>45124</v>
      </c>
      <c r="B307" s="224" t="s">
        <v>675</v>
      </c>
      <c r="C307" s="300" t="s">
        <v>542</v>
      </c>
      <c r="D307" s="224" t="s">
        <v>543</v>
      </c>
      <c r="E307" s="301">
        <v>27</v>
      </c>
      <c r="F307" s="301" t="s">
        <v>494</v>
      </c>
      <c r="G307" s="301" t="s">
        <v>495</v>
      </c>
      <c r="H307" s="302">
        <v>1</v>
      </c>
      <c r="I307" s="307">
        <v>17</v>
      </c>
      <c r="J307" s="301" t="s">
        <v>496</v>
      </c>
      <c r="K307" s="303">
        <f t="shared" si="38"/>
        <v>459</v>
      </c>
      <c r="L307" s="224" t="s">
        <v>544</v>
      </c>
      <c r="N307" s="304" t="s">
        <v>498</v>
      </c>
      <c r="O307" s="224" t="s">
        <v>499</v>
      </c>
      <c r="P307" s="307">
        <v>17</v>
      </c>
      <c r="Q307" s="224">
        <f t="shared" si="45"/>
        <v>459</v>
      </c>
      <c r="R307" s="224">
        <v>2873</v>
      </c>
    </row>
    <row r="308" s="224" customFormat="1" spans="1:20">
      <c r="A308" s="299">
        <v>45124</v>
      </c>
      <c r="B308" s="224" t="s">
        <v>675</v>
      </c>
      <c r="C308" s="300" t="s">
        <v>545</v>
      </c>
      <c r="D308" s="224" t="s">
        <v>546</v>
      </c>
      <c r="E308" s="301">
        <v>24</v>
      </c>
      <c r="F308" s="301" t="s">
        <v>494</v>
      </c>
      <c r="G308" s="301" t="s">
        <v>495</v>
      </c>
      <c r="H308" s="302">
        <v>1</v>
      </c>
      <c r="I308" s="307">
        <v>17</v>
      </c>
      <c r="J308" s="301" t="s">
        <v>496</v>
      </c>
      <c r="K308" s="303">
        <f t="shared" si="38"/>
        <v>408</v>
      </c>
      <c r="L308" s="224" t="s">
        <v>544</v>
      </c>
      <c r="M308" s="224">
        <f>SUM(K305:K308)</f>
        <v>1888</v>
      </c>
      <c r="N308" s="304" t="s">
        <v>498</v>
      </c>
      <c r="O308" s="224" t="s">
        <v>499</v>
      </c>
      <c r="P308" s="307">
        <v>17</v>
      </c>
      <c r="Q308" s="224">
        <f t="shared" si="45"/>
        <v>408</v>
      </c>
      <c r="R308" s="224">
        <v>2873</v>
      </c>
    </row>
    <row r="309" s="224" customFormat="1" ht="18" customHeight="1" spans="1:20">
      <c r="A309" s="299">
        <v>45124</v>
      </c>
      <c r="B309" s="224" t="s">
        <v>675</v>
      </c>
      <c r="C309" s="305" t="s">
        <v>493</v>
      </c>
      <c r="D309" s="306" t="s">
        <v>268</v>
      </c>
      <c r="E309" s="301">
        <v>35</v>
      </c>
      <c r="F309" s="301" t="s">
        <v>494</v>
      </c>
      <c r="G309" s="301" t="s">
        <v>495</v>
      </c>
      <c r="H309" s="302">
        <v>10</v>
      </c>
      <c r="I309" s="307">
        <v>9</v>
      </c>
      <c r="J309" s="301" t="s">
        <v>496</v>
      </c>
      <c r="K309" s="303">
        <f t="shared" si="38"/>
        <v>3150</v>
      </c>
      <c r="L309" s="305" t="s">
        <v>497</v>
      </c>
      <c r="M309" s="308"/>
      <c r="N309" s="304" t="s">
        <v>498</v>
      </c>
      <c r="O309" s="224" t="s">
        <v>499</v>
      </c>
      <c r="P309" s="307">
        <v>9</v>
      </c>
      <c r="Q309" s="224">
        <f t="shared" si="45"/>
        <v>3150</v>
      </c>
    </row>
    <row r="310" s="224" customFormat="1" ht="18" customHeight="1" spans="1:20">
      <c r="A310" s="299">
        <v>45124</v>
      </c>
      <c r="B310" s="224" t="s">
        <v>675</v>
      </c>
      <c r="C310" s="305" t="s">
        <v>756</v>
      </c>
      <c r="D310" s="306" t="s">
        <v>60</v>
      </c>
      <c r="E310" s="301">
        <v>25</v>
      </c>
      <c r="F310" s="301" t="s">
        <v>494</v>
      </c>
      <c r="G310" s="301" t="s">
        <v>495</v>
      </c>
      <c r="H310" s="302">
        <v>2</v>
      </c>
      <c r="I310" s="307">
        <v>12.5</v>
      </c>
      <c r="J310" s="301" t="s">
        <v>496</v>
      </c>
      <c r="K310" s="303">
        <f t="shared" si="38"/>
        <v>625</v>
      </c>
      <c r="L310" s="305" t="s">
        <v>760</v>
      </c>
      <c r="M310" s="308"/>
      <c r="N310" s="304" t="s">
        <v>498</v>
      </c>
      <c r="O310" s="224" t="s">
        <v>499</v>
      </c>
      <c r="P310" s="307">
        <v>9</v>
      </c>
      <c r="Q310" s="224">
        <f t="shared" si="45"/>
        <v>450</v>
      </c>
    </row>
    <row r="311" s="224" customFormat="1" ht="18" customHeight="1" spans="1:20">
      <c r="A311" s="299">
        <v>45124</v>
      </c>
      <c r="B311" s="224" t="s">
        <v>675</v>
      </c>
      <c r="C311" s="305" t="s">
        <v>522</v>
      </c>
      <c r="D311" s="306" t="s">
        <v>523</v>
      </c>
      <c r="E311" s="301">
        <v>25</v>
      </c>
      <c r="F311" s="301" t="s">
        <v>494</v>
      </c>
      <c r="G311" s="301" t="s">
        <v>495</v>
      </c>
      <c r="H311" s="302">
        <v>2</v>
      </c>
      <c r="I311" s="307">
        <v>12</v>
      </c>
      <c r="J311" s="301" t="s">
        <v>496</v>
      </c>
      <c r="K311" s="303">
        <f t="shared" si="38"/>
        <v>600</v>
      </c>
      <c r="L311" s="305" t="s">
        <v>661</v>
      </c>
      <c r="M311" s="308">
        <f>SUM(K305:K311)</f>
        <v>6263</v>
      </c>
      <c r="N311" s="304" t="s">
        <v>498</v>
      </c>
      <c r="O311" s="224" t="s">
        <v>499</v>
      </c>
      <c r="P311" s="224">
        <v>12</v>
      </c>
      <c r="Q311" s="224">
        <f t="shared" si="45"/>
        <v>600</v>
      </c>
      <c r="R311" s="224">
        <f>SUM(Q309:Q311)</f>
        <v>4200</v>
      </c>
    </row>
  </sheetData>
  <autoFilter xmlns:etc="http://www.wps.cn/officeDocument/2017/etCustomData" ref="A2:T311" etc:filterBottomFollowUsedRange="0">
    <extLst/>
  </autoFilter>
  <mergeCells count="7">
    <mergeCell ref="A1:D1"/>
    <mergeCell ref="E1:G1"/>
    <mergeCell ref="H1:I1"/>
    <mergeCell ref="J1:K1"/>
    <mergeCell ref="L1:M1"/>
    <mergeCell ref="Q1:R1"/>
    <mergeCell ref="E2:F2"/>
  </mergeCells>
  <pageMargins left="0.7" right="0.7" top="0.75" bottom="0.75" header="0.3" footer="0.3"/>
  <pageSetup paperSize="9" orientation="portrait" horizontalDpi="180" verticalDpi="18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4"/>
  <sheetViews>
    <sheetView topLeftCell="A3" workbookViewId="0">
      <selection activeCell="A2" sqref="A2:J2"/>
    </sheetView>
  </sheetViews>
  <sheetFormatPr defaultColWidth="9" defaultRowHeight="14.25" outlineLevelCol="5"/>
  <cols>
    <col min="1" max="1" width="21.75" customWidth="1"/>
    <col min="2" max="2" width="21.625" customWidth="1"/>
    <col min="3" max="3" width="2.875" customWidth="1"/>
    <col min="4" max="4" width="23.75" customWidth="1"/>
    <col min="5" max="5" width="19.875" customWidth="1"/>
    <col min="6" max="6" width="2.75" customWidth="1"/>
  </cols>
  <sheetData>
    <row r="1" ht="23" customHeight="1" spans="1:6">
      <c r="A1" s="4" t="s">
        <v>761</v>
      </c>
      <c r="B1" s="4"/>
      <c r="C1" s="4"/>
      <c r="D1" s="4"/>
      <c r="E1" s="4"/>
      <c r="F1" s="4"/>
    </row>
    <row r="2" ht="18" customHeight="1" spans="1:6">
      <c r="A2" s="4" t="s">
        <v>483</v>
      </c>
      <c r="B2" s="4" t="s">
        <v>762</v>
      </c>
      <c r="C2" s="4"/>
      <c r="D2" s="4" t="s">
        <v>483</v>
      </c>
      <c r="E2" s="4" t="s">
        <v>762</v>
      </c>
      <c r="F2" s="7"/>
    </row>
    <row r="3" ht="20" customHeight="1" spans="1:6">
      <c r="A3" s="19" t="s">
        <v>763</v>
      </c>
      <c r="B3" s="19" t="s">
        <v>764</v>
      </c>
      <c r="C3" s="19"/>
      <c r="D3" s="19" t="s">
        <v>765</v>
      </c>
      <c r="E3" s="19" t="s">
        <v>766</v>
      </c>
      <c r="F3" s="7"/>
    </row>
    <row r="4" ht="20" customHeight="1" spans="1:6">
      <c r="A4" s="19" t="s">
        <v>767</v>
      </c>
      <c r="B4" s="19" t="s">
        <v>768</v>
      </c>
      <c r="C4" s="19"/>
      <c r="D4" s="19" t="s">
        <v>769</v>
      </c>
      <c r="E4" s="19" t="s">
        <v>770</v>
      </c>
      <c r="F4" s="7"/>
    </row>
    <row r="5" ht="20" customHeight="1" spans="1:6">
      <c r="A5" s="19" t="s">
        <v>771</v>
      </c>
      <c r="B5" s="19" t="s">
        <v>772</v>
      </c>
      <c r="C5" s="19"/>
      <c r="D5" s="19" t="s">
        <v>697</v>
      </c>
      <c r="E5" s="19" t="s">
        <v>773</v>
      </c>
      <c r="F5" s="7"/>
    </row>
    <row r="6" ht="20" customHeight="1" spans="1:6">
      <c r="A6" s="19" t="s">
        <v>774</v>
      </c>
      <c r="B6" s="19" t="s">
        <v>775</v>
      </c>
      <c r="C6" s="19"/>
      <c r="D6" s="19" t="s">
        <v>776</v>
      </c>
      <c r="E6" s="19" t="s">
        <v>47</v>
      </c>
      <c r="F6" s="7"/>
    </row>
    <row r="7" ht="20" customHeight="1" spans="1:6">
      <c r="A7" s="19" t="s">
        <v>777</v>
      </c>
      <c r="B7" s="19" t="s">
        <v>778</v>
      </c>
      <c r="C7" s="19"/>
      <c r="D7" s="19" t="s">
        <v>779</v>
      </c>
      <c r="E7" s="261" t="s">
        <v>780</v>
      </c>
      <c r="F7" s="7"/>
    </row>
    <row r="8" ht="20" customHeight="1" spans="1:6">
      <c r="A8" s="19" t="s">
        <v>781</v>
      </c>
      <c r="B8" s="19" t="s">
        <v>782</v>
      </c>
      <c r="C8" s="19"/>
      <c r="D8" s="19" t="s">
        <v>783</v>
      </c>
      <c r="E8" s="261" t="s">
        <v>784</v>
      </c>
      <c r="F8" s="7"/>
    </row>
    <row r="9" ht="20" customHeight="1" spans="1:6">
      <c r="A9" s="19" t="s">
        <v>785</v>
      </c>
      <c r="B9" s="19" t="s">
        <v>786</v>
      </c>
      <c r="C9" s="19"/>
      <c r="D9" s="261" t="s">
        <v>787</v>
      </c>
      <c r="E9" s="261" t="s">
        <v>788</v>
      </c>
      <c r="F9" s="7"/>
    </row>
    <row r="10" ht="20" customHeight="1" spans="1:6">
      <c r="A10" s="261">
        <v>1128</v>
      </c>
      <c r="B10" s="19" t="s">
        <v>789</v>
      </c>
      <c r="C10" s="19"/>
      <c r="D10" s="262" t="s">
        <v>790</v>
      </c>
      <c r="E10" s="261" t="s">
        <v>791</v>
      </c>
      <c r="F10" s="7"/>
    </row>
    <row r="11" ht="20" customHeight="1" spans="1:6">
      <c r="A11" s="263" t="s">
        <v>792</v>
      </c>
      <c r="B11" s="19" t="s">
        <v>793</v>
      </c>
      <c r="C11" s="19"/>
      <c r="D11" s="261"/>
      <c r="E11" s="261"/>
      <c r="F11" s="7"/>
    </row>
    <row r="12" ht="20" customHeight="1" spans="1:6">
      <c r="A12" s="261" t="s">
        <v>794</v>
      </c>
      <c r="B12" s="19" t="s">
        <v>795</v>
      </c>
      <c r="C12" s="19"/>
      <c r="D12" s="262" t="s">
        <v>796</v>
      </c>
      <c r="E12" s="261" t="s">
        <v>770</v>
      </c>
      <c r="F12" s="7"/>
    </row>
    <row r="13" ht="20" customHeight="1" spans="1:6">
      <c r="A13" s="261" t="s">
        <v>797</v>
      </c>
      <c r="B13" s="19" t="s">
        <v>798</v>
      </c>
      <c r="C13" s="19"/>
      <c r="D13" s="262"/>
      <c r="E13" s="261"/>
      <c r="F13" s="264"/>
    </row>
    <row r="14" ht="20" customHeight="1" spans="1:6">
      <c r="A14" s="261" t="s">
        <v>799</v>
      </c>
      <c r="B14" s="19" t="s">
        <v>800</v>
      </c>
      <c r="C14" s="19"/>
      <c r="D14" s="19" t="s">
        <v>801</v>
      </c>
      <c r="E14" s="261" t="s">
        <v>802</v>
      </c>
      <c r="F14" s="7"/>
    </row>
    <row r="15" ht="20" customHeight="1" spans="1:6">
      <c r="A15" s="261">
        <v>5378</v>
      </c>
      <c r="B15" s="19" t="s">
        <v>803</v>
      </c>
      <c r="C15" s="19"/>
      <c r="D15" s="19" t="s">
        <v>804</v>
      </c>
      <c r="E15" s="261" t="s">
        <v>805</v>
      </c>
      <c r="F15" s="7"/>
    </row>
    <row r="16" ht="20" customHeight="1" spans="1:6">
      <c r="A16" s="19" t="s">
        <v>806</v>
      </c>
      <c r="B16" s="19" t="s">
        <v>807</v>
      </c>
      <c r="C16" s="19"/>
      <c r="D16" s="265" t="s">
        <v>156</v>
      </c>
      <c r="E16" s="261" t="s">
        <v>808</v>
      </c>
      <c r="F16" s="7"/>
    </row>
    <row r="17" ht="20" customHeight="1" spans="1:6">
      <c r="A17" s="263" t="s">
        <v>166</v>
      </c>
      <c r="B17" s="266" t="s">
        <v>167</v>
      </c>
      <c r="C17" s="19"/>
      <c r="D17" s="267" t="s">
        <v>809</v>
      </c>
      <c r="E17" s="267" t="s">
        <v>810</v>
      </c>
      <c r="F17" s="7"/>
    </row>
    <row r="18" ht="20" customHeight="1" spans="1:6">
      <c r="A18" s="261" t="s">
        <v>811</v>
      </c>
      <c r="B18" s="19" t="s">
        <v>812</v>
      </c>
      <c r="C18" s="19"/>
      <c r="D18" s="268" t="s">
        <v>813</v>
      </c>
      <c r="E18" s="261" t="s">
        <v>814</v>
      </c>
      <c r="F18" s="7"/>
    </row>
    <row r="19" ht="20" customHeight="1" spans="1:6">
      <c r="A19" s="19" t="s">
        <v>12</v>
      </c>
      <c r="B19" s="19" t="s">
        <v>13</v>
      </c>
      <c r="C19" s="19"/>
      <c r="D19" s="19" t="s">
        <v>46</v>
      </c>
      <c r="E19" s="19" t="s">
        <v>784</v>
      </c>
      <c r="F19" s="7"/>
    </row>
    <row r="20" ht="20" customHeight="1" spans="1:6">
      <c r="A20" s="19" t="s">
        <v>815</v>
      </c>
      <c r="B20" s="19" t="s">
        <v>816</v>
      </c>
      <c r="C20" s="19"/>
      <c r="D20" s="19" t="s">
        <v>817</v>
      </c>
      <c r="E20" s="19" t="s">
        <v>818</v>
      </c>
      <c r="F20" s="7"/>
    </row>
    <row r="21" ht="20" customHeight="1" spans="1:6">
      <c r="A21" s="19" t="s">
        <v>52</v>
      </c>
      <c r="B21" s="19" t="s">
        <v>53</v>
      </c>
      <c r="C21" s="21"/>
      <c r="D21" s="19" t="s">
        <v>819</v>
      </c>
      <c r="E21" s="19" t="s">
        <v>820</v>
      </c>
      <c r="F21" s="7"/>
    </row>
    <row r="22" ht="20" customHeight="1" spans="1:6">
      <c r="A22" s="19" t="s">
        <v>821</v>
      </c>
      <c r="B22" s="261" t="s">
        <v>137</v>
      </c>
      <c r="C22" s="21"/>
      <c r="D22" s="19" t="s">
        <v>822</v>
      </c>
      <c r="E22" s="261" t="s">
        <v>823</v>
      </c>
      <c r="F22" s="7"/>
    </row>
    <row r="23" ht="20" customHeight="1" spans="1:6">
      <c r="A23" s="261">
        <v>5028</v>
      </c>
      <c r="B23" s="19" t="s">
        <v>824</v>
      </c>
      <c r="C23" s="19"/>
      <c r="D23" s="19" t="s">
        <v>617</v>
      </c>
      <c r="E23" s="261" t="s">
        <v>825</v>
      </c>
      <c r="F23" s="7"/>
    </row>
    <row r="24" ht="20" customHeight="1" spans="1:6">
      <c r="A24" s="261" t="s">
        <v>826</v>
      </c>
      <c r="B24" s="19" t="s">
        <v>827</v>
      </c>
      <c r="C24" s="21"/>
      <c r="D24" s="261">
        <v>1518</v>
      </c>
      <c r="E24" s="261" t="s">
        <v>828</v>
      </c>
      <c r="F24" s="7"/>
    </row>
    <row r="25" ht="20" customHeight="1" spans="1:6">
      <c r="A25" s="21"/>
      <c r="B25" s="19" t="s">
        <v>827</v>
      </c>
      <c r="C25" s="19"/>
      <c r="D25" s="261">
        <v>815</v>
      </c>
      <c r="E25" s="261" t="s">
        <v>829</v>
      </c>
      <c r="F25" s="7"/>
    </row>
    <row r="26" ht="20" customHeight="1" spans="1:6">
      <c r="A26" s="269"/>
      <c r="B26" s="270"/>
      <c r="C26" s="269"/>
      <c r="D26" s="271" t="s">
        <v>830</v>
      </c>
      <c r="E26" s="261" t="s">
        <v>831</v>
      </c>
      <c r="F26" s="7"/>
    </row>
    <row r="27" ht="20" customHeight="1" spans="1:6">
      <c r="A27" s="269" t="s">
        <v>832</v>
      </c>
      <c r="B27" s="270" t="s">
        <v>833</v>
      </c>
      <c r="C27" s="269"/>
      <c r="D27" s="270"/>
      <c r="E27" s="261" t="s">
        <v>834</v>
      </c>
      <c r="F27" s="7"/>
    </row>
    <row r="28" ht="20" customHeight="1" spans="1:6">
      <c r="A28" s="21"/>
      <c r="B28" s="21"/>
      <c r="C28" s="21"/>
      <c r="D28" s="261"/>
      <c r="E28" s="261" t="s">
        <v>835</v>
      </c>
      <c r="F28" s="7"/>
    </row>
    <row r="29" customFormat="1" ht="20" customHeight="1" spans="1:6">
      <c r="A29" s="21"/>
      <c r="B29" s="19" t="s">
        <v>836</v>
      </c>
      <c r="C29" s="21"/>
      <c r="D29" s="261" t="s">
        <v>837</v>
      </c>
      <c r="E29" s="261" t="s">
        <v>838</v>
      </c>
      <c r="F29" s="7"/>
    </row>
    <row r="30" customFormat="1" ht="20" customHeight="1" spans="1:6">
      <c r="A30" s="21"/>
      <c r="B30" s="21"/>
      <c r="C30" s="21"/>
      <c r="D30" s="268" t="s">
        <v>839</v>
      </c>
      <c r="E30" s="261" t="s">
        <v>840</v>
      </c>
      <c r="F30" s="272" t="s">
        <v>841</v>
      </c>
    </row>
    <row r="31" customFormat="1" ht="20" customHeight="1" spans="1:6">
      <c r="A31" s="7"/>
      <c r="B31" s="7"/>
      <c r="C31" s="7"/>
      <c r="D31" s="12"/>
      <c r="E31" s="12"/>
      <c r="F31" s="12"/>
    </row>
    <row r="32" ht="18" customHeight="1" spans="1:6">
      <c r="A32" s="12" t="s">
        <v>842</v>
      </c>
      <c r="B32" s="12" t="s">
        <v>843</v>
      </c>
      <c r="C32" s="12" t="s">
        <v>844</v>
      </c>
    </row>
    <row r="33" ht="18" customHeight="1"/>
    <row r="34" ht="18" customHeight="1"/>
  </sheetData>
  <mergeCells count="5">
    <mergeCell ref="A1:F1"/>
    <mergeCell ref="D10:D11"/>
    <mergeCell ref="D12:D13"/>
    <mergeCell ref="E10:E11"/>
    <mergeCell ref="E12:E13"/>
  </mergeCells>
  <printOptions horizontalCentered="1"/>
  <pageMargins left="0.161111111111111" right="0.161111111111111" top="0.2125" bottom="0.2125" header="0.5" footer="0.5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:J2"/>
    </sheetView>
  </sheetViews>
  <sheetFormatPr defaultColWidth="9" defaultRowHeight="14.25" outlineLevelCol="4"/>
  <cols>
    <col min="1" max="1" width="21.875" customWidth="1"/>
    <col min="2" max="2" width="10.875" customWidth="1"/>
    <col min="4" max="4" width="10.25"/>
    <col min="5" max="5" width="13.375" customWidth="1"/>
  </cols>
  <sheetData>
    <row r="1" ht="34" customHeight="1" spans="1:5">
      <c r="A1" s="248" t="s">
        <v>845</v>
      </c>
      <c r="B1" s="248"/>
      <c r="C1" s="248"/>
      <c r="D1" s="248"/>
      <c r="E1" s="248"/>
    </row>
    <row r="2" ht="21" spans="1:5">
      <c r="A2" s="249" t="s">
        <v>762</v>
      </c>
      <c r="B2" s="249" t="s">
        <v>485</v>
      </c>
      <c r="C2" s="249"/>
      <c r="D2" s="249" t="s">
        <v>846</v>
      </c>
      <c r="E2" s="249" t="s">
        <v>491</v>
      </c>
    </row>
    <row r="3" ht="21" spans="1:5">
      <c r="A3" s="250" t="s">
        <v>847</v>
      </c>
      <c r="B3" s="251">
        <v>20</v>
      </c>
      <c r="C3" s="251" t="s">
        <v>494</v>
      </c>
      <c r="D3" s="252">
        <v>17</v>
      </c>
      <c r="E3" s="253"/>
    </row>
    <row r="4" ht="21" spans="1:5">
      <c r="A4" s="254" t="s">
        <v>593</v>
      </c>
      <c r="B4" s="255">
        <v>25</v>
      </c>
      <c r="C4" s="251" t="s">
        <v>494</v>
      </c>
      <c r="D4" s="252">
        <v>17</v>
      </c>
      <c r="E4" s="256"/>
    </row>
    <row r="5" ht="19.5" spans="1:5">
      <c r="A5" s="254" t="s">
        <v>848</v>
      </c>
      <c r="B5" s="251">
        <v>25</v>
      </c>
      <c r="C5" s="251" t="s">
        <v>494</v>
      </c>
      <c r="D5" s="252">
        <v>18</v>
      </c>
      <c r="E5" s="256"/>
    </row>
    <row r="6" ht="19.5" spans="1:5">
      <c r="A6" s="254" t="s">
        <v>264</v>
      </c>
      <c r="B6" s="251">
        <v>20</v>
      </c>
      <c r="C6" s="251" t="s">
        <v>494</v>
      </c>
      <c r="D6" s="252">
        <v>16</v>
      </c>
      <c r="E6" s="256"/>
    </row>
    <row r="7" ht="19.5" spans="1:5">
      <c r="A7" s="254" t="s">
        <v>145</v>
      </c>
      <c r="B7" s="251">
        <v>25</v>
      </c>
      <c r="C7" s="251" t="s">
        <v>494</v>
      </c>
      <c r="D7" s="252">
        <v>12</v>
      </c>
      <c r="E7" s="256"/>
    </row>
    <row r="8" ht="19.5" spans="1:5">
      <c r="A8" s="254" t="s">
        <v>93</v>
      </c>
      <c r="B8" s="251">
        <v>20</v>
      </c>
      <c r="C8" s="251" t="s">
        <v>494</v>
      </c>
      <c r="D8" s="252">
        <v>15.5</v>
      </c>
      <c r="E8" s="254"/>
    </row>
    <row r="9" ht="19.5" spans="1:5">
      <c r="A9" s="257" t="s">
        <v>60</v>
      </c>
      <c r="B9" s="251">
        <v>25</v>
      </c>
      <c r="C9" s="251" t="s">
        <v>494</v>
      </c>
      <c r="D9" s="258">
        <v>11.3</v>
      </c>
      <c r="E9" s="254" t="s">
        <v>391</v>
      </c>
    </row>
    <row r="10" ht="19.5" spans="1:5">
      <c r="A10" s="254" t="s">
        <v>849</v>
      </c>
      <c r="B10" s="251">
        <v>20</v>
      </c>
      <c r="C10" s="251" t="s">
        <v>850</v>
      </c>
      <c r="D10" s="252">
        <v>21.5</v>
      </c>
      <c r="E10" s="254"/>
    </row>
    <row r="11" ht="19.5" spans="1:5">
      <c r="A11" s="254" t="s">
        <v>657</v>
      </c>
      <c r="B11" s="251">
        <v>18</v>
      </c>
      <c r="C11" s="259" t="s">
        <v>850</v>
      </c>
      <c r="D11" s="252">
        <v>9.5</v>
      </c>
      <c r="E11" s="260"/>
    </row>
  </sheetData>
  <mergeCells count="2">
    <mergeCell ref="A1:E1"/>
    <mergeCell ref="B2:C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S465"/>
  <sheetViews>
    <sheetView workbookViewId="0">
      <pane xSplit="1" ySplit="11" topLeftCell="B81" activePane="bottomRight" state="frozen"/>
      <selection/>
      <selection pane="topRight"/>
      <selection pane="bottomLeft"/>
      <selection pane="bottomRight" activeCell="A2" sqref="A2:J2"/>
    </sheetView>
  </sheetViews>
  <sheetFormatPr defaultColWidth="9" defaultRowHeight="14.25"/>
  <cols>
    <col min="1" max="1" width="10.125"/>
    <col min="2" max="2" width="6.5" customWidth="1"/>
    <col min="3" max="3" width="11.25" customWidth="1"/>
    <col min="4" max="4" width="17.125" customWidth="1"/>
    <col min="5" max="5" width="9.375"/>
    <col min="6" max="6" width="12.75" style="46" customWidth="1"/>
    <col min="7" max="7" width="11.875" style="7" customWidth="1"/>
    <col min="8" max="8" width="26.625" style="47" customWidth="1"/>
    <col min="9" max="9" width="9.375"/>
    <col min="10" max="10" width="6.5" customWidth="1"/>
    <col min="11" max="11" width="10" customWidth="1"/>
    <col min="12" max="12" width="13.375" customWidth="1"/>
    <col min="13" max="13" width="9.375"/>
    <col min="14" max="14" width="12.75" customWidth="1"/>
    <col min="15" max="15" width="11.5" style="7" customWidth="1"/>
    <col min="16" max="16" width="10.375" style="47" customWidth="1"/>
    <col min="17" max="17" width="9.375"/>
    <col min="18" max="18" width="6.5" customWidth="1"/>
    <col min="19" max="19" width="10" customWidth="1"/>
    <col min="20" max="20" width="13.375" customWidth="1"/>
    <col min="21" max="21" width="9.375"/>
    <col min="22" max="22" width="12.75" customWidth="1"/>
    <col min="23" max="23" width="11.5" style="7" customWidth="1"/>
    <col min="24" max="24" width="28" style="47" customWidth="1"/>
    <col min="25" max="25" width="9.875"/>
    <col min="26" max="26" width="6.5" customWidth="1"/>
    <col min="27" max="27" width="10" customWidth="1"/>
    <col min="28" max="28" width="13.375" customWidth="1"/>
    <col min="29" max="29" width="9.375"/>
    <col min="30" max="30" width="12.75" customWidth="1"/>
    <col min="31" max="31" width="12.875" style="5" customWidth="1"/>
    <col min="32" max="32" width="12.375" style="47" customWidth="1"/>
    <col min="33" max="33" width="9.375"/>
    <col min="34" max="34" width="6.5" customWidth="1"/>
    <col min="35" max="35" width="16.875" customWidth="1"/>
    <col min="36" max="36" width="13.375" customWidth="1"/>
    <col min="37" max="37" width="9.375"/>
    <col min="38" max="38" width="12.75" style="46" customWidth="1"/>
    <col min="39" max="39" width="12.875" style="5" customWidth="1"/>
    <col min="40" max="40" width="9.375"/>
  </cols>
  <sheetData>
    <row r="1" ht="49" customHeight="1" spans="1:40">
      <c r="A1" s="48" t="s">
        <v>851</v>
      </c>
      <c r="B1" s="49"/>
      <c r="C1" s="49"/>
      <c r="D1" s="50"/>
      <c r="E1" s="51" t="s">
        <v>427</v>
      </c>
      <c r="F1" s="52"/>
      <c r="G1" s="53" t="s">
        <v>333</v>
      </c>
      <c r="H1" s="54" t="s">
        <v>334</v>
      </c>
      <c r="I1" s="54"/>
      <c r="J1" s="54"/>
      <c r="K1" s="55" t="s">
        <v>852</v>
      </c>
      <c r="L1" s="56"/>
      <c r="M1" s="57"/>
      <c r="N1" s="58" t="s">
        <v>336</v>
      </c>
      <c r="O1" s="59"/>
      <c r="P1" s="54"/>
      <c r="Q1" s="54"/>
      <c r="R1" s="54"/>
      <c r="S1" s="55"/>
      <c r="T1" s="56"/>
      <c r="U1" s="57"/>
      <c r="V1" s="58"/>
      <c r="W1" s="59"/>
      <c r="X1" s="60"/>
      <c r="Y1" s="61"/>
      <c r="Z1" s="61"/>
      <c r="AA1" s="61"/>
      <c r="AB1" s="61"/>
      <c r="AC1" s="62"/>
      <c r="AD1" s="59"/>
      <c r="AE1" s="63"/>
      <c r="AF1" s="60"/>
      <c r="AG1" s="61" t="s">
        <v>853</v>
      </c>
      <c r="AH1" s="61"/>
      <c r="AI1" s="61"/>
      <c r="AJ1" s="61"/>
      <c r="AK1" s="62"/>
      <c r="AL1" s="64"/>
      <c r="AM1" s="63"/>
    </row>
    <row r="2" ht="33" customHeight="1" spans="1:40">
      <c r="A2" s="65">
        <f>F4+N4+V4+AD4+AL4</f>
        <v>19364.35</v>
      </c>
      <c r="B2" s="66"/>
      <c r="C2" s="66"/>
      <c r="D2" s="66"/>
      <c r="E2" s="67">
        <f>A6+I6+Q6+Y6+AG6</f>
        <v>426470.65</v>
      </c>
      <c r="F2" s="68"/>
      <c r="G2" s="69">
        <f>E9+M9+AK9</f>
        <v>0</v>
      </c>
      <c r="H2" s="70">
        <f>D6+L6+T6+AB6+AJ6</f>
        <v>407106.3</v>
      </c>
      <c r="I2" s="71"/>
      <c r="J2" s="72"/>
      <c r="K2" s="67">
        <f>F6+N6+V6+AD6+AL6</f>
        <v>19364.35</v>
      </c>
      <c r="L2" s="65"/>
      <c r="M2" s="73"/>
      <c r="N2" s="74">
        <f>G6+O6+W6+AE6+AM6</f>
        <v>306564</v>
      </c>
      <c r="O2" s="65"/>
      <c r="P2" s="75"/>
      <c r="Q2" s="76"/>
      <c r="R2" s="77"/>
      <c r="S2" s="78"/>
      <c r="T2" s="79"/>
      <c r="U2" s="73"/>
      <c r="V2" s="80"/>
      <c r="W2" s="79"/>
      <c r="X2" s="81"/>
      <c r="Y2" s="82"/>
      <c r="Z2" s="82"/>
      <c r="AA2" s="82"/>
      <c r="AB2" s="82"/>
      <c r="AC2" s="83"/>
      <c r="AD2" s="84"/>
      <c r="AE2" s="85"/>
      <c r="AF2" s="81"/>
      <c r="AG2" s="86">
        <f>G6+I6+Q6+AE6+AM6</f>
        <v>297460</v>
      </c>
      <c r="AH2" s="86"/>
      <c r="AI2" s="86"/>
      <c r="AJ2" s="86"/>
      <c r="AK2" s="87"/>
      <c r="AL2" s="88"/>
      <c r="AM2" s="85"/>
    </row>
    <row r="3" ht="30" customHeight="1" spans="1:40">
      <c r="A3" s="89" t="s">
        <v>339</v>
      </c>
      <c r="B3" s="89"/>
      <c r="C3" s="89"/>
      <c r="D3" s="89"/>
      <c r="E3" s="89"/>
      <c r="F3" s="90"/>
      <c r="H3" s="91"/>
      <c r="I3" s="89" t="s">
        <v>429</v>
      </c>
      <c r="J3" s="89"/>
      <c r="K3" s="89"/>
      <c r="L3" s="89"/>
      <c r="M3" s="89"/>
      <c r="N3" s="89"/>
      <c r="P3" s="91"/>
      <c r="Q3" s="89" t="s">
        <v>854</v>
      </c>
      <c r="R3" s="89"/>
      <c r="S3" s="89"/>
      <c r="T3" s="89"/>
      <c r="U3" s="89"/>
      <c r="V3" s="89"/>
      <c r="X3" s="91"/>
      <c r="Y3" s="89" t="s">
        <v>855</v>
      </c>
      <c r="Z3" s="89"/>
      <c r="AA3" s="89"/>
      <c r="AB3" s="89"/>
      <c r="AC3" s="89"/>
      <c r="AD3" s="89"/>
      <c r="AF3" s="91"/>
      <c r="AG3" s="89" t="s">
        <v>856</v>
      </c>
      <c r="AH3" s="89"/>
      <c r="AI3" s="89"/>
      <c r="AJ3" s="89"/>
      <c r="AK3" s="89"/>
      <c r="AL3" s="90"/>
    </row>
    <row r="4" ht="21" customHeight="1" spans="1:40">
      <c r="A4" s="92" t="s">
        <v>344</v>
      </c>
      <c r="B4" s="92"/>
      <c r="C4" s="92"/>
      <c r="D4" s="92"/>
      <c r="E4" s="93"/>
      <c r="F4" s="94">
        <f>F6+E9</f>
        <v>2530.14999999999</v>
      </c>
      <c r="G4" s="95" t="s">
        <v>336</v>
      </c>
      <c r="H4" s="96"/>
      <c r="I4" s="92" t="s">
        <v>344</v>
      </c>
      <c r="J4" s="92"/>
      <c r="K4" s="92"/>
      <c r="L4" s="92"/>
      <c r="M4" s="93"/>
      <c r="N4" s="97">
        <f>N6+M9</f>
        <v>21855</v>
      </c>
      <c r="O4" s="95" t="s">
        <v>336</v>
      </c>
      <c r="P4" s="96"/>
      <c r="Q4" s="92" t="s">
        <v>344</v>
      </c>
      <c r="R4" s="92"/>
      <c r="S4" s="92"/>
      <c r="T4" s="92"/>
      <c r="U4" s="93"/>
      <c r="V4" s="97">
        <f>V6+U9</f>
        <v>2493</v>
      </c>
      <c r="W4" s="95" t="s">
        <v>336</v>
      </c>
      <c r="X4" s="96"/>
      <c r="Y4" s="92" t="s">
        <v>344</v>
      </c>
      <c r="Z4" s="92"/>
      <c r="AA4" s="92"/>
      <c r="AB4" s="92"/>
      <c r="AC4" s="93"/>
      <c r="AD4" s="97">
        <f>AD6+AC9</f>
        <v>0</v>
      </c>
      <c r="AE4" s="95" t="s">
        <v>336</v>
      </c>
      <c r="AF4" s="96"/>
      <c r="AG4" s="92" t="s">
        <v>344</v>
      </c>
      <c r="AH4" s="92"/>
      <c r="AI4" s="92"/>
      <c r="AJ4" s="92"/>
      <c r="AK4" s="93"/>
      <c r="AL4" s="94">
        <f>AL6+AK9</f>
        <v>-7513.79999999997</v>
      </c>
      <c r="AM4" s="95" t="s">
        <v>336</v>
      </c>
      <c r="AN4" t="s">
        <v>857</v>
      </c>
    </row>
    <row r="5" ht="17" customHeight="1" spans="1:40">
      <c r="A5" s="98" t="s">
        <v>347</v>
      </c>
      <c r="B5" s="99"/>
      <c r="C5" s="99"/>
      <c r="D5" s="100" t="s">
        <v>348</v>
      </c>
      <c r="E5" s="99"/>
      <c r="F5" s="101" t="s">
        <v>349</v>
      </c>
      <c r="G5" s="85"/>
      <c r="H5" s="102" t="s">
        <v>858</v>
      </c>
      <c r="I5" s="98" t="s">
        <v>347</v>
      </c>
      <c r="J5" s="99"/>
      <c r="K5" s="99"/>
      <c r="L5" s="100" t="s">
        <v>348</v>
      </c>
      <c r="M5" s="99"/>
      <c r="N5" s="103" t="s">
        <v>349</v>
      </c>
      <c r="O5" s="85"/>
      <c r="P5" s="104"/>
      <c r="Q5" s="98" t="s">
        <v>347</v>
      </c>
      <c r="R5" s="99"/>
      <c r="S5" s="99"/>
      <c r="T5" s="100" t="s">
        <v>348</v>
      </c>
      <c r="U5" s="99"/>
      <c r="V5" s="103" t="s">
        <v>349</v>
      </c>
      <c r="W5" s="85"/>
      <c r="X5" s="104"/>
      <c r="Y5" s="98" t="s">
        <v>347</v>
      </c>
      <c r="Z5" s="99"/>
      <c r="AA5" s="99"/>
      <c r="AB5" s="100" t="s">
        <v>348</v>
      </c>
      <c r="AC5" s="99"/>
      <c r="AD5" s="103" t="s">
        <v>349</v>
      </c>
      <c r="AE5" s="85"/>
      <c r="AF5" s="104"/>
      <c r="AG5" s="98" t="s">
        <v>347</v>
      </c>
      <c r="AH5" s="99"/>
      <c r="AI5" s="99"/>
      <c r="AJ5" s="100" t="s">
        <v>348</v>
      </c>
      <c r="AK5" s="99"/>
      <c r="AL5" s="101" t="s">
        <v>349</v>
      </c>
      <c r="AM5" s="85"/>
    </row>
    <row r="6" ht="23" customHeight="1" spans="1:40">
      <c r="A6" s="105">
        <f>SUBTOTAL(9,D12:D213)</f>
        <v>213678.45</v>
      </c>
      <c r="B6" s="106"/>
      <c r="C6" s="106"/>
      <c r="D6" s="107">
        <f>SUBTOTAL(9,E12:E213)</f>
        <v>211148.3</v>
      </c>
      <c r="E6" s="106"/>
      <c r="F6" s="108">
        <f>A6-D6</f>
        <v>2530.14999999999</v>
      </c>
      <c r="G6" s="7">
        <f>SUM(G12:G84)</f>
        <v>68388</v>
      </c>
      <c r="H6" s="109"/>
      <c r="I6" s="105">
        <f>SUBTOTAL(9,L12:L203)</f>
        <v>48528</v>
      </c>
      <c r="J6" s="106"/>
      <c r="K6" s="106"/>
      <c r="L6" s="107">
        <f>SUBTOTAL(9,M12:M203)</f>
        <v>26673</v>
      </c>
      <c r="M6" s="106"/>
      <c r="N6" s="110">
        <f>I6-L6</f>
        <v>21855</v>
      </c>
      <c r="O6" s="7">
        <f>SUM(O12:O150)</f>
        <v>56801</v>
      </c>
      <c r="P6" s="111"/>
      <c r="Q6" s="105">
        <f>SUBTOTAL(9,T12:T214)</f>
        <v>12545</v>
      </c>
      <c r="R6" s="106"/>
      <c r="S6" s="106"/>
      <c r="T6" s="107">
        <f>SUBTOTAL(9,U12:U214)</f>
        <v>10052</v>
      </c>
      <c r="U6" s="106"/>
      <c r="V6" s="110">
        <f>Q6-T6</f>
        <v>2493</v>
      </c>
      <c r="W6" s="7">
        <f>SUM(W12:W161)</f>
        <v>13376</v>
      </c>
      <c r="X6" s="111"/>
      <c r="Y6" s="105">
        <f>SUM(AB12:AB87)</f>
        <v>27777.2</v>
      </c>
      <c r="Z6" s="106"/>
      <c r="AA6" s="106"/>
      <c r="AB6" s="107">
        <f>SUBTOTAL(9,AC12:AC197)</f>
        <v>27777.2</v>
      </c>
      <c r="AC6" s="106"/>
      <c r="AD6" s="110">
        <f>Y6-AB6</f>
        <v>0</v>
      </c>
      <c r="AE6" s="7">
        <f>SUM(AE12:AE145)</f>
        <v>30838</v>
      </c>
      <c r="AF6" s="111"/>
      <c r="AG6" s="105">
        <f>SUM(AJ12:AJ106)</f>
        <v>123942</v>
      </c>
      <c r="AH6" s="106"/>
      <c r="AI6" s="106"/>
      <c r="AJ6" s="107">
        <f>SUBTOTAL(9,AK12:AK194)</f>
        <v>131455.8</v>
      </c>
      <c r="AK6" s="106"/>
      <c r="AL6" s="108">
        <f>AG6-AJ6</f>
        <v>-7513.79999999997</v>
      </c>
      <c r="AM6" s="7">
        <f>SUM(AM12:AM142)</f>
        <v>137161</v>
      </c>
    </row>
    <row r="7" s="45" customFormat="1" spans="1:40">
      <c r="A7" s="112"/>
      <c r="B7" s="113"/>
      <c r="C7" s="114"/>
      <c r="D7" s="115"/>
      <c r="E7" s="114"/>
      <c r="F7" s="116"/>
      <c r="G7" s="117"/>
      <c r="H7" s="118"/>
      <c r="I7" s="119"/>
      <c r="J7" s="119"/>
      <c r="K7" s="119"/>
      <c r="L7" s="115"/>
      <c r="M7" s="114"/>
      <c r="N7" s="118"/>
      <c r="O7" s="120"/>
      <c r="P7" s="118"/>
      <c r="Q7" s="119"/>
      <c r="R7" s="119"/>
      <c r="S7" s="119"/>
      <c r="T7" s="115"/>
      <c r="U7" s="114"/>
      <c r="V7" s="118"/>
      <c r="W7" s="120"/>
      <c r="X7" s="118"/>
      <c r="Y7" s="121"/>
      <c r="Z7" s="122"/>
      <c r="AA7" s="122"/>
      <c r="AB7" s="122"/>
      <c r="AC7" s="122"/>
      <c r="AD7" s="123"/>
      <c r="AE7" s="124"/>
      <c r="AF7" s="118"/>
      <c r="AG7" s="121"/>
      <c r="AH7" s="114"/>
      <c r="AI7" s="114"/>
      <c r="AJ7" s="115"/>
      <c r="AK7" s="114"/>
      <c r="AL7" s="116"/>
      <c r="AM7" s="120"/>
    </row>
    <row r="8" spans="1:40">
      <c r="A8" s="125" t="s">
        <v>859</v>
      </c>
      <c r="B8" s="125"/>
      <c r="C8" s="126">
        <v>30086.1</v>
      </c>
      <c r="D8" s="127" t="s">
        <v>860</v>
      </c>
      <c r="E8" s="128" t="s">
        <v>861</v>
      </c>
      <c r="F8" s="129"/>
      <c r="H8" s="111"/>
      <c r="I8" s="125" t="s">
        <v>859</v>
      </c>
      <c r="J8" s="125"/>
      <c r="K8" s="130">
        <v>8689</v>
      </c>
      <c r="L8" s="131" t="s">
        <v>862</v>
      </c>
      <c r="M8" s="132" t="s">
        <v>861</v>
      </c>
      <c r="N8" s="111"/>
      <c r="O8" s="133" t="s">
        <v>863</v>
      </c>
      <c r="P8" s="111"/>
      <c r="Q8" s="125" t="s">
        <v>859</v>
      </c>
      <c r="R8" s="125"/>
      <c r="S8" s="130"/>
      <c r="T8" s="131"/>
      <c r="U8" s="132" t="s">
        <v>861</v>
      </c>
      <c r="V8" s="111"/>
      <c r="W8" s="133" t="s">
        <v>863</v>
      </c>
      <c r="X8" s="111"/>
      <c r="Y8" s="125" t="s">
        <v>859</v>
      </c>
      <c r="Z8" s="125"/>
      <c r="AA8" s="134">
        <v>0</v>
      </c>
      <c r="AB8" s="135" t="s">
        <v>864</v>
      </c>
      <c r="AC8" s="132" t="s">
        <v>861</v>
      </c>
      <c r="AD8" s="111"/>
      <c r="AF8" s="111"/>
      <c r="AG8" s="125" t="s">
        <v>859</v>
      </c>
      <c r="AH8" s="125"/>
      <c r="AI8" s="134">
        <v>0</v>
      </c>
      <c r="AJ8" s="135" t="s">
        <v>864</v>
      </c>
      <c r="AK8" s="132" t="s">
        <v>861</v>
      </c>
      <c r="AL8" s="136"/>
    </row>
    <row r="9" spans="1:40">
      <c r="A9" s="137"/>
      <c r="B9" s="137"/>
      <c r="C9" s="138"/>
      <c r="D9" s="139">
        <v>30086.1</v>
      </c>
      <c r="E9" s="128">
        <f>C8-D9</f>
        <v>0</v>
      </c>
      <c r="F9" s="140" t="s">
        <v>865</v>
      </c>
      <c r="G9" s="7">
        <f>SUM(G12:G111)</f>
        <v>87326.5</v>
      </c>
      <c r="H9" s="141"/>
      <c r="I9" s="137"/>
      <c r="J9" s="137"/>
      <c r="K9" s="130"/>
      <c r="L9" s="142">
        <v>8689</v>
      </c>
      <c r="M9" s="128">
        <f>K8-L9</f>
        <v>0</v>
      </c>
      <c r="N9" s="143" t="s">
        <v>866</v>
      </c>
      <c r="O9" s="7">
        <f>SUM(O12:O95)</f>
        <v>56801</v>
      </c>
      <c r="P9" s="141"/>
      <c r="Q9" s="137"/>
      <c r="R9" s="137"/>
      <c r="S9" s="130"/>
      <c r="T9" s="142"/>
      <c r="U9" s="128">
        <f>S8-T9</f>
        <v>0</v>
      </c>
      <c r="V9" s="143"/>
      <c r="W9" s="7">
        <f>SUM(W12:W106)</f>
        <v>13376</v>
      </c>
      <c r="X9" s="141"/>
      <c r="Y9" s="137"/>
      <c r="Z9" s="137"/>
      <c r="AA9" s="144"/>
      <c r="AB9" s="145">
        <v>0</v>
      </c>
      <c r="AC9" s="132">
        <v>0</v>
      </c>
      <c r="AD9" s="111"/>
      <c r="AE9" s="7">
        <f>SUM(AE12:AE87)</f>
        <v>30838</v>
      </c>
      <c r="AF9" s="141"/>
      <c r="AG9" s="137"/>
      <c r="AH9" s="137"/>
      <c r="AI9" s="144"/>
      <c r="AJ9" s="145">
        <v>0</v>
      </c>
      <c r="AK9" s="132">
        <v>0</v>
      </c>
      <c r="AL9" s="136"/>
      <c r="AM9" s="7">
        <f>SUM(AM12:AM84)</f>
        <v>137161</v>
      </c>
    </row>
    <row r="10" spans="1:40">
      <c r="A10" s="146" t="s">
        <v>356</v>
      </c>
      <c r="B10" s="147" t="s">
        <v>357</v>
      </c>
      <c r="C10" s="147" t="s">
        <v>358</v>
      </c>
      <c r="D10" s="148" t="s">
        <v>867</v>
      </c>
      <c r="E10" s="107" t="s">
        <v>348</v>
      </c>
      <c r="F10" s="149" t="s">
        <v>360</v>
      </c>
      <c r="G10" s="95" t="s">
        <v>336</v>
      </c>
      <c r="H10" s="150"/>
      <c r="I10" s="146" t="s">
        <v>356</v>
      </c>
      <c r="J10" s="147" t="s">
        <v>357</v>
      </c>
      <c r="K10" s="147" t="s">
        <v>358</v>
      </c>
      <c r="L10" s="147" t="s">
        <v>362</v>
      </c>
      <c r="M10" s="107" t="s">
        <v>348</v>
      </c>
      <c r="N10" s="151" t="s">
        <v>360</v>
      </c>
      <c r="O10" s="7" t="s">
        <v>363</v>
      </c>
      <c r="P10" s="150"/>
      <c r="Q10" s="146" t="s">
        <v>356</v>
      </c>
      <c r="R10" s="147" t="s">
        <v>357</v>
      </c>
      <c r="S10" s="147" t="s">
        <v>358</v>
      </c>
      <c r="T10" s="148" t="s">
        <v>867</v>
      </c>
      <c r="U10" s="107" t="s">
        <v>348</v>
      </c>
      <c r="V10" s="151" t="s">
        <v>360</v>
      </c>
      <c r="W10" s="7" t="s">
        <v>363</v>
      </c>
      <c r="X10" s="150"/>
      <c r="Y10" s="146" t="s">
        <v>356</v>
      </c>
      <c r="Z10" s="147" t="s">
        <v>357</v>
      </c>
      <c r="AA10" s="147" t="s">
        <v>358</v>
      </c>
      <c r="AB10" s="147" t="s">
        <v>362</v>
      </c>
      <c r="AC10" s="107" t="s">
        <v>348</v>
      </c>
      <c r="AD10" s="151" t="s">
        <v>360</v>
      </c>
      <c r="AE10" s="5" t="s">
        <v>363</v>
      </c>
      <c r="AF10" s="150"/>
      <c r="AG10" s="146" t="s">
        <v>356</v>
      </c>
      <c r="AH10" s="147" t="s">
        <v>357</v>
      </c>
      <c r="AI10" s="147" t="s">
        <v>358</v>
      </c>
      <c r="AJ10" s="147" t="s">
        <v>362</v>
      </c>
      <c r="AK10" s="107" t="s">
        <v>348</v>
      </c>
      <c r="AL10" s="149" t="s">
        <v>360</v>
      </c>
      <c r="AM10" s="5" t="s">
        <v>363</v>
      </c>
    </row>
    <row r="11" spans="1:40">
      <c r="A11" s="152"/>
      <c r="B11" s="153"/>
      <c r="C11" s="153"/>
      <c r="D11" s="154"/>
      <c r="E11" s="107"/>
      <c r="F11" s="155"/>
      <c r="G11" s="85"/>
      <c r="H11" s="150"/>
      <c r="I11" s="152"/>
      <c r="J11" s="153"/>
      <c r="K11" s="153"/>
      <c r="L11" s="153"/>
      <c r="M11" s="107"/>
      <c r="N11" s="156"/>
      <c r="O11" s="7" t="s">
        <v>364</v>
      </c>
      <c r="P11" s="150"/>
      <c r="Q11" s="152"/>
      <c r="R11" s="153"/>
      <c r="S11" s="153"/>
      <c r="T11" s="154"/>
      <c r="U11" s="107"/>
      <c r="V11" s="156"/>
      <c r="W11" s="7" t="s">
        <v>364</v>
      </c>
      <c r="X11" s="150"/>
      <c r="Y11" s="152"/>
      <c r="Z11" s="153"/>
      <c r="AA11" s="153"/>
      <c r="AB11" s="153"/>
      <c r="AC11" s="107"/>
      <c r="AD11" s="156"/>
      <c r="AE11" s="5" t="s">
        <v>364</v>
      </c>
      <c r="AF11" s="150"/>
      <c r="AG11" s="152"/>
      <c r="AH11" s="153"/>
      <c r="AI11" s="153"/>
      <c r="AJ11" s="153"/>
      <c r="AK11" s="107"/>
      <c r="AL11" s="155"/>
      <c r="AM11" s="5" t="s">
        <v>364</v>
      </c>
    </row>
    <row r="12" spans="1:40">
      <c r="A12" s="157">
        <v>44965</v>
      </c>
      <c r="B12" s="158">
        <v>5</v>
      </c>
      <c r="C12" s="159" t="s">
        <v>365</v>
      </c>
      <c r="D12" s="159">
        <f t="shared" ref="D12:D17" si="0">G12*90%</f>
        <v>2835</v>
      </c>
      <c r="E12" s="160"/>
      <c r="F12" s="161">
        <f>D12-E12</f>
        <v>2835</v>
      </c>
      <c r="G12" s="21">
        <v>3150</v>
      </c>
      <c r="H12" s="162"/>
      <c r="I12" s="157">
        <v>44970</v>
      </c>
      <c r="J12" s="158">
        <v>64</v>
      </c>
      <c r="K12" s="159" t="s">
        <v>365</v>
      </c>
      <c r="L12" s="159">
        <v>1513</v>
      </c>
      <c r="M12" s="159"/>
      <c r="N12" s="160">
        <f>L12-M12</f>
        <v>1513</v>
      </c>
      <c r="O12" s="7">
        <v>1663</v>
      </c>
      <c r="P12" s="150"/>
      <c r="Q12" s="157" t="s">
        <v>194</v>
      </c>
      <c r="R12" s="158"/>
      <c r="S12" s="163"/>
      <c r="T12" s="159"/>
      <c r="U12" s="159"/>
      <c r="V12" s="160">
        <f>T12-U12</f>
        <v>0</v>
      </c>
      <c r="W12" s="12">
        <v>473</v>
      </c>
      <c r="X12" s="164" t="s">
        <v>868</v>
      </c>
      <c r="Y12" s="165">
        <v>44999</v>
      </c>
      <c r="Z12" s="166">
        <v>53</v>
      </c>
      <c r="AA12" s="167" t="s">
        <v>869</v>
      </c>
      <c r="AB12" s="168">
        <f>AE12*90%</f>
        <v>703.8</v>
      </c>
      <c r="AC12" s="160"/>
      <c r="AD12" s="160">
        <f>AB12-AC12</f>
        <v>703.8</v>
      </c>
      <c r="AE12" s="5">
        <v>782</v>
      </c>
      <c r="AF12" s="162"/>
      <c r="AG12" s="165">
        <v>44976</v>
      </c>
      <c r="AH12" s="166">
        <v>45</v>
      </c>
      <c r="AI12" s="167" t="s">
        <v>869</v>
      </c>
      <c r="AJ12" s="168">
        <f>AM12*90%</f>
        <v>478.8</v>
      </c>
      <c r="AK12" s="160"/>
      <c r="AL12" s="161">
        <f>AJ12-AK12</f>
        <v>478.8</v>
      </c>
      <c r="AM12" s="5">
        <v>532</v>
      </c>
    </row>
    <row r="13" spans="1:40">
      <c r="A13" s="165">
        <v>44966</v>
      </c>
      <c r="B13" s="158">
        <v>8</v>
      </c>
      <c r="C13" s="159" t="s">
        <v>365</v>
      </c>
      <c r="D13" s="159">
        <f t="shared" si="0"/>
        <v>2419.2</v>
      </c>
      <c r="E13" s="160"/>
      <c r="F13" s="161">
        <f>F12+D13-E13</f>
        <v>5254.2</v>
      </c>
      <c r="G13" s="21">
        <v>2688</v>
      </c>
      <c r="H13" s="162"/>
      <c r="I13" s="165">
        <v>44973</v>
      </c>
      <c r="J13" s="158">
        <v>33</v>
      </c>
      <c r="K13" s="167" t="s">
        <v>365</v>
      </c>
      <c r="L13" s="159">
        <v>4273</v>
      </c>
      <c r="M13" s="159"/>
      <c r="N13" s="160">
        <f t="shared" ref="N13:N30" si="1">N12+L13-M13</f>
        <v>5786</v>
      </c>
      <c r="O13" s="7">
        <v>4888</v>
      </c>
      <c r="P13" s="150"/>
      <c r="Q13" s="165">
        <v>45038</v>
      </c>
      <c r="R13" s="158">
        <v>77</v>
      </c>
      <c r="S13" s="163" t="s">
        <v>870</v>
      </c>
      <c r="T13" s="159">
        <v>473</v>
      </c>
      <c r="U13" s="159"/>
      <c r="V13" s="160">
        <f t="shared" ref="V13:V18" si="2">V12+T13-U13</f>
        <v>473</v>
      </c>
      <c r="X13" s="162"/>
      <c r="Y13" s="165">
        <v>45010</v>
      </c>
      <c r="Z13" s="166">
        <v>108</v>
      </c>
      <c r="AA13" s="167" t="s">
        <v>365</v>
      </c>
      <c r="AB13" s="168">
        <f>AE13*90%</f>
        <v>1350</v>
      </c>
      <c r="AC13" s="160"/>
      <c r="AD13" s="160">
        <f t="shared" ref="AD13:AD18" si="3">AD12+AB13-AC13</f>
        <v>2053.8</v>
      </c>
      <c r="AE13" s="5">
        <v>1500</v>
      </c>
      <c r="AF13" s="162"/>
      <c r="AG13" s="165">
        <v>44984</v>
      </c>
      <c r="AH13" s="166">
        <v>83</v>
      </c>
      <c r="AI13" s="167" t="s">
        <v>365</v>
      </c>
      <c r="AJ13" s="168">
        <f t="shared" ref="AJ13:AJ21" si="4">AM13*90%</f>
        <v>1134</v>
      </c>
      <c r="AK13" s="160"/>
      <c r="AL13" s="161">
        <f t="shared" ref="AL13:AL27" si="5">AL12+AJ13-AK13</f>
        <v>1612.8</v>
      </c>
      <c r="AM13" s="5">
        <v>1260</v>
      </c>
    </row>
    <row r="14" spans="1:40">
      <c r="A14" s="165">
        <v>44972</v>
      </c>
      <c r="B14" s="158">
        <v>31</v>
      </c>
      <c r="C14" s="159" t="s">
        <v>365</v>
      </c>
      <c r="D14" s="159">
        <f t="shared" si="0"/>
        <v>3123.9</v>
      </c>
      <c r="E14" s="167"/>
      <c r="F14" s="161">
        <f t="shared" ref="F14:F37" si="6">F13+D14-E14</f>
        <v>8378.1</v>
      </c>
      <c r="G14" s="21">
        <v>3471</v>
      </c>
      <c r="H14" s="162"/>
      <c r="I14" s="165">
        <v>44978</v>
      </c>
      <c r="J14" s="158">
        <v>53</v>
      </c>
      <c r="K14" s="167" t="s">
        <v>365</v>
      </c>
      <c r="L14" s="159">
        <v>1320</v>
      </c>
      <c r="M14" s="159"/>
      <c r="N14" s="160">
        <f t="shared" si="1"/>
        <v>7106</v>
      </c>
      <c r="O14" s="7">
        <v>1680</v>
      </c>
      <c r="P14" s="150"/>
      <c r="Q14" s="169">
        <v>45107</v>
      </c>
      <c r="R14" s="170"/>
      <c r="S14" s="171" t="s">
        <v>369</v>
      </c>
      <c r="T14" s="172"/>
      <c r="U14" s="172">
        <v>473</v>
      </c>
      <c r="V14" s="160">
        <f t="shared" si="2"/>
        <v>0</v>
      </c>
      <c r="X14" s="173" t="s">
        <v>871</v>
      </c>
      <c r="Y14" s="165">
        <v>45013</v>
      </c>
      <c r="Z14" s="166">
        <v>114</v>
      </c>
      <c r="AA14" s="174" t="s">
        <v>454</v>
      </c>
      <c r="AB14" s="175">
        <v>230</v>
      </c>
      <c r="AC14" s="160"/>
      <c r="AD14" s="160">
        <f t="shared" si="3"/>
        <v>2283.8</v>
      </c>
      <c r="AE14" s="5">
        <v>230</v>
      </c>
      <c r="AF14" s="162"/>
      <c r="AG14" s="165">
        <v>44994</v>
      </c>
      <c r="AH14" s="166">
        <v>37</v>
      </c>
      <c r="AI14" s="167" t="s">
        <v>365</v>
      </c>
      <c r="AJ14" s="168">
        <f t="shared" si="4"/>
        <v>693</v>
      </c>
      <c r="AK14" s="167"/>
      <c r="AL14" s="161">
        <f t="shared" si="5"/>
        <v>2305.8</v>
      </c>
      <c r="AM14" s="5">
        <v>770</v>
      </c>
    </row>
    <row r="15" spans="1:40">
      <c r="A15" s="165">
        <v>44974</v>
      </c>
      <c r="B15" s="158">
        <v>38</v>
      </c>
      <c r="C15" s="159" t="s">
        <v>365</v>
      </c>
      <c r="D15" s="159">
        <f t="shared" si="0"/>
        <v>4509</v>
      </c>
      <c r="E15" s="167"/>
      <c r="F15" s="161">
        <f t="shared" si="6"/>
        <v>12887.1</v>
      </c>
      <c r="G15" s="21">
        <v>5010</v>
      </c>
      <c r="H15" s="162"/>
      <c r="I15" s="165">
        <v>44979</v>
      </c>
      <c r="J15" s="158">
        <v>59</v>
      </c>
      <c r="K15" s="167" t="s">
        <v>365</v>
      </c>
      <c r="L15" s="159">
        <v>117</v>
      </c>
      <c r="M15" s="159"/>
      <c r="N15" s="160">
        <f t="shared" si="1"/>
        <v>7223</v>
      </c>
      <c r="O15" s="7">
        <v>117</v>
      </c>
      <c r="P15" s="150"/>
      <c r="Q15" s="165">
        <v>45124</v>
      </c>
      <c r="R15" s="158">
        <v>45</v>
      </c>
      <c r="S15" s="167"/>
      <c r="T15" s="159">
        <v>351</v>
      </c>
      <c r="U15" s="159"/>
      <c r="V15" s="160">
        <f t="shared" si="2"/>
        <v>351</v>
      </c>
      <c r="X15" s="176" t="s">
        <v>872</v>
      </c>
      <c r="Y15" s="165">
        <v>45013</v>
      </c>
      <c r="Z15" s="166">
        <v>114</v>
      </c>
      <c r="AA15" s="167" t="s">
        <v>365</v>
      </c>
      <c r="AB15" s="168">
        <f>AE15*90%</f>
        <v>3663</v>
      </c>
      <c r="AC15" s="160"/>
      <c r="AD15" s="160">
        <f t="shared" si="3"/>
        <v>5946.8</v>
      </c>
      <c r="AE15" s="5">
        <v>4070</v>
      </c>
      <c r="AF15" s="162"/>
      <c r="AG15" s="165">
        <v>44995</v>
      </c>
      <c r="AH15" s="166">
        <v>41</v>
      </c>
      <c r="AI15" s="167" t="s">
        <v>365</v>
      </c>
      <c r="AJ15" s="168">
        <f t="shared" si="4"/>
        <v>2268</v>
      </c>
      <c r="AK15" s="167"/>
      <c r="AL15" s="161">
        <f t="shared" si="5"/>
        <v>4573.8</v>
      </c>
      <c r="AM15" s="5">
        <v>2520</v>
      </c>
    </row>
    <row r="16" spans="1:40">
      <c r="A16" s="165">
        <v>44975</v>
      </c>
      <c r="B16" s="158">
        <v>44</v>
      </c>
      <c r="C16" s="159" t="s">
        <v>365</v>
      </c>
      <c r="D16" s="159">
        <f t="shared" si="0"/>
        <v>413.1</v>
      </c>
      <c r="E16" s="160"/>
      <c r="F16" s="161">
        <f t="shared" si="6"/>
        <v>13300.2</v>
      </c>
      <c r="G16" s="21">
        <v>459</v>
      </c>
      <c r="H16" s="162"/>
      <c r="I16" s="165">
        <v>44980</v>
      </c>
      <c r="J16" s="158">
        <v>64</v>
      </c>
      <c r="K16" s="167" t="s">
        <v>365</v>
      </c>
      <c r="L16" s="159">
        <v>3445</v>
      </c>
      <c r="M16" s="159"/>
      <c r="N16" s="177">
        <f t="shared" si="1"/>
        <v>10668</v>
      </c>
      <c r="O16" s="7">
        <v>4008</v>
      </c>
      <c r="P16" s="150"/>
      <c r="Q16" s="178">
        <v>45231</v>
      </c>
      <c r="R16" s="179"/>
      <c r="S16" s="180"/>
      <c r="T16" s="181"/>
      <c r="U16" s="181">
        <v>351</v>
      </c>
      <c r="V16" s="177">
        <f t="shared" si="2"/>
        <v>0</v>
      </c>
      <c r="X16" s="162"/>
      <c r="Y16" s="165">
        <v>45016</v>
      </c>
      <c r="Z16" s="166">
        <v>127</v>
      </c>
      <c r="AA16" s="167" t="s">
        <v>365</v>
      </c>
      <c r="AB16" s="168">
        <f>AE16*90%</f>
        <v>2689.2</v>
      </c>
      <c r="AC16" s="160"/>
      <c r="AD16" s="160">
        <f t="shared" si="3"/>
        <v>8636</v>
      </c>
      <c r="AE16" s="5">
        <v>2988</v>
      </c>
      <c r="AF16" s="162"/>
      <c r="AG16" s="165">
        <v>44996</v>
      </c>
      <c r="AH16" s="166">
        <v>45</v>
      </c>
      <c r="AI16" s="167" t="s">
        <v>365</v>
      </c>
      <c r="AJ16" s="168">
        <f t="shared" si="4"/>
        <v>306</v>
      </c>
      <c r="AK16" s="160"/>
      <c r="AL16" s="161">
        <f t="shared" si="5"/>
        <v>4879.8</v>
      </c>
      <c r="AM16" s="5">
        <v>340</v>
      </c>
    </row>
    <row r="17" spans="1:44">
      <c r="A17" s="165">
        <v>44978</v>
      </c>
      <c r="B17" s="158">
        <v>56</v>
      </c>
      <c r="C17" s="159" t="s">
        <v>365</v>
      </c>
      <c r="D17" s="159">
        <f t="shared" si="0"/>
        <v>1132.2</v>
      </c>
      <c r="E17" s="160"/>
      <c r="F17" s="161">
        <f t="shared" si="6"/>
        <v>14432.4</v>
      </c>
      <c r="G17" s="21">
        <v>1258</v>
      </c>
      <c r="H17" s="162"/>
      <c r="I17" s="182">
        <v>45019</v>
      </c>
      <c r="J17" s="183"/>
      <c r="K17" s="184" t="s">
        <v>392</v>
      </c>
      <c r="L17" s="185"/>
      <c r="M17" s="185">
        <v>3528</v>
      </c>
      <c r="N17" s="177">
        <f t="shared" si="1"/>
        <v>7140</v>
      </c>
      <c r="P17" s="150"/>
      <c r="Q17" s="165">
        <v>45317</v>
      </c>
      <c r="R17" s="158">
        <v>106</v>
      </c>
      <c r="S17" s="186" t="s">
        <v>873</v>
      </c>
      <c r="T17" s="159">
        <v>850</v>
      </c>
      <c r="U17" s="167"/>
      <c r="V17" s="160">
        <f t="shared" si="2"/>
        <v>850</v>
      </c>
      <c r="X17" s="162"/>
      <c r="Y17" s="169">
        <v>45122</v>
      </c>
      <c r="Z17" s="187"/>
      <c r="AA17" s="171" t="s">
        <v>392</v>
      </c>
      <c r="AB17" s="175"/>
      <c r="AC17" s="188">
        <v>5000</v>
      </c>
      <c r="AD17" s="160">
        <f t="shared" ref="AD17:AD30" si="7">AD16+AB17-AC17</f>
        <v>3636</v>
      </c>
      <c r="AF17" s="162"/>
      <c r="AG17" s="165">
        <v>44998</v>
      </c>
      <c r="AH17" s="166">
        <v>49</v>
      </c>
      <c r="AI17" s="167" t="s">
        <v>365</v>
      </c>
      <c r="AJ17" s="168">
        <f t="shared" si="4"/>
        <v>4536</v>
      </c>
      <c r="AK17" s="160"/>
      <c r="AL17" s="161">
        <f t="shared" si="5"/>
        <v>9415.8</v>
      </c>
      <c r="AM17" s="5">
        <v>5040</v>
      </c>
    </row>
    <row r="18" spans="1:44">
      <c r="A18" s="165">
        <v>44980</v>
      </c>
      <c r="B18" s="158">
        <v>62</v>
      </c>
      <c r="C18" s="159" t="s">
        <v>365</v>
      </c>
      <c r="D18" s="185">
        <f>G18</f>
        <v>351</v>
      </c>
      <c r="E18" s="160"/>
      <c r="F18" s="161">
        <f t="shared" si="6"/>
        <v>14783.4</v>
      </c>
      <c r="G18" s="21">
        <v>351</v>
      </c>
      <c r="H18" s="189" t="s">
        <v>874</v>
      </c>
      <c r="I18" s="182">
        <v>45033</v>
      </c>
      <c r="J18" s="183"/>
      <c r="K18" s="184" t="s">
        <v>392</v>
      </c>
      <c r="L18" s="185"/>
      <c r="M18" s="185">
        <v>7000</v>
      </c>
      <c r="N18" s="177">
        <f t="shared" si="1"/>
        <v>140</v>
      </c>
      <c r="P18" s="150"/>
      <c r="Q18" s="182">
        <v>45330</v>
      </c>
      <c r="R18" s="184"/>
      <c r="S18" s="190"/>
      <c r="T18" s="185"/>
      <c r="U18" s="184">
        <v>850</v>
      </c>
      <c r="V18" s="177">
        <f t="shared" si="2"/>
        <v>0</v>
      </c>
      <c r="X18" s="162"/>
      <c r="Y18" s="165">
        <v>45028</v>
      </c>
      <c r="Z18" s="166">
        <v>37</v>
      </c>
      <c r="AA18" s="167" t="s">
        <v>365</v>
      </c>
      <c r="AB18" s="168">
        <f t="shared" ref="AB18:AB25" si="8">AE18*90%</f>
        <v>1423.8</v>
      </c>
      <c r="AC18" s="160"/>
      <c r="AD18" s="160">
        <f t="shared" si="7"/>
        <v>5059.8</v>
      </c>
      <c r="AE18" s="5">
        <v>1582</v>
      </c>
      <c r="AF18" s="162"/>
      <c r="AG18" s="165">
        <v>44998</v>
      </c>
      <c r="AH18" s="166">
        <v>52</v>
      </c>
      <c r="AI18" s="167" t="s">
        <v>365</v>
      </c>
      <c r="AJ18" s="168">
        <f t="shared" si="4"/>
        <v>1040.4</v>
      </c>
      <c r="AK18" s="160"/>
      <c r="AL18" s="161">
        <f t="shared" si="5"/>
        <v>10456.2</v>
      </c>
      <c r="AM18" s="5">
        <v>1156</v>
      </c>
    </row>
    <row r="19" spans="1:44">
      <c r="A19" s="165">
        <v>44980</v>
      </c>
      <c r="B19" s="158">
        <v>62</v>
      </c>
      <c r="C19" s="159" t="s">
        <v>365</v>
      </c>
      <c r="D19" s="159">
        <f>G19*90%</f>
        <v>759.6</v>
      </c>
      <c r="E19" s="160"/>
      <c r="F19" s="161">
        <f t="shared" si="6"/>
        <v>15543</v>
      </c>
      <c r="G19" s="21">
        <v>844</v>
      </c>
      <c r="H19" s="162"/>
      <c r="I19" s="182">
        <v>45019</v>
      </c>
      <c r="J19" s="183"/>
      <c r="K19" s="184" t="s">
        <v>875</v>
      </c>
      <c r="L19" s="185"/>
      <c r="M19" s="185">
        <v>140</v>
      </c>
      <c r="N19" s="177">
        <f t="shared" si="1"/>
        <v>0</v>
      </c>
      <c r="P19" s="150"/>
      <c r="Q19" s="165" t="s">
        <v>876</v>
      </c>
      <c r="R19" s="184"/>
      <c r="S19" s="184"/>
      <c r="T19" s="191"/>
      <c r="U19" s="192"/>
      <c r="V19" s="192">
        <f>V15+T19-U19</f>
        <v>351</v>
      </c>
      <c r="W19" s="5"/>
      <c r="X19" s="162"/>
      <c r="Y19" s="165">
        <v>45028</v>
      </c>
      <c r="Z19" s="166">
        <v>38</v>
      </c>
      <c r="AA19" s="167" t="s">
        <v>877</v>
      </c>
      <c r="AB19" s="168">
        <f t="shared" si="8"/>
        <v>1648.8</v>
      </c>
      <c r="AC19" s="160"/>
      <c r="AD19" s="160">
        <f t="shared" si="7"/>
        <v>6708.6</v>
      </c>
      <c r="AE19" s="5">
        <v>1832</v>
      </c>
      <c r="AF19" s="162"/>
      <c r="AG19" s="165">
        <v>45000</v>
      </c>
      <c r="AH19" s="166">
        <v>61</v>
      </c>
      <c r="AI19" s="167" t="s">
        <v>365</v>
      </c>
      <c r="AJ19" s="168">
        <f t="shared" si="4"/>
        <v>1134</v>
      </c>
      <c r="AK19" s="167"/>
      <c r="AL19" s="161">
        <f t="shared" si="5"/>
        <v>11590.2</v>
      </c>
      <c r="AM19" s="5">
        <v>1260</v>
      </c>
    </row>
    <row r="20" spans="1:44">
      <c r="A20" s="165">
        <v>44981</v>
      </c>
      <c r="B20" s="158">
        <v>70</v>
      </c>
      <c r="C20" s="159" t="s">
        <v>365</v>
      </c>
      <c r="D20" s="159">
        <f>G20*90%</f>
        <v>6444</v>
      </c>
      <c r="E20" s="160"/>
      <c r="F20" s="161">
        <f t="shared" si="6"/>
        <v>21987</v>
      </c>
      <c r="G20" s="21">
        <v>7160</v>
      </c>
      <c r="H20" s="162"/>
      <c r="I20" s="165">
        <v>44991</v>
      </c>
      <c r="J20" s="158">
        <v>21</v>
      </c>
      <c r="K20" s="167" t="s">
        <v>365</v>
      </c>
      <c r="L20" s="159">
        <v>2358</v>
      </c>
      <c r="M20" s="159"/>
      <c r="N20" s="177">
        <f t="shared" si="1"/>
        <v>2358</v>
      </c>
      <c r="O20" s="7">
        <v>2733</v>
      </c>
      <c r="P20" s="150"/>
      <c r="Q20" s="182">
        <v>44979</v>
      </c>
      <c r="R20" s="193">
        <v>58</v>
      </c>
      <c r="S20" s="184" t="s">
        <v>869</v>
      </c>
      <c r="T20" s="191">
        <v>476</v>
      </c>
      <c r="U20" s="192"/>
      <c r="V20" s="192">
        <f>V19+T20-U20</f>
        <v>827</v>
      </c>
      <c r="W20" s="5">
        <v>476</v>
      </c>
      <c r="X20" s="162"/>
      <c r="Y20" s="165">
        <v>45033</v>
      </c>
      <c r="Z20" s="166">
        <v>53</v>
      </c>
      <c r="AA20" s="167" t="s">
        <v>365</v>
      </c>
      <c r="AB20" s="168">
        <f t="shared" si="8"/>
        <v>4054.5</v>
      </c>
      <c r="AC20" s="160"/>
      <c r="AD20" s="160">
        <f t="shared" si="7"/>
        <v>10763.1</v>
      </c>
      <c r="AE20" s="5">
        <v>4505</v>
      </c>
      <c r="AF20" s="162">
        <f>SUM(AE12:AE22)</f>
        <v>26978</v>
      </c>
      <c r="AG20" s="165">
        <v>45006</v>
      </c>
      <c r="AH20" s="166">
        <v>85</v>
      </c>
      <c r="AI20" s="167" t="s">
        <v>365</v>
      </c>
      <c r="AJ20" s="168">
        <f t="shared" si="4"/>
        <v>540.9</v>
      </c>
      <c r="AK20" s="160"/>
      <c r="AL20" s="161">
        <f t="shared" si="5"/>
        <v>12131.1</v>
      </c>
      <c r="AM20" s="5">
        <v>601</v>
      </c>
    </row>
    <row r="21" spans="1:44">
      <c r="A21" s="165">
        <v>44982</v>
      </c>
      <c r="B21" s="158">
        <v>75</v>
      </c>
      <c r="C21" s="159" t="s">
        <v>365</v>
      </c>
      <c r="D21" s="159">
        <f>G21*90%</f>
        <v>4410</v>
      </c>
      <c r="E21" s="160"/>
      <c r="F21" s="161">
        <f t="shared" si="6"/>
        <v>26397</v>
      </c>
      <c r="G21" s="21">
        <v>4900</v>
      </c>
      <c r="H21" s="162"/>
      <c r="I21" s="165">
        <v>44994</v>
      </c>
      <c r="J21" s="158">
        <v>29</v>
      </c>
      <c r="K21" s="167" t="s">
        <v>365</v>
      </c>
      <c r="L21" s="159">
        <v>2905</v>
      </c>
      <c r="M21" s="159"/>
      <c r="N21" s="177">
        <f t="shared" si="1"/>
        <v>5263</v>
      </c>
      <c r="O21" s="7">
        <v>3325</v>
      </c>
      <c r="P21" s="150"/>
      <c r="Q21" s="182">
        <v>45028</v>
      </c>
      <c r="R21" s="193"/>
      <c r="S21" s="184" t="s">
        <v>878</v>
      </c>
      <c r="T21" s="191"/>
      <c r="U21" s="192">
        <v>476</v>
      </c>
      <c r="V21" s="192">
        <f>V20+T21-U21</f>
        <v>351</v>
      </c>
      <c r="W21" s="5"/>
      <c r="X21" s="162"/>
      <c r="Y21" s="165">
        <v>45037</v>
      </c>
      <c r="Z21" s="166">
        <v>68</v>
      </c>
      <c r="AA21" s="167" t="s">
        <v>365</v>
      </c>
      <c r="AB21" s="168">
        <f t="shared" si="8"/>
        <v>4913.1</v>
      </c>
      <c r="AC21" s="160"/>
      <c r="AD21" s="160">
        <f t="shared" si="7"/>
        <v>15676.2</v>
      </c>
      <c r="AE21" s="5">
        <v>5459</v>
      </c>
      <c r="AF21" s="162"/>
      <c r="AG21" s="165">
        <v>45006</v>
      </c>
      <c r="AH21" s="166">
        <v>87</v>
      </c>
      <c r="AI21" s="167" t="s">
        <v>365</v>
      </c>
      <c r="AJ21" s="168">
        <f t="shared" si="4"/>
        <v>2268</v>
      </c>
      <c r="AK21" s="160"/>
      <c r="AL21" s="161">
        <f t="shared" si="5"/>
        <v>14399.1</v>
      </c>
      <c r="AM21" s="5">
        <v>2520</v>
      </c>
    </row>
    <row r="22" spans="1:44">
      <c r="A22" s="165">
        <v>44985</v>
      </c>
      <c r="B22" s="158">
        <v>87</v>
      </c>
      <c r="C22" s="159" t="s">
        <v>365</v>
      </c>
      <c r="D22" s="159">
        <f>G22*90%</f>
        <v>2998.8</v>
      </c>
      <c r="E22" s="167"/>
      <c r="F22" s="194">
        <f t="shared" si="6"/>
        <v>29395.8</v>
      </c>
      <c r="G22" s="21">
        <v>3332</v>
      </c>
      <c r="H22" s="162">
        <f>SUM(G12:G22)</f>
        <v>32623</v>
      </c>
      <c r="I22" s="165">
        <v>45001</v>
      </c>
      <c r="J22" s="158">
        <v>69</v>
      </c>
      <c r="K22" s="167" t="s">
        <v>365</v>
      </c>
      <c r="L22" s="159">
        <v>5183</v>
      </c>
      <c r="M22" s="159"/>
      <c r="N22" s="177">
        <f t="shared" si="1"/>
        <v>10446</v>
      </c>
      <c r="O22" s="7">
        <v>6058</v>
      </c>
      <c r="P22" s="150"/>
      <c r="Q22" s="165" t="s">
        <v>87</v>
      </c>
      <c r="R22" s="193"/>
      <c r="S22" s="184"/>
      <c r="T22" s="191"/>
      <c r="U22" s="192"/>
      <c r="V22" s="192"/>
      <c r="W22" s="5"/>
      <c r="X22" s="162"/>
      <c r="Y22" s="165">
        <v>45068</v>
      </c>
      <c r="Z22" s="166">
        <v>64</v>
      </c>
      <c r="AA22" s="167" t="s">
        <v>365</v>
      </c>
      <c r="AB22" s="168">
        <f t="shared" si="8"/>
        <v>3627</v>
      </c>
      <c r="AC22" s="160"/>
      <c r="AD22" s="160">
        <f t="shared" si="7"/>
        <v>19303.2</v>
      </c>
      <c r="AE22" s="5">
        <v>4030</v>
      </c>
      <c r="AF22" s="164" t="s">
        <v>879</v>
      </c>
      <c r="AG22" s="165">
        <v>45008</v>
      </c>
      <c r="AH22" s="166">
        <v>94</v>
      </c>
      <c r="AI22" s="167" t="s">
        <v>880</v>
      </c>
      <c r="AJ22" s="175">
        <f>AM22</f>
        <v>1440</v>
      </c>
      <c r="AK22" s="160"/>
      <c r="AL22" s="161">
        <f t="shared" si="5"/>
        <v>15839.1</v>
      </c>
      <c r="AM22" s="195">
        <v>1440</v>
      </c>
    </row>
    <row r="23" spans="1:44">
      <c r="A23" s="182">
        <v>45079</v>
      </c>
      <c r="B23" s="183"/>
      <c r="C23" s="185" t="s">
        <v>369</v>
      </c>
      <c r="D23" s="185"/>
      <c r="E23" s="184">
        <v>10000</v>
      </c>
      <c r="F23" s="194">
        <f t="shared" si="6"/>
        <v>19395.8</v>
      </c>
      <c r="G23" s="21"/>
      <c r="H23" s="162"/>
      <c r="I23" s="165">
        <v>45007</v>
      </c>
      <c r="J23" s="158">
        <v>92</v>
      </c>
      <c r="K23" s="167" t="s">
        <v>365</v>
      </c>
      <c r="L23" s="159">
        <v>3988</v>
      </c>
      <c r="M23" s="159"/>
      <c r="N23" s="177">
        <f t="shared" si="1"/>
        <v>14434</v>
      </c>
      <c r="O23" s="7">
        <v>4708</v>
      </c>
      <c r="P23" s="150"/>
      <c r="Q23" s="196">
        <v>44968</v>
      </c>
      <c r="R23" s="193">
        <v>19</v>
      </c>
      <c r="S23" s="191" t="s">
        <v>365</v>
      </c>
      <c r="T23" s="191">
        <v>1050</v>
      </c>
      <c r="U23" s="192"/>
      <c r="V23" s="192">
        <f>T23-U23</f>
        <v>1050</v>
      </c>
      <c r="W23" s="5">
        <v>1505</v>
      </c>
      <c r="X23" s="162"/>
      <c r="Y23" s="182">
        <v>45531</v>
      </c>
      <c r="Z23" s="193"/>
      <c r="AA23" s="184" t="s">
        <v>392</v>
      </c>
      <c r="AB23" s="191">
        <f t="shared" si="8"/>
        <v>0</v>
      </c>
      <c r="AC23" s="192">
        <v>5000</v>
      </c>
      <c r="AD23" s="160">
        <f t="shared" si="7"/>
        <v>14303.2</v>
      </c>
      <c r="AF23" s="164">
        <f>SUM(AE12:AE23)-15000</f>
        <v>11978</v>
      </c>
      <c r="AG23" s="165">
        <v>45009</v>
      </c>
      <c r="AH23" s="166">
        <v>97</v>
      </c>
      <c r="AI23" s="167" t="s">
        <v>365</v>
      </c>
      <c r="AJ23" s="168">
        <f>AM23*90%</f>
        <v>1315.8</v>
      </c>
      <c r="AK23" s="160"/>
      <c r="AL23" s="161">
        <f t="shared" si="5"/>
        <v>17154.9</v>
      </c>
      <c r="AM23" s="5">
        <v>1462</v>
      </c>
    </row>
    <row r="24" spans="1:44">
      <c r="A24" s="182">
        <v>45107</v>
      </c>
      <c r="B24" s="183"/>
      <c r="C24" s="185" t="s">
        <v>369</v>
      </c>
      <c r="D24" s="185"/>
      <c r="E24" s="184">
        <v>2569.8</v>
      </c>
      <c r="F24" s="194">
        <f t="shared" si="6"/>
        <v>16826</v>
      </c>
      <c r="G24" s="21"/>
      <c r="H24" s="197" t="s">
        <v>871</v>
      </c>
      <c r="I24" s="165">
        <v>45016</v>
      </c>
      <c r="J24" s="158">
        <v>129</v>
      </c>
      <c r="K24" s="167" t="s">
        <v>365</v>
      </c>
      <c r="L24" s="159">
        <v>1571</v>
      </c>
      <c r="M24" s="159"/>
      <c r="N24" s="177">
        <f t="shared" si="1"/>
        <v>16005</v>
      </c>
      <c r="O24" s="7">
        <v>1835</v>
      </c>
      <c r="P24" s="150"/>
      <c r="Q24" s="182">
        <v>44970</v>
      </c>
      <c r="R24" s="193"/>
      <c r="S24" s="184" t="s">
        <v>881</v>
      </c>
      <c r="T24" s="193"/>
      <c r="U24" s="192">
        <v>1050</v>
      </c>
      <c r="V24" s="192">
        <f t="shared" ref="V24:V34" si="9">V23+T24-U24</f>
        <v>0</v>
      </c>
      <c r="W24" s="5"/>
      <c r="X24" s="162"/>
      <c r="Y24" s="182">
        <v>45197</v>
      </c>
      <c r="Z24" s="193"/>
      <c r="AA24" s="184" t="s">
        <v>392</v>
      </c>
      <c r="AB24" s="191">
        <f t="shared" si="8"/>
        <v>0</v>
      </c>
      <c r="AC24" s="192">
        <v>5000</v>
      </c>
      <c r="AD24" s="160">
        <f t="shared" si="7"/>
        <v>9303.2</v>
      </c>
      <c r="AF24" s="162"/>
      <c r="AG24" s="165">
        <v>45013</v>
      </c>
      <c r="AH24" s="166">
        <v>106</v>
      </c>
      <c r="AI24" s="167" t="s">
        <v>365</v>
      </c>
      <c r="AJ24" s="168">
        <f>AM24*90%</f>
        <v>4398.3</v>
      </c>
      <c r="AK24" s="160"/>
      <c r="AL24" s="161">
        <f t="shared" si="5"/>
        <v>21553.2</v>
      </c>
      <c r="AM24" s="5">
        <v>4887</v>
      </c>
      <c r="AN24" s="198" t="s">
        <v>882</v>
      </c>
      <c r="AO24" s="198"/>
    </row>
    <row r="25" spans="1:44">
      <c r="A25" s="182">
        <v>45108</v>
      </c>
      <c r="B25" s="183"/>
      <c r="C25" s="185" t="s">
        <v>369</v>
      </c>
      <c r="D25" s="185"/>
      <c r="E25" s="184">
        <v>16826</v>
      </c>
      <c r="F25" s="194">
        <f t="shared" si="6"/>
        <v>0</v>
      </c>
      <c r="G25" s="21"/>
      <c r="H25" s="197" t="s">
        <v>883</v>
      </c>
      <c r="I25" s="165"/>
      <c r="J25" s="158"/>
      <c r="K25" s="167"/>
      <c r="L25" s="159"/>
      <c r="M25" s="159"/>
      <c r="N25" s="177"/>
      <c r="P25" s="150"/>
      <c r="Q25" s="182">
        <v>45026</v>
      </c>
      <c r="R25" s="193">
        <v>29</v>
      </c>
      <c r="S25" s="184" t="s">
        <v>365</v>
      </c>
      <c r="T25" s="191">
        <v>1065</v>
      </c>
      <c r="U25" s="192"/>
      <c r="V25" s="192">
        <f t="shared" si="9"/>
        <v>1065</v>
      </c>
      <c r="W25" s="5">
        <v>1527</v>
      </c>
      <c r="X25" s="162"/>
      <c r="Y25" s="199">
        <v>45224</v>
      </c>
      <c r="Z25" s="193"/>
      <c r="AA25" s="184" t="s">
        <v>392</v>
      </c>
      <c r="AB25" s="191">
        <f t="shared" si="8"/>
        <v>0</v>
      </c>
      <c r="AC25" s="192">
        <v>5000</v>
      </c>
      <c r="AD25" s="160">
        <f t="shared" si="7"/>
        <v>4303.2</v>
      </c>
      <c r="AF25" s="162"/>
      <c r="AG25" s="165">
        <v>45016</v>
      </c>
      <c r="AH25" s="166">
        <v>128</v>
      </c>
      <c r="AI25" s="167" t="s">
        <v>365</v>
      </c>
      <c r="AJ25" s="168">
        <f>AM25*90%</f>
        <v>1998</v>
      </c>
      <c r="AK25" s="200"/>
      <c r="AL25" s="161">
        <f t="shared" si="5"/>
        <v>23551.2</v>
      </c>
      <c r="AM25" s="5">
        <v>2220</v>
      </c>
      <c r="AN25" s="198"/>
      <c r="AO25" s="198"/>
    </row>
    <row r="26" spans="1:44">
      <c r="A26" s="165">
        <v>44988</v>
      </c>
      <c r="B26" s="158">
        <v>10</v>
      </c>
      <c r="C26" s="159" t="s">
        <v>365</v>
      </c>
      <c r="D26" s="159">
        <f t="shared" ref="D26:D33" si="10">G26*90%</f>
        <v>3825</v>
      </c>
      <c r="E26" s="167"/>
      <c r="F26" s="201">
        <f t="shared" si="6"/>
        <v>3825</v>
      </c>
      <c r="G26" s="21">
        <v>4250</v>
      </c>
      <c r="H26" s="202"/>
      <c r="I26" s="182">
        <v>45028</v>
      </c>
      <c r="J26" s="183"/>
      <c r="K26" s="184" t="s">
        <v>884</v>
      </c>
      <c r="L26" s="185"/>
      <c r="M26" s="185">
        <v>80</v>
      </c>
      <c r="N26" s="177">
        <f>N24+L26-M26</f>
        <v>15925</v>
      </c>
      <c r="P26" s="150"/>
      <c r="Q26" s="182">
        <v>45028</v>
      </c>
      <c r="R26" s="193"/>
      <c r="S26" s="184" t="s">
        <v>878</v>
      </c>
      <c r="T26" s="193"/>
      <c r="U26" s="192">
        <v>1065</v>
      </c>
      <c r="V26" s="192">
        <f t="shared" si="9"/>
        <v>0</v>
      </c>
      <c r="W26" s="5"/>
      <c r="X26" s="162"/>
      <c r="Y26" s="199" t="s">
        <v>885</v>
      </c>
      <c r="Z26" s="193"/>
      <c r="AA26" s="184" t="s">
        <v>375</v>
      </c>
      <c r="AB26" s="191"/>
      <c r="AC26" s="192">
        <v>4303.2</v>
      </c>
      <c r="AD26" s="160">
        <f t="shared" si="7"/>
        <v>0</v>
      </c>
      <c r="AF26" s="162"/>
      <c r="AG26" s="182">
        <v>45033</v>
      </c>
      <c r="AH26" s="193"/>
      <c r="AI26" s="184" t="s">
        <v>886</v>
      </c>
      <c r="AJ26" s="191"/>
      <c r="AK26" s="192">
        <v>26000</v>
      </c>
      <c r="AL26" s="161">
        <f t="shared" si="5"/>
        <v>-2448.8</v>
      </c>
      <c r="AN26" s="203">
        <f>SUM(AM12:AM25)</f>
        <v>26008</v>
      </c>
      <c r="AO26" s="203"/>
    </row>
    <row r="27" spans="1:44">
      <c r="A27" s="165">
        <v>44989</v>
      </c>
      <c r="B27" s="158">
        <v>14</v>
      </c>
      <c r="C27" s="159" t="s">
        <v>365</v>
      </c>
      <c r="D27" s="159">
        <f t="shared" si="10"/>
        <v>6237</v>
      </c>
      <c r="E27" s="160"/>
      <c r="F27" s="201">
        <f t="shared" si="6"/>
        <v>10062</v>
      </c>
      <c r="G27" s="21">
        <v>6930</v>
      </c>
      <c r="H27" s="202"/>
      <c r="I27" s="182">
        <v>45026</v>
      </c>
      <c r="J27" s="183"/>
      <c r="K27" s="184" t="s">
        <v>887</v>
      </c>
      <c r="L27" s="185"/>
      <c r="M27" s="185">
        <v>15925</v>
      </c>
      <c r="N27" s="177">
        <f>N26+L27-M27</f>
        <v>0</v>
      </c>
      <c r="P27" s="150"/>
      <c r="Q27" s="182">
        <v>45080</v>
      </c>
      <c r="R27" s="183">
        <v>9</v>
      </c>
      <c r="S27" s="185" t="s">
        <v>365</v>
      </c>
      <c r="T27" s="185">
        <v>1215</v>
      </c>
      <c r="U27" s="185"/>
      <c r="V27" s="192">
        <f t="shared" si="9"/>
        <v>1215</v>
      </c>
      <c r="W27" s="21">
        <v>1742</v>
      </c>
      <c r="X27" s="162"/>
      <c r="Y27" s="165"/>
      <c r="Z27" s="166"/>
      <c r="AA27" s="167"/>
      <c r="AB27" s="168">
        <f t="shared" ref="AB27:AB49" si="11">AE27*90%</f>
        <v>0</v>
      </c>
      <c r="AC27" s="160"/>
      <c r="AD27" s="160">
        <f t="shared" si="7"/>
        <v>0</v>
      </c>
      <c r="AF27" s="162"/>
      <c r="AG27" s="204">
        <v>45107</v>
      </c>
      <c r="AH27" s="205"/>
      <c r="AI27" s="206" t="s">
        <v>888</v>
      </c>
      <c r="AJ27" s="207"/>
      <c r="AK27" s="208"/>
      <c r="AL27" s="209">
        <f t="shared" si="5"/>
        <v>-2448.8</v>
      </c>
      <c r="AN27" s="210"/>
      <c r="AO27" s="210"/>
      <c r="AP27" s="210"/>
      <c r="AQ27" s="210"/>
      <c r="AR27" s="210"/>
    </row>
    <row r="28" spans="1:44">
      <c r="A28" s="165">
        <v>44996</v>
      </c>
      <c r="B28" s="158">
        <v>42</v>
      </c>
      <c r="C28" s="167" t="s">
        <v>365</v>
      </c>
      <c r="D28" s="159">
        <f t="shared" si="10"/>
        <v>2780.1</v>
      </c>
      <c r="E28" s="160"/>
      <c r="F28" s="201">
        <f t="shared" si="6"/>
        <v>12842.1</v>
      </c>
      <c r="G28" s="21">
        <v>3089</v>
      </c>
      <c r="H28" s="202"/>
      <c r="I28" s="165">
        <v>45017</v>
      </c>
      <c r="J28" s="158">
        <v>5</v>
      </c>
      <c r="K28" s="167" t="s">
        <v>365</v>
      </c>
      <c r="L28" s="159">
        <v>1453</v>
      </c>
      <c r="M28" s="159"/>
      <c r="N28" s="177">
        <f>N27+L28-M28</f>
        <v>1453</v>
      </c>
      <c r="O28" s="7">
        <v>1663</v>
      </c>
      <c r="P28" s="150"/>
      <c r="Q28" s="182">
        <v>45115</v>
      </c>
      <c r="R28" s="193">
        <v>23</v>
      </c>
      <c r="S28" s="185" t="s">
        <v>365</v>
      </c>
      <c r="T28" s="191">
        <v>1200</v>
      </c>
      <c r="U28" s="192"/>
      <c r="V28" s="192">
        <f t="shared" si="9"/>
        <v>2415</v>
      </c>
      <c r="W28" s="211">
        <v>1720</v>
      </c>
      <c r="X28" s="162"/>
      <c r="Y28" s="165"/>
      <c r="Z28" s="166"/>
      <c r="AA28" s="167"/>
      <c r="AB28" s="168">
        <f t="shared" si="11"/>
        <v>0</v>
      </c>
      <c r="AC28" s="160"/>
      <c r="AD28" s="160">
        <f t="shared" si="7"/>
        <v>0</v>
      </c>
      <c r="AF28" s="162"/>
      <c r="AG28" s="165">
        <v>45017</v>
      </c>
      <c r="AH28" s="166">
        <v>1</v>
      </c>
      <c r="AI28" s="167" t="s">
        <v>365</v>
      </c>
      <c r="AJ28" s="168">
        <f>AM28*90%</f>
        <v>4624.2</v>
      </c>
      <c r="AK28" s="160"/>
      <c r="AL28" s="161">
        <f t="shared" ref="AL25:AL48" si="12">AL27+AJ28-AK28</f>
        <v>2175.4</v>
      </c>
      <c r="AM28" s="5">
        <v>5138</v>
      </c>
      <c r="AN28" s="210"/>
      <c r="AO28" s="198"/>
    </row>
    <row r="29" spans="1:44">
      <c r="A29" s="165">
        <v>45000</v>
      </c>
      <c r="B29" s="158">
        <v>63</v>
      </c>
      <c r="C29" s="167" t="s">
        <v>365</v>
      </c>
      <c r="D29" s="159">
        <f t="shared" si="10"/>
        <v>4059</v>
      </c>
      <c r="E29" s="160"/>
      <c r="F29" s="201">
        <f t="shared" si="6"/>
        <v>16901.1</v>
      </c>
      <c r="G29" s="21">
        <v>4510</v>
      </c>
      <c r="H29" s="202"/>
      <c r="I29" s="165">
        <v>45023</v>
      </c>
      <c r="J29" s="158">
        <v>20</v>
      </c>
      <c r="K29" s="167" t="s">
        <v>365</v>
      </c>
      <c r="L29" s="159">
        <v>2905</v>
      </c>
      <c r="M29" s="167"/>
      <c r="N29" s="177">
        <f>N28+L29-M29</f>
        <v>4358</v>
      </c>
      <c r="O29" s="7">
        <v>3325</v>
      </c>
      <c r="P29" s="150"/>
      <c r="Q29" s="182">
        <v>45122</v>
      </c>
      <c r="R29" s="193"/>
      <c r="S29" s="184" t="s">
        <v>889</v>
      </c>
      <c r="T29" s="191"/>
      <c r="U29" s="192">
        <v>2415</v>
      </c>
      <c r="V29" s="160">
        <f t="shared" si="9"/>
        <v>0</v>
      </c>
      <c r="W29" s="5"/>
      <c r="X29" s="162"/>
      <c r="Y29" s="165"/>
      <c r="Z29" s="166"/>
      <c r="AA29" s="167"/>
      <c r="AB29" s="168">
        <f t="shared" si="11"/>
        <v>0</v>
      </c>
      <c r="AC29" s="160"/>
      <c r="AD29" s="160">
        <f t="shared" si="7"/>
        <v>0</v>
      </c>
      <c r="AF29" s="162"/>
      <c r="AG29" s="165">
        <v>45024</v>
      </c>
      <c r="AH29" s="166">
        <v>27</v>
      </c>
      <c r="AI29" s="212" t="s">
        <v>890</v>
      </c>
      <c r="AJ29" s="175">
        <v>513</v>
      </c>
      <c r="AK29" s="160"/>
      <c r="AL29" s="161">
        <f t="shared" si="12"/>
        <v>2688.4</v>
      </c>
      <c r="AM29" s="213">
        <v>513</v>
      </c>
      <c r="AN29" s="198"/>
    </row>
    <row r="30" spans="1:44">
      <c r="A30" s="165">
        <v>45002</v>
      </c>
      <c r="B30" s="158">
        <v>71</v>
      </c>
      <c r="C30" s="167" t="s">
        <v>365</v>
      </c>
      <c r="D30" s="159">
        <f t="shared" si="10"/>
        <v>3479.4</v>
      </c>
      <c r="E30" s="160"/>
      <c r="F30" s="201">
        <f t="shared" si="6"/>
        <v>20380.5</v>
      </c>
      <c r="G30" s="21">
        <v>3866</v>
      </c>
      <c r="H30" s="202"/>
      <c r="I30" s="165">
        <v>45024</v>
      </c>
      <c r="J30" s="158">
        <v>24</v>
      </c>
      <c r="K30" s="167" t="s">
        <v>71</v>
      </c>
      <c r="L30" s="159"/>
      <c r="M30" s="167"/>
      <c r="N30" s="177">
        <f t="shared" ref="N30:N40" si="13">N29+L30-M30</f>
        <v>4358</v>
      </c>
      <c r="O30" s="7">
        <v>171</v>
      </c>
      <c r="P30" s="150"/>
      <c r="Q30" s="182">
        <v>45184</v>
      </c>
      <c r="R30" s="193">
        <v>45</v>
      </c>
      <c r="S30" s="184" t="s">
        <v>365</v>
      </c>
      <c r="T30" s="185">
        <v>1175</v>
      </c>
      <c r="U30" s="192"/>
      <c r="V30" s="192">
        <f t="shared" si="9"/>
        <v>1175</v>
      </c>
      <c r="W30" s="4">
        <v>1310</v>
      </c>
      <c r="X30" s="162"/>
      <c r="Y30" s="214" t="s">
        <v>891</v>
      </c>
      <c r="Z30" s="183"/>
      <c r="AA30" s="184"/>
      <c r="AB30" s="185"/>
      <c r="AC30" s="160"/>
      <c r="AD30" s="160">
        <f t="shared" si="7"/>
        <v>0</v>
      </c>
      <c r="AF30" s="162"/>
      <c r="AG30" s="165">
        <v>45024</v>
      </c>
      <c r="AH30" s="166">
        <v>27</v>
      </c>
      <c r="AI30" s="167" t="s">
        <v>365</v>
      </c>
      <c r="AJ30" s="168">
        <f>AM30*90%</f>
        <v>5445</v>
      </c>
      <c r="AK30" s="160"/>
      <c r="AL30" s="161">
        <f t="shared" si="12"/>
        <v>8133.4</v>
      </c>
      <c r="AM30" s="5">
        <v>6050</v>
      </c>
    </row>
    <row r="31" spans="1:44">
      <c r="A31" s="165">
        <v>45003</v>
      </c>
      <c r="B31" s="158">
        <v>76</v>
      </c>
      <c r="C31" s="167" t="s">
        <v>365</v>
      </c>
      <c r="D31" s="159">
        <f t="shared" si="10"/>
        <v>6795.9</v>
      </c>
      <c r="E31" s="160"/>
      <c r="F31" s="201">
        <f t="shared" si="6"/>
        <v>27176.4</v>
      </c>
      <c r="G31" s="21">
        <v>7551</v>
      </c>
      <c r="H31" s="202"/>
      <c r="I31" s="165">
        <v>45026</v>
      </c>
      <c r="J31" s="158">
        <v>31</v>
      </c>
      <c r="K31" s="167" t="s">
        <v>365</v>
      </c>
      <c r="L31" s="159">
        <v>2278</v>
      </c>
      <c r="M31" s="160"/>
      <c r="N31" s="177">
        <f t="shared" si="13"/>
        <v>6636</v>
      </c>
      <c r="O31" s="7">
        <v>2733</v>
      </c>
      <c r="P31" s="150"/>
      <c r="Q31" s="182">
        <v>45196</v>
      </c>
      <c r="R31" s="183">
        <v>79</v>
      </c>
      <c r="S31" s="184" t="s">
        <v>365</v>
      </c>
      <c r="T31" s="185">
        <v>1215</v>
      </c>
      <c r="U31" s="185"/>
      <c r="V31" s="192">
        <f t="shared" si="9"/>
        <v>2390</v>
      </c>
      <c r="X31" s="162"/>
      <c r="Y31" s="215">
        <v>45030</v>
      </c>
      <c r="Z31" s="183">
        <v>48</v>
      </c>
      <c r="AA31" s="185" t="s">
        <v>365</v>
      </c>
      <c r="AB31" s="185">
        <f>AE31*90%</f>
        <v>2169</v>
      </c>
      <c r="AC31" s="192"/>
      <c r="AD31" s="160">
        <f t="shared" ref="AD28:AD36" si="14">AD30+AB31-AC31</f>
        <v>2169</v>
      </c>
      <c r="AE31" s="12">
        <v>2410</v>
      </c>
      <c r="AF31" s="162"/>
      <c r="AG31" s="165">
        <v>45028</v>
      </c>
      <c r="AH31" s="166">
        <v>41</v>
      </c>
      <c r="AI31" s="167" t="s">
        <v>365</v>
      </c>
      <c r="AJ31" s="168">
        <f>AM31*90%</f>
        <v>2142</v>
      </c>
      <c r="AK31" s="160"/>
      <c r="AL31" s="161">
        <f t="shared" si="12"/>
        <v>10275.4</v>
      </c>
      <c r="AM31" s="5">
        <v>2380</v>
      </c>
    </row>
    <row r="32" spans="1:44">
      <c r="A32" s="165">
        <v>45008</v>
      </c>
      <c r="B32" s="158">
        <v>93</v>
      </c>
      <c r="C32" s="167" t="s">
        <v>365</v>
      </c>
      <c r="D32" s="159">
        <f t="shared" si="10"/>
        <v>306</v>
      </c>
      <c r="E32" s="167"/>
      <c r="F32" s="201">
        <f t="shared" si="6"/>
        <v>27482.4</v>
      </c>
      <c r="G32" s="21">
        <v>340</v>
      </c>
      <c r="H32" s="202"/>
      <c r="I32" s="165">
        <v>45030</v>
      </c>
      <c r="J32" s="158">
        <v>46</v>
      </c>
      <c r="K32" s="167" t="s">
        <v>365</v>
      </c>
      <c r="L32" s="159">
        <v>3895</v>
      </c>
      <c r="M32" s="160"/>
      <c r="N32" s="177">
        <f t="shared" si="13"/>
        <v>10531</v>
      </c>
      <c r="O32" s="7">
        <v>4495</v>
      </c>
      <c r="P32" s="150"/>
      <c r="Q32" s="182">
        <v>45208</v>
      </c>
      <c r="R32" s="216" t="s">
        <v>892</v>
      </c>
      <c r="S32" s="217"/>
      <c r="T32" s="185"/>
      <c r="U32" s="185">
        <v>1657.6</v>
      </c>
      <c r="V32" s="192">
        <f t="shared" si="9"/>
        <v>732.4</v>
      </c>
      <c r="X32" s="176" t="s">
        <v>872</v>
      </c>
      <c r="Y32" s="199">
        <v>45038</v>
      </c>
      <c r="Z32" s="183">
        <v>74</v>
      </c>
      <c r="AA32" s="185" t="s">
        <v>365</v>
      </c>
      <c r="AB32" s="185">
        <f>AE32*90%</f>
        <v>1701</v>
      </c>
      <c r="AC32" s="192"/>
      <c r="AD32" s="160">
        <f t="shared" si="14"/>
        <v>3870</v>
      </c>
      <c r="AE32" s="12">
        <v>1890</v>
      </c>
      <c r="AG32" s="165">
        <v>45033</v>
      </c>
      <c r="AH32" s="166">
        <v>56</v>
      </c>
      <c r="AI32" s="167" t="s">
        <v>365</v>
      </c>
      <c r="AJ32" s="168">
        <f>AM32*90%</f>
        <v>459</v>
      </c>
      <c r="AK32" s="160"/>
      <c r="AL32" s="161">
        <f t="shared" si="12"/>
        <v>10734.4</v>
      </c>
      <c r="AM32" s="5">
        <v>510</v>
      </c>
    </row>
    <row r="33" spans="1:45">
      <c r="A33" s="165">
        <v>45010</v>
      </c>
      <c r="B33" s="158">
        <v>107</v>
      </c>
      <c r="C33" s="167" t="s">
        <v>365</v>
      </c>
      <c r="D33" s="159">
        <f t="shared" si="10"/>
        <v>2708.1</v>
      </c>
      <c r="E33" s="167"/>
      <c r="F33" s="201">
        <f t="shared" si="6"/>
        <v>30190.5</v>
      </c>
      <c r="G33" s="21">
        <v>3009</v>
      </c>
      <c r="H33" s="162"/>
      <c r="I33" s="165">
        <v>45031</v>
      </c>
      <c r="J33" s="158">
        <v>52</v>
      </c>
      <c r="K33" s="167" t="s">
        <v>365</v>
      </c>
      <c r="L33" s="159">
        <v>1288</v>
      </c>
      <c r="M33" s="160"/>
      <c r="N33" s="177">
        <f t="shared" si="13"/>
        <v>11819</v>
      </c>
      <c r="O33" s="7">
        <v>1563</v>
      </c>
      <c r="P33" s="150"/>
      <c r="Q33" s="178">
        <v>45231</v>
      </c>
      <c r="R33" s="179"/>
      <c r="S33" s="180"/>
      <c r="T33" s="181"/>
      <c r="U33" s="181">
        <v>732.4</v>
      </c>
      <c r="V33" s="218">
        <f t="shared" si="9"/>
        <v>0</v>
      </c>
      <c r="X33" s="162"/>
      <c r="Y33" s="199">
        <v>45100</v>
      </c>
      <c r="Z33" s="183"/>
      <c r="AA33" s="219" t="s">
        <v>226</v>
      </c>
      <c r="AB33" s="185">
        <f>AE33*90%</f>
        <v>-396</v>
      </c>
      <c r="AC33" s="192"/>
      <c r="AD33" s="160">
        <f t="shared" si="14"/>
        <v>3474</v>
      </c>
      <c r="AE33" s="213">
        <v>-440</v>
      </c>
      <c r="AG33" s="165">
        <v>45034</v>
      </c>
      <c r="AH33" s="166">
        <v>58</v>
      </c>
      <c r="AI33" s="171" t="s">
        <v>880</v>
      </c>
      <c r="AJ33" s="175">
        <v>3051</v>
      </c>
      <c r="AK33" s="160"/>
      <c r="AL33" s="161">
        <f t="shared" si="12"/>
        <v>13785.4</v>
      </c>
      <c r="AM33" s="220">
        <v>3051</v>
      </c>
    </row>
    <row r="34" spans="1:45">
      <c r="A34" s="182">
        <v>45168</v>
      </c>
      <c r="B34" s="183"/>
      <c r="C34" s="184" t="s">
        <v>889</v>
      </c>
      <c r="D34" s="185"/>
      <c r="E34" s="184">
        <v>20000</v>
      </c>
      <c r="F34" s="194">
        <f t="shared" si="6"/>
        <v>10190.5</v>
      </c>
      <c r="G34" s="21"/>
      <c r="H34" s="162"/>
      <c r="I34" s="165">
        <v>45040</v>
      </c>
      <c r="J34" s="158">
        <v>80</v>
      </c>
      <c r="K34" s="167" t="s">
        <v>365</v>
      </c>
      <c r="L34" s="159">
        <v>3565</v>
      </c>
      <c r="M34" s="160"/>
      <c r="N34" s="177">
        <f t="shared" si="13"/>
        <v>15384</v>
      </c>
      <c r="O34" s="7">
        <v>4165</v>
      </c>
      <c r="P34" s="150"/>
      <c r="Q34" s="165">
        <v>45317</v>
      </c>
      <c r="R34" s="158">
        <v>105</v>
      </c>
      <c r="S34" s="186" t="s">
        <v>365</v>
      </c>
      <c r="T34" s="159">
        <v>2488</v>
      </c>
      <c r="U34" s="167"/>
      <c r="V34" s="177">
        <f t="shared" si="9"/>
        <v>2488</v>
      </c>
      <c r="W34" s="4">
        <v>3185</v>
      </c>
      <c r="X34" s="162" t="s">
        <v>292</v>
      </c>
      <c r="Y34" s="182">
        <v>45110</v>
      </c>
      <c r="Z34" s="193"/>
      <c r="AA34" s="184" t="s">
        <v>369</v>
      </c>
      <c r="AB34" s="191"/>
      <c r="AC34" s="192">
        <v>3474</v>
      </c>
      <c r="AD34" s="160">
        <f t="shared" si="14"/>
        <v>0</v>
      </c>
      <c r="AE34" s="213"/>
      <c r="AF34" s="197" t="s">
        <v>883</v>
      </c>
      <c r="AG34" s="165">
        <v>45034</v>
      </c>
      <c r="AH34" s="166">
        <v>58</v>
      </c>
      <c r="AI34" s="186" t="s">
        <v>365</v>
      </c>
      <c r="AJ34" s="168">
        <f>AM34*90%</f>
        <v>306</v>
      </c>
      <c r="AK34" s="160"/>
      <c r="AL34" s="161">
        <f t="shared" si="12"/>
        <v>14091.4</v>
      </c>
      <c r="AM34" s="5">
        <v>340</v>
      </c>
    </row>
    <row r="35" spans="1:45">
      <c r="A35" s="182">
        <v>45205</v>
      </c>
      <c r="B35" s="183"/>
      <c r="C35" s="184" t="s">
        <v>889</v>
      </c>
      <c r="D35" s="185"/>
      <c r="E35" s="184">
        <v>10000</v>
      </c>
      <c r="F35" s="194">
        <f t="shared" si="6"/>
        <v>190.5</v>
      </c>
      <c r="G35" s="21"/>
      <c r="H35" s="162"/>
      <c r="I35" s="165">
        <v>45043</v>
      </c>
      <c r="J35" s="158">
        <v>91</v>
      </c>
      <c r="K35" s="167" t="s">
        <v>365</v>
      </c>
      <c r="L35" s="159">
        <v>2575</v>
      </c>
      <c r="M35" s="160"/>
      <c r="N35" s="177">
        <f t="shared" si="13"/>
        <v>17959</v>
      </c>
      <c r="O35" s="7">
        <v>3125</v>
      </c>
      <c r="P35" s="150"/>
      <c r="Q35" s="178"/>
      <c r="R35" s="179"/>
      <c r="S35" s="180"/>
      <c r="T35" s="181"/>
      <c r="U35" s="181"/>
      <c r="V35" s="218"/>
      <c r="X35" s="162"/>
      <c r="Y35" s="165"/>
      <c r="Z35" s="166"/>
      <c r="AA35" s="167"/>
      <c r="AB35" s="168">
        <f t="shared" si="11"/>
        <v>0</v>
      </c>
      <c r="AC35" s="160"/>
      <c r="AD35" s="160">
        <f t="shared" si="14"/>
        <v>0</v>
      </c>
      <c r="AF35" s="162"/>
      <c r="AG35" s="165">
        <v>45040</v>
      </c>
      <c r="AH35" s="166">
        <v>82</v>
      </c>
      <c r="AI35" s="186" t="s">
        <v>365</v>
      </c>
      <c r="AJ35" s="168">
        <f>AM35*90%</f>
        <v>540</v>
      </c>
      <c r="AK35" s="160"/>
      <c r="AL35" s="161">
        <f t="shared" si="12"/>
        <v>14631.4</v>
      </c>
      <c r="AM35" s="5">
        <v>600</v>
      </c>
    </row>
    <row r="36" spans="1:45">
      <c r="A36" s="178">
        <v>45231</v>
      </c>
      <c r="B36" s="179"/>
      <c r="C36" s="180"/>
      <c r="D36" s="181"/>
      <c r="E36" s="180">
        <v>190.5</v>
      </c>
      <c r="F36" s="201">
        <f t="shared" si="6"/>
        <v>0</v>
      </c>
      <c r="G36" s="21"/>
      <c r="H36" s="221" t="s">
        <v>893</v>
      </c>
      <c r="I36" s="165">
        <v>45044</v>
      </c>
      <c r="J36" s="158">
        <v>96</v>
      </c>
      <c r="K36" s="167" t="s">
        <v>365</v>
      </c>
      <c r="L36" s="159">
        <v>2443</v>
      </c>
      <c r="M36" s="167"/>
      <c r="N36" s="177">
        <f t="shared" si="13"/>
        <v>20402</v>
      </c>
      <c r="O36" s="7">
        <v>2883</v>
      </c>
      <c r="P36" s="150"/>
      <c r="Q36" s="165" t="s">
        <v>731</v>
      </c>
      <c r="R36" s="158" t="s">
        <v>894</v>
      </c>
      <c r="S36" s="167"/>
      <c r="T36" s="159"/>
      <c r="U36" s="159"/>
      <c r="V36" s="177">
        <f>V33+T36-U36</f>
        <v>0</v>
      </c>
      <c r="X36" s="162"/>
      <c r="Y36" s="165"/>
      <c r="Z36" s="166"/>
      <c r="AA36" s="167"/>
      <c r="AB36" s="168">
        <f t="shared" si="11"/>
        <v>0</v>
      </c>
      <c r="AC36" s="160"/>
      <c r="AD36" s="160">
        <f t="shared" si="14"/>
        <v>0</v>
      </c>
      <c r="AF36" s="162"/>
      <c r="AG36" s="165">
        <v>45042</v>
      </c>
      <c r="AH36" s="166">
        <v>86</v>
      </c>
      <c r="AI36" s="186" t="s">
        <v>365</v>
      </c>
      <c r="AJ36" s="168">
        <f>AM36*90%</f>
        <v>2356.2</v>
      </c>
      <c r="AK36" s="160"/>
      <c r="AL36" s="161">
        <f t="shared" si="12"/>
        <v>16987.6</v>
      </c>
      <c r="AM36" s="5">
        <v>2618</v>
      </c>
    </row>
    <row r="37" spans="1:45">
      <c r="A37" s="165">
        <v>45026</v>
      </c>
      <c r="B37" s="158">
        <v>30</v>
      </c>
      <c r="C37" s="167" t="s">
        <v>365</v>
      </c>
      <c r="D37" s="159">
        <f>G37*90%</f>
        <v>3782.7</v>
      </c>
      <c r="E37" s="160"/>
      <c r="F37" s="201">
        <f t="shared" ref="F37:F75" si="15">F36+D37-E37</f>
        <v>3782.7</v>
      </c>
      <c r="G37" s="21">
        <v>4203</v>
      </c>
      <c r="H37" s="162"/>
      <c r="I37" s="165">
        <v>45058</v>
      </c>
      <c r="J37" s="158">
        <v>27</v>
      </c>
      <c r="K37" s="167" t="s">
        <v>365</v>
      </c>
      <c r="L37" s="159">
        <v>1453</v>
      </c>
      <c r="M37" s="167"/>
      <c r="N37" s="177">
        <f t="shared" si="13"/>
        <v>21855</v>
      </c>
      <c r="O37" s="7">
        <v>1663</v>
      </c>
      <c r="P37" s="150"/>
      <c r="Q37" s="165">
        <v>45057</v>
      </c>
      <c r="R37" s="183">
        <v>26</v>
      </c>
      <c r="S37" s="184" t="s">
        <v>895</v>
      </c>
      <c r="T37" s="185">
        <v>238</v>
      </c>
      <c r="U37" s="185"/>
      <c r="V37" s="222">
        <f t="shared" ref="V36:V47" si="16">V36+T37-U37</f>
        <v>238</v>
      </c>
      <c r="W37" s="7">
        <v>308</v>
      </c>
      <c r="X37" s="162"/>
      <c r="Y37" s="165"/>
      <c r="Z37" s="166"/>
      <c r="AA37" s="171"/>
      <c r="AB37" s="168">
        <f t="shared" si="11"/>
        <v>0</v>
      </c>
      <c r="AC37" s="160"/>
      <c r="AD37" s="160">
        <f t="shared" ref="AD27:AD49" si="17">AD36+AB37-AC37</f>
        <v>0</v>
      </c>
      <c r="AF37" s="162"/>
      <c r="AG37" s="182">
        <v>45107</v>
      </c>
      <c r="AH37" s="193"/>
      <c r="AI37" s="190" t="s">
        <v>896</v>
      </c>
      <c r="AJ37" s="191">
        <v>-132.4</v>
      </c>
      <c r="AK37" s="192"/>
      <c r="AL37" s="161">
        <f t="shared" si="12"/>
        <v>16855.2</v>
      </c>
    </row>
    <row r="38" spans="1:45">
      <c r="A38" s="165">
        <v>45028</v>
      </c>
      <c r="B38" s="158">
        <v>40</v>
      </c>
      <c r="C38" s="167" t="s">
        <v>365</v>
      </c>
      <c r="D38" s="159">
        <f t="shared" ref="D38:D46" si="18">G38*90%</f>
        <v>2998.8</v>
      </c>
      <c r="E38" s="160"/>
      <c r="F38" s="201">
        <f t="shared" si="15"/>
        <v>6781.5</v>
      </c>
      <c r="G38" s="21">
        <v>3332</v>
      </c>
      <c r="H38" s="162"/>
      <c r="I38" s="165"/>
      <c r="J38" s="158"/>
      <c r="K38" s="167"/>
      <c r="L38" s="166"/>
      <c r="M38" s="160"/>
      <c r="N38" s="177">
        <f t="shared" si="13"/>
        <v>21855</v>
      </c>
      <c r="P38" s="150">
        <f>SUM(O28:O37)</f>
        <v>25786</v>
      </c>
      <c r="Q38" s="165">
        <v>45059</v>
      </c>
      <c r="R38" s="183">
        <v>33</v>
      </c>
      <c r="S38" s="184" t="s">
        <v>895</v>
      </c>
      <c r="T38" s="185">
        <v>300</v>
      </c>
      <c r="U38" s="185"/>
      <c r="V38" s="222">
        <f t="shared" si="16"/>
        <v>538</v>
      </c>
      <c r="W38" s="223">
        <v>525</v>
      </c>
      <c r="X38" s="162"/>
      <c r="Y38" s="165"/>
      <c r="Z38" s="166"/>
      <c r="AA38" s="167"/>
      <c r="AB38" s="168">
        <f t="shared" si="11"/>
        <v>0</v>
      </c>
      <c r="AC38" s="160"/>
      <c r="AD38" s="160">
        <f t="shared" si="17"/>
        <v>0</v>
      </c>
      <c r="AF38" s="162"/>
      <c r="AG38" s="182">
        <v>45107</v>
      </c>
      <c r="AH38" s="193"/>
      <c r="AI38" s="190" t="s">
        <v>369</v>
      </c>
      <c r="AJ38" s="191"/>
      <c r="AK38" s="192">
        <v>16855.2</v>
      </c>
      <c r="AL38" s="161">
        <f t="shared" si="12"/>
        <v>0</v>
      </c>
      <c r="AN38">
        <f>SUM(AM28:AM36)</f>
        <v>21200</v>
      </c>
    </row>
    <row r="39" spans="1:45">
      <c r="A39" s="165">
        <v>45043</v>
      </c>
      <c r="B39" s="158">
        <v>94</v>
      </c>
      <c r="C39" s="167" t="s">
        <v>365</v>
      </c>
      <c r="D39" s="159">
        <f t="shared" si="18"/>
        <v>173.7</v>
      </c>
      <c r="E39" s="160"/>
      <c r="F39" s="201">
        <f t="shared" si="15"/>
        <v>6955.2</v>
      </c>
      <c r="G39" s="21">
        <v>193</v>
      </c>
      <c r="H39" s="162"/>
      <c r="I39" s="165"/>
      <c r="J39" s="167"/>
      <c r="K39" s="167"/>
      <c r="L39" s="166"/>
      <c r="M39" s="160"/>
      <c r="N39" s="160">
        <f t="shared" si="13"/>
        <v>21855</v>
      </c>
      <c r="P39" s="162"/>
      <c r="Q39" s="165">
        <v>45062</v>
      </c>
      <c r="R39" s="183">
        <v>37</v>
      </c>
      <c r="S39" s="184" t="s">
        <v>895</v>
      </c>
      <c r="T39" s="185">
        <v>347</v>
      </c>
      <c r="U39" s="185"/>
      <c r="V39" s="222">
        <f t="shared" si="16"/>
        <v>885</v>
      </c>
      <c r="W39" s="7">
        <v>483</v>
      </c>
      <c r="X39" s="173" t="s">
        <v>871</v>
      </c>
      <c r="Y39" s="165"/>
      <c r="Z39" s="166"/>
      <c r="AA39" s="167"/>
      <c r="AB39" s="168">
        <f t="shared" si="11"/>
        <v>0</v>
      </c>
      <c r="AC39" s="160"/>
      <c r="AD39" s="160">
        <f t="shared" si="17"/>
        <v>0</v>
      </c>
      <c r="AF39" s="162"/>
      <c r="AG39" s="165">
        <v>45052</v>
      </c>
      <c r="AH39" s="166">
        <v>9</v>
      </c>
      <c r="AI39" s="167" t="s">
        <v>365</v>
      </c>
      <c r="AJ39" s="168">
        <f>AM39*90%</f>
        <v>2404.8</v>
      </c>
      <c r="AK39" s="160"/>
      <c r="AL39" s="161">
        <f t="shared" ref="AL39:AL57" si="19">AL38+AJ39-AK39</f>
        <v>2404.8</v>
      </c>
      <c r="AM39" s="5">
        <v>2672</v>
      </c>
      <c r="AN39" s="198" t="s">
        <v>897</v>
      </c>
    </row>
    <row r="40" spans="1:45">
      <c r="A40" s="182">
        <v>45220</v>
      </c>
      <c r="B40" s="183"/>
      <c r="C40" s="184" t="s">
        <v>889</v>
      </c>
      <c r="D40" s="159">
        <f t="shared" si="18"/>
        <v>0</v>
      </c>
      <c r="E40" s="192">
        <v>5000</v>
      </c>
      <c r="F40" s="201">
        <f t="shared" si="15"/>
        <v>1955.2</v>
      </c>
      <c r="G40" s="21"/>
      <c r="H40" s="162"/>
      <c r="I40" s="165"/>
      <c r="J40" s="167"/>
      <c r="K40" s="167"/>
      <c r="L40" s="166"/>
      <c r="M40" s="160"/>
      <c r="N40" s="160">
        <f t="shared" si="13"/>
        <v>21855</v>
      </c>
      <c r="P40" s="162"/>
      <c r="Q40" s="165">
        <v>45062</v>
      </c>
      <c r="R40" s="158"/>
      <c r="S40" s="184" t="s">
        <v>881</v>
      </c>
      <c r="T40" s="159"/>
      <c r="U40" s="184">
        <v>880</v>
      </c>
      <c r="V40" s="177">
        <f t="shared" si="16"/>
        <v>5</v>
      </c>
      <c r="X40" s="162"/>
      <c r="Y40" s="165"/>
      <c r="Z40" s="166"/>
      <c r="AA40" s="167"/>
      <c r="AB40" s="168">
        <f t="shared" si="11"/>
        <v>0</v>
      </c>
      <c r="AC40" s="160"/>
      <c r="AD40" s="160">
        <f t="shared" si="17"/>
        <v>0</v>
      </c>
      <c r="AF40" s="162"/>
      <c r="AG40" s="165">
        <v>45052</v>
      </c>
      <c r="AH40" s="166">
        <v>9</v>
      </c>
      <c r="AI40" s="171" t="s">
        <v>880</v>
      </c>
      <c r="AJ40" s="175">
        <v>171</v>
      </c>
      <c r="AK40" s="160"/>
      <c r="AL40" s="161">
        <f t="shared" si="19"/>
        <v>2575.8</v>
      </c>
      <c r="AM40" s="5">
        <v>171</v>
      </c>
      <c r="AN40" s="224"/>
    </row>
    <row r="41" spans="1:45">
      <c r="A41" s="182">
        <v>45230</v>
      </c>
      <c r="B41" s="183"/>
      <c r="C41" s="184" t="s">
        <v>889</v>
      </c>
      <c r="D41" s="159">
        <f t="shared" si="18"/>
        <v>0</v>
      </c>
      <c r="E41" s="192">
        <v>5000</v>
      </c>
      <c r="F41" s="201">
        <f t="shared" si="15"/>
        <v>-3044.8</v>
      </c>
      <c r="G41" s="21"/>
      <c r="H41" s="162"/>
      <c r="I41" s="165"/>
      <c r="J41" s="167"/>
      <c r="K41" s="167"/>
      <c r="L41" s="166"/>
      <c r="M41" s="167"/>
      <c r="N41" s="160"/>
      <c r="P41" s="162"/>
      <c r="Q41" s="165">
        <v>45077</v>
      </c>
      <c r="R41" s="158">
        <v>88</v>
      </c>
      <c r="S41" s="167" t="s">
        <v>895</v>
      </c>
      <c r="T41" s="159">
        <v>102</v>
      </c>
      <c r="U41" s="167"/>
      <c r="V41" s="177">
        <f t="shared" si="16"/>
        <v>107</v>
      </c>
      <c r="W41" s="7">
        <v>122</v>
      </c>
      <c r="X41" s="162"/>
      <c r="Y41" s="165"/>
      <c r="Z41" s="166"/>
      <c r="AA41" s="167"/>
      <c r="AB41" s="168">
        <f t="shared" si="11"/>
        <v>0</v>
      </c>
      <c r="AC41" s="160"/>
      <c r="AD41" s="160">
        <f t="shared" si="17"/>
        <v>0</v>
      </c>
      <c r="AF41" s="162"/>
      <c r="AG41" s="165">
        <v>45053</v>
      </c>
      <c r="AH41" s="166">
        <v>13</v>
      </c>
      <c r="AI41" s="225" t="s">
        <v>898</v>
      </c>
      <c r="AJ41" s="175">
        <v>2380</v>
      </c>
      <c r="AK41" s="160"/>
      <c r="AL41" s="161">
        <f t="shared" si="19"/>
        <v>4955.8</v>
      </c>
      <c r="AM41" s="5">
        <v>2520</v>
      </c>
      <c r="AN41" s="198" t="s">
        <v>899</v>
      </c>
      <c r="AO41" s="198"/>
      <c r="AP41" s="198"/>
      <c r="AQ41" s="198"/>
      <c r="AR41" s="198"/>
    </row>
    <row r="42" spans="1:45">
      <c r="A42" s="165">
        <v>45052</v>
      </c>
      <c r="B42" s="158">
        <v>8</v>
      </c>
      <c r="C42" s="167" t="s">
        <v>365</v>
      </c>
      <c r="D42" s="159">
        <f t="shared" si="18"/>
        <v>5053.5</v>
      </c>
      <c r="E42" s="167"/>
      <c r="F42" s="201">
        <f t="shared" si="15"/>
        <v>2008.7</v>
      </c>
      <c r="G42" s="21">
        <v>5615</v>
      </c>
      <c r="H42" s="162"/>
      <c r="I42" s="165"/>
      <c r="J42" s="167"/>
      <c r="K42" s="167"/>
      <c r="L42" s="166"/>
      <c r="M42" s="160"/>
      <c r="N42" s="160"/>
      <c r="P42" s="162"/>
      <c r="Q42" s="169">
        <v>45107</v>
      </c>
      <c r="R42" s="170"/>
      <c r="S42" s="171" t="s">
        <v>369</v>
      </c>
      <c r="T42" s="172"/>
      <c r="U42" s="188">
        <v>102</v>
      </c>
      <c r="V42" s="177">
        <f t="shared" si="16"/>
        <v>5</v>
      </c>
      <c r="X42" s="162"/>
      <c r="Y42" s="165"/>
      <c r="Z42" s="166"/>
      <c r="AA42" s="167"/>
      <c r="AB42" s="168">
        <f t="shared" si="11"/>
        <v>0</v>
      </c>
      <c r="AC42" s="160"/>
      <c r="AD42" s="160">
        <f t="shared" si="17"/>
        <v>0</v>
      </c>
      <c r="AF42" s="162"/>
      <c r="AG42" s="165">
        <v>45055</v>
      </c>
      <c r="AH42" s="166">
        <v>21</v>
      </c>
      <c r="AI42" s="167" t="s">
        <v>365</v>
      </c>
      <c r="AJ42" s="168">
        <f>AM42*90%</f>
        <v>1606.5</v>
      </c>
      <c r="AK42" s="160"/>
      <c r="AL42" s="161">
        <f t="shared" si="19"/>
        <v>6562.3</v>
      </c>
      <c r="AM42" s="5">
        <v>1785</v>
      </c>
    </row>
    <row r="43" spans="1:45">
      <c r="A43" s="165">
        <v>45058</v>
      </c>
      <c r="B43" s="158">
        <v>28</v>
      </c>
      <c r="C43" s="167" t="s">
        <v>365</v>
      </c>
      <c r="D43" s="159">
        <f t="shared" si="18"/>
        <v>2319.3</v>
      </c>
      <c r="E43" s="160"/>
      <c r="F43" s="201">
        <f t="shared" si="15"/>
        <v>4328</v>
      </c>
      <c r="G43" s="21">
        <v>2577</v>
      </c>
      <c r="H43" s="162"/>
      <c r="I43" s="165"/>
      <c r="J43" s="167"/>
      <c r="K43" s="167"/>
      <c r="L43" s="166"/>
      <c r="M43" s="160"/>
      <c r="N43" s="160"/>
      <c r="P43" s="162"/>
      <c r="Q43" s="165"/>
      <c r="R43" s="158"/>
      <c r="S43" s="167"/>
      <c r="T43" s="159"/>
      <c r="U43" s="160"/>
      <c r="V43" s="160">
        <f t="shared" si="16"/>
        <v>5</v>
      </c>
      <c r="X43" s="162"/>
      <c r="Y43" s="165"/>
      <c r="Z43" s="166"/>
      <c r="AA43" s="167"/>
      <c r="AB43" s="168">
        <f t="shared" si="11"/>
        <v>0</v>
      </c>
      <c r="AC43" s="160"/>
      <c r="AD43" s="160">
        <f t="shared" si="17"/>
        <v>0</v>
      </c>
      <c r="AF43" s="162"/>
      <c r="AG43" s="165">
        <v>45064</v>
      </c>
      <c r="AH43" s="166">
        <v>48</v>
      </c>
      <c r="AI43" s="167" t="s">
        <v>365</v>
      </c>
      <c r="AJ43" s="168">
        <f>AM43*90%</f>
        <v>3381.3</v>
      </c>
      <c r="AK43" s="167"/>
      <c r="AL43" s="161">
        <f t="shared" si="19"/>
        <v>9943.6</v>
      </c>
      <c r="AM43" s="5">
        <v>3757</v>
      </c>
    </row>
    <row r="44" spans="1:45">
      <c r="A44" s="165">
        <v>45068</v>
      </c>
      <c r="B44" s="158">
        <v>61</v>
      </c>
      <c r="C44" s="167" t="s">
        <v>365</v>
      </c>
      <c r="D44" s="159">
        <f t="shared" si="18"/>
        <v>1217.7</v>
      </c>
      <c r="E44" s="160"/>
      <c r="F44" s="201">
        <f t="shared" si="15"/>
        <v>5545.7</v>
      </c>
      <c r="G44" s="21">
        <v>1353</v>
      </c>
      <c r="H44" s="162"/>
      <c r="I44" s="165"/>
      <c r="J44" s="167"/>
      <c r="K44" s="167"/>
      <c r="L44" s="166"/>
      <c r="M44" s="160"/>
      <c r="N44" s="160"/>
      <c r="P44" s="162"/>
      <c r="Q44" s="165"/>
      <c r="R44" s="158"/>
      <c r="S44" s="167"/>
      <c r="T44" s="159"/>
      <c r="U44" s="160"/>
      <c r="V44" s="160">
        <f t="shared" si="16"/>
        <v>5</v>
      </c>
      <c r="X44" s="162"/>
      <c r="Y44" s="165"/>
      <c r="Z44" s="166"/>
      <c r="AA44" s="167"/>
      <c r="AB44" s="168">
        <f t="shared" si="11"/>
        <v>0</v>
      </c>
      <c r="AC44" s="160"/>
      <c r="AD44" s="160">
        <f t="shared" si="17"/>
        <v>0</v>
      </c>
      <c r="AF44" s="162"/>
      <c r="AG44" s="165">
        <v>45080</v>
      </c>
      <c r="AH44" s="166">
        <v>8</v>
      </c>
      <c r="AI44" s="167" t="s">
        <v>365</v>
      </c>
      <c r="AJ44" s="168">
        <f>AM44*90%</f>
        <v>3753</v>
      </c>
      <c r="AK44" s="160"/>
      <c r="AL44" s="161">
        <f t="shared" si="19"/>
        <v>13696.6</v>
      </c>
      <c r="AM44" s="5">
        <v>4170</v>
      </c>
      <c r="AN44">
        <f>SUM(AM39:AM43)</f>
        <v>10905</v>
      </c>
    </row>
    <row r="45" spans="1:45">
      <c r="A45" s="165">
        <v>45069</v>
      </c>
      <c r="B45" s="158">
        <v>66</v>
      </c>
      <c r="C45" s="167" t="s">
        <v>365</v>
      </c>
      <c r="D45" s="159">
        <f t="shared" si="18"/>
        <v>2268</v>
      </c>
      <c r="E45" s="160"/>
      <c r="F45" s="201">
        <f t="shared" si="15"/>
        <v>7813.7</v>
      </c>
      <c r="G45" s="21">
        <v>2520</v>
      </c>
      <c r="H45" s="226"/>
      <c r="I45" s="165"/>
      <c r="J45" s="167"/>
      <c r="K45" s="167"/>
      <c r="L45" s="166"/>
      <c r="M45" s="160"/>
      <c r="N45" s="160"/>
      <c r="P45" s="162"/>
      <c r="Q45" s="165"/>
      <c r="R45" s="158"/>
      <c r="S45" s="167"/>
      <c r="T45" s="159"/>
      <c r="U45" s="160"/>
      <c r="V45" s="160">
        <f t="shared" si="16"/>
        <v>5</v>
      </c>
      <c r="X45" s="162"/>
      <c r="Y45" s="165"/>
      <c r="Z45" s="166"/>
      <c r="AA45" s="171"/>
      <c r="AB45" s="168">
        <f t="shared" si="11"/>
        <v>0</v>
      </c>
      <c r="AC45" s="160"/>
      <c r="AD45" s="160">
        <f t="shared" si="17"/>
        <v>0</v>
      </c>
      <c r="AF45" s="162"/>
      <c r="AG45" s="227">
        <v>45097</v>
      </c>
      <c r="AH45" s="166">
        <v>59</v>
      </c>
      <c r="AI45" s="168" t="s">
        <v>365</v>
      </c>
      <c r="AJ45" s="168">
        <f>AM45*90%</f>
        <v>2845.8</v>
      </c>
      <c r="AK45" s="228"/>
      <c r="AL45" s="161">
        <f t="shared" si="19"/>
        <v>16542.4</v>
      </c>
      <c r="AM45" s="5">
        <v>3162</v>
      </c>
    </row>
    <row r="46" spans="1:45">
      <c r="A46" s="165">
        <v>45070</v>
      </c>
      <c r="B46" s="158">
        <v>70</v>
      </c>
      <c r="C46" s="167" t="s">
        <v>365</v>
      </c>
      <c r="D46" s="159">
        <f t="shared" si="18"/>
        <v>2616.3</v>
      </c>
      <c r="E46" s="160"/>
      <c r="F46" s="201">
        <f t="shared" si="15"/>
        <v>10430</v>
      </c>
      <c r="G46" s="21">
        <v>2907</v>
      </c>
      <c r="H46" s="162" t="s">
        <v>900</v>
      </c>
      <c r="I46" s="165"/>
      <c r="J46" s="167"/>
      <c r="K46" s="167"/>
      <c r="L46" s="166"/>
      <c r="M46" s="160"/>
      <c r="N46" s="160"/>
      <c r="P46" s="162"/>
      <c r="Q46" s="165"/>
      <c r="R46" s="158"/>
      <c r="S46" s="167"/>
      <c r="T46" s="159"/>
      <c r="U46" s="160"/>
      <c r="V46" s="160">
        <f t="shared" si="16"/>
        <v>5</v>
      </c>
      <c r="X46" s="162"/>
      <c r="Y46" s="165"/>
      <c r="Z46" s="166"/>
      <c r="AA46" s="167"/>
      <c r="AB46" s="168">
        <f t="shared" si="11"/>
        <v>0</v>
      </c>
      <c r="AC46" s="160"/>
      <c r="AD46" s="160">
        <f t="shared" si="17"/>
        <v>0</v>
      </c>
      <c r="AF46" s="162"/>
      <c r="AG46" s="229">
        <v>45184</v>
      </c>
      <c r="AH46" s="193"/>
      <c r="AI46" s="191" t="s">
        <v>901</v>
      </c>
      <c r="AJ46" s="191"/>
      <c r="AK46" s="230">
        <v>18200</v>
      </c>
      <c r="AL46" s="231">
        <f t="shared" si="19"/>
        <v>-1657.6</v>
      </c>
      <c r="AN46">
        <f>SUM(AM44:AM45)</f>
        <v>7332</v>
      </c>
    </row>
    <row r="47" spans="1:45">
      <c r="A47" s="178">
        <v>45231</v>
      </c>
      <c r="B47" s="179"/>
      <c r="C47" s="180" t="s">
        <v>889</v>
      </c>
      <c r="D47" s="181"/>
      <c r="E47" s="218">
        <v>1562</v>
      </c>
      <c r="F47" s="232">
        <f t="shared" si="15"/>
        <v>8868</v>
      </c>
      <c r="G47" s="21"/>
      <c r="H47" s="233" t="s">
        <v>902</v>
      </c>
      <c r="I47" s="165"/>
      <c r="J47" s="167"/>
      <c r="K47" s="167"/>
      <c r="L47" s="166"/>
      <c r="M47" s="167"/>
      <c r="N47" s="160"/>
      <c r="P47" s="162"/>
      <c r="Q47" s="165"/>
      <c r="R47" s="158"/>
      <c r="S47" s="167"/>
      <c r="T47" s="159"/>
      <c r="U47" s="167"/>
      <c r="V47" s="160">
        <f t="shared" si="16"/>
        <v>5</v>
      </c>
      <c r="X47" s="162"/>
      <c r="Y47" s="165"/>
      <c r="Z47" s="166"/>
      <c r="AA47" s="167"/>
      <c r="AB47" s="168">
        <f t="shared" si="11"/>
        <v>0</v>
      </c>
      <c r="AC47" s="160"/>
      <c r="AD47" s="160">
        <f t="shared" si="17"/>
        <v>0</v>
      </c>
      <c r="AF47" s="162"/>
      <c r="AG47" s="229">
        <v>45208</v>
      </c>
      <c r="AH47" s="193"/>
      <c r="AI47" s="234" t="s">
        <v>903</v>
      </c>
      <c r="AJ47" s="207"/>
      <c r="AK47" s="235">
        <v>-1657.6</v>
      </c>
      <c r="AL47" s="209">
        <f t="shared" si="19"/>
        <v>0</v>
      </c>
      <c r="AM47" s="23"/>
      <c r="AN47" s="236" t="s">
        <v>904</v>
      </c>
      <c r="AO47" s="236"/>
      <c r="AP47" s="236"/>
      <c r="AQ47" s="236"/>
      <c r="AR47" s="236"/>
      <c r="AS47" s="236"/>
    </row>
    <row r="48" spans="1:45">
      <c r="A48" s="165">
        <v>45079</v>
      </c>
      <c r="B48" s="158">
        <v>6</v>
      </c>
      <c r="C48" s="167" t="s">
        <v>365</v>
      </c>
      <c r="D48" s="159">
        <f>G48*90%</f>
        <v>4185</v>
      </c>
      <c r="E48" s="160"/>
      <c r="F48" s="201">
        <f t="shared" si="15"/>
        <v>13053</v>
      </c>
      <c r="G48" s="21">
        <v>4650</v>
      </c>
      <c r="H48" s="162"/>
      <c r="I48" s="165"/>
      <c r="J48" s="167"/>
      <c r="K48" s="167"/>
      <c r="L48" s="166"/>
      <c r="M48" s="160"/>
      <c r="N48" s="160"/>
      <c r="P48" s="162"/>
      <c r="Q48" s="165"/>
      <c r="R48" s="158"/>
      <c r="S48" s="167"/>
      <c r="T48" s="159"/>
      <c r="U48" s="167"/>
      <c r="V48" s="160"/>
      <c r="X48" s="162"/>
      <c r="Y48" s="165"/>
      <c r="Z48" s="166"/>
      <c r="AA48" s="167"/>
      <c r="AB48" s="168">
        <f t="shared" si="11"/>
        <v>0</v>
      </c>
      <c r="AC48" s="160"/>
      <c r="AD48" s="160">
        <f t="shared" si="17"/>
        <v>0</v>
      </c>
      <c r="AF48" s="162"/>
      <c r="AG48" s="227">
        <v>45108</v>
      </c>
      <c r="AH48" s="166">
        <v>6</v>
      </c>
      <c r="AI48" s="168" t="s">
        <v>365</v>
      </c>
      <c r="AJ48" s="168">
        <f>AM48*90%</f>
        <v>1253.7</v>
      </c>
      <c r="AK48" s="168"/>
      <c r="AL48" s="161">
        <f t="shared" si="19"/>
        <v>1253.7</v>
      </c>
      <c r="AM48" s="5">
        <v>1393</v>
      </c>
    </row>
    <row r="49" spans="1:41">
      <c r="A49" s="165">
        <v>45086</v>
      </c>
      <c r="B49" s="158">
        <v>25</v>
      </c>
      <c r="C49" s="171" t="s">
        <v>905</v>
      </c>
      <c r="D49" s="172">
        <f>G49</f>
        <v>324</v>
      </c>
      <c r="E49" s="167"/>
      <c r="F49" s="201">
        <f t="shared" si="15"/>
        <v>13377</v>
      </c>
      <c r="G49" s="21">
        <v>324</v>
      </c>
      <c r="H49" s="162"/>
      <c r="I49" s="165"/>
      <c r="J49" s="167"/>
      <c r="K49" s="167"/>
      <c r="L49" s="166"/>
      <c r="M49" s="160"/>
      <c r="N49" s="160"/>
      <c r="P49" s="162"/>
      <c r="Q49" s="165"/>
      <c r="R49" s="158"/>
      <c r="S49" s="167"/>
      <c r="T49" s="166"/>
      <c r="U49" s="160"/>
      <c r="V49" s="160"/>
      <c r="X49" s="162"/>
      <c r="Y49" s="165"/>
      <c r="Z49" s="166"/>
      <c r="AA49" s="167"/>
      <c r="AB49" s="168">
        <f t="shared" si="11"/>
        <v>0</v>
      </c>
      <c r="AC49" s="160"/>
      <c r="AD49" s="160">
        <f t="shared" si="17"/>
        <v>0</v>
      </c>
      <c r="AF49" s="162"/>
      <c r="AG49" s="227">
        <v>45126</v>
      </c>
      <c r="AH49" s="166">
        <v>48</v>
      </c>
      <c r="AI49" s="168" t="s">
        <v>365</v>
      </c>
      <c r="AJ49" s="168">
        <f>AM49*90%</f>
        <v>2907</v>
      </c>
      <c r="AK49" s="160"/>
      <c r="AL49" s="161">
        <f t="shared" si="19"/>
        <v>4160.7</v>
      </c>
      <c r="AM49" s="5">
        <v>3230</v>
      </c>
    </row>
    <row r="50" spans="1:41">
      <c r="A50" s="165">
        <v>45086</v>
      </c>
      <c r="B50" s="158">
        <v>25</v>
      </c>
      <c r="C50" s="167" t="s">
        <v>365</v>
      </c>
      <c r="D50" s="159">
        <f>G50*90%</f>
        <v>2697.3</v>
      </c>
      <c r="E50" s="160"/>
      <c r="F50" s="201">
        <f t="shared" si="15"/>
        <v>16074.3</v>
      </c>
      <c r="G50" s="21">
        <v>2997</v>
      </c>
      <c r="H50" s="162"/>
      <c r="I50" s="165"/>
      <c r="J50" s="167"/>
      <c r="K50" s="167"/>
      <c r="L50" s="166"/>
      <c r="M50" s="160"/>
      <c r="N50" s="160"/>
      <c r="P50" s="162"/>
      <c r="Q50" s="165"/>
      <c r="R50" s="167"/>
      <c r="S50" s="167"/>
      <c r="T50" s="166"/>
      <c r="U50" s="160"/>
      <c r="V50" s="160"/>
      <c r="X50" s="162"/>
      <c r="Y50" s="165"/>
      <c r="Z50" s="166"/>
      <c r="AA50" s="167"/>
      <c r="AB50" s="168"/>
      <c r="AC50" s="160"/>
      <c r="AD50" s="160"/>
      <c r="AF50" s="162"/>
      <c r="AG50" s="227">
        <v>45156</v>
      </c>
      <c r="AH50" s="166">
        <v>15</v>
      </c>
      <c r="AI50" s="168" t="s">
        <v>365</v>
      </c>
      <c r="AJ50" s="168">
        <f>AM50*90%</f>
        <v>3778.2</v>
      </c>
      <c r="AK50" s="160"/>
      <c r="AL50" s="161">
        <f t="shared" si="19"/>
        <v>7938.9</v>
      </c>
      <c r="AM50" s="5">
        <v>4198</v>
      </c>
      <c r="AN50">
        <f>SUM(AM48:AM49)</f>
        <v>4623</v>
      </c>
    </row>
    <row r="51" spans="1:41">
      <c r="A51" s="165">
        <v>45103</v>
      </c>
      <c r="B51" s="158">
        <v>69</v>
      </c>
      <c r="C51" s="167" t="s">
        <v>365</v>
      </c>
      <c r="D51" s="159">
        <f>G51*90%</f>
        <v>9867.6</v>
      </c>
      <c r="E51" s="160"/>
      <c r="F51" s="201">
        <f t="shared" si="15"/>
        <v>25941.9</v>
      </c>
      <c r="G51" s="21">
        <v>10964</v>
      </c>
      <c r="H51" s="162"/>
      <c r="I51" s="165"/>
      <c r="J51" s="167"/>
      <c r="K51" s="167"/>
      <c r="L51" s="166"/>
      <c r="M51" s="167"/>
      <c r="N51" s="160"/>
      <c r="P51" s="162"/>
      <c r="Q51" s="165"/>
      <c r="R51" s="167"/>
      <c r="S51" s="167"/>
      <c r="T51" s="166"/>
      <c r="U51" s="160"/>
      <c r="V51" s="160"/>
      <c r="X51" s="162"/>
      <c r="Y51" s="165"/>
      <c r="Z51" s="167"/>
      <c r="AA51" s="167"/>
      <c r="AB51" s="168"/>
      <c r="AC51" s="160"/>
      <c r="AD51" s="160"/>
      <c r="AF51" s="162"/>
      <c r="AG51" s="227">
        <v>45167</v>
      </c>
      <c r="AH51" s="166">
        <v>44</v>
      </c>
      <c r="AI51" s="168" t="s">
        <v>365</v>
      </c>
      <c r="AJ51" s="168">
        <f t="shared" ref="AJ51:AJ92" si="20">AM51*90%</f>
        <v>2907</v>
      </c>
      <c r="AK51" s="168"/>
      <c r="AL51" s="161">
        <f t="shared" si="19"/>
        <v>10845.9</v>
      </c>
      <c r="AM51" s="5">
        <v>3230</v>
      </c>
    </row>
    <row r="52" spans="1:41">
      <c r="A52" s="165">
        <v>45104</v>
      </c>
      <c r="B52" s="158">
        <v>73</v>
      </c>
      <c r="C52" s="167" t="s">
        <v>365</v>
      </c>
      <c r="D52" s="159">
        <f>G52*90%</f>
        <v>2998.8</v>
      </c>
      <c r="E52" s="160"/>
      <c r="F52" s="201">
        <f t="shared" si="15"/>
        <v>28940.7</v>
      </c>
      <c r="G52" s="21">
        <v>3332</v>
      </c>
      <c r="H52" s="162"/>
      <c r="I52" s="165"/>
      <c r="J52" s="167"/>
      <c r="K52" s="167"/>
      <c r="L52" s="167"/>
      <c r="M52" s="167"/>
      <c r="N52" s="160"/>
      <c r="P52" s="162"/>
      <c r="Q52" s="165"/>
      <c r="R52" s="167"/>
      <c r="S52" s="167"/>
      <c r="T52" s="166"/>
      <c r="U52" s="167"/>
      <c r="V52" s="160"/>
      <c r="X52" s="162"/>
      <c r="Y52" s="165"/>
      <c r="Z52" s="167"/>
      <c r="AA52" s="167"/>
      <c r="AB52" s="166"/>
      <c r="AC52" s="160"/>
      <c r="AD52" s="160"/>
      <c r="AF52" s="162"/>
      <c r="AG52" s="237">
        <v>45231</v>
      </c>
      <c r="AH52" s="179"/>
      <c r="AI52" s="181" t="s">
        <v>392</v>
      </c>
      <c r="AJ52" s="168">
        <f t="shared" si="20"/>
        <v>0</v>
      </c>
      <c r="AK52" s="181">
        <v>10846</v>
      </c>
      <c r="AL52" s="201">
        <f t="shared" si="19"/>
        <v>-0.100000000000364</v>
      </c>
      <c r="AM52" s="238"/>
      <c r="AN52">
        <f>SUM(AM50:AM51)</f>
        <v>7428</v>
      </c>
    </row>
    <row r="53" spans="1:41">
      <c r="A53" s="182">
        <v>45623</v>
      </c>
      <c r="B53" s="183"/>
      <c r="C53" s="184" t="s">
        <v>889</v>
      </c>
      <c r="D53" s="185"/>
      <c r="E53" s="192">
        <v>10000</v>
      </c>
      <c r="F53" s="201">
        <f t="shared" si="15"/>
        <v>18940.7</v>
      </c>
      <c r="G53" s="21"/>
      <c r="H53" s="162"/>
      <c r="I53" s="165"/>
      <c r="J53" s="167"/>
      <c r="K53" s="167"/>
      <c r="L53" s="167"/>
      <c r="M53" s="167"/>
      <c r="N53" s="160"/>
      <c r="P53" s="162"/>
      <c r="Q53" s="165"/>
      <c r="R53" s="167"/>
      <c r="S53" s="167"/>
      <c r="T53" s="166"/>
      <c r="U53" s="160"/>
      <c r="V53" s="160"/>
      <c r="X53" s="162"/>
      <c r="Y53" s="165"/>
      <c r="Z53" s="167"/>
      <c r="AA53" s="167"/>
      <c r="AB53" s="166"/>
      <c r="AC53" s="167"/>
      <c r="AD53" s="160"/>
      <c r="AF53" s="162"/>
      <c r="AG53" s="227">
        <v>45171</v>
      </c>
      <c r="AH53" s="166">
        <v>7</v>
      </c>
      <c r="AI53" s="168" t="s">
        <v>365</v>
      </c>
      <c r="AJ53" s="168">
        <f t="shared" si="20"/>
        <v>2560.5</v>
      </c>
      <c r="AK53" s="160"/>
      <c r="AL53" s="161">
        <f t="shared" si="19"/>
        <v>2560.4</v>
      </c>
      <c r="AM53" s="5">
        <v>2845</v>
      </c>
      <c r="AN53" s="233" t="s">
        <v>902</v>
      </c>
    </row>
    <row r="54" spans="1:41">
      <c r="A54" s="165">
        <v>45113</v>
      </c>
      <c r="B54" s="158">
        <v>15</v>
      </c>
      <c r="C54" s="167" t="s">
        <v>365</v>
      </c>
      <c r="D54" s="159">
        <f>G54*90%</f>
        <v>3937.5</v>
      </c>
      <c r="E54" s="167"/>
      <c r="F54" s="201">
        <f t="shared" si="15"/>
        <v>22878.2</v>
      </c>
      <c r="G54" s="21">
        <v>4375</v>
      </c>
      <c r="H54" s="162">
        <f>SUM(D48:D52)</f>
        <v>20072.7</v>
      </c>
      <c r="I54" s="165"/>
      <c r="J54" s="167"/>
      <c r="K54" s="167"/>
      <c r="L54" s="166"/>
      <c r="M54" s="160"/>
      <c r="N54" s="160"/>
      <c r="P54" s="162"/>
      <c r="Q54" s="165"/>
      <c r="R54" s="167"/>
      <c r="S54" s="167"/>
      <c r="T54" s="166"/>
      <c r="U54" s="160"/>
      <c r="V54" s="160"/>
      <c r="X54" s="162"/>
      <c r="Y54" s="165"/>
      <c r="Z54" s="167"/>
      <c r="AA54" s="167"/>
      <c r="AB54" s="166"/>
      <c r="AC54" s="160"/>
      <c r="AD54" s="160"/>
      <c r="AF54" s="162"/>
      <c r="AG54" s="227">
        <v>45180</v>
      </c>
      <c r="AH54" s="166">
        <v>30</v>
      </c>
      <c r="AI54" s="168" t="s">
        <v>365</v>
      </c>
      <c r="AJ54" s="168">
        <f t="shared" si="20"/>
        <v>540.9</v>
      </c>
      <c r="AK54" s="160"/>
      <c r="AL54" s="161">
        <f t="shared" si="19"/>
        <v>3101.3</v>
      </c>
      <c r="AM54" s="5">
        <v>601</v>
      </c>
    </row>
    <row r="55" spans="1:41">
      <c r="A55" s="165">
        <v>45118</v>
      </c>
      <c r="B55" s="158">
        <v>26</v>
      </c>
      <c r="C55" s="171" t="s">
        <v>905</v>
      </c>
      <c r="D55" s="172">
        <f>G55</f>
        <v>171</v>
      </c>
      <c r="E55" s="167"/>
      <c r="F55" s="201">
        <f t="shared" si="15"/>
        <v>23049.2</v>
      </c>
      <c r="G55" s="21">
        <v>171</v>
      </c>
      <c r="H55" s="162"/>
      <c r="I55" s="165"/>
      <c r="J55" s="167"/>
      <c r="K55" s="167"/>
      <c r="L55" s="166"/>
      <c r="M55" s="160"/>
      <c r="N55" s="160"/>
      <c r="P55" s="162"/>
      <c r="Q55" s="165"/>
      <c r="R55" s="167"/>
      <c r="S55" s="167"/>
      <c r="T55" s="166"/>
      <c r="U55" s="160"/>
      <c r="V55" s="160"/>
      <c r="X55" s="162"/>
      <c r="Y55" s="227"/>
      <c r="Z55" s="168"/>
      <c r="AA55" s="168"/>
      <c r="AB55" s="166"/>
      <c r="AC55" s="228"/>
      <c r="AD55" s="160"/>
      <c r="AF55" s="162"/>
      <c r="AG55" s="227">
        <v>45186</v>
      </c>
      <c r="AH55" s="166">
        <v>53</v>
      </c>
      <c r="AI55" s="168" t="s">
        <v>365</v>
      </c>
      <c r="AJ55" s="168">
        <f t="shared" si="20"/>
        <v>1973.7</v>
      </c>
      <c r="AK55" s="160"/>
      <c r="AL55" s="161">
        <f t="shared" si="19"/>
        <v>5075</v>
      </c>
      <c r="AM55" s="5">
        <v>2193</v>
      </c>
    </row>
    <row r="56" spans="1:41">
      <c r="A56" s="165">
        <v>45118</v>
      </c>
      <c r="B56" s="158">
        <v>26</v>
      </c>
      <c r="C56" s="167" t="s">
        <v>365</v>
      </c>
      <c r="D56" s="159">
        <f>G56*90%</f>
        <v>6175.8</v>
      </c>
      <c r="E56" s="167"/>
      <c r="F56" s="201">
        <f t="shared" si="15"/>
        <v>29225</v>
      </c>
      <c r="G56" s="21">
        <v>6862</v>
      </c>
      <c r="H56" s="162"/>
      <c r="I56" s="165"/>
      <c r="J56" s="167"/>
      <c r="K56" s="167"/>
      <c r="L56" s="166"/>
      <c r="M56" s="160"/>
      <c r="N56" s="160"/>
      <c r="P56" s="162"/>
      <c r="Q56" s="165"/>
      <c r="R56" s="167"/>
      <c r="S56" s="167"/>
      <c r="T56" s="166"/>
      <c r="U56" s="160"/>
      <c r="V56" s="160"/>
      <c r="X56" s="162"/>
      <c r="Y56" s="227"/>
      <c r="Z56" s="168"/>
      <c r="AA56" s="168"/>
      <c r="AB56" s="166"/>
      <c r="AC56" s="168"/>
      <c r="AD56" s="160"/>
      <c r="AF56" s="162"/>
      <c r="AG56" s="227">
        <v>45192</v>
      </c>
      <c r="AH56" s="166">
        <v>69</v>
      </c>
      <c r="AI56" s="168" t="s">
        <v>365</v>
      </c>
      <c r="AJ56" s="168">
        <f t="shared" si="20"/>
        <v>2476.8</v>
      </c>
      <c r="AK56" s="168"/>
      <c r="AL56" s="161">
        <f t="shared" si="19"/>
        <v>7551.8</v>
      </c>
      <c r="AM56" s="5">
        <v>2752</v>
      </c>
      <c r="AN56">
        <f>SUM(AM53:AM57)</f>
        <v>11876</v>
      </c>
    </row>
    <row r="57" spans="1:41">
      <c r="A57" s="165">
        <v>45125</v>
      </c>
      <c r="B57" s="158">
        <v>46</v>
      </c>
      <c r="C57" s="167" t="s">
        <v>365</v>
      </c>
      <c r="D57" s="159">
        <f>G57*90%</f>
        <v>7478.1</v>
      </c>
      <c r="E57" s="160"/>
      <c r="F57" s="201">
        <f t="shared" si="15"/>
        <v>36703.1</v>
      </c>
      <c r="G57" s="21">
        <v>8309</v>
      </c>
      <c r="H57" s="162"/>
      <c r="I57" s="165"/>
      <c r="J57" s="167"/>
      <c r="K57" s="167"/>
      <c r="L57" s="166"/>
      <c r="M57" s="160"/>
      <c r="N57" s="160"/>
      <c r="P57" s="162"/>
      <c r="Q57" s="165"/>
      <c r="R57" s="167"/>
      <c r="S57" s="167"/>
      <c r="T57" s="166"/>
      <c r="U57" s="160"/>
      <c r="V57" s="160"/>
      <c r="X57" s="162"/>
      <c r="Y57" s="227"/>
      <c r="Z57" s="168"/>
      <c r="AA57" s="168"/>
      <c r="AB57" s="166"/>
      <c r="AC57" s="160"/>
      <c r="AD57" s="160"/>
      <c r="AF57" s="162"/>
      <c r="AG57" s="227">
        <v>45197</v>
      </c>
      <c r="AH57" s="166">
        <v>85</v>
      </c>
      <c r="AI57" s="168" t="s">
        <v>365</v>
      </c>
      <c r="AJ57" s="168">
        <f t="shared" si="20"/>
        <v>3136.5</v>
      </c>
      <c r="AK57" s="160"/>
      <c r="AL57" s="161">
        <f t="shared" si="19"/>
        <v>10688.3</v>
      </c>
      <c r="AM57" s="5">
        <v>3485</v>
      </c>
    </row>
    <row r="58" spans="1:41">
      <c r="A58" s="182">
        <v>45643</v>
      </c>
      <c r="B58" s="183"/>
      <c r="C58" s="184" t="s">
        <v>889</v>
      </c>
      <c r="D58" s="185"/>
      <c r="E58" s="192">
        <v>10000</v>
      </c>
      <c r="F58" s="201">
        <f t="shared" si="15"/>
        <v>26703.1</v>
      </c>
      <c r="G58" s="21"/>
      <c r="H58" s="162"/>
      <c r="I58" s="165"/>
      <c r="J58" s="167"/>
      <c r="K58" s="167"/>
      <c r="L58" s="166"/>
      <c r="M58" s="160"/>
      <c r="N58" s="160"/>
      <c r="P58" s="162"/>
      <c r="Q58" s="165"/>
      <c r="R58" s="167"/>
      <c r="S58" s="167"/>
      <c r="T58" s="166"/>
      <c r="U58" s="167"/>
      <c r="V58" s="160"/>
      <c r="X58" s="162"/>
      <c r="Y58" s="227"/>
      <c r="Z58" s="168"/>
      <c r="AA58" s="168"/>
      <c r="AB58" s="166"/>
      <c r="AC58" s="160"/>
      <c r="AD58" s="160"/>
      <c r="AF58" s="162"/>
      <c r="AG58" s="227">
        <v>45205</v>
      </c>
      <c r="AH58" s="166">
        <v>5</v>
      </c>
      <c r="AI58" s="168" t="s">
        <v>365</v>
      </c>
      <c r="AJ58" s="168">
        <f t="shared" si="20"/>
        <v>1196.1</v>
      </c>
      <c r="AK58" s="160"/>
      <c r="AL58" s="161">
        <f t="shared" ref="AL53:AL86" si="21">AL57+AJ58-AK58</f>
        <v>11884.4</v>
      </c>
      <c r="AM58" s="5">
        <v>1329</v>
      </c>
    </row>
    <row r="59" spans="1:41">
      <c r="A59" s="182" t="s">
        <v>906</v>
      </c>
      <c r="B59" s="158"/>
      <c r="C59" s="184" t="s">
        <v>889</v>
      </c>
      <c r="D59" s="159"/>
      <c r="E59" s="192">
        <v>10000</v>
      </c>
      <c r="F59" s="201">
        <f t="shared" si="15"/>
        <v>16703.1</v>
      </c>
      <c r="G59" s="21"/>
      <c r="H59" s="162"/>
      <c r="I59" s="165"/>
      <c r="J59" s="167"/>
      <c r="K59" s="167"/>
      <c r="L59" s="166"/>
      <c r="M59" s="167"/>
      <c r="N59" s="160"/>
      <c r="P59" s="162"/>
      <c r="Q59" s="165"/>
      <c r="R59" s="167"/>
      <c r="S59" s="167"/>
      <c r="T59" s="166"/>
      <c r="U59" s="160"/>
      <c r="V59" s="160"/>
      <c r="X59" s="162"/>
      <c r="Y59" s="227"/>
      <c r="Z59" s="168"/>
      <c r="AA59" s="168"/>
      <c r="AB59" s="166"/>
      <c r="AC59" s="168"/>
      <c r="AD59" s="160"/>
      <c r="AF59" s="162"/>
      <c r="AG59" s="227">
        <v>45206</v>
      </c>
      <c r="AH59" s="166">
        <v>8</v>
      </c>
      <c r="AI59" s="168" t="s">
        <v>365</v>
      </c>
      <c r="AJ59" s="168">
        <f t="shared" si="20"/>
        <v>1999.35</v>
      </c>
      <c r="AK59" s="228"/>
      <c r="AL59" s="161">
        <f t="shared" si="21"/>
        <v>13883.75</v>
      </c>
      <c r="AM59" s="5">
        <v>2221.5</v>
      </c>
    </row>
    <row r="60" spans="1:41">
      <c r="A60" s="165">
        <v>45154</v>
      </c>
      <c r="B60" s="158">
        <v>8</v>
      </c>
      <c r="C60" s="167" t="s">
        <v>365</v>
      </c>
      <c r="D60" s="159">
        <f>G60*90%</f>
        <v>2835</v>
      </c>
      <c r="E60" s="160"/>
      <c r="F60" s="201">
        <f t="shared" si="15"/>
        <v>19538.1</v>
      </c>
      <c r="G60" s="21">
        <v>3150</v>
      </c>
      <c r="H60" s="162"/>
      <c r="I60" s="165"/>
      <c r="J60" s="167"/>
      <c r="K60" s="167"/>
      <c r="L60" s="166"/>
      <c r="M60" s="160"/>
      <c r="N60" s="160"/>
      <c r="P60" s="162"/>
      <c r="Q60" s="165"/>
      <c r="R60" s="167"/>
      <c r="S60" s="167"/>
      <c r="T60" s="166"/>
      <c r="U60" s="160"/>
      <c r="V60" s="160"/>
      <c r="X60" s="162"/>
      <c r="Y60" s="227"/>
      <c r="Z60" s="168"/>
      <c r="AA60" s="168"/>
      <c r="AB60" s="166"/>
      <c r="AC60" s="160"/>
      <c r="AD60" s="160"/>
      <c r="AF60" s="162"/>
      <c r="AG60" s="227">
        <v>45213</v>
      </c>
      <c r="AH60" s="166">
        <v>30</v>
      </c>
      <c r="AI60" s="168" t="s">
        <v>365</v>
      </c>
      <c r="AJ60" s="168">
        <f t="shared" si="20"/>
        <v>2295</v>
      </c>
      <c r="AK60" s="160"/>
      <c r="AL60" s="161">
        <f t="shared" si="21"/>
        <v>16178.75</v>
      </c>
      <c r="AM60" s="5">
        <v>2550</v>
      </c>
    </row>
    <row r="61" spans="1:41">
      <c r="A61" s="165">
        <v>45155</v>
      </c>
      <c r="B61" s="158">
        <v>12</v>
      </c>
      <c r="C61" s="167" t="s">
        <v>365</v>
      </c>
      <c r="D61" s="159">
        <f>G61*90%</f>
        <v>6197.4</v>
      </c>
      <c r="E61" s="160"/>
      <c r="F61" s="201">
        <f t="shared" si="15"/>
        <v>25735.5</v>
      </c>
      <c r="G61" s="21">
        <v>6886</v>
      </c>
      <c r="H61" s="162"/>
      <c r="I61" s="227"/>
      <c r="J61" s="168"/>
      <c r="K61" s="168"/>
      <c r="L61" s="166"/>
      <c r="M61" s="228"/>
      <c r="N61" s="160"/>
      <c r="P61" s="162"/>
      <c r="Q61" s="165"/>
      <c r="R61" s="167"/>
      <c r="S61" s="167"/>
      <c r="T61" s="166"/>
      <c r="U61" s="160"/>
      <c r="V61" s="160"/>
      <c r="X61" s="162"/>
      <c r="Y61" s="227"/>
      <c r="Z61" s="168"/>
      <c r="AA61" s="168"/>
      <c r="AB61" s="166"/>
      <c r="AC61" s="160"/>
      <c r="AD61" s="160"/>
      <c r="AF61" s="162"/>
      <c r="AG61" s="227">
        <v>45219</v>
      </c>
      <c r="AH61" s="166">
        <v>43</v>
      </c>
      <c r="AI61" s="168" t="s">
        <v>365</v>
      </c>
      <c r="AJ61" s="168">
        <f t="shared" si="20"/>
        <v>795.15</v>
      </c>
      <c r="AK61" s="160"/>
      <c r="AL61" s="161">
        <f t="shared" si="21"/>
        <v>16973.9</v>
      </c>
      <c r="AM61" s="5">
        <v>883.5</v>
      </c>
    </row>
    <row r="62" spans="1:41">
      <c r="A62" s="165">
        <v>45155</v>
      </c>
      <c r="B62" s="158">
        <v>14</v>
      </c>
      <c r="C62" s="167" t="s">
        <v>365</v>
      </c>
      <c r="D62" s="159">
        <f>G62*90%</f>
        <v>1040.4</v>
      </c>
      <c r="E62" s="160"/>
      <c r="F62" s="201">
        <f t="shared" si="15"/>
        <v>26775.9</v>
      </c>
      <c r="G62" s="21">
        <v>1156</v>
      </c>
      <c r="H62" s="162"/>
      <c r="I62" s="227"/>
      <c r="J62" s="168"/>
      <c r="K62" s="168"/>
      <c r="L62" s="166"/>
      <c r="M62" s="168"/>
      <c r="N62" s="160"/>
      <c r="P62" s="162"/>
      <c r="Q62" s="165"/>
      <c r="R62" s="167"/>
      <c r="S62" s="167"/>
      <c r="T62" s="166"/>
      <c r="U62" s="167"/>
      <c r="V62" s="160"/>
      <c r="X62" s="162"/>
      <c r="Y62" s="227"/>
      <c r="Z62" s="168"/>
      <c r="AA62" s="168"/>
      <c r="AB62" s="166"/>
      <c r="AC62" s="160"/>
      <c r="AD62" s="160"/>
      <c r="AF62" s="162"/>
      <c r="AG62" s="227">
        <v>45220</v>
      </c>
      <c r="AH62" s="166">
        <v>45</v>
      </c>
      <c r="AI62" s="168" t="s">
        <v>365</v>
      </c>
      <c r="AJ62" s="168">
        <f t="shared" si="20"/>
        <v>2432.7</v>
      </c>
      <c r="AK62" s="160"/>
      <c r="AL62" s="161">
        <f t="shared" si="21"/>
        <v>19406.6</v>
      </c>
      <c r="AM62" s="5">
        <v>2703</v>
      </c>
    </row>
    <row r="63" spans="1:41">
      <c r="A63" s="165">
        <v>45159</v>
      </c>
      <c r="B63" s="158">
        <v>25</v>
      </c>
      <c r="C63" s="167" t="s">
        <v>365</v>
      </c>
      <c r="D63" s="159">
        <f>G63*90%</f>
        <v>7866</v>
      </c>
      <c r="E63" s="160"/>
      <c r="F63" s="201">
        <f t="shared" si="15"/>
        <v>34641.9</v>
      </c>
      <c r="G63" s="21">
        <v>8740</v>
      </c>
      <c r="H63" s="239" t="s">
        <v>907</v>
      </c>
      <c r="I63" s="227"/>
      <c r="J63" s="168"/>
      <c r="K63" s="168"/>
      <c r="L63" s="166"/>
      <c r="M63" s="160"/>
      <c r="N63" s="160"/>
      <c r="P63" s="162"/>
      <c r="Q63" s="165"/>
      <c r="R63" s="167"/>
      <c r="S63" s="167"/>
      <c r="T63" s="167"/>
      <c r="U63" s="167"/>
      <c r="V63" s="160"/>
      <c r="X63" s="162"/>
      <c r="Y63" s="227"/>
      <c r="Z63" s="168"/>
      <c r="AA63" s="168"/>
      <c r="AB63" s="166"/>
      <c r="AC63" s="168"/>
      <c r="AD63" s="160"/>
      <c r="AF63" s="162"/>
      <c r="AG63" s="227">
        <v>45228</v>
      </c>
      <c r="AH63" s="166">
        <v>72</v>
      </c>
      <c r="AI63" s="168" t="s">
        <v>365</v>
      </c>
      <c r="AJ63" s="168">
        <f t="shared" si="20"/>
        <v>2004.3</v>
      </c>
      <c r="AK63" s="160"/>
      <c r="AL63" s="161">
        <f t="shared" si="21"/>
        <v>21410.9</v>
      </c>
      <c r="AM63" s="5">
        <v>2227</v>
      </c>
      <c r="AO63">
        <f>SUM(AM66:AM83)</f>
        <v>32862.5</v>
      </c>
    </row>
    <row r="64" spans="1:41">
      <c r="A64" s="165">
        <v>45163</v>
      </c>
      <c r="B64" s="158">
        <v>32</v>
      </c>
      <c r="C64" s="167" t="s">
        <v>365</v>
      </c>
      <c r="D64" s="159">
        <f>G64*90%</f>
        <v>2723.4</v>
      </c>
      <c r="E64" s="167"/>
      <c r="F64" s="201">
        <f t="shared" si="15"/>
        <v>37365.3</v>
      </c>
      <c r="G64" s="21">
        <v>3026</v>
      </c>
      <c r="H64" s="240" t="s">
        <v>908</v>
      </c>
      <c r="I64" s="227"/>
      <c r="J64" s="168"/>
      <c r="K64" s="168"/>
      <c r="L64" s="166"/>
      <c r="M64" s="160"/>
      <c r="N64" s="160"/>
      <c r="P64" s="162"/>
      <c r="Q64" s="165"/>
      <c r="R64" s="167"/>
      <c r="S64" s="167"/>
      <c r="T64" s="167"/>
      <c r="U64" s="167"/>
      <c r="V64" s="160"/>
      <c r="X64" s="162"/>
      <c r="Y64" s="227"/>
      <c r="Z64" s="168"/>
      <c r="AA64" s="168"/>
      <c r="AB64" s="166"/>
      <c r="AC64" s="160"/>
      <c r="AD64" s="160"/>
      <c r="AF64" s="162"/>
      <c r="AG64" s="227">
        <v>45230</v>
      </c>
      <c r="AH64" s="166">
        <v>77</v>
      </c>
      <c r="AI64" s="168" t="s">
        <v>365</v>
      </c>
      <c r="AJ64" s="168">
        <f t="shared" si="20"/>
        <v>2711.25</v>
      </c>
      <c r="AK64" s="228"/>
      <c r="AL64" s="160">
        <f t="shared" si="21"/>
        <v>24122.15</v>
      </c>
      <c r="AM64" s="5">
        <v>3012.5</v>
      </c>
    </row>
    <row r="65" spans="1:40">
      <c r="A65" s="182" t="s">
        <v>909</v>
      </c>
      <c r="B65" s="183"/>
      <c r="C65" s="184" t="s">
        <v>889</v>
      </c>
      <c r="D65" s="185"/>
      <c r="E65" s="184">
        <v>20000</v>
      </c>
      <c r="F65" s="201">
        <f t="shared" si="15"/>
        <v>17365.3</v>
      </c>
      <c r="G65" s="241">
        <v>-150000</v>
      </c>
      <c r="H65" s="242"/>
      <c r="I65" s="227"/>
      <c r="J65" s="168"/>
      <c r="K65" s="168"/>
      <c r="L65" s="166"/>
      <c r="M65" s="168"/>
      <c r="N65" s="160"/>
      <c r="P65" s="162"/>
      <c r="Q65" s="165"/>
      <c r="R65" s="167"/>
      <c r="S65" s="167"/>
      <c r="T65" s="166"/>
      <c r="U65" s="160"/>
      <c r="V65" s="160"/>
      <c r="X65" s="162"/>
      <c r="Y65" s="227"/>
      <c r="Z65" s="168"/>
      <c r="AA65" s="168"/>
      <c r="AB65" s="166"/>
      <c r="AC65" s="160"/>
      <c r="AD65" s="160"/>
      <c r="AF65" s="162"/>
      <c r="AG65" s="227"/>
      <c r="AH65" s="166"/>
      <c r="AI65" s="168" t="s">
        <v>910</v>
      </c>
      <c r="AJ65" s="168">
        <f t="shared" si="20"/>
        <v>0</v>
      </c>
      <c r="AK65" s="228">
        <v>24122.2</v>
      </c>
      <c r="AL65" s="160">
        <f t="shared" si="21"/>
        <v>-0.0499999999992724</v>
      </c>
    </row>
    <row r="66" spans="1:40">
      <c r="A66" s="182" t="s">
        <v>911</v>
      </c>
      <c r="B66" s="183"/>
      <c r="C66" s="184" t="s">
        <v>912</v>
      </c>
      <c r="D66" s="185"/>
      <c r="E66" s="184">
        <v>20000</v>
      </c>
      <c r="F66" s="201">
        <f t="shared" si="15"/>
        <v>-2634.7</v>
      </c>
      <c r="G66" s="223"/>
      <c r="H66" s="162"/>
      <c r="I66" s="227"/>
      <c r="J66" s="168"/>
      <c r="K66" s="168"/>
      <c r="L66" s="166"/>
      <c r="M66" s="160"/>
      <c r="N66" s="160"/>
      <c r="P66" s="162"/>
      <c r="Q66" s="165"/>
      <c r="R66" s="167"/>
      <c r="S66" s="167"/>
      <c r="T66" s="166"/>
      <c r="U66" s="160"/>
      <c r="V66" s="160"/>
      <c r="X66" s="162"/>
      <c r="Y66" s="227"/>
      <c r="Z66" s="168"/>
      <c r="AA66" s="168"/>
      <c r="AB66" s="166"/>
      <c r="AC66" s="228"/>
      <c r="AD66" s="160"/>
      <c r="AF66" s="162"/>
      <c r="AG66" s="227">
        <v>45236</v>
      </c>
      <c r="AH66" s="166">
        <v>10</v>
      </c>
      <c r="AI66" s="168" t="s">
        <v>365</v>
      </c>
      <c r="AJ66" s="168">
        <f t="shared" si="20"/>
        <v>2720.7</v>
      </c>
      <c r="AK66" s="160"/>
      <c r="AL66" s="160">
        <f t="shared" si="21"/>
        <v>2720.65</v>
      </c>
      <c r="AM66" s="5">
        <v>3023</v>
      </c>
    </row>
    <row r="67" spans="1:40">
      <c r="A67" s="182"/>
      <c r="B67" s="183"/>
      <c r="C67" s="184"/>
      <c r="D67" s="185"/>
      <c r="E67" s="184"/>
      <c r="F67" s="201">
        <f t="shared" si="15"/>
        <v>-2634.7</v>
      </c>
      <c r="G67" s="12"/>
      <c r="H67" s="162"/>
      <c r="I67" s="227"/>
      <c r="J67" s="168"/>
      <c r="K67" s="168"/>
      <c r="L67" s="166"/>
      <c r="M67" s="160"/>
      <c r="N67" s="160"/>
      <c r="P67" s="162"/>
      <c r="Q67" s="165"/>
      <c r="R67" s="167"/>
      <c r="S67" s="167"/>
      <c r="T67" s="166"/>
      <c r="U67" s="160"/>
      <c r="V67" s="160"/>
      <c r="X67" s="162"/>
      <c r="Y67" s="227"/>
      <c r="Z67" s="168"/>
      <c r="AA67" s="168"/>
      <c r="AB67" s="166"/>
      <c r="AC67" s="160"/>
      <c r="AD67" s="160"/>
      <c r="AF67" s="162"/>
      <c r="AG67" s="227">
        <v>45247</v>
      </c>
      <c r="AH67" s="166">
        <v>40</v>
      </c>
      <c r="AI67" s="168" t="s">
        <v>365</v>
      </c>
      <c r="AJ67" s="168">
        <f t="shared" si="20"/>
        <v>3534.3</v>
      </c>
      <c r="AK67" s="160"/>
      <c r="AL67" s="160">
        <f t="shared" si="21"/>
        <v>6254.95</v>
      </c>
      <c r="AM67" s="5">
        <v>3927</v>
      </c>
    </row>
    <row r="68" spans="1:40">
      <c r="A68" s="165">
        <v>45173</v>
      </c>
      <c r="B68" s="158">
        <v>9</v>
      </c>
      <c r="C68" s="167" t="s">
        <v>365</v>
      </c>
      <c r="D68" s="159">
        <f t="shared" ref="D68:D73" si="22">G68*90%</f>
        <v>3678.75</v>
      </c>
      <c r="E68" s="160"/>
      <c r="F68" s="201">
        <f t="shared" si="15"/>
        <v>1044.05</v>
      </c>
      <c r="G68" s="21">
        <v>4087.5</v>
      </c>
      <c r="H68" s="162"/>
      <c r="I68" s="227"/>
      <c r="J68" s="168"/>
      <c r="K68" s="168"/>
      <c r="L68" s="166"/>
      <c r="M68" s="160"/>
      <c r="N68" s="160"/>
      <c r="P68" s="162"/>
      <c r="Q68" s="165"/>
      <c r="R68" s="167"/>
      <c r="S68" s="167"/>
      <c r="T68" s="166"/>
      <c r="U68" s="160"/>
      <c r="V68" s="160"/>
      <c r="X68" s="162"/>
      <c r="Y68" s="227"/>
      <c r="Z68" s="168"/>
      <c r="AA68" s="168"/>
      <c r="AB68" s="166"/>
      <c r="AC68" s="160"/>
      <c r="AD68" s="160"/>
      <c r="AF68" s="162"/>
      <c r="AG68" s="227">
        <v>45249</v>
      </c>
      <c r="AH68" s="166">
        <v>46</v>
      </c>
      <c r="AI68" s="168" t="s">
        <v>365</v>
      </c>
      <c r="AJ68" s="168">
        <f t="shared" si="20"/>
        <v>2017.35</v>
      </c>
      <c r="AK68" s="160"/>
      <c r="AL68" s="160">
        <f t="shared" si="21"/>
        <v>8272.3</v>
      </c>
      <c r="AM68" s="5">
        <v>2241.5</v>
      </c>
    </row>
    <row r="69" spans="1:40">
      <c r="A69" s="227">
        <v>45178</v>
      </c>
      <c r="B69" s="158">
        <v>25</v>
      </c>
      <c r="C69" s="168" t="s">
        <v>365</v>
      </c>
      <c r="D69" s="159">
        <f t="shared" si="22"/>
        <v>8770.95</v>
      </c>
      <c r="E69" s="228"/>
      <c r="F69" s="201">
        <f t="shared" si="15"/>
        <v>9815</v>
      </c>
      <c r="G69" s="21">
        <v>9745.5</v>
      </c>
      <c r="H69" s="162"/>
      <c r="I69" s="227"/>
      <c r="J69" s="168"/>
      <c r="K69" s="168"/>
      <c r="L69" s="166"/>
      <c r="M69" s="168"/>
      <c r="N69" s="160"/>
      <c r="P69" s="162"/>
      <c r="Q69" s="165"/>
      <c r="R69" s="167"/>
      <c r="S69" s="167"/>
      <c r="T69" s="166"/>
      <c r="U69" s="160"/>
      <c r="V69" s="160"/>
      <c r="X69" s="162"/>
      <c r="Y69" s="227"/>
      <c r="Z69" s="168"/>
      <c r="AA69" s="168"/>
      <c r="AB69" s="166"/>
      <c r="AC69" s="160"/>
      <c r="AD69" s="160"/>
      <c r="AF69" s="162"/>
      <c r="AG69" s="227">
        <v>45252</v>
      </c>
      <c r="AH69" s="166">
        <v>52</v>
      </c>
      <c r="AI69" s="168" t="s">
        <v>365</v>
      </c>
      <c r="AJ69" s="168">
        <f t="shared" si="20"/>
        <v>2656.35</v>
      </c>
      <c r="AK69" s="160"/>
      <c r="AL69" s="160">
        <f t="shared" si="21"/>
        <v>10928.65</v>
      </c>
      <c r="AM69" s="5">
        <v>2951.5</v>
      </c>
    </row>
    <row r="70" spans="1:40">
      <c r="A70" s="227">
        <v>45178</v>
      </c>
      <c r="B70" s="158">
        <v>26</v>
      </c>
      <c r="C70" s="168" t="s">
        <v>365</v>
      </c>
      <c r="D70" s="159">
        <f t="shared" si="22"/>
        <v>1805.4</v>
      </c>
      <c r="E70" s="228"/>
      <c r="F70" s="201">
        <f t="shared" si="15"/>
        <v>11620.4</v>
      </c>
      <c r="G70" s="21">
        <v>2006</v>
      </c>
      <c r="H70" s="162"/>
      <c r="I70" s="227"/>
      <c r="J70" s="168"/>
      <c r="K70" s="168"/>
      <c r="L70" s="166"/>
      <c r="M70" s="160"/>
      <c r="N70" s="160"/>
      <c r="P70" s="162"/>
      <c r="Q70" s="165"/>
      <c r="R70" s="167"/>
      <c r="S70" s="167"/>
      <c r="T70" s="166"/>
      <c r="U70" s="167"/>
      <c r="V70" s="160"/>
      <c r="X70" s="162"/>
      <c r="Y70" s="227"/>
      <c r="Z70" s="168"/>
      <c r="AA70" s="168"/>
      <c r="AB70" s="166"/>
      <c r="AC70" s="160"/>
      <c r="AD70" s="160"/>
      <c r="AF70" s="162"/>
      <c r="AG70" s="227">
        <v>45255</v>
      </c>
      <c r="AH70" s="166">
        <v>66</v>
      </c>
      <c r="AI70" s="168" t="s">
        <v>365</v>
      </c>
      <c r="AJ70" s="168">
        <f t="shared" si="20"/>
        <v>2465.1</v>
      </c>
      <c r="AK70" s="160"/>
      <c r="AL70" s="160">
        <f t="shared" si="21"/>
        <v>13393.75</v>
      </c>
      <c r="AM70" s="5">
        <v>2739</v>
      </c>
    </row>
    <row r="71" spans="1:40">
      <c r="A71" s="227">
        <v>45182</v>
      </c>
      <c r="B71" s="158">
        <v>38</v>
      </c>
      <c r="C71" s="168" t="s">
        <v>365</v>
      </c>
      <c r="D71" s="159">
        <f t="shared" si="22"/>
        <v>6513.75</v>
      </c>
      <c r="E71" s="160"/>
      <c r="F71" s="201">
        <f t="shared" si="15"/>
        <v>18134.15</v>
      </c>
      <c r="G71" s="21">
        <v>7237.5</v>
      </c>
      <c r="H71" s="162"/>
      <c r="I71" s="227"/>
      <c r="J71" s="168"/>
      <c r="K71" s="168"/>
      <c r="L71" s="166"/>
      <c r="M71" s="160"/>
      <c r="N71" s="160"/>
      <c r="P71" s="162"/>
      <c r="Q71" s="165"/>
      <c r="R71" s="167"/>
      <c r="S71" s="167"/>
      <c r="T71" s="166"/>
      <c r="U71" s="160"/>
      <c r="V71" s="160"/>
      <c r="X71" s="162"/>
      <c r="Y71" s="227"/>
      <c r="Z71" s="168"/>
      <c r="AA71" s="168"/>
      <c r="AB71" s="166"/>
      <c r="AC71" s="160"/>
      <c r="AD71" s="160"/>
      <c r="AF71" s="162"/>
      <c r="AG71" s="227">
        <v>45257</v>
      </c>
      <c r="AH71" s="166">
        <v>71</v>
      </c>
      <c r="AI71" s="168" t="s">
        <v>365</v>
      </c>
      <c r="AJ71" s="168">
        <f t="shared" si="20"/>
        <v>703.8</v>
      </c>
      <c r="AK71" s="160"/>
      <c r="AL71" s="160">
        <f t="shared" si="21"/>
        <v>14097.55</v>
      </c>
      <c r="AM71" s="5">
        <v>782</v>
      </c>
    </row>
    <row r="72" spans="1:40">
      <c r="A72" s="227">
        <v>45192</v>
      </c>
      <c r="B72" s="158">
        <v>72</v>
      </c>
      <c r="C72" s="168" t="s">
        <v>365</v>
      </c>
      <c r="D72" s="159">
        <f t="shared" si="22"/>
        <v>5415.3</v>
      </c>
      <c r="E72" s="160"/>
      <c r="F72" s="201">
        <f t="shared" si="15"/>
        <v>23549.45</v>
      </c>
      <c r="G72" s="21">
        <v>6017</v>
      </c>
      <c r="H72" s="162"/>
      <c r="I72" s="227"/>
      <c r="J72" s="168"/>
      <c r="K72" s="168"/>
      <c r="L72" s="166"/>
      <c r="M72" s="228"/>
      <c r="N72" s="160"/>
      <c r="P72" s="162"/>
      <c r="Q72" s="227"/>
      <c r="R72" s="168"/>
      <c r="S72" s="168"/>
      <c r="T72" s="166"/>
      <c r="U72" s="228"/>
      <c r="V72" s="160"/>
      <c r="X72" s="162"/>
      <c r="Y72" s="227"/>
      <c r="Z72" s="168"/>
      <c r="AA72" s="168"/>
      <c r="AB72" s="166"/>
      <c r="AC72" s="160"/>
      <c r="AD72" s="160"/>
      <c r="AF72" s="162"/>
      <c r="AG72" s="227">
        <v>45258</v>
      </c>
      <c r="AH72" s="166">
        <v>76</v>
      </c>
      <c r="AI72" s="168" t="s">
        <v>365</v>
      </c>
      <c r="AJ72" s="168">
        <f t="shared" si="20"/>
        <v>290.25</v>
      </c>
      <c r="AK72" s="160"/>
      <c r="AL72" s="160">
        <f t="shared" si="21"/>
        <v>14387.8</v>
      </c>
      <c r="AM72" s="5">
        <v>322.5</v>
      </c>
    </row>
    <row r="73" spans="1:40">
      <c r="A73" s="227">
        <v>45195</v>
      </c>
      <c r="B73" s="158">
        <v>75</v>
      </c>
      <c r="C73" s="168" t="s">
        <v>365</v>
      </c>
      <c r="D73" s="159">
        <f t="shared" si="22"/>
        <v>2835</v>
      </c>
      <c r="E73" s="168"/>
      <c r="F73" s="201">
        <f t="shared" si="15"/>
        <v>26384.45</v>
      </c>
      <c r="G73" s="21">
        <v>3150</v>
      </c>
      <c r="H73" s="162"/>
      <c r="I73" s="227"/>
      <c r="J73" s="168"/>
      <c r="K73" s="168"/>
      <c r="L73" s="166"/>
      <c r="M73" s="160"/>
      <c r="N73" s="160"/>
      <c r="P73" s="162"/>
      <c r="Q73" s="227"/>
      <c r="R73" s="168"/>
      <c r="S73" s="168"/>
      <c r="T73" s="166"/>
      <c r="U73" s="168"/>
      <c r="V73" s="160"/>
      <c r="X73" s="162"/>
      <c r="Y73" s="227"/>
      <c r="Z73" s="168"/>
      <c r="AA73" s="168"/>
      <c r="AB73" s="166"/>
      <c r="AC73" s="160"/>
      <c r="AD73" s="160"/>
      <c r="AF73" s="162"/>
      <c r="AG73" s="227">
        <v>45260</v>
      </c>
      <c r="AH73" s="166">
        <v>78</v>
      </c>
      <c r="AI73" s="168" t="s">
        <v>365</v>
      </c>
      <c r="AJ73" s="168">
        <f t="shared" si="20"/>
        <v>829.8</v>
      </c>
      <c r="AK73" s="160"/>
      <c r="AL73" s="160">
        <f t="shared" si="21"/>
        <v>15217.6</v>
      </c>
      <c r="AM73" s="5">
        <v>922</v>
      </c>
    </row>
    <row r="74" spans="1:40">
      <c r="A74" s="229">
        <v>45392</v>
      </c>
      <c r="B74" s="183"/>
      <c r="C74" s="191" t="s">
        <v>889</v>
      </c>
      <c r="D74" s="185"/>
      <c r="E74" s="191">
        <v>10000</v>
      </c>
      <c r="F74" s="201">
        <f t="shared" si="15"/>
        <v>16384.45</v>
      </c>
      <c r="G74" s="21"/>
      <c r="H74" s="162"/>
      <c r="I74" s="227"/>
      <c r="J74" s="168"/>
      <c r="K74" s="168"/>
      <c r="L74" s="166"/>
      <c r="M74" s="160"/>
      <c r="N74" s="160"/>
      <c r="P74" s="162"/>
      <c r="Q74" s="227"/>
      <c r="R74" s="168"/>
      <c r="S74" s="168"/>
      <c r="T74" s="166"/>
      <c r="U74" s="160"/>
      <c r="V74" s="160"/>
      <c r="X74" s="162"/>
      <c r="Y74" s="227"/>
      <c r="Z74" s="168"/>
      <c r="AA74" s="168"/>
      <c r="AB74" s="166"/>
      <c r="AC74" s="160"/>
      <c r="AD74" s="160"/>
      <c r="AF74" s="162"/>
      <c r="AG74" s="229" t="s">
        <v>913</v>
      </c>
      <c r="AH74" s="193"/>
      <c r="AI74" s="191" t="s">
        <v>369</v>
      </c>
      <c r="AJ74" s="191">
        <f t="shared" si="20"/>
        <v>0</v>
      </c>
      <c r="AK74" s="192">
        <v>10000</v>
      </c>
      <c r="AL74" s="192">
        <f t="shared" si="21"/>
        <v>5217.6</v>
      </c>
    </row>
    <row r="75" spans="1:40">
      <c r="A75" s="229">
        <v>45471</v>
      </c>
      <c r="B75" s="183"/>
      <c r="C75" s="191" t="s">
        <v>889</v>
      </c>
      <c r="D75" s="185"/>
      <c r="E75" s="191">
        <v>10000</v>
      </c>
      <c r="F75" s="201">
        <f t="shared" si="15"/>
        <v>6384.45</v>
      </c>
      <c r="G75" s="21"/>
      <c r="H75" s="162"/>
      <c r="I75" s="227"/>
      <c r="J75" s="168"/>
      <c r="K75" s="168"/>
      <c r="L75" s="166"/>
      <c r="M75" s="160"/>
      <c r="N75" s="160"/>
      <c r="P75" s="162"/>
      <c r="Q75" s="227"/>
      <c r="R75" s="168"/>
      <c r="S75" s="168"/>
      <c r="T75" s="166"/>
      <c r="U75" s="160"/>
      <c r="V75" s="160"/>
      <c r="X75" s="162"/>
      <c r="Y75" s="227"/>
      <c r="Z75" s="168"/>
      <c r="AA75" s="168"/>
      <c r="AB75" s="166"/>
      <c r="AC75" s="160"/>
      <c r="AD75" s="160"/>
      <c r="AF75" s="162"/>
      <c r="AG75" s="229"/>
      <c r="AH75" s="193"/>
      <c r="AI75" s="191"/>
      <c r="AJ75" s="191"/>
      <c r="AK75" s="192"/>
      <c r="AL75" s="192">
        <f t="shared" si="21"/>
        <v>5217.6</v>
      </c>
    </row>
    <row r="76" spans="1:40">
      <c r="A76" s="227">
        <v>45211</v>
      </c>
      <c r="B76" s="158">
        <v>23</v>
      </c>
      <c r="C76" s="168" t="s">
        <v>365</v>
      </c>
      <c r="D76" s="159">
        <f t="shared" ref="D76:D82" si="23">G76*90%</f>
        <v>3907.8</v>
      </c>
      <c r="E76" s="160"/>
      <c r="F76" s="201">
        <f t="shared" ref="F76:F95" si="24">F75+D76-E76</f>
        <v>10292.25</v>
      </c>
      <c r="G76" s="21">
        <v>4342</v>
      </c>
      <c r="H76" s="162"/>
      <c r="I76" s="227"/>
      <c r="J76" s="168"/>
      <c r="K76" s="168"/>
      <c r="L76" s="166"/>
      <c r="M76" s="160"/>
      <c r="N76" s="160"/>
      <c r="P76" s="162"/>
      <c r="Q76" s="227"/>
      <c r="R76" s="168"/>
      <c r="S76" s="168"/>
      <c r="T76" s="166"/>
      <c r="U76" s="168"/>
      <c r="V76" s="160"/>
      <c r="X76" s="162"/>
      <c r="Y76" s="227"/>
      <c r="Z76" s="168"/>
      <c r="AA76" s="168"/>
      <c r="AB76" s="166"/>
      <c r="AC76" s="160"/>
      <c r="AD76" s="160"/>
      <c r="AF76" s="162"/>
      <c r="AG76" s="227">
        <v>45269</v>
      </c>
      <c r="AH76" s="166">
        <v>27</v>
      </c>
      <c r="AI76" s="168" t="s">
        <v>365</v>
      </c>
      <c r="AJ76" s="168">
        <f>AM76*90%</f>
        <v>1081.8</v>
      </c>
      <c r="AK76" s="160"/>
      <c r="AL76" s="160">
        <f t="shared" si="21"/>
        <v>6299.4</v>
      </c>
      <c r="AM76" s="5">
        <v>1202</v>
      </c>
    </row>
    <row r="77" spans="1:40">
      <c r="A77" s="227">
        <v>45212</v>
      </c>
      <c r="B77" s="158">
        <v>29</v>
      </c>
      <c r="C77" s="168" t="s">
        <v>365</v>
      </c>
      <c r="D77" s="159">
        <f t="shared" si="23"/>
        <v>4252.5</v>
      </c>
      <c r="E77" s="160"/>
      <c r="F77" s="201">
        <f t="shared" si="24"/>
        <v>14544.75</v>
      </c>
      <c r="G77" s="21">
        <v>4725</v>
      </c>
      <c r="H77" s="162"/>
      <c r="I77" s="227"/>
      <c r="J77" s="168"/>
      <c r="K77" s="168"/>
      <c r="L77" s="166"/>
      <c r="M77" s="160"/>
      <c r="N77" s="160"/>
      <c r="P77" s="162"/>
      <c r="Q77" s="227"/>
      <c r="R77" s="168"/>
      <c r="S77" s="168"/>
      <c r="T77" s="166"/>
      <c r="U77" s="160"/>
      <c r="V77" s="160"/>
      <c r="X77" s="162"/>
      <c r="Y77" s="227"/>
      <c r="Z77" s="168"/>
      <c r="AA77" s="168"/>
      <c r="AB77" s="166"/>
      <c r="AC77" s="160"/>
      <c r="AD77" s="160"/>
      <c r="AF77" s="162"/>
      <c r="AG77" s="227">
        <v>45275</v>
      </c>
      <c r="AH77" s="166">
        <v>47</v>
      </c>
      <c r="AI77" s="168" t="s">
        <v>365</v>
      </c>
      <c r="AJ77" s="168">
        <f>AM77*90%</f>
        <v>116.1</v>
      </c>
      <c r="AK77" s="228"/>
      <c r="AL77" s="160">
        <f t="shared" si="21"/>
        <v>6415.5</v>
      </c>
      <c r="AM77" s="5">
        <v>129</v>
      </c>
    </row>
    <row r="78" spans="1:40">
      <c r="A78" s="227">
        <v>45226</v>
      </c>
      <c r="B78" s="158">
        <v>63</v>
      </c>
      <c r="C78" s="168" t="s">
        <v>365</v>
      </c>
      <c r="D78" s="159">
        <f t="shared" si="23"/>
        <v>3332.7</v>
      </c>
      <c r="E78" s="160"/>
      <c r="F78" s="201">
        <f t="shared" si="24"/>
        <v>17877.45</v>
      </c>
      <c r="G78" s="21">
        <v>3703</v>
      </c>
      <c r="H78" s="173" t="s">
        <v>914</v>
      </c>
      <c r="I78" s="227"/>
      <c r="J78" s="168"/>
      <c r="K78" s="168"/>
      <c r="L78" s="166"/>
      <c r="M78" s="160"/>
      <c r="N78" s="160"/>
      <c r="P78" s="162"/>
      <c r="Q78" s="227"/>
      <c r="R78" s="168"/>
      <c r="S78" s="168"/>
      <c r="T78" s="166"/>
      <c r="U78" s="160"/>
      <c r="V78" s="160"/>
      <c r="X78" s="162"/>
      <c r="Y78" s="227"/>
      <c r="Z78" s="168"/>
      <c r="AA78" s="168"/>
      <c r="AB78" s="166"/>
      <c r="AC78" s="160"/>
      <c r="AD78" s="160"/>
      <c r="AF78" s="162"/>
      <c r="AG78" s="227">
        <v>45281</v>
      </c>
      <c r="AH78" s="166">
        <v>66</v>
      </c>
      <c r="AI78" s="168" t="s">
        <v>365</v>
      </c>
      <c r="AJ78" s="168">
        <f>AM78*90%</f>
        <v>2435.4</v>
      </c>
      <c r="AK78" s="228"/>
      <c r="AL78" s="160">
        <f t="shared" si="21"/>
        <v>8850.9</v>
      </c>
      <c r="AM78" s="5">
        <v>2706</v>
      </c>
    </row>
    <row r="79" spans="1:40">
      <c r="A79" s="227">
        <v>45238</v>
      </c>
      <c r="B79" s="158">
        <v>18</v>
      </c>
      <c r="C79" s="168" t="s">
        <v>365</v>
      </c>
      <c r="D79" s="159">
        <f t="shared" si="23"/>
        <v>7874.55</v>
      </c>
      <c r="E79" s="160"/>
      <c r="F79" s="201">
        <f t="shared" si="24"/>
        <v>25752</v>
      </c>
      <c r="G79" s="21">
        <v>8749.5</v>
      </c>
      <c r="H79" s="162"/>
      <c r="I79" s="227"/>
      <c r="J79" s="168"/>
      <c r="K79" s="168"/>
      <c r="L79" s="166"/>
      <c r="M79" s="160"/>
      <c r="N79" s="160"/>
      <c r="P79" s="162"/>
      <c r="Q79" s="227"/>
      <c r="R79" s="168"/>
      <c r="S79" s="168"/>
      <c r="T79" s="166"/>
      <c r="U79" s="160"/>
      <c r="V79" s="160"/>
      <c r="X79" s="162"/>
      <c r="Y79" s="227"/>
      <c r="Z79" s="168"/>
      <c r="AA79" s="168"/>
      <c r="AB79" s="166"/>
      <c r="AC79" s="160"/>
      <c r="AD79" s="160"/>
      <c r="AF79" s="162"/>
      <c r="AG79" s="227" t="s">
        <v>915</v>
      </c>
      <c r="AH79" s="166"/>
      <c r="AI79" s="191" t="s">
        <v>369</v>
      </c>
      <c r="AJ79" s="168"/>
      <c r="AK79" s="230">
        <v>3600</v>
      </c>
      <c r="AL79" s="218">
        <f t="shared" si="21"/>
        <v>5250.9</v>
      </c>
    </row>
    <row r="80" spans="1:40">
      <c r="A80" s="227">
        <v>45254</v>
      </c>
      <c r="B80" s="158">
        <v>58</v>
      </c>
      <c r="C80" s="168" t="s">
        <v>365</v>
      </c>
      <c r="D80" s="159">
        <f t="shared" si="23"/>
        <v>3150</v>
      </c>
      <c r="E80" s="160"/>
      <c r="F80" s="201">
        <f t="shared" si="24"/>
        <v>28902</v>
      </c>
      <c r="G80" s="21">
        <v>3500</v>
      </c>
      <c r="H80" s="162"/>
      <c r="I80" s="227"/>
      <c r="J80" s="168"/>
      <c r="K80" s="168"/>
      <c r="L80" s="166"/>
      <c r="M80" s="160"/>
      <c r="N80" s="160"/>
      <c r="P80" s="162"/>
      <c r="Q80" s="227"/>
      <c r="R80" s="168"/>
      <c r="S80" s="168"/>
      <c r="T80" s="166"/>
      <c r="U80" s="168"/>
      <c r="V80" s="160"/>
      <c r="X80" s="162"/>
      <c r="Y80" s="227"/>
      <c r="Z80" s="168"/>
      <c r="AA80" s="168"/>
      <c r="AB80" s="166"/>
      <c r="AC80" s="160"/>
      <c r="AD80" s="160"/>
      <c r="AF80" s="162"/>
      <c r="AG80" s="227">
        <v>45294</v>
      </c>
      <c r="AH80" s="166">
        <v>6</v>
      </c>
      <c r="AI80" s="168" t="s">
        <v>365</v>
      </c>
      <c r="AJ80" s="168">
        <f>AM80*90%</f>
        <v>3978</v>
      </c>
      <c r="AK80" s="228"/>
      <c r="AL80" s="160">
        <f t="shared" si="21"/>
        <v>9228.9</v>
      </c>
      <c r="AM80" s="5">
        <v>4420</v>
      </c>
      <c r="AN80">
        <f>SUM(AM76:AM78)</f>
        <v>4037</v>
      </c>
    </row>
    <row r="81" spans="1:41">
      <c r="A81" s="227">
        <v>45240</v>
      </c>
      <c r="B81" s="158">
        <v>80</v>
      </c>
      <c r="C81" s="168" t="s">
        <v>365</v>
      </c>
      <c r="D81" s="159">
        <f t="shared" si="23"/>
        <v>418.5</v>
      </c>
      <c r="E81" s="228"/>
      <c r="F81" s="201">
        <f t="shared" si="24"/>
        <v>29320.5</v>
      </c>
      <c r="G81" s="21">
        <v>465</v>
      </c>
      <c r="H81" s="162"/>
      <c r="I81" s="227"/>
      <c r="J81" s="168"/>
      <c r="K81" s="168"/>
      <c r="L81" s="166"/>
      <c r="M81" s="160"/>
      <c r="N81" s="160"/>
      <c r="P81" s="162"/>
      <c r="Q81" s="227"/>
      <c r="R81" s="168"/>
      <c r="S81" s="168"/>
      <c r="T81" s="166"/>
      <c r="U81" s="160"/>
      <c r="V81" s="160"/>
      <c r="X81" s="162"/>
      <c r="Y81" s="227"/>
      <c r="Z81" s="168"/>
      <c r="AA81" s="168"/>
      <c r="AB81" s="166"/>
      <c r="AC81" s="228"/>
      <c r="AD81" s="160"/>
      <c r="AF81" s="162"/>
      <c r="AG81" s="227">
        <v>45300</v>
      </c>
      <c r="AH81" s="166">
        <v>16</v>
      </c>
      <c r="AI81" s="168" t="s">
        <v>365</v>
      </c>
      <c r="AJ81" s="168">
        <f>AM81*90%</f>
        <v>1759.5</v>
      </c>
      <c r="AK81" s="228"/>
      <c r="AL81" s="160">
        <f t="shared" si="21"/>
        <v>10988.4</v>
      </c>
      <c r="AM81" s="5">
        <v>1955</v>
      </c>
    </row>
    <row r="82" spans="1:41">
      <c r="A82" s="227">
        <v>45272</v>
      </c>
      <c r="B82" s="158">
        <v>32</v>
      </c>
      <c r="C82" s="168" t="s">
        <v>365</v>
      </c>
      <c r="D82" s="159">
        <f t="shared" si="23"/>
        <v>6165</v>
      </c>
      <c r="E82" s="160"/>
      <c r="F82" s="201">
        <f t="shared" si="24"/>
        <v>35485.5</v>
      </c>
      <c r="G82" s="21">
        <v>6850</v>
      </c>
      <c r="H82" s="162"/>
      <c r="I82" s="227"/>
      <c r="J82" s="168"/>
      <c r="K82" s="168"/>
      <c r="L82" s="166"/>
      <c r="M82" s="160"/>
      <c r="N82" s="160"/>
      <c r="P82" s="162"/>
      <c r="Q82" s="227"/>
      <c r="R82" s="168"/>
      <c r="S82" s="168"/>
      <c r="T82" s="166"/>
      <c r="U82" s="160"/>
      <c r="V82" s="160"/>
      <c r="X82" s="162"/>
      <c r="Y82" s="227"/>
      <c r="Z82" s="168"/>
      <c r="AA82" s="168"/>
      <c r="AB82" s="166"/>
      <c r="AC82" s="228"/>
      <c r="AD82" s="160"/>
      <c r="AF82" s="162"/>
      <c r="AG82" s="227">
        <v>45301</v>
      </c>
      <c r="AH82" s="166">
        <v>20</v>
      </c>
      <c r="AI82" s="168" t="s">
        <v>365</v>
      </c>
      <c r="AJ82" s="168">
        <f>AM82*90%</f>
        <v>504.9</v>
      </c>
      <c r="AK82" s="228"/>
      <c r="AL82" s="160">
        <f t="shared" si="21"/>
        <v>11493.3</v>
      </c>
      <c r="AM82" s="5">
        <v>561</v>
      </c>
    </row>
    <row r="83" spans="1:41">
      <c r="A83" s="182">
        <v>45519</v>
      </c>
      <c r="B83" s="183"/>
      <c r="C83" s="184" t="s">
        <v>889</v>
      </c>
      <c r="D83" s="185"/>
      <c r="E83" s="192">
        <v>10000</v>
      </c>
      <c r="F83" s="201">
        <f t="shared" si="24"/>
        <v>25485.5</v>
      </c>
      <c r="G83" s="21"/>
      <c r="H83" s="240"/>
      <c r="I83" s="227"/>
      <c r="J83" s="168"/>
      <c r="K83" s="168"/>
      <c r="L83" s="166"/>
      <c r="M83" s="228"/>
      <c r="N83" s="160"/>
      <c r="P83" s="162"/>
      <c r="Q83" s="227"/>
      <c r="R83" s="168"/>
      <c r="S83" s="168"/>
      <c r="T83" s="166"/>
      <c r="U83" s="160"/>
      <c r="V83" s="160"/>
      <c r="X83" s="162"/>
      <c r="Y83" s="227"/>
      <c r="Z83" s="168"/>
      <c r="AA83" s="168"/>
      <c r="AB83" s="166"/>
      <c r="AC83" s="228"/>
      <c r="AD83" s="160"/>
      <c r="AF83" s="162"/>
      <c r="AG83" s="227">
        <v>45316</v>
      </c>
      <c r="AH83" s="166">
        <v>99</v>
      </c>
      <c r="AI83" s="168" t="s">
        <v>365</v>
      </c>
      <c r="AJ83" s="168">
        <f t="shared" ref="AJ83:AJ88" si="25">AM83*90%</f>
        <v>4482.9</v>
      </c>
      <c r="AK83" s="228"/>
      <c r="AL83" s="160">
        <f t="shared" si="21"/>
        <v>15976.2</v>
      </c>
      <c r="AM83" s="5">
        <v>4981</v>
      </c>
      <c r="AN83">
        <f>SUM(AM80:AM83)</f>
        <v>11917</v>
      </c>
      <c r="AO83" t="s">
        <v>916</v>
      </c>
    </row>
    <row r="84" spans="1:41">
      <c r="A84" s="182">
        <v>45540</v>
      </c>
      <c r="B84" s="183"/>
      <c r="C84" s="184" t="s">
        <v>889</v>
      </c>
      <c r="D84" s="185"/>
      <c r="E84" s="192">
        <v>5000</v>
      </c>
      <c r="F84" s="201">
        <f t="shared" si="24"/>
        <v>20485.5</v>
      </c>
      <c r="H84" s="240"/>
      <c r="I84" s="227"/>
      <c r="J84" s="168"/>
      <c r="K84" s="168"/>
      <c r="L84" s="166"/>
      <c r="M84" s="228"/>
      <c r="N84" s="160"/>
      <c r="P84" s="162"/>
      <c r="Q84" s="227"/>
      <c r="R84" s="168"/>
      <c r="S84" s="168"/>
      <c r="T84" s="166"/>
      <c r="U84" s="160"/>
      <c r="V84" s="160"/>
      <c r="X84" s="162"/>
      <c r="Y84" s="227"/>
      <c r="Z84" s="243"/>
      <c r="AA84" s="243"/>
      <c r="AB84" s="166"/>
      <c r="AC84" s="228"/>
      <c r="AD84" s="160"/>
      <c r="AF84" s="162"/>
      <c r="AG84" s="229">
        <v>45412</v>
      </c>
      <c r="AH84" s="244"/>
      <c r="AI84" s="244" t="s">
        <v>917</v>
      </c>
      <c r="AJ84" s="191">
        <f t="shared" si="25"/>
        <v>0</v>
      </c>
      <c r="AK84" s="230">
        <v>23490</v>
      </c>
      <c r="AL84" s="160">
        <f t="shared" si="21"/>
        <v>-7513.8</v>
      </c>
    </row>
    <row r="85" spans="1:41">
      <c r="A85" s="229">
        <v>45540</v>
      </c>
      <c r="B85" s="191"/>
      <c r="C85" s="191" t="s">
        <v>918</v>
      </c>
      <c r="D85" s="193"/>
      <c r="E85" s="192">
        <v>2000</v>
      </c>
      <c r="F85" s="201">
        <f t="shared" si="24"/>
        <v>18485.5</v>
      </c>
      <c r="H85" s="162"/>
      <c r="I85" s="227"/>
      <c r="J85" s="168"/>
      <c r="K85" s="168"/>
      <c r="L85" s="166"/>
      <c r="M85" s="228"/>
      <c r="N85" s="160"/>
      <c r="P85" s="162"/>
      <c r="Q85" s="227"/>
      <c r="R85" s="168"/>
      <c r="S85" s="168"/>
      <c r="T85" s="166"/>
      <c r="U85" s="160"/>
      <c r="V85" s="160"/>
      <c r="X85" s="162"/>
      <c r="Y85" s="227"/>
      <c r="Z85" s="243"/>
      <c r="AA85" s="243"/>
      <c r="AB85" s="166"/>
      <c r="AC85" s="228"/>
      <c r="AD85" s="160"/>
      <c r="AF85" s="162"/>
      <c r="AG85" s="227"/>
      <c r="AH85" s="243"/>
      <c r="AI85" s="243"/>
      <c r="AJ85" s="168">
        <f t="shared" si="25"/>
        <v>0</v>
      </c>
      <c r="AK85" s="228"/>
      <c r="AL85" s="160">
        <f t="shared" si="21"/>
        <v>-7513.8</v>
      </c>
    </row>
    <row r="86" spans="1:41">
      <c r="A86" s="229">
        <v>45556</v>
      </c>
      <c r="B86" s="191"/>
      <c r="C86" s="184" t="s">
        <v>889</v>
      </c>
      <c r="D86" s="193"/>
      <c r="E86" s="192">
        <v>5000</v>
      </c>
      <c r="F86" s="201">
        <f t="shared" si="24"/>
        <v>13485.5</v>
      </c>
      <c r="H86" s="162"/>
      <c r="I86" s="227"/>
      <c r="J86" s="168"/>
      <c r="K86" s="168"/>
      <c r="L86" s="166"/>
      <c r="M86" s="228"/>
      <c r="N86" s="160"/>
      <c r="P86" s="162"/>
      <c r="Q86" s="227"/>
      <c r="R86" s="168"/>
      <c r="S86" s="168"/>
      <c r="T86" s="166"/>
      <c r="U86" s="160"/>
      <c r="V86" s="160"/>
      <c r="X86" s="162"/>
      <c r="Y86" s="227"/>
      <c r="Z86" s="243"/>
      <c r="AA86" s="243"/>
      <c r="AB86" s="166"/>
      <c r="AC86" s="228"/>
      <c r="AD86" s="160"/>
      <c r="AF86" s="162"/>
      <c r="AG86" s="227"/>
      <c r="AH86" s="243"/>
      <c r="AI86" s="243"/>
      <c r="AJ86" s="168">
        <f t="shared" si="25"/>
        <v>0</v>
      </c>
      <c r="AK86" s="228"/>
      <c r="AL86" s="160">
        <f t="shared" si="21"/>
        <v>-7513.8</v>
      </c>
    </row>
    <row r="87" spans="1:41">
      <c r="A87" s="245">
        <v>45564</v>
      </c>
      <c r="B87" s="207"/>
      <c r="C87" s="207" t="s">
        <v>919</v>
      </c>
      <c r="D87" s="205"/>
      <c r="E87" s="208">
        <v>7000</v>
      </c>
      <c r="F87" s="201">
        <f t="shared" si="24"/>
        <v>6485.5</v>
      </c>
      <c r="H87" s="242" t="s">
        <v>920</v>
      </c>
      <c r="I87" s="227"/>
      <c r="J87" s="168"/>
      <c r="K87" s="168"/>
      <c r="L87" s="166"/>
      <c r="M87" s="228"/>
      <c r="N87" s="160"/>
      <c r="P87" s="162"/>
      <c r="Q87" s="227"/>
      <c r="R87" s="168"/>
      <c r="S87" s="168"/>
      <c r="T87" s="166"/>
      <c r="U87" s="160"/>
      <c r="V87" s="160"/>
      <c r="X87" s="162"/>
      <c r="Y87" s="227"/>
      <c r="Z87" s="243"/>
      <c r="AA87" s="243"/>
      <c r="AB87" s="166"/>
      <c r="AC87" s="228"/>
      <c r="AD87" s="160"/>
      <c r="AF87" s="162"/>
      <c r="AG87" s="227"/>
      <c r="AH87" s="243"/>
      <c r="AI87" s="243"/>
      <c r="AJ87" s="168">
        <f t="shared" si="25"/>
        <v>0</v>
      </c>
      <c r="AK87" s="228"/>
      <c r="AL87" s="160">
        <f t="shared" ref="AL83:AL90" si="26">AL86+AJ87-AK87</f>
        <v>-7513.8</v>
      </c>
    </row>
    <row r="88" spans="1:41">
      <c r="A88" s="245">
        <v>45564</v>
      </c>
      <c r="B88" s="207"/>
      <c r="C88" s="207" t="s">
        <v>919</v>
      </c>
      <c r="D88" s="205"/>
      <c r="E88" s="208">
        <v>3000</v>
      </c>
      <c r="F88" s="201">
        <f t="shared" si="24"/>
        <v>3485.5</v>
      </c>
      <c r="H88" s="242" t="s">
        <v>920</v>
      </c>
      <c r="I88" s="227"/>
      <c r="J88" s="168"/>
      <c r="K88" s="168"/>
      <c r="L88" s="166"/>
      <c r="M88" s="228"/>
      <c r="N88" s="160"/>
      <c r="P88" s="162"/>
      <c r="Q88" s="227"/>
      <c r="R88" s="168"/>
      <c r="S88" s="168"/>
      <c r="T88" s="166"/>
      <c r="U88" s="160"/>
      <c r="V88" s="160"/>
      <c r="X88" s="162"/>
      <c r="Y88" s="227"/>
      <c r="Z88" s="243"/>
      <c r="AA88" s="243"/>
      <c r="AB88" s="166"/>
      <c r="AC88" s="228"/>
      <c r="AD88" s="160"/>
      <c r="AF88" s="162"/>
      <c r="AG88" s="227"/>
      <c r="AH88" s="243"/>
      <c r="AI88" s="243"/>
      <c r="AJ88" s="168">
        <f t="shared" si="25"/>
        <v>0</v>
      </c>
      <c r="AK88" s="228"/>
      <c r="AL88" s="160">
        <f t="shared" si="26"/>
        <v>-7513.8</v>
      </c>
    </row>
    <row r="89" spans="1:41">
      <c r="A89" s="227">
        <v>45583</v>
      </c>
      <c r="B89" s="168"/>
      <c r="C89" s="207" t="s">
        <v>919</v>
      </c>
      <c r="D89" s="166"/>
      <c r="E89" s="160">
        <v>10000</v>
      </c>
      <c r="F89" s="201">
        <f t="shared" si="24"/>
        <v>-6514.5</v>
      </c>
      <c r="H89" s="162"/>
      <c r="I89" s="227"/>
      <c r="J89" s="168"/>
      <c r="K89" s="168"/>
      <c r="L89" s="166"/>
      <c r="M89" s="228"/>
      <c r="N89" s="160"/>
      <c r="P89" s="162"/>
      <c r="Q89" s="227"/>
      <c r="R89" s="168"/>
      <c r="S89" s="168"/>
      <c r="T89" s="166"/>
      <c r="U89" s="160"/>
      <c r="V89" s="160"/>
      <c r="X89" s="162"/>
      <c r="Y89" s="227"/>
      <c r="Z89" s="243"/>
      <c r="AA89" s="243"/>
      <c r="AB89" s="166"/>
      <c r="AC89" s="228"/>
      <c r="AD89" s="160"/>
      <c r="AF89" s="162"/>
      <c r="AG89" s="227"/>
      <c r="AH89" s="243"/>
      <c r="AI89" s="243"/>
      <c r="AJ89" s="166"/>
      <c r="AK89" s="228"/>
      <c r="AL89" s="160">
        <f t="shared" si="26"/>
        <v>-7513.8</v>
      </c>
      <c r="AN89">
        <f>SUM(AJ66:AJ83)</f>
        <v>29576.25</v>
      </c>
    </row>
    <row r="90" spans="1:41">
      <c r="A90" s="227">
        <v>45298</v>
      </c>
      <c r="B90" s="158">
        <v>13</v>
      </c>
      <c r="C90" s="168" t="s">
        <v>365</v>
      </c>
      <c r="D90" s="159">
        <f t="shared" ref="D90:D94" si="27">G90*90%</f>
        <v>1305</v>
      </c>
      <c r="E90" s="160"/>
      <c r="F90" s="201">
        <f t="shared" si="24"/>
        <v>-5209.5</v>
      </c>
      <c r="G90" s="21">
        <v>1450</v>
      </c>
      <c r="H90" s="173" t="s">
        <v>921</v>
      </c>
      <c r="I90" s="227"/>
      <c r="J90" s="243"/>
      <c r="K90" s="243"/>
      <c r="L90" s="166"/>
      <c r="M90" s="228"/>
      <c r="N90" s="160"/>
      <c r="P90" s="162"/>
      <c r="Q90" s="227"/>
      <c r="R90" s="168"/>
      <c r="S90" s="168"/>
      <c r="T90" s="166"/>
      <c r="U90" s="160"/>
      <c r="V90" s="160"/>
      <c r="X90" s="162"/>
      <c r="Y90" s="227"/>
      <c r="Z90" s="243"/>
      <c r="AA90" s="243"/>
      <c r="AB90" s="166"/>
      <c r="AC90" s="228"/>
      <c r="AD90" s="160"/>
      <c r="AF90" s="162"/>
      <c r="AG90" s="227"/>
      <c r="AH90" s="243"/>
      <c r="AI90" s="243"/>
      <c r="AJ90" s="166"/>
      <c r="AK90" s="228"/>
      <c r="AL90" s="160">
        <f t="shared" si="26"/>
        <v>-7513.8</v>
      </c>
    </row>
    <row r="91" spans="1:41">
      <c r="A91" s="227">
        <v>45300</v>
      </c>
      <c r="B91" s="158">
        <v>17</v>
      </c>
      <c r="C91" s="168" t="s">
        <v>365</v>
      </c>
      <c r="D91" s="159">
        <f t="shared" si="27"/>
        <v>4483.35</v>
      </c>
      <c r="E91" s="160"/>
      <c r="F91" s="201">
        <f t="shared" si="24"/>
        <v>-726.15</v>
      </c>
      <c r="G91" s="21">
        <v>4981.5</v>
      </c>
      <c r="H91" s="162"/>
      <c r="I91" s="227"/>
      <c r="J91" s="243"/>
      <c r="K91" s="243"/>
      <c r="L91" s="166"/>
      <c r="M91" s="228"/>
      <c r="N91" s="160"/>
      <c r="P91" s="162"/>
      <c r="Q91" s="227"/>
      <c r="R91" s="168"/>
      <c r="S91" s="168"/>
      <c r="T91" s="166"/>
      <c r="U91" s="160"/>
      <c r="V91" s="160"/>
      <c r="X91" s="162"/>
      <c r="Y91" s="227"/>
      <c r="Z91" s="243"/>
      <c r="AA91" s="243"/>
      <c r="AB91" s="166"/>
      <c r="AC91" s="228"/>
      <c r="AD91" s="160"/>
      <c r="AF91" s="162"/>
      <c r="AG91" s="227"/>
      <c r="AH91" s="243"/>
      <c r="AI91" s="243"/>
      <c r="AJ91" s="166"/>
      <c r="AK91" s="228"/>
      <c r="AL91" s="161"/>
    </row>
    <row r="92" spans="1:41">
      <c r="A92" s="227">
        <v>45306</v>
      </c>
      <c r="B92" s="158">
        <v>34</v>
      </c>
      <c r="C92" s="168" t="s">
        <v>365</v>
      </c>
      <c r="D92" s="159">
        <f t="shared" si="27"/>
        <v>5527.8</v>
      </c>
      <c r="E92" s="160"/>
      <c r="F92" s="201">
        <f t="shared" si="24"/>
        <v>4801.65</v>
      </c>
      <c r="G92" s="21">
        <v>6142</v>
      </c>
      <c r="H92" s="162"/>
      <c r="I92" s="227"/>
      <c r="J92" s="243"/>
      <c r="K92" s="243"/>
      <c r="L92" s="166"/>
      <c r="M92" s="228"/>
      <c r="N92" s="160"/>
      <c r="P92" s="162"/>
      <c r="Q92" s="227"/>
      <c r="R92" s="168"/>
      <c r="S92" s="168"/>
      <c r="T92" s="166"/>
      <c r="U92" s="228"/>
      <c r="V92" s="160"/>
      <c r="X92" s="162"/>
      <c r="Y92" s="227"/>
      <c r="Z92" s="243"/>
      <c r="AA92" s="243"/>
      <c r="AB92" s="166"/>
      <c r="AC92" s="228"/>
      <c r="AD92" s="160"/>
      <c r="AF92" s="162"/>
      <c r="AG92" s="227"/>
      <c r="AH92" s="243"/>
      <c r="AI92" s="243"/>
      <c r="AJ92" s="166"/>
      <c r="AK92" s="228"/>
      <c r="AL92" s="161"/>
    </row>
    <row r="93" spans="1:41">
      <c r="A93" s="227">
        <v>45312</v>
      </c>
      <c r="B93" s="158">
        <v>80</v>
      </c>
      <c r="C93" s="168" t="s">
        <v>365</v>
      </c>
      <c r="D93" s="159">
        <f t="shared" si="27"/>
        <v>4230</v>
      </c>
      <c r="E93" s="160"/>
      <c r="F93" s="201">
        <f t="shared" si="24"/>
        <v>9031.65</v>
      </c>
      <c r="G93" s="21">
        <v>4700</v>
      </c>
      <c r="H93" s="162"/>
      <c r="I93" s="227"/>
      <c r="J93" s="243"/>
      <c r="K93" s="243"/>
      <c r="L93" s="166"/>
      <c r="M93" s="228"/>
      <c r="N93" s="160"/>
      <c r="P93" s="162"/>
      <c r="Q93" s="227"/>
      <c r="R93" s="168"/>
      <c r="S93" s="168"/>
      <c r="T93" s="166"/>
      <c r="U93" s="228"/>
      <c r="V93" s="160"/>
      <c r="X93" s="162"/>
      <c r="Y93" s="227"/>
      <c r="Z93" s="243"/>
      <c r="AA93" s="243"/>
      <c r="AB93" s="166"/>
      <c r="AC93" s="228"/>
      <c r="AD93" s="160"/>
      <c r="AF93" s="162"/>
      <c r="AG93" s="227"/>
      <c r="AH93" s="243"/>
      <c r="AI93" s="243"/>
      <c r="AJ93" s="166"/>
      <c r="AK93" s="228"/>
      <c r="AL93" s="161"/>
    </row>
    <row r="94" spans="1:41">
      <c r="A94" s="227">
        <v>45316</v>
      </c>
      <c r="B94" s="158">
        <v>100</v>
      </c>
      <c r="C94" s="168" t="s">
        <v>365</v>
      </c>
      <c r="D94" s="159">
        <f t="shared" si="27"/>
        <v>1498.5</v>
      </c>
      <c r="E94" s="160"/>
      <c r="F94" s="201">
        <f t="shared" si="24"/>
        <v>10530.15</v>
      </c>
      <c r="G94" s="21">
        <v>1665</v>
      </c>
      <c r="H94" s="162"/>
      <c r="I94" s="227"/>
      <c r="J94" s="243"/>
      <c r="K94" s="243"/>
      <c r="L94" s="166"/>
      <c r="M94" s="228"/>
      <c r="N94" s="160"/>
      <c r="P94" s="162"/>
      <c r="Q94" s="227"/>
      <c r="R94" s="168"/>
      <c r="S94" s="168"/>
      <c r="T94" s="166"/>
      <c r="U94" s="228"/>
      <c r="V94" s="160"/>
      <c r="X94" s="162"/>
      <c r="Y94" s="227"/>
      <c r="Z94" s="243"/>
      <c r="AA94" s="243"/>
      <c r="AB94" s="166"/>
      <c r="AC94" s="228"/>
      <c r="AD94" s="160"/>
      <c r="AF94" s="162"/>
      <c r="AG94" s="227"/>
      <c r="AH94" s="243"/>
      <c r="AI94" s="243"/>
      <c r="AJ94" s="166"/>
      <c r="AK94" s="228"/>
      <c r="AL94" s="161"/>
    </row>
    <row r="95" spans="1:41">
      <c r="A95" s="214">
        <v>45594</v>
      </c>
      <c r="B95" s="185"/>
      <c r="C95" s="185" t="s">
        <v>382</v>
      </c>
      <c r="D95" s="183"/>
      <c r="E95" s="246">
        <v>8000</v>
      </c>
      <c r="F95" s="201">
        <f t="shared" si="24"/>
        <v>2530.15</v>
      </c>
      <c r="H95" s="162"/>
      <c r="I95" s="227"/>
      <c r="J95" s="243"/>
      <c r="K95" s="243"/>
      <c r="L95" s="166"/>
      <c r="M95" s="228"/>
      <c r="N95" s="160"/>
      <c r="P95" s="162"/>
      <c r="Q95" s="227"/>
      <c r="R95" s="168"/>
      <c r="S95" s="168"/>
      <c r="T95" s="166"/>
      <c r="U95" s="228"/>
      <c r="V95" s="160"/>
      <c r="X95" s="162"/>
      <c r="Y95" s="227"/>
      <c r="Z95" s="243"/>
      <c r="AA95" s="243"/>
      <c r="AB95" s="166"/>
      <c r="AC95" s="228"/>
      <c r="AD95" s="160"/>
      <c r="AF95" s="162"/>
      <c r="AG95" s="227"/>
      <c r="AH95" s="243"/>
      <c r="AI95" s="243"/>
      <c r="AJ95" s="166"/>
      <c r="AK95" s="247"/>
      <c r="AL95" s="161"/>
    </row>
    <row r="96" spans="1:41">
      <c r="A96" s="227"/>
      <c r="B96" s="168"/>
      <c r="C96" s="168"/>
      <c r="D96" s="166"/>
      <c r="E96" s="228"/>
      <c r="F96" s="161"/>
      <c r="H96" s="162"/>
      <c r="I96" s="227"/>
      <c r="J96" s="243"/>
      <c r="K96" s="243"/>
      <c r="L96" s="166"/>
      <c r="M96" s="228"/>
      <c r="N96" s="160"/>
      <c r="P96" s="162"/>
      <c r="Q96" s="227"/>
      <c r="R96" s="168"/>
      <c r="S96" s="168"/>
      <c r="T96" s="166"/>
      <c r="U96" s="228"/>
      <c r="V96" s="160"/>
      <c r="X96" s="162"/>
      <c r="Y96" s="227"/>
      <c r="Z96" s="243"/>
      <c r="AA96" s="243"/>
      <c r="AB96" s="166"/>
      <c r="AC96" s="228"/>
      <c r="AD96" s="160"/>
      <c r="AF96" s="162"/>
      <c r="AG96" s="227"/>
      <c r="AH96" s="243"/>
      <c r="AI96" s="243"/>
      <c r="AJ96" s="166"/>
      <c r="AK96" s="247"/>
      <c r="AL96" s="161"/>
    </row>
    <row r="97" spans="1:38">
      <c r="A97" s="227"/>
      <c r="B97" s="168"/>
      <c r="C97" s="168"/>
      <c r="D97" s="166"/>
      <c r="E97" s="228"/>
      <c r="F97" s="161"/>
      <c r="H97" s="162"/>
      <c r="I97" s="227"/>
      <c r="J97" s="243"/>
      <c r="K97" s="243"/>
      <c r="L97" s="166"/>
      <c r="M97" s="228"/>
      <c r="N97" s="160"/>
      <c r="P97" s="162"/>
      <c r="Q97" s="227"/>
      <c r="R97" s="168"/>
      <c r="S97" s="168"/>
      <c r="T97" s="166"/>
      <c r="U97" s="228"/>
      <c r="V97" s="160"/>
      <c r="X97" s="162"/>
      <c r="Y97" s="227"/>
      <c r="Z97" s="243"/>
      <c r="AA97" s="243"/>
      <c r="AB97" s="166"/>
      <c r="AC97" s="228"/>
      <c r="AD97" s="160"/>
      <c r="AF97" s="162"/>
      <c r="AG97" s="227"/>
      <c r="AH97" s="243"/>
      <c r="AI97" s="243"/>
      <c r="AJ97" s="166"/>
      <c r="AK97" s="247"/>
      <c r="AL97" s="161"/>
    </row>
    <row r="98" spans="1:38">
      <c r="A98" s="227"/>
      <c r="B98" s="168"/>
      <c r="C98" s="168"/>
      <c r="D98" s="166"/>
      <c r="E98" s="228"/>
      <c r="F98" s="161"/>
      <c r="H98" s="162"/>
      <c r="I98" s="227"/>
      <c r="J98" s="243"/>
      <c r="K98" s="243"/>
      <c r="L98" s="166"/>
      <c r="M98" s="228"/>
      <c r="N98" s="160"/>
      <c r="P98" s="162"/>
      <c r="Q98" s="227"/>
      <c r="R98" s="168"/>
      <c r="S98" s="168"/>
      <c r="T98" s="166"/>
      <c r="U98" s="228"/>
      <c r="V98" s="160"/>
      <c r="X98" s="162"/>
      <c r="Y98" s="227"/>
      <c r="Z98" s="243"/>
      <c r="AA98" s="243"/>
      <c r="AB98" s="166"/>
      <c r="AC98" s="247"/>
      <c r="AD98" s="160"/>
      <c r="AF98" s="162"/>
      <c r="AG98" s="227"/>
      <c r="AH98" s="243"/>
      <c r="AI98" s="243"/>
      <c r="AJ98" s="166"/>
      <c r="AK98" s="247"/>
      <c r="AL98" s="161"/>
    </row>
    <row r="99" spans="1:38">
      <c r="A99" s="227"/>
      <c r="B99" s="168"/>
      <c r="C99" s="168"/>
      <c r="D99" s="166"/>
      <c r="E99" s="228"/>
      <c r="F99" s="161"/>
      <c r="H99" s="162"/>
      <c r="I99" s="227"/>
      <c r="J99" s="243"/>
      <c r="K99" s="243"/>
      <c r="L99" s="166"/>
      <c r="M99" s="228"/>
      <c r="N99" s="160"/>
      <c r="P99" s="162"/>
      <c r="Q99" s="227"/>
      <c r="R99" s="168"/>
      <c r="S99" s="168"/>
      <c r="T99" s="166"/>
      <c r="U99" s="228"/>
      <c r="V99" s="160"/>
      <c r="X99" s="162"/>
      <c r="Y99" s="227"/>
      <c r="Z99" s="243"/>
      <c r="AA99" s="243"/>
      <c r="AB99" s="166"/>
      <c r="AC99" s="247"/>
      <c r="AD99" s="160"/>
      <c r="AF99" s="162"/>
      <c r="AG99" s="227"/>
      <c r="AH99" s="243"/>
      <c r="AI99" s="243"/>
      <c r="AJ99" s="166"/>
      <c r="AK99" s="247"/>
      <c r="AL99" s="161"/>
    </row>
    <row r="100" spans="1:38">
      <c r="A100" s="227"/>
      <c r="B100" s="243"/>
      <c r="C100" s="243"/>
      <c r="D100" s="166"/>
      <c r="E100" s="228"/>
      <c r="F100" s="161"/>
      <c r="H100" s="162"/>
      <c r="I100" s="227"/>
      <c r="J100" s="243"/>
      <c r="K100" s="243"/>
      <c r="L100" s="166"/>
      <c r="M100" s="228"/>
      <c r="N100" s="160"/>
      <c r="P100" s="162"/>
      <c r="Q100" s="227"/>
      <c r="R100" s="168"/>
      <c r="S100" s="168"/>
      <c r="T100" s="166"/>
      <c r="U100" s="228"/>
      <c r="V100" s="160"/>
      <c r="X100" s="162"/>
      <c r="Y100" s="227"/>
      <c r="Z100" s="243"/>
      <c r="AA100" s="243"/>
      <c r="AB100" s="166"/>
      <c r="AC100" s="247"/>
      <c r="AD100" s="160"/>
      <c r="AF100" s="162"/>
      <c r="AG100" s="227"/>
      <c r="AH100" s="243"/>
      <c r="AI100" s="243"/>
      <c r="AJ100" s="166"/>
      <c r="AK100" s="247"/>
      <c r="AL100" s="161"/>
    </row>
    <row r="101" spans="1:38">
      <c r="A101" s="227"/>
      <c r="B101" s="243"/>
      <c r="C101" s="243"/>
      <c r="D101" s="166"/>
      <c r="E101" s="228"/>
      <c r="F101" s="161"/>
      <c r="H101" s="162"/>
      <c r="I101" s="227"/>
      <c r="J101" s="243"/>
      <c r="K101" s="243"/>
      <c r="L101" s="166"/>
      <c r="M101" s="228"/>
      <c r="N101" s="160"/>
      <c r="P101" s="162"/>
      <c r="Q101" s="227"/>
      <c r="R101" s="243"/>
      <c r="S101" s="243"/>
      <c r="T101" s="166"/>
      <c r="U101" s="228"/>
      <c r="V101" s="160"/>
      <c r="X101" s="162"/>
      <c r="Y101" s="227"/>
      <c r="Z101" s="243"/>
      <c r="AA101" s="243"/>
      <c r="AB101" s="166"/>
      <c r="AC101" s="247"/>
      <c r="AD101" s="160"/>
      <c r="AF101" s="162"/>
      <c r="AG101" s="227"/>
      <c r="AH101" s="243"/>
      <c r="AI101" s="243"/>
      <c r="AJ101" s="166"/>
      <c r="AK101" s="247"/>
      <c r="AL101" s="161"/>
    </row>
    <row r="102" spans="1:38">
      <c r="A102" s="227"/>
      <c r="B102" s="243"/>
      <c r="C102" s="243"/>
      <c r="D102" s="166"/>
      <c r="E102" s="228"/>
      <c r="F102" s="161"/>
      <c r="H102" s="162"/>
      <c r="I102" s="227"/>
      <c r="J102" s="243"/>
      <c r="K102" s="243"/>
      <c r="L102" s="166"/>
      <c r="M102" s="228"/>
      <c r="N102" s="160"/>
      <c r="P102" s="162"/>
      <c r="Q102" s="227"/>
      <c r="R102" s="243"/>
      <c r="S102" s="243"/>
      <c r="T102" s="166"/>
      <c r="U102" s="228"/>
      <c r="V102" s="160"/>
      <c r="X102" s="162"/>
      <c r="Y102" s="227"/>
      <c r="Z102" s="243"/>
      <c r="AA102" s="243"/>
      <c r="AB102" s="166"/>
      <c r="AC102" s="247"/>
      <c r="AD102" s="160"/>
      <c r="AF102" s="162"/>
      <c r="AG102" s="227"/>
      <c r="AH102" s="243"/>
      <c r="AI102" s="243"/>
      <c r="AJ102" s="166"/>
      <c r="AK102" s="247"/>
      <c r="AL102" s="161"/>
    </row>
    <row r="103" spans="1:38">
      <c r="A103" s="227"/>
      <c r="B103" s="243"/>
      <c r="C103" s="243"/>
      <c r="D103" s="166"/>
      <c r="E103" s="228"/>
      <c r="F103" s="161"/>
      <c r="H103" s="162"/>
      <c r="I103" s="227"/>
      <c r="J103" s="243"/>
      <c r="K103" s="243"/>
      <c r="L103" s="166"/>
      <c r="M103" s="228"/>
      <c r="N103" s="160"/>
      <c r="P103" s="162"/>
      <c r="Q103" s="227"/>
      <c r="R103" s="243"/>
      <c r="S103" s="243"/>
      <c r="T103" s="166"/>
      <c r="U103" s="228"/>
      <c r="V103" s="160"/>
      <c r="X103" s="162"/>
      <c r="Y103" s="227"/>
      <c r="Z103" s="243"/>
      <c r="AA103" s="243"/>
      <c r="AB103" s="166"/>
      <c r="AC103" s="247"/>
      <c r="AD103" s="160"/>
      <c r="AF103" s="162"/>
      <c r="AG103" s="227"/>
      <c r="AH103" s="243"/>
      <c r="AI103" s="243"/>
      <c r="AJ103" s="166"/>
      <c r="AK103" s="247"/>
      <c r="AL103" s="161"/>
    </row>
    <row r="104" spans="1:38">
      <c r="A104" s="227"/>
      <c r="B104" s="243"/>
      <c r="C104" s="243"/>
      <c r="D104" s="166"/>
      <c r="E104" s="228"/>
      <c r="F104" s="161"/>
      <c r="H104" s="162"/>
      <c r="I104" s="227"/>
      <c r="J104" s="243"/>
      <c r="K104" s="243"/>
      <c r="L104" s="166"/>
      <c r="M104" s="247"/>
      <c r="N104" s="160"/>
      <c r="P104" s="162"/>
      <c r="Q104" s="227"/>
      <c r="R104" s="243"/>
      <c r="S104" s="243"/>
      <c r="T104" s="166"/>
      <c r="U104" s="228"/>
      <c r="V104" s="160"/>
      <c r="X104" s="162"/>
      <c r="Y104" s="227"/>
      <c r="Z104" s="243"/>
      <c r="AA104" s="243"/>
      <c r="AB104" s="166"/>
      <c r="AC104" s="247"/>
      <c r="AD104" s="160"/>
      <c r="AF104" s="162"/>
      <c r="AG104" s="227"/>
      <c r="AH104" s="243"/>
      <c r="AI104" s="243"/>
      <c r="AJ104" s="166"/>
      <c r="AK104" s="247"/>
      <c r="AL104" s="161"/>
    </row>
    <row r="105" spans="1:38">
      <c r="A105" s="227"/>
      <c r="B105" s="243"/>
      <c r="C105" s="243"/>
      <c r="D105" s="166"/>
      <c r="E105" s="228"/>
      <c r="F105" s="161"/>
      <c r="H105" s="162"/>
      <c r="I105" s="227"/>
      <c r="J105" s="243"/>
      <c r="K105" s="243"/>
      <c r="L105" s="166"/>
      <c r="M105" s="247"/>
      <c r="N105" s="160"/>
      <c r="P105" s="162"/>
      <c r="Q105" s="227"/>
      <c r="R105" s="243"/>
      <c r="S105" s="243"/>
      <c r="T105" s="166"/>
      <c r="U105" s="228"/>
      <c r="V105" s="160"/>
      <c r="X105" s="162"/>
      <c r="Y105" s="227"/>
      <c r="Z105" s="243"/>
      <c r="AA105" s="243"/>
      <c r="AB105" s="166"/>
      <c r="AC105" s="247"/>
      <c r="AD105" s="160"/>
      <c r="AF105" s="162"/>
      <c r="AG105" s="227"/>
      <c r="AH105" s="243"/>
      <c r="AI105" s="243"/>
      <c r="AJ105" s="166"/>
      <c r="AK105" s="247"/>
      <c r="AL105" s="161"/>
    </row>
    <row r="106" spans="1:38">
      <c r="A106" s="227"/>
      <c r="B106" s="243"/>
      <c r="C106" s="243"/>
      <c r="D106" s="166"/>
      <c r="E106" s="228"/>
      <c r="F106" s="161"/>
      <c r="H106" s="162"/>
      <c r="I106" s="227"/>
      <c r="J106" s="243"/>
      <c r="K106" s="243"/>
      <c r="L106" s="166"/>
      <c r="M106" s="247"/>
      <c r="N106" s="160"/>
      <c r="P106" s="162"/>
      <c r="Q106" s="227"/>
      <c r="R106" s="243"/>
      <c r="S106" s="243"/>
      <c r="T106" s="166"/>
      <c r="U106" s="228"/>
      <c r="V106" s="160"/>
      <c r="X106" s="162"/>
      <c r="Y106" s="227"/>
      <c r="Z106" s="243"/>
      <c r="AA106" s="243"/>
      <c r="AB106" s="166"/>
      <c r="AC106" s="247"/>
      <c r="AD106" s="160"/>
      <c r="AF106" s="162"/>
      <c r="AG106" s="227"/>
      <c r="AH106" s="243"/>
      <c r="AI106" s="243"/>
      <c r="AJ106" s="166"/>
      <c r="AK106" s="247"/>
      <c r="AL106" s="161"/>
    </row>
    <row r="107" spans="1:38">
      <c r="A107" s="227"/>
      <c r="B107" s="243"/>
      <c r="C107" s="243"/>
      <c r="D107" s="166"/>
      <c r="E107" s="228"/>
      <c r="F107" s="161"/>
      <c r="H107" s="162"/>
      <c r="I107" s="227"/>
      <c r="J107" s="243"/>
      <c r="K107" s="243"/>
      <c r="L107" s="166"/>
      <c r="M107" s="247"/>
      <c r="N107" s="160"/>
      <c r="P107" s="162"/>
      <c r="Q107" s="227"/>
      <c r="R107" s="243"/>
      <c r="S107" s="243"/>
      <c r="T107" s="166"/>
      <c r="U107" s="228"/>
      <c r="V107" s="160"/>
      <c r="X107" s="162"/>
      <c r="Y107" s="227"/>
      <c r="Z107" s="243"/>
      <c r="AA107" s="243"/>
      <c r="AB107" s="166"/>
      <c r="AC107" s="247"/>
      <c r="AD107" s="160"/>
      <c r="AF107" s="162"/>
      <c r="AG107" s="227"/>
      <c r="AH107" s="243"/>
      <c r="AI107" s="243"/>
      <c r="AJ107" s="166"/>
      <c r="AK107" s="247"/>
      <c r="AL107" s="161"/>
    </row>
    <row r="108" spans="1:38">
      <c r="A108" s="227"/>
      <c r="B108" s="243"/>
      <c r="C108" s="243"/>
      <c r="D108" s="166"/>
      <c r="E108" s="228"/>
      <c r="F108" s="161"/>
      <c r="H108" s="162"/>
      <c r="I108" s="227"/>
      <c r="J108" s="243"/>
      <c r="K108" s="243"/>
      <c r="L108" s="166"/>
      <c r="M108" s="247"/>
      <c r="N108" s="160"/>
      <c r="P108" s="162"/>
      <c r="Q108" s="227"/>
      <c r="R108" s="243"/>
      <c r="S108" s="243"/>
      <c r="T108" s="166"/>
      <c r="U108" s="228"/>
      <c r="V108" s="160"/>
      <c r="X108" s="162"/>
      <c r="Y108" s="227"/>
      <c r="Z108" s="243"/>
      <c r="AA108" s="243"/>
      <c r="AB108" s="166"/>
      <c r="AC108" s="247"/>
      <c r="AD108" s="160"/>
      <c r="AF108" s="162"/>
      <c r="AG108" s="227"/>
      <c r="AH108" s="243"/>
      <c r="AI108" s="243"/>
      <c r="AJ108" s="166"/>
      <c r="AK108" s="247"/>
      <c r="AL108" s="161"/>
    </row>
    <row r="109" spans="1:38">
      <c r="A109" s="227"/>
      <c r="B109" s="243"/>
      <c r="C109" s="243"/>
      <c r="D109" s="166"/>
      <c r="E109" s="228"/>
      <c r="F109" s="161"/>
      <c r="H109" s="162"/>
      <c r="I109" s="227"/>
      <c r="J109" s="243"/>
      <c r="K109" s="243"/>
      <c r="L109" s="166"/>
      <c r="M109" s="247"/>
      <c r="N109" s="160"/>
      <c r="P109" s="162"/>
      <c r="Q109" s="227"/>
      <c r="R109" s="243"/>
      <c r="S109" s="243"/>
      <c r="T109" s="166"/>
      <c r="U109" s="228"/>
      <c r="V109" s="160"/>
      <c r="X109" s="162"/>
      <c r="Y109" s="227"/>
      <c r="Z109" s="243"/>
      <c r="AA109" s="243"/>
      <c r="AB109" s="166"/>
      <c r="AC109" s="247"/>
      <c r="AD109" s="160"/>
      <c r="AF109" s="162"/>
      <c r="AG109" s="227"/>
      <c r="AH109" s="243"/>
      <c r="AI109" s="243"/>
      <c r="AJ109" s="166"/>
      <c r="AK109" s="247"/>
      <c r="AL109" s="161"/>
    </row>
    <row r="110" spans="1:38">
      <c r="A110" s="227"/>
      <c r="B110" s="243"/>
      <c r="C110" s="243"/>
      <c r="D110" s="166"/>
      <c r="E110" s="228"/>
      <c r="F110" s="161"/>
      <c r="H110" s="162"/>
      <c r="I110" s="227"/>
      <c r="J110" s="243"/>
      <c r="K110" s="243"/>
      <c r="L110" s="166"/>
      <c r="M110" s="247"/>
      <c r="N110" s="160"/>
      <c r="P110" s="162"/>
      <c r="Q110" s="227"/>
      <c r="R110" s="243"/>
      <c r="S110" s="243"/>
      <c r="T110" s="166"/>
      <c r="U110" s="228"/>
      <c r="V110" s="160"/>
      <c r="X110" s="162"/>
      <c r="Y110" s="227"/>
      <c r="Z110" s="243"/>
      <c r="AA110" s="243"/>
      <c r="AB110" s="166"/>
      <c r="AC110" s="247"/>
      <c r="AD110" s="160"/>
      <c r="AF110" s="162"/>
      <c r="AG110" s="227"/>
      <c r="AH110" s="243"/>
      <c r="AI110" s="243"/>
      <c r="AJ110" s="166"/>
      <c r="AK110" s="247"/>
      <c r="AL110" s="161"/>
    </row>
    <row r="111" spans="1:38">
      <c r="A111" s="227"/>
      <c r="B111" s="243"/>
      <c r="C111" s="243"/>
      <c r="D111" s="166"/>
      <c r="E111" s="228"/>
      <c r="F111" s="161"/>
      <c r="H111" s="162"/>
      <c r="I111" s="227"/>
      <c r="J111" s="243"/>
      <c r="K111" s="243"/>
      <c r="L111" s="166"/>
      <c r="M111" s="247"/>
      <c r="N111" s="160"/>
      <c r="P111" s="162"/>
      <c r="Q111" s="227"/>
      <c r="R111" s="243"/>
      <c r="S111" s="243"/>
      <c r="T111" s="166"/>
      <c r="U111" s="228"/>
      <c r="V111" s="160"/>
      <c r="X111" s="162"/>
      <c r="Y111" s="227"/>
      <c r="Z111" s="243"/>
      <c r="AA111" s="243"/>
      <c r="AB111" s="166"/>
      <c r="AC111" s="247"/>
      <c r="AD111" s="160"/>
      <c r="AF111" s="162"/>
      <c r="AG111" s="227"/>
      <c r="AH111" s="243"/>
      <c r="AI111" s="243"/>
      <c r="AJ111" s="166"/>
      <c r="AK111" s="247"/>
      <c r="AL111" s="161"/>
    </row>
    <row r="112" spans="1:38">
      <c r="A112" s="227"/>
      <c r="B112" s="243"/>
      <c r="C112" s="243"/>
      <c r="D112" s="166"/>
      <c r="E112" s="228"/>
      <c r="F112" s="161"/>
      <c r="H112" s="162"/>
      <c r="I112" s="227"/>
      <c r="J112" s="243"/>
      <c r="K112" s="243"/>
      <c r="L112" s="166"/>
      <c r="M112" s="247"/>
      <c r="N112" s="160"/>
      <c r="P112" s="162"/>
      <c r="Q112" s="227"/>
      <c r="R112" s="243"/>
      <c r="S112" s="243"/>
      <c r="T112" s="166"/>
      <c r="U112" s="228"/>
      <c r="V112" s="160"/>
      <c r="X112" s="162"/>
      <c r="Y112" s="227"/>
      <c r="Z112" s="243"/>
      <c r="AA112" s="243"/>
      <c r="AB112" s="166"/>
      <c r="AC112" s="247"/>
      <c r="AD112" s="160"/>
      <c r="AF112" s="162"/>
      <c r="AG112" s="227"/>
      <c r="AH112" s="243"/>
      <c r="AI112" s="243"/>
      <c r="AJ112" s="166"/>
      <c r="AK112" s="247"/>
      <c r="AL112" s="161"/>
    </row>
    <row r="113" spans="1:38">
      <c r="A113" s="227"/>
      <c r="B113" s="243"/>
      <c r="C113" s="243"/>
      <c r="D113" s="166"/>
      <c r="E113" s="228"/>
      <c r="F113" s="161"/>
      <c r="H113" s="162"/>
      <c r="I113" s="227"/>
      <c r="J113" s="243"/>
      <c r="K113" s="243"/>
      <c r="L113" s="166"/>
      <c r="M113" s="247"/>
      <c r="N113" s="160"/>
      <c r="P113" s="162"/>
      <c r="Q113" s="227"/>
      <c r="R113" s="243"/>
      <c r="S113" s="243"/>
      <c r="T113" s="166"/>
      <c r="U113" s="228"/>
      <c r="V113" s="160"/>
      <c r="X113" s="162"/>
      <c r="Y113" s="227"/>
      <c r="Z113" s="243"/>
      <c r="AA113" s="243"/>
      <c r="AB113" s="166"/>
      <c r="AC113" s="247"/>
      <c r="AD113" s="160"/>
      <c r="AF113" s="162"/>
      <c r="AG113" s="227"/>
      <c r="AH113" s="243"/>
      <c r="AI113" s="243"/>
      <c r="AJ113" s="166"/>
      <c r="AK113" s="247"/>
      <c r="AL113" s="161"/>
    </row>
    <row r="114" spans="1:38">
      <c r="A114" s="227"/>
      <c r="B114" s="243"/>
      <c r="C114" s="243"/>
      <c r="D114" s="166"/>
      <c r="E114" s="247"/>
      <c r="F114" s="161"/>
      <c r="H114" s="162"/>
      <c r="I114" s="227"/>
      <c r="J114" s="243"/>
      <c r="K114" s="243"/>
      <c r="L114" s="166"/>
      <c r="M114" s="247"/>
      <c r="N114" s="160"/>
      <c r="P114" s="162"/>
      <c r="Q114" s="227"/>
      <c r="R114" s="243"/>
      <c r="S114" s="243"/>
      <c r="T114" s="166"/>
      <c r="U114" s="228"/>
      <c r="V114" s="160"/>
      <c r="X114" s="162"/>
      <c r="Y114" s="227"/>
      <c r="Z114" s="243"/>
      <c r="AA114" s="243"/>
      <c r="AB114" s="166"/>
      <c r="AC114" s="247"/>
      <c r="AD114" s="160"/>
      <c r="AF114" s="162"/>
      <c r="AG114" s="227"/>
      <c r="AH114" s="243"/>
      <c r="AI114" s="243"/>
      <c r="AJ114" s="166"/>
      <c r="AK114" s="247"/>
      <c r="AL114" s="161"/>
    </row>
    <row r="115" spans="1:38">
      <c r="A115" s="227"/>
      <c r="B115" s="243"/>
      <c r="C115" s="243"/>
      <c r="D115" s="166"/>
      <c r="E115" s="247"/>
      <c r="F115" s="161"/>
      <c r="H115" s="162"/>
      <c r="I115" s="227"/>
      <c r="J115" s="243"/>
      <c r="K115" s="243"/>
      <c r="L115" s="166"/>
      <c r="M115" s="247"/>
      <c r="N115" s="160"/>
      <c r="P115" s="162"/>
      <c r="Q115" s="227"/>
      <c r="R115" s="243"/>
      <c r="S115" s="243"/>
      <c r="T115" s="166"/>
      <c r="U115" s="247"/>
      <c r="V115" s="160"/>
      <c r="X115" s="162"/>
      <c r="Y115" s="227"/>
      <c r="Z115" s="243"/>
      <c r="AA115" s="243"/>
      <c r="AB115" s="166"/>
      <c r="AC115" s="247"/>
      <c r="AD115" s="160"/>
      <c r="AF115" s="162"/>
      <c r="AG115" s="227"/>
      <c r="AH115" s="243"/>
      <c r="AI115" s="243"/>
      <c r="AJ115" s="166"/>
      <c r="AK115" s="168"/>
      <c r="AL115" s="161"/>
    </row>
    <row r="116" spans="1:38">
      <c r="A116" s="227"/>
      <c r="B116" s="243"/>
      <c r="C116" s="243"/>
      <c r="D116" s="166"/>
      <c r="E116" s="247"/>
      <c r="F116" s="161"/>
      <c r="H116" s="162"/>
      <c r="I116" s="227"/>
      <c r="J116" s="243"/>
      <c r="K116" s="243"/>
      <c r="L116" s="166"/>
      <c r="M116" s="247"/>
      <c r="N116" s="160"/>
      <c r="P116" s="162"/>
      <c r="Q116" s="227"/>
      <c r="R116" s="243"/>
      <c r="S116" s="243"/>
      <c r="T116" s="166"/>
      <c r="U116" s="247"/>
      <c r="V116" s="160"/>
      <c r="X116" s="162"/>
      <c r="Y116" s="227"/>
      <c r="Z116" s="243"/>
      <c r="AA116" s="243"/>
      <c r="AB116" s="166"/>
      <c r="AC116" s="247"/>
      <c r="AD116" s="160"/>
      <c r="AF116" s="162"/>
      <c r="AG116" s="227"/>
      <c r="AH116" s="243"/>
      <c r="AI116" s="243"/>
      <c r="AJ116" s="166"/>
      <c r="AK116" s="247"/>
      <c r="AL116" s="161"/>
    </row>
    <row r="117" spans="1:38">
      <c r="A117" s="227"/>
      <c r="B117" s="243"/>
      <c r="C117" s="243"/>
      <c r="D117" s="166"/>
      <c r="E117" s="247"/>
      <c r="F117" s="161"/>
      <c r="H117" s="162"/>
      <c r="I117" s="227"/>
      <c r="J117" s="243"/>
      <c r="K117" s="243"/>
      <c r="L117" s="166"/>
      <c r="M117" s="247"/>
      <c r="N117" s="160"/>
      <c r="P117" s="162"/>
      <c r="Q117" s="227"/>
      <c r="R117" s="243"/>
      <c r="S117" s="243"/>
      <c r="T117" s="166"/>
      <c r="U117" s="247"/>
      <c r="V117" s="160"/>
      <c r="X117" s="162"/>
      <c r="Y117" s="227"/>
      <c r="Z117" s="243"/>
      <c r="AA117" s="243"/>
      <c r="AB117" s="166"/>
      <c r="AC117" s="247"/>
      <c r="AD117" s="160"/>
      <c r="AF117" s="162"/>
      <c r="AG117" s="227"/>
      <c r="AH117" s="243"/>
      <c r="AI117" s="243"/>
      <c r="AJ117" s="166"/>
      <c r="AK117" s="243"/>
      <c r="AL117" s="161"/>
    </row>
    <row r="118" spans="1:38">
      <c r="A118" s="227"/>
      <c r="B118" s="243"/>
      <c r="C118" s="243"/>
      <c r="D118" s="166"/>
      <c r="E118" s="247"/>
      <c r="F118" s="161"/>
      <c r="H118" s="162"/>
      <c r="I118" s="227"/>
      <c r="J118" s="243"/>
      <c r="K118" s="243"/>
      <c r="L118" s="166"/>
      <c r="M118" s="247"/>
      <c r="N118" s="160"/>
      <c r="P118" s="162"/>
      <c r="Q118" s="227"/>
      <c r="R118" s="243"/>
      <c r="S118" s="243"/>
      <c r="T118" s="166"/>
      <c r="U118" s="247"/>
      <c r="V118" s="160"/>
      <c r="X118" s="162"/>
      <c r="Y118" s="227"/>
      <c r="Z118" s="243"/>
      <c r="AA118" s="243"/>
      <c r="AB118" s="166"/>
      <c r="AC118" s="168"/>
      <c r="AD118" s="160"/>
      <c r="AF118" s="162"/>
      <c r="AG118" s="227"/>
      <c r="AH118" s="243"/>
      <c r="AI118" s="243"/>
      <c r="AJ118" s="166"/>
      <c r="AK118" s="247"/>
      <c r="AL118" s="161"/>
    </row>
    <row r="119" spans="1:38">
      <c r="A119" s="227"/>
      <c r="B119" s="243"/>
      <c r="C119" s="243"/>
      <c r="D119" s="166"/>
      <c r="E119" s="247"/>
      <c r="F119" s="161"/>
      <c r="H119" s="162"/>
      <c r="I119" s="227"/>
      <c r="J119" s="243"/>
      <c r="K119" s="243"/>
      <c r="L119" s="166"/>
      <c r="M119" s="247"/>
      <c r="N119" s="160"/>
      <c r="P119" s="162"/>
      <c r="Q119" s="227"/>
      <c r="R119" s="243"/>
      <c r="S119" s="243"/>
      <c r="T119" s="166"/>
      <c r="U119" s="247"/>
      <c r="V119" s="160"/>
      <c r="X119" s="162"/>
      <c r="Y119" s="227"/>
      <c r="Z119" s="243"/>
      <c r="AA119" s="243"/>
      <c r="AB119" s="166"/>
      <c r="AC119" s="247"/>
      <c r="AD119" s="160"/>
      <c r="AF119" s="162"/>
      <c r="AG119" s="227"/>
      <c r="AH119" s="243"/>
      <c r="AI119" s="243"/>
      <c r="AJ119" s="166"/>
      <c r="AK119" s="247"/>
      <c r="AL119" s="161"/>
    </row>
    <row r="120" spans="1:38">
      <c r="A120" s="227"/>
      <c r="B120" s="243"/>
      <c r="C120" s="243"/>
      <c r="D120" s="166"/>
      <c r="E120" s="247"/>
      <c r="F120" s="161"/>
      <c r="H120" s="162"/>
      <c r="I120" s="227"/>
      <c r="J120" s="243"/>
      <c r="K120" s="243"/>
      <c r="L120" s="166"/>
      <c r="M120" s="247"/>
      <c r="N120" s="160"/>
      <c r="P120" s="162"/>
      <c r="Q120" s="227"/>
      <c r="R120" s="243"/>
      <c r="S120" s="243"/>
      <c r="T120" s="166"/>
      <c r="U120" s="247"/>
      <c r="V120" s="160"/>
      <c r="X120" s="162"/>
      <c r="Y120" s="227"/>
      <c r="Z120" s="243"/>
      <c r="AA120" s="243"/>
      <c r="AB120" s="166"/>
      <c r="AC120" s="243"/>
      <c r="AD120" s="160"/>
      <c r="AF120" s="162"/>
      <c r="AG120" s="227"/>
      <c r="AH120" s="243"/>
      <c r="AI120" s="243"/>
      <c r="AJ120" s="166"/>
      <c r="AK120" s="247"/>
      <c r="AL120" s="161"/>
    </row>
    <row r="121" spans="1:38">
      <c r="A121" s="227"/>
      <c r="B121" s="243"/>
      <c r="C121" s="243"/>
      <c r="D121" s="166"/>
      <c r="E121" s="247"/>
      <c r="F121" s="161"/>
      <c r="H121" s="162"/>
      <c r="I121" s="227"/>
      <c r="J121" s="243"/>
      <c r="K121" s="243"/>
      <c r="L121" s="166"/>
      <c r="M121" s="247"/>
      <c r="N121" s="160"/>
      <c r="P121" s="162"/>
      <c r="Q121" s="227"/>
      <c r="R121" s="243"/>
      <c r="S121" s="243"/>
      <c r="T121" s="166"/>
      <c r="U121" s="247"/>
      <c r="V121" s="160"/>
      <c r="X121" s="162"/>
      <c r="Y121" s="227"/>
      <c r="Z121" s="243"/>
      <c r="AA121" s="243"/>
      <c r="AB121" s="166"/>
      <c r="AC121" s="247"/>
      <c r="AD121" s="160"/>
      <c r="AF121" s="162"/>
      <c r="AG121" s="227"/>
      <c r="AH121" s="243"/>
      <c r="AI121" s="243"/>
      <c r="AJ121" s="166"/>
      <c r="AK121" s="247"/>
      <c r="AL121" s="161"/>
    </row>
    <row r="122" spans="1:38">
      <c r="A122" s="227"/>
      <c r="B122" s="243"/>
      <c r="C122" s="243"/>
      <c r="D122" s="166"/>
      <c r="E122" s="247"/>
      <c r="F122" s="161"/>
      <c r="H122" s="162"/>
      <c r="I122" s="227"/>
      <c r="J122" s="243"/>
      <c r="K122" s="243"/>
      <c r="L122" s="166"/>
      <c r="M122" s="247"/>
      <c r="N122" s="160"/>
      <c r="P122" s="162"/>
      <c r="Q122" s="227"/>
      <c r="R122" s="243"/>
      <c r="S122" s="243"/>
      <c r="T122" s="166"/>
      <c r="U122" s="247"/>
      <c r="V122" s="160"/>
      <c r="X122" s="162"/>
      <c r="Y122" s="227"/>
      <c r="Z122" s="243"/>
      <c r="AA122" s="243"/>
      <c r="AB122" s="166"/>
      <c r="AC122" s="247"/>
      <c r="AD122" s="160"/>
      <c r="AF122" s="162"/>
      <c r="AG122" s="227"/>
      <c r="AH122" s="243"/>
      <c r="AI122" s="243"/>
      <c r="AJ122" s="166"/>
      <c r="AK122" s="247"/>
      <c r="AL122" s="161"/>
    </row>
    <row r="123" spans="1:38">
      <c r="A123" s="227"/>
      <c r="B123" s="243"/>
      <c r="C123" s="243"/>
      <c r="D123" s="166"/>
      <c r="E123" s="247"/>
      <c r="F123" s="161"/>
      <c r="H123" s="162"/>
      <c r="I123" s="227"/>
      <c r="J123" s="243"/>
      <c r="K123" s="243"/>
      <c r="L123" s="166"/>
      <c r="M123" s="247"/>
      <c r="N123" s="160"/>
      <c r="P123" s="162"/>
      <c r="Q123" s="227"/>
      <c r="R123" s="243"/>
      <c r="S123" s="243"/>
      <c r="T123" s="166"/>
      <c r="U123" s="247"/>
      <c r="V123" s="160"/>
      <c r="X123" s="162"/>
      <c r="Y123" s="227"/>
      <c r="Z123" s="243"/>
      <c r="AA123" s="243"/>
      <c r="AB123" s="166"/>
      <c r="AC123" s="247"/>
      <c r="AD123" s="160"/>
      <c r="AF123" s="162"/>
      <c r="AG123" s="227"/>
      <c r="AH123" s="243"/>
      <c r="AI123" s="243"/>
      <c r="AJ123" s="166"/>
      <c r="AK123" s="247"/>
      <c r="AL123" s="161"/>
    </row>
    <row r="124" spans="1:38">
      <c r="A124" s="227"/>
      <c r="B124" s="243"/>
      <c r="C124" s="243"/>
      <c r="D124" s="166"/>
      <c r="E124" s="247"/>
      <c r="F124" s="161"/>
      <c r="H124" s="162"/>
      <c r="I124" s="227"/>
      <c r="J124" s="243"/>
      <c r="K124" s="243"/>
      <c r="L124" s="166"/>
      <c r="M124" s="168"/>
      <c r="N124" s="160"/>
      <c r="P124" s="162"/>
      <c r="Q124" s="227"/>
      <c r="R124" s="243"/>
      <c r="S124" s="243"/>
      <c r="T124" s="166"/>
      <c r="U124" s="247"/>
      <c r="V124" s="160"/>
      <c r="X124" s="162"/>
      <c r="Y124" s="227"/>
      <c r="Z124" s="243"/>
      <c r="AA124" s="243"/>
      <c r="AB124" s="166"/>
      <c r="AC124" s="247"/>
      <c r="AD124" s="160"/>
      <c r="AF124" s="162"/>
      <c r="AG124" s="227"/>
      <c r="AH124" s="243"/>
      <c r="AI124" s="243"/>
      <c r="AJ124" s="166"/>
      <c r="AK124" s="247"/>
      <c r="AL124" s="161"/>
    </row>
    <row r="125" spans="1:38">
      <c r="A125" s="227"/>
      <c r="B125" s="243"/>
      <c r="C125" s="243"/>
      <c r="D125" s="166"/>
      <c r="E125" s="247"/>
      <c r="F125" s="161"/>
      <c r="H125" s="162"/>
      <c r="I125" s="227"/>
      <c r="J125" s="243"/>
      <c r="K125" s="243"/>
      <c r="L125" s="166"/>
      <c r="M125" s="247"/>
      <c r="N125" s="160"/>
      <c r="P125" s="162"/>
      <c r="Q125" s="227"/>
      <c r="R125" s="243"/>
      <c r="S125" s="243"/>
      <c r="T125" s="166"/>
      <c r="U125" s="247"/>
      <c r="V125" s="160"/>
      <c r="X125" s="162"/>
      <c r="Y125" s="227"/>
      <c r="Z125" s="243"/>
      <c r="AA125" s="243"/>
      <c r="AB125" s="166"/>
      <c r="AC125" s="247"/>
      <c r="AD125" s="160"/>
      <c r="AF125" s="162"/>
      <c r="AG125" s="227"/>
      <c r="AH125" s="243"/>
      <c r="AI125" s="243"/>
      <c r="AJ125" s="166"/>
      <c r="AK125" s="247"/>
      <c r="AL125" s="161"/>
    </row>
    <row r="126" spans="1:38">
      <c r="A126" s="227"/>
      <c r="B126" s="243"/>
      <c r="C126" s="243"/>
      <c r="D126" s="166"/>
      <c r="E126" s="247"/>
      <c r="F126" s="161"/>
      <c r="H126" s="162"/>
      <c r="I126" s="227"/>
      <c r="J126" s="243"/>
      <c r="K126" s="243"/>
      <c r="L126" s="166"/>
      <c r="M126" s="243"/>
      <c r="N126" s="160"/>
      <c r="P126" s="162"/>
      <c r="Q126" s="227"/>
      <c r="R126" s="243"/>
      <c r="S126" s="243"/>
      <c r="T126" s="166"/>
      <c r="U126" s="247"/>
      <c r="V126" s="160"/>
      <c r="X126" s="162"/>
      <c r="Y126" s="227"/>
      <c r="Z126" s="243"/>
      <c r="AA126" s="243"/>
      <c r="AB126" s="166"/>
      <c r="AC126" s="247"/>
      <c r="AD126" s="160"/>
      <c r="AF126" s="162"/>
      <c r="AG126" s="227"/>
      <c r="AH126" s="243"/>
      <c r="AI126" s="243"/>
      <c r="AJ126" s="166"/>
      <c r="AK126" s="243"/>
      <c r="AL126" s="161"/>
    </row>
    <row r="127" spans="1:38">
      <c r="A127" s="227"/>
      <c r="B127" s="243"/>
      <c r="C127" s="243"/>
      <c r="D127" s="166"/>
      <c r="E127" s="247"/>
      <c r="F127" s="161"/>
      <c r="H127" s="162"/>
      <c r="I127" s="227"/>
      <c r="J127" s="243"/>
      <c r="K127" s="243"/>
      <c r="L127" s="166"/>
      <c r="M127" s="247"/>
      <c r="N127" s="160"/>
      <c r="P127" s="162"/>
      <c r="Q127" s="227"/>
      <c r="R127" s="243"/>
      <c r="S127" s="243"/>
      <c r="T127" s="166"/>
      <c r="U127" s="247"/>
      <c r="V127" s="160"/>
      <c r="X127" s="162"/>
      <c r="Y127" s="227"/>
      <c r="Z127" s="243"/>
      <c r="AA127" s="243"/>
      <c r="AB127" s="166"/>
      <c r="AC127" s="247"/>
      <c r="AD127" s="160"/>
      <c r="AF127" s="162"/>
      <c r="AG127" s="227"/>
      <c r="AH127" s="243"/>
      <c r="AI127" s="243"/>
      <c r="AJ127" s="166"/>
      <c r="AK127" s="247"/>
      <c r="AL127" s="161"/>
    </row>
    <row r="128" spans="1:38">
      <c r="A128" s="227"/>
      <c r="B128" s="243"/>
      <c r="C128" s="243"/>
      <c r="D128" s="166"/>
      <c r="E128" s="247"/>
      <c r="F128" s="161"/>
      <c r="H128" s="162"/>
      <c r="I128" s="227"/>
      <c r="J128" s="243"/>
      <c r="K128" s="243"/>
      <c r="L128" s="166"/>
      <c r="M128" s="247"/>
      <c r="N128" s="160"/>
      <c r="P128" s="162"/>
      <c r="Q128" s="227"/>
      <c r="R128" s="243"/>
      <c r="S128" s="243"/>
      <c r="T128" s="166"/>
      <c r="U128" s="247"/>
      <c r="V128" s="160"/>
      <c r="X128" s="162"/>
      <c r="Y128" s="227"/>
      <c r="Z128" s="243"/>
      <c r="AA128" s="243"/>
      <c r="AB128" s="166"/>
      <c r="AC128" s="247"/>
      <c r="AD128" s="160"/>
      <c r="AF128" s="162"/>
      <c r="AG128" s="227"/>
      <c r="AH128" s="243"/>
      <c r="AI128" s="243"/>
      <c r="AJ128" s="166"/>
      <c r="AK128" s="247"/>
      <c r="AL128" s="161"/>
    </row>
    <row r="129" spans="1:38">
      <c r="A129" s="227"/>
      <c r="B129" s="243"/>
      <c r="C129" s="243"/>
      <c r="D129" s="166"/>
      <c r="E129" s="247"/>
      <c r="F129" s="161"/>
      <c r="H129" s="162"/>
      <c r="I129" s="227"/>
      <c r="J129" s="243"/>
      <c r="K129" s="243"/>
      <c r="L129" s="166"/>
      <c r="M129" s="247"/>
      <c r="N129" s="160"/>
      <c r="P129" s="162"/>
      <c r="Q129" s="227"/>
      <c r="R129" s="243"/>
      <c r="S129" s="243"/>
      <c r="T129" s="166"/>
      <c r="U129" s="247"/>
      <c r="V129" s="160"/>
      <c r="X129" s="162"/>
      <c r="Y129" s="227"/>
      <c r="Z129" s="243"/>
      <c r="AA129" s="243"/>
      <c r="AB129" s="166"/>
      <c r="AC129" s="243"/>
      <c r="AD129" s="160"/>
      <c r="AF129" s="162"/>
      <c r="AG129" s="227"/>
      <c r="AH129" s="243"/>
      <c r="AI129" s="243"/>
      <c r="AJ129" s="166"/>
      <c r="AK129" s="243"/>
      <c r="AL129" s="161"/>
    </row>
    <row r="130" spans="1:38">
      <c r="A130" s="227"/>
      <c r="B130" s="243"/>
      <c r="C130" s="243"/>
      <c r="D130" s="166"/>
      <c r="E130" s="247"/>
      <c r="F130" s="161"/>
      <c r="H130" s="162"/>
      <c r="I130" s="227"/>
      <c r="J130" s="243"/>
      <c r="K130" s="243"/>
      <c r="L130" s="166"/>
      <c r="M130" s="247"/>
      <c r="N130" s="160"/>
      <c r="P130" s="162"/>
      <c r="Q130" s="227"/>
      <c r="R130" s="243"/>
      <c r="S130" s="243"/>
      <c r="T130" s="166"/>
      <c r="U130" s="247"/>
      <c r="V130" s="160"/>
      <c r="X130" s="162"/>
      <c r="Y130" s="227"/>
      <c r="Z130" s="243"/>
      <c r="AA130" s="243"/>
      <c r="AB130" s="166"/>
      <c r="AC130" s="247"/>
      <c r="AD130" s="160"/>
      <c r="AF130" s="162"/>
      <c r="AG130" s="227"/>
      <c r="AH130" s="243"/>
      <c r="AI130" s="243"/>
      <c r="AJ130" s="166"/>
      <c r="AK130" s="247"/>
      <c r="AL130" s="161"/>
    </row>
    <row r="131" spans="1:38">
      <c r="A131" s="227"/>
      <c r="B131" s="243"/>
      <c r="C131" s="243"/>
      <c r="D131" s="166"/>
      <c r="E131" s="247"/>
      <c r="F131" s="161"/>
      <c r="H131" s="162"/>
      <c r="I131" s="227"/>
      <c r="J131" s="243"/>
      <c r="K131" s="243"/>
      <c r="L131" s="166"/>
      <c r="M131" s="247"/>
      <c r="N131" s="160"/>
      <c r="P131" s="162"/>
      <c r="Q131" s="227"/>
      <c r="R131" s="243"/>
      <c r="S131" s="243"/>
      <c r="T131" s="166"/>
      <c r="U131" s="247"/>
      <c r="V131" s="160"/>
      <c r="X131" s="162"/>
      <c r="Y131" s="227"/>
      <c r="Z131" s="243"/>
      <c r="AA131" s="243"/>
      <c r="AB131" s="166"/>
      <c r="AC131" s="247"/>
      <c r="AD131" s="160"/>
      <c r="AF131" s="162"/>
      <c r="AG131" s="227"/>
      <c r="AH131" s="243"/>
      <c r="AI131" s="243"/>
      <c r="AJ131" s="166"/>
      <c r="AK131" s="247"/>
      <c r="AL131" s="161"/>
    </row>
    <row r="132" spans="1:38">
      <c r="A132" s="227"/>
      <c r="B132" s="243"/>
      <c r="C132" s="243"/>
      <c r="D132" s="166"/>
      <c r="E132" s="247"/>
      <c r="F132" s="161"/>
      <c r="H132" s="162"/>
      <c r="I132" s="227"/>
      <c r="J132" s="243"/>
      <c r="K132" s="243"/>
      <c r="L132" s="166"/>
      <c r="M132" s="247"/>
      <c r="N132" s="160"/>
      <c r="P132" s="162"/>
      <c r="Q132" s="227"/>
      <c r="R132" s="243"/>
      <c r="S132" s="243"/>
      <c r="T132" s="166"/>
      <c r="U132" s="247"/>
      <c r="V132" s="160"/>
      <c r="X132" s="162"/>
      <c r="Y132" s="227"/>
      <c r="Z132" s="243"/>
      <c r="AA132" s="243"/>
      <c r="AB132" s="166"/>
      <c r="AC132" s="243"/>
      <c r="AD132" s="160"/>
      <c r="AF132" s="162"/>
      <c r="AG132" s="227"/>
      <c r="AH132" s="243"/>
      <c r="AI132" s="243"/>
      <c r="AJ132" s="166"/>
      <c r="AK132" s="247"/>
      <c r="AL132" s="161"/>
    </row>
    <row r="133" spans="1:38">
      <c r="A133" s="227"/>
      <c r="B133" s="243"/>
      <c r="C133" s="243"/>
      <c r="D133" s="166"/>
      <c r="E133" s="247"/>
      <c r="F133" s="161"/>
      <c r="H133" s="162"/>
      <c r="I133" s="227"/>
      <c r="J133" s="243"/>
      <c r="K133" s="243"/>
      <c r="L133" s="166"/>
      <c r="M133" s="247"/>
      <c r="N133" s="160"/>
      <c r="P133" s="162"/>
      <c r="Q133" s="227"/>
      <c r="R133" s="243"/>
      <c r="S133" s="243"/>
      <c r="T133" s="166"/>
      <c r="U133" s="247"/>
      <c r="V133" s="160"/>
      <c r="X133" s="162"/>
      <c r="Y133" s="227"/>
      <c r="Z133" s="243"/>
      <c r="AA133" s="243"/>
      <c r="AB133" s="166"/>
      <c r="AC133" s="247"/>
      <c r="AD133" s="160"/>
      <c r="AF133" s="162"/>
      <c r="AG133" s="227"/>
      <c r="AH133" s="243"/>
      <c r="AI133" s="243"/>
      <c r="AJ133" s="166"/>
      <c r="AK133" s="247"/>
      <c r="AL133" s="161"/>
    </row>
    <row r="134" spans="1:38">
      <c r="A134" s="227"/>
      <c r="B134" s="243"/>
      <c r="C134" s="243"/>
      <c r="D134" s="166"/>
      <c r="E134" s="168"/>
      <c r="F134" s="161"/>
      <c r="H134" s="162"/>
      <c r="I134" s="227"/>
      <c r="J134" s="243"/>
      <c r="K134" s="243"/>
      <c r="L134" s="166"/>
      <c r="M134" s="247"/>
      <c r="N134" s="160"/>
      <c r="P134" s="162"/>
      <c r="Q134" s="227"/>
      <c r="R134" s="243"/>
      <c r="S134" s="243"/>
      <c r="T134" s="166"/>
      <c r="U134" s="247"/>
      <c r="V134" s="160"/>
      <c r="X134" s="162"/>
      <c r="Y134" s="227"/>
      <c r="Z134" s="243"/>
      <c r="AA134" s="243"/>
      <c r="AB134" s="166"/>
      <c r="AC134" s="247"/>
      <c r="AD134" s="160"/>
      <c r="AF134" s="162"/>
      <c r="AG134" s="227"/>
      <c r="AH134" s="243"/>
      <c r="AI134" s="243"/>
      <c r="AJ134" s="166"/>
      <c r="AK134" s="247"/>
      <c r="AL134" s="161"/>
    </row>
    <row r="135" spans="1:38">
      <c r="A135" s="227"/>
      <c r="B135" s="243"/>
      <c r="C135" s="243"/>
      <c r="D135" s="166"/>
      <c r="E135" s="247"/>
      <c r="F135" s="161"/>
      <c r="H135" s="162"/>
      <c r="I135" s="227"/>
      <c r="J135" s="243"/>
      <c r="K135" s="243"/>
      <c r="L135" s="166"/>
      <c r="M135" s="243"/>
      <c r="N135" s="160"/>
      <c r="P135" s="162"/>
      <c r="Q135" s="227"/>
      <c r="R135" s="243"/>
      <c r="S135" s="243"/>
      <c r="T135" s="166"/>
      <c r="U135" s="168"/>
      <c r="V135" s="160"/>
      <c r="X135" s="162"/>
      <c r="Y135" s="227"/>
      <c r="Z135" s="243"/>
      <c r="AA135" s="243"/>
      <c r="AB135" s="166"/>
      <c r="AC135" s="247"/>
      <c r="AD135" s="160"/>
      <c r="AF135" s="162"/>
      <c r="AG135" s="227"/>
      <c r="AH135" s="243"/>
      <c r="AI135" s="243"/>
      <c r="AJ135" s="166"/>
      <c r="AK135" s="247"/>
      <c r="AL135" s="161"/>
    </row>
    <row r="136" spans="1:38">
      <c r="A136" s="227"/>
      <c r="B136" s="243"/>
      <c r="C136" s="243"/>
      <c r="D136" s="166"/>
      <c r="E136" s="243"/>
      <c r="F136" s="161"/>
      <c r="H136" s="162"/>
      <c r="I136" s="227"/>
      <c r="J136" s="243"/>
      <c r="K136" s="243"/>
      <c r="L136" s="166"/>
      <c r="M136" s="247"/>
      <c r="N136" s="160"/>
      <c r="P136" s="162"/>
      <c r="Q136" s="227"/>
      <c r="R136" s="243"/>
      <c r="S136" s="243"/>
      <c r="T136" s="166"/>
      <c r="U136" s="247"/>
      <c r="V136" s="160"/>
      <c r="X136" s="162"/>
      <c r="Y136" s="227"/>
      <c r="Z136" s="243"/>
      <c r="AA136" s="243"/>
      <c r="AB136" s="166"/>
      <c r="AC136" s="247"/>
      <c r="AD136" s="160"/>
      <c r="AF136" s="162"/>
      <c r="AG136" s="227"/>
      <c r="AH136" s="243"/>
      <c r="AI136" s="243"/>
      <c r="AJ136" s="166"/>
      <c r="AK136" s="247"/>
      <c r="AL136" s="161"/>
    </row>
    <row r="137" spans="1:38">
      <c r="A137" s="227"/>
      <c r="B137" s="243"/>
      <c r="C137" s="243"/>
      <c r="D137" s="166"/>
      <c r="E137" s="247"/>
      <c r="F137" s="161"/>
      <c r="H137" s="162"/>
      <c r="I137" s="227"/>
      <c r="J137" s="243"/>
      <c r="K137" s="243"/>
      <c r="L137" s="166"/>
      <c r="M137" s="247"/>
      <c r="N137" s="160"/>
      <c r="P137" s="162"/>
      <c r="Q137" s="227"/>
      <c r="R137" s="243"/>
      <c r="S137" s="243"/>
      <c r="T137" s="166"/>
      <c r="U137" s="243"/>
      <c r="V137" s="160"/>
      <c r="X137" s="162"/>
      <c r="Y137" s="227"/>
      <c r="Z137" s="243"/>
      <c r="AA137" s="243"/>
      <c r="AB137" s="166"/>
      <c r="AC137" s="247"/>
      <c r="AD137" s="160"/>
      <c r="AF137" s="162"/>
      <c r="AG137" s="227"/>
      <c r="AH137" s="243"/>
      <c r="AI137" s="243"/>
      <c r="AJ137" s="166"/>
      <c r="AK137" s="247"/>
      <c r="AL137" s="161"/>
    </row>
    <row r="138" spans="1:38">
      <c r="A138" s="227"/>
      <c r="B138" s="243"/>
      <c r="C138" s="243"/>
      <c r="D138" s="166"/>
      <c r="E138" s="247"/>
      <c r="F138" s="161"/>
      <c r="H138" s="162"/>
      <c r="I138" s="227"/>
      <c r="J138" s="243"/>
      <c r="K138" s="243"/>
      <c r="L138" s="166"/>
      <c r="M138" s="243"/>
      <c r="N138" s="160"/>
      <c r="P138" s="162"/>
      <c r="Q138" s="227"/>
      <c r="R138" s="243"/>
      <c r="S138" s="243"/>
      <c r="T138" s="166"/>
      <c r="U138" s="247"/>
      <c r="V138" s="160"/>
      <c r="X138" s="162"/>
      <c r="Y138" s="227"/>
      <c r="Z138" s="243"/>
      <c r="AA138" s="243"/>
      <c r="AB138" s="166"/>
      <c r="AC138" s="247"/>
      <c r="AD138" s="160"/>
      <c r="AF138" s="162"/>
      <c r="AG138" s="227"/>
      <c r="AH138" s="243"/>
      <c r="AI138" s="243"/>
      <c r="AJ138" s="166"/>
      <c r="AK138" s="247"/>
      <c r="AL138" s="161"/>
    </row>
    <row r="139" spans="1:38">
      <c r="A139" s="227"/>
      <c r="B139" s="243"/>
      <c r="C139" s="243"/>
      <c r="D139" s="166"/>
      <c r="E139" s="247"/>
      <c r="F139" s="161"/>
      <c r="H139" s="162"/>
      <c r="I139" s="227"/>
      <c r="J139" s="243"/>
      <c r="K139" s="243"/>
      <c r="L139" s="166"/>
      <c r="M139" s="247"/>
      <c r="N139" s="160"/>
      <c r="P139" s="162"/>
      <c r="Q139" s="227"/>
      <c r="R139" s="243"/>
      <c r="S139" s="243"/>
      <c r="T139" s="166"/>
      <c r="U139" s="247"/>
      <c r="V139" s="160"/>
      <c r="X139" s="162"/>
      <c r="Y139" s="227"/>
      <c r="Z139" s="243"/>
      <c r="AA139" s="243"/>
      <c r="AB139" s="166"/>
      <c r="AC139" s="247"/>
      <c r="AD139" s="160"/>
      <c r="AF139" s="162"/>
      <c r="AG139" s="227"/>
      <c r="AH139" s="243"/>
      <c r="AI139" s="243"/>
      <c r="AJ139" s="166"/>
      <c r="AK139" s="247"/>
      <c r="AL139" s="161"/>
    </row>
    <row r="140" spans="1:38">
      <c r="A140" s="227"/>
      <c r="B140" s="243"/>
      <c r="C140" s="243"/>
      <c r="D140" s="166"/>
      <c r="E140" s="247"/>
      <c r="F140" s="161"/>
      <c r="H140" s="162"/>
      <c r="I140" s="227"/>
      <c r="J140" s="243"/>
      <c r="K140" s="243"/>
      <c r="L140" s="166"/>
      <c r="M140" s="247"/>
      <c r="N140" s="160"/>
      <c r="P140" s="162"/>
      <c r="Q140" s="227"/>
      <c r="R140" s="243"/>
      <c r="S140" s="243"/>
      <c r="T140" s="166"/>
      <c r="U140" s="247"/>
      <c r="V140" s="160"/>
      <c r="X140" s="162"/>
      <c r="Y140" s="227"/>
      <c r="Z140" s="243"/>
      <c r="AA140" s="243"/>
      <c r="AB140" s="166"/>
      <c r="AC140" s="247"/>
      <c r="AD140" s="160"/>
      <c r="AF140" s="162"/>
      <c r="AG140" s="227"/>
      <c r="AH140" s="243"/>
      <c r="AI140" s="243"/>
      <c r="AJ140" s="166"/>
      <c r="AK140" s="247"/>
      <c r="AL140" s="161"/>
    </row>
    <row r="141" spans="1:38">
      <c r="A141" s="227"/>
      <c r="B141" s="243"/>
      <c r="C141" s="243"/>
      <c r="D141" s="166"/>
      <c r="E141" s="247"/>
      <c r="F141" s="161"/>
      <c r="H141" s="162"/>
      <c r="I141" s="227"/>
      <c r="J141" s="243"/>
      <c r="K141" s="243"/>
      <c r="L141" s="166"/>
      <c r="M141" s="247"/>
      <c r="N141" s="160"/>
      <c r="P141" s="162"/>
      <c r="Q141" s="227"/>
      <c r="R141" s="243"/>
      <c r="S141" s="243"/>
      <c r="T141" s="166"/>
      <c r="U141" s="247"/>
      <c r="V141" s="160"/>
      <c r="X141" s="162"/>
      <c r="Y141" s="227"/>
      <c r="Z141" s="243"/>
      <c r="AA141" s="243"/>
      <c r="AB141" s="166"/>
      <c r="AC141" s="247"/>
      <c r="AD141" s="160"/>
      <c r="AF141" s="162"/>
      <c r="AG141" s="227"/>
      <c r="AH141" s="243"/>
      <c r="AI141" s="243"/>
      <c r="AJ141" s="166"/>
      <c r="AK141" s="247"/>
      <c r="AL141" s="161"/>
    </row>
    <row r="142" spans="1:38">
      <c r="A142" s="227"/>
      <c r="B142" s="243"/>
      <c r="C142" s="243"/>
      <c r="D142" s="166"/>
      <c r="E142" s="247"/>
      <c r="F142" s="161"/>
      <c r="H142" s="162"/>
      <c r="I142" s="227"/>
      <c r="J142" s="243"/>
      <c r="K142" s="243"/>
      <c r="L142" s="166"/>
      <c r="M142" s="247"/>
      <c r="N142" s="160"/>
      <c r="P142" s="162"/>
      <c r="Q142" s="227"/>
      <c r="R142" s="243"/>
      <c r="S142" s="243"/>
      <c r="T142" s="166"/>
      <c r="U142" s="247"/>
      <c r="V142" s="160"/>
      <c r="X142" s="162"/>
      <c r="Y142" s="227"/>
      <c r="Z142" s="243"/>
      <c r="AA142" s="243"/>
      <c r="AB142" s="166"/>
      <c r="AC142" s="247"/>
      <c r="AD142" s="160"/>
      <c r="AF142" s="162"/>
      <c r="AG142" s="227"/>
      <c r="AH142" s="243"/>
      <c r="AI142" s="243"/>
      <c r="AJ142" s="166"/>
      <c r="AK142" s="247"/>
      <c r="AL142" s="161"/>
    </row>
    <row r="143" spans="1:38">
      <c r="A143" s="227"/>
      <c r="B143" s="243"/>
      <c r="C143" s="243"/>
      <c r="D143" s="166"/>
      <c r="E143" s="247"/>
      <c r="F143" s="161"/>
      <c r="H143" s="162"/>
      <c r="I143" s="227"/>
      <c r="J143" s="243"/>
      <c r="K143" s="243"/>
      <c r="L143" s="166"/>
      <c r="M143" s="247"/>
      <c r="N143" s="160"/>
      <c r="P143" s="162"/>
      <c r="Q143" s="227"/>
      <c r="R143" s="243"/>
      <c r="S143" s="243"/>
      <c r="T143" s="166"/>
      <c r="U143" s="247"/>
      <c r="V143" s="160"/>
      <c r="X143" s="162"/>
      <c r="Y143" s="227"/>
      <c r="Z143" s="243"/>
      <c r="AA143" s="243"/>
      <c r="AB143" s="166"/>
      <c r="AC143" s="247"/>
      <c r="AD143" s="160"/>
      <c r="AF143" s="162"/>
      <c r="AG143" s="227"/>
      <c r="AH143" s="243"/>
      <c r="AI143" s="243"/>
      <c r="AJ143" s="166"/>
      <c r="AK143" s="247"/>
      <c r="AL143" s="161"/>
    </row>
    <row r="144" spans="1:38">
      <c r="A144" s="227"/>
      <c r="B144" s="243"/>
      <c r="C144" s="243"/>
      <c r="D144" s="166"/>
      <c r="E144" s="247"/>
      <c r="F144" s="161"/>
      <c r="H144" s="162"/>
      <c r="I144" s="227"/>
      <c r="J144" s="243"/>
      <c r="K144" s="243"/>
      <c r="L144" s="166"/>
      <c r="M144" s="247"/>
      <c r="N144" s="160"/>
      <c r="P144" s="162"/>
      <c r="Q144" s="227"/>
      <c r="R144" s="243"/>
      <c r="S144" s="243"/>
      <c r="T144" s="166"/>
      <c r="U144" s="247"/>
      <c r="V144" s="160"/>
      <c r="X144" s="162"/>
      <c r="Y144" s="227"/>
      <c r="Z144" s="243"/>
      <c r="AA144" s="243"/>
      <c r="AB144" s="166"/>
      <c r="AC144" s="247"/>
      <c r="AD144" s="160"/>
      <c r="AF144" s="162"/>
      <c r="AG144" s="227"/>
      <c r="AH144" s="243"/>
      <c r="AI144" s="243"/>
      <c r="AJ144" s="166"/>
      <c r="AK144" s="247"/>
      <c r="AL144" s="161"/>
    </row>
    <row r="145" spans="1:38">
      <c r="A145" s="227"/>
      <c r="B145" s="243"/>
      <c r="C145" s="243"/>
      <c r="D145" s="166"/>
      <c r="E145" s="243"/>
      <c r="F145" s="161"/>
      <c r="H145" s="162"/>
      <c r="I145" s="227"/>
      <c r="J145" s="243"/>
      <c r="K145" s="243"/>
      <c r="L145" s="166"/>
      <c r="M145" s="247"/>
      <c r="N145" s="160"/>
      <c r="P145" s="162"/>
      <c r="Q145" s="227"/>
      <c r="R145" s="243"/>
      <c r="S145" s="243"/>
      <c r="T145" s="166"/>
      <c r="U145" s="247"/>
      <c r="V145" s="160"/>
      <c r="X145" s="162"/>
      <c r="Y145" s="227"/>
      <c r="Z145" s="243"/>
      <c r="AA145" s="243"/>
      <c r="AB145" s="166"/>
      <c r="AC145" s="247"/>
      <c r="AD145" s="160"/>
      <c r="AF145" s="162"/>
      <c r="AG145" s="227"/>
      <c r="AH145" s="243"/>
      <c r="AI145" s="243"/>
      <c r="AJ145" s="166"/>
      <c r="AK145" s="247"/>
      <c r="AL145" s="161"/>
    </row>
    <row r="146" spans="1:38">
      <c r="A146" s="227"/>
      <c r="B146" s="243"/>
      <c r="C146" s="243"/>
      <c r="D146" s="166"/>
      <c r="E146" s="247"/>
      <c r="F146" s="161"/>
      <c r="H146" s="162"/>
      <c r="I146" s="227"/>
      <c r="J146" s="243"/>
      <c r="K146" s="243"/>
      <c r="L146" s="166"/>
      <c r="M146" s="247"/>
      <c r="N146" s="160"/>
      <c r="P146" s="162"/>
      <c r="Q146" s="227"/>
      <c r="R146" s="243"/>
      <c r="S146" s="243"/>
      <c r="T146" s="166"/>
      <c r="U146" s="243"/>
      <c r="V146" s="160"/>
      <c r="X146" s="162"/>
      <c r="Y146" s="227"/>
      <c r="Z146" s="243"/>
      <c r="AA146" s="243"/>
      <c r="AB146" s="166"/>
      <c r="AC146" s="247"/>
      <c r="AD146" s="160"/>
      <c r="AF146" s="162"/>
      <c r="AG146" s="227"/>
      <c r="AH146" s="243"/>
      <c r="AI146" s="243"/>
      <c r="AJ146" s="166"/>
      <c r="AK146" s="247"/>
      <c r="AL146" s="161"/>
    </row>
    <row r="147" spans="1:38">
      <c r="A147" s="227"/>
      <c r="B147" s="243"/>
      <c r="C147" s="243"/>
      <c r="D147" s="166"/>
      <c r="E147" s="247"/>
      <c r="F147" s="161"/>
      <c r="H147" s="162"/>
      <c r="I147" s="227"/>
      <c r="J147" s="243"/>
      <c r="K147" s="243"/>
      <c r="L147" s="166"/>
      <c r="M147" s="247"/>
      <c r="N147" s="160"/>
      <c r="P147" s="162"/>
      <c r="Q147" s="227"/>
      <c r="R147" s="243"/>
      <c r="S147" s="243"/>
      <c r="T147" s="166"/>
      <c r="U147" s="247"/>
      <c r="V147" s="160"/>
      <c r="X147" s="162"/>
      <c r="Y147" s="227"/>
      <c r="Z147" s="243"/>
      <c r="AA147" s="243"/>
      <c r="AB147" s="166"/>
      <c r="AC147" s="247"/>
      <c r="AD147" s="160"/>
      <c r="AF147" s="162"/>
      <c r="AG147" s="227"/>
      <c r="AH147" s="243"/>
      <c r="AI147" s="243"/>
      <c r="AJ147" s="166"/>
      <c r="AK147" s="247"/>
      <c r="AL147" s="161"/>
    </row>
    <row r="148" spans="1:38">
      <c r="A148" s="227"/>
      <c r="B148" s="243"/>
      <c r="C148" s="243"/>
      <c r="D148" s="166"/>
      <c r="E148" s="243"/>
      <c r="F148" s="161"/>
      <c r="H148" s="162"/>
      <c r="I148" s="227"/>
      <c r="J148" s="243"/>
      <c r="K148" s="243"/>
      <c r="L148" s="166"/>
      <c r="M148" s="247"/>
      <c r="N148" s="160"/>
      <c r="P148" s="162"/>
      <c r="Q148" s="227"/>
      <c r="R148" s="243"/>
      <c r="S148" s="243"/>
      <c r="T148" s="166"/>
      <c r="U148" s="247"/>
      <c r="V148" s="160"/>
      <c r="X148" s="162"/>
      <c r="Y148" s="227"/>
      <c r="Z148" s="243"/>
      <c r="AA148" s="243"/>
      <c r="AB148" s="166"/>
      <c r="AC148" s="247"/>
      <c r="AD148" s="160"/>
      <c r="AF148" s="162"/>
      <c r="AG148" s="227"/>
      <c r="AH148" s="243"/>
      <c r="AI148" s="243"/>
      <c r="AJ148" s="166"/>
      <c r="AK148" s="247"/>
      <c r="AL148" s="161"/>
    </row>
    <row r="149" spans="1:38">
      <c r="A149" s="227"/>
      <c r="B149" s="243"/>
      <c r="C149" s="243"/>
      <c r="D149" s="166"/>
      <c r="E149" s="247"/>
      <c r="F149" s="161"/>
      <c r="H149" s="162"/>
      <c r="I149" s="227"/>
      <c r="J149" s="243"/>
      <c r="K149" s="243"/>
      <c r="L149" s="166"/>
      <c r="M149" s="247"/>
      <c r="N149" s="160"/>
      <c r="P149" s="162"/>
      <c r="Q149" s="227"/>
      <c r="R149" s="243"/>
      <c r="S149" s="243"/>
      <c r="T149" s="166"/>
      <c r="U149" s="243"/>
      <c r="V149" s="160"/>
      <c r="X149" s="162"/>
      <c r="Y149" s="227"/>
      <c r="Z149" s="243"/>
      <c r="AA149" s="243"/>
      <c r="AB149" s="166"/>
      <c r="AC149" s="247"/>
      <c r="AD149" s="160"/>
      <c r="AF149" s="162"/>
      <c r="AG149" s="227"/>
      <c r="AH149" s="243"/>
      <c r="AI149" s="243"/>
      <c r="AJ149" s="166"/>
      <c r="AK149" s="247"/>
      <c r="AL149" s="161"/>
    </row>
    <row r="150" spans="1:38">
      <c r="A150" s="227"/>
      <c r="B150" s="243"/>
      <c r="C150" s="243"/>
      <c r="D150" s="166"/>
      <c r="E150" s="247"/>
      <c r="F150" s="161"/>
      <c r="H150" s="162"/>
      <c r="I150" s="227"/>
      <c r="J150" s="243"/>
      <c r="K150" s="243"/>
      <c r="L150" s="166"/>
      <c r="M150" s="247"/>
      <c r="N150" s="160"/>
      <c r="P150" s="162"/>
      <c r="Q150" s="227"/>
      <c r="R150" s="243"/>
      <c r="S150" s="243"/>
      <c r="T150" s="166"/>
      <c r="U150" s="247"/>
      <c r="V150" s="160"/>
      <c r="X150" s="162"/>
      <c r="Y150" s="227"/>
      <c r="Z150" s="243"/>
      <c r="AA150" s="243"/>
      <c r="AB150" s="166"/>
      <c r="AC150" s="247"/>
      <c r="AD150" s="160"/>
      <c r="AF150" s="162"/>
      <c r="AG150" s="227"/>
      <c r="AH150" s="243"/>
      <c r="AI150" s="243"/>
      <c r="AJ150" s="166"/>
      <c r="AK150" s="247"/>
      <c r="AL150" s="161"/>
    </row>
    <row r="151" spans="1:38">
      <c r="A151" s="227"/>
      <c r="B151" s="243"/>
      <c r="C151" s="243"/>
      <c r="D151" s="166"/>
      <c r="E151" s="247"/>
      <c r="F151" s="161"/>
      <c r="H151" s="162"/>
      <c r="I151" s="227"/>
      <c r="J151" s="243"/>
      <c r="K151" s="243"/>
      <c r="L151" s="166"/>
      <c r="M151" s="247"/>
      <c r="N151" s="160"/>
      <c r="P151" s="162"/>
      <c r="Q151" s="227"/>
      <c r="R151" s="243"/>
      <c r="S151" s="243"/>
      <c r="T151" s="166"/>
      <c r="U151" s="247"/>
      <c r="V151" s="160"/>
      <c r="X151" s="162"/>
      <c r="Y151" s="227"/>
      <c r="Z151" s="243"/>
      <c r="AA151" s="243"/>
      <c r="AB151" s="166"/>
      <c r="AC151" s="247"/>
      <c r="AD151" s="160"/>
      <c r="AF151" s="162"/>
      <c r="AG151" s="227"/>
      <c r="AH151" s="243"/>
      <c r="AI151" s="243"/>
      <c r="AJ151" s="166"/>
      <c r="AK151" s="247"/>
      <c r="AL151" s="161"/>
    </row>
    <row r="152" spans="1:38">
      <c r="A152" s="227"/>
      <c r="B152" s="243"/>
      <c r="C152" s="243"/>
      <c r="D152" s="166"/>
      <c r="E152" s="247"/>
      <c r="F152" s="161"/>
      <c r="H152" s="162"/>
      <c r="I152" s="227"/>
      <c r="J152" s="243"/>
      <c r="K152" s="243"/>
      <c r="L152" s="166"/>
      <c r="M152" s="247"/>
      <c r="N152" s="160"/>
      <c r="P152" s="162"/>
      <c r="Q152" s="227"/>
      <c r="R152" s="243"/>
      <c r="S152" s="243"/>
      <c r="T152" s="166"/>
      <c r="U152" s="247"/>
      <c r="V152" s="160"/>
      <c r="X152" s="162"/>
      <c r="Y152" s="227"/>
      <c r="Z152" s="243"/>
      <c r="AA152" s="243"/>
      <c r="AB152" s="166"/>
      <c r="AC152" s="247"/>
      <c r="AD152" s="160"/>
      <c r="AF152" s="162"/>
      <c r="AG152" s="227"/>
      <c r="AH152" s="243"/>
      <c r="AI152" s="243"/>
      <c r="AJ152" s="166"/>
      <c r="AK152" s="247"/>
      <c r="AL152" s="161"/>
    </row>
    <row r="153" spans="1:38">
      <c r="A153" s="227"/>
      <c r="B153" s="243"/>
      <c r="C153" s="243"/>
      <c r="D153" s="166"/>
      <c r="E153" s="247"/>
      <c r="F153" s="161"/>
      <c r="H153" s="162"/>
      <c r="I153" s="227"/>
      <c r="J153" s="243"/>
      <c r="K153" s="243"/>
      <c r="L153" s="166"/>
      <c r="M153" s="247"/>
      <c r="N153" s="160"/>
      <c r="P153" s="162"/>
      <c r="Q153" s="227"/>
      <c r="R153" s="243"/>
      <c r="S153" s="243"/>
      <c r="T153" s="166"/>
      <c r="U153" s="247"/>
      <c r="V153" s="160"/>
      <c r="X153" s="162"/>
      <c r="Y153" s="227"/>
      <c r="Z153" s="243"/>
      <c r="AA153" s="243"/>
      <c r="AB153" s="166"/>
      <c r="AC153" s="247"/>
      <c r="AD153" s="160"/>
      <c r="AF153" s="162"/>
      <c r="AG153" s="227"/>
      <c r="AH153" s="243"/>
      <c r="AI153" s="243"/>
      <c r="AJ153" s="166"/>
      <c r="AK153" s="247"/>
      <c r="AL153" s="161"/>
    </row>
    <row r="154" spans="1:38">
      <c r="A154" s="227"/>
      <c r="B154" s="243"/>
      <c r="C154" s="243"/>
      <c r="D154" s="166"/>
      <c r="E154" s="247"/>
      <c r="F154" s="161"/>
      <c r="H154" s="162"/>
      <c r="I154" s="227"/>
      <c r="J154" s="243"/>
      <c r="K154" s="243"/>
      <c r="L154" s="166"/>
      <c r="M154" s="247"/>
      <c r="N154" s="160"/>
      <c r="P154" s="162"/>
      <c r="Q154" s="227"/>
      <c r="R154" s="243"/>
      <c r="S154" s="243"/>
      <c r="T154" s="166"/>
      <c r="U154" s="247"/>
      <c r="V154" s="160"/>
      <c r="X154" s="162"/>
      <c r="Y154" s="227"/>
      <c r="Z154" s="243"/>
      <c r="AA154" s="243"/>
      <c r="AB154" s="166"/>
      <c r="AC154" s="247"/>
      <c r="AD154" s="160"/>
      <c r="AF154" s="162"/>
      <c r="AG154" s="227"/>
      <c r="AH154" s="243"/>
      <c r="AI154" s="243"/>
      <c r="AJ154" s="166"/>
      <c r="AK154" s="247"/>
      <c r="AL154" s="161"/>
    </row>
    <row r="155" spans="1:38">
      <c r="A155" s="227"/>
      <c r="B155" s="243"/>
      <c r="C155" s="243"/>
      <c r="D155" s="166"/>
      <c r="E155" s="247"/>
      <c r="F155" s="161"/>
      <c r="H155" s="162"/>
      <c r="I155" s="227"/>
      <c r="J155" s="243"/>
      <c r="K155" s="243"/>
      <c r="L155" s="166"/>
      <c r="M155" s="247"/>
      <c r="N155" s="160"/>
      <c r="P155" s="162"/>
      <c r="Q155" s="227"/>
      <c r="R155" s="243"/>
      <c r="S155" s="243"/>
      <c r="T155" s="166"/>
      <c r="U155" s="247"/>
      <c r="V155" s="160"/>
      <c r="X155" s="162"/>
      <c r="Y155" s="227"/>
      <c r="Z155" s="243"/>
      <c r="AA155" s="243"/>
      <c r="AB155" s="166"/>
      <c r="AC155" s="247"/>
      <c r="AD155" s="160"/>
      <c r="AF155" s="162"/>
      <c r="AG155" s="227"/>
      <c r="AH155" s="243"/>
      <c r="AI155" s="243"/>
      <c r="AJ155" s="166"/>
      <c r="AK155" s="247"/>
      <c r="AL155" s="161"/>
    </row>
    <row r="156" spans="1:38">
      <c r="A156" s="227"/>
      <c r="B156" s="243"/>
      <c r="C156" s="243"/>
      <c r="D156" s="166"/>
      <c r="E156" s="247"/>
      <c r="F156" s="161"/>
      <c r="H156" s="162"/>
      <c r="I156" s="227"/>
      <c r="J156" s="243"/>
      <c r="K156" s="243"/>
      <c r="L156" s="166"/>
      <c r="M156" s="247"/>
      <c r="N156" s="160"/>
      <c r="P156" s="162"/>
      <c r="Q156" s="227"/>
      <c r="R156" s="243"/>
      <c r="S156" s="243"/>
      <c r="T156" s="166"/>
      <c r="U156" s="247"/>
      <c r="V156" s="160"/>
      <c r="X156" s="162"/>
      <c r="Y156" s="227"/>
      <c r="Z156" s="243"/>
      <c r="AA156" s="243"/>
      <c r="AB156" s="166"/>
      <c r="AC156" s="247"/>
      <c r="AD156" s="160"/>
      <c r="AF156" s="162"/>
      <c r="AG156" s="227"/>
      <c r="AH156" s="243"/>
      <c r="AI156" s="243"/>
      <c r="AJ156" s="166"/>
      <c r="AK156" s="247"/>
      <c r="AL156" s="161"/>
    </row>
    <row r="157" spans="1:38">
      <c r="A157" s="227"/>
      <c r="B157" s="243"/>
      <c r="C157" s="243"/>
      <c r="D157" s="166"/>
      <c r="E157" s="247"/>
      <c r="F157" s="161"/>
      <c r="H157" s="162"/>
      <c r="I157" s="227"/>
      <c r="J157" s="243"/>
      <c r="K157" s="243"/>
      <c r="L157" s="166"/>
      <c r="M157" s="247"/>
      <c r="N157" s="160"/>
      <c r="P157" s="162"/>
      <c r="Q157" s="227"/>
      <c r="R157" s="243"/>
      <c r="S157" s="243"/>
      <c r="T157" s="166"/>
      <c r="U157" s="247"/>
      <c r="V157" s="160"/>
      <c r="X157" s="162"/>
      <c r="Y157" s="227"/>
      <c r="Z157" s="243"/>
      <c r="AA157" s="243"/>
      <c r="AB157" s="166"/>
      <c r="AC157" s="247"/>
      <c r="AD157" s="160"/>
      <c r="AF157" s="162"/>
      <c r="AG157" s="227"/>
      <c r="AH157" s="243"/>
      <c r="AI157" s="243"/>
      <c r="AJ157" s="166"/>
      <c r="AK157" s="247"/>
      <c r="AL157" s="161"/>
    </row>
    <row r="158" spans="1:38">
      <c r="A158" s="227"/>
      <c r="B158" s="243"/>
      <c r="C158" s="243"/>
      <c r="D158" s="166"/>
      <c r="E158" s="247"/>
      <c r="F158" s="161"/>
      <c r="H158" s="162"/>
      <c r="I158" s="227"/>
      <c r="J158" s="243"/>
      <c r="K158" s="243"/>
      <c r="L158" s="166"/>
      <c r="M158" s="247"/>
      <c r="N158" s="160"/>
      <c r="P158" s="162"/>
      <c r="Q158" s="227"/>
      <c r="R158" s="243"/>
      <c r="S158" s="243"/>
      <c r="T158" s="166"/>
      <c r="U158" s="247"/>
      <c r="V158" s="160"/>
      <c r="X158" s="162"/>
      <c r="Y158" s="227"/>
      <c r="Z158" s="243"/>
      <c r="AA158" s="243"/>
      <c r="AB158" s="166"/>
      <c r="AC158" s="247"/>
      <c r="AD158" s="160"/>
      <c r="AF158" s="162"/>
      <c r="AG158" s="227"/>
      <c r="AH158" s="243"/>
      <c r="AI158" s="243"/>
      <c r="AJ158" s="166"/>
      <c r="AK158" s="247"/>
      <c r="AL158" s="161"/>
    </row>
    <row r="159" spans="1:38">
      <c r="A159" s="227"/>
      <c r="B159" s="243"/>
      <c r="C159" s="243"/>
      <c r="D159" s="166"/>
      <c r="E159" s="247"/>
      <c r="F159" s="161"/>
      <c r="H159" s="162"/>
      <c r="I159" s="227"/>
      <c r="J159" s="243"/>
      <c r="K159" s="243"/>
      <c r="L159" s="166"/>
      <c r="M159" s="247"/>
      <c r="N159" s="160"/>
      <c r="P159" s="162"/>
      <c r="Q159" s="227"/>
      <c r="R159" s="243"/>
      <c r="S159" s="243"/>
      <c r="T159" s="166"/>
      <c r="U159" s="247"/>
      <c r="V159" s="160"/>
      <c r="X159" s="162"/>
      <c r="Y159" s="227"/>
      <c r="Z159" s="243"/>
      <c r="AA159" s="243"/>
      <c r="AB159" s="166"/>
      <c r="AC159" s="247"/>
      <c r="AD159" s="160"/>
      <c r="AF159" s="162"/>
      <c r="AG159" s="227"/>
      <c r="AH159" s="243"/>
      <c r="AI159" s="243"/>
      <c r="AJ159" s="166"/>
      <c r="AK159" s="247"/>
      <c r="AL159" s="161"/>
    </row>
    <row r="160" spans="1:38">
      <c r="A160" s="227"/>
      <c r="B160" s="243"/>
      <c r="C160" s="243"/>
      <c r="D160" s="166"/>
      <c r="E160" s="247"/>
      <c r="F160" s="161"/>
      <c r="H160" s="162"/>
      <c r="I160" s="227"/>
      <c r="J160" s="243"/>
      <c r="K160" s="243"/>
      <c r="L160" s="166"/>
      <c r="M160" s="247"/>
      <c r="N160" s="160"/>
      <c r="P160" s="162"/>
      <c r="Q160" s="227"/>
      <c r="R160" s="243"/>
      <c r="S160" s="243"/>
      <c r="T160" s="166"/>
      <c r="U160" s="247"/>
      <c r="V160" s="160"/>
      <c r="X160" s="162"/>
      <c r="Y160" s="227"/>
      <c r="Z160" s="243"/>
      <c r="AA160" s="243"/>
      <c r="AB160" s="166"/>
      <c r="AC160" s="247"/>
      <c r="AD160" s="160"/>
      <c r="AF160" s="162"/>
      <c r="AG160" s="227"/>
      <c r="AH160" s="243"/>
      <c r="AI160" s="243"/>
      <c r="AJ160" s="166"/>
      <c r="AK160" s="247"/>
      <c r="AL160" s="161"/>
    </row>
    <row r="161" spans="1:38">
      <c r="A161" s="227"/>
      <c r="B161" s="243"/>
      <c r="C161" s="243"/>
      <c r="D161" s="166"/>
      <c r="E161" s="247"/>
      <c r="F161" s="161"/>
      <c r="H161" s="162"/>
      <c r="I161" s="227"/>
      <c r="J161" s="243"/>
      <c r="K161" s="243"/>
      <c r="L161" s="166"/>
      <c r="M161" s="247"/>
      <c r="N161" s="160"/>
      <c r="P161" s="162"/>
      <c r="Q161" s="227"/>
      <c r="R161" s="243"/>
      <c r="S161" s="243"/>
      <c r="T161" s="166"/>
      <c r="U161" s="247"/>
      <c r="V161" s="160"/>
      <c r="X161" s="162"/>
      <c r="Y161" s="227"/>
      <c r="Z161" s="243"/>
      <c r="AA161" s="243"/>
      <c r="AB161" s="166"/>
      <c r="AC161" s="247"/>
      <c r="AD161" s="160"/>
      <c r="AF161" s="162"/>
      <c r="AG161" s="227"/>
      <c r="AH161" s="243"/>
      <c r="AI161" s="243"/>
      <c r="AJ161" s="166"/>
      <c r="AK161" s="247"/>
      <c r="AL161" s="161"/>
    </row>
    <row r="162" spans="1:38">
      <c r="A162" s="227"/>
      <c r="B162" s="243"/>
      <c r="C162" s="243"/>
      <c r="D162" s="166"/>
      <c r="E162" s="247"/>
      <c r="F162" s="161"/>
      <c r="H162" s="162"/>
      <c r="I162" s="227"/>
      <c r="J162" s="243"/>
      <c r="K162" s="243"/>
      <c r="L162" s="166"/>
      <c r="M162" s="247"/>
      <c r="N162" s="160"/>
      <c r="P162" s="162"/>
      <c r="Q162" s="227"/>
      <c r="R162" s="243"/>
      <c r="S162" s="243"/>
      <c r="T162" s="166"/>
      <c r="U162" s="247"/>
      <c r="V162" s="160"/>
      <c r="X162" s="162"/>
      <c r="Y162" s="227"/>
      <c r="Z162" s="243"/>
      <c r="AA162" s="243"/>
      <c r="AB162" s="166"/>
      <c r="AC162" s="247"/>
      <c r="AD162" s="160"/>
      <c r="AF162" s="162"/>
      <c r="AG162" s="227"/>
      <c r="AH162" s="243"/>
      <c r="AI162" s="243"/>
      <c r="AJ162" s="166"/>
      <c r="AK162" s="247"/>
      <c r="AL162" s="161"/>
    </row>
    <row r="163" spans="1:38">
      <c r="A163" s="227"/>
      <c r="B163" s="243"/>
      <c r="C163" s="243"/>
      <c r="D163" s="166"/>
      <c r="E163" s="247"/>
      <c r="F163" s="161"/>
      <c r="H163" s="162"/>
      <c r="I163" s="227"/>
      <c r="J163" s="243"/>
      <c r="K163" s="243"/>
      <c r="L163" s="166"/>
      <c r="M163" s="247"/>
      <c r="N163" s="160"/>
      <c r="P163" s="162"/>
      <c r="Q163" s="227"/>
      <c r="R163" s="243"/>
      <c r="S163" s="243"/>
      <c r="T163" s="166"/>
      <c r="U163" s="247"/>
      <c r="V163" s="160"/>
      <c r="X163" s="162"/>
      <c r="Y163" s="227"/>
      <c r="Z163" s="243"/>
      <c r="AA163" s="243"/>
      <c r="AB163" s="166"/>
      <c r="AC163" s="247"/>
      <c r="AD163" s="160"/>
      <c r="AF163" s="162"/>
      <c r="AG163" s="227"/>
      <c r="AH163" s="243"/>
      <c r="AI163" s="243"/>
      <c r="AJ163" s="166"/>
      <c r="AK163" s="247"/>
      <c r="AL163" s="161"/>
    </row>
    <row r="164" spans="1:38">
      <c r="A164" s="227"/>
      <c r="B164" s="243"/>
      <c r="C164" s="243"/>
      <c r="D164" s="166"/>
      <c r="E164" s="247"/>
      <c r="F164" s="161"/>
      <c r="H164" s="162"/>
      <c r="I164" s="227"/>
      <c r="J164" s="243"/>
      <c r="K164" s="243"/>
      <c r="L164" s="166"/>
      <c r="M164" s="247"/>
      <c r="N164" s="160"/>
      <c r="P164" s="162"/>
      <c r="Q164" s="227"/>
      <c r="R164" s="243"/>
      <c r="S164" s="243"/>
      <c r="T164" s="166"/>
      <c r="U164" s="247"/>
      <c r="V164" s="160"/>
      <c r="X164" s="162"/>
      <c r="Y164" s="227"/>
      <c r="Z164" s="243"/>
      <c r="AA164" s="243"/>
      <c r="AB164" s="166"/>
      <c r="AC164" s="247"/>
      <c r="AD164" s="160"/>
      <c r="AF164" s="162"/>
      <c r="AG164" s="227"/>
      <c r="AH164" s="243"/>
      <c r="AI164" s="243"/>
      <c r="AJ164" s="166"/>
      <c r="AK164" s="247"/>
      <c r="AL164" s="161"/>
    </row>
    <row r="165" spans="1:38">
      <c r="A165" s="227"/>
      <c r="B165" s="243"/>
      <c r="C165" s="243"/>
      <c r="D165" s="166"/>
      <c r="E165" s="247"/>
      <c r="F165" s="161"/>
      <c r="H165" s="162"/>
      <c r="I165" s="227"/>
      <c r="J165" s="243"/>
      <c r="K165" s="243"/>
      <c r="L165" s="166"/>
      <c r="M165" s="247"/>
      <c r="N165" s="160"/>
      <c r="P165" s="162"/>
      <c r="Q165" s="227"/>
      <c r="R165" s="243"/>
      <c r="S165" s="243"/>
      <c r="T165" s="166"/>
      <c r="U165" s="247"/>
      <c r="V165" s="160"/>
      <c r="X165" s="162"/>
      <c r="Y165" s="227"/>
      <c r="Z165" s="243"/>
      <c r="AA165" s="243"/>
      <c r="AB165" s="166"/>
      <c r="AC165" s="247"/>
      <c r="AD165" s="160"/>
      <c r="AF165" s="162"/>
      <c r="AG165" s="227"/>
      <c r="AH165" s="243"/>
      <c r="AI165" s="243"/>
      <c r="AJ165" s="166"/>
      <c r="AK165" s="243"/>
      <c r="AL165" s="161"/>
    </row>
    <row r="166" spans="1:38">
      <c r="A166" s="227"/>
      <c r="B166" s="243"/>
      <c r="C166" s="243"/>
      <c r="D166" s="166"/>
      <c r="E166" s="247"/>
      <c r="F166" s="161"/>
      <c r="H166" s="162"/>
      <c r="I166" s="227"/>
      <c r="J166" s="243"/>
      <c r="K166" s="243"/>
      <c r="L166" s="166"/>
      <c r="M166" s="247"/>
      <c r="N166" s="160"/>
      <c r="P166" s="162"/>
      <c r="Q166" s="227"/>
      <c r="R166" s="243"/>
      <c r="S166" s="243"/>
      <c r="T166" s="166"/>
      <c r="U166" s="247"/>
      <c r="V166" s="160"/>
      <c r="X166" s="162"/>
      <c r="Y166" s="227"/>
      <c r="Z166" s="243"/>
      <c r="AA166" s="243"/>
      <c r="AB166" s="166"/>
      <c r="AC166" s="247"/>
      <c r="AD166" s="160"/>
      <c r="AF166" s="162"/>
      <c r="AG166" s="227"/>
      <c r="AH166" s="243"/>
      <c r="AI166" s="243"/>
      <c r="AJ166" s="166"/>
      <c r="AK166" s="243"/>
      <c r="AL166" s="161"/>
    </row>
    <row r="167" spans="1:38">
      <c r="A167" s="227"/>
      <c r="B167" s="243"/>
      <c r="C167" s="243"/>
      <c r="D167" s="166"/>
      <c r="E167" s="247"/>
      <c r="F167" s="161"/>
      <c r="H167" s="162"/>
      <c r="I167" s="227"/>
      <c r="J167" s="243"/>
      <c r="K167" s="243"/>
      <c r="L167" s="166"/>
      <c r="M167" s="247"/>
      <c r="N167" s="160"/>
      <c r="P167" s="162"/>
      <c r="Q167" s="227"/>
      <c r="R167" s="243"/>
      <c r="S167" s="243"/>
      <c r="T167" s="166"/>
      <c r="U167" s="247"/>
      <c r="V167" s="160"/>
      <c r="X167" s="162"/>
      <c r="Y167" s="227"/>
      <c r="Z167" s="243"/>
      <c r="AA167" s="243"/>
      <c r="AB167" s="166"/>
      <c r="AC167" s="247"/>
      <c r="AD167" s="160"/>
      <c r="AF167" s="162"/>
      <c r="AG167" s="227"/>
      <c r="AH167" s="243"/>
      <c r="AI167" s="243"/>
      <c r="AJ167" s="166"/>
      <c r="AK167" s="243"/>
      <c r="AL167" s="161"/>
    </row>
    <row r="168" spans="1:38">
      <c r="A168" s="227"/>
      <c r="B168" s="243"/>
      <c r="C168" s="243"/>
      <c r="D168" s="166"/>
      <c r="E168" s="247"/>
      <c r="F168" s="161"/>
      <c r="H168" s="162"/>
      <c r="I168" s="227"/>
      <c r="J168" s="243"/>
      <c r="K168" s="243"/>
      <c r="L168" s="166"/>
      <c r="M168" s="247"/>
      <c r="N168" s="160"/>
      <c r="P168" s="162"/>
      <c r="Q168" s="227"/>
      <c r="R168" s="243"/>
      <c r="S168" s="243"/>
      <c r="T168" s="166"/>
      <c r="U168" s="247"/>
      <c r="V168" s="160"/>
      <c r="X168" s="162"/>
      <c r="Y168" s="227"/>
      <c r="Z168" s="243"/>
      <c r="AA168" s="243"/>
      <c r="AB168" s="166"/>
      <c r="AC168" s="243"/>
      <c r="AD168" s="160"/>
      <c r="AF168" s="162"/>
      <c r="AG168" s="227"/>
      <c r="AH168" s="243"/>
      <c r="AI168" s="243"/>
      <c r="AJ168" s="166"/>
      <c r="AK168" s="243"/>
      <c r="AL168" s="161"/>
    </row>
    <row r="169" spans="1:38">
      <c r="A169" s="227"/>
      <c r="B169" s="243"/>
      <c r="C169" s="243"/>
      <c r="D169" s="166"/>
      <c r="E169" s="247"/>
      <c r="F169" s="161"/>
      <c r="H169" s="162"/>
      <c r="I169" s="227"/>
      <c r="J169" s="243"/>
      <c r="K169" s="243"/>
      <c r="L169" s="166"/>
      <c r="M169" s="247"/>
      <c r="N169" s="160"/>
      <c r="P169" s="162"/>
      <c r="Q169" s="227"/>
      <c r="R169" s="243"/>
      <c r="S169" s="243"/>
      <c r="T169" s="166"/>
      <c r="U169" s="247"/>
      <c r="V169" s="160"/>
      <c r="X169" s="162"/>
      <c r="Y169" s="227"/>
      <c r="Z169" s="243"/>
      <c r="AA169" s="243"/>
      <c r="AB169" s="166"/>
      <c r="AC169" s="243"/>
      <c r="AD169" s="160"/>
      <c r="AF169" s="162"/>
      <c r="AG169" s="227"/>
      <c r="AH169" s="243"/>
      <c r="AI169" s="243"/>
      <c r="AJ169" s="166"/>
      <c r="AK169" s="243"/>
      <c r="AL169" s="161"/>
    </row>
    <row r="170" spans="1:38">
      <c r="A170" s="227"/>
      <c r="B170" s="243"/>
      <c r="C170" s="243"/>
      <c r="D170" s="166"/>
      <c r="E170" s="247"/>
      <c r="F170" s="161"/>
      <c r="H170" s="162"/>
      <c r="I170" s="227"/>
      <c r="J170" s="243"/>
      <c r="K170" s="243"/>
      <c r="L170" s="166"/>
      <c r="M170" s="247"/>
      <c r="N170" s="160"/>
      <c r="P170" s="162"/>
      <c r="Q170" s="227"/>
      <c r="R170" s="243"/>
      <c r="S170" s="243"/>
      <c r="T170" s="166"/>
      <c r="U170" s="247"/>
      <c r="V170" s="160"/>
      <c r="X170" s="162"/>
      <c r="Y170" s="227"/>
      <c r="Z170" s="243"/>
      <c r="AA170" s="243"/>
      <c r="AB170" s="166"/>
      <c r="AC170" s="243"/>
      <c r="AD170" s="160"/>
      <c r="AF170" s="162"/>
      <c r="AG170" s="227"/>
      <c r="AH170" s="243"/>
      <c r="AI170" s="243"/>
      <c r="AJ170" s="166"/>
      <c r="AK170" s="243"/>
      <c r="AL170" s="161"/>
    </row>
    <row r="171" spans="1:38">
      <c r="A171" s="227"/>
      <c r="B171" s="243"/>
      <c r="C171" s="243"/>
      <c r="D171" s="166"/>
      <c r="E171" s="247"/>
      <c r="F171" s="161"/>
      <c r="H171" s="162"/>
      <c r="I171" s="227"/>
      <c r="J171" s="243"/>
      <c r="K171" s="243"/>
      <c r="L171" s="166"/>
      <c r="M171" s="247"/>
      <c r="N171" s="160"/>
      <c r="P171" s="162"/>
      <c r="Q171" s="227"/>
      <c r="R171" s="243"/>
      <c r="S171" s="243"/>
      <c r="T171" s="166"/>
      <c r="U171" s="247"/>
      <c r="V171" s="160"/>
      <c r="X171" s="162"/>
      <c r="Y171" s="227"/>
      <c r="Z171" s="243"/>
      <c r="AA171" s="243"/>
      <c r="AB171" s="166"/>
      <c r="AC171" s="243"/>
      <c r="AD171" s="160"/>
      <c r="AF171" s="162"/>
      <c r="AG171" s="227"/>
      <c r="AH171" s="243"/>
      <c r="AI171" s="243"/>
      <c r="AJ171" s="166"/>
      <c r="AK171" s="243"/>
      <c r="AL171" s="161"/>
    </row>
    <row r="172" spans="1:38">
      <c r="A172" s="227"/>
      <c r="B172" s="243"/>
      <c r="C172" s="243"/>
      <c r="D172" s="166"/>
      <c r="E172" s="247"/>
      <c r="F172" s="161"/>
      <c r="H172" s="162"/>
      <c r="I172" s="227"/>
      <c r="J172" s="243"/>
      <c r="K172" s="243"/>
      <c r="L172" s="166"/>
      <c r="M172" s="247"/>
      <c r="N172" s="160"/>
      <c r="P172" s="162"/>
      <c r="Q172" s="227"/>
      <c r="R172" s="243"/>
      <c r="S172" s="243"/>
      <c r="T172" s="166"/>
      <c r="U172" s="247"/>
      <c r="V172" s="160"/>
      <c r="X172" s="162"/>
      <c r="Y172" s="227"/>
      <c r="Z172" s="243"/>
      <c r="AA172" s="243"/>
      <c r="AB172" s="166"/>
      <c r="AC172" s="243"/>
      <c r="AD172" s="160"/>
      <c r="AF172" s="162"/>
      <c r="AG172" s="227"/>
      <c r="AH172" s="243"/>
      <c r="AI172" s="243"/>
      <c r="AJ172" s="166"/>
      <c r="AK172" s="243"/>
      <c r="AL172" s="161"/>
    </row>
    <row r="173" spans="1:38">
      <c r="A173" s="227"/>
      <c r="B173" s="243"/>
      <c r="C173" s="243"/>
      <c r="D173" s="166"/>
      <c r="E173" s="247"/>
      <c r="F173" s="161"/>
      <c r="H173" s="162"/>
      <c r="I173" s="227"/>
      <c r="J173" s="243"/>
      <c r="K173" s="243"/>
      <c r="L173" s="166"/>
      <c r="M173" s="247"/>
      <c r="N173" s="160"/>
      <c r="P173" s="162"/>
      <c r="Q173" s="227"/>
      <c r="R173" s="243"/>
      <c r="S173" s="243"/>
      <c r="T173" s="166"/>
      <c r="U173" s="247"/>
      <c r="V173" s="160"/>
      <c r="X173" s="162"/>
      <c r="Y173" s="227"/>
      <c r="Z173" s="243"/>
      <c r="AA173" s="243"/>
      <c r="AB173" s="166"/>
      <c r="AC173" s="243"/>
      <c r="AD173" s="160"/>
      <c r="AF173" s="162"/>
      <c r="AG173" s="227"/>
      <c r="AH173" s="243"/>
      <c r="AI173" s="243"/>
      <c r="AJ173" s="166"/>
      <c r="AK173" s="243"/>
      <c r="AL173" s="161"/>
    </row>
    <row r="174" spans="1:38">
      <c r="A174" s="227"/>
      <c r="B174" s="243"/>
      <c r="C174" s="243"/>
      <c r="D174" s="166"/>
      <c r="E174" s="247"/>
      <c r="F174" s="161"/>
      <c r="H174" s="162"/>
      <c r="I174" s="227"/>
      <c r="J174" s="243"/>
      <c r="K174" s="243"/>
      <c r="L174" s="166"/>
      <c r="M174" s="243"/>
      <c r="N174" s="160"/>
      <c r="P174" s="162"/>
      <c r="Q174" s="227"/>
      <c r="R174" s="243"/>
      <c r="S174" s="243"/>
      <c r="T174" s="166"/>
      <c r="U174" s="247"/>
      <c r="V174" s="160"/>
      <c r="X174" s="162"/>
      <c r="Y174" s="227"/>
      <c r="Z174" s="243"/>
      <c r="AA174" s="243"/>
      <c r="AB174" s="166"/>
      <c r="AC174" s="243"/>
      <c r="AD174" s="160"/>
      <c r="AF174" s="162"/>
      <c r="AG174" s="227"/>
      <c r="AH174" s="243"/>
      <c r="AI174" s="243"/>
      <c r="AJ174" s="166"/>
      <c r="AK174" s="243"/>
      <c r="AL174" s="161"/>
    </row>
    <row r="175" spans="1:38">
      <c r="A175" s="227"/>
      <c r="B175" s="243"/>
      <c r="C175" s="243"/>
      <c r="D175" s="166"/>
      <c r="E175" s="247"/>
      <c r="F175" s="161"/>
      <c r="H175" s="162"/>
      <c r="I175" s="227"/>
      <c r="J175" s="243"/>
      <c r="K175" s="243"/>
      <c r="L175" s="166"/>
      <c r="M175" s="243"/>
      <c r="N175" s="160"/>
      <c r="P175" s="162"/>
      <c r="Q175" s="227"/>
      <c r="R175" s="243"/>
      <c r="S175" s="243"/>
      <c r="T175" s="166"/>
      <c r="U175" s="247"/>
      <c r="V175" s="160"/>
      <c r="X175" s="162"/>
      <c r="Y175" s="227"/>
      <c r="Z175" s="243"/>
      <c r="AA175" s="243"/>
      <c r="AB175" s="166"/>
      <c r="AC175" s="243"/>
      <c r="AD175" s="160"/>
      <c r="AF175" s="162"/>
      <c r="AG175" s="227"/>
      <c r="AH175" s="243"/>
      <c r="AI175" s="243"/>
      <c r="AJ175" s="166"/>
      <c r="AK175" s="243"/>
      <c r="AL175" s="161"/>
    </row>
    <row r="176" spans="1:38">
      <c r="A176" s="227"/>
      <c r="B176" s="243"/>
      <c r="C176" s="243"/>
      <c r="D176" s="166"/>
      <c r="E176" s="247"/>
      <c r="F176" s="161"/>
      <c r="H176" s="162"/>
      <c r="I176" s="227"/>
      <c r="J176" s="243"/>
      <c r="K176" s="243"/>
      <c r="L176" s="166"/>
      <c r="M176" s="243"/>
      <c r="N176" s="160"/>
      <c r="P176" s="162"/>
      <c r="Q176" s="227"/>
      <c r="R176" s="243"/>
      <c r="S176" s="243"/>
      <c r="T176" s="166"/>
      <c r="U176" s="247"/>
      <c r="V176" s="160"/>
      <c r="X176" s="162"/>
      <c r="Y176" s="227"/>
      <c r="Z176" s="243"/>
      <c r="AA176" s="243"/>
      <c r="AB176" s="166"/>
      <c r="AC176" s="243"/>
      <c r="AD176" s="160"/>
      <c r="AF176" s="162"/>
      <c r="AG176" s="227"/>
      <c r="AH176" s="243"/>
      <c r="AI176" s="243"/>
      <c r="AJ176" s="166"/>
      <c r="AK176" s="243"/>
      <c r="AL176" s="161"/>
    </row>
    <row r="177" spans="1:38">
      <c r="A177" s="227"/>
      <c r="B177" s="243"/>
      <c r="C177" s="243"/>
      <c r="D177" s="166"/>
      <c r="E177" s="247"/>
      <c r="F177" s="161"/>
      <c r="H177" s="162"/>
      <c r="I177" s="227"/>
      <c r="J177" s="243"/>
      <c r="K177" s="243"/>
      <c r="L177" s="166"/>
      <c r="M177" s="243"/>
      <c r="N177" s="160"/>
      <c r="P177" s="162"/>
      <c r="Q177" s="227"/>
      <c r="R177" s="243"/>
      <c r="S177" s="243"/>
      <c r="T177" s="166"/>
      <c r="U177" s="247"/>
      <c r="V177" s="160"/>
      <c r="X177" s="162"/>
      <c r="Y177" s="227"/>
      <c r="Z177" s="243"/>
      <c r="AA177" s="243"/>
      <c r="AB177" s="166"/>
      <c r="AC177" s="243"/>
      <c r="AD177" s="160"/>
      <c r="AF177" s="162"/>
      <c r="AG177" s="227"/>
      <c r="AH177" s="243"/>
      <c r="AI177" s="243"/>
      <c r="AJ177" s="166"/>
      <c r="AK177" s="243"/>
      <c r="AL177" s="161"/>
    </row>
    <row r="178" spans="1:38">
      <c r="A178" s="227"/>
      <c r="B178" s="243"/>
      <c r="C178" s="243"/>
      <c r="D178" s="166"/>
      <c r="E178" s="247"/>
      <c r="F178" s="161"/>
      <c r="H178" s="162"/>
      <c r="I178" s="227"/>
      <c r="J178" s="243"/>
      <c r="K178" s="243"/>
      <c r="L178" s="166"/>
      <c r="M178" s="243"/>
      <c r="N178" s="160"/>
      <c r="P178" s="162"/>
      <c r="Q178" s="227"/>
      <c r="R178" s="243"/>
      <c r="S178" s="243"/>
      <c r="T178" s="166"/>
      <c r="U178" s="247"/>
      <c r="V178" s="160"/>
      <c r="X178" s="162"/>
      <c r="Y178" s="227"/>
      <c r="Z178" s="243"/>
      <c r="AA178" s="243"/>
      <c r="AB178" s="166"/>
      <c r="AC178" s="243"/>
      <c r="AD178" s="160"/>
      <c r="AF178" s="162"/>
      <c r="AG178" s="227"/>
      <c r="AH178" s="243"/>
      <c r="AI178" s="243"/>
      <c r="AJ178" s="166"/>
      <c r="AK178" s="243"/>
      <c r="AL178" s="161"/>
    </row>
    <row r="179" spans="1:38">
      <c r="A179" s="227"/>
      <c r="B179" s="243"/>
      <c r="C179" s="243"/>
      <c r="D179" s="166"/>
      <c r="E179" s="247"/>
      <c r="F179" s="161"/>
      <c r="H179" s="162"/>
      <c r="I179" s="227"/>
      <c r="J179" s="243"/>
      <c r="K179" s="243"/>
      <c r="L179" s="166"/>
      <c r="M179" s="243"/>
      <c r="N179" s="160"/>
      <c r="P179" s="162"/>
      <c r="Q179" s="227"/>
      <c r="R179" s="243"/>
      <c r="S179" s="243"/>
      <c r="T179" s="166"/>
      <c r="U179" s="247"/>
      <c r="V179" s="160"/>
      <c r="X179" s="162"/>
      <c r="Y179" s="227"/>
      <c r="Z179" s="243"/>
      <c r="AA179" s="243"/>
      <c r="AB179" s="166"/>
      <c r="AC179" s="243"/>
      <c r="AD179" s="160"/>
      <c r="AF179" s="162"/>
      <c r="AG179" s="227"/>
      <c r="AH179" s="243"/>
      <c r="AI179" s="243"/>
      <c r="AJ179" s="166"/>
      <c r="AK179" s="243"/>
      <c r="AL179" s="161"/>
    </row>
    <row r="180" spans="1:38">
      <c r="A180" s="227"/>
      <c r="B180" s="243"/>
      <c r="C180" s="243"/>
      <c r="D180" s="166"/>
      <c r="E180" s="247"/>
      <c r="F180" s="161"/>
      <c r="H180" s="162"/>
      <c r="I180" s="227"/>
      <c r="J180" s="243"/>
      <c r="K180" s="243"/>
      <c r="L180" s="166"/>
      <c r="M180" s="243"/>
      <c r="N180" s="160"/>
      <c r="P180" s="162"/>
      <c r="Q180" s="227"/>
      <c r="R180" s="243"/>
      <c r="S180" s="243"/>
      <c r="T180" s="166"/>
      <c r="U180" s="247"/>
      <c r="V180" s="160"/>
      <c r="X180" s="162"/>
      <c r="Y180" s="227"/>
      <c r="Z180" s="243"/>
      <c r="AA180" s="243"/>
      <c r="AB180" s="166"/>
      <c r="AC180" s="243"/>
      <c r="AD180" s="160"/>
      <c r="AF180" s="162"/>
      <c r="AG180" s="227"/>
      <c r="AH180" s="243"/>
      <c r="AI180" s="243"/>
      <c r="AJ180" s="166"/>
      <c r="AK180" s="243"/>
      <c r="AL180" s="161"/>
    </row>
    <row r="181" spans="1:38">
      <c r="A181" s="227"/>
      <c r="B181" s="243"/>
      <c r="C181" s="243"/>
      <c r="D181" s="166"/>
      <c r="E181" s="247"/>
      <c r="F181" s="161"/>
      <c r="H181" s="162"/>
      <c r="I181" s="227"/>
      <c r="J181" s="243"/>
      <c r="K181" s="243"/>
      <c r="L181" s="166"/>
      <c r="M181" s="243"/>
      <c r="N181" s="160"/>
      <c r="P181" s="162"/>
      <c r="Q181" s="227"/>
      <c r="R181" s="243"/>
      <c r="S181" s="243"/>
      <c r="T181" s="166"/>
      <c r="U181" s="247"/>
      <c r="V181" s="160"/>
      <c r="X181" s="162"/>
      <c r="Y181" s="227"/>
      <c r="Z181" s="243"/>
      <c r="AA181" s="243"/>
      <c r="AB181" s="166"/>
      <c r="AC181" s="243"/>
      <c r="AD181" s="160"/>
      <c r="AF181" s="162"/>
      <c r="AG181" s="227"/>
      <c r="AH181" s="243"/>
      <c r="AI181" s="243"/>
      <c r="AJ181" s="166"/>
      <c r="AK181" s="243"/>
      <c r="AL181" s="161"/>
    </row>
    <row r="182" spans="1:38">
      <c r="A182" s="227"/>
      <c r="B182" s="243"/>
      <c r="C182" s="243"/>
      <c r="D182" s="166"/>
      <c r="E182" s="247"/>
      <c r="F182" s="161"/>
      <c r="H182" s="162"/>
      <c r="I182" s="227"/>
      <c r="J182" s="243"/>
      <c r="K182" s="243"/>
      <c r="L182" s="166"/>
      <c r="M182" s="243"/>
      <c r="N182" s="160"/>
      <c r="P182" s="162"/>
      <c r="Q182" s="227"/>
      <c r="R182" s="243"/>
      <c r="S182" s="243"/>
      <c r="T182" s="166"/>
      <c r="U182" s="247"/>
      <c r="V182" s="160"/>
      <c r="X182" s="162"/>
      <c r="Y182" s="227"/>
      <c r="Z182" s="243"/>
      <c r="AA182" s="243"/>
      <c r="AB182" s="166"/>
      <c r="AC182" s="243"/>
      <c r="AD182" s="160"/>
      <c r="AF182" s="162"/>
      <c r="AG182" s="227"/>
      <c r="AH182" s="243"/>
      <c r="AI182" s="243"/>
      <c r="AJ182" s="166"/>
      <c r="AK182" s="243"/>
      <c r="AL182" s="161"/>
    </row>
    <row r="183" spans="1:38">
      <c r="A183" s="227"/>
      <c r="B183" s="243"/>
      <c r="C183" s="243"/>
      <c r="D183" s="166"/>
      <c r="E183" s="247"/>
      <c r="F183" s="161"/>
      <c r="H183" s="162"/>
      <c r="I183" s="227"/>
      <c r="J183" s="243"/>
      <c r="K183" s="243"/>
      <c r="L183" s="166"/>
      <c r="M183" s="243"/>
      <c r="N183" s="160"/>
      <c r="P183" s="162"/>
      <c r="Q183" s="227"/>
      <c r="R183" s="243"/>
      <c r="S183" s="243"/>
      <c r="T183" s="166"/>
      <c r="U183" s="247"/>
      <c r="V183" s="160"/>
      <c r="X183" s="162"/>
      <c r="Y183" s="227"/>
      <c r="Z183" s="243"/>
      <c r="AA183" s="243"/>
      <c r="AB183" s="166"/>
      <c r="AC183" s="243"/>
      <c r="AD183" s="160"/>
      <c r="AF183" s="162"/>
      <c r="AG183" s="227"/>
      <c r="AH183" s="243"/>
      <c r="AI183" s="243"/>
      <c r="AJ183" s="166"/>
      <c r="AK183" s="243"/>
      <c r="AL183" s="161"/>
    </row>
    <row r="184" spans="1:38">
      <c r="A184" s="227"/>
      <c r="B184" s="243"/>
      <c r="C184" s="243"/>
      <c r="D184" s="166"/>
      <c r="E184" s="243"/>
      <c r="F184" s="161"/>
      <c r="H184" s="162"/>
      <c r="I184" s="227"/>
      <c r="J184" s="243"/>
      <c r="K184" s="243"/>
      <c r="L184" s="166"/>
      <c r="M184" s="243"/>
      <c r="N184" s="160"/>
      <c r="P184" s="162"/>
      <c r="Q184" s="227"/>
      <c r="R184" s="243"/>
      <c r="S184" s="243"/>
      <c r="T184" s="166"/>
      <c r="U184" s="247"/>
      <c r="V184" s="160"/>
      <c r="X184" s="162"/>
      <c r="Y184" s="227"/>
      <c r="Z184" s="243"/>
      <c r="AA184" s="243"/>
      <c r="AB184" s="166"/>
      <c r="AC184" s="243"/>
      <c r="AD184" s="160"/>
      <c r="AF184" s="162"/>
      <c r="AG184" s="227"/>
      <c r="AH184" s="243"/>
      <c r="AI184" s="243"/>
      <c r="AJ184" s="166"/>
      <c r="AK184" s="243"/>
      <c r="AL184" s="161"/>
    </row>
    <row r="185" spans="1:38">
      <c r="A185" s="227"/>
      <c r="B185" s="243"/>
      <c r="C185" s="243"/>
      <c r="D185" s="166"/>
      <c r="E185" s="243"/>
      <c r="F185" s="161"/>
      <c r="H185" s="162"/>
      <c r="I185" s="227"/>
      <c r="J185" s="243"/>
      <c r="K185" s="243"/>
      <c r="L185" s="166"/>
      <c r="M185" s="243"/>
      <c r="N185" s="160"/>
      <c r="P185" s="162"/>
      <c r="Q185" s="227"/>
      <c r="R185" s="243"/>
      <c r="S185" s="243"/>
      <c r="T185" s="166"/>
      <c r="U185" s="243"/>
      <c r="V185" s="160"/>
      <c r="X185" s="162"/>
      <c r="Y185" s="227"/>
      <c r="Z185" s="243"/>
      <c r="AA185" s="243"/>
      <c r="AB185" s="166"/>
      <c r="AC185" s="243"/>
      <c r="AD185" s="160"/>
      <c r="AF185" s="162"/>
      <c r="AG185" s="227"/>
      <c r="AH185" s="243"/>
      <c r="AI185" s="243"/>
      <c r="AJ185" s="166"/>
      <c r="AK185" s="243"/>
      <c r="AL185" s="161"/>
    </row>
    <row r="186" spans="1:38">
      <c r="A186" s="227"/>
      <c r="B186" s="243"/>
      <c r="C186" s="243"/>
      <c r="D186" s="166"/>
      <c r="E186" s="243"/>
      <c r="F186" s="161"/>
      <c r="H186" s="162"/>
      <c r="I186" s="227"/>
      <c r="J186" s="243"/>
      <c r="K186" s="243"/>
      <c r="L186" s="166"/>
      <c r="M186" s="243"/>
      <c r="N186" s="160"/>
      <c r="P186" s="162"/>
      <c r="Q186" s="227"/>
      <c r="R186" s="243"/>
      <c r="S186" s="243"/>
      <c r="T186" s="166"/>
      <c r="U186" s="243"/>
      <c r="V186" s="160"/>
      <c r="X186" s="162"/>
      <c r="Y186" s="227"/>
      <c r="Z186" s="243"/>
      <c r="AA186" s="243"/>
      <c r="AB186" s="166"/>
      <c r="AC186" s="243"/>
      <c r="AD186" s="160"/>
      <c r="AF186" s="162"/>
      <c r="AG186" s="227"/>
      <c r="AH186" s="243"/>
      <c r="AI186" s="243"/>
      <c r="AJ186" s="166"/>
      <c r="AK186" s="243"/>
      <c r="AL186" s="161"/>
    </row>
    <row r="187" spans="1:38">
      <c r="A187" s="227"/>
      <c r="B187" s="243"/>
      <c r="C187" s="243"/>
      <c r="D187" s="166"/>
      <c r="E187" s="243"/>
      <c r="F187" s="161"/>
      <c r="H187" s="162"/>
      <c r="I187" s="227"/>
      <c r="J187" s="243"/>
      <c r="K187" s="243"/>
      <c r="L187" s="166"/>
      <c r="M187" s="243"/>
      <c r="N187" s="160"/>
      <c r="P187" s="162"/>
      <c r="Q187" s="227"/>
      <c r="R187" s="243"/>
      <c r="S187" s="243"/>
      <c r="T187" s="166"/>
      <c r="U187" s="243"/>
      <c r="V187" s="160"/>
      <c r="X187" s="162"/>
      <c r="Y187" s="227"/>
      <c r="Z187" s="243"/>
      <c r="AA187" s="243"/>
      <c r="AB187" s="166"/>
      <c r="AC187" s="243"/>
      <c r="AD187" s="160"/>
      <c r="AF187" s="162"/>
      <c r="AG187" s="227"/>
      <c r="AH187" s="243"/>
      <c r="AI187" s="243"/>
      <c r="AJ187" s="166"/>
      <c r="AK187" s="243"/>
      <c r="AL187" s="161"/>
    </row>
    <row r="188" spans="1:38">
      <c r="A188" s="227"/>
      <c r="B188" s="243"/>
      <c r="C188" s="243"/>
      <c r="D188" s="166"/>
      <c r="E188" s="243"/>
      <c r="F188" s="161"/>
      <c r="H188" s="162"/>
      <c r="I188" s="227"/>
      <c r="J188" s="243"/>
      <c r="K188" s="243"/>
      <c r="L188" s="166"/>
      <c r="M188" s="243"/>
      <c r="N188" s="160"/>
      <c r="P188" s="162"/>
      <c r="Q188" s="227"/>
      <c r="R188" s="243"/>
      <c r="S188" s="243"/>
      <c r="T188" s="166"/>
      <c r="U188" s="243"/>
      <c r="V188" s="160"/>
      <c r="X188" s="162"/>
      <c r="Y188" s="227"/>
      <c r="Z188" s="243"/>
      <c r="AA188" s="243"/>
      <c r="AB188" s="166"/>
      <c r="AC188" s="243"/>
      <c r="AD188" s="160"/>
      <c r="AF188" s="162"/>
      <c r="AG188" s="227"/>
      <c r="AH188" s="243"/>
      <c r="AI188" s="243"/>
      <c r="AJ188" s="166"/>
      <c r="AK188" s="243"/>
      <c r="AL188" s="161"/>
    </row>
    <row r="189" spans="1:38">
      <c r="A189" s="227"/>
      <c r="B189" s="243"/>
      <c r="C189" s="243"/>
      <c r="D189" s="166"/>
      <c r="E189" s="243"/>
      <c r="F189" s="161"/>
      <c r="H189" s="162"/>
      <c r="I189" s="227"/>
      <c r="J189" s="243"/>
      <c r="K189" s="243"/>
      <c r="L189" s="166"/>
      <c r="M189" s="243"/>
      <c r="N189" s="160"/>
      <c r="P189" s="162"/>
      <c r="Q189" s="227"/>
      <c r="R189" s="243"/>
      <c r="S189" s="243"/>
      <c r="T189" s="166"/>
      <c r="U189" s="243"/>
      <c r="V189" s="160"/>
      <c r="X189" s="162"/>
      <c r="Y189" s="227"/>
      <c r="Z189" s="243"/>
      <c r="AA189" s="243"/>
      <c r="AB189" s="166"/>
      <c r="AC189" s="243"/>
      <c r="AD189" s="160"/>
      <c r="AF189" s="162"/>
      <c r="AG189" s="227"/>
      <c r="AH189" s="243"/>
      <c r="AI189" s="243"/>
      <c r="AJ189" s="166"/>
      <c r="AK189" s="243"/>
      <c r="AL189" s="161"/>
    </row>
    <row r="190" spans="1:38">
      <c r="A190" s="227"/>
      <c r="B190" s="243"/>
      <c r="C190" s="243"/>
      <c r="D190" s="166"/>
      <c r="E190" s="243"/>
      <c r="F190" s="161"/>
      <c r="H190" s="162"/>
      <c r="I190" s="227"/>
      <c r="J190" s="243"/>
      <c r="K190" s="243"/>
      <c r="L190" s="166"/>
      <c r="M190" s="243"/>
      <c r="N190" s="160"/>
      <c r="P190" s="162"/>
      <c r="Q190" s="227"/>
      <c r="R190" s="243"/>
      <c r="S190" s="243"/>
      <c r="T190" s="166"/>
      <c r="U190" s="243"/>
      <c r="V190" s="160"/>
      <c r="X190" s="162"/>
      <c r="Y190" s="227"/>
      <c r="Z190" s="243"/>
      <c r="AA190" s="243"/>
      <c r="AB190" s="166"/>
      <c r="AC190" s="243"/>
      <c r="AD190" s="160"/>
      <c r="AF190" s="162"/>
      <c r="AG190" s="227"/>
      <c r="AH190" s="243"/>
      <c r="AI190" s="243"/>
      <c r="AJ190" s="166"/>
      <c r="AK190" s="243"/>
      <c r="AL190" s="161"/>
    </row>
    <row r="191" spans="1:38">
      <c r="A191" s="227"/>
      <c r="B191" s="243"/>
      <c r="C191" s="243"/>
      <c r="D191" s="166"/>
      <c r="E191" s="243"/>
      <c r="F191" s="161"/>
      <c r="H191" s="162"/>
      <c r="I191" s="227"/>
      <c r="J191" s="243"/>
      <c r="K191" s="243"/>
      <c r="L191" s="166"/>
      <c r="M191" s="243"/>
      <c r="N191" s="160"/>
      <c r="P191" s="162"/>
      <c r="Q191" s="227"/>
      <c r="R191" s="243"/>
      <c r="S191" s="243"/>
      <c r="T191" s="166"/>
      <c r="U191" s="243"/>
      <c r="V191" s="160"/>
      <c r="X191" s="162"/>
      <c r="Y191" s="227"/>
      <c r="Z191" s="243"/>
      <c r="AA191" s="243"/>
      <c r="AB191" s="166"/>
      <c r="AC191" s="243"/>
      <c r="AD191" s="160"/>
      <c r="AF191" s="162"/>
      <c r="AG191" s="227"/>
      <c r="AH191" s="243"/>
      <c r="AI191" s="243"/>
      <c r="AJ191" s="166"/>
      <c r="AK191" s="243"/>
      <c r="AL191" s="161"/>
    </row>
    <row r="192" spans="1:38">
      <c r="A192" s="227"/>
      <c r="B192" s="243"/>
      <c r="C192" s="243"/>
      <c r="D192" s="166"/>
      <c r="E192" s="243"/>
      <c r="F192" s="161"/>
      <c r="H192" s="162"/>
      <c r="I192" s="227"/>
      <c r="J192" s="243"/>
      <c r="K192" s="243"/>
      <c r="L192" s="166"/>
      <c r="M192" s="243"/>
      <c r="N192" s="160"/>
      <c r="P192" s="162"/>
      <c r="Q192" s="227"/>
      <c r="R192" s="243"/>
      <c r="S192" s="243"/>
      <c r="T192" s="166"/>
      <c r="U192" s="243"/>
      <c r="V192" s="160"/>
      <c r="X192" s="162"/>
      <c r="Y192" s="227"/>
      <c r="Z192" s="243"/>
      <c r="AA192" s="243"/>
      <c r="AB192" s="166"/>
      <c r="AC192" s="243"/>
      <c r="AD192" s="160"/>
      <c r="AF192" s="162"/>
      <c r="AG192" s="227"/>
      <c r="AH192" s="243"/>
      <c r="AI192" s="243"/>
      <c r="AJ192" s="166"/>
      <c r="AK192" s="243"/>
      <c r="AL192" s="161"/>
    </row>
    <row r="193" spans="1:38">
      <c r="A193" s="227"/>
      <c r="B193" s="243"/>
      <c r="C193" s="243"/>
      <c r="D193" s="166"/>
      <c r="E193" s="243"/>
      <c r="F193" s="161"/>
      <c r="H193" s="162"/>
      <c r="I193" s="227"/>
      <c r="J193" s="243"/>
      <c r="K193" s="243"/>
      <c r="L193" s="166"/>
      <c r="M193" s="243"/>
      <c r="N193" s="160"/>
      <c r="P193" s="162"/>
      <c r="Q193" s="227"/>
      <c r="R193" s="243"/>
      <c r="S193" s="243"/>
      <c r="T193" s="166"/>
      <c r="U193" s="243"/>
      <c r="V193" s="160"/>
      <c r="X193" s="162"/>
      <c r="Y193" s="227"/>
      <c r="Z193" s="243"/>
      <c r="AA193" s="243"/>
      <c r="AB193" s="166"/>
      <c r="AC193" s="243"/>
      <c r="AD193" s="160"/>
      <c r="AF193" s="162"/>
      <c r="AG193" s="227"/>
      <c r="AH193" s="243"/>
      <c r="AI193" s="243"/>
      <c r="AJ193" s="166"/>
      <c r="AK193" s="243"/>
      <c r="AL193" s="161"/>
    </row>
    <row r="194" spans="1:38">
      <c r="A194" s="227"/>
      <c r="B194" s="243"/>
      <c r="C194" s="243"/>
      <c r="D194" s="166"/>
      <c r="E194" s="243"/>
      <c r="F194" s="161"/>
      <c r="H194" s="162"/>
      <c r="I194" s="227"/>
      <c r="J194" s="243"/>
      <c r="K194" s="243"/>
      <c r="L194" s="166"/>
      <c r="M194" s="243"/>
      <c r="N194" s="160"/>
      <c r="P194" s="162"/>
      <c r="Q194" s="227"/>
      <c r="R194" s="243"/>
      <c r="S194" s="243"/>
      <c r="T194" s="166"/>
      <c r="U194" s="243"/>
      <c r="V194" s="160"/>
      <c r="X194" s="162"/>
      <c r="Y194" s="227"/>
      <c r="Z194" s="243"/>
      <c r="AA194" s="243"/>
      <c r="AB194" s="166"/>
      <c r="AC194" s="243"/>
      <c r="AD194" s="160"/>
      <c r="AF194" s="162"/>
    </row>
    <row r="195" spans="1:38">
      <c r="A195" s="227"/>
      <c r="B195" s="243"/>
      <c r="C195" s="243"/>
      <c r="D195" s="166"/>
      <c r="E195" s="243"/>
      <c r="F195" s="161"/>
      <c r="H195" s="162"/>
      <c r="I195" s="227"/>
      <c r="J195" s="243"/>
      <c r="K195" s="243"/>
      <c r="L195" s="166"/>
      <c r="M195" s="243"/>
      <c r="N195" s="160"/>
      <c r="P195" s="162"/>
      <c r="Q195" s="227"/>
      <c r="R195" s="243"/>
      <c r="S195" s="243"/>
      <c r="T195" s="166"/>
      <c r="U195" s="243"/>
      <c r="V195" s="160"/>
      <c r="X195" s="162"/>
      <c r="Y195" s="227"/>
      <c r="Z195" s="243"/>
      <c r="AA195" s="243"/>
      <c r="AB195" s="166"/>
      <c r="AC195" s="243"/>
      <c r="AD195" s="160"/>
      <c r="AF195" s="162"/>
    </row>
    <row r="196" spans="1:38">
      <c r="A196" s="227"/>
      <c r="B196" s="243"/>
      <c r="C196" s="243"/>
      <c r="D196" s="166"/>
      <c r="E196" s="243"/>
      <c r="F196" s="161"/>
      <c r="H196" s="162"/>
      <c r="I196" s="227"/>
      <c r="J196" s="243"/>
      <c r="K196" s="243"/>
      <c r="L196" s="166"/>
      <c r="M196" s="243"/>
      <c r="N196" s="160"/>
      <c r="P196" s="162"/>
      <c r="Q196" s="227"/>
      <c r="R196" s="243"/>
      <c r="S196" s="243"/>
      <c r="T196" s="166"/>
      <c r="U196" s="243"/>
      <c r="V196" s="160"/>
      <c r="X196" s="162"/>
      <c r="Y196" s="227"/>
      <c r="Z196" s="243"/>
      <c r="AA196" s="243"/>
      <c r="AB196" s="166"/>
      <c r="AC196" s="243"/>
      <c r="AD196" s="160"/>
      <c r="AF196" s="162"/>
    </row>
    <row r="197" spans="1:38">
      <c r="A197" s="227"/>
      <c r="B197" s="243"/>
      <c r="C197" s="243"/>
      <c r="D197" s="166"/>
      <c r="E197" s="243"/>
      <c r="F197" s="161"/>
      <c r="H197" s="162"/>
      <c r="I197" s="227"/>
      <c r="J197" s="243"/>
      <c r="K197" s="243"/>
      <c r="L197" s="166"/>
      <c r="M197" s="243"/>
      <c r="N197" s="160"/>
      <c r="Q197" s="227"/>
      <c r="R197" s="243"/>
      <c r="S197" s="243"/>
      <c r="T197" s="166"/>
      <c r="U197" s="243"/>
      <c r="V197" s="160"/>
    </row>
    <row r="198" spans="1:38">
      <c r="A198" s="227"/>
      <c r="B198" s="243"/>
      <c r="C198" s="243"/>
      <c r="D198" s="166"/>
      <c r="E198" s="243"/>
      <c r="F198" s="161"/>
      <c r="H198" s="162"/>
      <c r="I198" s="227"/>
      <c r="J198" s="243"/>
      <c r="K198" s="243"/>
      <c r="L198" s="166"/>
      <c r="M198" s="243"/>
      <c r="N198" s="160"/>
      <c r="Q198" s="227"/>
      <c r="R198" s="243"/>
      <c r="S198" s="243"/>
      <c r="T198" s="166"/>
      <c r="U198" s="243"/>
      <c r="V198" s="160"/>
    </row>
    <row r="199" spans="1:38">
      <c r="A199" s="227"/>
      <c r="B199" s="243"/>
      <c r="C199" s="243"/>
      <c r="D199" s="166"/>
      <c r="E199" s="243"/>
      <c r="F199" s="161"/>
      <c r="H199" s="162"/>
      <c r="I199" s="227"/>
      <c r="J199" s="243"/>
      <c r="K199" s="243"/>
      <c r="L199" s="166"/>
      <c r="M199" s="243"/>
      <c r="N199" s="160"/>
      <c r="Q199" s="227"/>
      <c r="R199" s="243"/>
      <c r="S199" s="243"/>
      <c r="T199" s="166"/>
      <c r="U199" s="243"/>
      <c r="V199" s="160"/>
    </row>
    <row r="200" spans="1:38">
      <c r="A200" s="227"/>
      <c r="B200" s="243"/>
      <c r="C200" s="243"/>
      <c r="D200" s="166"/>
      <c r="E200" s="243"/>
      <c r="F200" s="161"/>
      <c r="H200" s="162"/>
      <c r="I200" s="227"/>
      <c r="J200" s="243"/>
      <c r="K200" s="243"/>
      <c r="L200" s="166"/>
      <c r="M200" s="243"/>
      <c r="N200" s="160"/>
      <c r="Q200" s="227"/>
      <c r="R200" s="243"/>
      <c r="S200" s="243"/>
      <c r="T200" s="166"/>
      <c r="U200" s="243"/>
      <c r="V200" s="160"/>
    </row>
    <row r="201" spans="1:38">
      <c r="A201" s="227"/>
      <c r="B201" s="243"/>
      <c r="C201" s="243"/>
      <c r="D201" s="166"/>
      <c r="E201" s="243"/>
      <c r="F201" s="161"/>
      <c r="H201" s="162"/>
      <c r="I201" s="227"/>
      <c r="J201" s="243"/>
      <c r="K201" s="243"/>
      <c r="L201" s="166"/>
      <c r="M201" s="243"/>
      <c r="N201" s="160"/>
      <c r="Q201" s="227"/>
      <c r="R201" s="243"/>
      <c r="S201" s="243"/>
      <c r="T201" s="166"/>
      <c r="U201" s="243"/>
      <c r="V201" s="160"/>
    </row>
    <row r="202" spans="1:38">
      <c r="A202" s="227"/>
      <c r="B202" s="243"/>
      <c r="C202" s="243"/>
      <c r="D202" s="166"/>
      <c r="E202" s="243"/>
      <c r="F202" s="161"/>
      <c r="H202" s="162"/>
      <c r="I202" s="227"/>
      <c r="J202" s="243"/>
      <c r="K202" s="243"/>
      <c r="L202" s="166"/>
      <c r="M202" s="243"/>
      <c r="N202" s="160"/>
      <c r="Q202" s="227"/>
      <c r="R202" s="243"/>
      <c r="S202" s="243"/>
      <c r="T202" s="166"/>
      <c r="U202" s="243"/>
      <c r="V202" s="160"/>
    </row>
    <row r="203" spans="1:38">
      <c r="A203" s="227"/>
      <c r="B203" s="243"/>
      <c r="C203" s="243"/>
      <c r="D203" s="166"/>
      <c r="E203" s="243"/>
      <c r="F203" s="161"/>
      <c r="H203" s="162"/>
      <c r="Q203" s="227"/>
      <c r="R203" s="243"/>
      <c r="S203" s="243"/>
      <c r="T203" s="166"/>
      <c r="U203" s="243"/>
      <c r="V203" s="160"/>
    </row>
    <row r="204" spans="1:38">
      <c r="A204" s="227"/>
      <c r="B204" s="243"/>
      <c r="C204" s="243"/>
      <c r="D204" s="166"/>
      <c r="E204" s="243"/>
      <c r="F204" s="161"/>
      <c r="H204" s="162"/>
      <c r="Q204" s="227"/>
      <c r="R204" s="243"/>
      <c r="S204" s="243"/>
      <c r="T204" s="166"/>
      <c r="U204" s="243"/>
      <c r="V204" s="160"/>
    </row>
    <row r="205" spans="1:38">
      <c r="A205" s="227"/>
      <c r="B205" s="243"/>
      <c r="C205" s="243"/>
      <c r="D205" s="166"/>
      <c r="E205" s="243"/>
      <c r="F205" s="161"/>
      <c r="Q205" s="227"/>
      <c r="R205" s="243"/>
      <c r="S205" s="243"/>
      <c r="T205" s="166"/>
      <c r="U205" s="243"/>
      <c r="V205" s="160"/>
    </row>
    <row r="206" spans="1:38">
      <c r="A206" s="227"/>
      <c r="B206" s="243"/>
      <c r="C206" s="243"/>
      <c r="D206" s="166"/>
      <c r="E206" s="243"/>
      <c r="F206" s="161"/>
      <c r="Q206" s="227"/>
      <c r="R206" s="243"/>
      <c r="S206" s="243"/>
      <c r="T206" s="166"/>
      <c r="U206" s="243"/>
      <c r="V206" s="160"/>
    </row>
    <row r="207" spans="1:38">
      <c r="A207" s="227"/>
      <c r="B207" s="243"/>
      <c r="C207" s="243"/>
      <c r="D207" s="166"/>
      <c r="E207" s="243"/>
      <c r="F207" s="161"/>
      <c r="Q207" s="227"/>
      <c r="R207" s="243"/>
      <c r="S207" s="243"/>
      <c r="T207" s="166"/>
      <c r="U207" s="243"/>
      <c r="V207" s="160"/>
    </row>
    <row r="208" spans="1:38">
      <c r="A208" s="227"/>
      <c r="B208" s="243"/>
      <c r="C208" s="243"/>
      <c r="D208" s="166"/>
      <c r="E208" s="243"/>
      <c r="F208" s="161"/>
      <c r="Q208" s="227"/>
      <c r="R208" s="243"/>
      <c r="S208" s="243"/>
      <c r="T208" s="166"/>
      <c r="U208" s="243"/>
      <c r="V208" s="160"/>
    </row>
    <row r="209" spans="1:22">
      <c r="A209" s="227"/>
      <c r="B209" s="243"/>
      <c r="C209" s="243"/>
      <c r="D209" s="166"/>
      <c r="E209" s="243"/>
      <c r="F209" s="161"/>
      <c r="Q209" s="227"/>
      <c r="R209" s="243"/>
      <c r="S209" s="243"/>
      <c r="T209" s="166"/>
      <c r="U209" s="243"/>
      <c r="V209" s="160"/>
    </row>
    <row r="210" spans="1:22">
      <c r="A210" s="227"/>
      <c r="B210" s="243"/>
      <c r="C210" s="243"/>
      <c r="D210" s="166"/>
      <c r="E210" s="243"/>
      <c r="F210" s="161"/>
      <c r="Q210" s="227"/>
      <c r="R210" s="243"/>
      <c r="S210" s="243"/>
      <c r="T210" s="166"/>
      <c r="U210" s="243"/>
      <c r="V210" s="160"/>
    </row>
    <row r="211" spans="1:22">
      <c r="A211" s="227"/>
      <c r="B211" s="243"/>
      <c r="C211" s="243"/>
      <c r="D211" s="166"/>
      <c r="E211" s="243"/>
      <c r="F211" s="161"/>
      <c r="Q211" s="227"/>
      <c r="R211" s="243"/>
      <c r="S211" s="243"/>
      <c r="T211" s="166"/>
      <c r="U211" s="243"/>
      <c r="V211" s="160"/>
    </row>
    <row r="212" spans="1:22">
      <c r="A212" s="227"/>
      <c r="B212" s="243"/>
      <c r="C212" s="243"/>
      <c r="D212" s="166"/>
      <c r="E212" s="243"/>
      <c r="F212" s="161"/>
      <c r="Q212" s="227"/>
      <c r="R212" s="243"/>
      <c r="S212" s="243"/>
      <c r="T212" s="166"/>
      <c r="U212" s="243"/>
      <c r="V212" s="160"/>
    </row>
    <row r="213" spans="1:22">
      <c r="Q213" s="227"/>
      <c r="R213" s="243"/>
      <c r="S213" s="243"/>
      <c r="T213" s="166"/>
      <c r="U213" s="243"/>
      <c r="V213" s="160"/>
    </row>
    <row r="430" spans="33:38">
      <c r="AG430">
        <v>45285</v>
      </c>
      <c r="AH430">
        <v>1764</v>
      </c>
      <c r="AJ430">
        <v>75</v>
      </c>
      <c r="AL430" s="46" t="e">
        <f>#REF!-AK430</f>
        <v>#REF!</v>
      </c>
    </row>
    <row r="431" spans="33:38">
      <c r="AG431">
        <v>45286</v>
      </c>
      <c r="AH431">
        <v>5130</v>
      </c>
      <c r="AJ431">
        <v>77</v>
      </c>
      <c r="AL431" s="46" t="e">
        <f>#REF!-AK431</f>
        <v>#REF!</v>
      </c>
    </row>
    <row r="432" spans="33:38">
      <c r="AG432">
        <v>45286</v>
      </c>
      <c r="AH432">
        <v>2982</v>
      </c>
      <c r="AJ432">
        <v>79</v>
      </c>
      <c r="AL432" s="46" t="e">
        <f>#REF!-AK432</f>
        <v>#REF!</v>
      </c>
    </row>
    <row r="433" spans="9:38">
      <c r="Y433">
        <v>45285</v>
      </c>
      <c r="Z433">
        <v>1764</v>
      </c>
      <c r="AB433">
        <v>75</v>
      </c>
      <c r="AD433" t="e">
        <f>#REF!-AC433</f>
        <v>#REF!</v>
      </c>
      <c r="AG433">
        <v>45286</v>
      </c>
      <c r="AH433">
        <v>508</v>
      </c>
      <c r="AJ433">
        <v>80</v>
      </c>
      <c r="AL433" s="46" t="e">
        <f>#REF!-AK433</f>
        <v>#REF!</v>
      </c>
    </row>
    <row r="434" spans="9:38">
      <c r="Y434">
        <v>45286</v>
      </c>
      <c r="Z434">
        <v>5130</v>
      </c>
      <c r="AB434">
        <v>77</v>
      </c>
      <c r="AD434" t="e">
        <f>#REF!-AC434</f>
        <v>#REF!</v>
      </c>
      <c r="AG434">
        <v>45287</v>
      </c>
      <c r="AH434">
        <v>3943</v>
      </c>
      <c r="AJ434">
        <v>82</v>
      </c>
      <c r="AL434" s="46" t="e">
        <f>#REF!-AK434</f>
        <v>#REF!</v>
      </c>
    </row>
    <row r="435" spans="9:38">
      <c r="Y435">
        <v>45286</v>
      </c>
      <c r="Z435">
        <v>2982</v>
      </c>
      <c r="AB435">
        <v>79</v>
      </c>
      <c r="AD435" t="e">
        <f>#REF!-AC435</f>
        <v>#REF!</v>
      </c>
      <c r="AG435">
        <v>45288</v>
      </c>
      <c r="AH435">
        <v>1218</v>
      </c>
      <c r="AJ435">
        <v>84</v>
      </c>
      <c r="AL435" s="46" t="e">
        <f>#REF!-AK435</f>
        <v>#REF!</v>
      </c>
    </row>
    <row r="436" spans="9:38">
      <c r="Y436">
        <v>45286</v>
      </c>
      <c r="Z436">
        <v>508</v>
      </c>
      <c r="AB436">
        <v>80</v>
      </c>
      <c r="AD436" t="e">
        <f>#REF!-AC436</f>
        <v>#REF!</v>
      </c>
      <c r="AG436">
        <v>45290</v>
      </c>
      <c r="AH436">
        <v>3985</v>
      </c>
      <c r="AJ436">
        <v>87</v>
      </c>
      <c r="AL436" s="46" t="e">
        <f>#REF!-AK436</f>
        <v>#REF!</v>
      </c>
    </row>
    <row r="437" spans="9:38">
      <c r="Y437">
        <v>45287</v>
      </c>
      <c r="Z437">
        <v>3943</v>
      </c>
      <c r="AB437">
        <v>82</v>
      </c>
      <c r="AD437" t="e">
        <f>#REF!-AC437</f>
        <v>#REF!</v>
      </c>
      <c r="AG437">
        <v>45290</v>
      </c>
      <c r="AH437">
        <v>420</v>
      </c>
      <c r="AJ437">
        <v>89</v>
      </c>
      <c r="AL437" s="46" t="e">
        <f>#REF!-AK437</f>
        <v>#REF!</v>
      </c>
    </row>
    <row r="438" spans="9:38">
      <c r="Y438">
        <v>45288</v>
      </c>
      <c r="Z438">
        <v>1218</v>
      </c>
      <c r="AB438">
        <v>84</v>
      </c>
      <c r="AD438" t="e">
        <f>#REF!-AC438</f>
        <v>#REF!</v>
      </c>
      <c r="AG438">
        <v>45291</v>
      </c>
      <c r="AH438">
        <v>2276</v>
      </c>
      <c r="AJ438">
        <v>90</v>
      </c>
      <c r="AK438">
        <f>SUBTOTAL(9,AH373:AH405)</f>
        <v>0</v>
      </c>
      <c r="AL438" s="46" t="e">
        <f>#REF!-AK438</f>
        <v>#REF!</v>
      </c>
    </row>
    <row r="439" spans="9:38">
      <c r="I439">
        <v>45285</v>
      </c>
      <c r="J439">
        <v>1764</v>
      </c>
      <c r="L439">
        <v>75</v>
      </c>
      <c r="N439" t="e">
        <f>#REF!-M439</f>
        <v>#REF!</v>
      </c>
      <c r="Y439">
        <v>45290</v>
      </c>
      <c r="Z439">
        <v>3985</v>
      </c>
      <c r="AB439">
        <v>87</v>
      </c>
      <c r="AD439" t="e">
        <f>#REF!-AC439</f>
        <v>#REF!</v>
      </c>
      <c r="AG439">
        <v>45291</v>
      </c>
      <c r="AH439">
        <v>525</v>
      </c>
      <c r="AJ439">
        <v>92</v>
      </c>
      <c r="AL439" s="46" t="e">
        <f>#REF!-AK439</f>
        <v>#REF!</v>
      </c>
    </row>
    <row r="440" spans="9:38">
      <c r="I440">
        <v>45286</v>
      </c>
      <c r="J440">
        <v>5130</v>
      </c>
      <c r="L440">
        <v>77</v>
      </c>
      <c r="N440" t="e">
        <f>#REF!-M440</f>
        <v>#REF!</v>
      </c>
      <c r="Y440">
        <v>45290</v>
      </c>
      <c r="Z440">
        <v>420</v>
      </c>
      <c r="AB440">
        <v>89</v>
      </c>
      <c r="AD440" t="e">
        <f>#REF!-AC440</f>
        <v>#REF!</v>
      </c>
      <c r="AG440">
        <v>45291</v>
      </c>
      <c r="AH440">
        <v>1697</v>
      </c>
      <c r="AJ440">
        <v>93</v>
      </c>
      <c r="AL440" s="46" t="e">
        <f>#REF!-AK440</f>
        <v>#REF!</v>
      </c>
    </row>
    <row r="441" spans="9:38">
      <c r="I441">
        <v>45286</v>
      </c>
      <c r="J441">
        <v>2982</v>
      </c>
      <c r="L441">
        <v>79</v>
      </c>
      <c r="N441" t="e">
        <f>#REF!-M441</f>
        <v>#REF!</v>
      </c>
      <c r="Y441">
        <v>45291</v>
      </c>
      <c r="Z441">
        <v>2276</v>
      </c>
      <c r="AB441">
        <v>90</v>
      </c>
      <c r="AC441">
        <f>SUBTOTAL(9,Z376:Z408)</f>
        <v>0</v>
      </c>
      <c r="AD441" t="e">
        <f>#REF!-AC441</f>
        <v>#REF!</v>
      </c>
      <c r="AG441">
        <v>44929</v>
      </c>
      <c r="AH441">
        <v>756</v>
      </c>
      <c r="AJ441">
        <v>1</v>
      </c>
      <c r="AL441" s="46" t="e">
        <f>#REF!-AK441</f>
        <v>#REF!</v>
      </c>
    </row>
    <row r="442" spans="9:38">
      <c r="I442">
        <v>45286</v>
      </c>
      <c r="J442">
        <v>508</v>
      </c>
      <c r="L442">
        <v>80</v>
      </c>
      <c r="N442" t="e">
        <f>#REF!-M442</f>
        <v>#REF!</v>
      </c>
      <c r="Y442">
        <v>45291</v>
      </c>
      <c r="Z442">
        <v>525</v>
      </c>
      <c r="AB442">
        <v>92</v>
      </c>
      <c r="AD442" t="e">
        <f>#REF!-AC442</f>
        <v>#REF!</v>
      </c>
      <c r="AG442">
        <v>44929</v>
      </c>
      <c r="AH442">
        <v>2989</v>
      </c>
      <c r="AJ442">
        <v>3</v>
      </c>
      <c r="AL442" s="46" t="e">
        <f>#REF!-AK442</f>
        <v>#REF!</v>
      </c>
    </row>
    <row r="443" spans="9:38">
      <c r="I443">
        <v>45287</v>
      </c>
      <c r="J443">
        <v>3943</v>
      </c>
      <c r="L443">
        <v>82</v>
      </c>
      <c r="N443" t="e">
        <f>#REF!-M443</f>
        <v>#REF!</v>
      </c>
      <c r="Y443">
        <v>45291</v>
      </c>
      <c r="Z443">
        <v>1697</v>
      </c>
      <c r="AB443">
        <v>93</v>
      </c>
      <c r="AD443" t="e">
        <f>#REF!-AC443</f>
        <v>#REF!</v>
      </c>
      <c r="AL443" s="46" t="e">
        <f>#REF!-AK443</f>
        <v>#REF!</v>
      </c>
    </row>
    <row r="444" spans="9:38">
      <c r="I444">
        <v>45288</v>
      </c>
      <c r="J444">
        <v>1218</v>
      </c>
      <c r="L444">
        <v>84</v>
      </c>
      <c r="N444" t="e">
        <f>#REF!-M444</f>
        <v>#REF!</v>
      </c>
      <c r="Y444">
        <v>44929</v>
      </c>
      <c r="Z444">
        <v>756</v>
      </c>
      <c r="AB444">
        <v>1</v>
      </c>
      <c r="AD444" t="e">
        <f>#REF!-AC444</f>
        <v>#REF!</v>
      </c>
      <c r="AL444" s="46" t="e">
        <f>#REF!-AK444</f>
        <v>#REF!</v>
      </c>
    </row>
    <row r="445" spans="9:38">
      <c r="I445">
        <v>45290</v>
      </c>
      <c r="J445">
        <v>3985</v>
      </c>
      <c r="L445">
        <v>87</v>
      </c>
      <c r="N445" t="e">
        <f>#REF!-M445</f>
        <v>#REF!</v>
      </c>
      <c r="Y445">
        <v>44929</v>
      </c>
      <c r="Z445">
        <v>2989</v>
      </c>
      <c r="AB445">
        <v>3</v>
      </c>
      <c r="AD445" t="e">
        <f>#REF!-AC445</f>
        <v>#REF!</v>
      </c>
      <c r="AL445" s="46" t="e">
        <f>#REF!-AK445</f>
        <v>#REF!</v>
      </c>
    </row>
    <row r="446" spans="9:38">
      <c r="I446">
        <v>45290</v>
      </c>
      <c r="J446">
        <v>420</v>
      </c>
      <c r="L446">
        <v>89</v>
      </c>
      <c r="N446" t="e">
        <f>#REF!-M446</f>
        <v>#REF!</v>
      </c>
      <c r="AD446" t="e">
        <f>#REF!-AC446</f>
        <v>#REF!</v>
      </c>
    </row>
    <row r="447" spans="9:38">
      <c r="I447">
        <v>45291</v>
      </c>
      <c r="J447">
        <v>2276</v>
      </c>
      <c r="L447">
        <v>90</v>
      </c>
      <c r="M447">
        <f>SUBTOTAL(9,J382:J414)</f>
        <v>0</v>
      </c>
      <c r="N447" t="e">
        <f>#REF!-M447</f>
        <v>#REF!</v>
      </c>
      <c r="AD447" t="e">
        <f>#REF!-AC447</f>
        <v>#REF!</v>
      </c>
    </row>
    <row r="448" spans="9:38">
      <c r="I448">
        <v>45291</v>
      </c>
      <c r="J448">
        <v>525</v>
      </c>
      <c r="L448">
        <v>92</v>
      </c>
      <c r="N448" t="e">
        <f>#REF!-M448</f>
        <v>#REF!</v>
      </c>
      <c r="AD448" t="e">
        <f>#REF!-AC448</f>
        <v>#REF!</v>
      </c>
    </row>
    <row r="449" spans="1:22">
      <c r="A449">
        <v>45285</v>
      </c>
      <c r="B449">
        <v>1764</v>
      </c>
      <c r="D449">
        <v>75</v>
      </c>
      <c r="F449" s="46" t="e">
        <f>#REF!-E449</f>
        <v>#REF!</v>
      </c>
      <c r="I449">
        <v>45291</v>
      </c>
      <c r="J449">
        <v>1697</v>
      </c>
      <c r="L449">
        <v>93</v>
      </c>
      <c r="N449" t="e">
        <f>#REF!-M449</f>
        <v>#REF!</v>
      </c>
    </row>
    <row r="450" spans="1:22">
      <c r="A450">
        <v>45286</v>
      </c>
      <c r="B450">
        <v>5130</v>
      </c>
      <c r="D450">
        <v>77</v>
      </c>
      <c r="F450" s="46" t="e">
        <f>#REF!-E450</f>
        <v>#REF!</v>
      </c>
      <c r="I450">
        <v>44929</v>
      </c>
      <c r="J450">
        <v>756</v>
      </c>
      <c r="L450">
        <v>1</v>
      </c>
      <c r="N450" t="e">
        <f>#REF!-M450</f>
        <v>#REF!</v>
      </c>
      <c r="Q450">
        <v>45285</v>
      </c>
      <c r="R450">
        <v>1764</v>
      </c>
      <c r="T450">
        <v>75</v>
      </c>
      <c r="V450" t="e">
        <f>#REF!-U450</f>
        <v>#REF!</v>
      </c>
    </row>
    <row r="451" spans="1:22">
      <c r="A451">
        <v>45286</v>
      </c>
      <c r="B451">
        <v>2982</v>
      </c>
      <c r="D451">
        <v>79</v>
      </c>
      <c r="F451" s="46" t="e">
        <f>#REF!-E451</f>
        <v>#REF!</v>
      </c>
      <c r="I451">
        <v>44929</v>
      </c>
      <c r="J451">
        <v>2989</v>
      </c>
      <c r="L451">
        <v>3</v>
      </c>
      <c r="N451" t="e">
        <f>#REF!-M451</f>
        <v>#REF!</v>
      </c>
      <c r="Q451">
        <v>45286</v>
      </c>
      <c r="R451">
        <v>5130</v>
      </c>
      <c r="T451">
        <v>77</v>
      </c>
      <c r="V451" t="e">
        <f>#REF!-U451</f>
        <v>#REF!</v>
      </c>
    </row>
    <row r="452" spans="1:22">
      <c r="A452">
        <v>45286</v>
      </c>
      <c r="B452">
        <v>508</v>
      </c>
      <c r="D452">
        <v>80</v>
      </c>
      <c r="F452" s="46" t="e">
        <f>#REF!-E452</f>
        <v>#REF!</v>
      </c>
      <c r="N452" t="e">
        <f>#REF!-M452</f>
        <v>#REF!</v>
      </c>
      <c r="Q452">
        <v>45286</v>
      </c>
      <c r="R452">
        <v>2982</v>
      </c>
      <c r="T452">
        <v>79</v>
      </c>
      <c r="V452" t="e">
        <f>#REF!-U452</f>
        <v>#REF!</v>
      </c>
    </row>
    <row r="453" spans="1:22">
      <c r="A453">
        <v>45287</v>
      </c>
      <c r="B453">
        <v>3943</v>
      </c>
      <c r="D453">
        <v>82</v>
      </c>
      <c r="F453" s="46" t="e">
        <f>#REF!-E453</f>
        <v>#REF!</v>
      </c>
      <c r="N453" t="e">
        <f>#REF!-M453</f>
        <v>#REF!</v>
      </c>
      <c r="Q453">
        <v>45286</v>
      </c>
      <c r="R453">
        <v>508</v>
      </c>
      <c r="T453">
        <v>80</v>
      </c>
      <c r="V453" t="e">
        <f>#REF!-U453</f>
        <v>#REF!</v>
      </c>
    </row>
    <row r="454" spans="1:22">
      <c r="A454">
        <v>45288</v>
      </c>
      <c r="B454">
        <v>1218</v>
      </c>
      <c r="D454">
        <v>84</v>
      </c>
      <c r="F454" s="46" t="e">
        <f>#REF!-E454</f>
        <v>#REF!</v>
      </c>
      <c r="N454" t="e">
        <f>#REF!-M454</f>
        <v>#REF!</v>
      </c>
      <c r="Q454">
        <v>45287</v>
      </c>
      <c r="R454">
        <v>3943</v>
      </c>
      <c r="T454">
        <v>82</v>
      </c>
      <c r="V454" t="e">
        <f>#REF!-U454</f>
        <v>#REF!</v>
      </c>
    </row>
    <row r="455" spans="1:22">
      <c r="A455">
        <v>45290</v>
      </c>
      <c r="B455">
        <v>3985</v>
      </c>
      <c r="D455">
        <v>87</v>
      </c>
      <c r="F455" s="46" t="e">
        <f>#REF!-E455</f>
        <v>#REF!</v>
      </c>
      <c r="Q455">
        <v>45288</v>
      </c>
      <c r="R455">
        <v>1218</v>
      </c>
      <c r="T455">
        <v>84</v>
      </c>
      <c r="V455" t="e">
        <f>#REF!-U455</f>
        <v>#REF!</v>
      </c>
    </row>
    <row r="456" spans="1:22">
      <c r="A456">
        <v>45290</v>
      </c>
      <c r="B456">
        <v>420</v>
      </c>
      <c r="D456">
        <v>89</v>
      </c>
      <c r="F456" s="46" t="e">
        <f>#REF!-E456</f>
        <v>#REF!</v>
      </c>
      <c r="Q456">
        <v>45290</v>
      </c>
      <c r="R456">
        <v>3985</v>
      </c>
      <c r="T456">
        <v>87</v>
      </c>
      <c r="V456" t="e">
        <f>#REF!-U456</f>
        <v>#REF!</v>
      </c>
    </row>
    <row r="457" spans="1:22">
      <c r="A457">
        <v>45291</v>
      </c>
      <c r="B457">
        <v>2276</v>
      </c>
      <c r="D457">
        <v>90</v>
      </c>
      <c r="E457">
        <f>SUBTOTAL(9,B392:B424)</f>
        <v>0</v>
      </c>
      <c r="F457" s="46" t="e">
        <f>#REF!-E457</f>
        <v>#REF!</v>
      </c>
      <c r="Q457">
        <v>45290</v>
      </c>
      <c r="R457">
        <v>420</v>
      </c>
      <c r="T457">
        <v>89</v>
      </c>
      <c r="V457" t="e">
        <f>#REF!-U457</f>
        <v>#REF!</v>
      </c>
    </row>
    <row r="458" spans="1:22">
      <c r="A458">
        <v>45291</v>
      </c>
      <c r="B458">
        <v>525</v>
      </c>
      <c r="D458">
        <v>92</v>
      </c>
      <c r="F458" s="46" t="e">
        <f>#REF!-E458</f>
        <v>#REF!</v>
      </c>
      <c r="Q458">
        <v>45291</v>
      </c>
      <c r="R458">
        <v>2276</v>
      </c>
      <c r="T458">
        <v>90</v>
      </c>
      <c r="U458">
        <f>SUBTOTAL(9,R393:R425)</f>
        <v>0</v>
      </c>
      <c r="V458" t="e">
        <f>#REF!-U458</f>
        <v>#REF!</v>
      </c>
    </row>
    <row r="459" spans="1:22">
      <c r="A459">
        <v>45291</v>
      </c>
      <c r="B459">
        <v>1697</v>
      </c>
      <c r="D459">
        <v>93</v>
      </c>
      <c r="F459" s="46" t="e">
        <f>#REF!-E459</f>
        <v>#REF!</v>
      </c>
      <c r="Q459">
        <v>45291</v>
      </c>
      <c r="R459">
        <v>525</v>
      </c>
      <c r="T459">
        <v>92</v>
      </c>
      <c r="V459" t="e">
        <f>#REF!-U459</f>
        <v>#REF!</v>
      </c>
    </row>
    <row r="460" spans="1:22">
      <c r="A460">
        <v>44929</v>
      </c>
      <c r="B460">
        <v>756</v>
      </c>
      <c r="D460">
        <v>1</v>
      </c>
      <c r="F460" s="46" t="e">
        <f>#REF!-E460</f>
        <v>#REF!</v>
      </c>
      <c r="Q460">
        <v>45291</v>
      </c>
      <c r="R460">
        <v>1697</v>
      </c>
      <c r="T460">
        <v>93</v>
      </c>
      <c r="V460" t="e">
        <f>#REF!-U460</f>
        <v>#REF!</v>
      </c>
    </row>
    <row r="461" spans="1:22">
      <c r="A461">
        <v>44929</v>
      </c>
      <c r="B461">
        <v>2989</v>
      </c>
      <c r="D461">
        <v>3</v>
      </c>
      <c r="F461" s="46" t="e">
        <f>#REF!-E461</f>
        <v>#REF!</v>
      </c>
      <c r="Q461">
        <v>44929</v>
      </c>
      <c r="R461">
        <v>756</v>
      </c>
      <c r="T461">
        <v>1</v>
      </c>
      <c r="V461" t="e">
        <f>#REF!-U461</f>
        <v>#REF!</v>
      </c>
    </row>
    <row r="462" spans="1:22">
      <c r="F462" s="46" t="e">
        <f>#REF!-E462</f>
        <v>#REF!</v>
      </c>
      <c r="Q462">
        <v>44929</v>
      </c>
      <c r="R462">
        <v>2989</v>
      </c>
      <c r="T462">
        <v>3</v>
      </c>
      <c r="V462" t="e">
        <f>#REF!-U462</f>
        <v>#REF!</v>
      </c>
    </row>
    <row r="463" spans="1:22">
      <c r="F463" s="46" t="e">
        <f>#REF!-E463</f>
        <v>#REF!</v>
      </c>
      <c r="V463" t="e">
        <f>#REF!-U463</f>
        <v>#REF!</v>
      </c>
    </row>
    <row r="464" spans="1:22">
      <c r="F464" s="46" t="e">
        <f>#REF!-E464</f>
        <v>#REF!</v>
      </c>
      <c r="V464" t="e">
        <f>#REF!-U464</f>
        <v>#REF!</v>
      </c>
    </row>
    <row r="465" spans="22:22">
      <c r="V465" t="e">
        <f>#REF!-U465</f>
        <v>#REF!</v>
      </c>
    </row>
  </sheetData>
  <mergeCells count="86">
    <mergeCell ref="A1:D1"/>
    <mergeCell ref="E1:F1"/>
    <mergeCell ref="H1:J1"/>
    <mergeCell ref="K1:L1"/>
    <mergeCell ref="P1:R1"/>
    <mergeCell ref="S1:T1"/>
    <mergeCell ref="Y1:AC1"/>
    <mergeCell ref="AG1:AK1"/>
    <mergeCell ref="A2:D2"/>
    <mergeCell ref="E2:F2"/>
    <mergeCell ref="H2:J2"/>
    <mergeCell ref="K2:L2"/>
    <mergeCell ref="N2:O2"/>
    <mergeCell ref="P2:R2"/>
    <mergeCell ref="S2:T2"/>
    <mergeCell ref="V2:W2"/>
    <mergeCell ref="Y2:AC2"/>
    <mergeCell ref="AG2:AK2"/>
    <mergeCell ref="A3:F3"/>
    <mergeCell ref="I3:N3"/>
    <mergeCell ref="Q3:V3"/>
    <mergeCell ref="Y3:AD3"/>
    <mergeCell ref="AG3:AL3"/>
    <mergeCell ref="A4:E4"/>
    <mergeCell ref="I4:M4"/>
    <mergeCell ref="Q4:U4"/>
    <mergeCell ref="Y4:AC4"/>
    <mergeCell ref="AG4:AK4"/>
    <mergeCell ref="A5:B5"/>
    <mergeCell ref="I5:J5"/>
    <mergeCell ref="Q5:R5"/>
    <mergeCell ref="Y5:Z5"/>
    <mergeCell ref="AG5:AH5"/>
    <mergeCell ref="A6:B6"/>
    <mergeCell ref="I6:J6"/>
    <mergeCell ref="Q6:R6"/>
    <mergeCell ref="Y6:Z6"/>
    <mergeCell ref="AG6:AH6"/>
    <mergeCell ref="Z7:AD7"/>
    <mergeCell ref="AN26:AO26"/>
    <mergeCell ref="AN27:AR27"/>
    <mergeCell ref="R32:S32"/>
    <mergeCell ref="AN47:AS47"/>
    <mergeCell ref="A10:A11"/>
    <mergeCell ref="B10:B11"/>
    <mergeCell ref="C8:C9"/>
    <mergeCell ref="C10:C11"/>
    <mergeCell ref="D10:D11"/>
    <mergeCell ref="E10:E11"/>
    <mergeCell ref="F10:F11"/>
    <mergeCell ref="G4:G5"/>
    <mergeCell ref="G10:G11"/>
    <mergeCell ref="H5:H6"/>
    <mergeCell ref="I10:I11"/>
    <mergeCell ref="J10:J11"/>
    <mergeCell ref="K8:K9"/>
    <mergeCell ref="L10:L11"/>
    <mergeCell ref="M10:M11"/>
    <mergeCell ref="N10:N11"/>
    <mergeCell ref="O4:O5"/>
    <mergeCell ref="Q10:Q11"/>
    <mergeCell ref="R10:R11"/>
    <mergeCell ref="S8:S9"/>
    <mergeCell ref="T10:T11"/>
    <mergeCell ref="U10:U11"/>
    <mergeCell ref="V10:V11"/>
    <mergeCell ref="W4:W5"/>
    <mergeCell ref="Y10:Y11"/>
    <mergeCell ref="Z10:Z11"/>
    <mergeCell ref="AA8:AA9"/>
    <mergeCell ref="AB10:AB11"/>
    <mergeCell ref="AC10:AC11"/>
    <mergeCell ref="AD10:AD11"/>
    <mergeCell ref="AE4:AE5"/>
    <mergeCell ref="AG10:AG11"/>
    <mergeCell ref="AH10:AH11"/>
    <mergeCell ref="AI8:AI9"/>
    <mergeCell ref="AJ10:AJ11"/>
    <mergeCell ref="AK10:AK11"/>
    <mergeCell ref="AL10:AL11"/>
    <mergeCell ref="AM4:AM5"/>
    <mergeCell ref="A8:B9"/>
    <mergeCell ref="I8:J9"/>
    <mergeCell ref="Q8:R9"/>
    <mergeCell ref="Y8:Z9"/>
    <mergeCell ref="AG8:AH9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7"/>
  <sheetViews>
    <sheetView topLeftCell="A3" workbookViewId="0">
      <selection activeCell="A2" sqref="A2:J2"/>
    </sheetView>
  </sheetViews>
  <sheetFormatPr defaultColWidth="9" defaultRowHeight="14.25"/>
  <cols>
    <col min="2" max="2" width="10.375" customWidth="1"/>
    <col min="3" max="3" width="9.25"/>
    <col min="5" max="5" width="14.625" customWidth="1"/>
    <col min="6" max="6" width="3" customWidth="1"/>
    <col min="8" max="8" width="14.25" customWidth="1"/>
    <col min="9" max="10" width="9.25"/>
    <col min="11" max="11" width="6.625" customWidth="1"/>
  </cols>
  <sheetData>
    <row r="1" ht="20.25" spans="1:12">
      <c r="A1" s="1" t="s">
        <v>922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0.25" spans="1:12">
      <c r="A2" s="3" t="s">
        <v>923</v>
      </c>
      <c r="B2" s="3"/>
      <c r="C2" s="3"/>
      <c r="D2" s="3"/>
      <c r="E2" s="3"/>
      <c r="F2" s="3"/>
      <c r="G2" s="3"/>
      <c r="H2" s="3"/>
      <c r="I2" s="3"/>
      <c r="J2" s="3"/>
      <c r="K2" s="2"/>
      <c r="L2" s="2"/>
    </row>
    <row r="3" ht="20.25" spans="1:12">
      <c r="A3" s="1" t="s">
        <v>924</v>
      </c>
      <c r="B3" s="1"/>
      <c r="C3" s="1"/>
      <c r="D3" s="1"/>
      <c r="E3" s="1"/>
      <c r="F3" s="1"/>
      <c r="G3" s="1"/>
      <c r="H3" s="1"/>
      <c r="I3" s="1"/>
      <c r="J3" s="2"/>
      <c r="K3" s="2"/>
      <c r="L3" s="2"/>
    </row>
    <row r="4" ht="27" customHeight="1" spans="1:12">
      <c r="A4" s="1" t="s">
        <v>925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</row>
    <row r="5" ht="25" customHeight="1" spans="1:12">
      <c r="A5" s="4" t="s">
        <v>926</v>
      </c>
      <c r="B5" s="4" t="s">
        <v>927</v>
      </c>
      <c r="C5" s="4" t="s">
        <v>928</v>
      </c>
      <c r="D5" s="4" t="s">
        <v>929</v>
      </c>
      <c r="E5" s="4" t="s">
        <v>491</v>
      </c>
      <c r="F5" s="5"/>
      <c r="G5" s="4" t="s">
        <v>926</v>
      </c>
      <c r="H5" s="4" t="s">
        <v>927</v>
      </c>
      <c r="I5" s="4" t="s">
        <v>928</v>
      </c>
      <c r="J5" s="4" t="s">
        <v>929</v>
      </c>
      <c r="K5" s="4" t="s">
        <v>491</v>
      </c>
    </row>
    <row r="6" ht="25" customHeight="1" spans="1:12">
      <c r="A6" s="4" t="s">
        <v>55</v>
      </c>
      <c r="B6" s="6">
        <v>45231</v>
      </c>
      <c r="C6" s="7">
        <v>5218</v>
      </c>
      <c r="D6" s="7"/>
      <c r="E6" s="7" t="s">
        <v>930</v>
      </c>
      <c r="F6" s="5"/>
      <c r="G6" s="4" t="s">
        <v>339</v>
      </c>
      <c r="H6" s="6" t="s">
        <v>931</v>
      </c>
      <c r="I6" s="5">
        <v>44369.5</v>
      </c>
      <c r="J6" s="5">
        <v>67750</v>
      </c>
      <c r="K6" s="7"/>
    </row>
    <row r="7" ht="25" customHeight="1" spans="1:12">
      <c r="A7" s="4"/>
      <c r="B7" s="6">
        <v>45474</v>
      </c>
      <c r="C7" s="7">
        <v>4047</v>
      </c>
      <c r="D7" s="7"/>
      <c r="E7" s="7" t="s">
        <v>930</v>
      </c>
      <c r="F7" s="5"/>
      <c r="G7" s="4"/>
      <c r="H7" s="7" t="s">
        <v>314</v>
      </c>
      <c r="I7" s="5">
        <v>1158</v>
      </c>
      <c r="J7" s="5">
        <v>1281</v>
      </c>
      <c r="K7" s="7"/>
    </row>
    <row r="8" ht="25" customHeight="1" spans="1:12">
      <c r="A8" s="4"/>
      <c r="B8" s="8">
        <v>20252.19</v>
      </c>
      <c r="C8" s="9">
        <v>-714</v>
      </c>
      <c r="D8" s="9"/>
      <c r="E8" s="10" t="s">
        <v>932</v>
      </c>
      <c r="F8" s="5"/>
      <c r="G8" s="4"/>
      <c r="H8" s="7"/>
      <c r="I8" s="5"/>
      <c r="J8" s="5"/>
      <c r="K8" s="7"/>
    </row>
    <row r="9" ht="25" customHeight="1" spans="1:12">
      <c r="A9" s="4"/>
      <c r="B9" s="11" t="s">
        <v>933</v>
      </c>
      <c r="C9" s="12">
        <v>-5218</v>
      </c>
      <c r="D9" s="12"/>
      <c r="E9" s="13" t="s">
        <v>934</v>
      </c>
      <c r="F9" s="5"/>
      <c r="G9" s="4"/>
      <c r="H9" s="7" t="s">
        <v>935</v>
      </c>
      <c r="I9" s="5">
        <v>10662</v>
      </c>
      <c r="J9" s="5">
        <v>12386.5</v>
      </c>
      <c r="K9" s="7"/>
    </row>
    <row r="10" ht="25" customHeight="1" spans="1:12">
      <c r="A10" s="4"/>
      <c r="B10" s="8" t="s">
        <v>936</v>
      </c>
      <c r="C10" s="9">
        <v>-3333</v>
      </c>
      <c r="D10" s="9"/>
      <c r="E10" s="10" t="s">
        <v>937</v>
      </c>
      <c r="F10" s="5"/>
      <c r="G10" s="4"/>
      <c r="H10" s="14">
        <v>45732</v>
      </c>
      <c r="I10" s="5">
        <v>-5000</v>
      </c>
      <c r="J10" s="5">
        <v>-5000</v>
      </c>
      <c r="K10" s="7"/>
    </row>
    <row r="11" ht="25" customHeight="1" spans="1:12">
      <c r="A11" s="4"/>
      <c r="B11" s="15" t="s">
        <v>938</v>
      </c>
      <c r="C11" s="15">
        <f>SUM(C6:C10)</f>
        <v>0</v>
      </c>
      <c r="D11" s="7"/>
      <c r="E11" s="7"/>
      <c r="F11" s="5"/>
      <c r="G11" s="4"/>
      <c r="H11" s="15" t="s">
        <v>938</v>
      </c>
      <c r="I11" s="15">
        <f>SUM(I6:I10)</f>
        <v>51189.5</v>
      </c>
      <c r="J11" s="15">
        <f>SUM(J6:J10)</f>
        <v>76417.5</v>
      </c>
      <c r="K11" s="7"/>
    </row>
    <row r="12" ht="25" customHeight="1" spans="1:12">
      <c r="A12" s="16"/>
      <c r="B12" s="17"/>
      <c r="C12" s="17"/>
      <c r="D12" s="17"/>
      <c r="E12" s="18"/>
      <c r="F12" s="5"/>
      <c r="G12" s="16"/>
      <c r="H12" s="17"/>
      <c r="I12" s="17"/>
      <c r="J12" s="17"/>
      <c r="K12" s="18"/>
    </row>
    <row r="13" ht="25" customHeight="1" spans="1:12">
      <c r="A13" s="4" t="s">
        <v>939</v>
      </c>
      <c r="B13" s="6">
        <v>45597</v>
      </c>
      <c r="C13" s="7">
        <v>3626</v>
      </c>
      <c r="D13" s="7">
        <v>4029</v>
      </c>
      <c r="E13" s="7"/>
      <c r="F13" s="5"/>
      <c r="G13" s="19"/>
      <c r="H13" s="7"/>
      <c r="I13" s="7"/>
      <c r="J13" s="7"/>
      <c r="K13" s="7"/>
    </row>
    <row r="14" ht="25" customHeight="1" spans="1:12">
      <c r="A14" s="4"/>
      <c r="B14" s="6">
        <v>45628</v>
      </c>
      <c r="C14" s="7">
        <v>2382.3</v>
      </c>
      <c r="D14" s="7">
        <v>2647</v>
      </c>
      <c r="E14" s="7"/>
      <c r="F14" s="5"/>
      <c r="G14" s="4" t="s">
        <v>429</v>
      </c>
      <c r="H14" s="20" t="s">
        <v>940</v>
      </c>
      <c r="I14" s="20">
        <v>21855</v>
      </c>
      <c r="J14" s="20">
        <v>25786</v>
      </c>
      <c r="K14" s="5"/>
    </row>
    <row r="15" ht="25" customHeight="1" spans="1:12">
      <c r="A15" s="4"/>
      <c r="B15" s="21" t="s">
        <v>314</v>
      </c>
      <c r="C15" s="21">
        <v>933.3</v>
      </c>
      <c r="D15" s="21">
        <v>1037</v>
      </c>
      <c r="E15" s="7"/>
      <c r="F15" s="5"/>
      <c r="G15" s="4"/>
      <c r="H15" s="20"/>
      <c r="I15" s="20"/>
      <c r="J15" s="20"/>
      <c r="K15" s="5"/>
    </row>
    <row r="16" ht="25" customHeight="1" spans="1:12">
      <c r="A16" s="4"/>
      <c r="B16" s="22">
        <v>45683</v>
      </c>
      <c r="C16" s="21">
        <v>-3626</v>
      </c>
      <c r="D16" s="21">
        <v>-4029</v>
      </c>
      <c r="E16" s="7" t="s">
        <v>941</v>
      </c>
      <c r="F16" s="5"/>
      <c r="G16" s="4"/>
      <c r="H16" s="20"/>
      <c r="I16" s="20"/>
      <c r="J16" s="20"/>
      <c r="K16" s="5"/>
    </row>
    <row r="17" ht="25" customHeight="1" spans="1:11">
      <c r="A17" s="4"/>
      <c r="B17" s="22">
        <v>45711</v>
      </c>
      <c r="C17" s="21">
        <v>-3315.6</v>
      </c>
      <c r="D17" s="21">
        <v>-3684</v>
      </c>
      <c r="E17" s="7"/>
      <c r="F17" s="5"/>
      <c r="G17" s="4"/>
      <c r="H17" s="20"/>
      <c r="I17" s="20"/>
      <c r="J17" s="20"/>
      <c r="K17" s="5"/>
    </row>
    <row r="18" ht="25" customHeight="1" spans="1:11">
      <c r="A18" s="4"/>
      <c r="B18" s="15" t="s">
        <v>938</v>
      </c>
      <c r="C18" s="15">
        <f>SUM(C13:C17)</f>
        <v>0</v>
      </c>
      <c r="D18" s="15">
        <f>SUM(D13:D17)</f>
        <v>0</v>
      </c>
      <c r="E18" s="7"/>
      <c r="F18" s="5"/>
      <c r="G18" s="4"/>
      <c r="H18" s="20"/>
      <c r="I18" s="20"/>
      <c r="J18" s="20"/>
      <c r="K18" s="5"/>
    </row>
    <row r="19" ht="25" customHeight="1" spans="1:11">
      <c r="A19" s="5"/>
      <c r="B19" s="5"/>
      <c r="C19" s="5"/>
      <c r="D19" s="5"/>
      <c r="E19" s="5"/>
      <c r="F19" s="5"/>
      <c r="G19" s="23"/>
      <c r="H19" s="24"/>
      <c r="I19" s="24"/>
      <c r="J19" s="24"/>
      <c r="K19" s="25"/>
    </row>
    <row r="20" ht="25" customHeight="1" spans="1:11">
      <c r="A20" s="4" t="s">
        <v>468</v>
      </c>
      <c r="B20" s="6">
        <v>45566</v>
      </c>
      <c r="C20" s="7">
        <v>4758</v>
      </c>
      <c r="D20" s="7">
        <v>5287</v>
      </c>
      <c r="E20" s="7"/>
      <c r="F20" s="5"/>
      <c r="G20" s="4" t="s">
        <v>942</v>
      </c>
      <c r="H20" s="26">
        <v>45597</v>
      </c>
      <c r="I20" s="7">
        <v>1882</v>
      </c>
      <c r="J20" s="7">
        <v>2091</v>
      </c>
      <c r="K20" s="7"/>
    </row>
    <row r="21" ht="25" customHeight="1" spans="1:11">
      <c r="A21" s="4"/>
      <c r="B21" s="6">
        <v>45598</v>
      </c>
      <c r="C21" s="7">
        <v>4472</v>
      </c>
      <c r="D21" s="7">
        <v>4969</v>
      </c>
      <c r="E21" s="7"/>
      <c r="F21" s="5"/>
      <c r="G21" s="4"/>
      <c r="H21" s="26">
        <v>45627</v>
      </c>
      <c r="I21" s="7">
        <v>5920</v>
      </c>
      <c r="J21" s="7">
        <v>6578</v>
      </c>
      <c r="K21" s="7"/>
    </row>
    <row r="22" ht="25" customHeight="1" spans="1:11">
      <c r="A22" s="4"/>
      <c r="B22" s="6">
        <v>45629</v>
      </c>
      <c r="C22" s="7">
        <v>4612</v>
      </c>
      <c r="D22" s="7">
        <v>5124</v>
      </c>
      <c r="E22" s="7" t="s">
        <v>943</v>
      </c>
      <c r="F22" s="5"/>
      <c r="G22" s="4"/>
      <c r="H22" s="7" t="s">
        <v>314</v>
      </c>
      <c r="I22" s="7">
        <v>8914</v>
      </c>
      <c r="J22" s="7">
        <v>9904</v>
      </c>
      <c r="K22" s="7"/>
    </row>
    <row r="23" ht="25" customHeight="1" spans="1:11">
      <c r="A23" s="27"/>
      <c r="B23" s="28">
        <v>45680</v>
      </c>
      <c r="C23" s="29">
        <v>-13842</v>
      </c>
      <c r="D23" s="29">
        <v>-15380</v>
      </c>
      <c r="E23" s="29" t="s">
        <v>944</v>
      </c>
      <c r="F23" s="5"/>
      <c r="G23" s="27"/>
      <c r="H23" s="30">
        <v>45711</v>
      </c>
      <c r="I23" s="29">
        <v>-1882</v>
      </c>
      <c r="J23" s="29">
        <v>-2091</v>
      </c>
      <c r="K23" s="29"/>
    </row>
    <row r="24" ht="25" customHeight="1" spans="1:11">
      <c r="A24" s="27"/>
      <c r="B24" s="31" t="s">
        <v>938</v>
      </c>
      <c r="C24" s="32">
        <f>SUM(C20:C23)</f>
        <v>0</v>
      </c>
      <c r="D24" s="32">
        <f>SUM(D20:D23)</f>
        <v>0</v>
      </c>
      <c r="E24" s="29"/>
      <c r="F24" s="5"/>
      <c r="G24" s="27"/>
      <c r="H24" s="32" t="s">
        <v>938</v>
      </c>
      <c r="I24" s="32">
        <f>SUM(I20:I23)</f>
        <v>14834</v>
      </c>
      <c r="J24" s="32">
        <f>SUM(J20:J23)</f>
        <v>16482</v>
      </c>
      <c r="K24" s="29"/>
    </row>
    <row r="25" ht="36" customHeight="1" spans="1:11">
      <c r="A25" s="33" t="s">
        <v>945</v>
      </c>
      <c r="B25" s="34"/>
      <c r="C25" s="35">
        <f>C11+C18+C24</f>
        <v>0</v>
      </c>
      <c r="D25" s="35">
        <f>D11+D18+D24</f>
        <v>0</v>
      </c>
      <c r="E25" s="36"/>
      <c r="F25" s="24"/>
      <c r="G25" s="33" t="s">
        <v>945</v>
      </c>
      <c r="H25" s="34"/>
      <c r="I25" s="37">
        <f>I11+I14+I24</f>
        <v>87878.5</v>
      </c>
      <c r="J25" s="35">
        <f>J11+J14+J24</f>
        <v>118685.5</v>
      </c>
      <c r="K25" s="38"/>
    </row>
    <row r="26" ht="24" customHeight="1" spans="1:11">
      <c r="A26" s="39" t="s">
        <v>946</v>
      </c>
      <c r="B26" s="39"/>
      <c r="C26" s="39"/>
      <c r="D26" s="39"/>
      <c r="E26" s="39"/>
      <c r="F26" s="40">
        <f>C25+I25</f>
        <v>87878.5</v>
      </c>
      <c r="G26" s="41"/>
      <c r="H26" s="41"/>
      <c r="I26" s="41"/>
      <c r="J26" s="42" t="s">
        <v>947</v>
      </c>
      <c r="K26" s="42"/>
    </row>
    <row r="27" ht="22" customHeight="1" spans="1:11">
      <c r="A27" s="43" t="s">
        <v>948</v>
      </c>
      <c r="B27" s="43"/>
      <c r="C27" s="43"/>
      <c r="D27" s="43"/>
      <c r="E27" s="43"/>
      <c r="F27" s="44">
        <f>D25+J25</f>
        <v>118685.5</v>
      </c>
      <c r="G27" s="44"/>
      <c r="H27" s="44"/>
      <c r="I27" s="44"/>
      <c r="J27" s="44"/>
      <c r="K27" s="44"/>
    </row>
  </sheetData>
  <mergeCells count="26">
    <mergeCell ref="A1:K1"/>
    <mergeCell ref="A2:J2"/>
    <mergeCell ref="A3:I3"/>
    <mergeCell ref="A4:I4"/>
    <mergeCell ref="A12:E12"/>
    <mergeCell ref="G12:K12"/>
    <mergeCell ref="A19:E19"/>
    <mergeCell ref="G19:K19"/>
    <mergeCell ref="A25:B25"/>
    <mergeCell ref="G25:H25"/>
    <mergeCell ref="A26:E26"/>
    <mergeCell ref="F26:I26"/>
    <mergeCell ref="J26:K26"/>
    <mergeCell ref="A27:E27"/>
    <mergeCell ref="F27:K27"/>
    <mergeCell ref="A6:A11"/>
    <mergeCell ref="A13:A18"/>
    <mergeCell ref="A20:A24"/>
    <mergeCell ref="F5:F25"/>
    <mergeCell ref="G6:G11"/>
    <mergeCell ref="G14:G18"/>
    <mergeCell ref="G20:G24"/>
    <mergeCell ref="H14:H18"/>
    <mergeCell ref="I14:I18"/>
    <mergeCell ref="J14:J18"/>
    <mergeCell ref="K14:K18"/>
  </mergeCells>
  <printOptions horizontalCentered="1"/>
  <pageMargins left="0.196527777777778" right="0.314583333333333" top="1" bottom="1" header="0.5" footer="0.5"/>
  <pageSetup paperSize="9" scale="92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25年出货</vt:lpstr>
      <vt:lpstr>侯雪梅</vt:lpstr>
      <vt:lpstr>席章国</vt:lpstr>
      <vt:lpstr>Sheet1</vt:lpstr>
      <vt:lpstr>25年回款</vt:lpstr>
      <vt:lpstr>24回款</vt:lpstr>
      <vt:lpstr>侯雪梅出货</vt:lpstr>
      <vt:lpstr>色漆编号</vt:lpstr>
      <vt:lpstr>报价</vt:lpstr>
      <vt:lpstr>回款</vt:lpstr>
      <vt:lpstr>24年明细账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2022-07-18T06:24:00Z</cp:lastPrinted>
  <dcterms:modified xsi:type="dcterms:W3CDTF">2026-01-21T07:36:13Z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798E6BCF54254782B8176CB1662BDBD4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