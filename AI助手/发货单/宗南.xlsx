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1" activeTab="2"/>
  </bookViews>
  <sheets>
    <sheet name="出货" sheetId="10" state="hidden" r:id="rId1"/>
    <sheet name="25年" sheetId="12" r:id="rId2"/>
    <sheet name="宗南" sheetId="1" r:id="rId3"/>
    <sheet name="出货记录" sheetId="5" state="hidden" r:id="rId4"/>
    <sheet name="报价" sheetId="11" r:id="rId5"/>
  </sheets>
  <definedNames>
    <definedName name="_xlnm._FilterDatabase" localSheetId="1" hidden="1">'25年'!$A$1:$N$157</definedName>
    <definedName name="_xlnm._FilterDatabase" localSheetId="3" hidden="1">出货记录!$A$1:$P$91</definedName>
    <definedName name="_xlnm.Print_Area" localSheetId="2">宗南!$A$1:$J$20</definedName>
    <definedName name="_xlnm.Print_Area" localSheetId="4">报价!$1:$19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<sst xmlns="http://schemas.openxmlformats.org/spreadsheetml/2006/main" count="1080" uniqueCount="235">
  <si>
    <t>24出货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</si>
  <si>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</si>
  <si>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</si>
  <si>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</si>
  <si>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</si>
  <si>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</si>
  <si>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</si>
  <si>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</si>
  <si>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</si>
  <si>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</si>
  <si>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</si>
  <si>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</si>
  <si>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535F</t>
  </si>
  <si>
    <t>PU哑白面固化剂</t>
  </si>
  <si>
    <t>6821AA</t>
  </si>
  <si>
    <t>PE白底漆</t>
  </si>
  <si>
    <t>AA</t>
  </si>
  <si>
    <t>新款</t>
  </si>
  <si>
    <t>PU净味七分光浅灰色漆</t>
  </si>
  <si>
    <t>F004B</t>
  </si>
  <si>
    <t>PU净味三分光米白色漆</t>
  </si>
  <si>
    <t>PU净味哑光天灰色漆</t>
  </si>
  <si>
    <t>6827B</t>
  </si>
  <si>
    <t>PE封固底漆</t>
  </si>
  <si>
    <t>1208#</t>
  </si>
  <si>
    <t>PU哑光香槟银珠漆</t>
  </si>
  <si>
    <t>此单是LF货：因535F没货</t>
  </si>
  <si>
    <t>货拉拉送</t>
  </si>
  <si>
    <t>PU净味哑光棕灰色漆</t>
  </si>
  <si>
    <t>老板娘自提</t>
  </si>
  <si>
    <t>PU净味七分光卡其色</t>
  </si>
  <si>
    <t>扯纸水</t>
  </si>
  <si>
    <t>从5月份起已调价</t>
  </si>
  <si>
    <t>司机代</t>
  </si>
  <si>
    <t>PU净味哑光深灰色漆</t>
  </si>
  <si>
    <t>(802A:13.6KG+6.4KG:804)</t>
  </si>
  <si>
    <t>6808A</t>
  </si>
  <si>
    <t>PE白底稀释剂</t>
  </si>
  <si>
    <t>9000A</t>
  </si>
  <si>
    <t>PU底漆稀释剂</t>
  </si>
  <si>
    <t>1871G</t>
  </si>
  <si>
    <t>PU实木透明底漆</t>
  </si>
  <si>
    <t>ben:9.9</t>
  </si>
  <si>
    <t>PU封闭底漆</t>
  </si>
  <si>
    <t>底得宝</t>
  </si>
  <si>
    <t>309A</t>
  </si>
  <si>
    <t>PU底漆固化剂</t>
  </si>
  <si>
    <t>303哑光加2KG:1451/桶</t>
  </si>
  <si>
    <t>ben:13.8</t>
  </si>
  <si>
    <t>老板带</t>
  </si>
  <si>
    <t>2025.2.26</t>
  </si>
  <si>
    <t>备货</t>
  </si>
  <si>
    <t>从8/3单价以报价表为准</t>
  </si>
  <si>
    <t>7/3送</t>
  </si>
  <si>
    <t>8/3做ben:10.4</t>
  </si>
  <si>
    <t>0018#</t>
  </si>
  <si>
    <t>PU净味七分光特级白漆</t>
  </si>
  <si>
    <t>样油</t>
  </si>
  <si>
    <t>PU净味七分光银白珍珠漆</t>
  </si>
  <si>
    <t>银珠</t>
  </si>
  <si>
    <t>PU净味七分光浅兰色漆</t>
  </si>
  <si>
    <t>PU亮光深咖啡色漆</t>
  </si>
  <si>
    <t>PU亮光香槟灰色漆</t>
  </si>
  <si>
    <t>PU亮光绅士灰色漆</t>
  </si>
  <si>
    <t>PU亮光米白色漆</t>
  </si>
  <si>
    <t>525GA</t>
  </si>
  <si>
    <t>PU亮光固化剂</t>
  </si>
  <si>
    <t>PU净味七分光浅咖珍珠漆</t>
  </si>
  <si>
    <t>银珠样油</t>
  </si>
  <si>
    <t>26/3做ben:9.51</t>
  </si>
  <si>
    <t>PU亮光象牙黄色漆</t>
  </si>
  <si>
    <t>6827B
PE封固底漆</t>
  </si>
  <si>
    <t>6821AA
PE白底漆</t>
  </si>
  <si>
    <t>三分光象牙白色漆</t>
  </si>
  <si>
    <t>PU泥黄底漆</t>
  </si>
  <si>
    <t>5559B</t>
  </si>
  <si>
    <t>PU七分光米白色漆</t>
  </si>
  <si>
    <t>20/4自提</t>
  </si>
  <si>
    <t>70FA</t>
  </si>
  <si>
    <t>PU净味三分光清面漆</t>
  </si>
  <si>
    <t>含20/4自提：1桶</t>
  </si>
  <si>
    <t>509-1</t>
  </si>
  <si>
    <t>PU亮光浅灰色漆</t>
  </si>
  <si>
    <t>PU亮光银珠漆</t>
  </si>
  <si>
    <t>国圣样须留样油</t>
  </si>
  <si>
    <t>7#（AH046)</t>
  </si>
  <si>
    <t>PU五分光银珠漆</t>
  </si>
  <si>
    <t>2404005-1</t>
  </si>
  <si>
    <t>PU哑光银珠漆</t>
  </si>
  <si>
    <t>PU亮光浅色漆</t>
  </si>
  <si>
    <t>A3-077</t>
  </si>
  <si>
    <t>PU亮光灰色漆</t>
  </si>
  <si>
    <t>AG-091</t>
  </si>
  <si>
    <t>改成中粗银粉国圣样须留样油</t>
  </si>
  <si>
    <t>PU亮光军绿色漆</t>
  </si>
  <si>
    <t>0526</t>
  </si>
  <si>
    <t>PU七分光泥黄色漆</t>
  </si>
  <si>
    <t>未开单</t>
  </si>
  <si>
    <t>亮光浅色专用</t>
  </si>
  <si>
    <r>
      <rPr>
        <sz val="16"/>
        <color rgb="FFFF0000"/>
        <rFont val="宋体"/>
        <charset val="134"/>
      </rPr>
      <t>净味耐黄</t>
    </r>
    <r>
      <rPr>
        <sz val="12"/>
        <color rgb="FFFF0000"/>
        <rFont val="宋体"/>
        <charset val="134"/>
      </rPr>
      <t>本12</t>
    </r>
  </si>
  <si>
    <t>900F-1</t>
  </si>
  <si>
    <t>PU净味面漆稀释剂</t>
  </si>
  <si>
    <t>本7.22</t>
  </si>
  <si>
    <t>GS706</t>
  </si>
  <si>
    <t>PU亮光清面漆</t>
  </si>
  <si>
    <t>定制见生产单</t>
  </si>
  <si>
    <t>自提未签单</t>
  </si>
  <si>
    <t>PU净味七分光浅咖啡珍珠漆</t>
  </si>
  <si>
    <t>原油改色（银珠）</t>
  </si>
  <si>
    <r>
      <rPr>
        <sz val="16"/>
        <color rgb="FF00B0F0"/>
        <rFont val="宋体"/>
        <charset val="134"/>
      </rPr>
      <t>净味耐黄</t>
    </r>
    <r>
      <rPr>
        <sz val="12"/>
        <color rgb="FF00B0F0"/>
        <rFont val="宋体"/>
        <charset val="134"/>
      </rPr>
      <t>本12</t>
    </r>
  </si>
  <si>
    <t>李总送厂里的货</t>
  </si>
  <si>
    <t>蒋总在高速路口提货</t>
  </si>
  <si>
    <t>李总送到门市的</t>
  </si>
  <si>
    <t>25-6*</t>
  </si>
  <si>
    <t>PU亮光中灰色漆</t>
  </si>
  <si>
    <t>过滤网</t>
  </si>
  <si>
    <t xml:space="preserve">6821AA
</t>
  </si>
  <si>
    <t>白水：1壶</t>
  </si>
  <si>
    <t>10月20号左右提白水：2壶</t>
  </si>
  <si>
    <t>用R0709基料调</t>
  </si>
  <si>
    <t>25-11-24*</t>
  </si>
  <si>
    <t>PU哑光象牙白色漆</t>
  </si>
  <si>
    <r>
      <rPr>
        <sz val="16"/>
        <rFont val="宋体"/>
        <charset val="134"/>
      </rPr>
      <t>净味耐黄</t>
    </r>
    <r>
      <rPr>
        <sz val="12"/>
        <rFont val="宋体"/>
        <charset val="134"/>
      </rPr>
      <t>本12</t>
    </r>
  </si>
  <si>
    <t>627兰货</t>
  </si>
  <si>
    <t>26-13</t>
  </si>
  <si>
    <t>26-13*</t>
  </si>
  <si>
    <t>象牙白修边漆</t>
  </si>
  <si>
    <t>高级灰修边漆</t>
  </si>
  <si>
    <t>成都国圣工业有限公司（五星花）送货单</t>
  </si>
  <si>
    <t>购货单位（乙方）：宗南家私     联系人：蒋总      日期：2026年01月20日     订单编号：26-010056A</t>
  </si>
  <si>
    <t>产 品 型 号</t>
  </si>
  <si>
    <t>产 品 名 称</t>
  </si>
  <si>
    <t>备 注</t>
  </si>
  <si>
    <t>合   计</t>
  </si>
  <si>
    <t xml:space="preserve"> 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</si>
  <si>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</si>
  <si>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</si>
  <si>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</si>
  <si>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</si>
  <si>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</si>
  <si>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</si>
  <si>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</si>
  <si>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</si>
  <si>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C-3002</t>
  </si>
  <si>
    <t>PU哑光深灰色漆</t>
  </si>
  <si>
    <t>kg/桶</t>
  </si>
  <si>
    <t xml:space="preserve">kg </t>
  </si>
  <si>
    <t>元</t>
  </si>
  <si>
    <t>元:干板样</t>
  </si>
  <si>
    <t>PU哑光桔黄色漆</t>
  </si>
  <si>
    <t>PU哑光香槟色漆</t>
  </si>
  <si>
    <t>元:样油</t>
  </si>
  <si>
    <t>PU净味亮光固化剂</t>
  </si>
  <si>
    <t>元：GAA货</t>
  </si>
  <si>
    <t>PU高净味亮光米白色漆</t>
  </si>
  <si>
    <t>PU三分光米白色漆</t>
  </si>
  <si>
    <t>PU七分光浅灰色漆</t>
  </si>
  <si>
    <t>元:新款样</t>
  </si>
  <si>
    <t>1871AG</t>
  </si>
  <si>
    <t>PU清底漆</t>
  </si>
  <si>
    <t>PU亮光深灰色漆</t>
  </si>
  <si>
    <t>元:样油(1/7已送）</t>
  </si>
  <si>
    <t>116-29</t>
  </si>
  <si>
    <t>PU哑光暗灰银珠漆</t>
  </si>
  <si>
    <t>元:样油（1/7已送）</t>
  </si>
  <si>
    <t>元（1/7已送）</t>
  </si>
  <si>
    <t>701#</t>
  </si>
  <si>
    <t>哑光蓝色漆</t>
  </si>
  <si>
    <t>7225-50F</t>
  </si>
  <si>
    <t>PU净味五分光清面漆</t>
  </si>
  <si>
    <t>PU慢干水</t>
  </si>
  <si>
    <t>有色底</t>
  </si>
  <si>
    <t>PU卡其色底漆</t>
  </si>
  <si>
    <t>元：28/7退货：见欠条</t>
  </si>
  <si>
    <t>1872A</t>
  </si>
  <si>
    <t>元：定制</t>
  </si>
  <si>
    <t>1870B</t>
  </si>
  <si>
    <t>PU封固底漆</t>
  </si>
  <si>
    <t>23出货</t>
  </si>
  <si>
    <t>备注：23新样</t>
  </si>
  <si>
    <t>PU净味哑光香槟色漆</t>
  </si>
  <si>
    <t>元：样品罐上为哑光棕灰（下次样品罐上的名须改</t>
  </si>
  <si>
    <t>PU净味哑光浅香槟色漆</t>
  </si>
  <si>
    <t>元：样品罐上为哑光浅棕灰（下次样品罐上的名须改</t>
  </si>
  <si>
    <t>PU净味哑光浅蓝色漆</t>
  </si>
  <si>
    <t>PU净味七分光米白色漆</t>
  </si>
  <si>
    <t>元:6827B</t>
  </si>
  <si>
    <t>退色漆</t>
  </si>
  <si>
    <t>备注：2023新样</t>
  </si>
  <si>
    <t>1101#</t>
  </si>
  <si>
    <t>PU哑光棕色银珠漆</t>
  </si>
  <si>
    <t>元样油：下批起下调2元/KG</t>
  </si>
  <si>
    <t>PU哑光金色银珠漆</t>
  </si>
  <si>
    <t>元调遮盖力</t>
  </si>
  <si>
    <t>77号</t>
  </si>
  <si>
    <t>PU白底漆</t>
  </si>
  <si>
    <t>PU哑光香槟珠光漆</t>
  </si>
  <si>
    <t>元4/3日已将金色银珠漆改成珠光了</t>
  </si>
  <si>
    <t>元李总送：未签单</t>
  </si>
  <si>
    <t>元9/3李总送</t>
  </si>
  <si>
    <t>元:6827B（22/3搞忘配蓝水了:5瓶）</t>
  </si>
  <si>
    <t>净味哑光蓝色漆</t>
  </si>
  <si>
    <t>普三胺修边漆</t>
  </si>
  <si>
    <t>元:10KG=7KG:802+3KG:804=10KG-1KG=9KG</t>
  </si>
  <si>
    <t>从21/4日起实色漆和固化剂均为20元/KG,银珠漆为：24/kg</t>
  </si>
  <si>
    <t>6827AA</t>
  </si>
  <si>
    <t>PE特清底漆</t>
  </si>
  <si>
    <t>元:6827A（配无色古)</t>
  </si>
  <si>
    <t>不开单</t>
  </si>
  <si>
    <t>补22/3的封固蓝水5瓶，另配白底蓝水10瓶</t>
  </si>
  <si>
    <t>元：(802):12.3+5.7(804)=18KG</t>
  </si>
  <si>
    <t>PU净味实木透明底漆</t>
  </si>
  <si>
    <t>309G</t>
  </si>
  <si>
    <t>PU净味底漆固化剂</t>
  </si>
  <si>
    <t>2025年3月报价</t>
  </si>
  <si>
    <t>型号</t>
  </si>
  <si>
    <t>名称</t>
  </si>
  <si>
    <t>规格</t>
  </si>
  <si>
    <t>单价</t>
  </si>
  <si>
    <t>1000kg/桶</t>
  </si>
  <si>
    <t>PU净味水晶底漆</t>
  </si>
  <si>
    <t>3712G</t>
  </si>
  <si>
    <t>PU净味白底漆</t>
  </si>
  <si>
    <t>PU高光清面漆</t>
  </si>
  <si>
    <t>PU实色漆</t>
  </si>
  <si>
    <t>PU净味固化剂</t>
  </si>
  <si>
    <t>565GA</t>
  </si>
  <si>
    <t>PU银珠漆</t>
  </si>
  <si>
    <t>PU银珠砂面漆</t>
  </si>
  <si>
    <t>PE白底漆稀释剂</t>
  </si>
  <si>
    <t>6808AA</t>
  </si>
  <si>
    <t>PE清底稀释剂</t>
  </si>
  <si>
    <t>2024年5月报价</t>
  </si>
  <si>
    <t>PU净味实色漆</t>
  </si>
  <si>
    <t>9000F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</si>
</sst>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General&quot;kg/桶&quot;"/>
    <numFmt numFmtId="178" formatCode="0.0_);[Red]\(0.0\)"/>
    <numFmt numFmtId="179" formatCode="General&quot;号&quot;"/>
    <numFmt numFmtId="180" formatCode="General&quot;元&quot;"/>
    <numFmt numFmtId="181" formatCode="0.00_ "/>
    <numFmt numFmtId="182" formatCode="000000"/>
    <numFmt numFmtId="183" formatCode="[DBNum2][$RMB]General;[Red][DBNum2][$RMB]General"/>
    <numFmt numFmtId="184" formatCode="0_ "/>
  </numFmts>
  <fonts count="56">
    <font>
      <sz val="12"/>
      <name val="宋体"/>
      <charset val="134"/>
    </font>
    <font>
      <sz val="14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4"/>
      <color rgb="FFFF0000"/>
      <name val="宋体"/>
      <charset val="134"/>
    </font>
    <font>
      <sz val="12"/>
      <color rgb="FFFF0000"/>
      <name val="宋体"/>
      <charset val="134"/>
    </font>
    <font>
      <sz val="12"/>
      <color rgb="FF00B0F0"/>
      <name val="宋体"/>
      <charset val="134"/>
    </font>
    <font>
      <b/>
      <sz val="12"/>
      <color rgb="FFFF0000"/>
      <name val="宋体"/>
      <charset val="134"/>
    </font>
    <font>
      <b/>
      <sz val="12"/>
      <color rgb="FF00B0F0"/>
      <name val="宋体"/>
      <charset val="134"/>
    </font>
    <font>
      <sz val="8"/>
      <color rgb="FF00B0F0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11"/>
      <color rgb="FF00B0F0"/>
      <name val="宋体"/>
      <charset val="134"/>
    </font>
    <font>
      <b/>
      <sz val="8"/>
      <color rgb="FFFF0000"/>
      <name val="宋体"/>
      <charset val="134"/>
    </font>
    <font>
      <b/>
      <sz val="16"/>
      <color rgb="FFFF0000"/>
      <name val="宋体"/>
      <charset val="134"/>
    </font>
    <font>
      <sz val="9"/>
      <color rgb="FFFF0000"/>
      <name val="宋体"/>
      <charset val="134"/>
    </font>
    <font>
      <sz val="10"/>
      <color rgb="FF00B0F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8"/>
      <color rgb="FFFF0000"/>
      <name val="宋体"/>
      <charset val="134"/>
    </font>
    <font>
      <sz val="16"/>
      <name val="宋体"/>
      <charset val="134"/>
    </font>
    <font>
      <sz val="16"/>
      <color rgb="FF00B0F0"/>
      <name val="宋体"/>
      <charset val="134"/>
    </font>
    <font>
      <sz val="24"/>
      <name val="宋体"/>
      <charset val="134"/>
    </font>
    <font>
      <sz val="16"/>
      <color rgb="FFFF0000"/>
      <name val="宋体"/>
      <charset val="134"/>
    </font>
    <font>
      <sz val="11"/>
      <color indexed="16"/>
      <name val="宋体"/>
      <charset val="134"/>
    </font>
    <font>
      <sz val="11"/>
      <color indexed="10"/>
      <name val="宋体"/>
      <charset val="134"/>
    </font>
    <font>
      <sz val="16"/>
      <color rgb="FF7030A0"/>
      <name val="宋体"/>
      <charset val="134"/>
    </font>
    <font>
      <sz val="14"/>
      <color rgb="FF00B0F0"/>
      <name val="宋体"/>
      <charset val="134"/>
    </font>
    <font>
      <b/>
      <sz val="16"/>
      <name val="宋体"/>
      <charset val="134"/>
    </font>
    <font>
      <sz val="8"/>
      <name val="宋体"/>
      <charset val="134"/>
    </font>
    <font>
      <b/>
      <sz val="16"/>
      <color rgb="FF00B0F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105">
    <xf numFmtId="0" fontId="0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4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2" borderId="10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3" borderId="13" applyNumberFormat="0" applyAlignment="0" applyProtection="0">
      <alignment vertical="center"/>
    </xf>
    <xf numFmtId="0" fontId="45" fillId="4" borderId="14" applyNumberFormat="0" applyAlignment="0" applyProtection="0">
      <alignment vertical="center"/>
    </xf>
    <xf numFmtId="0" fontId="46" fillId="4" borderId="13" applyNumberFormat="0" applyAlignment="0" applyProtection="0">
      <alignment vertical="center"/>
    </xf>
    <xf numFmtId="0" fontId="47" fillId="5" borderId="15" applyNumberFormat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5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35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35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35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35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5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55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35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7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  <xf numFmtId="178" fontId="0" fillId="0" borderId="0" xfId="0" applyNumberFormat="1">
      <alignment vertical="center"/>
    </xf>
    <xf numFmtId="58" fontId="5" fillId="0" borderId="0" xfId="0" applyNumberFormat="1" applyFont="1">
      <alignment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80" fontId="7" fillId="0" borderId="0" xfId="1165" applyNumberFormat="1" applyFont="1">
      <alignment vertical="center"/>
    </xf>
    <xf numFmtId="58" fontId="6" fillId="0" borderId="0" xfId="0" applyNumberFormat="1" applyFont="1">
      <alignment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80" fontId="8" fillId="0" borderId="0" xfId="1165" applyNumberFormat="1" applyFo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277" applyFont="1">
      <alignment vertical="center"/>
    </xf>
    <xf numFmtId="58" fontId="0" fillId="0" borderId="0" xfId="0" applyNumberFormat="1" applyFont="1">
      <alignment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8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180" fontId="10" fillId="0" borderId="0" xfId="1165" applyNumberFormat="1" applyFont="1">
      <alignment vertical="center"/>
    </xf>
    <xf numFmtId="58" fontId="11" fillId="0" borderId="0" xfId="0" applyNumberFormat="1" applyFont="1">
      <alignment vertical="center"/>
    </xf>
    <xf numFmtId="17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178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180" fontId="12" fillId="0" borderId="0" xfId="1165" applyNumberFormat="1" applyFont="1">
      <alignment vertical="center"/>
    </xf>
    <xf numFmtId="58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58" fontId="6" fillId="0" borderId="0" xfId="0" applyNumberFormat="1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58" fontId="17" fillId="0" borderId="0" xfId="0" applyNumberFormat="1" applyFont="1" applyAlignment="1">
      <alignment horizontal="center"/>
    </xf>
    <xf numFmtId="0" fontId="1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178" fontId="6" fillId="0" borderId="0" xfId="0" applyNumberFormat="1" applyFont="1">
      <alignment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0" fillId="0" borderId="0" xfId="0" applyFont="1" applyAlignment="1">
      <alignment horizontal="right" vertical="center"/>
    </xf>
    <xf numFmtId="58" fontId="24" fillId="0" borderId="0" xfId="0" applyNumberFormat="1" applyFont="1" applyBorder="1" applyAlignment="1">
      <alignment horizontal="center" vertical="center"/>
    </xf>
    <xf numFmtId="179" fontId="24" fillId="0" borderId="0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>
      <alignment vertical="center"/>
    </xf>
    <xf numFmtId="58" fontId="25" fillId="0" borderId="0" xfId="0" applyNumberFormat="1" applyFont="1" applyBorder="1" applyAlignment="1">
      <alignment horizontal="center" vertical="center"/>
    </xf>
    <xf numFmtId="179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horizontal="center" vertical="center"/>
    </xf>
    <xf numFmtId="0" fontId="25" fillId="0" borderId="0" xfId="0" applyFont="1" applyBorder="1">
      <alignment vertical="center"/>
    </xf>
    <xf numFmtId="0" fontId="24" fillId="0" borderId="0" xfId="0" applyFont="1" applyFill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6" fillId="0" borderId="0" xfId="0" applyNumberFormat="1" applyFont="1" applyFill="1" applyAlignment="1">
      <alignment horizontal="center" vertical="center"/>
    </xf>
    <xf numFmtId="0" fontId="24" fillId="0" borderId="1" xfId="0" applyNumberFormat="1" applyFont="1" applyFill="1" applyBorder="1" applyAlignment="1">
      <alignment horizontal="left" vertical="center"/>
    </xf>
    <xf numFmtId="0" fontId="24" fillId="0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181" fontId="24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181" fontId="25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Fill="1" applyBorder="1" applyAlignment="1">
      <alignment vertical="center"/>
    </xf>
    <xf numFmtId="181" fontId="27" fillId="0" borderId="1" xfId="0" applyNumberFormat="1" applyFont="1" applyBorder="1" applyAlignment="1">
      <alignment horizontal="center" vertical="center"/>
    </xf>
    <xf numFmtId="58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182" fontId="24" fillId="0" borderId="1" xfId="0" applyNumberFormat="1" applyFont="1" applyFill="1" applyBorder="1" applyAlignment="1">
      <alignment vertical="center"/>
    </xf>
    <xf numFmtId="183" fontId="24" fillId="0" borderId="1" xfId="0" applyNumberFormat="1" applyFont="1" applyFill="1" applyBorder="1" applyAlignment="1">
      <alignment horizontal="left" vertical="center"/>
    </xf>
    <xf numFmtId="7" fontId="24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 vertical="center" textRotation="255"/>
    </xf>
    <xf numFmtId="0" fontId="1" fillId="0" borderId="3" xfId="0" applyNumberFormat="1" applyFont="1" applyFill="1" applyBorder="1" applyAlignment="1">
      <alignment horizontal="left" vertical="center" wrapText="1" readingOrder="1"/>
    </xf>
    <xf numFmtId="0" fontId="1" fillId="0" borderId="4" xfId="0" applyNumberFormat="1" applyFont="1" applyFill="1" applyBorder="1" applyAlignment="1">
      <alignment horizontal="left" vertical="center" wrapText="1" readingOrder="1"/>
    </xf>
    <xf numFmtId="0" fontId="1" fillId="0" borderId="5" xfId="0" applyNumberFormat="1" applyFont="1" applyFill="1" applyBorder="1" applyAlignment="1">
      <alignment horizontal="left" vertical="center" textRotation="255"/>
    </xf>
    <xf numFmtId="0" fontId="1" fillId="0" borderId="0" xfId="0" applyFont="1" applyFill="1" applyBorder="1" applyAlignment="1">
      <alignment horizontal="left" vertical="center" wrapText="1" readingOrder="1"/>
    </xf>
    <xf numFmtId="0" fontId="1" fillId="0" borderId="6" xfId="0" applyNumberFormat="1" applyFont="1" applyFill="1" applyBorder="1" applyAlignment="1">
      <alignment horizontal="left" vertical="center" wrapText="1" readingOrder="1"/>
    </xf>
    <xf numFmtId="0" fontId="1" fillId="0" borderId="0" xfId="0" applyNumberFormat="1" applyFont="1" applyFill="1" applyAlignment="1">
      <alignment horizontal="left" vertical="center" wrapText="1" readingOrder="1"/>
    </xf>
    <xf numFmtId="0" fontId="1" fillId="0" borderId="7" xfId="0" applyNumberFormat="1" applyFont="1" applyFill="1" applyBorder="1" applyAlignment="1">
      <alignment horizontal="left" vertical="center" textRotation="255"/>
    </xf>
    <xf numFmtId="0" fontId="1" fillId="0" borderId="8" xfId="0" applyNumberFormat="1" applyFont="1" applyFill="1" applyBorder="1" applyAlignment="1">
      <alignment horizontal="left" vertical="center" wrapText="1" readingOrder="1"/>
    </xf>
    <xf numFmtId="0" fontId="1" fillId="0" borderId="9" xfId="0" applyNumberFormat="1" applyFont="1" applyFill="1" applyBorder="1" applyAlignment="1">
      <alignment horizontal="left" vertical="center" wrapText="1" readingOrder="1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58" fontId="13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9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84" fontId="13" fillId="0" borderId="0" xfId="0" applyNumberFormat="1" applyFont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27" fillId="0" borderId="0" xfId="0" applyFont="1" applyBorder="1">
      <alignment vertical="center"/>
    </xf>
    <xf numFmtId="0" fontId="30" fillId="0" borderId="0" xfId="0" applyFont="1" applyBorder="1">
      <alignment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24" fillId="0" borderId="0" xfId="0" applyNumberFormat="1" applyFont="1" applyBorder="1" applyAlignment="1">
      <alignment horizontal="center" vertical="center"/>
    </xf>
    <xf numFmtId="181" fontId="25" fillId="0" borderId="0" xfId="0" applyNumberFormat="1" applyFont="1" applyBorder="1" applyAlignment="1">
      <alignment horizontal="center" vertical="center"/>
    </xf>
    <xf numFmtId="181" fontId="27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wrapText="1"/>
    </xf>
    <xf numFmtId="0" fontId="31" fillId="0" borderId="0" xfId="0" applyFont="1" applyBorder="1">
      <alignment vertical="center"/>
    </xf>
    <xf numFmtId="0" fontId="31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58" fontId="27" fillId="0" borderId="0" xfId="0" applyNumberFormat="1" applyFont="1" applyBorder="1" applyAlignment="1">
      <alignment horizontal="center" vertical="center"/>
    </xf>
    <xf numFmtId="179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vertical="center"/>
    </xf>
    <xf numFmtId="0" fontId="5" fillId="0" borderId="0" xfId="0" applyFont="1" applyBorder="1">
      <alignment vertical="center"/>
    </xf>
    <xf numFmtId="58" fontId="30" fillId="0" borderId="0" xfId="0" applyNumberFormat="1" applyFont="1" applyBorder="1" applyAlignment="1">
      <alignment horizontal="center" vertical="center"/>
    </xf>
    <xf numFmtId="179" fontId="30" fillId="0" borderId="0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vertical="center"/>
    </xf>
    <xf numFmtId="181" fontId="30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0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25" fillId="0" borderId="0" xfId="0" applyFont="1" applyFill="1" applyBorder="1" applyAlignment="1">
      <alignment vertical="center"/>
    </xf>
    <xf numFmtId="14" fontId="25" fillId="0" borderId="0" xfId="0" applyNumberFormat="1" applyFont="1" applyBorder="1" applyAlignment="1">
      <alignment horizontal="center" vertical="center"/>
    </xf>
    <xf numFmtId="0" fontId="24" fillId="0" borderId="0" xfId="0" applyFont="1" applyFill="1" applyBorder="1" applyAlignment="1">
      <alignment vertical="center"/>
    </xf>
    <xf numFmtId="0" fontId="27" fillId="0" borderId="0" xfId="0" applyFont="1" applyBorder="1" applyAlignment="1">
      <alignment horizontal="center" vertical="center" wrapText="1"/>
    </xf>
    <xf numFmtId="0" fontId="27" fillId="0" borderId="0" xfId="0" applyFont="1" applyFill="1" applyBorder="1" applyAlignment="1">
      <alignment vertical="center"/>
    </xf>
    <xf numFmtId="0" fontId="22" fillId="0" borderId="0" xfId="0" applyFont="1" applyBorder="1">
      <alignment vertical="center"/>
    </xf>
    <xf numFmtId="0" fontId="32" fillId="0" borderId="0" xfId="0" applyFont="1" applyBorder="1">
      <alignment vertical="center"/>
    </xf>
    <xf numFmtId="0" fontId="0" fillId="0" borderId="0" xfId="0" applyBorder="1">
      <alignment vertical="center"/>
    </xf>
    <xf numFmtId="0" fontId="24" fillId="0" borderId="0" xfId="0" applyFont="1">
      <alignment vertical="center"/>
    </xf>
    <xf numFmtId="58" fontId="33" fillId="0" borderId="0" xfId="0" applyNumberFormat="1" applyFont="1" applyAlignment="1">
      <alignment horizontal="left"/>
    </xf>
    <xf numFmtId="0" fontId="24" fillId="0" borderId="0" xfId="0" applyFont="1" applyBorder="1" applyAlignment="1">
      <alignment horizontal="left"/>
    </xf>
    <xf numFmtId="0" fontId="24" fillId="0" borderId="0" xfId="0" applyFont="1" applyBorder="1" applyAlignment="1">
      <alignment horizontal="center"/>
    </xf>
    <xf numFmtId="0" fontId="24" fillId="0" borderId="0" xfId="0" applyFont="1" applyAlignment="1"/>
    <xf numFmtId="0" fontId="22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0" xfId="0" applyFont="1">
      <alignment vertical="center"/>
    </xf>
    <xf numFmtId="0" fontId="30" fillId="0" borderId="0" xfId="0" applyFont="1" applyBorder="1" applyAlignment="1">
      <alignment horizontal="left" vertical="center"/>
    </xf>
    <xf numFmtId="58" fontId="32" fillId="0" borderId="0" xfId="0" applyNumberFormat="1" applyFont="1" applyBorder="1" applyAlignment="1">
      <alignment horizontal="center" vertical="center"/>
    </xf>
    <xf numFmtId="179" fontId="32" fillId="0" borderId="0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2" fillId="0" borderId="0" xfId="0" applyFont="1" applyFill="1" applyBorder="1" applyAlignment="1">
      <alignment vertical="center"/>
    </xf>
    <xf numFmtId="58" fontId="34" fillId="0" borderId="0" xfId="0" applyNumberFormat="1" applyFont="1" applyBorder="1" applyAlignment="1">
      <alignment horizontal="center" vertical="center"/>
    </xf>
    <xf numFmtId="179" fontId="34" fillId="0" borderId="0" xfId="0" applyNumberFormat="1" applyFont="1" applyBorder="1" applyAlignment="1">
      <alignment horizontal="center" vertical="center"/>
    </xf>
    <xf numFmtId="0" fontId="25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Border="1">
      <alignment vertical="center"/>
    </xf>
    <xf numFmtId="0" fontId="27" fillId="0" borderId="0" xfId="0" applyFont="1" applyFill="1" applyBorder="1" applyAlignment="1">
      <alignment horizontal="left" vertical="center"/>
    </xf>
    <xf numFmtId="0" fontId="27" fillId="0" borderId="0" xfId="0" applyFont="1">
      <alignment vertical="center"/>
    </xf>
    <xf numFmtId="0" fontId="21" fillId="0" borderId="0" xfId="0" applyFont="1">
      <alignment vertical="center"/>
    </xf>
    <xf numFmtId="0" fontId="21" fillId="0" borderId="0" xfId="0" applyFont="1" applyBorder="1">
      <alignment vertical="center"/>
    </xf>
    <xf numFmtId="0" fontId="25" fillId="0" borderId="0" xfId="0" applyFont="1" applyBorder="1" applyAlignment="1" quotePrefix="1">
      <alignment horizontal="center" vertical="center"/>
    </xf>
    <xf numFmtId="0" fontId="24" fillId="0" borderId="0" xfId="0" applyFont="1" applyBorder="1" applyAlignment="1" quotePrefix="1">
      <alignment horizontal="center" vertical="center"/>
    </xf>
  </cellXfs>
  <cellStyles count="210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4 4 3 2" xfId="49"/>
    <cellStyle name="常规 3 9 4" xfId="50"/>
    <cellStyle name="货币 3 12 2" xfId="51"/>
    <cellStyle name="常规 2 2 3 9" xfId="52"/>
    <cellStyle name="货币 3 4 5 2 2" xfId="53"/>
    <cellStyle name="常规 3 4 4 5" xfId="54"/>
    <cellStyle name="常规 2 2 3 7 2" xfId="55"/>
    <cellStyle name="常规 3 9 2 2" xfId="56"/>
    <cellStyle name="常规 2 2 4" xfId="57"/>
    <cellStyle name="常规 5 9 2" xfId="58"/>
    <cellStyle name="常规 4 3 7 2" xfId="59"/>
    <cellStyle name="常规 39" xfId="60"/>
    <cellStyle name="货币 2 3 2 3 4 2" xfId="61"/>
    <cellStyle name="常规 3 3 2 6 2" xfId="62"/>
    <cellStyle name="常规 2 2 7 5" xfId="63"/>
    <cellStyle name="常规 7 5 2 2" xfId="64"/>
    <cellStyle name="常规 3 14" xfId="65"/>
    <cellStyle name="货币 2 3 7 2 2" xfId="66"/>
    <cellStyle name="常规 2 3 6 3 2" xfId="67"/>
    <cellStyle name="常规 3 4 3" xfId="68"/>
    <cellStyle name="常规 31 2" xfId="69"/>
    <cellStyle name="常规 26 2" xfId="70"/>
    <cellStyle name="常规 7 3" xfId="71"/>
    <cellStyle name="常规 3 2 3 4 4 2" xfId="72"/>
    <cellStyle name="常规 2 2 3 10 2" xfId="73"/>
    <cellStyle name="常规 4 13" xfId="74"/>
    <cellStyle name="常规 3 3 2 4" xfId="75"/>
    <cellStyle name="常规 2 7 3" xfId="76"/>
    <cellStyle name="适中 2 4 2" xfId="77"/>
    <cellStyle name="货币 3 2 2 2 3 2" xfId="78"/>
    <cellStyle name="常规 14 3 2" xfId="79"/>
    <cellStyle name="常规 5 3 2 4" xfId="80"/>
    <cellStyle name="常规 6" xfId="81"/>
    <cellStyle name="常规 3 3 8" xfId="82"/>
    <cellStyle name="常规 2 3 5 2 2" xfId="83"/>
    <cellStyle name="常规 4 12" xfId="84"/>
    <cellStyle name="常规 12 2 2" xfId="85"/>
    <cellStyle name="常规 4 2 2 3" xfId="86"/>
    <cellStyle name="常规 4 4 3" xfId="87"/>
    <cellStyle name="常规 6 5" xfId="88"/>
    <cellStyle name="常规 7 11 2" xfId="89"/>
    <cellStyle name="常规 3 3 7 2" xfId="90"/>
    <cellStyle name="常规 2 3 11" xfId="91"/>
    <cellStyle name="常规 2 2 9 2" xfId="92"/>
    <cellStyle name="常规 6 2 10 2" xfId="93"/>
    <cellStyle name="货币 2 4 2 3 2 2" xfId="94"/>
    <cellStyle name="常规 3 3 2 4 4" xfId="95"/>
    <cellStyle name="常规 3 4 6 3" xfId="96"/>
    <cellStyle name="常规 3 3 2 4 5" xfId="97"/>
    <cellStyle name="常规 3 4 6 4" xfId="98"/>
    <cellStyle name="常规 4 11" xfId="99"/>
    <cellStyle name="常规 2 2 4 5 3 2" xfId="100"/>
    <cellStyle name="常规 2 2 4 7 3" xfId="101"/>
    <cellStyle name="货币 2 3 2 9 2" xfId="102"/>
    <cellStyle name="常规 2 2 3 9 2" xfId="103"/>
    <cellStyle name="常规 4 14" xfId="104"/>
    <cellStyle name="常规 3 2 2 2 4" xfId="105"/>
    <cellStyle name="常规 2 4 4 3" xfId="106"/>
    <cellStyle name="常规 4 3 4 3 2" xfId="107"/>
    <cellStyle name="常规 5 6 3 2" xfId="108"/>
    <cellStyle name="货币 2 3 2 10" xfId="109"/>
    <cellStyle name="常规 31" xfId="110"/>
    <cellStyle name="常规 26" xfId="111"/>
    <cellStyle name="常规 2 3 3 5 3" xfId="112"/>
    <cellStyle name="货币 2 3 5 3" xfId="113"/>
    <cellStyle name="常规 31 3 2" xfId="114"/>
    <cellStyle name="常规 26 3 2" xfId="115"/>
    <cellStyle name="常规 2 3 4 4" xfId="116"/>
    <cellStyle name="常规 2 2 2 5" xfId="117"/>
    <cellStyle name="货币 2 2 2 10" xfId="118"/>
    <cellStyle name="常规 2 2 4 9 2" xfId="119"/>
    <cellStyle name="常规 3 2 3 6 2 2" xfId="120"/>
    <cellStyle name="货币 2 3 3 5 2 2" xfId="121"/>
    <cellStyle name="常规 2 3 2 6 2 2" xfId="122"/>
    <cellStyle name="货币 2 3 3 6 3" xfId="123"/>
    <cellStyle name="常规 2 2 2 4" xfId="124"/>
    <cellStyle name="货币 2 4 2 6 2 2" xfId="125"/>
    <cellStyle name="货币 2 4 2 2 2 2" xfId="126"/>
    <cellStyle name="常规 2 3 2 2 5" xfId="127"/>
    <cellStyle name="常规 3 2 2 2 4 2" xfId="128"/>
    <cellStyle name="常规 2 4 4 3 2" xfId="129"/>
    <cellStyle name="货币 2 4 2 7 2" xfId="130"/>
    <cellStyle name="常规 2 2 2 6" xfId="131"/>
    <cellStyle name="常规 3 8 2" xfId="132"/>
    <cellStyle name="常规 2 2 2 7" xfId="133"/>
    <cellStyle name="常规 7 8 4 2" xfId="134"/>
    <cellStyle name="常规 7 4 4 2" xfId="135"/>
    <cellStyle name="货币 3 3 2 7 2" xfId="136"/>
    <cellStyle name="常规 31 3" xfId="137"/>
    <cellStyle name="常规 26 3" xfId="138"/>
    <cellStyle name="常规 3 8 3" xfId="139"/>
    <cellStyle name="常规 2 2 2 8" xfId="140"/>
    <cellStyle name="常规 31 4" xfId="141"/>
    <cellStyle name="常规 26 4" xfId="142"/>
    <cellStyle name="常规 2 5 3 2" xfId="143"/>
    <cellStyle name="常规 2 2 8 2" xfId="144"/>
    <cellStyle name="常规 3 8 4" xfId="145"/>
    <cellStyle name="常规 3 4 4 2 2" xfId="146"/>
    <cellStyle name="常规 2 2 2 9" xfId="147"/>
    <cellStyle name="货币 3 11 2" xfId="148"/>
    <cellStyle name="常规 3 3 2 2 3 2" xfId="149"/>
    <cellStyle name="货币 3 4 4 4" xfId="150"/>
    <cellStyle name="常规 3 4 3 5" xfId="151"/>
    <cellStyle name="货币 2 2 3 8" xfId="152"/>
    <cellStyle name="常规 2 2 3 6 2" xfId="153"/>
    <cellStyle name="常规 3 2 6 2" xfId="154"/>
    <cellStyle name="常规 31 5" xfId="155"/>
    <cellStyle name="常规 2 4 5 2 2" xfId="156"/>
    <cellStyle name="常规 3 2 2 3 3 2" xfId="157"/>
    <cellStyle name="常规 2 2 8 3" xfId="158"/>
    <cellStyle name="常规 5 2 9" xfId="159"/>
    <cellStyle name="常规 10 3" xfId="160"/>
    <cellStyle name="常规 6 2 4 4" xfId="161"/>
    <cellStyle name="货币 2 4 5 3 2" xfId="162"/>
    <cellStyle name="常规 2 4 4 4 2" xfId="163"/>
    <cellStyle name="常规 10 5 2" xfId="164"/>
    <cellStyle name="货币 2 3 2 3 2" xfId="165"/>
    <cellStyle name="常规 10 4 2" xfId="166"/>
    <cellStyle name="货币 2 3 2 2 2" xfId="167"/>
    <cellStyle name="常规 3 11" xfId="168"/>
    <cellStyle name="常规 2 2 4 2 3" xfId="169"/>
    <cellStyle name="常规 10 6 2" xfId="170"/>
    <cellStyle name="货币 2 3 2 4 2" xfId="171"/>
    <cellStyle name="常规 10 5" xfId="172"/>
    <cellStyle name="货币 2 3 2 3" xfId="173"/>
    <cellStyle name="常规 3 4 2 3" xfId="174"/>
    <cellStyle name="常规 2 2 2 8 4 2" xfId="175"/>
    <cellStyle name="货币 2 2 2 6" xfId="176"/>
    <cellStyle name="常规 10 3 2 2" xfId="177"/>
    <cellStyle name="常规 10" xfId="178"/>
    <cellStyle name="常规 21 2" xfId="179"/>
    <cellStyle name="常规 16 2" xfId="180"/>
    <cellStyle name="货币 2 2 2 3 2 2" xfId="181"/>
    <cellStyle name="货币 2 4 2 2 3" xfId="182"/>
    <cellStyle name="常规 21 2 2" xfId="183"/>
    <cellStyle name="常规 16 2 2" xfId="184"/>
    <cellStyle name="货币 2 4 2 2 3 2" xfId="185"/>
    <cellStyle name="常规 5 2 8" xfId="186"/>
    <cellStyle name="常规 10 2" xfId="187"/>
    <cellStyle name="常规 6 2 4 3" xfId="188"/>
    <cellStyle name="常规 2 3 2 3 5" xfId="189"/>
    <cellStyle name="常规 5 2 8 2" xfId="190"/>
    <cellStyle name="常规 10 2 2" xfId="191"/>
    <cellStyle name="常规 6 2 4 3 2" xfId="192"/>
    <cellStyle name="常规 2 7" xfId="193"/>
    <cellStyle name="常规 3 3 2 3" xfId="194"/>
    <cellStyle name="常规 10 2 2 2" xfId="195"/>
    <cellStyle name="常规 2 7 2" xfId="196"/>
    <cellStyle name="常规 10 2 3" xfId="197"/>
    <cellStyle name="常规 5 2 9 2" xfId="198"/>
    <cellStyle name="常规 10 3 2" xfId="199"/>
    <cellStyle name="常规 6 2 4 4 2" xfId="200"/>
    <cellStyle name="常规 2 2 2 8 4" xfId="201"/>
    <cellStyle name="常规 10 3 3" xfId="202"/>
    <cellStyle name="常规 2 2 2 8 5" xfId="203"/>
    <cellStyle name="常规 10 4" xfId="204"/>
    <cellStyle name="常规 2 2 2 14 2" xfId="205"/>
    <cellStyle name="常规 6 2 4 5" xfId="206"/>
    <cellStyle name="货币 2 3 2 2" xfId="207"/>
    <cellStyle name="常规 10 6" xfId="208"/>
    <cellStyle name="货币 2 3 2 4" xfId="209"/>
    <cellStyle name="常规 3 5 2 2" xfId="210"/>
    <cellStyle name="常规 10 7" xfId="211"/>
    <cellStyle name="货币 2 3 2 5" xfId="212"/>
    <cellStyle name="常规 21 3" xfId="213"/>
    <cellStyle name="常规 16 3" xfId="214"/>
    <cellStyle name="常规 5 2 2 3 2" xfId="215"/>
    <cellStyle name="货币 2 4 2 2 4" xfId="216"/>
    <cellStyle name="常规 11" xfId="217"/>
    <cellStyle name="常规 2 3 7 2" xfId="218"/>
    <cellStyle name="常规 21 3 2" xfId="219"/>
    <cellStyle name="常规 16 3 2" xfId="220"/>
    <cellStyle name="常规 2 3 7 2 2" xfId="221"/>
    <cellStyle name="常规 5 3 8" xfId="222"/>
    <cellStyle name="常规 11 2" xfId="223"/>
    <cellStyle name="常规 6 2 5 3" xfId="224"/>
    <cellStyle name="常规 2 3 2 4 5" xfId="225"/>
    <cellStyle name="常规 11 2 2" xfId="226"/>
    <cellStyle name="常规 5 3 8 2" xfId="227"/>
    <cellStyle name="常规 5 3 9" xfId="228"/>
    <cellStyle name="常规 11 3" xfId="229"/>
    <cellStyle name="货币 2 4 5 4 2" xfId="230"/>
    <cellStyle name="常规 2 3 2 2" xfId="231"/>
    <cellStyle name="常规 11 3 2" xfId="232"/>
    <cellStyle name="常规 5 3 9 2" xfId="233"/>
    <cellStyle name="常规 2 3 2 2 2" xfId="234"/>
    <cellStyle name="常规 11 4" xfId="235"/>
    <cellStyle name="货币 2 3 3 2" xfId="236"/>
    <cellStyle name="常规 2 3 2 3" xfId="237"/>
    <cellStyle name="常规 11 4 2" xfId="238"/>
    <cellStyle name="货币 2 3 3 2 2" xfId="239"/>
    <cellStyle name="常规 2 3 2 3 2" xfId="240"/>
    <cellStyle name="常规 11 5" xfId="241"/>
    <cellStyle name="货币 2 3 3 3" xfId="242"/>
    <cellStyle name="常规 2 3 2 4" xfId="243"/>
    <cellStyle name="常规 21 4" xfId="244"/>
    <cellStyle name="常规 16 4" xfId="245"/>
    <cellStyle name="货币 2 3 8 2" xfId="246"/>
    <cellStyle name="货币 3 2 3 3 2 2" xfId="247"/>
    <cellStyle name="常规 3 2 2 4 2 2" xfId="248"/>
    <cellStyle name="常规 12" xfId="249"/>
    <cellStyle name="常规 2 3 7 3" xfId="250"/>
    <cellStyle name="常规 2 4 2 2 3 2" xfId="251"/>
    <cellStyle name="常规 12 2" xfId="252"/>
    <cellStyle name="常规 6 2 6 3" xfId="253"/>
    <cellStyle name="常规 12 3" xfId="254"/>
    <cellStyle name="常规 2 3 3 2" xfId="255"/>
    <cellStyle name="常规 12 3 2" xfId="256"/>
    <cellStyle name="常规 2 3 3 2 2" xfId="257"/>
    <cellStyle name="常规 12 4" xfId="258"/>
    <cellStyle name="货币 2 3 4 2" xfId="259"/>
    <cellStyle name="常规 2 3 3 3" xfId="260"/>
    <cellStyle name="常规 3 2 6 3 2" xfId="261"/>
    <cellStyle name="常规 13" xfId="262"/>
    <cellStyle name="常规 13 2" xfId="263"/>
    <cellStyle name="常规 13 2 2" xfId="264"/>
    <cellStyle name="常规 2 2 8" xfId="265"/>
    <cellStyle name="常规 13 3" xfId="266"/>
    <cellStyle name="常规 2 3 4 2" xfId="267"/>
    <cellStyle name="常规 13 3 2" xfId="268"/>
    <cellStyle name="常规 5 2 2 4" xfId="269"/>
    <cellStyle name="常规 2 3 4 2 2" xfId="270"/>
    <cellStyle name="常规 2 3 8" xfId="271"/>
    <cellStyle name="常规 13 4" xfId="272"/>
    <cellStyle name="货币 2 3 5 2" xfId="273"/>
    <cellStyle name="常规 2 3 4 3" xfId="274"/>
    <cellStyle name="常规 14" xfId="275"/>
    <cellStyle name="常规 7 6 2 2" xfId="276"/>
    <cellStyle name="常规 2 10 2" xfId="277"/>
    <cellStyle name="常规 14 2" xfId="278"/>
    <cellStyle name="常规 14 2 2" xfId="279"/>
    <cellStyle name="货币 2 3 3 10" xfId="280"/>
    <cellStyle name="常规 14 3" xfId="281"/>
    <cellStyle name="常规 2 3 5 2" xfId="282"/>
    <cellStyle name="常规 14 4" xfId="283"/>
    <cellStyle name="货币 2 3 6 2" xfId="284"/>
    <cellStyle name="常规 2 3 5 3" xfId="285"/>
    <cellStyle name="常规 20" xfId="286"/>
    <cellStyle name="常规 15" xfId="287"/>
    <cellStyle name="常规 20 2" xfId="288"/>
    <cellStyle name="常规 15 2" xfId="289"/>
    <cellStyle name="常规 20 2 2" xfId="290"/>
    <cellStyle name="常规 15 2 2" xfId="291"/>
    <cellStyle name="常规 20 3" xfId="292"/>
    <cellStyle name="常规 15 3" xfId="293"/>
    <cellStyle name="常规 5 2 2 2 2" xfId="294"/>
    <cellStyle name="常规 2 3 6 2" xfId="295"/>
    <cellStyle name="常规 20 3 2" xfId="296"/>
    <cellStyle name="常规 15 3 2" xfId="297"/>
    <cellStyle name="常规 2 3 6 2 2" xfId="298"/>
    <cellStyle name="常规 4 3 8" xfId="299"/>
    <cellStyle name="常规 20 4" xfId="300"/>
    <cellStyle name="常规 15 4" xfId="301"/>
    <cellStyle name="货币 2 3 7 2" xfId="302"/>
    <cellStyle name="常规 2 3 6 3" xfId="303"/>
    <cellStyle name="常规 2 4 2 2 2 2" xfId="304"/>
    <cellStyle name="常规 36 4 2" xfId="305"/>
    <cellStyle name="货币 3 2 2 4" xfId="306"/>
    <cellStyle name="常规 21" xfId="307"/>
    <cellStyle name="常规 16" xfId="308"/>
    <cellStyle name="货币 2 2 2 3 2" xfId="309"/>
    <cellStyle name="常规 4 2 2 2 2" xfId="310"/>
    <cellStyle name="常规 4 4 2 2" xfId="311"/>
    <cellStyle name="常规 6 4 2" xfId="312"/>
    <cellStyle name="货币 3 2 2 5" xfId="313"/>
    <cellStyle name="常规 22" xfId="314"/>
    <cellStyle name="常规 17" xfId="315"/>
    <cellStyle name="货币 2 2 2 3 3" xfId="316"/>
    <cellStyle name="常规 22 2" xfId="317"/>
    <cellStyle name="常规 17 2" xfId="318"/>
    <cellStyle name="常规 6 2 11" xfId="319"/>
    <cellStyle name="货币 2 2 2 3 3 2" xfId="320"/>
    <cellStyle name="货币 2 4 2 3 3" xfId="321"/>
    <cellStyle name="常规 22 2 2" xfId="322"/>
    <cellStyle name="常规 17 2 2" xfId="323"/>
    <cellStyle name="货币 2 4 2 3 3 2" xfId="324"/>
    <cellStyle name="常规 2 3 3 3 5" xfId="325"/>
    <cellStyle name="常规 22 3" xfId="326"/>
    <cellStyle name="常规 17 3" xfId="327"/>
    <cellStyle name="常规 5 2 2 4 2" xfId="328"/>
    <cellStyle name="货币 2 4 2 3 4" xfId="329"/>
    <cellStyle name="常规 2 3 8 2" xfId="330"/>
    <cellStyle name="常规 22 3 2" xfId="331"/>
    <cellStyle name="常规 17 3 2" xfId="332"/>
    <cellStyle name="货币 2 4 2 3 4 2" xfId="333"/>
    <cellStyle name="常规 2 3 3 4 5" xfId="334"/>
    <cellStyle name="常规 22 4" xfId="335"/>
    <cellStyle name="常规 17 4" xfId="336"/>
    <cellStyle name="货币 2 3 9 2" xfId="337"/>
    <cellStyle name="货币 2 4 2 3 5" xfId="338"/>
    <cellStyle name="货币 3 2 3 3 3 2" xfId="339"/>
    <cellStyle name="常规 3 2 2 4 3 2" xfId="340"/>
    <cellStyle name="常规 2 4 6 2 2" xfId="341"/>
    <cellStyle name="常规 17 4 2" xfId="342"/>
    <cellStyle name="常规 3 2 2 2" xfId="343"/>
    <cellStyle name="常规 17 5" xfId="344"/>
    <cellStyle name="常规 23" xfId="345"/>
    <cellStyle name="常规 18" xfId="346"/>
    <cellStyle name="货币 2 2 2 3 4" xfId="347"/>
    <cellStyle name="常规 2 3 2 2 2 2" xfId="348"/>
    <cellStyle name="常规 23 2" xfId="349"/>
    <cellStyle name="常规 18 2" xfId="350"/>
    <cellStyle name="货币 2 2 2 3 4 2" xfId="351"/>
    <cellStyle name="货币 2 4 2 4 3" xfId="352"/>
    <cellStyle name="常规 23 2 2" xfId="353"/>
    <cellStyle name="常规 18 2 2" xfId="354"/>
    <cellStyle name="货币 2 4 2 4 3 2" xfId="355"/>
    <cellStyle name="常规 24 3" xfId="356"/>
    <cellStyle name="常规 19 3" xfId="357"/>
    <cellStyle name="常规 23 3" xfId="358"/>
    <cellStyle name="常规 18 3" xfId="359"/>
    <cellStyle name="货币 2 4 2 4 4" xfId="360"/>
    <cellStyle name="常规 2 3 9 2" xfId="361"/>
    <cellStyle name="货币 2 4 2 4 2 2" xfId="362"/>
    <cellStyle name="常规 23 3 2" xfId="363"/>
    <cellStyle name="常规 18 3 2" xfId="364"/>
    <cellStyle name="货币 2 4 2 4 4 2" xfId="365"/>
    <cellStyle name="常规 23 4" xfId="366"/>
    <cellStyle name="常规 18 4" xfId="367"/>
    <cellStyle name="货币 2 4 2 4 5" xfId="368"/>
    <cellStyle name="货币 3 2 3 3 4 2" xfId="369"/>
    <cellStyle name="常规 24" xfId="370"/>
    <cellStyle name="常规 19" xfId="371"/>
    <cellStyle name="货币 2 2 2 3 5" xfId="372"/>
    <cellStyle name="常规 2 2 6 2 2" xfId="373"/>
    <cellStyle name="常规 24 2" xfId="374"/>
    <cellStyle name="常规 19 2" xfId="375"/>
    <cellStyle name="货币 2 4 2 5 3" xfId="376"/>
    <cellStyle name="常规 24 2 2" xfId="377"/>
    <cellStyle name="常规 19 2 2" xfId="378"/>
    <cellStyle name="常规 24 3 2" xfId="379"/>
    <cellStyle name="常规 19 3 2" xfId="380"/>
    <cellStyle name="常规 24 4" xfId="381"/>
    <cellStyle name="常规 19 4" xfId="382"/>
    <cellStyle name="常规 19 4 2" xfId="383"/>
    <cellStyle name="常规 3 2 4 2" xfId="384"/>
    <cellStyle name="常规 19 5" xfId="385"/>
    <cellStyle name="常规 2 2 2 10" xfId="386"/>
    <cellStyle name="常规 2" xfId="387"/>
    <cellStyle name="常规 2 10" xfId="388"/>
    <cellStyle name="常规 2 2 2 6 3" xfId="389"/>
    <cellStyle name="常规 2 11" xfId="390"/>
    <cellStyle name="常规 2 3 2 3 4 2" xfId="391"/>
    <cellStyle name="常规 3 2 2 3" xfId="392"/>
    <cellStyle name="常规 2 11 2" xfId="393"/>
    <cellStyle name="常规 2 12" xfId="394"/>
    <cellStyle name="常规 2 2 7 4 2" xfId="395"/>
    <cellStyle name="常规 3 2 3 3" xfId="396"/>
    <cellStyle name="常规 2 12 2" xfId="397"/>
    <cellStyle name="常规 2 13" xfId="398"/>
    <cellStyle name="常规 3 2 4 3" xfId="399"/>
    <cellStyle name="常规 2 13 2" xfId="400"/>
    <cellStyle name="常规 2 2 2 11" xfId="401"/>
    <cellStyle name="常规 2 14" xfId="402"/>
    <cellStyle name="常规 2 2" xfId="403"/>
    <cellStyle name="适中 2 2 2" xfId="404"/>
    <cellStyle name="常规 2 2 10" xfId="405"/>
    <cellStyle name="常规 2 3 6 4 2" xfId="406"/>
    <cellStyle name="常规 2 2 10 2" xfId="407"/>
    <cellStyle name="常规 2 2 11" xfId="408"/>
    <cellStyle name="常规 2 2 4 2" xfId="409"/>
    <cellStyle name="常规 3 10" xfId="410"/>
    <cellStyle name="常规 2 2 11 2" xfId="411"/>
    <cellStyle name="常规 2 2 4 2 2" xfId="412"/>
    <cellStyle name="常规 3 2 3 9 2" xfId="413"/>
    <cellStyle name="常规 2 2 12" xfId="414"/>
    <cellStyle name="常规 2 2 4 3" xfId="415"/>
    <cellStyle name="常规 2 2 12 2" xfId="416"/>
    <cellStyle name="常规 2 2 4 3 2" xfId="417"/>
    <cellStyle name="常规 30 3 2" xfId="418"/>
    <cellStyle name="常规 25 3 2" xfId="419"/>
    <cellStyle name="常规 2 2 4 4" xfId="420"/>
    <cellStyle name="常规 2 2 13" xfId="421"/>
    <cellStyle name="常规 2 2 2" xfId="422"/>
    <cellStyle name="常规 2 4 3 5" xfId="423"/>
    <cellStyle name="常规 2 2 2 10 2" xfId="424"/>
    <cellStyle name="常规 2 2 2 11 2" xfId="425"/>
    <cellStyle name="常规 2 2 2 12" xfId="426"/>
    <cellStyle name="常规 2 2 2 12 2" xfId="427"/>
    <cellStyle name="常规 3 4 2 3 2" xfId="428"/>
    <cellStyle name="常规 2 2 2 13" xfId="429"/>
    <cellStyle name="货币 2 2 2 6 2" xfId="430"/>
    <cellStyle name="货币 3 7 3 2" xfId="431"/>
    <cellStyle name="常规 9 2 2 2" xfId="432"/>
    <cellStyle name="常规 2 2 2 14" xfId="433"/>
    <cellStyle name="货币 2 2 2 6 3" xfId="434"/>
    <cellStyle name="货币 2 3 2" xfId="435"/>
    <cellStyle name="常规 3 11 2" xfId="436"/>
    <cellStyle name="常规 2 2 4 2 3 2" xfId="437"/>
    <cellStyle name="货币 2 3 2 4 2 2" xfId="438"/>
    <cellStyle name="常规 2 2 2 2" xfId="439"/>
    <cellStyle name="常规 2 2 2 2 2" xfId="440"/>
    <cellStyle name="常规 2 4 4" xfId="441"/>
    <cellStyle name="常规 4 3 9 2" xfId="442"/>
    <cellStyle name="常规 2 2 2 2 2 2" xfId="443"/>
    <cellStyle name="常规 3 2 2 2 3" xfId="444"/>
    <cellStyle name="常规 2 4 4 2" xfId="445"/>
    <cellStyle name="常规 2 2 2 2 3" xfId="446"/>
    <cellStyle name="常规 2 4 5" xfId="447"/>
    <cellStyle name="常规 2 2 2 2 3 2" xfId="448"/>
    <cellStyle name="货币 2 2 9" xfId="449"/>
    <cellStyle name="货币 3 2 3 2 3" xfId="450"/>
    <cellStyle name="常规 3 2 2 3 3" xfId="451"/>
    <cellStyle name="常规 7 2 2 2" xfId="452"/>
    <cellStyle name="常规 2 4 5 2" xfId="453"/>
    <cellStyle name="货币 2 4 2 10" xfId="454"/>
    <cellStyle name="常规 2 2 2 2 4" xfId="455"/>
    <cellStyle name="常规 2 4 6" xfId="456"/>
    <cellStyle name="常规 2 2 2 2 4 2" xfId="457"/>
    <cellStyle name="货币 2 3 9" xfId="458"/>
    <cellStyle name="货币 3 2 3 3 3" xfId="459"/>
    <cellStyle name="常规 3 2 2 4 3" xfId="460"/>
    <cellStyle name="常规 7 2 3 2" xfId="461"/>
    <cellStyle name="常规 2 4 2 2 4" xfId="462"/>
    <cellStyle name="常规 2 4 6 2" xfId="463"/>
    <cellStyle name="常规 2 2 2 2 5" xfId="464"/>
    <cellStyle name="常规 2 4 7" xfId="465"/>
    <cellStyle name="常规 3 2 3 7 2" xfId="466"/>
    <cellStyle name="常规 3 10 3 2" xfId="467"/>
    <cellStyle name="常规 2 2 2 3" xfId="468"/>
    <cellStyle name="常规 2 2 2 3 2" xfId="469"/>
    <cellStyle name="常规 2 5 4" xfId="470"/>
    <cellStyle name="货币 2 2 3 2 2" xfId="471"/>
    <cellStyle name="常规 32 4" xfId="472"/>
    <cellStyle name="常规 27 4" xfId="473"/>
    <cellStyle name="常规 2 2 2 3 2 2" xfId="474"/>
    <cellStyle name="常规 3 2 3 2 3" xfId="475"/>
    <cellStyle name="常规 2 5 4 2" xfId="476"/>
    <cellStyle name="货币 2 2 3 2 2 2" xfId="477"/>
    <cellStyle name="常规 2 2 2 3 3" xfId="478"/>
    <cellStyle name="常规 2 5 5" xfId="479"/>
    <cellStyle name="货币 2 2 3 2 3" xfId="480"/>
    <cellStyle name="常规 28 4" xfId="481"/>
    <cellStyle name="常规 2 2 2 3 3 2" xfId="482"/>
    <cellStyle name="货币 3 2 9" xfId="483"/>
    <cellStyle name="常规 3 2 3 3 3" xfId="484"/>
    <cellStyle name="常规 7 3 2 2" xfId="485"/>
    <cellStyle name="常规 2 5 5 2" xfId="486"/>
    <cellStyle name="货币 2 2 3 2 3 2" xfId="487"/>
    <cellStyle name="常规 2 2 2 3 4" xfId="488"/>
    <cellStyle name="常规 2 5 6" xfId="489"/>
    <cellStyle name="货币 2 2 3 2 4" xfId="490"/>
    <cellStyle name="常规 29 4" xfId="491"/>
    <cellStyle name="常规 2 2 2 3 4 2" xfId="492"/>
    <cellStyle name="货币 3 3 9" xfId="493"/>
    <cellStyle name="常规 2 2 2 3 5" xfId="494"/>
    <cellStyle name="常规 2 2 2 4 2" xfId="495"/>
    <cellStyle name="常规 2 6 4" xfId="496"/>
    <cellStyle name="货币 2 2 3 3 2" xfId="497"/>
    <cellStyle name="常规 2 2 2 4 2 2" xfId="498"/>
    <cellStyle name="常规 2 6 4 2" xfId="499"/>
    <cellStyle name="货币 2 2 3 3 2 2" xfId="500"/>
    <cellStyle name="常规 2 2 2 4 3" xfId="501"/>
    <cellStyle name="常规 4 2 3 2 2" xfId="502"/>
    <cellStyle name="常规 4 5 2 2" xfId="503"/>
    <cellStyle name="常规 7 4 2" xfId="504"/>
    <cellStyle name="货币 3 3 2 5" xfId="505"/>
    <cellStyle name="常规 2 6 5" xfId="506"/>
    <cellStyle name="货币 2 2 3 3 3" xfId="507"/>
    <cellStyle name="常规 2 2 2 4 3 2" xfId="508"/>
    <cellStyle name="常规 2 2 2 4 4" xfId="509"/>
    <cellStyle name="常规 2 3 2 3 2 2" xfId="510"/>
    <cellStyle name="货币 3 4 10" xfId="511"/>
    <cellStyle name="常规 2 2 2 4 4 2" xfId="512"/>
    <cellStyle name="常规 5 2 5 3" xfId="513"/>
    <cellStyle name="常规 2 2 7 2 2" xfId="514"/>
    <cellStyle name="常规 2 2 2 4 5" xfId="515"/>
    <cellStyle name="货币 2 2 3 4 2" xfId="516"/>
    <cellStyle name="常规 2 7 4" xfId="517"/>
    <cellStyle name="常规 2 2 2 5 2" xfId="518"/>
    <cellStyle name="常规 3 3 2 5" xfId="519"/>
    <cellStyle name="货币 2 2 3 4 2 2" xfId="520"/>
    <cellStyle name="常规 2 7 4 2" xfId="521"/>
    <cellStyle name="货币 3 3 3 4 2" xfId="522"/>
    <cellStyle name="常规 3 2 11" xfId="523"/>
    <cellStyle name="常规 2 2 2 5 2 2" xfId="524"/>
    <cellStyle name="常规 3 3 2 5 2" xfId="525"/>
    <cellStyle name="常规 2 2 2 5 3" xfId="526"/>
    <cellStyle name="常规 3 3 2 6" xfId="527"/>
    <cellStyle name="常规 2 2 2 6 2" xfId="528"/>
    <cellStyle name="常规 3 3 3 5" xfId="529"/>
    <cellStyle name="货币 3 3 4 4 2" xfId="530"/>
    <cellStyle name="常规 2 3 6 5" xfId="531"/>
    <cellStyle name="货币 2 2 3 5 2 2" xfId="532"/>
    <cellStyle name="常规 2 8 4 2" xfId="533"/>
    <cellStyle name="常规 2 2 2 6 2 2" xfId="534"/>
    <cellStyle name="货币 3 3 5 4" xfId="535"/>
    <cellStyle name="常规 2 5" xfId="536"/>
    <cellStyle name="货币 2 2 3 6 2" xfId="537"/>
    <cellStyle name="常规 3 4 3 3 2" xfId="538"/>
    <cellStyle name="货币 3 4 4 2 2" xfId="539"/>
    <cellStyle name="常规 3 3 4 5" xfId="540"/>
    <cellStyle name="常规 2 2 2 7 2" xfId="541"/>
    <cellStyle name="常规 3 8 2 2" xfId="542"/>
    <cellStyle name="货币 3 4 4 3 2" xfId="543"/>
    <cellStyle name="常规 3 3 5 5" xfId="544"/>
    <cellStyle name="常规 2 2 2 8 2" xfId="545"/>
    <cellStyle name="常规 3 8 3 2" xfId="546"/>
    <cellStyle name="常规 2 2 2 8 2 2" xfId="547"/>
    <cellStyle name="常规 2 2 2 8 3" xfId="548"/>
    <cellStyle name="常规 2 2 2 8 3 2" xfId="549"/>
    <cellStyle name="常规 4 5" xfId="550"/>
    <cellStyle name="常规 2 2 3 6 2 2" xfId="551"/>
    <cellStyle name="常规 4 2 3" xfId="552"/>
    <cellStyle name="常规 2 2 2 9 2" xfId="553"/>
    <cellStyle name="常规 3 8 4 2" xfId="554"/>
    <cellStyle name="常规 2 2 3 4 2 2" xfId="555"/>
    <cellStyle name="常规 2 2 3" xfId="556"/>
    <cellStyle name="常规 2 4 2 4 2 2" xfId="557"/>
    <cellStyle name="常规 2 2 3 10" xfId="558"/>
    <cellStyle name="常规 3 2 3 4 4" xfId="559"/>
    <cellStyle name="货币 2 10 2" xfId="560"/>
    <cellStyle name="常规 2 2 3 11" xfId="561"/>
    <cellStyle name="常规 3 2 3 4 5" xfId="562"/>
    <cellStyle name="常规 2 2 3 2" xfId="563"/>
    <cellStyle name="常规 2 2 3 2 2" xfId="564"/>
    <cellStyle name="常规 2 2 3 6" xfId="565"/>
    <cellStyle name="常规 2 2 3 2 2 2" xfId="566"/>
    <cellStyle name="常规 2 2 3 2 3" xfId="567"/>
    <cellStyle name="常规 2 2 4 6" xfId="568"/>
    <cellStyle name="常规 2 2 3 2 3 2" xfId="569"/>
    <cellStyle name="货币 2 7 4" xfId="570"/>
    <cellStyle name="常规 8 2 3" xfId="571"/>
    <cellStyle name="常规 2 4 2 10" xfId="572"/>
    <cellStyle name="常规 3 4 6" xfId="573"/>
    <cellStyle name="常规 2 2 3 2 4" xfId="574"/>
    <cellStyle name="常规 2 2 3 3" xfId="575"/>
    <cellStyle name="常规 3 10 4 2" xfId="576"/>
    <cellStyle name="常规 3 2 3 8 2" xfId="577"/>
    <cellStyle name="常规 2 2 3 3 2" xfId="578"/>
    <cellStyle name="常规 2 3 3 6" xfId="579"/>
    <cellStyle name="常规 2 2 3 3 2 2" xfId="580"/>
    <cellStyle name="常规 2 2 3 3 3" xfId="581"/>
    <cellStyle name="常规 2 2 3 3 3 2" xfId="582"/>
    <cellStyle name="常规 2 2 3 3 4" xfId="583"/>
    <cellStyle name="常规 2 2 3 3 4 2" xfId="584"/>
    <cellStyle name="常规 2 2 3 3 5" xfId="585"/>
    <cellStyle name="常规 2 2 3 4" xfId="586"/>
    <cellStyle name="常规 25 2 2" xfId="587"/>
    <cellStyle name="常规 30 2 2" xfId="588"/>
    <cellStyle name="常规 2 2 3 4 2" xfId="589"/>
    <cellStyle name="常规 2 2 3 4 3" xfId="590"/>
    <cellStyle name="常规 2 3 3" xfId="591"/>
    <cellStyle name="常规 2 2 3 4 3 2" xfId="592"/>
    <cellStyle name="常规 4 3 10" xfId="593"/>
    <cellStyle name="常规 2 3 2 4 2 2" xfId="594"/>
    <cellStyle name="常规 2 2 3 4 4" xfId="595"/>
    <cellStyle name="常规 2 4 3" xfId="596"/>
    <cellStyle name="常规 2 2 3 4 4 2" xfId="597"/>
    <cellStyle name="常规 5 3 5 3" xfId="598"/>
    <cellStyle name="常规 2 2 8 2 2" xfId="599"/>
    <cellStyle name="常规 2 2 3 4 5" xfId="600"/>
    <cellStyle name="常规 2 2 3 5" xfId="601"/>
    <cellStyle name="常规 2 2 3 5 2" xfId="602"/>
    <cellStyle name="常规 2 3 2 10" xfId="603"/>
    <cellStyle name="常规 2 2 3 5 2 2" xfId="604"/>
    <cellStyle name="常规 3 2 3" xfId="605"/>
    <cellStyle name="常规 2 2 3 5 3" xfId="606"/>
    <cellStyle name="常规 7 10" xfId="607"/>
    <cellStyle name="常规 2 2 3 6 3" xfId="608"/>
    <cellStyle name="常规 2 2 3 7" xfId="609"/>
    <cellStyle name="常规 3 9 2" xfId="610"/>
    <cellStyle name="常规 2 2 3 8" xfId="611"/>
    <cellStyle name="常规 3 9 3" xfId="612"/>
    <cellStyle name="常规 2 2 4 9" xfId="613"/>
    <cellStyle name="常规 3 4 4 4 2" xfId="614"/>
    <cellStyle name="常规 2 2 3 8 2" xfId="615"/>
    <cellStyle name="货币 9" xfId="616"/>
    <cellStyle name="常规 3 9 3 2" xfId="617"/>
    <cellStyle name="常规 3 10 2" xfId="618"/>
    <cellStyle name="常规 2 2 4 2 2 2" xfId="619"/>
    <cellStyle name="常规 3 2 3 6" xfId="620"/>
    <cellStyle name="货币 2 3 2 4 3" xfId="621"/>
    <cellStyle name="常规 2 2 4 2 4" xfId="622"/>
    <cellStyle name="常规 5 4 3 2" xfId="623"/>
    <cellStyle name="常规 4 3 2 3 2" xfId="624"/>
    <cellStyle name="常规 3 12" xfId="625"/>
    <cellStyle name="常规 2 2 4 4 2" xfId="626"/>
    <cellStyle name="常规 2 7 2 2" xfId="627"/>
    <cellStyle name="货币 3 3 3 2 2" xfId="628"/>
    <cellStyle name="常规 2 2 4 5" xfId="629"/>
    <cellStyle name="常规 2 2 4 5 2" xfId="630"/>
    <cellStyle name="货币 2 3 2 8" xfId="631"/>
    <cellStyle name="常规 3 5 2 5" xfId="632"/>
    <cellStyle name="货币 2 3 2 8 2" xfId="633"/>
    <cellStyle name="常规 2 2 4 6 3" xfId="634"/>
    <cellStyle name="货币 2 3 3 9" xfId="635"/>
    <cellStyle name="常规 2 2 4 5 2 2" xfId="636"/>
    <cellStyle name="常规 6 2 6 2 2" xfId="637"/>
    <cellStyle name="常规 2 2 4 5 2 3" xfId="638"/>
    <cellStyle name="货币 2 3 2 7 2" xfId="639"/>
    <cellStyle name="常规 3 5 2 4 2" xfId="640"/>
    <cellStyle name="常规 2 2 4 5 3" xfId="641"/>
    <cellStyle name="常规 2 2 4 5 4" xfId="642"/>
    <cellStyle name="常规 2 2 4 5 4 2" xfId="643"/>
    <cellStyle name="常规 2 2 4 5 5" xfId="644"/>
    <cellStyle name="常规 3 3 2 3 3 2" xfId="645"/>
    <cellStyle name="货币 6 2" xfId="646"/>
    <cellStyle name="常规 2 3 2 9" xfId="647"/>
    <cellStyle name="常规 3 4 5 2 2" xfId="648"/>
    <cellStyle name="常规 2 2 4 6 2" xfId="649"/>
    <cellStyle name="货币 2 3 3 8" xfId="650"/>
    <cellStyle name="常规 3 5 3 5" xfId="651"/>
    <cellStyle name="常规 2 2 4 7" xfId="652"/>
    <cellStyle name="常规 3 3 2 3 4 2" xfId="653"/>
    <cellStyle name="货币 7 2" xfId="654"/>
    <cellStyle name="常规 2 3 3 9" xfId="655"/>
    <cellStyle name="常规 3 4 5 3 2" xfId="656"/>
    <cellStyle name="常规 2 2 4 7 2" xfId="657"/>
    <cellStyle name="货币 3 4 6 2 2" xfId="658"/>
    <cellStyle name="常规 4 10" xfId="659"/>
    <cellStyle name="货币 2 4 5" xfId="660"/>
    <cellStyle name="常规 2 3 3 9 2" xfId="661"/>
    <cellStyle name="常规 2 2 4 7 2 2" xfId="662"/>
    <cellStyle name="常规 4 10 2" xfId="663"/>
    <cellStyle name="货币 3 3 2 4 2 2" xfId="664"/>
    <cellStyle name="常规 2 2 4 8" xfId="665"/>
    <cellStyle name="常规 2 2 5" xfId="666"/>
    <cellStyle name="常规 2 2 5 2" xfId="667"/>
    <cellStyle name="常规 2 2 5 2 2" xfId="668"/>
    <cellStyle name="常规 2 2 5 3" xfId="669"/>
    <cellStyle name="常规 2 2 5 3 2" xfId="670"/>
    <cellStyle name="常规 2 2 5 4" xfId="671"/>
    <cellStyle name="常规 2 2 5 4 2" xfId="672"/>
    <cellStyle name="常规 2 7 3 2" xfId="673"/>
    <cellStyle name="货币 3 3 3 3 2" xfId="674"/>
    <cellStyle name="常规 2 2 5 5" xfId="675"/>
    <cellStyle name="常规 3 3 2 4 4 2" xfId="676"/>
    <cellStyle name="常规 2 2 6" xfId="677"/>
    <cellStyle name="常规 3 4 6 3 2" xfId="678"/>
    <cellStyle name="常规 2 2 6 2" xfId="679"/>
    <cellStyle name="常规 2 4 10 2" xfId="680"/>
    <cellStyle name="常规 2 2 6 3" xfId="681"/>
    <cellStyle name="常规 5 11" xfId="682"/>
    <cellStyle name="常规 2 2 6 3 2" xfId="683"/>
    <cellStyle name="常规 3 2 2 8" xfId="684"/>
    <cellStyle name="常规 2 2 6 4" xfId="685"/>
    <cellStyle name="常规 3 2 5 2 2" xfId="686"/>
    <cellStyle name="常规 3 2 10" xfId="687"/>
    <cellStyle name="常规 9 6 2 2" xfId="688"/>
    <cellStyle name="常规 2 2 7" xfId="689"/>
    <cellStyle name="常规 2 2 7 2" xfId="690"/>
    <cellStyle name="常规 2 2 7 3" xfId="691"/>
    <cellStyle name="常规 3 2 2 3 2 2" xfId="692"/>
    <cellStyle name="常规 5 2 6 3" xfId="693"/>
    <cellStyle name="常规 2 2 7 3 2" xfId="694"/>
    <cellStyle name="常规 3 3 2 8" xfId="695"/>
    <cellStyle name="常规 2 2 7 4" xfId="696"/>
    <cellStyle name="常规 3 2 5 3 2" xfId="697"/>
    <cellStyle name="货币 2 4 2 3 2" xfId="698"/>
    <cellStyle name="常规 6 2 10" xfId="699"/>
    <cellStyle name="常规 2 2 9" xfId="700"/>
    <cellStyle name="货币 3 3 5 2" xfId="701"/>
    <cellStyle name="常规 2 3" xfId="702"/>
    <cellStyle name="常规 2 9 2" xfId="703"/>
    <cellStyle name="货币 2 2 2 2 4 2" xfId="704"/>
    <cellStyle name="常规 2 3 3 2 4" xfId="705"/>
    <cellStyle name="常规 2 3 10" xfId="706"/>
    <cellStyle name="常规 2 3 10 2" xfId="707"/>
    <cellStyle name="常规 2 3 11 2" xfId="708"/>
    <cellStyle name="常规 2 4 5 3 2" xfId="709"/>
    <cellStyle name="常规 2 3 12" xfId="710"/>
    <cellStyle name="常规 3 2 2 3 4 2" xfId="711"/>
    <cellStyle name="货币 3 3 5 2 2" xfId="712"/>
    <cellStyle name="常规 2 4 4 5" xfId="713"/>
    <cellStyle name="常规 2 3 2" xfId="714"/>
    <cellStyle name="常规 2 9 2 2" xfId="715"/>
    <cellStyle name="常规 2 3 2 2 3" xfId="716"/>
    <cellStyle name="常规 2 3 2 2 3 2" xfId="717"/>
    <cellStyle name="常规 5 10" xfId="718"/>
    <cellStyle name="常规 3 2 2 7" xfId="719"/>
    <cellStyle name="常规 2 3 2 2 4" xfId="720"/>
    <cellStyle name="常规 2 3 2 2 4 2" xfId="721"/>
    <cellStyle name="常规 3 10 3" xfId="722"/>
    <cellStyle name="常规 6 2 3 2 2" xfId="723"/>
    <cellStyle name="常规 3 2 3 7" xfId="724"/>
    <cellStyle name="常规 2 3 2 3 3" xfId="725"/>
    <cellStyle name="常规 2 3 2 3 3 2" xfId="726"/>
    <cellStyle name="常规 5 2 6 2" xfId="727"/>
    <cellStyle name="常规 3 3 2 7" xfId="728"/>
    <cellStyle name="常规 2 3 2 3 4" xfId="729"/>
    <cellStyle name="常规 2 3 2 4 2" xfId="730"/>
    <cellStyle name="常规 2 3 2 4 3" xfId="731"/>
    <cellStyle name="货币 3 2 2 10" xfId="732"/>
    <cellStyle name="常规 2 3 2 4 3 2" xfId="733"/>
    <cellStyle name="常规 2 3 3 3 2 2" xfId="734"/>
    <cellStyle name="常规 2 3 2 4 4" xfId="735"/>
    <cellStyle name="常规 7 11" xfId="736"/>
    <cellStyle name="常规 2 3 2 4 4 2" xfId="737"/>
    <cellStyle name="常规 2 3 2 5" xfId="738"/>
    <cellStyle name="常规 3 4 10 2 2" xfId="739"/>
    <cellStyle name="常规 2 3 2 5 2" xfId="740"/>
    <cellStyle name="货币 2 3 2 6 3" xfId="741"/>
    <cellStyle name="常规 2 3 2 5 2 2" xfId="742"/>
    <cellStyle name="常规 2 3 2 5 3" xfId="743"/>
    <cellStyle name="常规 2 3 2 6" xfId="744"/>
    <cellStyle name="常规 2 3 2 6 2" xfId="745"/>
    <cellStyle name="常规 2 3 2 6 3" xfId="746"/>
    <cellStyle name="常规 4 8 2" xfId="747"/>
    <cellStyle name="常规 4 2 6 2" xfId="748"/>
    <cellStyle name="常规 2 3 2 7" xfId="749"/>
    <cellStyle name="常规 4 8 2 2" xfId="750"/>
    <cellStyle name="常规 4 2 6 2 2" xfId="751"/>
    <cellStyle name="常规 2 3 2 7 2" xfId="752"/>
    <cellStyle name="常规 4 8 3" xfId="753"/>
    <cellStyle name="常规 4 2 6 3" xfId="754"/>
    <cellStyle name="常规 2 3 2 8" xfId="755"/>
    <cellStyle name="常规 5 2 11" xfId="756"/>
    <cellStyle name="常规 2 3 2 8 2" xfId="757"/>
    <cellStyle name="常规 2 3 2 9 2" xfId="758"/>
    <cellStyle name="常规 2 3 3 10" xfId="759"/>
    <cellStyle name="常规 3 7 3" xfId="760"/>
    <cellStyle name="常规 2 3 3 2 2 2" xfId="761"/>
    <cellStyle name="货币 3 6 5" xfId="762"/>
    <cellStyle name="常规 2 3 3 2 3" xfId="763"/>
    <cellStyle name="货币 2 5" xfId="764"/>
    <cellStyle name="常规 9 2 4" xfId="765"/>
    <cellStyle name="常规 2 3 3 2 3 2" xfId="766"/>
    <cellStyle name="货币 3 7 5" xfId="767"/>
    <cellStyle name="常规 2 3 3 3 2" xfId="768"/>
    <cellStyle name="常规 2 3 3 3 3" xfId="769"/>
    <cellStyle name="常规 2 3 3 3 3 2" xfId="770"/>
    <cellStyle name="常规 2 3 3 3 4" xfId="771"/>
    <cellStyle name="常规 2 3 3 3 4 2" xfId="772"/>
    <cellStyle name="常规 2 3 3 4" xfId="773"/>
    <cellStyle name="常规 26 2 2" xfId="774"/>
    <cellStyle name="常规 31 2 2" xfId="775"/>
    <cellStyle name="常规 2 3 3 4 2" xfId="776"/>
    <cellStyle name="常规 2 3 3 4 4" xfId="777"/>
    <cellStyle name="常规 2 3 3 4 2 2" xfId="778"/>
    <cellStyle name="常规 2 3 3 4 3" xfId="779"/>
    <cellStyle name="货币 2 2 10" xfId="780"/>
    <cellStyle name="常规 2 3 3 4 3 2" xfId="781"/>
    <cellStyle name="常规 27" xfId="782"/>
    <cellStyle name="常规 32" xfId="783"/>
    <cellStyle name="常规 2 3 3 4 4 2" xfId="784"/>
    <cellStyle name="常规 2 3 3 5" xfId="785"/>
    <cellStyle name="常规 2 3 3 5 2" xfId="786"/>
    <cellStyle name="常规 25" xfId="787"/>
    <cellStyle name="常规 30" xfId="788"/>
    <cellStyle name="货币 2 4 2 6 3" xfId="789"/>
    <cellStyle name="常规 2 3 3 5 2 2" xfId="790"/>
    <cellStyle name="常规 25 2" xfId="791"/>
    <cellStyle name="常规 30 2" xfId="792"/>
    <cellStyle name="常规 2 3 3 6 2" xfId="793"/>
    <cellStyle name="常规 2 3 3 6 2 2" xfId="794"/>
    <cellStyle name="常规 2 3 3 6 3" xfId="795"/>
    <cellStyle name="常规 4 9 2" xfId="796"/>
    <cellStyle name="常规 4 2 7 2" xfId="797"/>
    <cellStyle name="常规 2 3 3 7" xfId="798"/>
    <cellStyle name="货币 2 2 5" xfId="799"/>
    <cellStyle name="常规 2 3 3 7 2" xfId="800"/>
    <cellStyle name="常规 2 3 3 8" xfId="801"/>
    <cellStyle name="货币 2 3 5" xfId="802"/>
    <cellStyle name="常规 2 3 3 8 2" xfId="803"/>
    <cellStyle name="常规 4 3 8 2" xfId="804"/>
    <cellStyle name="常规 2 3 4" xfId="805"/>
    <cellStyle name="常规 2 4 8" xfId="806"/>
    <cellStyle name="常规 2 3 4 3 2" xfId="807"/>
    <cellStyle name="常规 2 3 4 4 2" xfId="808"/>
    <cellStyle name="货币 3 3 4 2 2" xfId="809"/>
    <cellStyle name="常规 2 3 4 5" xfId="810"/>
    <cellStyle name="常规 2 8 2 2" xfId="811"/>
    <cellStyle name="货币 3 3 2 6 2 2" xfId="812"/>
    <cellStyle name="常规 2 3 5" xfId="813"/>
    <cellStyle name="常规 2 3 5 3 2" xfId="814"/>
    <cellStyle name="常规 3 4 8" xfId="815"/>
    <cellStyle name="常规 2 3 5 4" xfId="816"/>
    <cellStyle name="常规 31 4 2" xfId="817"/>
    <cellStyle name="常规 2 3 5 4 2" xfId="818"/>
    <cellStyle name="常规 3 5 8" xfId="819"/>
    <cellStyle name="货币 3 3 4 3 2" xfId="820"/>
    <cellStyle name="常规 2 3 5 5" xfId="821"/>
    <cellStyle name="常规 2 8 3 2" xfId="822"/>
    <cellStyle name="常规 2 3 6" xfId="823"/>
    <cellStyle name="常规 2 3 6 4" xfId="824"/>
    <cellStyle name="常规 3 2 6 2 2" xfId="825"/>
    <cellStyle name="常规 31 5 2" xfId="826"/>
    <cellStyle name="常规 9 6 3 2" xfId="827"/>
    <cellStyle name="常规 2 3 7" xfId="828"/>
    <cellStyle name="货币 2 4 2 4 2" xfId="829"/>
    <cellStyle name="常规 2 3 9" xfId="830"/>
    <cellStyle name="货币 3 3 5 3" xfId="831"/>
    <cellStyle name="常规 2 4" xfId="832"/>
    <cellStyle name="常规 2 9 3" xfId="833"/>
    <cellStyle name="常规 2 4 10" xfId="834"/>
    <cellStyle name="常规 2 4 11" xfId="835"/>
    <cellStyle name="常规 3 2 2 3 2" xfId="836"/>
    <cellStyle name="货币 3 3 5 3 2" xfId="837"/>
    <cellStyle name="常规 2 4 5 5" xfId="838"/>
    <cellStyle name="常规 2 4 2" xfId="839"/>
    <cellStyle name="常规 2 4 2 2" xfId="840"/>
    <cellStyle name="常规 2 4 2 2 2" xfId="841"/>
    <cellStyle name="常规 2 4 2 2 3" xfId="842"/>
    <cellStyle name="常规 3 2 2 4 2" xfId="843"/>
    <cellStyle name="常规 2 4 2 3" xfId="844"/>
    <cellStyle name="常规 3 3 10" xfId="845"/>
    <cellStyle name="常规 2 4 2 3 2" xfId="846"/>
    <cellStyle name="常规 3 3 10 2" xfId="847"/>
    <cellStyle name="常规 2 4 6 3" xfId="848"/>
    <cellStyle name="常规 2 4 2 3 2 2" xfId="849"/>
    <cellStyle name="常规 3 2 2 4 4" xfId="850"/>
    <cellStyle name="常规 2 4 2 3 3" xfId="851"/>
    <cellStyle name="常规 3 2 2 5 2" xfId="852"/>
    <cellStyle name="常规 2 4 2 3 5" xfId="853"/>
    <cellStyle name="常规 3 2 2 5 2 2" xfId="854"/>
    <cellStyle name="常规 2 4 2 3 3 2" xfId="855"/>
    <cellStyle name="常规 3 4 10" xfId="856"/>
    <cellStyle name="常规 2 4 7 2" xfId="857"/>
    <cellStyle name="常规 2 4 2 3 4" xfId="858"/>
    <cellStyle name="常规 7 2 4 2" xfId="859"/>
    <cellStyle name="常规 3 2 2 5 3" xfId="860"/>
    <cellStyle name="常规 2 4 2 4 5" xfId="861"/>
    <cellStyle name="常规 2 4 2 3 4 2" xfId="862"/>
    <cellStyle name="常规 2 4 2 4" xfId="863"/>
    <cellStyle name="常规 3 3 11" xfId="864"/>
    <cellStyle name="常规 2 4 2 4 2" xfId="865"/>
    <cellStyle name="常规 2 4 2 4 3" xfId="866"/>
    <cellStyle name="常规 3 2 2 6 2" xfId="867"/>
    <cellStyle name="常规 2 4 2 4 3 2" xfId="868"/>
    <cellStyle name="常规 3 2 2 6 2 2" xfId="869"/>
    <cellStyle name="常规 2 4 8 2" xfId="870"/>
    <cellStyle name="常规 2 4 2 4 4" xfId="871"/>
    <cellStyle name="常规 7 2 5 2" xfId="872"/>
    <cellStyle name="常规 3 2 2 6 3" xfId="873"/>
    <cellStyle name="常规 2 4 2 4 4 2" xfId="874"/>
    <cellStyle name="常规 2 4 2 5" xfId="875"/>
    <cellStyle name="常规 3 2 3 10" xfId="876"/>
    <cellStyle name="常规 2 4 2 5 2" xfId="877"/>
    <cellStyle name="货币 3 3 2 6 3" xfId="878"/>
    <cellStyle name="常规 2 4 2 5 2 2" xfId="879"/>
    <cellStyle name="常规 2 4 2 5 3" xfId="880"/>
    <cellStyle name="常规 8" xfId="881"/>
    <cellStyle name="常规 5 10 2" xfId="882"/>
    <cellStyle name="常规 3 2 2 7 2" xfId="883"/>
    <cellStyle name="常规 2 4 2 6" xfId="884"/>
    <cellStyle name="常规 2 4 2 6 2" xfId="885"/>
    <cellStyle name="常规 2 4 2 6 2 2" xfId="886"/>
    <cellStyle name="常规 2 4 2 6 3" xfId="887"/>
    <cellStyle name="常规 5 11 2" xfId="888"/>
    <cellStyle name="常规 3 2 2 8 2" xfId="889"/>
    <cellStyle name="常规 5 8 2" xfId="890"/>
    <cellStyle name="常规 4 3 6 2" xfId="891"/>
    <cellStyle name="常规 2 4 2 7" xfId="892"/>
    <cellStyle name="常规 4 3 6 2 2" xfId="893"/>
    <cellStyle name="常规 2 4 2 7 2" xfId="894"/>
    <cellStyle name="常规 4 3 6 3" xfId="895"/>
    <cellStyle name="常规 2 4 2 8" xfId="896"/>
    <cellStyle name="常规 2 4 2 8 2" xfId="897"/>
    <cellStyle name="常规 3 3 2 4 3 2" xfId="898"/>
    <cellStyle name="常规 2 4 2 9" xfId="899"/>
    <cellStyle name="常规 3 4 6 2 2" xfId="900"/>
    <cellStyle name="常规 2 4 2 9 2" xfId="901"/>
    <cellStyle name="常规 2 4 3 2" xfId="902"/>
    <cellStyle name="常规 2 4 3 2 2" xfId="903"/>
    <cellStyle name="常规 2 4 3 3" xfId="904"/>
    <cellStyle name="常规 2 4 3 3 2" xfId="905"/>
    <cellStyle name="常规 2 4 3 4" xfId="906"/>
    <cellStyle name="常规 27 2 2" xfId="907"/>
    <cellStyle name="常规 32 2 2" xfId="908"/>
    <cellStyle name="常规 2 4 3 4 2" xfId="909"/>
    <cellStyle name="常规 2 4 4 2 2" xfId="910"/>
    <cellStyle name="常规 3 2 2 2 3 2" xfId="911"/>
    <cellStyle name="常规 3 2 2 2 5" xfId="912"/>
    <cellStyle name="常规 2 4 4 4" xfId="913"/>
    <cellStyle name="常规 27 3 2" xfId="914"/>
    <cellStyle name="常规 32 3 2" xfId="915"/>
    <cellStyle name="常规 2 4 5 3" xfId="916"/>
    <cellStyle name="常规 3 2 2 3 4" xfId="917"/>
    <cellStyle name="常规 3 2 2 3 5" xfId="918"/>
    <cellStyle name="常规 2 4 5 4" xfId="919"/>
    <cellStyle name="常规 32 4 2" xfId="920"/>
    <cellStyle name="常规 2 4 5 4 2" xfId="921"/>
    <cellStyle name="货币 2 4 2 5 2" xfId="922"/>
    <cellStyle name="常规 2 4 9" xfId="923"/>
    <cellStyle name="货币 2 4 2 5 2 2" xfId="924"/>
    <cellStyle name="常规 2 4 9 2" xfId="925"/>
    <cellStyle name="货币 3 3 5 4 2" xfId="926"/>
    <cellStyle name="常规 2 5 2" xfId="927"/>
    <cellStyle name="常规 2 5 2 2" xfId="928"/>
    <cellStyle name="常规 2 5 3" xfId="929"/>
    <cellStyle name="货币 3 3 5 5" xfId="930"/>
    <cellStyle name="常规 7 7 2" xfId="931"/>
    <cellStyle name="常规 2 6" xfId="932"/>
    <cellStyle name="常规 2 6 2" xfId="933"/>
    <cellStyle name="货币 3 3 2 2" xfId="934"/>
    <cellStyle name="常规 3 4 12" xfId="935"/>
    <cellStyle name="常规 2 6 2 2" xfId="936"/>
    <cellStyle name="常规 2 6 3" xfId="937"/>
    <cellStyle name="常规 2 6 3 2" xfId="938"/>
    <cellStyle name="常规 3 5 10" xfId="939"/>
    <cellStyle name="货币 2 2 3 4 3" xfId="940"/>
    <cellStyle name="常规 2 7 5" xfId="941"/>
    <cellStyle name="货币 3 3 3 5" xfId="942"/>
    <cellStyle name="常规 7 5 2" xfId="943"/>
    <cellStyle name="常规 4 5 3 2" xfId="944"/>
    <cellStyle name="常规 4 2 3 3 2" xfId="945"/>
    <cellStyle name="常规 2 8" xfId="946"/>
    <cellStyle name="货币 3 3 4" xfId="947"/>
    <cellStyle name="常规 3 3 2 6 2 2" xfId="948"/>
    <cellStyle name="常规 2 8 2" xfId="949"/>
    <cellStyle name="常规 2 8 3" xfId="950"/>
    <cellStyle name="货币 2 2 3 5 2" xfId="951"/>
    <cellStyle name="常规 2 8 4" xfId="952"/>
    <cellStyle name="常规 3 4 3 2 2" xfId="953"/>
    <cellStyle name="货币 3 2 2" xfId="954"/>
    <cellStyle name="货币 2 2 3 5 3" xfId="955"/>
    <cellStyle name="常规 2 8 5" xfId="956"/>
    <cellStyle name="货币 3 3 4 5" xfId="957"/>
    <cellStyle name="常规 7 6 2" xfId="958"/>
    <cellStyle name="常规 4 5 4 2" xfId="959"/>
    <cellStyle name="常规 4 2 3 4 2" xfId="960"/>
    <cellStyle name="常规 2 9" xfId="961"/>
    <cellStyle name="常规 25 3" xfId="962"/>
    <cellStyle name="常规 30 3" xfId="963"/>
    <cellStyle name="常规 25 4" xfId="964"/>
    <cellStyle name="常规 30 4" xfId="965"/>
    <cellStyle name="货币 2 2 10 2" xfId="966"/>
    <cellStyle name="常规 27 2" xfId="967"/>
    <cellStyle name="常规 32 2" xfId="968"/>
    <cellStyle name="常规 27 3" xfId="969"/>
    <cellStyle name="常规 32 3" xfId="970"/>
    <cellStyle name="货币 2 2 11" xfId="971"/>
    <cellStyle name="常规 28" xfId="972"/>
    <cellStyle name="常规 33" xfId="973"/>
    <cellStyle name="货币 3 2 7" xfId="974"/>
    <cellStyle name="常规 28 2" xfId="975"/>
    <cellStyle name="常规 33 2" xfId="976"/>
    <cellStyle name="货币 2 2 11 2" xfId="977"/>
    <cellStyle name="货币 3 2 7 2" xfId="978"/>
    <cellStyle name="常规 28 2 2" xfId="979"/>
    <cellStyle name="货币 3 2 8" xfId="980"/>
    <cellStyle name="常规 28 3" xfId="981"/>
    <cellStyle name="货币 3 2 4 2 2" xfId="982"/>
    <cellStyle name="货币 3 2 8 2" xfId="983"/>
    <cellStyle name="常规 28 3 2" xfId="984"/>
    <cellStyle name="货币 2 2 12" xfId="985"/>
    <cellStyle name="常规 29" xfId="986"/>
    <cellStyle name="常规 34" xfId="987"/>
    <cellStyle name="货币 3 3 7" xfId="988"/>
    <cellStyle name="常规 29 2" xfId="989"/>
    <cellStyle name="常规 34 2" xfId="990"/>
    <cellStyle name="货币 3 3 7 2" xfId="991"/>
    <cellStyle name="常规 29 2 2" xfId="992"/>
    <cellStyle name="常规 4 3" xfId="993"/>
    <cellStyle name="货币 3 3 8" xfId="994"/>
    <cellStyle name="常规 29 3" xfId="995"/>
    <cellStyle name="货币 3 2 4 3 2" xfId="996"/>
    <cellStyle name="货币 3 3 8 2" xfId="997"/>
    <cellStyle name="常规 29 3 2" xfId="998"/>
    <cellStyle name="常规 5 3" xfId="999"/>
    <cellStyle name="常规 3" xfId="1000"/>
    <cellStyle name="常规 3 10 2 2" xfId="1001"/>
    <cellStyle name="常规 3 2 3 6 2" xfId="1002"/>
    <cellStyle name="常规 3 10 2 3" xfId="1003"/>
    <cellStyle name="常规 3 2 3 6 3" xfId="1004"/>
    <cellStyle name="常规 3 10 4" xfId="1005"/>
    <cellStyle name="常规 3 2 10 2" xfId="1006"/>
    <cellStyle name="常规 3 2 3 8" xfId="1007"/>
    <cellStyle name="常规 3 10 5" xfId="1008"/>
    <cellStyle name="常规 3 2 3 9" xfId="1009"/>
    <cellStyle name="常规 3 12 2" xfId="1010"/>
    <cellStyle name="常规 3 13" xfId="1011"/>
    <cellStyle name="常规 3 13 2" xfId="1012"/>
    <cellStyle name="常规 3 2" xfId="1013"/>
    <cellStyle name="常规 3 2 11 2" xfId="1014"/>
    <cellStyle name="常规 3 2 12" xfId="1015"/>
    <cellStyle name="常规 5 3 3 3 2" xfId="1016"/>
    <cellStyle name="常规 3 2 2 10" xfId="1017"/>
    <cellStyle name="货币 3 2 7 3" xfId="1018"/>
    <cellStyle name="常规 3 2 2" xfId="1019"/>
    <cellStyle name="常规 3 2 2 2 2" xfId="1020"/>
    <cellStyle name="常规 3 2 2 2 2 2" xfId="1021"/>
    <cellStyle name="常规 3 2 2 4" xfId="1022"/>
    <cellStyle name="常规 3 5 9 2" xfId="1023"/>
    <cellStyle name="常规 3 2 2 4 4 2" xfId="1024"/>
    <cellStyle name="常规 3 2 7 2 2" xfId="1025"/>
    <cellStyle name="常规 3 2 2 4 5" xfId="1026"/>
    <cellStyle name="常规 3 2 2 5" xfId="1027"/>
    <cellStyle name="常规 3 2 2 6" xfId="1028"/>
    <cellStyle name="常规 3 2 2 9" xfId="1029"/>
    <cellStyle name="常规 3 5 4 2 2" xfId="1030"/>
    <cellStyle name="常规 5 12" xfId="1031"/>
    <cellStyle name="常规 3 2 2 9 2" xfId="1032"/>
    <cellStyle name="常规 3 2 3 2" xfId="1033"/>
    <cellStyle name="常规 3 2 3 2 2" xfId="1034"/>
    <cellStyle name="常规 3 2 3 2 2 2" xfId="1035"/>
    <cellStyle name="常规 3 2 3 2 3 2" xfId="1036"/>
    <cellStyle name="常规 3 2 3 2 4" xfId="1037"/>
    <cellStyle name="常规 3 2 3 3 2" xfId="1038"/>
    <cellStyle name="常规 3 2 7 3" xfId="1039"/>
    <cellStyle name="常规 3 2 3 3 2 2" xfId="1040"/>
    <cellStyle name="常规 3 2 3 3 3 2" xfId="1041"/>
    <cellStyle name="常规 3 2 3 3 4" xfId="1042"/>
    <cellStyle name="常规 3 2 3 3 4 2" xfId="1043"/>
    <cellStyle name="常规 3 2 3 3 5" xfId="1044"/>
    <cellStyle name="常规 3 2 3 4" xfId="1045"/>
    <cellStyle name="常规 3 2 3 4 2" xfId="1046"/>
    <cellStyle name="常规 3 2 3 4 2 2" xfId="1047"/>
    <cellStyle name="常规 3 2 3 4 3" xfId="1048"/>
    <cellStyle name="常规 7 3 3 2" xfId="1049"/>
    <cellStyle name="常规 3 2 3 4 3 2" xfId="1050"/>
    <cellStyle name="常规 3 2 3 5" xfId="1051"/>
    <cellStyle name="常规 3 2 3 5 2" xfId="1052"/>
    <cellStyle name="常规 3 2 3 5 2 2" xfId="1053"/>
    <cellStyle name="常规 3 2 3 5 3" xfId="1054"/>
    <cellStyle name="常规 7 3 4 2" xfId="1055"/>
    <cellStyle name="常规 3 2 4" xfId="1056"/>
    <cellStyle name="常规 6 9 2" xfId="1057"/>
    <cellStyle name="常规 3 2 4 2 2" xfId="1058"/>
    <cellStyle name="常规 3 2 4 3 2" xfId="1059"/>
    <cellStyle name="常规 3 2 4 4" xfId="1060"/>
    <cellStyle name="常规 3 2 4 4 2" xfId="1061"/>
    <cellStyle name="常规 3 7 2 2" xfId="1062"/>
    <cellStyle name="常规 3 2 4 5" xfId="1063"/>
    <cellStyle name="货币 3 4 3 2 2" xfId="1064"/>
    <cellStyle name="常规 3 2 5" xfId="1065"/>
    <cellStyle name="常规 3 2 5 2" xfId="1066"/>
    <cellStyle name="常规 3 2 5 3" xfId="1067"/>
    <cellStyle name="常规 3 2 5 4" xfId="1068"/>
    <cellStyle name="常规 3 2 5 4 2" xfId="1069"/>
    <cellStyle name="常规 3 7 3 2" xfId="1070"/>
    <cellStyle name="常规 3 2 5 5" xfId="1071"/>
    <cellStyle name="货币 3 4 3 3 2" xfId="1072"/>
    <cellStyle name="常规 3 2 6" xfId="1073"/>
    <cellStyle name="常规 31 6" xfId="1074"/>
    <cellStyle name="常规 3 2 6 3" xfId="1075"/>
    <cellStyle name="常规 3 3 5 2 2" xfId="1076"/>
    <cellStyle name="常规 3 2 6 4" xfId="1077"/>
    <cellStyle name="常规 3 2 6 4 2" xfId="1078"/>
    <cellStyle name="常规 3 7 4 2" xfId="1079"/>
    <cellStyle name="常规 3 2 6 5" xfId="1080"/>
    <cellStyle name="货币 3 4 3 4 2" xfId="1081"/>
    <cellStyle name="常规 3 2 7" xfId="1082"/>
    <cellStyle name="常规 9 7 2 2" xfId="1083"/>
    <cellStyle name="常规 32 5" xfId="1084"/>
    <cellStyle name="常规 3 2 7 2" xfId="1085"/>
    <cellStyle name="常规 3 2 8" xfId="1086"/>
    <cellStyle name="常规 9 7 2 3" xfId="1087"/>
    <cellStyle name="常规 3 2 8 2" xfId="1088"/>
    <cellStyle name="常规 3 2 9" xfId="1089"/>
    <cellStyle name="货币 2 4 3 3 2" xfId="1090"/>
    <cellStyle name="常规 3 2 9 2" xfId="1091"/>
    <cellStyle name="常规 3 3" xfId="1092"/>
    <cellStyle name="货币 3 3 6 2" xfId="1093"/>
    <cellStyle name="常规 3 3 2" xfId="1094"/>
    <cellStyle name="货币 3 3 6 2 2" xfId="1095"/>
    <cellStyle name="常规 4 3 3 3" xfId="1096"/>
    <cellStyle name="常规 5 5 3" xfId="1097"/>
    <cellStyle name="常规 3 3 2 10" xfId="1098"/>
    <cellStyle name="常规 3 3 2 2" xfId="1099"/>
    <cellStyle name="常规 38 5" xfId="1100"/>
    <cellStyle name="常规 3 3 2 2 2" xfId="1101"/>
    <cellStyle name="常规 3 7 4" xfId="1102"/>
    <cellStyle name="货币 2 2 4 4 2" xfId="1103"/>
    <cellStyle name="货币 3 10 2" xfId="1104"/>
    <cellStyle name="常规 3 3 2 2 2 2" xfId="1105"/>
    <cellStyle name="货币 3 4 3 4" xfId="1106"/>
    <cellStyle name="常规 3 4 4 2" xfId="1107"/>
    <cellStyle name="货币 2 2 4 5" xfId="1108"/>
    <cellStyle name="货币 3 11" xfId="1109"/>
    <cellStyle name="常规 3 3 2 2 3" xfId="1110"/>
    <cellStyle name="货币 2 7 2 2" xfId="1111"/>
    <cellStyle name="常规 3 4 4 3" xfId="1112"/>
    <cellStyle name="货币 3 12" xfId="1113"/>
    <cellStyle name="常规 3 3 2 2 4" xfId="1114"/>
    <cellStyle name="货币 5" xfId="1115"/>
    <cellStyle name="常规 3 3 2 3 2" xfId="1116"/>
    <cellStyle name="货币 5 2" xfId="1117"/>
    <cellStyle name="常规 3 3 2 3 2 2" xfId="1118"/>
    <cellStyle name="常规 3 4 5 2" xfId="1119"/>
    <cellStyle name="货币 2 2 5 5" xfId="1120"/>
    <cellStyle name="货币 6" xfId="1121"/>
    <cellStyle name="常规 3 3 2 3 3" xfId="1122"/>
    <cellStyle name="常规 8 2 2 2" xfId="1123"/>
    <cellStyle name="货币 2 7 3 2" xfId="1124"/>
    <cellStyle name="常规 3 4 5 3" xfId="1125"/>
    <cellStyle name="货币 7" xfId="1126"/>
    <cellStyle name="常规 3 3 2 3 4" xfId="1127"/>
    <cellStyle name="常规 3 4 5 4" xfId="1128"/>
    <cellStyle name="货币 8" xfId="1129"/>
    <cellStyle name="常规 3 3 2 3 5" xfId="1130"/>
    <cellStyle name="常规 3 3 2 4 2" xfId="1131"/>
    <cellStyle name="常规 3 3 2 4 2 2" xfId="1132"/>
    <cellStyle name="常规 5 2 10" xfId="1133"/>
    <cellStyle name="常规 3 4 6 2" xfId="1134"/>
    <cellStyle name="货币 2 2 6 5" xfId="1135"/>
    <cellStyle name="常规 3 3 2 4 3" xfId="1136"/>
    <cellStyle name="常规 8 2 3 2" xfId="1137"/>
    <cellStyle name="货币 2 7 4 2" xfId="1138"/>
    <cellStyle name="常规 3 3 2 5 2 2" xfId="1139"/>
    <cellStyle name="货币 2 3 4" xfId="1140"/>
    <cellStyle name="常规 3 4 7 2" xfId="1141"/>
    <cellStyle name="常规 3 3 2 5 3" xfId="1142"/>
    <cellStyle name="常规 8 2 4 2" xfId="1143"/>
    <cellStyle name="常规 3 4 8 2" xfId="1144"/>
    <cellStyle name="常规 3 3 2 6 3" xfId="1145"/>
    <cellStyle name="常规 3 3 2 7 2" xfId="1146"/>
    <cellStyle name="常规 5 2 6 2 2" xfId="1147"/>
    <cellStyle name="常规 3 3 2 8 2" xfId="1148"/>
    <cellStyle name="常规 3 5 5 2 2" xfId="1149"/>
    <cellStyle name="常规 3 3 2 9" xfId="1150"/>
    <cellStyle name="常规 3 3 2 9 2" xfId="1151"/>
    <cellStyle name="货币 2 4 2 3" xfId="1152"/>
    <cellStyle name="常规 3 3 3" xfId="1153"/>
    <cellStyle name="常规 3 3 3 2" xfId="1154"/>
    <cellStyle name="常规 3 3 3 2 2" xfId="1155"/>
    <cellStyle name="常规 3 3 3 3" xfId="1156"/>
    <cellStyle name="常规 3 3 3 3 2" xfId="1157"/>
    <cellStyle name="常规 3 3 3 4" xfId="1158"/>
    <cellStyle name="常规 3 3 3 4 2" xfId="1159"/>
    <cellStyle name="常规 3 3 4" xfId="1160"/>
    <cellStyle name="常规 3 3 4 2" xfId="1161"/>
    <cellStyle name="货币 3 3 11" xfId="1162"/>
    <cellStyle name="常规 37" xfId="1163"/>
    <cellStyle name="常规 3 3 4 2 2" xfId="1164"/>
    <cellStyle name="常规 42" xfId="1165"/>
    <cellStyle name="常规 3 3 4 3" xfId="1166"/>
    <cellStyle name="常规 3 3 4 3 2" xfId="1167"/>
    <cellStyle name="常规 3 3 4 4" xfId="1168"/>
    <cellStyle name="常规 3 3 4 4 2" xfId="1169"/>
    <cellStyle name="常规 3 3 5" xfId="1170"/>
    <cellStyle name="常规 3 3 5 2" xfId="1171"/>
    <cellStyle name="常规 3 3 5 3" xfId="1172"/>
    <cellStyle name="常规 3 3 5 3 2" xfId="1173"/>
    <cellStyle name="常规 3 3 5 4" xfId="1174"/>
    <cellStyle name="常规 3 3 5 4 2" xfId="1175"/>
    <cellStyle name="常规 3 3 6" xfId="1176"/>
    <cellStyle name="常规 3 3 6 2" xfId="1177"/>
    <cellStyle name="常规 3 3 6 2 2" xfId="1178"/>
    <cellStyle name="常规 3 3 6 3" xfId="1179"/>
    <cellStyle name="常规 3 3 7" xfId="1180"/>
    <cellStyle name="常规 9 7 3 2" xfId="1181"/>
    <cellStyle name="常规 3 3 8 2" xfId="1182"/>
    <cellStyle name="常规 3 3 9" xfId="1183"/>
    <cellStyle name="货币 2 4 3 4 2" xfId="1184"/>
    <cellStyle name="常规 3 3 9 2" xfId="1185"/>
    <cellStyle name="货币 3 4 11" xfId="1186"/>
    <cellStyle name="常规 3 4" xfId="1187"/>
    <cellStyle name="货币 3 3 6 3" xfId="1188"/>
    <cellStyle name="常规 3 4 10 2" xfId="1189"/>
    <cellStyle name="常规 3 4 10 3" xfId="1190"/>
    <cellStyle name="常规 3 4 11" xfId="1191"/>
    <cellStyle name="常规 3 4 11 2" xfId="1192"/>
    <cellStyle name="常规 3 4 2" xfId="1193"/>
    <cellStyle name="常规 3 4 2 2" xfId="1194"/>
    <cellStyle name="货币 2 2 2 5" xfId="1195"/>
    <cellStyle name="常规 3 4 2 2 2" xfId="1196"/>
    <cellStyle name="货币 2 2 2 5 2" xfId="1197"/>
    <cellStyle name="常规 3 4 2 4" xfId="1198"/>
    <cellStyle name="货币 2 2 2 7" xfId="1199"/>
    <cellStyle name="常规 3 4 3 2" xfId="1200"/>
    <cellStyle name="货币 2 2 3 5" xfId="1201"/>
    <cellStyle name="常规 3 4 3 3" xfId="1202"/>
    <cellStyle name="货币 2 2 3 6" xfId="1203"/>
    <cellStyle name="常规 3 4 3 4" xfId="1204"/>
    <cellStyle name="货币 2 2 3 7" xfId="1205"/>
    <cellStyle name="常规 3 5" xfId="1206"/>
    <cellStyle name="常规 3 4 3 4 2" xfId="1207"/>
    <cellStyle name="货币 2 2 3 7 2" xfId="1208"/>
    <cellStyle name="常规 38 2 2" xfId="1209"/>
    <cellStyle name="货币 2 7 2" xfId="1210"/>
    <cellStyle name="常规 3 4 4" xfId="1211"/>
    <cellStyle name="常规 3 4 4 4" xfId="1212"/>
    <cellStyle name="货币 3 13" xfId="1213"/>
    <cellStyle name="常规 3 4 5" xfId="1214"/>
    <cellStyle name="常规 3 4 7" xfId="1215"/>
    <cellStyle name="常规 9 7 4 2" xfId="1216"/>
    <cellStyle name="常规 3 4 9" xfId="1217"/>
    <cellStyle name="常规 3 4 9 2" xfId="1218"/>
    <cellStyle name="常规 3 5 2" xfId="1219"/>
    <cellStyle name="常规 3 5 2 2 2" xfId="1220"/>
    <cellStyle name="货币 2 3 2 5 2" xfId="1221"/>
    <cellStyle name="常规 3 5 2 3" xfId="1222"/>
    <cellStyle name="货币 2 3 2 6" xfId="1223"/>
    <cellStyle name="常规 3 5 2 3 2" xfId="1224"/>
    <cellStyle name="货币 2 3 2 6 2" xfId="1225"/>
    <cellStyle name="常规 3 5 2 4" xfId="1226"/>
    <cellStyle name="货币 2 3 2 7" xfId="1227"/>
    <cellStyle name="常规 3 5 3" xfId="1228"/>
    <cellStyle name="常规 3 5 3 2" xfId="1229"/>
    <cellStyle name="货币 2 3 3 5" xfId="1230"/>
    <cellStyle name="常规 3 5 3 2 2" xfId="1231"/>
    <cellStyle name="货币 2 3 3 5 2" xfId="1232"/>
    <cellStyle name="常规 3 5 3 3" xfId="1233"/>
    <cellStyle name="货币 2 3 3 6" xfId="1234"/>
    <cellStyle name="常规 3 5 3 3 2" xfId="1235"/>
    <cellStyle name="货币 2 3 3 6 2" xfId="1236"/>
    <cellStyle name="常规 3 5 3 4" xfId="1237"/>
    <cellStyle name="货币 2 3 3 7" xfId="1238"/>
    <cellStyle name="常规 3 5 3 4 2" xfId="1239"/>
    <cellStyle name="货币 2 3 3 7 2" xfId="1240"/>
    <cellStyle name="常规 38 3 2" xfId="1241"/>
    <cellStyle name="货币 2 8 2" xfId="1242"/>
    <cellStyle name="常规 3 5 4" xfId="1243"/>
    <cellStyle name="货币 2 2 4 2 2" xfId="1244"/>
    <cellStyle name="常规 3 5 4 2" xfId="1245"/>
    <cellStyle name="货币 2 3 4 5" xfId="1246"/>
    <cellStyle name="常规 3 5 4 3" xfId="1247"/>
    <cellStyle name="常规 3 5 5" xfId="1248"/>
    <cellStyle name="常规 3 5 5 2" xfId="1249"/>
    <cellStyle name="货币 2 3 5 5" xfId="1250"/>
    <cellStyle name="常规 3 5 5 3" xfId="1251"/>
    <cellStyle name="常规 3 5 6" xfId="1252"/>
    <cellStyle name="常规 3 5 6 2" xfId="1253"/>
    <cellStyle name="货币 2 3 6 5" xfId="1254"/>
    <cellStyle name="常规 3 5 7" xfId="1255"/>
    <cellStyle name="适中 2 4" xfId="1256"/>
    <cellStyle name="常规 3 5 7 2" xfId="1257"/>
    <cellStyle name="常规 3 5 8 2" xfId="1258"/>
    <cellStyle name="常规 3 5 9" xfId="1259"/>
    <cellStyle name="常规 3 6" xfId="1260"/>
    <cellStyle name="常规 7 8 2" xfId="1261"/>
    <cellStyle name="常规 3 6 2" xfId="1262"/>
    <cellStyle name="常规 7 8 2 2" xfId="1263"/>
    <cellStyle name="常规 3 6 2 2" xfId="1264"/>
    <cellStyle name="货币 2 4 2 5" xfId="1265"/>
    <cellStyle name="常规 3 6 3" xfId="1266"/>
    <cellStyle name="常规 3 6 3 2" xfId="1267"/>
    <cellStyle name="货币 2 4 3 5" xfId="1268"/>
    <cellStyle name="常规 38 4 2" xfId="1269"/>
    <cellStyle name="货币 2 9 2" xfId="1270"/>
    <cellStyle name="货币 3 4 2 4" xfId="1271"/>
    <cellStyle name="常规 3 6 4" xfId="1272"/>
    <cellStyle name="货币 2 2 4 3 2" xfId="1273"/>
    <cellStyle name="常规 38" xfId="1274"/>
    <cellStyle name="货币 2 9 2 2" xfId="1275"/>
    <cellStyle name="常规 3 6 4 2" xfId="1276"/>
    <cellStyle name="货币 2 4 4 5" xfId="1277"/>
    <cellStyle name="常规 4 2 4 2 2" xfId="1278"/>
    <cellStyle name="常规 4 6 2 2" xfId="1279"/>
    <cellStyle name="常规 8 4 2" xfId="1280"/>
    <cellStyle name="货币 2 9 3" xfId="1281"/>
    <cellStyle name="常规 3 6 5" xfId="1282"/>
    <cellStyle name="常规 3 6 5 2" xfId="1283"/>
    <cellStyle name="货币 2 4 5 5" xfId="1284"/>
    <cellStyle name="常规 3 6 6" xfId="1285"/>
    <cellStyle name="货币 2 3 3 3 2 2" xfId="1286"/>
    <cellStyle name="常规 3 6 6 2" xfId="1287"/>
    <cellStyle name="常规 3 6 7" xfId="1288"/>
    <cellStyle name="常规 3 7" xfId="1289"/>
    <cellStyle name="常规 7 8 3" xfId="1290"/>
    <cellStyle name="常规 3 7 2" xfId="1291"/>
    <cellStyle name="常规 7 8 3 2" xfId="1292"/>
    <cellStyle name="常规 4 2 4 3 2" xfId="1293"/>
    <cellStyle name="常规 4 6 3 2" xfId="1294"/>
    <cellStyle name="常规 8 5 2" xfId="1295"/>
    <cellStyle name="货币 3 4 3 5" xfId="1296"/>
    <cellStyle name="常规 3 7 5" xfId="1297"/>
    <cellStyle name="常规 3 8" xfId="1298"/>
    <cellStyle name="常规 7 8 4" xfId="1299"/>
    <cellStyle name="常规 4 2 4 4 2" xfId="1300"/>
    <cellStyle name="常规 8 6 2" xfId="1301"/>
    <cellStyle name="货币 3 4 4 5" xfId="1302"/>
    <cellStyle name="货币 4 2 2" xfId="1303"/>
    <cellStyle name="常规 3 8 5" xfId="1304"/>
    <cellStyle name="常规 3 9" xfId="1305"/>
    <cellStyle name="常规 7 8 5" xfId="1306"/>
    <cellStyle name="常规 35" xfId="1307"/>
    <cellStyle name="常规 40" xfId="1308"/>
    <cellStyle name="常规 6 8 4 2" xfId="1309"/>
    <cellStyle name="常规 35 2" xfId="1310"/>
    <cellStyle name="常规 40 2" xfId="1311"/>
    <cellStyle name="货币 3 4 7" xfId="1312"/>
    <cellStyle name="常规 36" xfId="1313"/>
    <cellStyle name="常规 41" xfId="1314"/>
    <cellStyle name="常规 4 2 9" xfId="1315"/>
    <cellStyle name="货币 2 4 4 3 2" xfId="1316"/>
    <cellStyle name="常规 36 2" xfId="1317"/>
    <cellStyle name="常规 41 2" xfId="1318"/>
    <cellStyle name="常规 4 2 9 2" xfId="1319"/>
    <cellStyle name="常规 36 2 2" xfId="1320"/>
    <cellStyle name="常规 36 3" xfId="1321"/>
    <cellStyle name="常规 41 3" xfId="1322"/>
    <cellStyle name="常规 6 6 2 2" xfId="1323"/>
    <cellStyle name="常规 36 3 2" xfId="1324"/>
    <cellStyle name="常规 36 4" xfId="1325"/>
    <cellStyle name="常规 36 5" xfId="1326"/>
    <cellStyle name="常规 37 2" xfId="1327"/>
    <cellStyle name="常规 38 2" xfId="1328"/>
    <cellStyle name="货币 2 7" xfId="1329"/>
    <cellStyle name="常规 38 3" xfId="1330"/>
    <cellStyle name="货币 2 8" xfId="1331"/>
    <cellStyle name="常规 38 4" xfId="1332"/>
    <cellStyle name="货币 2 9" xfId="1333"/>
    <cellStyle name="常规 39 2" xfId="1334"/>
    <cellStyle name="货币 2" xfId="1335"/>
    <cellStyle name="常规 4" xfId="1336"/>
    <cellStyle name="常规 5 3 2 2" xfId="1337"/>
    <cellStyle name="常规 4 11 2" xfId="1338"/>
    <cellStyle name="常规 4 12 2" xfId="1339"/>
    <cellStyle name="常规 6 12" xfId="1340"/>
    <cellStyle name="常规 4 13 2" xfId="1341"/>
    <cellStyle name="常规 4 2" xfId="1342"/>
    <cellStyle name="常规 5 3 2 2 2" xfId="1343"/>
    <cellStyle name="常规 4 2 10" xfId="1344"/>
    <cellStyle name="常规 4 2 10 2" xfId="1345"/>
    <cellStyle name="常规 4 2 11" xfId="1346"/>
    <cellStyle name="常规 4 3 3 2" xfId="1347"/>
    <cellStyle name="常规 5 5 2" xfId="1348"/>
    <cellStyle name="常规 4 2 2" xfId="1349"/>
    <cellStyle name="常规 4 4" xfId="1350"/>
    <cellStyle name="常规 4 2 2 2" xfId="1351"/>
    <cellStyle name="常规 4 4 2" xfId="1352"/>
    <cellStyle name="常规 6 4" xfId="1353"/>
    <cellStyle name="常规 4 2 2 3 2" xfId="1354"/>
    <cellStyle name="常规 4 4 3 2" xfId="1355"/>
    <cellStyle name="常规 6 5 2" xfId="1356"/>
    <cellStyle name="货币 3 2 3 5" xfId="1357"/>
    <cellStyle name="常规 4 2 2 4" xfId="1358"/>
    <cellStyle name="常规 4 4 4" xfId="1359"/>
    <cellStyle name="常规 6 6" xfId="1360"/>
    <cellStyle name="常规 4 2 2 4 2" xfId="1361"/>
    <cellStyle name="常规 4 4 4 2" xfId="1362"/>
    <cellStyle name="常规 6 6 2" xfId="1363"/>
    <cellStyle name="货币 3 2 4 5" xfId="1364"/>
    <cellStyle name="常规 4 2 2 5" xfId="1365"/>
    <cellStyle name="常规 4 4 5" xfId="1366"/>
    <cellStyle name="常规 6 7" xfId="1367"/>
    <cellStyle name="常规 4 2 3 2" xfId="1368"/>
    <cellStyle name="常规 4 5 2" xfId="1369"/>
    <cellStyle name="常规 7 4" xfId="1370"/>
    <cellStyle name="常规 4 2 3 3" xfId="1371"/>
    <cellStyle name="常规 4 5 3" xfId="1372"/>
    <cellStyle name="常规 7 12 2" xfId="1373"/>
    <cellStyle name="常规 7 5" xfId="1374"/>
    <cellStyle name="常规 4 2 3 4" xfId="1375"/>
    <cellStyle name="常规 4 5 4" xfId="1376"/>
    <cellStyle name="常规 7 6" xfId="1377"/>
    <cellStyle name="货币 2 2 5 2 2" xfId="1378"/>
    <cellStyle name="常规 4 2 3 5" xfId="1379"/>
    <cellStyle name="常规 4 5 5" xfId="1380"/>
    <cellStyle name="常规 7 7" xfId="1381"/>
    <cellStyle name="常规 4 2 4" xfId="1382"/>
    <cellStyle name="常规 4 6" xfId="1383"/>
    <cellStyle name="常规 7 9 2" xfId="1384"/>
    <cellStyle name="常规 4 2 4 2" xfId="1385"/>
    <cellStyle name="常规 4 6 2" xfId="1386"/>
    <cellStyle name="常规 8 4" xfId="1387"/>
    <cellStyle name="常规 4 2 4 3" xfId="1388"/>
    <cellStyle name="常规 4 6 3" xfId="1389"/>
    <cellStyle name="常规 8 5" xfId="1390"/>
    <cellStyle name="常规 4 2 4 4" xfId="1391"/>
    <cellStyle name="常规 4 6 4" xfId="1392"/>
    <cellStyle name="常规 8 6" xfId="1393"/>
    <cellStyle name="货币 2 2 5 3 2" xfId="1394"/>
    <cellStyle name="常规 4 2 5 2 2" xfId="1395"/>
    <cellStyle name="常规 4 7 2 2" xfId="1396"/>
    <cellStyle name="常规 9 4 2" xfId="1397"/>
    <cellStyle name="常规 4 2 4 5" xfId="1398"/>
    <cellStyle name="常规 8 7" xfId="1399"/>
    <cellStyle name="常规 4 2 5" xfId="1400"/>
    <cellStyle name="常规 4 7" xfId="1401"/>
    <cellStyle name="常规 4 2 5 2" xfId="1402"/>
    <cellStyle name="常规 4 7 2" xfId="1403"/>
    <cellStyle name="常规 9 4" xfId="1404"/>
    <cellStyle name="常规 4 2 5 3" xfId="1405"/>
    <cellStyle name="常规 4 7 3" xfId="1406"/>
    <cellStyle name="常规 7 14 2" xfId="1407"/>
    <cellStyle name="常规 9 5" xfId="1408"/>
    <cellStyle name="常规 4 2 6" xfId="1409"/>
    <cellStyle name="常规 4 8" xfId="1410"/>
    <cellStyle name="常规 4 2 7" xfId="1411"/>
    <cellStyle name="常规 4 9" xfId="1412"/>
    <cellStyle name="常规 4 2 8" xfId="1413"/>
    <cellStyle name="常规 4 2 8 2" xfId="1414"/>
    <cellStyle name="常规 4 3 2" xfId="1415"/>
    <cellStyle name="常规 5 4" xfId="1416"/>
    <cellStyle name="常规 4 3 2 2" xfId="1417"/>
    <cellStyle name="常规 5 4 2" xfId="1418"/>
    <cellStyle name="常规 4 3 2 2 2" xfId="1419"/>
    <cellStyle name="常规 5 4 2 2" xfId="1420"/>
    <cellStyle name="常规 4 3 2 3" xfId="1421"/>
    <cellStyle name="常规 5 4 3" xfId="1422"/>
    <cellStyle name="常规 4 3 2 4" xfId="1423"/>
    <cellStyle name="常规 5 4 4" xfId="1424"/>
    <cellStyle name="常规 4 3 3" xfId="1425"/>
    <cellStyle name="常规 5 5" xfId="1426"/>
    <cellStyle name="常规 7 10 2" xfId="1427"/>
    <cellStyle name="常规 4 3 3 2 2" xfId="1428"/>
    <cellStyle name="常规 5 5 2 2" xfId="1429"/>
    <cellStyle name="常规 4 3 3 3 2" xfId="1430"/>
    <cellStyle name="常规 5 5 3 2" xfId="1431"/>
    <cellStyle name="常规 4 3 3 4" xfId="1432"/>
    <cellStyle name="常规 5 5 4" xfId="1433"/>
    <cellStyle name="货币 2 2 6 2 2" xfId="1434"/>
    <cellStyle name="常规 4 3 3 4 2" xfId="1435"/>
    <cellStyle name="常规 5 5 4 2" xfId="1436"/>
    <cellStyle name="常规 4 3 3 5" xfId="1437"/>
    <cellStyle name="常规 5 5 5" xfId="1438"/>
    <cellStyle name="常规 4 3 4" xfId="1439"/>
    <cellStyle name="常规 5 6" xfId="1440"/>
    <cellStyle name="常规 4 3 4 2" xfId="1441"/>
    <cellStyle name="常规 5 6 2" xfId="1442"/>
    <cellStyle name="常规 4 3 4 2 2" xfId="1443"/>
    <cellStyle name="常规 5 6 2 2" xfId="1444"/>
    <cellStyle name="常规 4 3 4 3" xfId="1445"/>
    <cellStyle name="常规 5 6 3" xfId="1446"/>
    <cellStyle name="常规 4 3 4 4" xfId="1447"/>
    <cellStyle name="常规 5 6 4" xfId="1448"/>
    <cellStyle name="货币 2 2 6 3 2" xfId="1449"/>
    <cellStyle name="常规 4 3 4 4 2" xfId="1450"/>
    <cellStyle name="常规 5 6 4 2" xfId="1451"/>
    <cellStyle name="常规 4 3 4 5" xfId="1452"/>
    <cellStyle name="常规 5 6 5" xfId="1453"/>
    <cellStyle name="常规 4 3 5" xfId="1454"/>
    <cellStyle name="常规 5 7" xfId="1455"/>
    <cellStyle name="常规 4 3 5 2" xfId="1456"/>
    <cellStyle name="常规 5 7 2" xfId="1457"/>
    <cellStyle name="常规 4 3 5 2 2" xfId="1458"/>
    <cellStyle name="常规 5 7 2 2" xfId="1459"/>
    <cellStyle name="常规 4 3 5 3" xfId="1460"/>
    <cellStyle name="常规 5 7 3" xfId="1461"/>
    <cellStyle name="常规 4 3 6" xfId="1462"/>
    <cellStyle name="常规 5 8" xfId="1463"/>
    <cellStyle name="常规 4 3 7" xfId="1464"/>
    <cellStyle name="常规 5 9" xfId="1465"/>
    <cellStyle name="常规 4 3 9" xfId="1466"/>
    <cellStyle name="货币 2 4 4 4 2" xfId="1467"/>
    <cellStyle name="常规 4 4 2 2 2" xfId="1468"/>
    <cellStyle name="常规 6 4 2 2" xfId="1469"/>
    <cellStyle name="货币 3 2 2 5 2" xfId="1470"/>
    <cellStyle name="常规 4 4 2 3" xfId="1471"/>
    <cellStyle name="常规 6 4 3" xfId="1472"/>
    <cellStyle name="货币 3 2 2 6" xfId="1473"/>
    <cellStyle name="常规 4 4 2 3 2" xfId="1474"/>
    <cellStyle name="常规 6 4 3 2" xfId="1475"/>
    <cellStyle name="货币 3 2 2 6 2" xfId="1476"/>
    <cellStyle name="常规 4 4 2 4" xfId="1477"/>
    <cellStyle name="常规 6 4 4" xfId="1478"/>
    <cellStyle name="货币 3 2 2 7" xfId="1479"/>
    <cellStyle name="常规 4 7 3 2" xfId="1480"/>
    <cellStyle name="常规 9 5 2" xfId="1481"/>
    <cellStyle name="常规 4 7 4" xfId="1482"/>
    <cellStyle name="常规 9 6" xfId="1483"/>
    <cellStyle name="货币 2 2 5 4 2" xfId="1484"/>
    <cellStyle name="常规 4 7 4 2" xfId="1485"/>
    <cellStyle name="常规 9 6 2" xfId="1486"/>
    <cellStyle name="常规 4 7 5" xfId="1487"/>
    <cellStyle name="常规 9 7" xfId="1488"/>
    <cellStyle name="常规 5" xfId="1489"/>
    <cellStyle name="常规 5 3 2 3" xfId="1490"/>
    <cellStyle name="常规 5 2" xfId="1491"/>
    <cellStyle name="常规 5 3 2 3 2" xfId="1492"/>
    <cellStyle name="常规 5 2 10 2" xfId="1493"/>
    <cellStyle name="常规 5 2 2" xfId="1494"/>
    <cellStyle name="常规 5 2 2 2" xfId="1495"/>
    <cellStyle name="常规 5 2 2 3" xfId="1496"/>
    <cellStyle name="常规 5 2 2 5" xfId="1497"/>
    <cellStyle name="常规 5 2 3" xfId="1498"/>
    <cellStyle name="常规 5 2 3 2" xfId="1499"/>
    <cellStyle name="常规 5 2 3 2 2" xfId="1500"/>
    <cellStyle name="常规 5 2 3 3" xfId="1501"/>
    <cellStyle name="常规 5 2 3 3 2" xfId="1502"/>
    <cellStyle name="常规 5 2 3 4" xfId="1503"/>
    <cellStyle name="货币 2 3 5 2 2" xfId="1504"/>
    <cellStyle name="常规 5 2 3 4 2" xfId="1505"/>
    <cellStyle name="常规 5 2 3 5" xfId="1506"/>
    <cellStyle name="常规 5 2 4" xfId="1507"/>
    <cellStyle name="常规 8 9 2" xfId="1508"/>
    <cellStyle name="常规 5 2 4 2" xfId="1509"/>
    <cellStyle name="常规 5 2 4 2 2" xfId="1510"/>
    <cellStyle name="常规 5 2 4 3" xfId="1511"/>
    <cellStyle name="常规 5 2 4 3 2" xfId="1512"/>
    <cellStyle name="常规 5 2 4 4" xfId="1513"/>
    <cellStyle name="货币 2 3 5 3 2" xfId="1514"/>
    <cellStyle name="常规 5 2 4 4 2" xfId="1515"/>
    <cellStyle name="货币 2 2 2 3" xfId="1516"/>
    <cellStyle name="常规 5 2 4 5" xfId="1517"/>
    <cellStyle name="常规 5 2 5" xfId="1518"/>
    <cellStyle name="常规 5 2 5 2" xfId="1519"/>
    <cellStyle name="常规 5 2 5 2 2" xfId="1520"/>
    <cellStyle name="常规 5 2 6" xfId="1521"/>
    <cellStyle name="常规 6 2 4 2" xfId="1522"/>
    <cellStyle name="常规 5 2 7" xfId="1523"/>
    <cellStyle name="常规 9 9 2 2" xfId="1524"/>
    <cellStyle name="常规 5 2 7 2" xfId="1525"/>
    <cellStyle name="常规 6 2 4 2 2" xfId="1526"/>
    <cellStyle name="常规 5 3 10" xfId="1527"/>
    <cellStyle name="常规 7 3 3" xfId="1528"/>
    <cellStyle name="常规 5 3 2" xfId="1529"/>
    <cellStyle name="常规 5 3 3" xfId="1530"/>
    <cellStyle name="常规 5 3 3 2" xfId="1531"/>
    <cellStyle name="常规 5 3 3 2 2" xfId="1532"/>
    <cellStyle name="常规 5 3 3 3" xfId="1533"/>
    <cellStyle name="常规 5 3 3 4" xfId="1534"/>
    <cellStyle name="货币 2 3 6 2 2" xfId="1535"/>
    <cellStyle name="常规 5 3 3 4 2" xfId="1536"/>
    <cellStyle name="常规 5 3 3 5" xfId="1537"/>
    <cellStyle name="常规 5 3 4" xfId="1538"/>
    <cellStyle name="常规 5 3 4 2" xfId="1539"/>
    <cellStyle name="常规 5 3 4 2 2" xfId="1540"/>
    <cellStyle name="常规 5 3 4 3" xfId="1541"/>
    <cellStyle name="常规 5 3 4 3 2" xfId="1542"/>
    <cellStyle name="常规 5 3 4 4" xfId="1543"/>
    <cellStyle name="货币 2 3 6 3 2" xfId="1544"/>
    <cellStyle name="常规 5 3 4 4 2" xfId="1545"/>
    <cellStyle name="货币 3 2 2 3" xfId="1546"/>
    <cellStyle name="常规 5 3 4 5" xfId="1547"/>
    <cellStyle name="常规 5 3 5" xfId="1548"/>
    <cellStyle name="常规 5 3 5 2" xfId="1549"/>
    <cellStyle name="常规 5 3 5 2 2" xfId="1550"/>
    <cellStyle name="常规 5 3 6" xfId="1551"/>
    <cellStyle name="常规 5 3 6 2" xfId="1552"/>
    <cellStyle name="常规 5 3 6 2 2" xfId="1553"/>
    <cellStyle name="常规 5 3 6 3" xfId="1554"/>
    <cellStyle name="常规 5 3 7" xfId="1555"/>
    <cellStyle name="常规 6 2 5 2" xfId="1556"/>
    <cellStyle name="常规 5 3 7 2" xfId="1557"/>
    <cellStyle name="常规 6 2 5 2 2" xfId="1558"/>
    <cellStyle name="常规 5 4 4 2" xfId="1559"/>
    <cellStyle name="常规 5 4 5" xfId="1560"/>
    <cellStyle name="常规 6 10" xfId="1561"/>
    <cellStyle name="常规 6 10 2" xfId="1562"/>
    <cellStyle name="货币 3 3 2 2 3" xfId="1563"/>
    <cellStyle name="常规 6 11" xfId="1564"/>
    <cellStyle name="常规 6 11 2" xfId="1565"/>
    <cellStyle name="货币 3 3 2 3 3" xfId="1566"/>
    <cellStyle name="常规 6 2" xfId="1567"/>
    <cellStyle name="常规 6 2 2" xfId="1568"/>
    <cellStyle name="常规 6 2 2 2" xfId="1569"/>
    <cellStyle name="常规 6 2 2 2 2" xfId="1570"/>
    <cellStyle name="常规 6 2 2 3" xfId="1571"/>
    <cellStyle name="常规 6 2 2 3 2" xfId="1572"/>
    <cellStyle name="常规 6 2 2 4" xfId="1573"/>
    <cellStyle name="常规 6 2 3" xfId="1574"/>
    <cellStyle name="常规 6 2 3 2" xfId="1575"/>
    <cellStyle name="常规 6 2 3 3" xfId="1576"/>
    <cellStyle name="常规 6 2 3 3 2" xfId="1577"/>
    <cellStyle name="货币 2 2 3 10" xfId="1578"/>
    <cellStyle name="常规 6 2 3 4" xfId="1579"/>
    <cellStyle name="货币 2 4 5 2 2" xfId="1580"/>
    <cellStyle name="常规 6 2 3 4 2" xfId="1581"/>
    <cellStyle name="常规 6 2 3 5" xfId="1582"/>
    <cellStyle name="货币 2 2 2 6 2 2" xfId="1583"/>
    <cellStyle name="常规 6 2 4" xfId="1584"/>
    <cellStyle name="常规 9 9 2" xfId="1585"/>
    <cellStyle name="常规 6 2 5" xfId="1586"/>
    <cellStyle name="常规 9 9 3" xfId="1587"/>
    <cellStyle name="常规 6 2 6" xfId="1588"/>
    <cellStyle name="常规 6 2 6 2" xfId="1589"/>
    <cellStyle name="常规 6 2 7" xfId="1590"/>
    <cellStyle name="常规 6 3 4 2" xfId="1591"/>
    <cellStyle name="常规 6 2 7 2" xfId="1592"/>
    <cellStyle name="常规 6 2 8" xfId="1593"/>
    <cellStyle name="常规 6 2 8 2" xfId="1594"/>
    <cellStyle name="常规 6 2 9" xfId="1595"/>
    <cellStyle name="货币 3 2 11 2" xfId="1596"/>
    <cellStyle name="常规 6 2 9 2" xfId="1597"/>
    <cellStyle name="常规 6 3" xfId="1598"/>
    <cellStyle name="货币 3 3 9 2" xfId="1599"/>
    <cellStyle name="常规 6 3 2" xfId="1600"/>
    <cellStyle name="常规 6 3 2 2" xfId="1601"/>
    <cellStyle name="常规 9 7 5" xfId="1602"/>
    <cellStyle name="常规 6 3 3" xfId="1603"/>
    <cellStyle name="常规 6 3 3 2" xfId="1604"/>
    <cellStyle name="常规 6 3 4" xfId="1605"/>
    <cellStyle name="常规 6 3 5" xfId="1606"/>
    <cellStyle name="常规 6 4 4 2" xfId="1607"/>
    <cellStyle name="货币 3 2 2 7 2" xfId="1608"/>
    <cellStyle name="常规 6 4 5" xfId="1609"/>
    <cellStyle name="货币 3 2 2 8" xfId="1610"/>
    <cellStyle name="货币 2 3 11" xfId="1611"/>
    <cellStyle name="常规 6 5 2 2" xfId="1612"/>
    <cellStyle name="货币 3 2 3 5 2" xfId="1613"/>
    <cellStyle name="常规 6 5 3" xfId="1614"/>
    <cellStyle name="货币 3 2 3 6" xfId="1615"/>
    <cellStyle name="常规 6 5 3 2" xfId="1616"/>
    <cellStyle name="货币 3 2 3 6 2" xfId="1617"/>
    <cellStyle name="常规 6 5 4" xfId="1618"/>
    <cellStyle name="货币 2 2 7 2 2" xfId="1619"/>
    <cellStyle name="货币 3 2 3 7" xfId="1620"/>
    <cellStyle name="常规 6 5 4 2" xfId="1621"/>
    <cellStyle name="货币 3 2 3 7 2" xfId="1622"/>
    <cellStyle name="常规 6 5 5" xfId="1623"/>
    <cellStyle name="货币 3 2 3 8" xfId="1624"/>
    <cellStyle name="常规 6 6 3" xfId="1625"/>
    <cellStyle name="常规 6 7 2" xfId="1626"/>
    <cellStyle name="货币 3 2 5 5" xfId="1627"/>
    <cellStyle name="常规 6 8" xfId="1628"/>
    <cellStyle name="常规 6 8 2" xfId="1629"/>
    <cellStyle name="货币 3 2 6 5" xfId="1630"/>
    <cellStyle name="常规 6 8 2 2" xfId="1631"/>
    <cellStyle name="常规 6 8 3" xfId="1632"/>
    <cellStyle name="常规 6 8 3 2" xfId="1633"/>
    <cellStyle name="常规 6 8 4" xfId="1634"/>
    <cellStyle name="货币 7 2 2" xfId="1635"/>
    <cellStyle name="常规 6 8 5" xfId="1636"/>
    <cellStyle name="常规 6 9" xfId="1637"/>
    <cellStyle name="常规 7" xfId="1638"/>
    <cellStyle name="常规 7 12" xfId="1639"/>
    <cellStyle name="常规 7 13" xfId="1640"/>
    <cellStyle name="常规 7 14" xfId="1641"/>
    <cellStyle name="常规 7 2" xfId="1642"/>
    <cellStyle name="常规 7 2 2" xfId="1643"/>
    <cellStyle name="常规 7 2 3" xfId="1644"/>
    <cellStyle name="常规 7 2 4" xfId="1645"/>
    <cellStyle name="常规 7 2 5" xfId="1646"/>
    <cellStyle name="常规 7 3 2" xfId="1647"/>
    <cellStyle name="常规 7 3 4" xfId="1648"/>
    <cellStyle name="常规 7 3 5" xfId="1649"/>
    <cellStyle name="常规 7 4 2 2" xfId="1650"/>
    <cellStyle name="货币 3 3 2 5 2" xfId="1651"/>
    <cellStyle name="常规 7 4 3" xfId="1652"/>
    <cellStyle name="货币 3 3 2 6" xfId="1653"/>
    <cellStyle name="常规 7 4 3 2" xfId="1654"/>
    <cellStyle name="货币 3 3 2 6 2" xfId="1655"/>
    <cellStyle name="常规 7 4 4" xfId="1656"/>
    <cellStyle name="货币 3 3 2 7" xfId="1657"/>
    <cellStyle name="常规 7 4 5" xfId="1658"/>
    <cellStyle name="货币 3 3 2 8" xfId="1659"/>
    <cellStyle name="常规 7 5 3" xfId="1660"/>
    <cellStyle name="常规 7 6 3" xfId="1661"/>
    <cellStyle name="常规 7 8" xfId="1662"/>
    <cellStyle name="常规 7 9" xfId="1663"/>
    <cellStyle name="常规 8 10" xfId="1664"/>
    <cellStyle name="常规 8 2" xfId="1665"/>
    <cellStyle name="常规 8 2 2" xfId="1666"/>
    <cellStyle name="货币 2 7 3" xfId="1667"/>
    <cellStyle name="常规 8 2 4" xfId="1668"/>
    <cellStyle name="货币 2 7 5" xfId="1669"/>
    <cellStyle name="常规 8 2 5" xfId="1670"/>
    <cellStyle name="常规 8 3" xfId="1671"/>
    <cellStyle name="常规 8 3 2" xfId="1672"/>
    <cellStyle name="货币 2 8 3" xfId="1673"/>
    <cellStyle name="常规 8 3 2 2" xfId="1674"/>
    <cellStyle name="货币 2 8 3 2" xfId="1675"/>
    <cellStyle name="常规 8 3 3" xfId="1676"/>
    <cellStyle name="货币 2 8 4" xfId="1677"/>
    <cellStyle name="常规 8 3 3 2" xfId="1678"/>
    <cellStyle name="货币 2 8 4 2" xfId="1679"/>
    <cellStyle name="常规 8 3 4" xfId="1680"/>
    <cellStyle name="货币 2 8 5" xfId="1681"/>
    <cellStyle name="常规 8 3 4 2" xfId="1682"/>
    <cellStyle name="常规 8 3 5" xfId="1683"/>
    <cellStyle name="常规 8 4 2 2" xfId="1684"/>
    <cellStyle name="常规 8 4 3" xfId="1685"/>
    <cellStyle name="常规 8 4 3 2" xfId="1686"/>
    <cellStyle name="常规 8 4 4" xfId="1687"/>
    <cellStyle name="常规 8 4 4 2" xfId="1688"/>
    <cellStyle name="常规 8 4 5" xfId="1689"/>
    <cellStyle name="常规 8 5 2 2" xfId="1690"/>
    <cellStyle name="常规 8 5 3" xfId="1691"/>
    <cellStyle name="常规 8 6 2 2" xfId="1692"/>
    <cellStyle name="常规 8 6 3" xfId="1693"/>
    <cellStyle name="常规 8 7 2" xfId="1694"/>
    <cellStyle name="常规 8 8" xfId="1695"/>
    <cellStyle name="货币 2 3 3 4 2 2" xfId="1696"/>
    <cellStyle name="常规 8 8 2" xfId="1697"/>
    <cellStyle name="常规 8 9" xfId="1698"/>
    <cellStyle name="常规 9" xfId="1699"/>
    <cellStyle name="常规 9 10" xfId="1700"/>
    <cellStyle name="常规 9 2" xfId="1701"/>
    <cellStyle name="货币 3 7 3" xfId="1702"/>
    <cellStyle name="常规 9 2 2" xfId="1703"/>
    <cellStyle name="货币 2 3" xfId="1704"/>
    <cellStyle name="货币 3 7 4" xfId="1705"/>
    <cellStyle name="常规 9 2 3" xfId="1706"/>
    <cellStyle name="货币 2 4" xfId="1707"/>
    <cellStyle name="货币 3 7 4 2" xfId="1708"/>
    <cellStyle name="常规 9 2 3 2" xfId="1709"/>
    <cellStyle name="货币 2 4 2" xfId="1710"/>
    <cellStyle name="常规 9 3" xfId="1711"/>
    <cellStyle name="货币 3 8 3" xfId="1712"/>
    <cellStyle name="常规 9 3 2" xfId="1713"/>
    <cellStyle name="货币 3 3" xfId="1714"/>
    <cellStyle name="常规 9 3 2 2" xfId="1715"/>
    <cellStyle name="货币 2 2 3 6 3" xfId="1716"/>
    <cellStyle name="货币 3 3 2" xfId="1717"/>
    <cellStyle name="常规 9 3 3" xfId="1718"/>
    <cellStyle name="货币 3 4" xfId="1719"/>
    <cellStyle name="常规 9 3 3 2" xfId="1720"/>
    <cellStyle name="货币 3 4 2" xfId="1721"/>
    <cellStyle name="常规 9 3 4" xfId="1722"/>
    <cellStyle name="货币 3 5" xfId="1723"/>
    <cellStyle name="常规 9 3 4 2" xfId="1724"/>
    <cellStyle name="货币 3 5 2" xfId="1725"/>
    <cellStyle name="常规 9 3 5" xfId="1726"/>
    <cellStyle name="常规 9 4 2 2" xfId="1727"/>
    <cellStyle name="常规 9 4 3" xfId="1728"/>
    <cellStyle name="常规 9 4 3 2" xfId="1729"/>
    <cellStyle name="常规 9 4 4" xfId="1730"/>
    <cellStyle name="常规 9 4 4 2" xfId="1731"/>
    <cellStyle name="常规 9 4 5" xfId="1732"/>
    <cellStyle name="常规 9 5 2 2" xfId="1733"/>
    <cellStyle name="常规 9 5 3" xfId="1734"/>
    <cellStyle name="常规 9 5 3 2" xfId="1735"/>
    <cellStyle name="常规 9 5 4" xfId="1736"/>
    <cellStyle name="常规 9 6 3" xfId="1737"/>
    <cellStyle name="常规 9 6 4" xfId="1738"/>
    <cellStyle name="常规 9 7 2" xfId="1739"/>
    <cellStyle name="常规 9 7 3" xfId="1740"/>
    <cellStyle name="常规 9 7 4" xfId="1741"/>
    <cellStyle name="常规 9 8" xfId="1742"/>
    <cellStyle name="货币 2 3 3 4 3 2" xfId="1743"/>
    <cellStyle name="常规 9 8 2" xfId="1744"/>
    <cellStyle name="常规 9 9" xfId="1745"/>
    <cellStyle name="货币 2 10" xfId="1746"/>
    <cellStyle name="货币 2 11" xfId="1747"/>
    <cellStyle name="货币 2 11 2" xfId="1748"/>
    <cellStyle name="货币 2 12" xfId="1749"/>
    <cellStyle name="货币 2 12 2" xfId="1750"/>
    <cellStyle name="货币 2 13" xfId="1751"/>
    <cellStyle name="货币 2 13 2" xfId="1752"/>
    <cellStyle name="货币 2 14" xfId="1753"/>
    <cellStyle name="货币 2 2" xfId="1754"/>
    <cellStyle name="货币 2 2 2" xfId="1755"/>
    <cellStyle name="货币 2 2 2 5 3" xfId="1756"/>
    <cellStyle name="货币 2 2 2 2" xfId="1757"/>
    <cellStyle name="货币 2 2 2 2 2" xfId="1758"/>
    <cellStyle name="货币 2 2 2 2 2 2" xfId="1759"/>
    <cellStyle name="货币 2 2 2 2 3" xfId="1760"/>
    <cellStyle name="货币 2 2 2 2 3 2" xfId="1761"/>
    <cellStyle name="货币 2 2 2 2 4" xfId="1762"/>
    <cellStyle name="货币 2 2 2 2 5" xfId="1763"/>
    <cellStyle name="货币 2 2 2 4" xfId="1764"/>
    <cellStyle name="货币 2 2 2 4 2" xfId="1765"/>
    <cellStyle name="货币 2 2 2 4 2 2" xfId="1766"/>
    <cellStyle name="货币 2 2 2 4 3" xfId="1767"/>
    <cellStyle name="货币 2 2 2 4 3 2" xfId="1768"/>
    <cellStyle name="货币 2 2 2 4 4" xfId="1769"/>
    <cellStyle name="货币 2 2 2 4 4 2" xfId="1770"/>
    <cellStyle name="货币 2 2 2 4 5" xfId="1771"/>
    <cellStyle name="货币 2 2 2 5 2 2" xfId="1772"/>
    <cellStyle name="货币 2 2 2 7 2" xfId="1773"/>
    <cellStyle name="货币 2 2 2 8" xfId="1774"/>
    <cellStyle name="货币 2 2 2 8 2" xfId="1775"/>
    <cellStyle name="货币 2 2 2 9" xfId="1776"/>
    <cellStyle name="货币 2 2 2 9 2" xfId="1777"/>
    <cellStyle name="货币 2 2 3" xfId="1778"/>
    <cellStyle name="货币 2 2 3 2" xfId="1779"/>
    <cellStyle name="货币 2 2 3 3" xfId="1780"/>
    <cellStyle name="货币 2 2 3 3 3 2" xfId="1781"/>
    <cellStyle name="货币 2 2 3 3 4" xfId="1782"/>
    <cellStyle name="货币 2 3 3 2 2 2" xfId="1783"/>
    <cellStyle name="货币 2 2 3 3 4 2" xfId="1784"/>
    <cellStyle name="货币 2 2 3 3 5" xfId="1785"/>
    <cellStyle name="货币 2 2 3 4" xfId="1786"/>
    <cellStyle name="货币 2 2 3 4 3 2" xfId="1787"/>
    <cellStyle name="货币 2 2 3 4 4" xfId="1788"/>
    <cellStyle name="货币 2 3 3 2 3 2" xfId="1789"/>
    <cellStyle name="货币 2 2 3 4 4 2" xfId="1790"/>
    <cellStyle name="货币 2 2 3 4 5" xfId="1791"/>
    <cellStyle name="货币 2 2 3 6 2 2" xfId="1792"/>
    <cellStyle name="货币 2 2 3 8 2" xfId="1793"/>
    <cellStyle name="货币 2 2 3 9" xfId="1794"/>
    <cellStyle name="货币 2 2 3 9 2" xfId="1795"/>
    <cellStyle name="货币 2 2 4" xfId="1796"/>
    <cellStyle name="货币 2 2 4 2" xfId="1797"/>
    <cellStyle name="货币 2 2 4 3" xfId="1798"/>
    <cellStyle name="货币 2 2 4 4" xfId="1799"/>
    <cellStyle name="货币 3 10" xfId="1800"/>
    <cellStyle name="货币 2 2 5 2" xfId="1801"/>
    <cellStyle name="货币 2 2 5 3" xfId="1802"/>
    <cellStyle name="货币 2 2 5 4" xfId="1803"/>
    <cellStyle name="货币 2 2 6" xfId="1804"/>
    <cellStyle name="货币 2 2 6 2" xfId="1805"/>
    <cellStyle name="货币 2 2 6 3" xfId="1806"/>
    <cellStyle name="货币 2 2 6 4" xfId="1807"/>
    <cellStyle name="货币 2 2 6 4 2" xfId="1808"/>
    <cellStyle name="货币 2 2 7" xfId="1809"/>
    <cellStyle name="货币 2 2 7 2" xfId="1810"/>
    <cellStyle name="货币 2 2 7 3" xfId="1811"/>
    <cellStyle name="货币 2 2 8" xfId="1812"/>
    <cellStyle name="货币 3 2 3 2 2" xfId="1813"/>
    <cellStyle name="货币 2 2 8 2" xfId="1814"/>
    <cellStyle name="货币 3 2 3 2 2 2" xfId="1815"/>
    <cellStyle name="货币 2 2 9 2" xfId="1816"/>
    <cellStyle name="货币 3 2 3 2 3 2" xfId="1817"/>
    <cellStyle name="货币 2 3 10" xfId="1818"/>
    <cellStyle name="货币 2 3 10 2" xfId="1819"/>
    <cellStyle name="货币 2 3 11 2" xfId="1820"/>
    <cellStyle name="货币 3 2 3 5 2 2" xfId="1821"/>
    <cellStyle name="货币 2 3 12" xfId="1822"/>
    <cellStyle name="货币 3 2 3 5 3" xfId="1823"/>
    <cellStyle name="货币 2 3 2 2 2 2" xfId="1824"/>
    <cellStyle name="货币 2 3 2 2 3" xfId="1825"/>
    <cellStyle name="货币 2 3 2 2 3 2" xfId="1826"/>
    <cellStyle name="货币 2 3 2 2 4" xfId="1827"/>
    <cellStyle name="货币 2 3 2 2 4 2" xfId="1828"/>
    <cellStyle name="货币 2 3 2 2 5" xfId="1829"/>
    <cellStyle name="货币 3 2 2 3 2 2" xfId="1830"/>
    <cellStyle name="货币 2 3 2 3 2 2" xfId="1831"/>
    <cellStyle name="货币 2 3 2 3 3" xfId="1832"/>
    <cellStyle name="货币 2 3 2 3 3 2" xfId="1833"/>
    <cellStyle name="货币 2 3 2 3 4" xfId="1834"/>
    <cellStyle name="货币 2 3 2 3 5" xfId="1835"/>
    <cellStyle name="货币 3 2 2 3 3 2" xfId="1836"/>
    <cellStyle name="货币 2 3 2 4 3 2" xfId="1837"/>
    <cellStyle name="货币 2 3 2 4 4" xfId="1838"/>
    <cellStyle name="货币 2 3 2 4 4 2" xfId="1839"/>
    <cellStyle name="货币 2 3 2 4 5" xfId="1840"/>
    <cellStyle name="货币 3 2 2 3 4 2" xfId="1841"/>
    <cellStyle name="货币 2 3 2 5 2 2" xfId="1842"/>
    <cellStyle name="货币 2 3 2 5 3" xfId="1843"/>
    <cellStyle name="货币 2 3 2 6 2 2" xfId="1844"/>
    <cellStyle name="货币 2 3 2 9" xfId="1845"/>
    <cellStyle name="货币 2 3 3" xfId="1846"/>
    <cellStyle name="货币 2 3 3 2 3" xfId="1847"/>
    <cellStyle name="货币 2 3 3 2 4" xfId="1848"/>
    <cellStyle name="货币 2 3 3 3 2" xfId="1849"/>
    <cellStyle name="货币 2 3 3 3 3" xfId="1850"/>
    <cellStyle name="货币 2 3 3 3 3 2" xfId="1851"/>
    <cellStyle name="货币 2 3 3 3 4" xfId="1852"/>
    <cellStyle name="货币 2 3 3 3 4 2" xfId="1853"/>
    <cellStyle name="货币 2 3 3 3 5" xfId="1854"/>
    <cellStyle name="货币 3 2 2 4 3 2" xfId="1855"/>
    <cellStyle name="货币 2 3 3 4" xfId="1856"/>
    <cellStyle name="货币 2 3 3 4 2" xfId="1857"/>
    <cellStyle name="货币 2 3 3 4 3" xfId="1858"/>
    <cellStyle name="货币 2 3 3 4 4" xfId="1859"/>
    <cellStyle name="货币 2 3 3 4 4 2" xfId="1860"/>
    <cellStyle name="货币 2 3 3 4 5" xfId="1861"/>
    <cellStyle name="货币 3 2 2 4 4 2" xfId="1862"/>
    <cellStyle name="货币 2 3 3 5 3" xfId="1863"/>
    <cellStyle name="货币 2 3 3 6 2 2" xfId="1864"/>
    <cellStyle name="货币 2 3 3 8 2" xfId="1865"/>
    <cellStyle name="货币 2 3 3 9 2" xfId="1866"/>
    <cellStyle name="货币 2 3 4 2 2" xfId="1867"/>
    <cellStyle name="货币 2 3 4 3" xfId="1868"/>
    <cellStyle name="货币 2 3 4 3 2" xfId="1869"/>
    <cellStyle name="货币 2 3 4 4" xfId="1870"/>
    <cellStyle name="货币 2 3 4 4 2" xfId="1871"/>
    <cellStyle name="货币 2 3 5 4" xfId="1872"/>
    <cellStyle name="货币 2 3 5 4 2" xfId="1873"/>
    <cellStyle name="货币 2 3 6" xfId="1874"/>
    <cellStyle name="货币 2 3 6 3" xfId="1875"/>
    <cellStyle name="货币 2 3 6 4" xfId="1876"/>
    <cellStyle name="货币 2 3 6 4 2" xfId="1877"/>
    <cellStyle name="货币 2 3 7" xfId="1878"/>
    <cellStyle name="适中 2 2" xfId="1879"/>
    <cellStyle name="货币 2 3 7 3" xfId="1880"/>
    <cellStyle name="货币 2 3 8" xfId="1881"/>
    <cellStyle name="货币 3 2 3 3 2" xfId="1882"/>
    <cellStyle name="货币 2 4 10" xfId="1883"/>
    <cellStyle name="货币 2 4 10 2" xfId="1884"/>
    <cellStyle name="货币 2 4 11" xfId="1885"/>
    <cellStyle name="货币 2 4 2 2" xfId="1886"/>
    <cellStyle name="货币 2 4 2 2 2" xfId="1887"/>
    <cellStyle name="货币 2 4 2 4" xfId="1888"/>
    <cellStyle name="货币 2 4 2 6" xfId="1889"/>
    <cellStyle name="货币 2 4 2 6 2" xfId="1890"/>
    <cellStyle name="货币 2 4 2 7" xfId="1891"/>
    <cellStyle name="货币 2 4 2 8" xfId="1892"/>
    <cellStyle name="货币 2 4 2 8 2" xfId="1893"/>
    <cellStyle name="货币 2 4 2 9" xfId="1894"/>
    <cellStyle name="货币 2 4 2 9 2" xfId="1895"/>
    <cellStyle name="货币 3 2 6" xfId="1896"/>
    <cellStyle name="货币 2 4 3" xfId="1897"/>
    <cellStyle name="货币 2 4 3 2" xfId="1898"/>
    <cellStyle name="货币 2 4 3 2 2" xfId="1899"/>
    <cellStyle name="货币 2 4 3 3" xfId="1900"/>
    <cellStyle name="货币 2 4 3 4" xfId="1901"/>
    <cellStyle name="货币 2 4 4" xfId="1902"/>
    <cellStyle name="货币 2 4 4 2" xfId="1903"/>
    <cellStyle name="货币 2 4 4 2 2" xfId="1904"/>
    <cellStyle name="货币 2 4 4 3" xfId="1905"/>
    <cellStyle name="货币 2 4 4 4" xfId="1906"/>
    <cellStyle name="货币 2 4 5 2" xfId="1907"/>
    <cellStyle name="货币 2 4 5 3" xfId="1908"/>
    <cellStyle name="货币 2 4 5 4" xfId="1909"/>
    <cellStyle name="货币 2 4 6" xfId="1910"/>
    <cellStyle name="货币 2 4 6 2" xfId="1911"/>
    <cellStyle name="货币 3 2 10" xfId="1912"/>
    <cellStyle name="货币 2 4 6 2 2" xfId="1913"/>
    <cellStyle name="货币 3 2 10 2" xfId="1914"/>
    <cellStyle name="货币 2 4 6 3" xfId="1915"/>
    <cellStyle name="货币 3 2 11" xfId="1916"/>
    <cellStyle name="货币 2 4 7" xfId="1917"/>
    <cellStyle name="货币 2 4 7 2" xfId="1918"/>
    <cellStyle name="货币 2 4 8" xfId="1919"/>
    <cellStyle name="货币 3 2 3 4 2" xfId="1920"/>
    <cellStyle name="货币 2 4 8 2" xfId="1921"/>
    <cellStyle name="货币 3 2 3 4 2 2" xfId="1922"/>
    <cellStyle name="货币 2 4 9" xfId="1923"/>
    <cellStyle name="货币 3 2 3 4 3" xfId="1924"/>
    <cellStyle name="货币 2 4 9 2" xfId="1925"/>
    <cellStyle name="货币 3 2 3 4 3 2" xfId="1926"/>
    <cellStyle name="货币 2 5 2" xfId="1927"/>
    <cellStyle name="货币 2 5 2 2" xfId="1928"/>
    <cellStyle name="货币 2 5 3" xfId="1929"/>
    <cellStyle name="货币 2 5 3 2" xfId="1930"/>
    <cellStyle name="货币 2 5 4" xfId="1931"/>
    <cellStyle name="货币 2 5 4 2" xfId="1932"/>
    <cellStyle name="货币 2 5 5" xfId="1933"/>
    <cellStyle name="货币 2 5 5 2" xfId="1934"/>
    <cellStyle name="货币 2 5 6" xfId="1935"/>
    <cellStyle name="货币 2 6" xfId="1936"/>
    <cellStyle name="货币 2 6 2" xfId="1937"/>
    <cellStyle name="货币 2 6 2 2" xfId="1938"/>
    <cellStyle name="货币 2 6 3" xfId="1939"/>
    <cellStyle name="货币 2 6 3 2" xfId="1940"/>
    <cellStyle name="货币 2 6 4" xfId="1941"/>
    <cellStyle name="货币 2 6 4 2" xfId="1942"/>
    <cellStyle name="货币 2 6 5" xfId="1943"/>
    <cellStyle name="货币 2 8 2 2" xfId="1944"/>
    <cellStyle name="货币 3" xfId="1945"/>
    <cellStyle name="货币 3 2" xfId="1946"/>
    <cellStyle name="货币 3 2 12" xfId="1947"/>
    <cellStyle name="货币 3 2 2 2" xfId="1948"/>
    <cellStyle name="货币 3 2 2 2 2" xfId="1949"/>
    <cellStyle name="货币 3 2 2 2 2 2" xfId="1950"/>
    <cellStyle name="货币 3 2 2 2 3" xfId="1951"/>
    <cellStyle name="货币 3 2 2 2 4" xfId="1952"/>
    <cellStyle name="货币 3 2 2 2 4 2" xfId="1953"/>
    <cellStyle name="货币 3 2 2 2 5" xfId="1954"/>
    <cellStyle name="货币 3 2 2 3 2" xfId="1955"/>
    <cellStyle name="货币 3 2 2 3 3" xfId="1956"/>
    <cellStyle name="货币 3 2 2 3 4" xfId="1957"/>
    <cellStyle name="货币 3 2 2 3 5" xfId="1958"/>
    <cellStyle name="货币 3 2 2 4 2" xfId="1959"/>
    <cellStyle name="货币 3 2 2 4 2 2" xfId="1960"/>
    <cellStyle name="货币 3 2 2 4 3" xfId="1961"/>
    <cellStyle name="货币 3 2 2 4 4" xfId="1962"/>
    <cellStyle name="货币 3 2 2 4 5" xfId="1963"/>
    <cellStyle name="货币 3 2 2 5 2 2" xfId="1964"/>
    <cellStyle name="货币 3 2 2 5 3" xfId="1965"/>
    <cellStyle name="货币 3 2 2 6 2 2" xfId="1966"/>
    <cellStyle name="货币 3 2 2 6 3" xfId="1967"/>
    <cellStyle name="货币 3 2 2 8 2" xfId="1968"/>
    <cellStyle name="货币 3 2 2 9" xfId="1969"/>
    <cellStyle name="货币 3 2 2 9 2" xfId="1970"/>
    <cellStyle name="货币 3 2 3" xfId="1971"/>
    <cellStyle name="货币 3 2 3 10" xfId="1972"/>
    <cellStyle name="货币 3 2 3 2" xfId="1973"/>
    <cellStyle name="货币 3 2 3 2 4" xfId="1974"/>
    <cellStyle name="货币 3 2 3 3" xfId="1975"/>
    <cellStyle name="货币 3 2 3 3 4" xfId="1976"/>
    <cellStyle name="货币 3 2 3 3 5" xfId="1977"/>
    <cellStyle name="货币 3 2 3 4" xfId="1978"/>
    <cellStyle name="货币 3 2 3 4 4" xfId="1979"/>
    <cellStyle name="货币 3 2 3 4 4 2" xfId="1980"/>
    <cellStyle name="货币 3 2 3 4 5" xfId="1981"/>
    <cellStyle name="货币 3 2 3 6 2 2" xfId="1982"/>
    <cellStyle name="货币 3 2 3 6 3" xfId="1983"/>
    <cellStyle name="货币 3 2 3 8 2" xfId="1984"/>
    <cellStyle name="货币 3 2 3 9" xfId="1985"/>
    <cellStyle name="货币 3 2 3 9 2" xfId="1986"/>
    <cellStyle name="货币 3 2 4" xfId="1987"/>
    <cellStyle name="货币 3 2 4 2" xfId="1988"/>
    <cellStyle name="货币 3 2 4 3" xfId="1989"/>
    <cellStyle name="货币 3 2 4 4" xfId="1990"/>
    <cellStyle name="货币 3 2 4 4 2" xfId="1991"/>
    <cellStyle name="货币 3 4 8" xfId="1992"/>
    <cellStyle name="货币 3 2 5" xfId="1993"/>
    <cellStyle name="货币 3 2 5 2" xfId="1994"/>
    <cellStyle name="货币 3 2 5 2 2" xfId="1995"/>
    <cellStyle name="货币 3 2 5 3" xfId="1996"/>
    <cellStyle name="货币 3 2 5 3 2" xfId="1997"/>
    <cellStyle name="货币 3 2 5 4" xfId="1998"/>
    <cellStyle name="货币 3 2 5 4 2" xfId="1999"/>
    <cellStyle name="货币 3 2 6 2" xfId="2000"/>
    <cellStyle name="货币 3 2 6 2 2" xfId="2001"/>
    <cellStyle name="货币 3 2 6 3" xfId="2002"/>
    <cellStyle name="货币 3 2 6 3 2" xfId="2003"/>
    <cellStyle name="货币 3 2 6 4" xfId="2004"/>
    <cellStyle name="货币 3 2 6 4 2" xfId="2005"/>
    <cellStyle name="货币 3 2 7 2 2" xfId="2006"/>
    <cellStyle name="货币 3 2 9 2" xfId="2007"/>
    <cellStyle name="货币 3 3 10" xfId="2008"/>
    <cellStyle name="货币 3 3 10 2" xfId="2009"/>
    <cellStyle name="货币 3 3 2 10" xfId="2010"/>
    <cellStyle name="货币 3 3 2 2 2" xfId="2011"/>
    <cellStyle name="货币 3 3 2 2 2 2" xfId="2012"/>
    <cellStyle name="货币 3 3 2 2 3 2" xfId="2013"/>
    <cellStyle name="货币 3 3 2 2 4" xfId="2014"/>
    <cellStyle name="货币 3 3 2 3" xfId="2015"/>
    <cellStyle name="货币 3 3 2 3 2" xfId="2016"/>
    <cellStyle name="货币 3 3 2 3 2 2" xfId="2017"/>
    <cellStyle name="货币 3 3 2 3 3 2" xfId="2018"/>
    <cellStyle name="货币 3 3 2 3 5" xfId="2019"/>
    <cellStyle name="货币 3 3 2 3 4" xfId="2020"/>
    <cellStyle name="货币 3 3 2 3 4 2" xfId="2021"/>
    <cellStyle name="货币 3 3 2 4 5" xfId="2022"/>
    <cellStyle name="货币 3 3 2 4" xfId="2023"/>
    <cellStyle name="货币 3 3 2 4 2" xfId="2024"/>
    <cellStyle name="货币 3 3 2 4 3" xfId="2025"/>
    <cellStyle name="货币 3 3 2 4 3 2" xfId="2026"/>
    <cellStyle name="货币 3 3 2 4 4" xfId="2027"/>
    <cellStyle name="货币 3 3 2 4 4 2" xfId="2028"/>
    <cellStyle name="货币 3 3 2 5 2 2" xfId="2029"/>
    <cellStyle name="货币 3 3 2 5 3" xfId="2030"/>
    <cellStyle name="货币 3 3 2 8 2" xfId="2031"/>
    <cellStyle name="货币 3 3 2 9" xfId="2032"/>
    <cellStyle name="货币 3 3 2 9 2" xfId="2033"/>
    <cellStyle name="货币 3 3 3" xfId="2034"/>
    <cellStyle name="货币 3 3 3 2" xfId="2035"/>
    <cellStyle name="货币 3 3 3 3" xfId="2036"/>
    <cellStyle name="货币 3 3 3 4" xfId="2037"/>
    <cellStyle name="货币 3 3 4 2" xfId="2038"/>
    <cellStyle name="货币 3 3 4 3" xfId="2039"/>
    <cellStyle name="货币 3 3 4 4" xfId="2040"/>
    <cellStyle name="货币 3 3 5" xfId="2041"/>
    <cellStyle name="货币 3 3 6" xfId="2042"/>
    <cellStyle name="货币 3 4 10 2" xfId="2043"/>
    <cellStyle name="货币 3 4 2 2" xfId="2044"/>
    <cellStyle name="货币 3 4 2 2 2" xfId="2045"/>
    <cellStyle name="货币 3 4 2 3" xfId="2046"/>
    <cellStyle name="货币 3 4 2 3 2" xfId="2047"/>
    <cellStyle name="货币 3 4 3" xfId="2048"/>
    <cellStyle name="货币 3 4 3 2" xfId="2049"/>
    <cellStyle name="货币 3 4 3 3" xfId="2050"/>
    <cellStyle name="货币 3 4 4" xfId="2051"/>
    <cellStyle name="货币 3 4 4 2" xfId="2052"/>
    <cellStyle name="货币 3 4 4 3" xfId="2053"/>
    <cellStyle name="货币 3 4 4 4 2" xfId="2054"/>
    <cellStyle name="货币 3 4 5" xfId="2055"/>
    <cellStyle name="货币 3 4 5 2" xfId="2056"/>
    <cellStyle name="货币 3 4 5 3" xfId="2057"/>
    <cellStyle name="货币 3 4 6" xfId="2058"/>
    <cellStyle name="货币 3 4 6 2" xfId="2059"/>
    <cellStyle name="货币 3 4 6 3" xfId="2060"/>
    <cellStyle name="货币 3 4 7 2" xfId="2061"/>
    <cellStyle name="货币 3 4 8 2" xfId="2062"/>
    <cellStyle name="货币 3 4 9" xfId="2063"/>
    <cellStyle name="货币 3 4 9 2" xfId="2064"/>
    <cellStyle name="货币 3 5 2 2" xfId="2065"/>
    <cellStyle name="货币 3 5 3" xfId="2066"/>
    <cellStyle name="货币 3 5 3 2" xfId="2067"/>
    <cellStyle name="货币 3 5 4" xfId="2068"/>
    <cellStyle name="货币 3 5 4 2" xfId="2069"/>
    <cellStyle name="货币 3 5 5" xfId="2070"/>
    <cellStyle name="货币 3 6" xfId="2071"/>
    <cellStyle name="货币 3 6 2" xfId="2072"/>
    <cellStyle name="货币 3 6 2 2" xfId="2073"/>
    <cellStyle name="货币 3 6 3" xfId="2074"/>
    <cellStyle name="货币 3 6 3 2" xfId="2075"/>
    <cellStyle name="货币 3 6 4" xfId="2076"/>
    <cellStyle name="货币 3 6 4 2" xfId="2077"/>
    <cellStyle name="货币 3 7" xfId="2078"/>
    <cellStyle name="货币 3 7 2" xfId="2079"/>
    <cellStyle name="货币 3 7 2 2" xfId="2080"/>
    <cellStyle name="货币 3 8" xfId="2081"/>
    <cellStyle name="货币 3 8 2" xfId="2082"/>
    <cellStyle name="货币 3 8 2 2" xfId="2083"/>
    <cellStyle name="货币 3 9" xfId="2084"/>
    <cellStyle name="货币 3 9 2" xfId="2085"/>
    <cellStyle name="货币 4" xfId="2086"/>
    <cellStyle name="货币 4 2" xfId="2087"/>
    <cellStyle name="货币 4 3" xfId="2088"/>
    <cellStyle name="货币 4 3 2" xfId="2089"/>
    <cellStyle name="货币 4 4" xfId="2090"/>
    <cellStyle name="货币 4 4 2" xfId="2091"/>
    <cellStyle name="货币 4 5" xfId="2092"/>
    <cellStyle name="货币 5 2 2" xfId="2093"/>
    <cellStyle name="货币 5 3" xfId="2094"/>
    <cellStyle name="货币 6 2 2" xfId="2095"/>
    <cellStyle name="货币 6 3" xfId="2096"/>
    <cellStyle name="货币 7 3" xfId="2097"/>
    <cellStyle name="货币 8 2" xfId="2098"/>
    <cellStyle name="适中 2" xfId="2099"/>
    <cellStyle name="适中 2 3" xfId="2100"/>
    <cellStyle name="适中 2 3 2" xfId="2101"/>
    <cellStyle name="适中 2 5" xfId="2102"/>
    <cellStyle name="适中 2 5 2" xfId="2103"/>
    <cellStyle name="适中 2 6" xfId="2104"/>
  </cellStyles>
  <tableStyles count="1" defaultTableStyle="TableStyleMedium9" defaultPivotStyle="PivotStyleLight16">
    <tableStyle name="表样式 1" pivot="0" count="0" xr9:uid="{6FAFEBFA-A6D7-49DC-B486-02C675441424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O9" sqref="O9"/>
    </sheetView>
  </sheetViews>
  <sheetFormatPr defaultColWidth="9" defaultRowHeight="20.25"/>
  <cols>
    <col min="1" max="1" width="12.625" style="181"/>
    <col min="2" max="3" width="9" style="181"/>
    <col min="4" max="4" width="5" style="181" customWidth="1"/>
    <col min="5" max="5" width="2.875" style="181" customWidth="1"/>
    <col min="6" max="6" width="27.125" style="181" customWidth="1"/>
    <col min="7" max="7" width="11.375" style="181" customWidth="1"/>
    <col min="8" max="8" width="12.75" style="181" customWidth="1"/>
    <col min="9" max="9" width="10.875" style="181" customWidth="1"/>
    <col min="10" max="10" width="10.75" style="181" customWidth="1"/>
    <col min="11" max="11" width="10.875" style="181" customWidth="1"/>
    <col min="12" max="12" width="9" style="181"/>
    <col min="13" max="13" width="12.625" style="181" customWidth="1"/>
    <col min="14" max="14" width="9" style="181"/>
  </cols>
  <sheetData>
    <row r="1" ht="30" customHeight="1" spans="1:14">
      <c r="A1" s="182" t="s">
        <v>0</v>
      </c>
      <c r="B1" s="182"/>
      <c r="C1" s="182"/>
      <c r="D1" s="182"/>
      <c r="E1" s="182"/>
      <c r="F1" s="183"/>
      <c r="G1" s="184"/>
      <c r="H1" s="184"/>
      <c r="I1" s="184"/>
      <c r="J1" s="184"/>
      <c r="K1" s="184"/>
      <c r="L1" s="185"/>
      <c r="M1" s="184"/>
      <c r="N1" s="185"/>
    </row>
    <row r="2" s="178" customFormat="1" ht="21" customHeight="1" spans="1:14">
      <c r="A2" s="186" t="s">
        <v>1</v>
      </c>
      <c r="B2" s="186" t="s">
        <v>2</v>
      </c>
      <c r="C2" s="187" t="s">
        <v>3</v>
      </c>
      <c r="D2" s="187"/>
      <c r="E2" s="187"/>
      <c r="F2" s="188" t="s">
        <v>4</v>
      </c>
      <c r="G2" s="187" t="s">
        <v>5</v>
      </c>
      <c r="H2" s="187" t="s">
        <v>6</v>
      </c>
      <c r="I2" s="187" t="s">
        <v>7</v>
      </c>
      <c r="J2" s="187" t="s">
        <v>8</v>
      </c>
      <c r="K2" s="187" t="s">
        <v>9</v>
      </c>
      <c r="L2" s="187" t="s">
        <v>10</v>
      </c>
      <c r="M2" s="187" t="s">
        <v>11</v>
      </c>
    </row>
    <row r="3" s="94" customFormat="1" spans="1:14">
      <c r="A3" s="90">
        <v>45347</v>
      </c>
      <c r="B3" s="91">
        <v>3</v>
      </c>
      <c r="C3" s="93" t="s">
        <v>12</v>
      </c>
      <c r="D3" s="93"/>
      <c r="E3" s="93"/>
      <c r="F3" s="101" t="s">
        <v>13</v>
      </c>
      <c r="G3" s="93">
        <v>3</v>
      </c>
      <c r="H3" s="93">
        <v>10</v>
      </c>
      <c r="I3" s="93">
        <f>G3*H3</f>
        <v>30</v>
      </c>
      <c r="J3" s="93">
        <v>20</v>
      </c>
      <c r="K3" s="93">
        <f>I3*J3</f>
        <v>600</v>
      </c>
      <c r="M3" s="93"/>
    </row>
    <row r="4" s="94" customFormat="1" spans="1:14">
      <c r="A4" s="90">
        <v>45347</v>
      </c>
      <c r="B4" s="91">
        <v>3</v>
      </c>
      <c r="C4" s="93" t="s">
        <v>14</v>
      </c>
      <c r="D4" s="93"/>
      <c r="E4" s="93"/>
      <c r="F4" s="92" t="s">
        <v>15</v>
      </c>
      <c r="G4" s="93">
        <v>3</v>
      </c>
      <c r="H4" s="93">
        <v>28</v>
      </c>
      <c r="I4" s="93">
        <f>G4*H4</f>
        <v>84</v>
      </c>
      <c r="J4" s="93">
        <v>10</v>
      </c>
      <c r="K4" s="93">
        <f>I4*J4</f>
        <v>840</v>
      </c>
      <c r="L4" s="94">
        <v>9803</v>
      </c>
      <c r="M4" s="93">
        <f>SUM(K3:K4)</f>
        <v>1440</v>
      </c>
    </row>
    <row r="5" s="99" customFormat="1" spans="1:14">
      <c r="A5" s="95">
        <v>45352</v>
      </c>
      <c r="B5" s="96">
        <v>1</v>
      </c>
      <c r="C5" s="98" t="s">
        <v>14</v>
      </c>
      <c r="D5" s="98"/>
      <c r="E5" s="98"/>
      <c r="F5" s="97" t="s">
        <v>15</v>
      </c>
      <c r="G5" s="98">
        <v>1</v>
      </c>
      <c r="H5" s="98">
        <v>800</v>
      </c>
      <c r="I5" s="98">
        <f t="shared" ref="I5:I21" si="0">G5*H5</f>
        <v>800</v>
      </c>
      <c r="J5" s="98">
        <v>10</v>
      </c>
      <c r="K5" s="98">
        <f t="shared" ref="K5:K21" si="1">I5*J5</f>
        <v>8000</v>
      </c>
      <c r="L5" s="99" t="s">
        <v>16</v>
      </c>
      <c r="M5" s="98"/>
    </row>
    <row r="6" s="99" customFormat="1" spans="1:14">
      <c r="A6" s="95">
        <v>45352</v>
      </c>
      <c r="B6" s="96">
        <v>1</v>
      </c>
      <c r="C6" s="98" t="s">
        <v>17</v>
      </c>
      <c r="D6" s="98"/>
      <c r="E6" s="98"/>
      <c r="F6" s="102" t="s">
        <v>18</v>
      </c>
      <c r="G6" s="98">
        <v>5</v>
      </c>
      <c r="H6" s="98">
        <v>25</v>
      </c>
      <c r="I6" s="98">
        <f t="shared" si="0"/>
        <v>125</v>
      </c>
      <c r="J6" s="98">
        <v>20</v>
      </c>
      <c r="K6" s="98">
        <f t="shared" si="1"/>
        <v>2500</v>
      </c>
      <c r="M6" s="98"/>
    </row>
    <row r="7" s="99" customFormat="1" spans="1:14">
      <c r="A7" s="95">
        <v>45352</v>
      </c>
      <c r="B7" s="96">
        <v>1</v>
      </c>
      <c r="C7" s="98" t="s">
        <v>19</v>
      </c>
      <c r="D7" s="98"/>
      <c r="E7" s="98"/>
      <c r="F7" s="102" t="s">
        <v>20</v>
      </c>
      <c r="G7" s="98">
        <v>1</v>
      </c>
      <c r="H7" s="98">
        <v>20</v>
      </c>
      <c r="I7" s="98">
        <f t="shared" si="0"/>
        <v>20</v>
      </c>
      <c r="J7" s="98">
        <v>20</v>
      </c>
      <c r="K7" s="98">
        <f t="shared" si="1"/>
        <v>400</v>
      </c>
      <c r="M7" s="98"/>
    </row>
    <row r="8" s="99" customFormat="1" spans="1:14">
      <c r="A8" s="95">
        <v>45352</v>
      </c>
      <c r="B8" s="96">
        <v>1</v>
      </c>
      <c r="C8" s="98">
        <v>11304</v>
      </c>
      <c r="D8" s="98"/>
      <c r="E8" s="98"/>
      <c r="F8" s="102" t="s">
        <v>21</v>
      </c>
      <c r="G8" s="98">
        <v>1</v>
      </c>
      <c r="H8" s="98">
        <v>21</v>
      </c>
      <c r="I8" s="98">
        <f t="shared" si="0"/>
        <v>21</v>
      </c>
      <c r="J8" s="98">
        <v>20</v>
      </c>
      <c r="K8" s="98">
        <f t="shared" si="1"/>
        <v>420</v>
      </c>
      <c r="M8" s="98"/>
    </row>
    <row r="9" s="99" customFormat="1" spans="1:14">
      <c r="A9" s="95">
        <v>45352</v>
      </c>
      <c r="B9" s="96">
        <v>1</v>
      </c>
      <c r="C9" s="98" t="s">
        <v>12</v>
      </c>
      <c r="D9" s="98"/>
      <c r="E9" s="98"/>
      <c r="F9" s="103" t="s">
        <v>13</v>
      </c>
      <c r="G9" s="98">
        <v>8</v>
      </c>
      <c r="H9" s="98">
        <v>10</v>
      </c>
      <c r="I9" s="98">
        <f t="shared" si="0"/>
        <v>80</v>
      </c>
      <c r="J9" s="98">
        <v>20</v>
      </c>
      <c r="K9" s="98">
        <f t="shared" si="1"/>
        <v>1600</v>
      </c>
      <c r="M9" s="98">
        <f>SUM(K5:K9)</f>
        <v>12920</v>
      </c>
    </row>
    <row r="10" s="145" customFormat="1" ht="19" customHeight="1" spans="1:14">
      <c r="A10" s="90">
        <v>45363</v>
      </c>
      <c r="B10" s="91">
        <v>35</v>
      </c>
      <c r="C10" s="93" t="s">
        <v>22</v>
      </c>
      <c r="D10" s="93"/>
      <c r="E10" s="93"/>
      <c r="F10" s="92" t="s">
        <v>23</v>
      </c>
      <c r="G10" s="93">
        <v>3</v>
      </c>
      <c r="H10" s="93">
        <v>25</v>
      </c>
      <c r="I10" s="93">
        <f t="shared" si="0"/>
        <v>75</v>
      </c>
      <c r="J10" s="93">
        <v>13.5</v>
      </c>
      <c r="K10" s="93">
        <f t="shared" si="1"/>
        <v>1012.5</v>
      </c>
      <c r="L10" s="94" t="s">
        <v>22</v>
      </c>
      <c r="M10" s="93"/>
      <c r="N10" s="94"/>
    </row>
    <row r="11" s="99" customFormat="1" spans="1:14">
      <c r="A11" s="95">
        <v>45371</v>
      </c>
      <c r="B11" s="96">
        <v>55</v>
      </c>
      <c r="C11" s="98" t="s">
        <v>17</v>
      </c>
      <c r="D11" s="98"/>
      <c r="E11" s="98"/>
      <c r="F11" s="102" t="s">
        <v>18</v>
      </c>
      <c r="G11" s="98">
        <v>5</v>
      </c>
      <c r="H11" s="98">
        <v>25</v>
      </c>
      <c r="I11" s="98">
        <f t="shared" si="0"/>
        <v>125</v>
      </c>
      <c r="J11" s="98">
        <v>20</v>
      </c>
      <c r="K11" s="98">
        <f t="shared" si="1"/>
        <v>2500</v>
      </c>
      <c r="M11" s="98"/>
    </row>
    <row r="12" s="99" customFormat="1" spans="1:14">
      <c r="A12" s="95">
        <v>45371</v>
      </c>
      <c r="B12" s="96">
        <v>55</v>
      </c>
      <c r="C12" s="98" t="s">
        <v>24</v>
      </c>
      <c r="D12" s="98"/>
      <c r="E12" s="98"/>
      <c r="F12" s="97" t="s">
        <v>25</v>
      </c>
      <c r="G12" s="98">
        <v>1</v>
      </c>
      <c r="H12" s="98">
        <v>10</v>
      </c>
      <c r="I12" s="98">
        <f t="shared" si="0"/>
        <v>10</v>
      </c>
      <c r="J12" s="98">
        <v>24</v>
      </c>
      <c r="K12" s="98">
        <f t="shared" si="1"/>
        <v>240</v>
      </c>
      <c r="M12" s="98"/>
    </row>
    <row r="13" s="99" customFormat="1" spans="1:14">
      <c r="A13" s="95">
        <v>45371</v>
      </c>
      <c r="B13" s="96">
        <v>55</v>
      </c>
      <c r="C13" s="98" t="s">
        <v>12</v>
      </c>
      <c r="D13" s="98"/>
      <c r="E13" s="98"/>
      <c r="F13" s="103" t="s">
        <v>13</v>
      </c>
      <c r="G13" s="98">
        <v>6</v>
      </c>
      <c r="H13" s="98">
        <v>10</v>
      </c>
      <c r="I13" s="98">
        <f t="shared" si="0"/>
        <v>60</v>
      </c>
      <c r="J13" s="98">
        <v>20</v>
      </c>
      <c r="K13" s="98">
        <f t="shared" si="1"/>
        <v>1200</v>
      </c>
      <c r="L13" s="99" t="s">
        <v>26</v>
      </c>
      <c r="M13" s="98"/>
    </row>
    <row r="14" s="99" customFormat="1" spans="1:14">
      <c r="A14" s="95">
        <v>45371</v>
      </c>
      <c r="B14" s="96">
        <v>55</v>
      </c>
      <c r="C14" s="98" t="s">
        <v>22</v>
      </c>
      <c r="D14" s="98"/>
      <c r="E14" s="98"/>
      <c r="F14" s="97" t="s">
        <v>23</v>
      </c>
      <c r="G14" s="98">
        <v>3</v>
      </c>
      <c r="H14" s="98">
        <v>25</v>
      </c>
      <c r="I14" s="98">
        <f t="shared" si="0"/>
        <v>75</v>
      </c>
      <c r="J14" s="98">
        <v>13.5</v>
      </c>
      <c r="K14" s="98">
        <f t="shared" si="1"/>
        <v>1012.5</v>
      </c>
      <c r="L14" s="99" t="s">
        <v>22</v>
      </c>
      <c r="M14" s="98">
        <f>SUM(K11:K14)</f>
        <v>4952.5</v>
      </c>
    </row>
    <row r="15" s="148" customFormat="1" spans="1:14">
      <c r="A15" s="163">
        <v>45385</v>
      </c>
      <c r="B15" s="164">
        <v>7</v>
      </c>
      <c r="C15" s="165" t="s">
        <v>19</v>
      </c>
      <c r="D15" s="165"/>
      <c r="E15" s="165"/>
      <c r="F15" s="189" t="s">
        <v>20</v>
      </c>
      <c r="G15" s="165">
        <v>1</v>
      </c>
      <c r="H15" s="165">
        <v>15</v>
      </c>
      <c r="I15" s="165">
        <f t="shared" si="0"/>
        <v>15</v>
      </c>
      <c r="J15" s="165">
        <v>20</v>
      </c>
      <c r="K15" s="165">
        <f t="shared" si="1"/>
        <v>300</v>
      </c>
      <c r="M15" s="165"/>
      <c r="N15" s="190" t="s">
        <v>27</v>
      </c>
    </row>
    <row r="16" s="148" customFormat="1" spans="1:14">
      <c r="A16" s="163">
        <v>45385</v>
      </c>
      <c r="B16" s="164">
        <v>7</v>
      </c>
      <c r="C16" s="165">
        <v>11302</v>
      </c>
      <c r="D16" s="165"/>
      <c r="E16" s="165"/>
      <c r="F16" s="189" t="s">
        <v>28</v>
      </c>
      <c r="G16" s="165">
        <v>2</v>
      </c>
      <c r="H16" s="165">
        <v>25</v>
      </c>
      <c r="I16" s="165">
        <f t="shared" si="0"/>
        <v>50</v>
      </c>
      <c r="J16" s="165">
        <v>20</v>
      </c>
      <c r="K16" s="165">
        <f t="shared" si="1"/>
        <v>1000</v>
      </c>
      <c r="L16" s="191"/>
      <c r="M16" s="165">
        <f>SUM(K15:K16)</f>
        <v>1300</v>
      </c>
      <c r="N16" s="192" t="s">
        <v>29</v>
      </c>
    </row>
    <row r="17" s="99" customFormat="1" spans="1:14">
      <c r="A17" s="95">
        <v>45393</v>
      </c>
      <c r="B17" s="96">
        <v>34</v>
      </c>
      <c r="C17" s="98" t="s">
        <v>14</v>
      </c>
      <c r="D17" s="98"/>
      <c r="E17" s="98"/>
      <c r="F17" s="97" t="s">
        <v>15</v>
      </c>
      <c r="G17" s="98">
        <v>1</v>
      </c>
      <c r="H17" s="98">
        <v>800</v>
      </c>
      <c r="I17" s="98">
        <f t="shared" si="0"/>
        <v>800</v>
      </c>
      <c r="J17" s="98">
        <v>10</v>
      </c>
      <c r="K17" s="98">
        <f t="shared" si="1"/>
        <v>8000</v>
      </c>
      <c r="L17" s="99" t="s">
        <v>16</v>
      </c>
      <c r="M17" s="98"/>
    </row>
    <row r="18" s="179" customFormat="1" spans="1:14">
      <c r="A18" s="193">
        <v>45404</v>
      </c>
      <c r="B18" s="194">
        <v>75</v>
      </c>
      <c r="C18" s="195"/>
      <c r="D18" s="195"/>
      <c r="E18" s="195"/>
      <c r="F18" s="196" t="s">
        <v>30</v>
      </c>
      <c r="G18" s="195">
        <v>1</v>
      </c>
      <c r="H18" s="195">
        <v>25</v>
      </c>
      <c r="I18" s="195">
        <f t="shared" si="0"/>
        <v>25</v>
      </c>
      <c r="J18" s="195">
        <v>20</v>
      </c>
      <c r="K18" s="195">
        <f t="shared" si="1"/>
        <v>500</v>
      </c>
      <c r="M18" s="195"/>
    </row>
    <row r="19" s="94" customFormat="1" spans="1:14">
      <c r="A19" s="193">
        <v>45404</v>
      </c>
      <c r="B19" s="194">
        <v>75</v>
      </c>
      <c r="C19" s="93"/>
      <c r="D19" s="93"/>
      <c r="E19" s="93"/>
      <c r="F19" s="100" t="s">
        <v>31</v>
      </c>
      <c r="G19" s="93">
        <v>1</v>
      </c>
      <c r="H19" s="93">
        <v>18</v>
      </c>
      <c r="I19" s="195">
        <f t="shared" si="0"/>
        <v>18</v>
      </c>
      <c r="J19" s="195">
        <v>10</v>
      </c>
      <c r="K19" s="195">
        <f t="shared" si="1"/>
        <v>180</v>
      </c>
      <c r="M19" s="93"/>
    </row>
    <row r="20" s="94" customFormat="1" spans="1:14">
      <c r="A20" s="193">
        <v>45404</v>
      </c>
      <c r="B20" s="194">
        <v>75</v>
      </c>
      <c r="C20" s="93" t="s">
        <v>12</v>
      </c>
      <c r="D20" s="93"/>
      <c r="E20" s="93"/>
      <c r="F20" s="101" t="s">
        <v>13</v>
      </c>
      <c r="G20" s="93">
        <v>1</v>
      </c>
      <c r="H20" s="93">
        <v>10</v>
      </c>
      <c r="I20" s="93">
        <f t="shared" si="0"/>
        <v>10</v>
      </c>
      <c r="J20" s="93">
        <v>20</v>
      </c>
      <c r="K20" s="93">
        <f t="shared" si="1"/>
        <v>200</v>
      </c>
      <c r="L20" s="94" t="s">
        <v>26</v>
      </c>
      <c r="M20" s="93"/>
    </row>
    <row r="21" s="94" customFormat="1" spans="1:14">
      <c r="A21" s="193"/>
      <c r="B21" s="194"/>
      <c r="C21" s="93"/>
      <c r="D21" s="93"/>
      <c r="E21" s="93"/>
      <c r="F21" s="161" t="s">
        <v>32</v>
      </c>
      <c r="G21" s="93"/>
      <c r="H21" s="93"/>
      <c r="I21" s="93"/>
      <c r="J21" s="93"/>
      <c r="K21" s="93"/>
      <c r="M21" s="93"/>
    </row>
    <row r="22" s="94" customFormat="1" spans="1:14">
      <c r="A22" s="193">
        <v>45426</v>
      </c>
      <c r="B22" s="194">
        <v>37</v>
      </c>
      <c r="C22" s="93" t="s">
        <v>22</v>
      </c>
      <c r="D22" s="93"/>
      <c r="E22" s="93"/>
      <c r="F22" s="101" t="s">
        <v>23</v>
      </c>
      <c r="G22" s="93">
        <v>4</v>
      </c>
      <c r="H22" s="93">
        <v>25</v>
      </c>
      <c r="I22" s="93">
        <f t="shared" ref="I22:I44" si="2">G22*H22</f>
        <v>100</v>
      </c>
      <c r="J22" s="93">
        <v>12.5</v>
      </c>
      <c r="K22" s="93">
        <f t="shared" ref="K22:K44" si="3">I22*J22</f>
        <v>1250</v>
      </c>
      <c r="L22" s="94" t="s">
        <v>22</v>
      </c>
      <c r="M22" s="93"/>
    </row>
    <row r="23" s="99" customFormat="1" spans="1:14">
      <c r="A23" s="197">
        <v>45455</v>
      </c>
      <c r="B23" s="198">
        <v>33</v>
      </c>
      <c r="C23" s="98" t="s">
        <v>22</v>
      </c>
      <c r="D23" s="98"/>
      <c r="E23" s="98"/>
      <c r="F23" s="103" t="s">
        <v>23</v>
      </c>
      <c r="G23" s="98">
        <v>4</v>
      </c>
      <c r="H23" s="98">
        <v>25</v>
      </c>
      <c r="I23" s="98">
        <f t="shared" si="2"/>
        <v>100</v>
      </c>
      <c r="J23" s="98">
        <v>12.5</v>
      </c>
      <c r="K23" s="98">
        <f t="shared" si="3"/>
        <v>1250</v>
      </c>
      <c r="L23" s="99" t="s">
        <v>22</v>
      </c>
      <c r="M23" s="98" t="s">
        <v>33</v>
      </c>
      <c r="N23" s="199"/>
    </row>
    <row r="24" s="94" customFormat="1" spans="1:14">
      <c r="A24" s="90">
        <v>45460</v>
      </c>
      <c r="B24" s="91">
        <v>45</v>
      </c>
      <c r="C24" s="93">
        <v>11302</v>
      </c>
      <c r="D24" s="93"/>
      <c r="E24" s="93"/>
      <c r="F24" s="100" t="s">
        <v>28</v>
      </c>
      <c r="G24" s="93">
        <v>2</v>
      </c>
      <c r="H24" s="93">
        <v>24</v>
      </c>
      <c r="I24" s="93">
        <f t="shared" si="2"/>
        <v>48</v>
      </c>
      <c r="J24" s="93">
        <v>20</v>
      </c>
      <c r="K24" s="93">
        <f t="shared" si="3"/>
        <v>960</v>
      </c>
      <c r="L24" s="200"/>
      <c r="M24" s="93" t="s">
        <v>33</v>
      </c>
      <c r="N24" s="92"/>
    </row>
    <row r="25" s="94" customFormat="1" spans="1:14">
      <c r="A25" s="90">
        <v>45460</v>
      </c>
      <c r="B25" s="91">
        <v>45</v>
      </c>
      <c r="C25" s="93">
        <v>11303</v>
      </c>
      <c r="D25" s="93"/>
      <c r="E25" s="93"/>
      <c r="F25" s="100" t="s">
        <v>34</v>
      </c>
      <c r="G25" s="93">
        <v>2</v>
      </c>
      <c r="H25" s="93">
        <v>23</v>
      </c>
      <c r="I25" s="93">
        <f t="shared" si="2"/>
        <v>46</v>
      </c>
      <c r="J25" s="93">
        <v>20</v>
      </c>
      <c r="K25" s="93">
        <f t="shared" si="3"/>
        <v>920</v>
      </c>
      <c r="L25" s="200"/>
      <c r="M25" s="93" t="s">
        <v>33</v>
      </c>
      <c r="N25" s="94">
        <f>SUM(K24:K25)</f>
        <v>1880</v>
      </c>
    </row>
    <row r="26" s="94" customFormat="1" spans="1:14">
      <c r="A26" s="90">
        <v>45460</v>
      </c>
      <c r="B26" s="91">
        <v>45</v>
      </c>
      <c r="C26" s="93" t="s">
        <v>12</v>
      </c>
      <c r="D26" s="93"/>
      <c r="E26" s="93"/>
      <c r="F26" s="101" t="s">
        <v>13</v>
      </c>
      <c r="G26" s="93">
        <v>5</v>
      </c>
      <c r="H26" s="93">
        <v>10</v>
      </c>
      <c r="I26" s="93">
        <f t="shared" si="2"/>
        <v>50</v>
      </c>
      <c r="J26" s="93">
        <v>20</v>
      </c>
      <c r="K26" s="93">
        <f t="shared" si="3"/>
        <v>1000</v>
      </c>
      <c r="L26" s="201"/>
      <c r="M26" s="93"/>
    </row>
    <row r="27" s="99" customFormat="1" spans="1:14">
      <c r="A27" s="95">
        <v>45475</v>
      </c>
      <c r="B27" s="96">
        <v>2</v>
      </c>
      <c r="C27" s="98" t="s">
        <v>14</v>
      </c>
      <c r="D27" s="98"/>
      <c r="E27" s="98"/>
      <c r="F27" s="97" t="s">
        <v>15</v>
      </c>
      <c r="G27" s="98">
        <v>4</v>
      </c>
      <c r="H27" s="98">
        <v>28</v>
      </c>
      <c r="I27" s="98">
        <f t="shared" si="2"/>
        <v>112</v>
      </c>
      <c r="J27" s="98">
        <v>9.5</v>
      </c>
      <c r="K27" s="98">
        <f t="shared" si="3"/>
        <v>1064</v>
      </c>
      <c r="L27" s="99" t="s">
        <v>16</v>
      </c>
      <c r="M27" s="98" t="s">
        <v>33</v>
      </c>
    </row>
    <row r="28" s="94" customFormat="1" spans="1:14">
      <c r="A28" s="90">
        <v>45477</v>
      </c>
      <c r="B28" s="91">
        <v>6</v>
      </c>
      <c r="C28" s="93" t="s">
        <v>14</v>
      </c>
      <c r="D28" s="93"/>
      <c r="E28" s="93"/>
      <c r="F28" s="92" t="s">
        <v>15</v>
      </c>
      <c r="G28" s="93">
        <v>1</v>
      </c>
      <c r="H28" s="93">
        <v>800</v>
      </c>
      <c r="I28" s="93">
        <f t="shared" si="2"/>
        <v>800</v>
      </c>
      <c r="J28" s="93">
        <v>9.5</v>
      </c>
      <c r="K28" s="93">
        <f t="shared" si="3"/>
        <v>7600</v>
      </c>
      <c r="L28" s="94" t="s">
        <v>16</v>
      </c>
      <c r="M28" s="93" t="s">
        <v>33</v>
      </c>
    </row>
    <row r="29" s="99" customFormat="1" spans="1:14">
      <c r="A29" s="197">
        <v>45477</v>
      </c>
      <c r="B29" s="198">
        <v>7</v>
      </c>
      <c r="C29" s="98" t="s">
        <v>22</v>
      </c>
      <c r="D29" s="98"/>
      <c r="E29" s="98"/>
      <c r="F29" s="103" t="s">
        <v>23</v>
      </c>
      <c r="G29" s="98">
        <v>4</v>
      </c>
      <c r="H29" s="98">
        <v>25</v>
      </c>
      <c r="I29" s="98">
        <f t="shared" si="2"/>
        <v>100</v>
      </c>
      <c r="J29" s="98">
        <v>12.5</v>
      </c>
      <c r="K29" s="98">
        <f t="shared" si="3"/>
        <v>1250</v>
      </c>
      <c r="L29" s="99" t="s">
        <v>22</v>
      </c>
      <c r="M29" s="98" t="s">
        <v>33</v>
      </c>
      <c r="N29" s="199"/>
    </row>
    <row r="30" s="94" customFormat="1" spans="1:14">
      <c r="A30" s="193">
        <v>45493</v>
      </c>
      <c r="B30" s="194">
        <v>70</v>
      </c>
      <c r="C30" s="93"/>
      <c r="D30" s="93"/>
      <c r="E30" s="93"/>
      <c r="F30" s="100" t="s">
        <v>31</v>
      </c>
      <c r="G30" s="93">
        <v>1</v>
      </c>
      <c r="H30" s="93">
        <v>20</v>
      </c>
      <c r="I30" s="195">
        <f t="shared" si="2"/>
        <v>20</v>
      </c>
      <c r="J30" s="195">
        <v>10</v>
      </c>
      <c r="K30" s="195">
        <f t="shared" si="3"/>
        <v>200</v>
      </c>
      <c r="L30" s="94" t="s">
        <v>35</v>
      </c>
      <c r="M30" s="93"/>
    </row>
    <row r="31" s="147" customFormat="1" spans="1:14">
      <c r="A31" s="159">
        <v>45542</v>
      </c>
      <c r="B31" s="160">
        <v>22</v>
      </c>
      <c r="C31" s="149" t="s">
        <v>17</v>
      </c>
      <c r="D31" s="149"/>
      <c r="E31" s="149"/>
      <c r="F31" s="202" t="s">
        <v>18</v>
      </c>
      <c r="G31" s="149">
        <v>2</v>
      </c>
      <c r="H31" s="149">
        <v>26</v>
      </c>
      <c r="I31" s="149">
        <f t="shared" si="2"/>
        <v>52</v>
      </c>
      <c r="J31" s="149">
        <v>20</v>
      </c>
      <c r="K31" s="149">
        <f t="shared" si="3"/>
        <v>1040</v>
      </c>
      <c r="L31" s="203"/>
      <c r="M31" s="149" t="s">
        <v>33</v>
      </c>
      <c r="N31" s="203"/>
    </row>
    <row r="32" s="147" customFormat="1" spans="1:14">
      <c r="A32" s="159">
        <v>45542</v>
      </c>
      <c r="B32" s="160">
        <v>22</v>
      </c>
      <c r="C32" s="149" t="s">
        <v>17</v>
      </c>
      <c r="D32" s="149"/>
      <c r="E32" s="149"/>
      <c r="F32" s="202" t="s">
        <v>18</v>
      </c>
      <c r="G32" s="149">
        <v>1</v>
      </c>
      <c r="H32" s="149">
        <v>25</v>
      </c>
      <c r="I32" s="149">
        <f t="shared" si="2"/>
        <v>25</v>
      </c>
      <c r="J32" s="149">
        <v>20</v>
      </c>
      <c r="K32" s="149">
        <f t="shared" si="3"/>
        <v>500</v>
      </c>
      <c r="L32" s="203"/>
      <c r="M32" s="149" t="s">
        <v>33</v>
      </c>
      <c r="N32" s="203"/>
    </row>
    <row r="33" s="147" customFormat="1" spans="1:15">
      <c r="A33" s="159">
        <v>45542</v>
      </c>
      <c r="B33" s="160">
        <v>22</v>
      </c>
      <c r="C33" s="149" t="s">
        <v>12</v>
      </c>
      <c r="D33" s="149"/>
      <c r="E33" s="149"/>
      <c r="F33" s="161" t="s">
        <v>13</v>
      </c>
      <c r="G33" s="149">
        <v>3</v>
      </c>
      <c r="H33" s="149">
        <v>10</v>
      </c>
      <c r="I33" s="149">
        <f t="shared" si="2"/>
        <v>30</v>
      </c>
      <c r="J33" s="149">
        <v>20</v>
      </c>
      <c r="K33" s="149">
        <f t="shared" si="3"/>
        <v>600</v>
      </c>
      <c r="L33" s="201"/>
      <c r="M33" s="149"/>
      <c r="N33" s="203"/>
    </row>
    <row r="34" s="94" customFormat="1" spans="1:15">
      <c r="A34" s="90">
        <v>45575</v>
      </c>
      <c r="B34" s="91">
        <v>23</v>
      </c>
      <c r="C34" s="93" t="s">
        <v>14</v>
      </c>
      <c r="D34" s="93"/>
      <c r="E34" s="93"/>
      <c r="F34" s="92" t="s">
        <v>15</v>
      </c>
      <c r="G34" s="93">
        <v>1</v>
      </c>
      <c r="H34" s="93">
        <v>800</v>
      </c>
      <c r="I34" s="93">
        <f t="shared" si="2"/>
        <v>800</v>
      </c>
      <c r="J34" s="151">
        <v>9.5</v>
      </c>
      <c r="K34" s="93">
        <f t="shared" si="3"/>
        <v>7600</v>
      </c>
      <c r="L34" s="94" t="s">
        <v>16</v>
      </c>
      <c r="M34" s="93"/>
    </row>
    <row r="35" s="94" customFormat="1" spans="1:15">
      <c r="A35" s="90">
        <v>45575</v>
      </c>
      <c r="B35" s="91">
        <v>23</v>
      </c>
      <c r="C35" s="93" t="s">
        <v>36</v>
      </c>
      <c r="D35" s="93"/>
      <c r="E35" s="93"/>
      <c r="F35" s="100" t="s">
        <v>37</v>
      </c>
      <c r="G35" s="93">
        <v>1</v>
      </c>
      <c r="H35" s="93">
        <v>180</v>
      </c>
      <c r="I35" s="93">
        <f t="shared" si="2"/>
        <v>180</v>
      </c>
      <c r="J35" s="151">
        <v>6</v>
      </c>
      <c r="K35" s="93">
        <f t="shared" si="3"/>
        <v>1080</v>
      </c>
      <c r="L35" s="204"/>
      <c r="M35" s="93"/>
      <c r="N35" s="92"/>
    </row>
    <row r="36" s="94" customFormat="1" spans="1:15">
      <c r="A36" s="90">
        <v>45575</v>
      </c>
      <c r="B36" s="91">
        <v>23</v>
      </c>
      <c r="C36" s="93" t="s">
        <v>38</v>
      </c>
      <c r="D36" s="93"/>
      <c r="E36" s="93"/>
      <c r="F36" s="100" t="s">
        <v>39</v>
      </c>
      <c r="G36" s="93">
        <v>1</v>
      </c>
      <c r="H36" s="93">
        <v>180</v>
      </c>
      <c r="I36" s="93">
        <f t="shared" si="2"/>
        <v>180</v>
      </c>
      <c r="J36" s="151">
        <v>8</v>
      </c>
      <c r="K36" s="93">
        <f t="shared" si="3"/>
        <v>1440</v>
      </c>
      <c r="L36" s="204"/>
      <c r="M36" s="93"/>
      <c r="N36" s="92"/>
    </row>
    <row r="37" s="180" customFormat="1" spans="1:15">
      <c r="A37" s="90">
        <v>45157</v>
      </c>
      <c r="B37" s="91">
        <v>20</v>
      </c>
      <c r="C37" s="93" t="s">
        <v>40</v>
      </c>
      <c r="D37" s="93"/>
      <c r="E37" s="93"/>
      <c r="F37" s="92" t="s">
        <v>41</v>
      </c>
      <c r="G37" s="93">
        <v>1</v>
      </c>
      <c r="H37" s="93">
        <v>25</v>
      </c>
      <c r="I37" s="93">
        <f t="shared" si="2"/>
        <v>25</v>
      </c>
      <c r="J37" s="151">
        <v>14.5</v>
      </c>
      <c r="K37" s="93">
        <f t="shared" si="3"/>
        <v>362.5</v>
      </c>
      <c r="L37" s="94"/>
      <c r="M37" s="93"/>
      <c r="N37" s="94"/>
      <c r="O37" s="180" t="s">
        <v>42</v>
      </c>
    </row>
    <row r="38" s="145" customFormat="1" spans="1:15">
      <c r="A38" s="90">
        <v>45575</v>
      </c>
      <c r="B38" s="91">
        <v>23</v>
      </c>
      <c r="C38" s="93"/>
      <c r="D38" s="93"/>
      <c r="E38" s="93"/>
      <c r="F38" s="92" t="s">
        <v>43</v>
      </c>
      <c r="G38" s="93">
        <v>2</v>
      </c>
      <c r="H38" s="93">
        <v>18</v>
      </c>
      <c r="I38" s="93">
        <f t="shared" si="2"/>
        <v>36</v>
      </c>
      <c r="J38" s="151">
        <v>14.5</v>
      </c>
      <c r="K38" s="93">
        <f t="shared" si="3"/>
        <v>522</v>
      </c>
      <c r="L38" s="94" t="s">
        <v>44</v>
      </c>
      <c r="M38" s="93"/>
      <c r="N38" s="94"/>
      <c r="O38" s="145" t="s">
        <v>42</v>
      </c>
    </row>
    <row r="39" s="145" customFormat="1" spans="1:15">
      <c r="A39" s="90">
        <v>45575</v>
      </c>
      <c r="B39" s="91">
        <v>23</v>
      </c>
      <c r="C39" s="93" t="s">
        <v>45</v>
      </c>
      <c r="D39" s="93"/>
      <c r="E39" s="93"/>
      <c r="F39" s="92" t="s">
        <v>46</v>
      </c>
      <c r="G39" s="93">
        <v>3</v>
      </c>
      <c r="H39" s="93">
        <v>20</v>
      </c>
      <c r="I39" s="93">
        <f t="shared" si="2"/>
        <v>60</v>
      </c>
      <c r="J39" s="151">
        <v>17.5</v>
      </c>
      <c r="K39" s="93">
        <f t="shared" si="3"/>
        <v>1050</v>
      </c>
      <c r="L39" s="94" t="s">
        <v>47</v>
      </c>
      <c r="M39" s="93"/>
      <c r="N39" s="94"/>
      <c r="O39" s="145" t="s">
        <v>48</v>
      </c>
    </row>
    <row r="40" s="99" customFormat="1" spans="1:15">
      <c r="A40" s="197">
        <v>45600</v>
      </c>
      <c r="B40" s="198"/>
      <c r="C40" s="98" t="s">
        <v>22</v>
      </c>
      <c r="D40" s="98"/>
      <c r="E40" s="98"/>
      <c r="F40" s="103" t="s">
        <v>23</v>
      </c>
      <c r="G40" s="98">
        <v>5</v>
      </c>
      <c r="H40" s="98">
        <v>25</v>
      </c>
      <c r="I40" s="98">
        <f t="shared" si="2"/>
        <v>125</v>
      </c>
      <c r="J40" s="98">
        <v>12.5</v>
      </c>
      <c r="K40" s="98">
        <f t="shared" si="3"/>
        <v>1562.5</v>
      </c>
      <c r="L40" s="99" t="s">
        <v>22</v>
      </c>
      <c r="M40" s="98" t="s">
        <v>33</v>
      </c>
      <c r="N40" s="199"/>
    </row>
    <row r="41" s="148" customFormat="1" spans="1:15">
      <c r="A41" s="90">
        <v>45654</v>
      </c>
      <c r="B41" s="91">
        <v>91</v>
      </c>
      <c r="C41" s="93" t="s">
        <v>19</v>
      </c>
      <c r="D41" s="93"/>
      <c r="E41" s="93"/>
      <c r="F41" s="100" t="s">
        <v>20</v>
      </c>
      <c r="G41" s="93">
        <v>1</v>
      </c>
      <c r="H41" s="93">
        <v>25</v>
      </c>
      <c r="I41" s="93">
        <f t="shared" si="2"/>
        <v>25</v>
      </c>
      <c r="J41" s="93">
        <v>20</v>
      </c>
      <c r="K41" s="93">
        <f t="shared" si="3"/>
        <v>500</v>
      </c>
      <c r="L41" s="94" t="s">
        <v>49</v>
      </c>
      <c r="M41" s="165"/>
      <c r="N41" s="190"/>
    </row>
    <row r="42" s="147" customFormat="1" spans="1:15">
      <c r="A42" s="90">
        <v>45654</v>
      </c>
      <c r="B42" s="91">
        <v>91</v>
      </c>
      <c r="C42" s="93" t="s">
        <v>12</v>
      </c>
      <c r="D42" s="93"/>
      <c r="E42" s="93"/>
      <c r="F42" s="101" t="s">
        <v>13</v>
      </c>
      <c r="G42" s="93">
        <v>1</v>
      </c>
      <c r="H42" s="93">
        <v>10</v>
      </c>
      <c r="I42" s="93">
        <f t="shared" si="2"/>
        <v>10</v>
      </c>
      <c r="J42" s="93">
        <v>20</v>
      </c>
      <c r="K42" s="93">
        <f t="shared" si="3"/>
        <v>200</v>
      </c>
      <c r="L42" s="205"/>
      <c r="M42" s="149"/>
      <c r="N42" s="203">
        <f>SUM(K41:K42)</f>
        <v>700</v>
      </c>
    </row>
    <row r="43" s="99" customFormat="1" spans="1:15">
      <c r="A43" s="95" t="s">
        <v>50</v>
      </c>
      <c r="B43" s="96" t="s">
        <v>51</v>
      </c>
      <c r="C43" s="98" t="s">
        <v>17</v>
      </c>
      <c r="D43" s="98"/>
      <c r="E43" s="98"/>
      <c r="F43" s="102" t="s">
        <v>18</v>
      </c>
      <c r="G43" s="98">
        <v>2</v>
      </c>
      <c r="H43" s="98"/>
      <c r="I43" s="98">
        <f t="shared" si="2"/>
        <v>0</v>
      </c>
      <c r="J43" s="98">
        <v>20</v>
      </c>
      <c r="K43" s="98">
        <f t="shared" si="3"/>
        <v>0</v>
      </c>
      <c r="M43" s="98"/>
    </row>
    <row r="44" s="99" customFormat="1" spans="1:15">
      <c r="A44" s="95" t="s">
        <v>50</v>
      </c>
      <c r="B44" s="96" t="s">
        <v>51</v>
      </c>
      <c r="C44" s="98" t="s">
        <v>12</v>
      </c>
      <c r="D44" s="98"/>
      <c r="E44" s="98"/>
      <c r="F44" s="103" t="s">
        <v>13</v>
      </c>
      <c r="G44" s="98">
        <v>2</v>
      </c>
      <c r="H44" s="98">
        <v>10</v>
      </c>
      <c r="I44" s="98">
        <f t="shared" si="2"/>
        <v>20</v>
      </c>
      <c r="J44" s="98">
        <v>20</v>
      </c>
      <c r="K44" s="98">
        <f t="shared" si="3"/>
        <v>400</v>
      </c>
      <c r="M44" s="98"/>
    </row>
    <row r="45" customFormat="1" ht="14.25"/>
    <row r="46" customFormat="1" ht="14.25"/>
    <row r="47" customFormat="1" ht="14.25"/>
    <row r="48" s="180" customFormat="1" spans="1:15">
      <c r="A48" s="90"/>
      <c r="B48" s="91"/>
      <c r="C48" s="93"/>
      <c r="D48" s="93"/>
      <c r="E48" s="93"/>
      <c r="F48" s="92"/>
      <c r="G48" s="93"/>
      <c r="H48" s="93"/>
      <c r="I48" s="93"/>
      <c r="J48" s="93"/>
      <c r="K48" s="93"/>
      <c r="L48" s="94"/>
      <c r="M48" s="93"/>
      <c r="N48" s="94"/>
    </row>
    <row r="49" s="180" customFormat="1" spans="1:14">
      <c r="A49" s="90"/>
      <c r="B49" s="91"/>
      <c r="C49" s="93"/>
      <c r="D49" s="93"/>
      <c r="E49" s="93"/>
      <c r="F49" s="92"/>
      <c r="G49" s="93"/>
      <c r="H49" s="93"/>
      <c r="I49" s="93"/>
      <c r="J49" s="93"/>
      <c r="K49" s="93"/>
      <c r="L49" s="94"/>
      <c r="M49" s="93"/>
      <c r="N49" s="94"/>
    </row>
    <row r="50" s="180" customFormat="1" spans="1:14">
      <c r="A50" s="90"/>
      <c r="B50" s="91"/>
      <c r="C50" s="93"/>
      <c r="D50" s="93"/>
      <c r="E50" s="93"/>
      <c r="F50" s="92"/>
      <c r="G50" s="93"/>
      <c r="H50" s="93"/>
      <c r="I50" s="93"/>
      <c r="J50" s="93"/>
      <c r="K50" s="93"/>
      <c r="L50" s="94"/>
      <c r="M50" s="93"/>
      <c r="N50" s="94"/>
    </row>
    <row r="51" s="180" customFormat="1" spans="1:14">
      <c r="A51" s="90"/>
      <c r="B51" s="91"/>
      <c r="C51" s="93"/>
      <c r="D51" s="93"/>
      <c r="E51" s="93"/>
      <c r="F51" s="92"/>
      <c r="G51" s="93"/>
      <c r="H51" s="93"/>
      <c r="I51" s="93"/>
      <c r="J51" s="93"/>
      <c r="K51" s="93"/>
      <c r="L51" s="94"/>
      <c r="M51" s="93"/>
      <c r="N51" s="94"/>
    </row>
    <row r="52" s="180" customFormat="1" spans="1:14">
      <c r="A52" s="90"/>
      <c r="B52" s="91"/>
      <c r="C52" s="93"/>
      <c r="D52" s="93"/>
      <c r="E52" s="93"/>
      <c r="F52" s="92"/>
      <c r="G52" s="93"/>
      <c r="H52" s="93"/>
      <c r="I52" s="93"/>
      <c r="J52" s="93"/>
      <c r="K52" s="93"/>
      <c r="L52" s="94"/>
      <c r="M52" s="93"/>
      <c r="N52" s="94"/>
    </row>
    <row r="53" s="180" customFormat="1" spans="1:14">
      <c r="A53" s="90"/>
      <c r="B53" s="91"/>
      <c r="C53" s="93"/>
      <c r="D53" s="93"/>
      <c r="E53" s="93"/>
      <c r="F53" s="92"/>
      <c r="G53" s="93"/>
      <c r="H53" s="93"/>
      <c r="I53" s="93"/>
      <c r="J53" s="93"/>
      <c r="K53" s="93"/>
      <c r="L53" s="94"/>
      <c r="M53" s="93"/>
      <c r="N53" s="94"/>
    </row>
    <row r="54" s="180" customFormat="1" spans="1:14">
      <c r="A54" s="90"/>
      <c r="B54" s="91"/>
      <c r="C54" s="93"/>
      <c r="D54" s="93"/>
      <c r="E54" s="93"/>
      <c r="F54" s="92"/>
      <c r="G54" s="93"/>
      <c r="H54" s="93"/>
      <c r="I54" s="93"/>
      <c r="J54" s="93"/>
      <c r="K54" s="93"/>
      <c r="L54" s="94"/>
      <c r="M54" s="93"/>
      <c r="N54" s="94"/>
    </row>
  </sheetData>
  <mergeCells count="50">
    <mergeCell ref="A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8:E48"/>
    <mergeCell ref="C49:E49"/>
    <mergeCell ref="C50:E50"/>
    <mergeCell ref="C51:E51"/>
    <mergeCell ref="C52:E52"/>
    <mergeCell ref="C53:E53"/>
    <mergeCell ref="C54:E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9"/>
  <sheetViews>
    <sheetView topLeftCell="A131" workbookViewId="0">
      <selection activeCell="C158" sqref="C158:K158"/>
    </sheetView>
  </sheetViews>
  <sheetFormatPr defaultColWidth="9" defaultRowHeight="14.25"/>
  <cols>
    <col min="1" max="1" width="15.5" customWidth="1"/>
    <col min="4" max="4" width="7" customWidth="1"/>
    <col min="5" max="5" width="9" customWidth="1"/>
    <col min="6" max="6" width="33.25" customWidth="1"/>
    <col min="10" max="10" width="10.75"/>
    <col min="11" max="11" width="11.625" customWidth="1"/>
    <col min="12" max="12" width="17.625" customWidth="1"/>
    <col min="13" max="13" width="11.375"/>
    <col min="14" max="14" width="9.875"/>
  </cols>
  <sheetData>
    <row r="1" s="99" customFormat="1" ht="20.25" spans="1:14">
      <c r="A1" s="95">
        <v>45715</v>
      </c>
      <c r="B1" s="96">
        <v>46</v>
      </c>
      <c r="C1" s="98" t="s">
        <v>17</v>
      </c>
      <c r="D1" s="98"/>
      <c r="E1" s="98"/>
      <c r="F1" s="102" t="s">
        <v>18</v>
      </c>
      <c r="G1" s="98">
        <v>2</v>
      </c>
      <c r="H1" s="98">
        <v>25</v>
      </c>
      <c r="I1" s="98">
        <f>G1*H1</f>
        <v>50</v>
      </c>
      <c r="J1" s="98">
        <v>20</v>
      </c>
      <c r="K1" s="98">
        <f>I1*J1</f>
        <v>1000</v>
      </c>
      <c r="M1" s="98"/>
    </row>
    <row r="2" s="99" customFormat="1" ht="20.25" spans="1:14">
      <c r="A2" s="95">
        <v>45715</v>
      </c>
      <c r="B2" s="96">
        <v>46</v>
      </c>
      <c r="C2" s="98" t="s">
        <v>12</v>
      </c>
      <c r="D2" s="98"/>
      <c r="E2" s="98"/>
      <c r="F2" s="103" t="s">
        <v>13</v>
      </c>
      <c r="G2" s="98">
        <v>2</v>
      </c>
      <c r="H2" s="98">
        <v>10</v>
      </c>
      <c r="I2" s="98">
        <f>G2*H2</f>
        <v>20</v>
      </c>
      <c r="J2" s="98">
        <v>20</v>
      </c>
      <c r="K2" s="98">
        <f>I2*J2</f>
        <v>400</v>
      </c>
      <c r="M2" s="98"/>
    </row>
    <row r="3" s="99" customFormat="1" ht="20.25" spans="1:14">
      <c r="A3" s="95"/>
      <c r="B3" s="96"/>
      <c r="C3" s="150" t="s">
        <v>52</v>
      </c>
      <c r="D3" s="150"/>
      <c r="E3" s="150"/>
      <c r="F3" s="150"/>
      <c r="G3" s="150"/>
      <c r="H3" s="98"/>
      <c r="I3" s="98"/>
      <c r="J3" s="98"/>
      <c r="K3" s="98"/>
      <c r="M3" s="98"/>
    </row>
    <row r="4" s="94" customFormat="1" ht="20.25" spans="1:14">
      <c r="A4" s="90">
        <v>45723</v>
      </c>
      <c r="B4" s="91">
        <v>24</v>
      </c>
      <c r="C4" s="93" t="s">
        <v>12</v>
      </c>
      <c r="D4" s="93"/>
      <c r="E4" s="93"/>
      <c r="F4" s="101" t="s">
        <v>13</v>
      </c>
      <c r="G4" s="93">
        <v>2</v>
      </c>
      <c r="H4" s="93">
        <v>10</v>
      </c>
      <c r="I4" s="93">
        <f>G4*H4</f>
        <v>20</v>
      </c>
      <c r="J4" s="151">
        <v>18.5</v>
      </c>
      <c r="K4" s="93">
        <f>I4*J4</f>
        <v>370</v>
      </c>
      <c r="L4" s="94" t="s">
        <v>53</v>
      </c>
      <c r="M4" s="93"/>
    </row>
    <row r="5" s="145" customFormat="1" ht="20.25" spans="1:14">
      <c r="A5" s="90">
        <v>45723</v>
      </c>
      <c r="B5" s="91">
        <v>24</v>
      </c>
      <c r="C5" s="93" t="s">
        <v>40</v>
      </c>
      <c r="D5" s="93"/>
      <c r="E5" s="93"/>
      <c r="F5" s="92" t="s">
        <v>41</v>
      </c>
      <c r="G5" s="93">
        <v>1</v>
      </c>
      <c r="H5" s="93">
        <v>22</v>
      </c>
      <c r="I5" s="93">
        <f>G5*H5</f>
        <v>22</v>
      </c>
      <c r="J5" s="151">
        <v>13</v>
      </c>
      <c r="K5" s="93">
        <f>I5*J5</f>
        <v>286</v>
      </c>
      <c r="L5" s="94" t="s">
        <v>54</v>
      </c>
      <c r="M5" s="93"/>
      <c r="N5" s="94"/>
    </row>
    <row r="6" s="145" customFormat="1" ht="20.25" spans="1:14">
      <c r="A6" s="90">
        <v>45723</v>
      </c>
      <c r="B6" s="91">
        <v>24</v>
      </c>
      <c r="C6" s="93" t="s">
        <v>45</v>
      </c>
      <c r="D6" s="93"/>
      <c r="E6" s="93"/>
      <c r="F6" s="92" t="s">
        <v>46</v>
      </c>
      <c r="G6" s="93">
        <v>1</v>
      </c>
      <c r="H6" s="93">
        <v>20</v>
      </c>
      <c r="I6" s="93">
        <f>G6*H6</f>
        <v>20</v>
      </c>
      <c r="J6" s="151">
        <v>15.5</v>
      </c>
      <c r="K6" s="93">
        <f>I6*J6</f>
        <v>310</v>
      </c>
      <c r="L6" s="94"/>
      <c r="M6" s="93"/>
      <c r="N6" s="94"/>
    </row>
    <row r="7" s="94" customFormat="1" ht="20.25" spans="1:14">
      <c r="A7" s="90">
        <v>45723</v>
      </c>
      <c r="B7" s="91">
        <v>24</v>
      </c>
      <c r="C7" s="93" t="s">
        <v>55</v>
      </c>
      <c r="D7" s="93"/>
      <c r="E7" s="93"/>
      <c r="F7" s="101" t="s">
        <v>56</v>
      </c>
      <c r="G7" s="93">
        <v>1</v>
      </c>
      <c r="H7" s="93">
        <v>25</v>
      </c>
      <c r="I7" s="93">
        <f>G7*H7</f>
        <v>25</v>
      </c>
      <c r="J7" s="151">
        <v>18.5</v>
      </c>
      <c r="K7" s="93">
        <f>I7*J7</f>
        <v>462.5</v>
      </c>
      <c r="L7" s="94" t="s">
        <v>57</v>
      </c>
      <c r="M7" s="93"/>
    </row>
    <row r="8" s="94" customFormat="1" ht="20.25" spans="1:14">
      <c r="A8" s="90">
        <v>45723</v>
      </c>
      <c r="B8" s="91">
        <v>24</v>
      </c>
      <c r="C8" s="93" t="s">
        <v>12</v>
      </c>
      <c r="D8" s="93"/>
      <c r="E8" s="93"/>
      <c r="F8" s="101" t="s">
        <v>13</v>
      </c>
      <c r="G8" s="93">
        <v>1</v>
      </c>
      <c r="H8" s="93">
        <v>10</v>
      </c>
      <c r="I8" s="93">
        <f>G8*H8</f>
        <v>10</v>
      </c>
      <c r="J8" s="151">
        <v>18.5</v>
      </c>
      <c r="K8" s="93">
        <f>I8*J8</f>
        <v>185</v>
      </c>
      <c r="M8" s="93"/>
      <c r="N8" s="94">
        <f>SUM(K4:K8)</f>
        <v>1613.5</v>
      </c>
    </row>
    <row r="9" s="99" customFormat="1" ht="20.25" spans="1:14">
      <c r="A9" s="95">
        <v>45727</v>
      </c>
      <c r="B9" s="96">
        <v>37</v>
      </c>
      <c r="C9" s="98" t="s">
        <v>55</v>
      </c>
      <c r="D9" s="98"/>
      <c r="E9" s="98"/>
      <c r="F9" s="103" t="s">
        <v>56</v>
      </c>
      <c r="G9" s="98">
        <v>2</v>
      </c>
      <c r="H9" s="98">
        <v>25</v>
      </c>
      <c r="I9" s="98">
        <f t="shared" ref="I9:I17" si="0">G9*H9</f>
        <v>50</v>
      </c>
      <c r="J9" s="152">
        <v>18.5</v>
      </c>
      <c r="K9" s="152">
        <f t="shared" ref="K9:K17" si="1">I9*J9</f>
        <v>925</v>
      </c>
      <c r="L9" s="99" t="s">
        <v>57</v>
      </c>
      <c r="M9" s="98"/>
    </row>
    <row r="10" s="99" customFormat="1" ht="20.25" spans="1:14">
      <c r="A10" s="95">
        <v>45727</v>
      </c>
      <c r="B10" s="96">
        <v>37</v>
      </c>
      <c r="C10" s="98">
        <v>10309</v>
      </c>
      <c r="D10" s="98"/>
      <c r="E10" s="98"/>
      <c r="F10" s="103" t="s">
        <v>58</v>
      </c>
      <c r="G10" s="98">
        <v>1</v>
      </c>
      <c r="H10" s="98">
        <v>20</v>
      </c>
      <c r="I10" s="98">
        <f t="shared" si="0"/>
        <v>20</v>
      </c>
      <c r="J10" s="152">
        <v>22</v>
      </c>
      <c r="K10" s="152">
        <f t="shared" si="1"/>
        <v>440</v>
      </c>
      <c r="L10" s="99" t="s">
        <v>57</v>
      </c>
      <c r="M10" s="149" t="s">
        <v>59</v>
      </c>
    </row>
    <row r="11" s="99" customFormat="1" ht="20.25" spans="1:14">
      <c r="A11" s="95">
        <v>45727</v>
      </c>
      <c r="B11" s="96">
        <v>37</v>
      </c>
      <c r="C11" s="149">
        <v>1211</v>
      </c>
      <c r="D11" s="149"/>
      <c r="E11" s="149"/>
      <c r="F11" s="103" t="s">
        <v>60</v>
      </c>
      <c r="G11" s="98">
        <v>1</v>
      </c>
      <c r="H11" s="98">
        <v>18</v>
      </c>
      <c r="I11" s="98">
        <f t="shared" si="0"/>
        <v>18</v>
      </c>
      <c r="J11" s="152">
        <v>18.5</v>
      </c>
      <c r="K11" s="152">
        <f t="shared" si="1"/>
        <v>333</v>
      </c>
      <c r="L11" s="99" t="s">
        <v>57</v>
      </c>
      <c r="M11" s="98"/>
    </row>
    <row r="12" s="99" customFormat="1" ht="20.25" spans="1:14">
      <c r="A12" s="95">
        <v>45727</v>
      </c>
      <c r="B12" s="96">
        <v>37</v>
      </c>
      <c r="C12" s="149">
        <v>1213</v>
      </c>
      <c r="D12" s="149"/>
      <c r="E12" s="149"/>
      <c r="F12" s="103" t="s">
        <v>61</v>
      </c>
      <c r="G12" s="98">
        <v>1</v>
      </c>
      <c r="H12" s="98">
        <v>23</v>
      </c>
      <c r="I12" s="98">
        <f t="shared" si="0"/>
        <v>23</v>
      </c>
      <c r="J12" s="152">
        <v>18.5</v>
      </c>
      <c r="K12" s="152">
        <f t="shared" si="1"/>
        <v>425.5</v>
      </c>
      <c r="L12" s="99" t="s">
        <v>57</v>
      </c>
      <c r="M12" s="98"/>
    </row>
    <row r="13" s="99" customFormat="1" ht="20.25" spans="1:14">
      <c r="A13" s="95">
        <v>45727</v>
      </c>
      <c r="B13" s="96">
        <v>37</v>
      </c>
      <c r="C13" s="149">
        <v>15131</v>
      </c>
      <c r="D13" s="149"/>
      <c r="E13" s="149"/>
      <c r="F13" s="103" t="s">
        <v>62</v>
      </c>
      <c r="G13" s="98">
        <v>1</v>
      </c>
      <c r="H13" s="98">
        <v>25</v>
      </c>
      <c r="I13" s="98">
        <f t="shared" si="0"/>
        <v>25</v>
      </c>
      <c r="J13" s="152">
        <v>18.5</v>
      </c>
      <c r="K13" s="152">
        <f t="shared" si="1"/>
        <v>462.5</v>
      </c>
      <c r="L13" s="99" t="s">
        <v>57</v>
      </c>
      <c r="M13" s="98"/>
    </row>
    <row r="14" s="99" customFormat="1" ht="20.25" spans="1:14">
      <c r="A14" s="95">
        <v>45727</v>
      </c>
      <c r="B14" s="96">
        <v>37</v>
      </c>
      <c r="C14" s="149">
        <v>15959</v>
      </c>
      <c r="D14" s="149"/>
      <c r="E14" s="149"/>
      <c r="F14" s="103" t="s">
        <v>63</v>
      </c>
      <c r="G14" s="98">
        <v>1</v>
      </c>
      <c r="H14" s="98">
        <v>26</v>
      </c>
      <c r="I14" s="98">
        <f t="shared" si="0"/>
        <v>26</v>
      </c>
      <c r="J14" s="152">
        <v>18.5</v>
      </c>
      <c r="K14" s="152">
        <f t="shared" si="1"/>
        <v>481</v>
      </c>
      <c r="L14" s="99" t="s">
        <v>57</v>
      </c>
      <c r="M14" s="98"/>
    </row>
    <row r="15" s="99" customFormat="1" ht="20.25" spans="1:14">
      <c r="A15" s="95">
        <v>45727</v>
      </c>
      <c r="B15" s="96">
        <v>37</v>
      </c>
      <c r="C15" s="149">
        <v>5559</v>
      </c>
      <c r="D15" s="149"/>
      <c r="E15" s="149"/>
      <c r="F15" s="103" t="s">
        <v>64</v>
      </c>
      <c r="G15" s="98">
        <v>1</v>
      </c>
      <c r="H15" s="98">
        <v>25</v>
      </c>
      <c r="I15" s="98">
        <f t="shared" si="0"/>
        <v>25</v>
      </c>
      <c r="J15" s="152">
        <v>18.5</v>
      </c>
      <c r="K15" s="152">
        <f t="shared" si="1"/>
        <v>462.5</v>
      </c>
      <c r="L15" s="99" t="s">
        <v>57</v>
      </c>
      <c r="M15" s="98"/>
    </row>
    <row r="16" s="99" customFormat="1" ht="20.25" spans="1:14">
      <c r="A16" s="95">
        <v>45727</v>
      </c>
      <c r="B16" s="96">
        <v>37</v>
      </c>
      <c r="C16" s="98" t="s">
        <v>12</v>
      </c>
      <c r="D16" s="98"/>
      <c r="E16" s="98"/>
      <c r="F16" s="103" t="s">
        <v>13</v>
      </c>
      <c r="G16" s="98">
        <v>6</v>
      </c>
      <c r="H16" s="98">
        <v>10</v>
      </c>
      <c r="I16" s="98">
        <f t="shared" si="0"/>
        <v>60</v>
      </c>
      <c r="J16" s="152">
        <v>18.5</v>
      </c>
      <c r="K16" s="152">
        <f t="shared" si="1"/>
        <v>1110</v>
      </c>
      <c r="M16" s="98"/>
    </row>
    <row r="17" s="99" customFormat="1" ht="20.25" spans="1:14">
      <c r="A17" s="95">
        <v>45727</v>
      </c>
      <c r="B17" s="96">
        <v>37</v>
      </c>
      <c r="C17" s="98" t="s">
        <v>65</v>
      </c>
      <c r="D17" s="98"/>
      <c r="E17" s="98"/>
      <c r="F17" s="103" t="s">
        <v>66</v>
      </c>
      <c r="G17" s="98">
        <v>4</v>
      </c>
      <c r="H17" s="98">
        <v>20</v>
      </c>
      <c r="I17" s="98">
        <f t="shared" si="0"/>
        <v>80</v>
      </c>
      <c r="J17" s="152">
        <v>18.5</v>
      </c>
      <c r="K17" s="152">
        <f t="shared" si="1"/>
        <v>1480</v>
      </c>
      <c r="M17" s="98"/>
      <c r="N17" s="99">
        <f>SUM(K9:K17)</f>
        <v>6119.5</v>
      </c>
    </row>
    <row r="18" s="94" customFormat="1" ht="20.25" spans="1:14">
      <c r="A18" s="90">
        <v>45740</v>
      </c>
      <c r="B18" s="91">
        <v>91</v>
      </c>
      <c r="C18" s="93">
        <v>1212</v>
      </c>
      <c r="D18" s="93"/>
      <c r="E18" s="93"/>
      <c r="F18" s="101" t="s">
        <v>67</v>
      </c>
      <c r="G18" s="93">
        <v>1</v>
      </c>
      <c r="H18" s="93">
        <v>21</v>
      </c>
      <c r="I18" s="93">
        <f t="shared" ref="I18:I20" si="2">G18*H18</f>
        <v>21</v>
      </c>
      <c r="J18" s="153">
        <v>22</v>
      </c>
      <c r="K18" s="151">
        <f t="shared" ref="K18:K20" si="3">I18*J18</f>
        <v>462</v>
      </c>
      <c r="L18" s="147" t="s">
        <v>68</v>
      </c>
      <c r="M18" s="93"/>
    </row>
    <row r="19" s="94" customFormat="1" ht="20.25" spans="1:14">
      <c r="A19" s="90">
        <v>45740</v>
      </c>
      <c r="B19" s="91">
        <v>91</v>
      </c>
      <c r="C19" s="93" t="s">
        <v>17</v>
      </c>
      <c r="D19" s="93"/>
      <c r="E19" s="93"/>
      <c r="F19" s="100" t="s">
        <v>18</v>
      </c>
      <c r="G19" s="93">
        <v>2</v>
      </c>
      <c r="H19" s="93">
        <v>24</v>
      </c>
      <c r="I19" s="93">
        <f t="shared" si="2"/>
        <v>48</v>
      </c>
      <c r="J19" s="151">
        <v>18.5</v>
      </c>
      <c r="K19" s="151">
        <f t="shared" si="3"/>
        <v>888</v>
      </c>
      <c r="M19" s="93"/>
    </row>
    <row r="20" s="94" customFormat="1" ht="20.25" spans="1:14">
      <c r="A20" s="90">
        <v>45740</v>
      </c>
      <c r="B20" s="91">
        <v>91</v>
      </c>
      <c r="C20" s="93" t="s">
        <v>17</v>
      </c>
      <c r="D20" s="93"/>
      <c r="E20" s="93"/>
      <c r="F20" s="100" t="s">
        <v>18</v>
      </c>
      <c r="G20" s="93">
        <v>1</v>
      </c>
      <c r="H20" s="93">
        <v>25</v>
      </c>
      <c r="I20" s="93">
        <f t="shared" si="2"/>
        <v>25</v>
      </c>
      <c r="J20" s="151">
        <v>18.5</v>
      </c>
      <c r="K20" s="151">
        <f t="shared" si="3"/>
        <v>462.5</v>
      </c>
      <c r="M20" s="93"/>
    </row>
    <row r="21" s="94" customFormat="1" ht="20.25" spans="1:14">
      <c r="A21" s="90">
        <v>45740</v>
      </c>
      <c r="B21" s="91">
        <v>91</v>
      </c>
      <c r="C21" s="93">
        <v>5559</v>
      </c>
      <c r="D21" s="93"/>
      <c r="E21" s="93"/>
      <c r="F21" s="101" t="s">
        <v>64</v>
      </c>
      <c r="G21" s="93">
        <v>3</v>
      </c>
      <c r="H21" s="93">
        <v>25</v>
      </c>
      <c r="I21" s="93">
        <f t="shared" ref="I21:I41" si="4">G21*H21</f>
        <v>75</v>
      </c>
      <c r="J21" s="151">
        <v>18.5</v>
      </c>
      <c r="K21" s="151">
        <f t="shared" ref="K21:K30" si="5">I21*J21</f>
        <v>1387.5</v>
      </c>
      <c r="L21" s="94" t="s">
        <v>57</v>
      </c>
      <c r="M21" s="93"/>
    </row>
    <row r="22" s="94" customFormat="1" ht="20.25" spans="1:14">
      <c r="A22" s="90">
        <v>45740</v>
      </c>
      <c r="B22" s="91">
        <v>91</v>
      </c>
      <c r="C22" s="93">
        <v>15131</v>
      </c>
      <c r="D22" s="93"/>
      <c r="E22" s="93"/>
      <c r="F22" s="101" t="s">
        <v>62</v>
      </c>
      <c r="G22" s="93">
        <v>1</v>
      </c>
      <c r="H22" s="93">
        <v>25</v>
      </c>
      <c r="I22" s="93">
        <f t="shared" si="4"/>
        <v>25</v>
      </c>
      <c r="J22" s="151">
        <v>18.5</v>
      </c>
      <c r="K22" s="151">
        <f t="shared" si="5"/>
        <v>462.5</v>
      </c>
      <c r="L22" s="94" t="s">
        <v>57</v>
      </c>
      <c r="M22" s="93"/>
    </row>
    <row r="23" s="94" customFormat="1" ht="20.25" spans="1:14">
      <c r="A23" s="90">
        <v>45740</v>
      </c>
      <c r="B23" s="91">
        <v>91</v>
      </c>
      <c r="C23" s="93" t="s">
        <v>12</v>
      </c>
      <c r="D23" s="93"/>
      <c r="E23" s="93"/>
      <c r="F23" s="101" t="s">
        <v>13</v>
      </c>
      <c r="G23" s="93">
        <v>5</v>
      </c>
      <c r="H23" s="93">
        <v>10</v>
      </c>
      <c r="I23" s="93">
        <f t="shared" si="4"/>
        <v>50</v>
      </c>
      <c r="J23" s="151">
        <v>18.5</v>
      </c>
      <c r="K23" s="151">
        <f t="shared" si="5"/>
        <v>925</v>
      </c>
      <c r="M23" s="93"/>
    </row>
    <row r="24" s="94" customFormat="1" ht="20.25" spans="1:14">
      <c r="A24" s="90">
        <v>45740</v>
      </c>
      <c r="B24" s="91">
        <v>91</v>
      </c>
      <c r="C24" s="93" t="s">
        <v>65</v>
      </c>
      <c r="D24" s="93"/>
      <c r="E24" s="93"/>
      <c r="F24" s="101" t="s">
        <v>66</v>
      </c>
      <c r="G24" s="93">
        <v>5</v>
      </c>
      <c r="H24" s="93">
        <v>20</v>
      </c>
      <c r="I24" s="93">
        <f t="shared" si="4"/>
        <v>100</v>
      </c>
      <c r="J24" s="151">
        <v>18.5</v>
      </c>
      <c r="K24" s="151">
        <f t="shared" si="5"/>
        <v>1850</v>
      </c>
      <c r="M24" s="93"/>
      <c r="N24" s="94">
        <f>SUM(K18:K24)</f>
        <v>6437.5</v>
      </c>
    </row>
    <row r="25" s="146" customFormat="1" ht="20.25" spans="1:14">
      <c r="A25" s="95">
        <v>45742</v>
      </c>
      <c r="B25" s="96">
        <v>109</v>
      </c>
      <c r="C25" s="98" t="s">
        <v>40</v>
      </c>
      <c r="D25" s="98"/>
      <c r="E25" s="98"/>
      <c r="F25" s="97" t="s">
        <v>41</v>
      </c>
      <c r="G25" s="98">
        <v>3</v>
      </c>
      <c r="H25" s="98">
        <v>22</v>
      </c>
      <c r="I25" s="98">
        <f t="shared" si="4"/>
        <v>66</v>
      </c>
      <c r="J25" s="152">
        <v>13</v>
      </c>
      <c r="K25" s="152">
        <f t="shared" si="5"/>
        <v>858</v>
      </c>
      <c r="L25" s="99" t="s">
        <v>69</v>
      </c>
      <c r="M25" s="98"/>
      <c r="N25" s="99"/>
    </row>
    <row r="26" s="146" customFormat="1" ht="20.25" spans="1:14">
      <c r="A26" s="95">
        <v>45742</v>
      </c>
      <c r="B26" s="96">
        <v>109</v>
      </c>
      <c r="C26" s="98" t="s">
        <v>45</v>
      </c>
      <c r="D26" s="98"/>
      <c r="E26" s="98"/>
      <c r="F26" s="97" t="s">
        <v>46</v>
      </c>
      <c r="G26" s="98">
        <v>3</v>
      </c>
      <c r="H26" s="98">
        <v>20</v>
      </c>
      <c r="I26" s="98">
        <f t="shared" si="4"/>
        <v>60</v>
      </c>
      <c r="J26" s="152">
        <v>15.5</v>
      </c>
      <c r="K26" s="152">
        <f t="shared" si="5"/>
        <v>930</v>
      </c>
      <c r="L26" s="99"/>
      <c r="M26" s="98"/>
      <c r="N26" s="99"/>
    </row>
    <row r="27" s="99" customFormat="1" ht="20.25" spans="1:14">
      <c r="A27" s="95">
        <v>45742</v>
      </c>
      <c r="B27" s="96">
        <v>109</v>
      </c>
      <c r="C27" s="98">
        <v>15938</v>
      </c>
      <c r="D27" s="98"/>
      <c r="E27" s="98"/>
      <c r="F27" s="103" t="s">
        <v>70</v>
      </c>
      <c r="G27" s="98">
        <v>1</v>
      </c>
      <c r="H27" s="98">
        <v>25</v>
      </c>
      <c r="I27" s="98">
        <f t="shared" si="4"/>
        <v>25</v>
      </c>
      <c r="J27" s="152">
        <v>18.5</v>
      </c>
      <c r="K27" s="152">
        <f t="shared" si="5"/>
        <v>462.5</v>
      </c>
      <c r="L27" s="99" t="s">
        <v>57</v>
      </c>
      <c r="M27" s="98"/>
    </row>
    <row r="28" s="99" customFormat="1" ht="20.25" spans="1:14">
      <c r="A28" s="95">
        <v>45742</v>
      </c>
      <c r="B28" s="96">
        <v>109</v>
      </c>
      <c r="C28" s="98" t="s">
        <v>65</v>
      </c>
      <c r="D28" s="98"/>
      <c r="E28" s="98"/>
      <c r="F28" s="103" t="s">
        <v>66</v>
      </c>
      <c r="G28" s="98">
        <v>1</v>
      </c>
      <c r="H28" s="98">
        <v>20</v>
      </c>
      <c r="I28" s="98">
        <f t="shared" si="4"/>
        <v>20</v>
      </c>
      <c r="J28" s="152">
        <v>18.5</v>
      </c>
      <c r="K28" s="152">
        <f t="shared" si="5"/>
        <v>370</v>
      </c>
      <c r="M28" s="98"/>
    </row>
    <row r="29" s="99" customFormat="1" ht="20.25" spans="1:14">
      <c r="A29" s="95">
        <v>45742</v>
      </c>
      <c r="B29" s="96">
        <v>109</v>
      </c>
      <c r="C29" s="154" t="s">
        <v>71</v>
      </c>
      <c r="D29" s="98"/>
      <c r="E29" s="98" t="s">
        <v>22</v>
      </c>
      <c r="F29" s="155" t="s">
        <v>23</v>
      </c>
      <c r="G29" s="98">
        <v>1</v>
      </c>
      <c r="H29" s="98">
        <v>25</v>
      </c>
      <c r="I29" s="98">
        <f t="shared" si="4"/>
        <v>25</v>
      </c>
      <c r="J29" s="152">
        <v>12</v>
      </c>
      <c r="K29" s="152">
        <f t="shared" si="5"/>
        <v>300</v>
      </c>
      <c r="M29" s="98"/>
    </row>
    <row r="30" s="99" customFormat="1" ht="20.25" spans="1:14">
      <c r="A30" s="95">
        <v>45742</v>
      </c>
      <c r="B30" s="96">
        <v>109</v>
      </c>
      <c r="C30" s="154" t="s">
        <v>72</v>
      </c>
      <c r="D30" s="98"/>
      <c r="E30" s="98" t="s">
        <v>14</v>
      </c>
      <c r="F30" s="155" t="s">
        <v>15</v>
      </c>
      <c r="G30" s="98">
        <v>3</v>
      </c>
      <c r="H30" s="98">
        <v>28</v>
      </c>
      <c r="I30" s="98">
        <f t="shared" si="4"/>
        <v>84</v>
      </c>
      <c r="J30" s="152">
        <v>9</v>
      </c>
      <c r="K30" s="152">
        <f t="shared" si="5"/>
        <v>756</v>
      </c>
      <c r="M30" s="98"/>
      <c r="N30" s="99">
        <f>SUM(K25:K31)</f>
        <v>3676.5</v>
      </c>
    </row>
    <row r="31" s="99" customFormat="1" ht="20.25" spans="1:14">
      <c r="A31" s="95">
        <v>45742</v>
      </c>
      <c r="B31" s="96">
        <v>109</v>
      </c>
      <c r="C31" s="98"/>
      <c r="D31" s="98"/>
      <c r="E31" s="98"/>
      <c r="F31" s="103" t="s">
        <v>73</v>
      </c>
      <c r="G31" s="98">
        <v>1</v>
      </c>
      <c r="H31" s="98">
        <v>1</v>
      </c>
      <c r="I31" s="98">
        <f t="shared" si="4"/>
        <v>1</v>
      </c>
      <c r="J31" s="98"/>
      <c r="K31" s="152"/>
      <c r="M31" s="98"/>
    </row>
    <row r="32" s="15" customFormat="1" ht="20.25" spans="1:14">
      <c r="A32" s="90">
        <v>45763</v>
      </c>
      <c r="B32" s="91">
        <v>47</v>
      </c>
      <c r="C32" s="93"/>
      <c r="D32" s="93"/>
      <c r="E32" s="93"/>
      <c r="F32" s="101" t="s">
        <v>31</v>
      </c>
      <c r="G32" s="93">
        <v>1</v>
      </c>
      <c r="H32" s="93">
        <v>25</v>
      </c>
      <c r="I32" s="93">
        <f t="shared" si="4"/>
        <v>25</v>
      </c>
      <c r="J32" s="151">
        <v>10</v>
      </c>
      <c r="K32" s="151">
        <f t="shared" ref="K32:K36" si="6">I32*J32</f>
        <v>250</v>
      </c>
      <c r="L32" s="19">
        <v>45745</v>
      </c>
    </row>
    <row r="33" s="99" customFormat="1" ht="20.25" spans="1:14">
      <c r="A33" s="90">
        <v>45763</v>
      </c>
      <c r="B33" s="91">
        <v>47</v>
      </c>
      <c r="C33" s="93">
        <v>11304</v>
      </c>
      <c r="D33" s="93"/>
      <c r="E33" s="93"/>
      <c r="F33" s="100" t="s">
        <v>21</v>
      </c>
      <c r="G33" s="93">
        <v>1</v>
      </c>
      <c r="H33" s="93">
        <v>26</v>
      </c>
      <c r="I33" s="93">
        <f t="shared" si="4"/>
        <v>26</v>
      </c>
      <c r="J33" s="151">
        <v>18.5</v>
      </c>
      <c r="K33" s="151">
        <f t="shared" si="6"/>
        <v>481</v>
      </c>
      <c r="L33" s="94"/>
      <c r="M33" s="98"/>
    </row>
    <row r="34" s="99" customFormat="1" ht="20.25" spans="1:14">
      <c r="A34" s="90">
        <v>45763</v>
      </c>
      <c r="B34" s="91">
        <v>47</v>
      </c>
      <c r="C34" s="93">
        <v>15938</v>
      </c>
      <c r="D34" s="93"/>
      <c r="E34" s="93"/>
      <c r="F34" s="101" t="s">
        <v>70</v>
      </c>
      <c r="G34" s="93">
        <v>1</v>
      </c>
      <c r="H34" s="93">
        <v>25</v>
      </c>
      <c r="I34" s="93">
        <f t="shared" si="4"/>
        <v>25</v>
      </c>
      <c r="J34" s="151">
        <v>18.5</v>
      </c>
      <c r="K34" s="151">
        <f t="shared" si="6"/>
        <v>462.5</v>
      </c>
      <c r="L34" s="94" t="s">
        <v>57</v>
      </c>
      <c r="M34" s="98"/>
    </row>
    <row r="35" s="94" customFormat="1" ht="20.25" spans="1:14">
      <c r="A35" s="90">
        <v>45763</v>
      </c>
      <c r="B35" s="91">
        <v>47</v>
      </c>
      <c r="C35" s="93" t="s">
        <v>12</v>
      </c>
      <c r="D35" s="93"/>
      <c r="E35" s="93"/>
      <c r="F35" s="101" t="s">
        <v>13</v>
      </c>
      <c r="G35" s="93">
        <v>2</v>
      </c>
      <c r="H35" s="93">
        <v>10</v>
      </c>
      <c r="I35" s="93">
        <f t="shared" si="4"/>
        <v>20</v>
      </c>
      <c r="J35" s="151">
        <v>18.5</v>
      </c>
      <c r="K35" s="151">
        <f t="shared" si="6"/>
        <v>370</v>
      </c>
      <c r="M35" s="93"/>
    </row>
    <row r="36" s="99" customFormat="1" ht="20.25" spans="1:14">
      <c r="A36" s="90">
        <v>45763</v>
      </c>
      <c r="B36" s="91">
        <v>47</v>
      </c>
      <c r="C36" s="98" t="s">
        <v>65</v>
      </c>
      <c r="D36" s="98"/>
      <c r="E36" s="98"/>
      <c r="F36" s="103" t="s">
        <v>66</v>
      </c>
      <c r="G36" s="98">
        <v>1</v>
      </c>
      <c r="H36" s="98">
        <v>20</v>
      </c>
      <c r="I36" s="98">
        <f t="shared" si="4"/>
        <v>20</v>
      </c>
      <c r="J36" s="152">
        <v>18.5</v>
      </c>
      <c r="K36" s="152">
        <f t="shared" si="6"/>
        <v>370</v>
      </c>
      <c r="M36" s="98"/>
    </row>
    <row r="37" s="94" customFormat="1" ht="20.25" spans="1:14">
      <c r="A37" s="90">
        <v>45763</v>
      </c>
      <c r="B37" s="91">
        <v>47</v>
      </c>
      <c r="C37" s="93"/>
      <c r="D37" s="93"/>
      <c r="E37" s="93" t="s">
        <v>74</v>
      </c>
      <c r="F37" s="93" t="s">
        <v>74</v>
      </c>
      <c r="G37" s="94">
        <v>1</v>
      </c>
      <c r="H37" s="93">
        <v>1</v>
      </c>
      <c r="I37" s="98">
        <f t="shared" si="4"/>
        <v>1</v>
      </c>
      <c r="J37" s="151"/>
      <c r="K37" s="151"/>
      <c r="M37" s="93"/>
      <c r="N37" s="94">
        <f>SUM(K32:K37)</f>
        <v>1933.5</v>
      </c>
    </row>
    <row r="38" s="99" customFormat="1" ht="20.25" spans="1:14">
      <c r="A38" s="95">
        <v>45769</v>
      </c>
      <c r="B38" s="96">
        <v>62</v>
      </c>
      <c r="C38" s="156" t="s">
        <v>72</v>
      </c>
      <c r="D38" s="157"/>
      <c r="E38" s="157" t="s">
        <v>14</v>
      </c>
      <c r="F38" s="155" t="s">
        <v>15</v>
      </c>
      <c r="G38" s="98">
        <v>5</v>
      </c>
      <c r="H38" s="98">
        <v>28</v>
      </c>
      <c r="I38" s="98">
        <f t="shared" si="4"/>
        <v>140</v>
      </c>
      <c r="J38" s="152">
        <v>9</v>
      </c>
      <c r="K38" s="152">
        <f>I38*J38</f>
        <v>1260</v>
      </c>
      <c r="M38" s="98"/>
      <c r="N38" s="99">
        <f>SUM(K33:K39)</f>
        <v>3424.5</v>
      </c>
    </row>
    <row r="39" s="99" customFormat="1" ht="20.25" spans="1:14">
      <c r="A39" s="95">
        <v>45769</v>
      </c>
      <c r="B39" s="96">
        <v>62</v>
      </c>
      <c r="C39" s="98">
        <v>15959</v>
      </c>
      <c r="D39" s="98"/>
      <c r="E39" s="98"/>
      <c r="F39" s="103" t="s">
        <v>63</v>
      </c>
      <c r="G39" s="98">
        <v>1</v>
      </c>
      <c r="H39" s="98">
        <v>26</v>
      </c>
      <c r="I39" s="98">
        <f t="shared" si="4"/>
        <v>26</v>
      </c>
      <c r="J39" s="152">
        <v>18.5</v>
      </c>
      <c r="K39" s="152">
        <f t="shared" ref="K39:K77" si="7">I39*J39</f>
        <v>481</v>
      </c>
      <c r="L39" s="99" t="s">
        <v>57</v>
      </c>
      <c r="M39" s="98"/>
    </row>
    <row r="40" s="99" customFormat="1" ht="20.25" spans="1:14">
      <c r="A40" s="95">
        <v>45769</v>
      </c>
      <c r="B40" s="96">
        <v>62</v>
      </c>
      <c r="C40" s="98">
        <v>15959</v>
      </c>
      <c r="D40" s="98"/>
      <c r="E40" s="98"/>
      <c r="F40" s="103" t="s">
        <v>63</v>
      </c>
      <c r="G40" s="98">
        <v>1</v>
      </c>
      <c r="H40" s="98">
        <v>25</v>
      </c>
      <c r="I40" s="98">
        <f t="shared" ref="I40:I80" si="8">G40*H40</f>
        <v>25</v>
      </c>
      <c r="J40" s="152">
        <v>18.5</v>
      </c>
      <c r="K40" s="152">
        <f t="shared" si="7"/>
        <v>462.5</v>
      </c>
      <c r="L40" s="99" t="s">
        <v>57</v>
      </c>
      <c r="M40" s="98"/>
    </row>
    <row r="41" s="99" customFormat="1" ht="20.25" spans="1:14">
      <c r="A41" s="95">
        <v>45769</v>
      </c>
      <c r="B41" s="96">
        <v>62</v>
      </c>
      <c r="C41" s="98">
        <v>5559</v>
      </c>
      <c r="D41" s="98"/>
      <c r="E41" s="98"/>
      <c r="F41" s="103" t="s">
        <v>64</v>
      </c>
      <c r="G41" s="98">
        <v>2</v>
      </c>
      <c r="H41" s="98">
        <v>25</v>
      </c>
      <c r="I41" s="98">
        <f t="shared" si="8"/>
        <v>50</v>
      </c>
      <c r="J41" s="152">
        <v>18.5</v>
      </c>
      <c r="K41" s="152">
        <f t="shared" si="7"/>
        <v>925</v>
      </c>
      <c r="L41" s="99" t="s">
        <v>57</v>
      </c>
      <c r="M41" s="98"/>
    </row>
    <row r="42" s="99" customFormat="1" ht="20.25" spans="1:14">
      <c r="A42" s="95">
        <v>45769</v>
      </c>
      <c r="B42" s="96">
        <v>62</v>
      </c>
      <c r="C42" s="98">
        <v>5559</v>
      </c>
      <c r="D42" s="98"/>
      <c r="E42" s="98"/>
      <c r="F42" s="103" t="s">
        <v>64</v>
      </c>
      <c r="G42" s="98">
        <v>1</v>
      </c>
      <c r="H42" s="98">
        <v>26</v>
      </c>
      <c r="I42" s="98">
        <f t="shared" si="8"/>
        <v>26</v>
      </c>
      <c r="J42" s="152">
        <v>18.5</v>
      </c>
      <c r="K42" s="152">
        <f t="shared" si="7"/>
        <v>481</v>
      </c>
      <c r="L42" s="99" t="s">
        <v>57</v>
      </c>
      <c r="M42" s="98"/>
    </row>
    <row r="43" s="99" customFormat="1" ht="20.25" spans="1:14">
      <c r="A43" s="95">
        <v>45769</v>
      </c>
      <c r="B43" s="96">
        <v>62</v>
      </c>
      <c r="C43" s="98" t="s">
        <v>75</v>
      </c>
      <c r="D43" s="98"/>
      <c r="E43" s="98"/>
      <c r="F43" s="103" t="s">
        <v>76</v>
      </c>
      <c r="G43" s="98">
        <v>1</v>
      </c>
      <c r="H43" s="98">
        <v>25</v>
      </c>
      <c r="I43" s="98">
        <f t="shared" si="8"/>
        <v>25</v>
      </c>
      <c r="J43" s="152">
        <v>18.5</v>
      </c>
      <c r="K43" s="152">
        <f t="shared" si="7"/>
        <v>462.5</v>
      </c>
      <c r="L43" s="99" t="s">
        <v>77</v>
      </c>
      <c r="M43" s="98"/>
    </row>
    <row r="44" s="99" customFormat="1" ht="20.25" spans="1:14">
      <c r="A44" s="95">
        <v>45769</v>
      </c>
      <c r="B44" s="96">
        <v>62</v>
      </c>
      <c r="C44" s="98" t="s">
        <v>55</v>
      </c>
      <c r="D44" s="98"/>
      <c r="E44" s="98"/>
      <c r="F44" s="103" t="s">
        <v>56</v>
      </c>
      <c r="G44" s="98">
        <v>2</v>
      </c>
      <c r="H44" s="98">
        <v>25</v>
      </c>
      <c r="I44" s="98">
        <f t="shared" si="8"/>
        <v>50</v>
      </c>
      <c r="J44" s="152">
        <v>18.5</v>
      </c>
      <c r="K44" s="152">
        <f t="shared" si="7"/>
        <v>925</v>
      </c>
      <c r="L44" s="99" t="s">
        <v>57</v>
      </c>
      <c r="M44" s="98"/>
    </row>
    <row r="45" s="94" customFormat="1" ht="20.25" spans="1:14">
      <c r="A45" s="95">
        <v>45769</v>
      </c>
      <c r="B45" s="96">
        <v>62</v>
      </c>
      <c r="C45" s="98" t="s">
        <v>78</v>
      </c>
      <c r="D45" s="98"/>
      <c r="E45" s="98"/>
      <c r="F45" s="103" t="s">
        <v>79</v>
      </c>
      <c r="G45" s="98">
        <v>1</v>
      </c>
      <c r="H45" s="98">
        <v>20</v>
      </c>
      <c r="I45" s="98">
        <f t="shared" si="8"/>
        <v>20</v>
      </c>
      <c r="J45" s="152">
        <v>17</v>
      </c>
      <c r="K45" s="152">
        <f t="shared" si="7"/>
        <v>340</v>
      </c>
      <c r="M45" s="93"/>
    </row>
    <row r="46" s="99" customFormat="1" ht="20.25" spans="1:14">
      <c r="A46" s="95">
        <v>45769</v>
      </c>
      <c r="B46" s="96">
        <v>62</v>
      </c>
      <c r="C46" s="98" t="s">
        <v>12</v>
      </c>
      <c r="D46" s="98"/>
      <c r="E46" s="98"/>
      <c r="F46" s="103" t="s">
        <v>13</v>
      </c>
      <c r="G46" s="98">
        <v>4</v>
      </c>
      <c r="H46" s="98">
        <v>10</v>
      </c>
      <c r="I46" s="98">
        <f t="shared" si="8"/>
        <v>40</v>
      </c>
      <c r="J46" s="152">
        <v>18.5</v>
      </c>
      <c r="K46" s="152">
        <f t="shared" si="7"/>
        <v>740</v>
      </c>
      <c r="L46" s="99" t="s">
        <v>80</v>
      </c>
      <c r="M46" s="98"/>
    </row>
    <row r="47" s="99" customFormat="1" ht="20.25" spans="1:14">
      <c r="A47" s="95">
        <v>45769</v>
      </c>
      <c r="B47" s="96">
        <v>62</v>
      </c>
      <c r="C47" s="98" t="s">
        <v>65</v>
      </c>
      <c r="D47" s="98"/>
      <c r="E47" s="98"/>
      <c r="F47" s="103" t="s">
        <v>66</v>
      </c>
      <c r="G47" s="98">
        <v>5</v>
      </c>
      <c r="H47" s="98">
        <v>20</v>
      </c>
      <c r="I47" s="98">
        <f t="shared" si="8"/>
        <v>100</v>
      </c>
      <c r="J47" s="152">
        <v>18.5</v>
      </c>
      <c r="K47" s="152">
        <f t="shared" si="7"/>
        <v>1850</v>
      </c>
      <c r="M47" s="98"/>
      <c r="N47" s="99">
        <f>SUM(K38:K47)</f>
        <v>7927</v>
      </c>
    </row>
    <row r="48" s="94" customFormat="1" ht="20.25" spans="1:14">
      <c r="A48" s="90">
        <v>45786</v>
      </c>
      <c r="B48" s="91">
        <v>19</v>
      </c>
      <c r="C48" s="93" t="s">
        <v>81</v>
      </c>
      <c r="D48" s="93"/>
      <c r="E48" s="93"/>
      <c r="F48" s="101" t="s">
        <v>82</v>
      </c>
      <c r="G48" s="93">
        <v>1</v>
      </c>
      <c r="H48" s="93">
        <v>25</v>
      </c>
      <c r="I48" s="93">
        <f t="shared" si="8"/>
        <v>25</v>
      </c>
      <c r="J48" s="151">
        <v>18.5</v>
      </c>
      <c r="K48" s="151">
        <f t="shared" si="7"/>
        <v>462.5</v>
      </c>
      <c r="L48" s="94" t="s">
        <v>57</v>
      </c>
      <c r="M48" s="158"/>
    </row>
    <row r="49" s="94" customFormat="1" ht="20.25" spans="1:14">
      <c r="A49" s="90">
        <v>45786</v>
      </c>
      <c r="B49" s="91">
        <v>19</v>
      </c>
      <c r="C49" s="93" t="s">
        <v>65</v>
      </c>
      <c r="D49" s="93"/>
      <c r="E49" s="93"/>
      <c r="F49" s="101" t="s">
        <v>66</v>
      </c>
      <c r="G49" s="93">
        <v>1</v>
      </c>
      <c r="H49" s="93">
        <v>20</v>
      </c>
      <c r="I49" s="93">
        <f t="shared" si="8"/>
        <v>20</v>
      </c>
      <c r="J49" s="151">
        <v>18.5</v>
      </c>
      <c r="K49" s="151">
        <f t="shared" si="7"/>
        <v>370</v>
      </c>
      <c r="M49" s="93"/>
      <c r="N49" s="94">
        <f>SUM(K48:K49)</f>
        <v>832.5</v>
      </c>
    </row>
    <row r="50" s="99" customFormat="1" ht="20.25" spans="1:14">
      <c r="A50" s="95">
        <v>45793</v>
      </c>
      <c r="B50" s="96">
        <v>45</v>
      </c>
      <c r="C50" s="154" t="s">
        <v>72</v>
      </c>
      <c r="D50" s="98"/>
      <c r="E50" s="98" t="s">
        <v>14</v>
      </c>
      <c r="F50" s="99" t="s">
        <v>15</v>
      </c>
      <c r="G50" s="98">
        <v>1</v>
      </c>
      <c r="H50" s="98">
        <v>400</v>
      </c>
      <c r="I50" s="98">
        <f t="shared" si="8"/>
        <v>400</v>
      </c>
      <c r="J50" s="152">
        <v>9</v>
      </c>
      <c r="K50" s="152">
        <f t="shared" si="7"/>
        <v>3600</v>
      </c>
      <c r="M50" s="98"/>
    </row>
    <row r="51" s="94" customFormat="1" ht="20.25" spans="1:14">
      <c r="A51" s="90">
        <v>45796</v>
      </c>
      <c r="B51" s="91">
        <v>49</v>
      </c>
      <c r="C51" s="93">
        <v>10309</v>
      </c>
      <c r="D51" s="93"/>
      <c r="E51" s="93"/>
      <c r="F51" s="101" t="s">
        <v>58</v>
      </c>
      <c r="G51" s="93">
        <v>1</v>
      </c>
      <c r="H51" s="93">
        <v>20</v>
      </c>
      <c r="I51" s="93">
        <f t="shared" si="8"/>
        <v>20</v>
      </c>
      <c r="J51" s="151">
        <v>22</v>
      </c>
      <c r="K51" s="151">
        <f t="shared" si="7"/>
        <v>440</v>
      </c>
      <c r="L51" s="94" t="s">
        <v>57</v>
      </c>
      <c r="M51" s="93" t="s">
        <v>59</v>
      </c>
    </row>
    <row r="52" s="94" customFormat="1" ht="20.25" spans="1:14">
      <c r="A52" s="90">
        <v>45796</v>
      </c>
      <c r="B52" s="91">
        <v>49</v>
      </c>
      <c r="C52" s="93" t="s">
        <v>12</v>
      </c>
      <c r="D52" s="93"/>
      <c r="E52" s="93"/>
      <c r="F52" s="101" t="s">
        <v>13</v>
      </c>
      <c r="G52" s="93">
        <v>1</v>
      </c>
      <c r="H52" s="93">
        <v>10</v>
      </c>
      <c r="I52" s="93">
        <f t="shared" si="8"/>
        <v>10</v>
      </c>
      <c r="J52" s="151">
        <v>18.5</v>
      </c>
      <c r="K52" s="151">
        <f t="shared" si="7"/>
        <v>185</v>
      </c>
      <c r="L52" s="94" t="s">
        <v>80</v>
      </c>
      <c r="M52" s="93"/>
    </row>
    <row r="53" s="99" customFormat="1" ht="20.25" spans="1:14">
      <c r="A53" s="95">
        <v>45801</v>
      </c>
      <c r="B53" s="96">
        <v>59</v>
      </c>
      <c r="C53" s="98">
        <v>4210</v>
      </c>
      <c r="D53" s="98"/>
      <c r="E53" s="98"/>
      <c r="F53" s="103" t="s">
        <v>83</v>
      </c>
      <c r="G53" s="98">
        <v>1</v>
      </c>
      <c r="H53" s="98">
        <v>2</v>
      </c>
      <c r="I53" s="98">
        <f t="shared" si="8"/>
        <v>2</v>
      </c>
      <c r="J53" s="152">
        <v>22</v>
      </c>
      <c r="K53" s="152">
        <f t="shared" si="7"/>
        <v>44</v>
      </c>
      <c r="L53" s="99" t="s">
        <v>84</v>
      </c>
      <c r="M53" s="98"/>
    </row>
    <row r="54" s="99" customFormat="1" ht="20.25" spans="1:14">
      <c r="A54" s="95">
        <v>45801</v>
      </c>
      <c r="B54" s="96">
        <v>59</v>
      </c>
      <c r="C54" s="98" t="s">
        <v>85</v>
      </c>
      <c r="D54" s="98"/>
      <c r="E54" s="98"/>
      <c r="F54" s="103" t="s">
        <v>86</v>
      </c>
      <c r="G54" s="98">
        <v>1</v>
      </c>
      <c r="H54" s="98">
        <v>2</v>
      </c>
      <c r="I54" s="98">
        <f t="shared" si="8"/>
        <v>2</v>
      </c>
      <c r="J54" s="152">
        <v>22</v>
      </c>
      <c r="K54" s="152">
        <f t="shared" si="7"/>
        <v>44</v>
      </c>
      <c r="L54" s="99" t="s">
        <v>84</v>
      </c>
      <c r="M54" s="98"/>
    </row>
    <row r="55" s="99" customFormat="1" ht="20.25" spans="1:14">
      <c r="A55" s="95">
        <v>45801</v>
      </c>
      <c r="B55" s="96">
        <v>59</v>
      </c>
      <c r="C55" s="98" t="s">
        <v>87</v>
      </c>
      <c r="D55" s="98"/>
      <c r="E55" s="98"/>
      <c r="F55" s="103" t="s">
        <v>88</v>
      </c>
      <c r="G55" s="98">
        <v>1</v>
      </c>
      <c r="H55" s="98">
        <v>2</v>
      </c>
      <c r="I55" s="98">
        <f t="shared" si="8"/>
        <v>2</v>
      </c>
      <c r="J55" s="152">
        <v>22</v>
      </c>
      <c r="K55" s="152">
        <f t="shared" si="7"/>
        <v>44</v>
      </c>
      <c r="L55" s="99" t="s">
        <v>84</v>
      </c>
      <c r="M55" s="98"/>
    </row>
    <row r="56" s="99" customFormat="1" ht="20.25" spans="1:14">
      <c r="A56" s="95">
        <v>45801</v>
      </c>
      <c r="B56" s="96">
        <v>59</v>
      </c>
      <c r="C56" s="98">
        <v>46100175</v>
      </c>
      <c r="D56" s="98"/>
      <c r="E56" s="98"/>
      <c r="F56" s="103" t="s">
        <v>89</v>
      </c>
      <c r="G56" s="98">
        <v>1</v>
      </c>
      <c r="H56" s="98">
        <v>2</v>
      </c>
      <c r="I56" s="98">
        <f t="shared" si="8"/>
        <v>2</v>
      </c>
      <c r="J56" s="152">
        <v>18.5</v>
      </c>
      <c r="K56" s="152">
        <f t="shared" si="7"/>
        <v>37</v>
      </c>
      <c r="L56" s="99" t="s">
        <v>84</v>
      </c>
      <c r="M56" s="98"/>
    </row>
    <row r="57" s="99" customFormat="1" ht="20.25" spans="1:14">
      <c r="A57" s="95">
        <v>45801</v>
      </c>
      <c r="B57" s="96">
        <v>59</v>
      </c>
      <c r="C57" s="98" t="s">
        <v>90</v>
      </c>
      <c r="D57" s="98"/>
      <c r="E57" s="98"/>
      <c r="F57" s="103" t="s">
        <v>91</v>
      </c>
      <c r="G57" s="98">
        <v>1</v>
      </c>
      <c r="H57" s="98">
        <v>2</v>
      </c>
      <c r="I57" s="98">
        <f t="shared" si="8"/>
        <v>2</v>
      </c>
      <c r="J57" s="152">
        <v>18.5</v>
      </c>
      <c r="K57" s="152">
        <f t="shared" si="7"/>
        <v>37</v>
      </c>
      <c r="L57" s="99" t="s">
        <v>84</v>
      </c>
      <c r="M57" s="98"/>
    </row>
    <row r="58" s="99" customFormat="1" ht="20.25" spans="1:14">
      <c r="A58" s="95">
        <v>45801</v>
      </c>
      <c r="B58" s="96">
        <v>59</v>
      </c>
      <c r="C58" s="98">
        <v>48100299</v>
      </c>
      <c r="D58" s="98"/>
      <c r="E58" s="98"/>
      <c r="F58" s="103" t="s">
        <v>82</v>
      </c>
      <c r="G58" s="98">
        <v>1</v>
      </c>
      <c r="H58" s="98">
        <v>2</v>
      </c>
      <c r="I58" s="98">
        <f t="shared" si="8"/>
        <v>2</v>
      </c>
      <c r="J58" s="152">
        <v>18.5</v>
      </c>
      <c r="K58" s="152">
        <f t="shared" si="7"/>
        <v>37</v>
      </c>
      <c r="L58" s="99" t="s">
        <v>84</v>
      </c>
      <c r="M58" s="98"/>
      <c r="N58" s="99">
        <f>SUM(K53:K58)</f>
        <v>243</v>
      </c>
    </row>
    <row r="59" s="94" customFormat="1" ht="20.25" spans="1:14">
      <c r="A59" s="90">
        <v>45801</v>
      </c>
      <c r="B59" s="91">
        <v>60</v>
      </c>
      <c r="C59" s="93" t="s">
        <v>92</v>
      </c>
      <c r="D59" s="93"/>
      <c r="E59" s="93"/>
      <c r="F59" s="101" t="s">
        <v>83</v>
      </c>
      <c r="G59" s="93">
        <v>1</v>
      </c>
      <c r="H59" s="93">
        <v>2</v>
      </c>
      <c r="I59" s="93">
        <f t="shared" si="8"/>
        <v>2</v>
      </c>
      <c r="J59" s="151">
        <v>22</v>
      </c>
      <c r="K59" s="151">
        <f t="shared" si="7"/>
        <v>44</v>
      </c>
      <c r="L59" s="99" t="s">
        <v>84</v>
      </c>
      <c r="M59" s="98"/>
    </row>
    <row r="60" s="99" customFormat="1" ht="20.25" spans="1:14">
      <c r="A60" s="95">
        <v>45803</v>
      </c>
      <c r="B60" s="96">
        <v>65</v>
      </c>
      <c r="C60" s="98" t="s">
        <v>85</v>
      </c>
      <c r="D60" s="98"/>
      <c r="E60" s="98"/>
      <c r="F60" s="103" t="s">
        <v>86</v>
      </c>
      <c r="G60" s="98">
        <v>1</v>
      </c>
      <c r="H60" s="98">
        <v>10</v>
      </c>
      <c r="I60" s="98">
        <f t="shared" si="8"/>
        <v>10</v>
      </c>
      <c r="J60" s="152">
        <v>22</v>
      </c>
      <c r="K60" s="152">
        <f t="shared" si="7"/>
        <v>220</v>
      </c>
      <c r="L60" s="99" t="s">
        <v>93</v>
      </c>
      <c r="M60" s="98"/>
    </row>
    <row r="61" s="99" customFormat="1" ht="20.25" spans="1:14">
      <c r="A61" s="95">
        <v>45803</v>
      </c>
      <c r="B61" s="96">
        <v>65</v>
      </c>
      <c r="C61" s="98" t="s">
        <v>90</v>
      </c>
      <c r="D61" s="98"/>
      <c r="E61" s="98"/>
      <c r="F61" s="103" t="s">
        <v>91</v>
      </c>
      <c r="G61" s="98">
        <v>1</v>
      </c>
      <c r="H61" s="98">
        <v>10</v>
      </c>
      <c r="I61" s="98">
        <f t="shared" si="8"/>
        <v>10</v>
      </c>
      <c r="J61" s="152">
        <v>18.5</v>
      </c>
      <c r="K61" s="152">
        <f t="shared" si="7"/>
        <v>185</v>
      </c>
      <c r="L61" s="99" t="s">
        <v>93</v>
      </c>
      <c r="M61" s="98"/>
    </row>
    <row r="62" s="99" customFormat="1" ht="20.25" spans="1:14">
      <c r="A62" s="95">
        <v>45803</v>
      </c>
      <c r="B62" s="96">
        <v>65</v>
      </c>
      <c r="C62" s="98" t="s">
        <v>92</v>
      </c>
      <c r="D62" s="98"/>
      <c r="E62" s="98"/>
      <c r="F62" s="103" t="s">
        <v>83</v>
      </c>
      <c r="G62" s="98">
        <v>1</v>
      </c>
      <c r="H62" s="98">
        <v>10</v>
      </c>
      <c r="I62" s="98">
        <f t="shared" si="8"/>
        <v>10</v>
      </c>
      <c r="J62" s="152">
        <v>22</v>
      </c>
      <c r="K62" s="152">
        <f t="shared" si="7"/>
        <v>220</v>
      </c>
      <c r="L62" s="99" t="s">
        <v>93</v>
      </c>
      <c r="M62" s="98"/>
    </row>
    <row r="63" s="99" customFormat="1" ht="20.25" spans="1:14">
      <c r="A63" s="95">
        <v>45803</v>
      </c>
      <c r="B63" s="96">
        <v>65</v>
      </c>
      <c r="C63" s="98">
        <v>3088</v>
      </c>
      <c r="D63" s="98"/>
      <c r="E63" s="98"/>
      <c r="F63" s="103" t="s">
        <v>94</v>
      </c>
      <c r="G63" s="98">
        <v>1</v>
      </c>
      <c r="H63" s="98">
        <v>3</v>
      </c>
      <c r="I63" s="98">
        <f t="shared" si="8"/>
        <v>3</v>
      </c>
      <c r="J63" s="152">
        <v>18.5</v>
      </c>
      <c r="K63" s="152">
        <f t="shared" si="7"/>
        <v>55.5</v>
      </c>
      <c r="L63" s="99" t="s">
        <v>93</v>
      </c>
      <c r="M63" s="98"/>
    </row>
    <row r="64" s="99" customFormat="1" ht="20.25" spans="1:14">
      <c r="A64" s="95">
        <v>45801</v>
      </c>
      <c r="B64" s="96">
        <v>59</v>
      </c>
      <c r="C64" s="98">
        <v>48100299</v>
      </c>
      <c r="D64" s="98"/>
      <c r="E64" s="98"/>
      <c r="F64" s="103" t="s">
        <v>82</v>
      </c>
      <c r="G64" s="98">
        <v>1</v>
      </c>
      <c r="H64" s="98">
        <v>5</v>
      </c>
      <c r="I64" s="98">
        <f t="shared" si="8"/>
        <v>5</v>
      </c>
      <c r="J64" s="152">
        <v>18.5</v>
      </c>
      <c r="K64" s="152">
        <f t="shared" si="7"/>
        <v>92.5</v>
      </c>
      <c r="L64" s="99" t="s">
        <v>84</v>
      </c>
      <c r="M64" s="98"/>
      <c r="N64" s="99">
        <f>SUM(K59:K64)</f>
        <v>817</v>
      </c>
    </row>
    <row r="65" s="99" customFormat="1" ht="20.25" spans="1:14">
      <c r="A65" s="95">
        <v>45803</v>
      </c>
      <c r="B65" s="96">
        <v>65</v>
      </c>
      <c r="C65" s="206" t="s">
        <v>95</v>
      </c>
      <c r="D65" s="98"/>
      <c r="E65" s="98"/>
      <c r="F65" s="103" t="s">
        <v>96</v>
      </c>
      <c r="G65" s="98">
        <v>1</v>
      </c>
      <c r="H65" s="98">
        <v>4</v>
      </c>
      <c r="I65" s="98">
        <f t="shared" si="8"/>
        <v>4</v>
      </c>
      <c r="J65" s="152">
        <v>18.5</v>
      </c>
      <c r="K65" s="152">
        <f t="shared" si="7"/>
        <v>74</v>
      </c>
      <c r="L65" s="99" t="s">
        <v>93</v>
      </c>
      <c r="M65" s="98"/>
    </row>
    <row r="66" s="99" customFormat="1" ht="20.25" spans="1:14">
      <c r="A66" s="95">
        <v>45740</v>
      </c>
      <c r="B66" s="96">
        <v>91</v>
      </c>
      <c r="C66" s="98" t="s">
        <v>17</v>
      </c>
      <c r="D66" s="98"/>
      <c r="E66" s="98"/>
      <c r="F66" s="102" t="s">
        <v>18</v>
      </c>
      <c r="G66" s="98">
        <v>1</v>
      </c>
      <c r="H66" s="98">
        <v>25</v>
      </c>
      <c r="I66" s="98">
        <f t="shared" si="8"/>
        <v>25</v>
      </c>
      <c r="J66" s="152">
        <v>18.5</v>
      </c>
      <c r="K66" s="152">
        <f t="shared" si="7"/>
        <v>462.5</v>
      </c>
      <c r="M66" s="98"/>
    </row>
    <row r="67" s="99" customFormat="1" ht="20.25" spans="1:14">
      <c r="A67" s="95">
        <v>45803</v>
      </c>
      <c r="B67" s="96">
        <v>65</v>
      </c>
      <c r="C67" s="98" t="s">
        <v>65</v>
      </c>
      <c r="D67" s="98"/>
      <c r="E67" s="98"/>
      <c r="F67" s="103" t="s">
        <v>66</v>
      </c>
      <c r="G67" s="98">
        <v>1</v>
      </c>
      <c r="H67" s="98">
        <v>20</v>
      </c>
      <c r="I67" s="98">
        <f t="shared" si="8"/>
        <v>20</v>
      </c>
      <c r="J67" s="152">
        <v>18.5</v>
      </c>
      <c r="K67" s="152">
        <f t="shared" si="7"/>
        <v>370</v>
      </c>
      <c r="M67" s="98"/>
      <c r="N67" s="99">
        <f>SUM(K60:K67)</f>
        <v>1679.5</v>
      </c>
    </row>
    <row r="68" s="94" customFormat="1" ht="20.25" spans="1:14">
      <c r="A68" s="90">
        <v>45807</v>
      </c>
      <c r="B68" s="91">
        <v>81</v>
      </c>
      <c r="C68" s="93">
        <v>46100175</v>
      </c>
      <c r="D68" s="93"/>
      <c r="E68" s="93"/>
      <c r="F68" s="101" t="s">
        <v>89</v>
      </c>
      <c r="G68" s="93">
        <v>2</v>
      </c>
      <c r="H68" s="93">
        <v>26</v>
      </c>
      <c r="I68" s="93">
        <f t="shared" si="8"/>
        <v>52</v>
      </c>
      <c r="J68" s="151">
        <v>18.5</v>
      </c>
      <c r="K68" s="151">
        <f t="shared" si="7"/>
        <v>962</v>
      </c>
      <c r="L68" s="94" t="s">
        <v>84</v>
      </c>
      <c r="M68" s="93"/>
    </row>
    <row r="69" s="94" customFormat="1" ht="20.25" spans="1:14">
      <c r="A69" s="90">
        <v>45807</v>
      </c>
      <c r="B69" s="91">
        <v>81</v>
      </c>
      <c r="C69" s="93" t="s">
        <v>65</v>
      </c>
      <c r="D69" s="93"/>
      <c r="E69" s="93"/>
      <c r="F69" s="101" t="s">
        <v>66</v>
      </c>
      <c r="G69" s="93">
        <v>3</v>
      </c>
      <c r="H69" s="93">
        <v>20</v>
      </c>
      <c r="I69" s="93">
        <f t="shared" si="8"/>
        <v>60</v>
      </c>
      <c r="J69" s="151">
        <v>18.5</v>
      </c>
      <c r="K69" s="151">
        <f t="shared" si="7"/>
        <v>1110</v>
      </c>
      <c r="M69" s="93"/>
    </row>
    <row r="70" s="94" customFormat="1" ht="20.25" spans="1:14">
      <c r="A70" s="90">
        <v>45807</v>
      </c>
      <c r="B70" s="91">
        <v>81</v>
      </c>
      <c r="C70" s="93">
        <v>15131</v>
      </c>
      <c r="D70" s="93"/>
      <c r="E70" s="93"/>
      <c r="F70" s="101" t="s">
        <v>62</v>
      </c>
      <c r="G70" s="93">
        <v>1</v>
      </c>
      <c r="H70" s="93">
        <v>25</v>
      </c>
      <c r="I70" s="93">
        <f t="shared" si="8"/>
        <v>25</v>
      </c>
      <c r="J70" s="151">
        <v>18.5</v>
      </c>
      <c r="K70" s="151">
        <f t="shared" si="7"/>
        <v>462.5</v>
      </c>
      <c r="L70" s="94" t="s">
        <v>57</v>
      </c>
      <c r="M70" s="93"/>
      <c r="N70" s="94">
        <f>SUM(K68:K70)</f>
        <v>2534.5</v>
      </c>
    </row>
    <row r="71" s="147" customFormat="1" ht="20.25" spans="1:14">
      <c r="A71" s="159">
        <v>45819</v>
      </c>
      <c r="B71" s="160" t="s">
        <v>97</v>
      </c>
      <c r="C71" s="149" t="s">
        <v>98</v>
      </c>
      <c r="D71" s="149"/>
      <c r="E71" s="149"/>
      <c r="F71" s="161" t="s">
        <v>66</v>
      </c>
      <c r="G71" s="149">
        <v>1</v>
      </c>
      <c r="H71" s="149">
        <v>20</v>
      </c>
      <c r="I71" s="149">
        <f t="shared" si="8"/>
        <v>20</v>
      </c>
      <c r="J71" s="153">
        <v>19.5</v>
      </c>
      <c r="K71" s="153">
        <f t="shared" si="7"/>
        <v>390</v>
      </c>
      <c r="L71" s="147" t="s">
        <v>99</v>
      </c>
      <c r="M71" s="149"/>
    </row>
    <row r="72" s="147" customFormat="1" ht="20.25" spans="1:14">
      <c r="A72" s="159">
        <v>45819</v>
      </c>
      <c r="B72" s="160" t="s">
        <v>97</v>
      </c>
      <c r="C72" s="149" t="s">
        <v>100</v>
      </c>
      <c r="D72" s="149"/>
      <c r="E72" s="149"/>
      <c r="F72" s="161" t="s">
        <v>101</v>
      </c>
      <c r="G72" s="149">
        <v>1</v>
      </c>
      <c r="H72" s="149">
        <v>18</v>
      </c>
      <c r="I72" s="149">
        <f t="shared" si="8"/>
        <v>18</v>
      </c>
      <c r="J72" s="153">
        <v>9.5</v>
      </c>
      <c r="K72" s="153">
        <f t="shared" si="7"/>
        <v>171</v>
      </c>
      <c r="L72" s="162" t="s">
        <v>102</v>
      </c>
      <c r="M72" s="149"/>
      <c r="N72" s="147">
        <f>SUM(K71:K73)</f>
        <v>921</v>
      </c>
    </row>
    <row r="73" s="147" customFormat="1" ht="20.25" spans="1:14">
      <c r="A73" s="159">
        <v>45819</v>
      </c>
      <c r="B73" s="160" t="s">
        <v>97</v>
      </c>
      <c r="C73" s="149" t="s">
        <v>103</v>
      </c>
      <c r="D73" s="149"/>
      <c r="E73" s="149"/>
      <c r="F73" s="161" t="s">
        <v>104</v>
      </c>
      <c r="G73" s="149">
        <v>1</v>
      </c>
      <c r="H73" s="149">
        <v>20</v>
      </c>
      <c r="I73" s="149">
        <f t="shared" si="8"/>
        <v>20</v>
      </c>
      <c r="J73" s="153">
        <v>18</v>
      </c>
      <c r="K73" s="153">
        <f t="shared" si="7"/>
        <v>360</v>
      </c>
      <c r="L73" s="147" t="s">
        <v>105</v>
      </c>
      <c r="M73" s="149"/>
      <c r="N73" s="147" t="s">
        <v>106</v>
      </c>
    </row>
    <row r="74" s="94" customFormat="1" ht="20.25" spans="1:14">
      <c r="A74" s="90">
        <v>45835</v>
      </c>
      <c r="B74" s="91">
        <v>82</v>
      </c>
      <c r="C74" s="93">
        <v>1212</v>
      </c>
      <c r="D74" s="93"/>
      <c r="E74" s="93"/>
      <c r="F74" s="101" t="s">
        <v>107</v>
      </c>
      <c r="G74" s="93">
        <v>1</v>
      </c>
      <c r="H74" s="93">
        <v>21</v>
      </c>
      <c r="I74" s="93">
        <f t="shared" si="8"/>
        <v>21</v>
      </c>
      <c r="J74" s="153">
        <v>22</v>
      </c>
      <c r="K74" s="151">
        <f t="shared" si="7"/>
        <v>462</v>
      </c>
      <c r="L74" s="147" t="s">
        <v>68</v>
      </c>
      <c r="M74" s="93"/>
    </row>
    <row r="75" s="94" customFormat="1" ht="20.25" spans="1:14">
      <c r="A75" s="90">
        <v>45835</v>
      </c>
      <c r="B75" s="91">
        <v>82</v>
      </c>
      <c r="C75" s="93" t="s">
        <v>12</v>
      </c>
      <c r="D75" s="93"/>
      <c r="E75" s="93"/>
      <c r="F75" s="101" t="s">
        <v>13</v>
      </c>
      <c r="G75" s="93">
        <v>1</v>
      </c>
      <c r="H75" s="93">
        <v>10</v>
      </c>
      <c r="I75" s="93">
        <f t="shared" si="8"/>
        <v>10</v>
      </c>
      <c r="J75" s="151">
        <v>18.5</v>
      </c>
      <c r="K75" s="151">
        <f t="shared" si="7"/>
        <v>185</v>
      </c>
      <c r="L75" s="94" t="s">
        <v>80</v>
      </c>
      <c r="M75" s="93"/>
    </row>
    <row r="76" s="148" customFormat="1" ht="20.25" spans="1:14">
      <c r="A76" s="163">
        <v>45836</v>
      </c>
      <c r="B76" s="164"/>
      <c r="C76" s="165">
        <v>1212</v>
      </c>
      <c r="D76" s="165"/>
      <c r="E76" s="165"/>
      <c r="F76" s="166" t="s">
        <v>107</v>
      </c>
      <c r="G76" s="165">
        <v>1</v>
      </c>
      <c r="H76" s="165">
        <v>20</v>
      </c>
      <c r="I76" s="165">
        <f t="shared" si="8"/>
        <v>20</v>
      </c>
      <c r="J76" s="167"/>
      <c r="K76" s="167"/>
      <c r="L76" s="148" t="s">
        <v>108</v>
      </c>
      <c r="M76" s="165"/>
    </row>
    <row r="77" s="99" customFormat="1" ht="20.25" spans="1:14">
      <c r="A77" s="95">
        <v>45836</v>
      </c>
      <c r="B77" s="96">
        <v>35</v>
      </c>
      <c r="C77" s="98" t="s">
        <v>98</v>
      </c>
      <c r="D77" s="98"/>
      <c r="E77" s="98"/>
      <c r="F77" s="103" t="s">
        <v>66</v>
      </c>
      <c r="G77" s="98">
        <v>1</v>
      </c>
      <c r="H77" s="98">
        <v>20</v>
      </c>
      <c r="I77" s="98">
        <f t="shared" si="8"/>
        <v>20</v>
      </c>
      <c r="J77" s="152">
        <v>19.5</v>
      </c>
      <c r="K77" s="152">
        <f t="shared" ref="K77:K81" si="9">I77*J77</f>
        <v>390</v>
      </c>
      <c r="L77" s="99" t="s">
        <v>109</v>
      </c>
      <c r="M77" s="168" t="s">
        <v>110</v>
      </c>
    </row>
    <row r="78" s="99" customFormat="1" ht="20.25" spans="1:14">
      <c r="A78" s="95">
        <v>45836</v>
      </c>
      <c r="B78" s="96">
        <v>35</v>
      </c>
      <c r="C78" s="98" t="s">
        <v>100</v>
      </c>
      <c r="D78" s="98"/>
      <c r="E78" s="98"/>
      <c r="F78" s="103" t="s">
        <v>101</v>
      </c>
      <c r="G78" s="98">
        <v>1</v>
      </c>
      <c r="H78" s="98">
        <v>18</v>
      </c>
      <c r="I78" s="98">
        <f t="shared" si="8"/>
        <v>18</v>
      </c>
      <c r="J78" s="152">
        <v>9.5</v>
      </c>
      <c r="K78" s="152">
        <f t="shared" si="9"/>
        <v>171</v>
      </c>
      <c r="L78" s="146" t="s">
        <v>102</v>
      </c>
      <c r="M78" s="168"/>
      <c r="N78" s="99">
        <f>SUM(K77:K80)</f>
        <v>1402</v>
      </c>
    </row>
    <row r="79" s="99" customFormat="1" ht="28.5" spans="1:14">
      <c r="A79" s="95">
        <v>45836</v>
      </c>
      <c r="B79" s="96">
        <v>35</v>
      </c>
      <c r="C79" s="98" t="s">
        <v>103</v>
      </c>
      <c r="D79" s="98"/>
      <c r="E79" s="98"/>
      <c r="F79" s="103" t="s">
        <v>104</v>
      </c>
      <c r="G79" s="98">
        <v>1</v>
      </c>
      <c r="H79" s="98">
        <v>20</v>
      </c>
      <c r="I79" s="98">
        <f t="shared" si="8"/>
        <v>20</v>
      </c>
      <c r="J79" s="152">
        <v>18</v>
      </c>
      <c r="K79" s="152">
        <f t="shared" si="9"/>
        <v>360</v>
      </c>
      <c r="L79" s="169" t="s">
        <v>105</v>
      </c>
      <c r="M79" s="170" t="s">
        <v>111</v>
      </c>
    </row>
    <row r="80" s="99" customFormat="1" ht="20.25" spans="1:14">
      <c r="A80" s="95">
        <v>45836</v>
      </c>
      <c r="B80" s="96">
        <v>35</v>
      </c>
      <c r="C80" s="98">
        <v>46100175</v>
      </c>
      <c r="D80" s="98"/>
      <c r="E80" s="98"/>
      <c r="F80" s="103" t="s">
        <v>89</v>
      </c>
      <c r="G80" s="98">
        <v>1</v>
      </c>
      <c r="H80" s="98">
        <v>26</v>
      </c>
      <c r="I80" s="98">
        <f t="shared" si="8"/>
        <v>26</v>
      </c>
      <c r="J80" s="152">
        <v>18.5</v>
      </c>
      <c r="K80" s="152">
        <f t="shared" si="9"/>
        <v>481</v>
      </c>
      <c r="L80" s="169" t="s">
        <v>84</v>
      </c>
      <c r="M80" s="25" t="s">
        <v>112</v>
      </c>
    </row>
    <row r="81" s="93" customFormat="1" ht="20.25" spans="1:13">
      <c r="A81" s="90">
        <v>45843</v>
      </c>
      <c r="B81" s="91">
        <v>8</v>
      </c>
      <c r="C81" s="93" t="s">
        <v>55</v>
      </c>
      <c r="F81" s="92" t="s">
        <v>56</v>
      </c>
      <c r="G81" s="93">
        <v>3</v>
      </c>
      <c r="H81" s="93">
        <v>25</v>
      </c>
      <c r="I81" s="93">
        <f t="shared" ref="I81:I89" si="10">G81*H81</f>
        <v>75</v>
      </c>
      <c r="J81" s="151">
        <v>18.5</v>
      </c>
      <c r="K81" s="151">
        <f t="shared" si="9"/>
        <v>1387.5</v>
      </c>
      <c r="L81" s="93" t="s">
        <v>57</v>
      </c>
    </row>
    <row r="82" s="93" customFormat="1" ht="20.25" spans="1:13">
      <c r="A82" s="90">
        <v>45843</v>
      </c>
      <c r="B82" s="91">
        <v>8</v>
      </c>
      <c r="C82" s="93">
        <v>10309</v>
      </c>
      <c r="F82" s="92" t="s">
        <v>58</v>
      </c>
      <c r="G82" s="93">
        <v>1</v>
      </c>
      <c r="H82" s="93">
        <v>20</v>
      </c>
      <c r="I82" s="93">
        <f t="shared" si="10"/>
        <v>20</v>
      </c>
      <c r="J82" s="151">
        <v>22</v>
      </c>
      <c r="K82" s="151">
        <f t="shared" ref="K82:K96" si="11">I82*J82</f>
        <v>440</v>
      </c>
      <c r="L82" s="93" t="s">
        <v>57</v>
      </c>
      <c r="M82" s="93" t="s">
        <v>59</v>
      </c>
    </row>
    <row r="83" s="93" customFormat="1" ht="20.25" spans="1:13">
      <c r="A83" s="90">
        <v>45843</v>
      </c>
      <c r="B83" s="91">
        <v>8</v>
      </c>
      <c r="C83" s="93">
        <v>5559</v>
      </c>
      <c r="F83" s="92" t="s">
        <v>64</v>
      </c>
      <c r="G83" s="93">
        <v>2</v>
      </c>
      <c r="H83" s="93">
        <v>24</v>
      </c>
      <c r="I83" s="93">
        <f t="shared" si="10"/>
        <v>48</v>
      </c>
      <c r="J83" s="151">
        <v>18.5</v>
      </c>
      <c r="K83" s="151">
        <f t="shared" si="11"/>
        <v>888</v>
      </c>
      <c r="L83" s="93" t="s">
        <v>57</v>
      </c>
    </row>
    <row r="84" s="93" customFormat="1" ht="20.25" spans="1:13">
      <c r="A84" s="90">
        <v>45843</v>
      </c>
      <c r="B84" s="91">
        <v>8</v>
      </c>
      <c r="C84" s="93">
        <v>15938</v>
      </c>
      <c r="F84" s="92" t="s">
        <v>70</v>
      </c>
      <c r="G84" s="93">
        <v>1</v>
      </c>
      <c r="H84" s="93">
        <v>26</v>
      </c>
      <c r="I84" s="93">
        <f t="shared" si="10"/>
        <v>26</v>
      </c>
      <c r="J84" s="151">
        <v>18.5</v>
      </c>
      <c r="K84" s="151">
        <f t="shared" si="11"/>
        <v>481</v>
      </c>
      <c r="L84" s="93" t="s">
        <v>57</v>
      </c>
    </row>
    <row r="85" s="93" customFormat="1" ht="20.25" spans="1:13">
      <c r="A85" s="90">
        <v>45843</v>
      </c>
      <c r="B85" s="91">
        <v>8</v>
      </c>
      <c r="C85" s="93" t="s">
        <v>81</v>
      </c>
      <c r="F85" s="92" t="s">
        <v>82</v>
      </c>
      <c r="G85" s="93">
        <v>1</v>
      </c>
      <c r="H85" s="93">
        <v>26</v>
      </c>
      <c r="I85" s="93">
        <f t="shared" si="10"/>
        <v>26</v>
      </c>
      <c r="J85" s="151">
        <v>18.5</v>
      </c>
      <c r="K85" s="151">
        <f t="shared" si="11"/>
        <v>481</v>
      </c>
      <c r="L85" s="93" t="s">
        <v>57</v>
      </c>
    </row>
    <row r="86" s="93" customFormat="1" ht="20.25" spans="1:13">
      <c r="A86" s="90">
        <v>45843</v>
      </c>
      <c r="B86" s="91">
        <v>8</v>
      </c>
      <c r="C86" s="93" t="s">
        <v>90</v>
      </c>
      <c r="F86" s="92" t="s">
        <v>91</v>
      </c>
      <c r="G86" s="93">
        <v>1</v>
      </c>
      <c r="H86" s="93">
        <v>10</v>
      </c>
      <c r="I86" s="93">
        <f t="shared" si="10"/>
        <v>10</v>
      </c>
      <c r="J86" s="151">
        <v>18.5</v>
      </c>
      <c r="K86" s="151">
        <f t="shared" si="11"/>
        <v>185</v>
      </c>
      <c r="L86" s="92" t="s">
        <v>84</v>
      </c>
      <c r="M86" s="92"/>
    </row>
    <row r="87" s="93" customFormat="1" ht="20.25" spans="1:13">
      <c r="A87" s="90">
        <v>45843</v>
      </c>
      <c r="B87" s="91">
        <v>8</v>
      </c>
      <c r="C87" s="93" t="s">
        <v>92</v>
      </c>
      <c r="F87" s="92" t="s">
        <v>83</v>
      </c>
      <c r="G87" s="93">
        <v>1</v>
      </c>
      <c r="H87" s="93">
        <v>20</v>
      </c>
      <c r="I87" s="93">
        <f t="shared" si="10"/>
        <v>20</v>
      </c>
      <c r="J87" s="151">
        <v>22</v>
      </c>
      <c r="K87" s="151">
        <f t="shared" si="11"/>
        <v>440</v>
      </c>
      <c r="L87" s="92" t="s">
        <v>84</v>
      </c>
      <c r="M87" s="92"/>
    </row>
    <row r="88" s="93" customFormat="1" ht="20.25" spans="1:13">
      <c r="A88" s="90">
        <v>45843</v>
      </c>
      <c r="B88" s="91">
        <v>8</v>
      </c>
      <c r="C88" s="93">
        <v>15959</v>
      </c>
      <c r="F88" s="92" t="s">
        <v>63</v>
      </c>
      <c r="G88" s="93">
        <v>1</v>
      </c>
      <c r="H88" s="93">
        <v>26</v>
      </c>
      <c r="I88" s="93">
        <f t="shared" si="10"/>
        <v>26</v>
      </c>
      <c r="J88" s="151">
        <v>18.5</v>
      </c>
      <c r="K88" s="151">
        <f t="shared" si="11"/>
        <v>481</v>
      </c>
    </row>
    <row r="89" s="93" customFormat="1" ht="20.25" spans="1:13">
      <c r="A89" s="90">
        <v>45843</v>
      </c>
      <c r="B89" s="91">
        <v>8</v>
      </c>
      <c r="C89" s="93">
        <v>3088</v>
      </c>
      <c r="F89" s="92" t="s">
        <v>94</v>
      </c>
      <c r="G89" s="93">
        <v>1</v>
      </c>
      <c r="H89" s="93">
        <v>11</v>
      </c>
      <c r="I89" s="93">
        <f t="shared" ref="I89:I96" si="12">G89*H89</f>
        <v>11</v>
      </c>
      <c r="J89" s="151">
        <v>18.5</v>
      </c>
      <c r="K89" s="151">
        <f t="shared" si="11"/>
        <v>203.5</v>
      </c>
    </row>
    <row r="90" s="93" customFormat="1" ht="20.25" spans="1:13">
      <c r="A90" s="90">
        <v>45843</v>
      </c>
      <c r="B90" s="91">
        <v>8</v>
      </c>
      <c r="C90" s="207" t="s">
        <v>95</v>
      </c>
      <c r="F90" s="92" t="s">
        <v>96</v>
      </c>
      <c r="G90" s="93">
        <v>1</v>
      </c>
      <c r="H90" s="93">
        <v>10</v>
      </c>
      <c r="I90" s="93">
        <f t="shared" si="12"/>
        <v>10</v>
      </c>
      <c r="J90" s="151">
        <v>18.5</v>
      </c>
      <c r="K90" s="151">
        <f t="shared" si="11"/>
        <v>185</v>
      </c>
    </row>
    <row r="91" s="93" customFormat="1" ht="20.25" spans="1:13">
      <c r="A91" s="90">
        <v>45843</v>
      </c>
      <c r="B91" s="91">
        <v>8</v>
      </c>
      <c r="C91" s="90" t="s">
        <v>113</v>
      </c>
      <c r="F91" s="92" t="s">
        <v>114</v>
      </c>
      <c r="G91" s="93">
        <v>1</v>
      </c>
      <c r="H91" s="93">
        <v>13</v>
      </c>
      <c r="I91" s="93">
        <f t="shared" si="12"/>
        <v>13</v>
      </c>
      <c r="J91" s="151">
        <v>18.5</v>
      </c>
      <c r="K91" s="151">
        <f t="shared" si="11"/>
        <v>240.5</v>
      </c>
    </row>
    <row r="92" s="93" customFormat="1" ht="20.25" spans="1:13">
      <c r="A92" s="90">
        <v>45843</v>
      </c>
      <c r="B92" s="91">
        <v>8</v>
      </c>
      <c r="C92" s="93" t="s">
        <v>85</v>
      </c>
      <c r="F92" s="92" t="s">
        <v>86</v>
      </c>
      <c r="G92" s="93">
        <v>3</v>
      </c>
      <c r="H92" s="93">
        <v>20</v>
      </c>
      <c r="I92" s="93">
        <f t="shared" si="12"/>
        <v>60</v>
      </c>
      <c r="J92" s="151">
        <v>22</v>
      </c>
      <c r="K92" s="151">
        <f t="shared" si="11"/>
        <v>1320</v>
      </c>
    </row>
    <row r="93" s="93" customFormat="1" ht="20.25" spans="1:13">
      <c r="A93" s="90">
        <v>45843</v>
      </c>
      <c r="B93" s="91">
        <v>8</v>
      </c>
      <c r="C93" s="93" t="s">
        <v>98</v>
      </c>
      <c r="F93" s="92" t="s">
        <v>66</v>
      </c>
      <c r="G93" s="93">
        <v>3</v>
      </c>
      <c r="H93" s="93">
        <v>20</v>
      </c>
      <c r="I93" s="93">
        <f t="shared" si="12"/>
        <v>60</v>
      </c>
      <c r="J93" s="151">
        <v>19.5</v>
      </c>
      <c r="K93" s="151">
        <f t="shared" si="11"/>
        <v>1170</v>
      </c>
    </row>
    <row r="94" s="93" customFormat="1" ht="20.25" spans="1:13">
      <c r="A94" s="90">
        <v>45843</v>
      </c>
      <c r="B94" s="91">
        <v>8</v>
      </c>
      <c r="C94" s="93" t="s">
        <v>12</v>
      </c>
      <c r="F94" s="92" t="s">
        <v>13</v>
      </c>
      <c r="G94" s="93">
        <v>10</v>
      </c>
      <c r="H94" s="93">
        <v>10</v>
      </c>
      <c r="I94" s="93">
        <f t="shared" si="12"/>
        <v>100</v>
      </c>
      <c r="J94" s="151">
        <v>18.5</v>
      </c>
      <c r="K94" s="151">
        <f t="shared" si="11"/>
        <v>1850</v>
      </c>
      <c r="L94" s="92"/>
    </row>
    <row r="95" s="93" customFormat="1" ht="20.25" spans="1:13">
      <c r="A95" s="90">
        <v>45843</v>
      </c>
      <c r="B95" s="91">
        <v>8</v>
      </c>
      <c r="C95" s="93" t="s">
        <v>65</v>
      </c>
      <c r="F95" s="92" t="s">
        <v>66</v>
      </c>
      <c r="G95" s="93">
        <v>4</v>
      </c>
      <c r="H95" s="93">
        <v>20</v>
      </c>
      <c r="I95" s="93">
        <f t="shared" si="12"/>
        <v>80</v>
      </c>
      <c r="J95" s="151">
        <v>18.5</v>
      </c>
      <c r="K95" s="151">
        <f t="shared" si="11"/>
        <v>1480</v>
      </c>
      <c r="M95" s="93">
        <f>SUM(K81:K95)</f>
        <v>11232.5</v>
      </c>
    </row>
    <row r="96" s="99" customFormat="1" ht="20.25" spans="1:13">
      <c r="A96" s="95">
        <v>45849</v>
      </c>
      <c r="B96" s="96">
        <v>41</v>
      </c>
      <c r="C96" s="98">
        <v>1211</v>
      </c>
      <c r="D96" s="98"/>
      <c r="E96" s="98"/>
      <c r="F96" s="103" t="s">
        <v>60</v>
      </c>
      <c r="G96" s="98">
        <v>1</v>
      </c>
      <c r="H96" s="98">
        <v>25</v>
      </c>
      <c r="I96" s="98">
        <f t="shared" si="12"/>
        <v>25</v>
      </c>
      <c r="J96" s="152">
        <v>18.5</v>
      </c>
      <c r="K96" s="152">
        <f t="shared" si="11"/>
        <v>462.5</v>
      </c>
      <c r="M96" s="98"/>
    </row>
    <row r="97" s="98" customFormat="1" ht="20.25" spans="1:13">
      <c r="A97" s="95">
        <v>45849</v>
      </c>
      <c r="B97" s="96">
        <v>41</v>
      </c>
      <c r="F97" s="97" t="s">
        <v>115</v>
      </c>
      <c r="J97" s="152"/>
      <c r="K97" s="152"/>
    </row>
    <row r="98" s="94" customFormat="1" ht="20.25" spans="1:13">
      <c r="A98" s="90">
        <v>45857</v>
      </c>
      <c r="B98" s="91">
        <v>67</v>
      </c>
      <c r="C98" s="171" t="s">
        <v>72</v>
      </c>
      <c r="D98" s="93"/>
      <c r="E98" s="93" t="s">
        <v>14</v>
      </c>
      <c r="F98" s="94" t="s">
        <v>15</v>
      </c>
      <c r="G98" s="93">
        <v>1</v>
      </c>
      <c r="H98" s="93">
        <v>500</v>
      </c>
      <c r="I98" s="93">
        <f t="shared" ref="I98:I117" si="13">G98*H98</f>
        <v>500</v>
      </c>
      <c r="J98" s="151">
        <v>9</v>
      </c>
      <c r="K98" s="151">
        <f t="shared" ref="K98:K116" si="14">I98*J98</f>
        <v>4500</v>
      </c>
      <c r="M98" s="93"/>
    </row>
    <row r="99" s="98" customFormat="1" ht="20.25" spans="1:13">
      <c r="A99" s="95">
        <v>45859</v>
      </c>
      <c r="B99" s="96">
        <v>71</v>
      </c>
      <c r="C99" s="154" t="s">
        <v>71</v>
      </c>
      <c r="E99" s="98" t="s">
        <v>22</v>
      </c>
      <c r="F99" s="155" t="s">
        <v>23</v>
      </c>
      <c r="G99" s="98">
        <v>4</v>
      </c>
      <c r="H99" s="98">
        <v>25</v>
      </c>
      <c r="I99" s="98">
        <f t="shared" si="13"/>
        <v>100</v>
      </c>
      <c r="J99" s="152">
        <v>12</v>
      </c>
      <c r="K99" s="152">
        <f t="shared" si="14"/>
        <v>1200</v>
      </c>
    </row>
    <row r="100" s="99" customFormat="1" ht="20.25" spans="1:13">
      <c r="A100" s="95">
        <v>45859</v>
      </c>
      <c r="B100" s="96">
        <v>71</v>
      </c>
      <c r="C100" s="98"/>
      <c r="D100" s="98"/>
      <c r="E100" s="98"/>
      <c r="F100" s="103" t="s">
        <v>73</v>
      </c>
      <c r="G100" s="98">
        <v>1</v>
      </c>
      <c r="H100" s="98">
        <v>2</v>
      </c>
      <c r="I100" s="98">
        <f t="shared" si="13"/>
        <v>2</v>
      </c>
      <c r="J100" s="98"/>
      <c r="K100" s="152"/>
      <c r="M100" s="98"/>
    </row>
    <row r="101" s="93" customFormat="1" ht="20.25" spans="1:13">
      <c r="A101" s="90">
        <v>45868</v>
      </c>
      <c r="B101" s="91">
        <v>96</v>
      </c>
      <c r="C101" s="93" t="s">
        <v>90</v>
      </c>
      <c r="F101" s="92" t="s">
        <v>91</v>
      </c>
      <c r="G101" s="93">
        <v>1</v>
      </c>
      <c r="H101" s="93">
        <v>25</v>
      </c>
      <c r="I101" s="93">
        <f t="shared" si="13"/>
        <v>25</v>
      </c>
      <c r="J101" s="151">
        <v>18.5</v>
      </c>
      <c r="K101" s="151">
        <f t="shared" si="14"/>
        <v>462.5</v>
      </c>
      <c r="L101" s="92" t="s">
        <v>84</v>
      </c>
      <c r="M101" s="92"/>
    </row>
    <row r="102" s="93" customFormat="1" ht="20.25" spans="1:13">
      <c r="A102" s="90">
        <v>45868</v>
      </c>
      <c r="B102" s="91">
        <v>96</v>
      </c>
      <c r="C102" s="90" t="s">
        <v>113</v>
      </c>
      <c r="F102" s="92" t="s">
        <v>114</v>
      </c>
      <c r="G102" s="93">
        <v>1</v>
      </c>
      <c r="H102" s="93">
        <v>25</v>
      </c>
      <c r="I102" s="93">
        <f t="shared" si="13"/>
        <v>25</v>
      </c>
      <c r="J102" s="151">
        <v>18.5</v>
      </c>
      <c r="K102" s="151">
        <f t="shared" si="14"/>
        <v>462.5</v>
      </c>
    </row>
    <row r="103" s="98" customFormat="1" ht="20.25" spans="1:13">
      <c r="A103" s="95">
        <v>45887</v>
      </c>
      <c r="B103" s="96">
        <v>44</v>
      </c>
      <c r="C103" s="154" t="s">
        <v>71</v>
      </c>
      <c r="F103" s="155" t="s">
        <v>23</v>
      </c>
      <c r="G103" s="98">
        <v>2</v>
      </c>
      <c r="H103" s="98">
        <v>25</v>
      </c>
      <c r="I103" s="98">
        <f t="shared" si="13"/>
        <v>50</v>
      </c>
      <c r="J103" s="152">
        <v>12</v>
      </c>
      <c r="K103" s="152">
        <f t="shared" si="14"/>
        <v>600</v>
      </c>
    </row>
    <row r="104" s="93" customFormat="1" ht="20.25" spans="1:13">
      <c r="A104" s="90">
        <v>45895</v>
      </c>
      <c r="B104" s="91">
        <v>69</v>
      </c>
      <c r="C104" s="93" t="s">
        <v>92</v>
      </c>
      <c r="F104" s="92" t="s">
        <v>83</v>
      </c>
      <c r="G104" s="93">
        <v>1</v>
      </c>
      <c r="H104" s="93">
        <v>20</v>
      </c>
      <c r="I104" s="93">
        <f t="shared" si="13"/>
        <v>20</v>
      </c>
      <c r="J104" s="151">
        <v>22</v>
      </c>
      <c r="K104" s="151">
        <f t="shared" si="14"/>
        <v>440</v>
      </c>
      <c r="L104" s="92" t="s">
        <v>84</v>
      </c>
      <c r="M104" s="92"/>
    </row>
    <row r="105" s="93" customFormat="1" ht="20.25" spans="1:13">
      <c r="A105" s="90">
        <v>45895</v>
      </c>
      <c r="B105" s="91">
        <v>69</v>
      </c>
      <c r="C105" s="93">
        <v>15959</v>
      </c>
      <c r="F105" s="92" t="s">
        <v>63</v>
      </c>
      <c r="G105" s="93">
        <v>1</v>
      </c>
      <c r="H105" s="93">
        <v>25</v>
      </c>
      <c r="I105" s="93">
        <f t="shared" si="13"/>
        <v>25</v>
      </c>
      <c r="J105" s="151">
        <v>18.5</v>
      </c>
      <c r="K105" s="151">
        <f t="shared" si="14"/>
        <v>462.5</v>
      </c>
    </row>
    <row r="106" s="93" customFormat="1" ht="20.25" spans="1:13">
      <c r="A106" s="90">
        <v>45895</v>
      </c>
      <c r="B106" s="91">
        <v>69</v>
      </c>
      <c r="C106" s="93">
        <v>15938</v>
      </c>
      <c r="F106" s="92" t="s">
        <v>70</v>
      </c>
      <c r="G106" s="93">
        <v>1</v>
      </c>
      <c r="H106" s="93">
        <v>25</v>
      </c>
      <c r="I106" s="93">
        <f t="shared" si="13"/>
        <v>25</v>
      </c>
      <c r="J106" s="151">
        <v>18.5</v>
      </c>
      <c r="K106" s="151">
        <f t="shared" si="14"/>
        <v>462.5</v>
      </c>
      <c r="L106" s="93" t="s">
        <v>57</v>
      </c>
    </row>
    <row r="107" s="93" customFormat="1" ht="20.25" spans="1:13">
      <c r="A107" s="90">
        <v>45895</v>
      </c>
      <c r="B107" s="91">
        <v>69</v>
      </c>
      <c r="C107" s="171" t="s">
        <v>71</v>
      </c>
      <c r="F107" s="172" t="s">
        <v>23</v>
      </c>
      <c r="G107" s="93">
        <v>2</v>
      </c>
      <c r="H107" s="93">
        <v>25</v>
      </c>
      <c r="I107" s="93">
        <f t="shared" si="13"/>
        <v>50</v>
      </c>
      <c r="J107" s="151">
        <v>12</v>
      </c>
      <c r="K107" s="151">
        <f t="shared" si="14"/>
        <v>600</v>
      </c>
      <c r="L107" s="93">
        <f>SUM(K104:K107)</f>
        <v>1965</v>
      </c>
    </row>
    <row r="108" s="98" customFormat="1" ht="20.25" spans="1:13">
      <c r="A108" s="95">
        <v>45909</v>
      </c>
      <c r="B108" s="96">
        <v>22</v>
      </c>
      <c r="C108" s="98">
        <v>10309</v>
      </c>
      <c r="F108" s="97" t="s">
        <v>58</v>
      </c>
      <c r="G108" s="98">
        <v>1</v>
      </c>
      <c r="H108" s="98">
        <v>20</v>
      </c>
      <c r="I108" s="98">
        <f t="shared" si="13"/>
        <v>20</v>
      </c>
      <c r="J108" s="152">
        <v>22</v>
      </c>
      <c r="K108" s="152">
        <f t="shared" si="14"/>
        <v>440</v>
      </c>
      <c r="L108" s="98" t="s">
        <v>57</v>
      </c>
      <c r="M108" s="98" t="s">
        <v>59</v>
      </c>
    </row>
    <row r="109" s="98" customFormat="1" ht="20.25" spans="1:13">
      <c r="A109" s="95">
        <v>45909</v>
      </c>
      <c r="B109" s="96">
        <v>22</v>
      </c>
      <c r="C109" s="98">
        <v>5559</v>
      </c>
      <c r="F109" s="97" t="s">
        <v>64</v>
      </c>
      <c r="G109" s="98">
        <v>3</v>
      </c>
      <c r="H109" s="98">
        <v>25</v>
      </c>
      <c r="I109" s="98">
        <f t="shared" si="13"/>
        <v>75</v>
      </c>
      <c r="J109" s="152">
        <v>18.5</v>
      </c>
      <c r="K109" s="152">
        <f t="shared" si="14"/>
        <v>1387.5</v>
      </c>
      <c r="L109" s="98" t="s">
        <v>57</v>
      </c>
    </row>
    <row r="110" s="99" customFormat="1" ht="20.25" spans="1:13">
      <c r="A110" s="95">
        <v>45909</v>
      </c>
      <c r="B110" s="96">
        <v>22</v>
      </c>
      <c r="C110" s="98" t="s">
        <v>98</v>
      </c>
      <c r="D110" s="98"/>
      <c r="E110" s="98"/>
      <c r="F110" s="103" t="s">
        <v>66</v>
      </c>
      <c r="G110" s="98">
        <v>3</v>
      </c>
      <c r="H110" s="98">
        <v>20</v>
      </c>
      <c r="I110" s="98">
        <f t="shared" si="13"/>
        <v>60</v>
      </c>
      <c r="J110" s="152">
        <v>19.5</v>
      </c>
      <c r="K110" s="152">
        <f t="shared" si="14"/>
        <v>1170</v>
      </c>
      <c r="L110" s="99" t="s">
        <v>109</v>
      </c>
      <c r="M110" s="98">
        <f>SUM(K108:K110)</f>
        <v>2997.5</v>
      </c>
    </row>
    <row r="111" s="98" customFormat="1" ht="20.25" spans="1:13">
      <c r="A111" s="95">
        <v>45909</v>
      </c>
      <c r="B111" s="96">
        <v>22</v>
      </c>
      <c r="C111" s="98" t="s">
        <v>12</v>
      </c>
      <c r="F111" s="97" t="s">
        <v>13</v>
      </c>
      <c r="G111" s="98">
        <v>1</v>
      </c>
      <c r="H111" s="98">
        <v>10</v>
      </c>
      <c r="I111" s="98">
        <f t="shared" si="13"/>
        <v>10</v>
      </c>
      <c r="J111" s="152">
        <v>18.5</v>
      </c>
      <c r="K111" s="152">
        <f t="shared" si="14"/>
        <v>185</v>
      </c>
      <c r="L111" s="97"/>
    </row>
    <row r="112" s="93" customFormat="1" ht="20.25" spans="1:13">
      <c r="A112" s="90">
        <v>45917</v>
      </c>
      <c r="B112" s="91">
        <v>47</v>
      </c>
      <c r="C112" s="93" t="s">
        <v>90</v>
      </c>
      <c r="F112" s="92" t="s">
        <v>91</v>
      </c>
      <c r="G112" s="93">
        <v>1</v>
      </c>
      <c r="H112" s="93">
        <v>26</v>
      </c>
      <c r="I112" s="93">
        <f t="shared" si="13"/>
        <v>26</v>
      </c>
      <c r="J112" s="151">
        <v>18.5</v>
      </c>
      <c r="K112" s="151">
        <f t="shared" si="14"/>
        <v>481</v>
      </c>
      <c r="L112" s="92" t="s">
        <v>84</v>
      </c>
      <c r="M112" s="92"/>
    </row>
    <row r="113" s="94" customFormat="1" ht="20.25" spans="1:14">
      <c r="A113" s="90">
        <v>45917</v>
      </c>
      <c r="B113" s="91">
        <v>47</v>
      </c>
      <c r="C113" s="93">
        <v>46100175</v>
      </c>
      <c r="D113" s="93"/>
      <c r="E113" s="93"/>
      <c r="F113" s="101" t="s">
        <v>89</v>
      </c>
      <c r="G113" s="93">
        <v>2</v>
      </c>
      <c r="H113" s="93">
        <v>25</v>
      </c>
      <c r="I113" s="93">
        <f t="shared" ref="I113:I125" si="15">G113*H113</f>
        <v>50</v>
      </c>
      <c r="J113" s="151">
        <v>18.5</v>
      </c>
      <c r="K113" s="151">
        <f t="shared" ref="K113:K125" si="16">I113*J113</f>
        <v>925</v>
      </c>
      <c r="L113" s="94" t="s">
        <v>84</v>
      </c>
      <c r="M113" s="93"/>
    </row>
    <row r="114" s="94" customFormat="1" ht="20.25" spans="1:14">
      <c r="A114" s="90">
        <v>45917</v>
      </c>
      <c r="B114" s="91">
        <v>47</v>
      </c>
      <c r="C114" s="93" t="s">
        <v>85</v>
      </c>
      <c r="D114" s="93"/>
      <c r="E114" s="93"/>
      <c r="F114" s="101" t="s">
        <v>86</v>
      </c>
      <c r="G114" s="93">
        <v>1</v>
      </c>
      <c r="H114" s="93">
        <v>21</v>
      </c>
      <c r="I114" s="93">
        <f t="shared" si="15"/>
        <v>21</v>
      </c>
      <c r="J114" s="151">
        <v>22</v>
      </c>
      <c r="K114" s="151">
        <f t="shared" si="16"/>
        <v>462</v>
      </c>
      <c r="L114" s="94" t="s">
        <v>93</v>
      </c>
      <c r="M114" s="93"/>
    </row>
    <row r="115" s="93" customFormat="1" ht="20.25" spans="1:14">
      <c r="A115" s="90">
        <v>45917</v>
      </c>
      <c r="B115" s="91">
        <v>47</v>
      </c>
      <c r="C115" s="207" t="s">
        <v>95</v>
      </c>
      <c r="F115" s="92" t="s">
        <v>96</v>
      </c>
      <c r="G115" s="93">
        <v>1</v>
      </c>
      <c r="H115" s="93">
        <v>11</v>
      </c>
      <c r="I115" s="93">
        <f t="shared" si="15"/>
        <v>11</v>
      </c>
      <c r="J115" s="151">
        <v>18.5</v>
      </c>
      <c r="K115" s="151">
        <f t="shared" si="16"/>
        <v>203.5</v>
      </c>
    </row>
    <row r="116" s="93" customFormat="1" ht="20.25" spans="1:14">
      <c r="A116" s="90">
        <v>45917</v>
      </c>
      <c r="B116" s="91">
        <v>47</v>
      </c>
      <c r="C116" s="93" t="s">
        <v>12</v>
      </c>
      <c r="F116" s="92" t="s">
        <v>13</v>
      </c>
      <c r="G116" s="93">
        <v>5</v>
      </c>
      <c r="H116" s="93">
        <v>10</v>
      </c>
      <c r="I116" s="93">
        <f t="shared" si="15"/>
        <v>50</v>
      </c>
      <c r="J116" s="151">
        <v>18.5</v>
      </c>
      <c r="K116" s="151">
        <f t="shared" si="16"/>
        <v>925</v>
      </c>
      <c r="L116" s="92"/>
    </row>
    <row r="117" s="93" customFormat="1" ht="20.25" spans="1:14">
      <c r="A117" s="90">
        <v>45917</v>
      </c>
      <c r="B117" s="91">
        <v>47</v>
      </c>
      <c r="C117" s="93" t="s">
        <v>65</v>
      </c>
      <c r="F117" s="92" t="s">
        <v>66</v>
      </c>
      <c r="G117" s="93">
        <v>3</v>
      </c>
      <c r="H117" s="93">
        <v>20</v>
      </c>
      <c r="I117" s="93">
        <f t="shared" si="15"/>
        <v>60</v>
      </c>
      <c r="J117" s="151">
        <v>18.5</v>
      </c>
      <c r="K117" s="151">
        <f t="shared" si="16"/>
        <v>1110</v>
      </c>
      <c r="M117" s="93">
        <f>SUM(K103:K117)</f>
        <v>9854</v>
      </c>
    </row>
    <row r="118" s="94" customFormat="1" ht="20.25" spans="1:14">
      <c r="A118" s="90">
        <v>45917</v>
      </c>
      <c r="B118" s="91">
        <v>47</v>
      </c>
      <c r="C118" s="93"/>
      <c r="D118" s="93"/>
      <c r="E118" s="93"/>
      <c r="F118" s="92" t="s">
        <v>74</v>
      </c>
      <c r="G118" s="93">
        <v>1</v>
      </c>
      <c r="H118" s="93">
        <v>2</v>
      </c>
      <c r="I118" s="93">
        <f t="shared" si="15"/>
        <v>2</v>
      </c>
      <c r="J118" s="151">
        <v>14</v>
      </c>
      <c r="K118" s="151">
        <f t="shared" si="16"/>
        <v>28</v>
      </c>
      <c r="M118" s="93"/>
      <c r="N118" s="94">
        <f>SUM(K112:K119)</f>
        <v>8634.5</v>
      </c>
    </row>
    <row r="119" s="94" customFormat="1" ht="20.25" spans="1:14">
      <c r="A119" s="90">
        <v>45917</v>
      </c>
      <c r="B119" s="91">
        <v>47</v>
      </c>
      <c r="C119" s="171" t="s">
        <v>116</v>
      </c>
      <c r="D119" s="93"/>
      <c r="E119" s="93" t="s">
        <v>14</v>
      </c>
      <c r="F119" s="94" t="s">
        <v>15</v>
      </c>
      <c r="G119" s="93">
        <v>1</v>
      </c>
      <c r="H119" s="93">
        <v>500</v>
      </c>
      <c r="I119" s="93">
        <f t="shared" si="15"/>
        <v>500</v>
      </c>
      <c r="J119" s="151">
        <v>9</v>
      </c>
      <c r="K119" s="151">
        <f t="shared" si="16"/>
        <v>4500</v>
      </c>
      <c r="M119" s="93"/>
    </row>
    <row r="120" s="93" customFormat="1" ht="20.25" spans="1:14">
      <c r="A120" s="90">
        <v>45917</v>
      </c>
      <c r="B120" s="91">
        <v>47</v>
      </c>
      <c r="C120" s="171" t="s">
        <v>71</v>
      </c>
      <c r="F120" s="172" t="s">
        <v>23</v>
      </c>
      <c r="G120" s="93">
        <v>3</v>
      </c>
      <c r="H120" s="93">
        <v>25</v>
      </c>
      <c r="I120" s="93">
        <f t="shared" si="15"/>
        <v>75</v>
      </c>
      <c r="J120" s="151">
        <v>12</v>
      </c>
      <c r="K120" s="151">
        <f t="shared" si="16"/>
        <v>900</v>
      </c>
      <c r="L120" s="93">
        <f>SUM(K112:K120)</f>
        <v>9534.5</v>
      </c>
    </row>
    <row r="121" s="98" customFormat="1" ht="20.25" spans="1:14">
      <c r="A121" s="95">
        <v>45930</v>
      </c>
      <c r="B121" s="96">
        <v>90</v>
      </c>
      <c r="C121" s="98" t="s">
        <v>90</v>
      </c>
      <c r="F121" s="97" t="s">
        <v>91</v>
      </c>
      <c r="G121" s="98">
        <v>1</v>
      </c>
      <c r="H121" s="98">
        <v>26</v>
      </c>
      <c r="I121" s="98">
        <f t="shared" si="15"/>
        <v>26</v>
      </c>
      <c r="J121" s="152">
        <v>18.5</v>
      </c>
      <c r="K121" s="152">
        <f t="shared" si="16"/>
        <v>481</v>
      </c>
      <c r="L121" s="97"/>
      <c r="M121" s="97"/>
    </row>
    <row r="122" s="93" customFormat="1" ht="20.25" spans="1:14">
      <c r="A122" s="90">
        <v>45939</v>
      </c>
      <c r="B122" s="91">
        <v>8</v>
      </c>
      <c r="C122" s="171" t="s">
        <v>71</v>
      </c>
      <c r="F122" s="172" t="s">
        <v>23</v>
      </c>
      <c r="G122" s="93">
        <v>3</v>
      </c>
      <c r="H122" s="93">
        <v>25</v>
      </c>
      <c r="I122" s="93">
        <f t="shared" si="15"/>
        <v>75</v>
      </c>
      <c r="J122" s="151">
        <v>12</v>
      </c>
      <c r="K122" s="151">
        <f t="shared" si="16"/>
        <v>900</v>
      </c>
      <c r="L122" s="93">
        <f>SUM(K114:K122)</f>
        <v>9509.5</v>
      </c>
    </row>
    <row r="123" s="98" customFormat="1" ht="20.25" spans="1:14">
      <c r="A123" s="90">
        <v>45939</v>
      </c>
      <c r="B123" s="91">
        <v>8</v>
      </c>
      <c r="F123" s="92" t="s">
        <v>117</v>
      </c>
      <c r="J123" s="152"/>
      <c r="K123" s="152"/>
    </row>
    <row r="124" s="98" customFormat="1" ht="20.25" spans="1:14">
      <c r="A124" s="95"/>
      <c r="B124" s="96"/>
      <c r="F124" s="97" t="s">
        <v>118</v>
      </c>
      <c r="J124" s="152"/>
      <c r="K124" s="152"/>
    </row>
    <row r="125" s="93" customFormat="1" ht="20.25" spans="1:14">
      <c r="A125" s="90">
        <v>45955</v>
      </c>
      <c r="B125" s="91">
        <v>74</v>
      </c>
      <c r="C125" s="93">
        <v>15959</v>
      </c>
      <c r="F125" s="92" t="s">
        <v>63</v>
      </c>
      <c r="G125" s="93">
        <v>1</v>
      </c>
      <c r="H125" s="93">
        <v>24</v>
      </c>
      <c r="I125" s="93">
        <f t="shared" ref="I125:I148" si="17">G125*H125</f>
        <v>24</v>
      </c>
      <c r="J125" s="151">
        <v>18.5</v>
      </c>
      <c r="K125" s="151">
        <f t="shared" ref="K125:K141" si="18">I125*J125</f>
        <v>444</v>
      </c>
      <c r="L125" s="93" t="s">
        <v>119</v>
      </c>
    </row>
    <row r="126" s="99" customFormat="1" ht="20.25" spans="1:14">
      <c r="A126" s="90">
        <v>45955</v>
      </c>
      <c r="B126" s="91">
        <v>74</v>
      </c>
      <c r="C126" s="93" t="s">
        <v>98</v>
      </c>
      <c r="D126" s="93"/>
      <c r="E126" s="93"/>
      <c r="F126" s="101" t="s">
        <v>66</v>
      </c>
      <c r="G126" s="93">
        <v>1</v>
      </c>
      <c r="H126" s="93">
        <v>20</v>
      </c>
      <c r="I126" s="93">
        <f t="shared" si="17"/>
        <v>20</v>
      </c>
      <c r="J126" s="151">
        <v>19.5</v>
      </c>
      <c r="K126" s="151">
        <f t="shared" si="18"/>
        <v>390</v>
      </c>
      <c r="L126" s="99" t="s">
        <v>109</v>
      </c>
      <c r="M126" s="98"/>
    </row>
    <row r="127" s="98" customFormat="1" ht="20.25" spans="1:14">
      <c r="A127" s="95">
        <v>45975</v>
      </c>
      <c r="B127" s="96">
        <v>30</v>
      </c>
      <c r="C127" s="98">
        <v>15959</v>
      </c>
      <c r="F127" s="97" t="s">
        <v>63</v>
      </c>
      <c r="G127" s="98">
        <v>1</v>
      </c>
      <c r="H127" s="98">
        <v>25</v>
      </c>
      <c r="I127" s="98">
        <f t="shared" si="17"/>
        <v>25</v>
      </c>
      <c r="J127" s="152">
        <v>18.5</v>
      </c>
      <c r="K127" s="152">
        <f t="shared" si="18"/>
        <v>462.5</v>
      </c>
      <c r="L127" s="98" t="s">
        <v>119</v>
      </c>
    </row>
    <row r="128" s="99" customFormat="1" ht="20.25" spans="1:14">
      <c r="A128" s="95">
        <v>45975</v>
      </c>
      <c r="B128" s="96">
        <v>30</v>
      </c>
      <c r="C128" s="98">
        <v>15131</v>
      </c>
      <c r="D128" s="98"/>
      <c r="E128" s="98"/>
      <c r="F128" s="103" t="s">
        <v>62</v>
      </c>
      <c r="G128" s="98">
        <v>1</v>
      </c>
      <c r="H128" s="98">
        <v>26</v>
      </c>
      <c r="I128" s="98">
        <f t="shared" si="17"/>
        <v>26</v>
      </c>
      <c r="J128" s="152">
        <v>18.5</v>
      </c>
      <c r="K128" s="152">
        <f t="shared" si="18"/>
        <v>481</v>
      </c>
      <c r="L128" s="99" t="s">
        <v>57</v>
      </c>
      <c r="M128" s="98"/>
    </row>
    <row r="129" s="99" customFormat="1" ht="20.25" spans="1:13">
      <c r="A129" s="95">
        <v>45975</v>
      </c>
      <c r="B129" s="96">
        <v>30</v>
      </c>
      <c r="C129" s="98" t="s">
        <v>17</v>
      </c>
      <c r="D129" s="98"/>
      <c r="E129" s="98"/>
      <c r="F129" s="102" t="s">
        <v>18</v>
      </c>
      <c r="G129" s="98">
        <v>2</v>
      </c>
      <c r="H129" s="98">
        <v>25</v>
      </c>
      <c r="I129" s="98">
        <f t="shared" si="17"/>
        <v>50</v>
      </c>
      <c r="J129" s="152">
        <v>18.5</v>
      </c>
      <c r="K129" s="152">
        <f t="shared" si="18"/>
        <v>925</v>
      </c>
      <c r="M129" s="98"/>
    </row>
    <row r="130" s="99" customFormat="1" ht="20.25" spans="1:13">
      <c r="A130" s="95">
        <v>45975</v>
      </c>
      <c r="B130" s="96">
        <v>30</v>
      </c>
      <c r="C130" s="98">
        <v>46100175</v>
      </c>
      <c r="D130" s="98"/>
      <c r="E130" s="98"/>
      <c r="F130" s="103" t="s">
        <v>89</v>
      </c>
      <c r="G130" s="98">
        <v>1</v>
      </c>
      <c r="H130" s="98">
        <v>26</v>
      </c>
      <c r="I130" s="98">
        <f t="shared" si="17"/>
        <v>26</v>
      </c>
      <c r="J130" s="152">
        <v>18.5</v>
      </c>
      <c r="K130" s="152">
        <f t="shared" si="18"/>
        <v>481</v>
      </c>
      <c r="L130" s="99" t="s">
        <v>84</v>
      </c>
      <c r="M130" s="98"/>
    </row>
    <row r="131" s="98" customFormat="1" ht="20.25" spans="1:13">
      <c r="A131" s="95">
        <v>45975</v>
      </c>
      <c r="B131" s="96">
        <v>30</v>
      </c>
      <c r="C131" s="98">
        <v>5559</v>
      </c>
      <c r="F131" s="97" t="s">
        <v>64</v>
      </c>
      <c r="G131" s="98">
        <v>4</v>
      </c>
      <c r="H131" s="98">
        <v>25</v>
      </c>
      <c r="I131" s="98">
        <f t="shared" si="17"/>
        <v>100</v>
      </c>
      <c r="J131" s="152">
        <v>18.5</v>
      </c>
      <c r="K131" s="152">
        <f t="shared" si="18"/>
        <v>1850</v>
      </c>
      <c r="L131" s="98" t="s">
        <v>57</v>
      </c>
    </row>
    <row r="132" s="99" customFormat="1" ht="20.25" spans="1:13">
      <c r="A132" s="95">
        <v>45975</v>
      </c>
      <c r="B132" s="96">
        <v>30</v>
      </c>
      <c r="C132" s="98"/>
      <c r="D132" s="98"/>
      <c r="E132" s="98"/>
      <c r="F132" s="173" t="s">
        <v>30</v>
      </c>
      <c r="G132" s="98">
        <v>1</v>
      </c>
      <c r="H132" s="98">
        <v>22</v>
      </c>
      <c r="I132" s="98">
        <f t="shared" si="17"/>
        <v>22</v>
      </c>
      <c r="J132" s="98">
        <v>18.5</v>
      </c>
      <c r="K132" s="152">
        <f t="shared" si="18"/>
        <v>407</v>
      </c>
      <c r="M132" s="98"/>
    </row>
    <row r="133" s="98" customFormat="1" ht="20.25" spans="1:13">
      <c r="A133" s="95">
        <v>45975</v>
      </c>
      <c r="B133" s="96">
        <v>30</v>
      </c>
      <c r="C133" s="154" t="s">
        <v>71</v>
      </c>
      <c r="F133" s="173" t="s">
        <v>23</v>
      </c>
      <c r="G133" s="98">
        <v>5</v>
      </c>
      <c r="H133" s="98">
        <v>25</v>
      </c>
      <c r="I133" s="98">
        <f t="shared" si="17"/>
        <v>125</v>
      </c>
      <c r="J133" s="152">
        <v>12</v>
      </c>
      <c r="K133" s="152">
        <f t="shared" si="18"/>
        <v>1500</v>
      </c>
      <c r="L133" s="98">
        <f>SUM(K127:K133)</f>
        <v>6106.5</v>
      </c>
    </row>
    <row r="134" s="99" customFormat="1" ht="20.25" spans="1:13">
      <c r="A134" s="90">
        <v>45977</v>
      </c>
      <c r="B134" s="91">
        <v>45</v>
      </c>
      <c r="C134" s="93" t="s">
        <v>98</v>
      </c>
      <c r="D134" s="93"/>
      <c r="E134" s="93"/>
      <c r="F134" s="101" t="s">
        <v>66</v>
      </c>
      <c r="G134" s="93">
        <v>1</v>
      </c>
      <c r="H134" s="93">
        <v>20</v>
      </c>
      <c r="I134" s="93">
        <f t="shared" si="17"/>
        <v>20</v>
      </c>
      <c r="J134" s="151">
        <v>19.5</v>
      </c>
      <c r="K134" s="151">
        <f t="shared" si="18"/>
        <v>390</v>
      </c>
      <c r="L134" s="99" t="s">
        <v>109</v>
      </c>
      <c r="M134" s="98"/>
    </row>
    <row r="135" s="99" customFormat="1" ht="20.25" spans="1:13">
      <c r="A135" s="95">
        <v>45984</v>
      </c>
      <c r="B135" s="96">
        <v>65</v>
      </c>
      <c r="C135" s="154" t="s">
        <v>116</v>
      </c>
      <c r="D135" s="98"/>
      <c r="E135" s="98"/>
      <c r="F135" s="99" t="s">
        <v>15</v>
      </c>
      <c r="G135" s="98">
        <v>2</v>
      </c>
      <c r="H135" s="98">
        <v>28</v>
      </c>
      <c r="I135" s="98">
        <f t="shared" si="17"/>
        <v>56</v>
      </c>
      <c r="J135" s="152">
        <v>9</v>
      </c>
      <c r="K135" s="152">
        <f t="shared" si="18"/>
        <v>504</v>
      </c>
      <c r="M135" s="98"/>
    </row>
    <row r="136" s="99" customFormat="1" ht="20.25" spans="1:13">
      <c r="A136" s="95">
        <v>45984</v>
      </c>
      <c r="B136" s="96">
        <v>65</v>
      </c>
      <c r="C136" s="98" t="s">
        <v>98</v>
      </c>
      <c r="D136" s="98"/>
      <c r="E136" s="98"/>
      <c r="F136" s="103" t="s">
        <v>66</v>
      </c>
      <c r="G136" s="98">
        <v>1</v>
      </c>
      <c r="H136" s="98">
        <v>20</v>
      </c>
      <c r="I136" s="98">
        <f t="shared" si="17"/>
        <v>20</v>
      </c>
      <c r="J136" s="152">
        <v>19.5</v>
      </c>
      <c r="K136" s="152">
        <f t="shared" si="18"/>
        <v>390</v>
      </c>
      <c r="L136" s="99" t="s">
        <v>109</v>
      </c>
      <c r="M136" s="98"/>
    </row>
    <row r="137" s="98" customFormat="1" ht="20.25" spans="1:13">
      <c r="A137" s="95">
        <v>45984</v>
      </c>
      <c r="B137" s="96">
        <v>65</v>
      </c>
      <c r="C137" s="98" t="s">
        <v>65</v>
      </c>
      <c r="F137" s="97" t="s">
        <v>66</v>
      </c>
      <c r="G137" s="98">
        <v>2</v>
      </c>
      <c r="H137" s="98">
        <v>20</v>
      </c>
      <c r="I137" s="98">
        <f t="shared" si="17"/>
        <v>40</v>
      </c>
      <c r="J137" s="152">
        <v>18.5</v>
      </c>
      <c r="K137" s="152">
        <f t="shared" si="18"/>
        <v>740</v>
      </c>
      <c r="M137" s="98">
        <f>SUM(K135:K137)</f>
        <v>1634</v>
      </c>
    </row>
    <row r="138" s="94" customFormat="1" ht="20.25" spans="1:13">
      <c r="A138" s="90">
        <v>45985</v>
      </c>
      <c r="B138" s="91">
        <v>66</v>
      </c>
      <c r="C138" s="171" t="s">
        <v>116</v>
      </c>
      <c r="D138" s="93"/>
      <c r="E138" s="93"/>
      <c r="F138" s="94" t="s">
        <v>15</v>
      </c>
      <c r="G138" s="93">
        <v>1</v>
      </c>
      <c r="H138" s="93">
        <v>500</v>
      </c>
      <c r="I138" s="93">
        <f t="shared" si="17"/>
        <v>500</v>
      </c>
      <c r="J138" s="151">
        <v>9</v>
      </c>
      <c r="K138" s="151">
        <f t="shared" si="18"/>
        <v>4500</v>
      </c>
      <c r="M138" s="93"/>
    </row>
    <row r="139" s="93" customFormat="1" ht="20.25" spans="1:13">
      <c r="A139" s="90">
        <v>45985</v>
      </c>
      <c r="B139" s="91">
        <v>66</v>
      </c>
      <c r="C139" s="93">
        <v>10309</v>
      </c>
      <c r="F139" s="92" t="s">
        <v>58</v>
      </c>
      <c r="G139" s="93">
        <v>1</v>
      </c>
      <c r="H139" s="93">
        <v>20</v>
      </c>
      <c r="I139" s="93">
        <f t="shared" si="17"/>
        <v>20</v>
      </c>
      <c r="J139" s="151">
        <v>22</v>
      </c>
      <c r="K139" s="151">
        <f t="shared" si="18"/>
        <v>440</v>
      </c>
      <c r="L139" s="93" t="s">
        <v>57</v>
      </c>
      <c r="M139" s="93">
        <f>SUM(K138:K139)</f>
        <v>4940</v>
      </c>
    </row>
    <row r="140" s="98" customFormat="1" ht="20.25" spans="1:13">
      <c r="A140" s="95">
        <v>45988</v>
      </c>
      <c r="B140" s="96">
        <v>79</v>
      </c>
      <c r="C140" s="174" t="s">
        <v>120</v>
      </c>
      <c r="F140" s="97" t="s">
        <v>121</v>
      </c>
      <c r="G140" s="98">
        <v>1</v>
      </c>
      <c r="H140" s="98">
        <v>5</v>
      </c>
      <c r="I140" s="98">
        <f t="shared" si="17"/>
        <v>5</v>
      </c>
      <c r="J140" s="152">
        <v>18.5</v>
      </c>
      <c r="K140" s="152">
        <f t="shared" si="18"/>
        <v>92.5</v>
      </c>
    </row>
    <row r="141" s="94" customFormat="1" ht="20.25" spans="1:13">
      <c r="A141" s="90">
        <v>46007</v>
      </c>
      <c r="B141" s="91">
        <v>37</v>
      </c>
      <c r="C141" s="93">
        <v>15131</v>
      </c>
      <c r="D141" s="93"/>
      <c r="E141" s="93"/>
      <c r="F141" s="101" t="s">
        <v>62</v>
      </c>
      <c r="G141" s="93">
        <v>1</v>
      </c>
      <c r="H141" s="93">
        <v>25</v>
      </c>
      <c r="I141" s="93">
        <f t="shared" ref="I141:I154" si="19">G141*H141</f>
        <v>25</v>
      </c>
      <c r="J141" s="151">
        <v>18.5</v>
      </c>
      <c r="K141" s="151">
        <f t="shared" si="18"/>
        <v>462.5</v>
      </c>
      <c r="L141" s="94" t="s">
        <v>57</v>
      </c>
      <c r="M141" s="93"/>
    </row>
    <row r="142" s="93" customFormat="1" ht="20.25" spans="1:13">
      <c r="A142" s="90">
        <v>46007</v>
      </c>
      <c r="B142" s="91">
        <v>37</v>
      </c>
      <c r="C142" s="93" t="s">
        <v>90</v>
      </c>
      <c r="F142" s="92" t="s">
        <v>91</v>
      </c>
      <c r="G142" s="93">
        <v>1</v>
      </c>
      <c r="H142" s="93">
        <v>25</v>
      </c>
      <c r="I142" s="93">
        <f t="shared" si="19"/>
        <v>25</v>
      </c>
      <c r="J142" s="151">
        <v>18.5</v>
      </c>
      <c r="K142" s="151">
        <f t="shared" ref="K142:K154" si="20">I142*J142</f>
        <v>462.5</v>
      </c>
      <c r="L142" s="92"/>
      <c r="M142" s="92"/>
    </row>
    <row r="143" s="94" customFormat="1" ht="20.25" spans="1:13">
      <c r="A143" s="90">
        <v>46007</v>
      </c>
      <c r="B143" s="91">
        <v>37</v>
      </c>
      <c r="C143" s="93" t="s">
        <v>85</v>
      </c>
      <c r="D143" s="93"/>
      <c r="E143" s="93"/>
      <c r="F143" s="101" t="s">
        <v>86</v>
      </c>
      <c r="G143" s="93">
        <v>2</v>
      </c>
      <c r="H143" s="93">
        <v>19</v>
      </c>
      <c r="I143" s="93">
        <f t="shared" si="19"/>
        <v>38</v>
      </c>
      <c r="J143" s="151">
        <v>22</v>
      </c>
      <c r="K143" s="151">
        <f t="shared" si="20"/>
        <v>836</v>
      </c>
      <c r="L143" s="94" t="s">
        <v>93</v>
      </c>
      <c r="M143" s="93"/>
    </row>
    <row r="144" s="93" customFormat="1" ht="20.25" spans="1:13">
      <c r="A144" s="90">
        <v>46007</v>
      </c>
      <c r="B144" s="91">
        <v>37</v>
      </c>
      <c r="C144" s="207" t="s">
        <v>95</v>
      </c>
      <c r="F144" s="92" t="s">
        <v>96</v>
      </c>
      <c r="G144" s="93">
        <v>1</v>
      </c>
      <c r="H144" s="93">
        <v>22</v>
      </c>
      <c r="I144" s="93">
        <f t="shared" si="19"/>
        <v>22</v>
      </c>
      <c r="J144" s="151">
        <v>18.5</v>
      </c>
      <c r="K144" s="151">
        <f t="shared" si="20"/>
        <v>407</v>
      </c>
    </row>
    <row r="145" s="93" customFormat="1" ht="20.25" spans="1:14">
      <c r="A145" s="90">
        <v>46007</v>
      </c>
      <c r="B145" s="91">
        <v>37</v>
      </c>
      <c r="C145" s="90" t="s">
        <v>113</v>
      </c>
      <c r="F145" s="92" t="s">
        <v>114</v>
      </c>
      <c r="G145" s="93">
        <v>1</v>
      </c>
      <c r="H145" s="93">
        <v>25</v>
      </c>
      <c r="I145" s="93">
        <f t="shared" si="19"/>
        <v>25</v>
      </c>
      <c r="J145" s="151">
        <v>18.5</v>
      </c>
      <c r="K145" s="151">
        <f t="shared" si="20"/>
        <v>462.5</v>
      </c>
    </row>
    <row r="146" s="94" customFormat="1" ht="20.25" spans="1:14">
      <c r="A146" s="90">
        <v>46007</v>
      </c>
      <c r="B146" s="91">
        <v>37</v>
      </c>
      <c r="C146" s="93">
        <v>1211</v>
      </c>
      <c r="D146" s="93"/>
      <c r="E146" s="93"/>
      <c r="F146" s="101" t="s">
        <v>60</v>
      </c>
      <c r="G146" s="93">
        <v>1</v>
      </c>
      <c r="H146" s="93">
        <v>26</v>
      </c>
      <c r="I146" s="93">
        <f t="shared" si="19"/>
        <v>26</v>
      </c>
      <c r="J146" s="151">
        <v>18.5</v>
      </c>
      <c r="K146" s="151">
        <f t="shared" si="20"/>
        <v>481</v>
      </c>
      <c r="M146" s="93"/>
    </row>
    <row r="147" s="93" customFormat="1" ht="20.25" spans="1:14">
      <c r="A147" s="90">
        <v>46007</v>
      </c>
      <c r="B147" s="91">
        <v>37</v>
      </c>
      <c r="C147" s="93">
        <v>15959</v>
      </c>
      <c r="F147" s="92" t="s">
        <v>63</v>
      </c>
      <c r="G147" s="93">
        <v>2</v>
      </c>
      <c r="H147" s="93">
        <v>25</v>
      </c>
      <c r="I147" s="93">
        <f t="shared" si="19"/>
        <v>50</v>
      </c>
      <c r="J147" s="151">
        <v>18.5</v>
      </c>
      <c r="K147" s="151">
        <f t="shared" si="20"/>
        <v>925</v>
      </c>
      <c r="L147" s="93" t="s">
        <v>119</v>
      </c>
    </row>
    <row r="148" s="94" customFormat="1" ht="20.25" spans="1:14">
      <c r="A148" s="90">
        <v>46007</v>
      </c>
      <c r="B148" s="91">
        <v>37</v>
      </c>
      <c r="C148" s="93" t="s">
        <v>98</v>
      </c>
      <c r="D148" s="93"/>
      <c r="E148" s="93"/>
      <c r="F148" s="101" t="s">
        <v>66</v>
      </c>
      <c r="G148" s="93">
        <v>2</v>
      </c>
      <c r="H148" s="93">
        <v>20</v>
      </c>
      <c r="I148" s="93">
        <f t="shared" si="19"/>
        <v>40</v>
      </c>
      <c r="J148" s="151">
        <v>19.5</v>
      </c>
      <c r="K148" s="151">
        <f t="shared" si="20"/>
        <v>780</v>
      </c>
      <c r="L148" s="94" t="s">
        <v>122</v>
      </c>
      <c r="M148" s="93"/>
    </row>
    <row r="149" s="93" customFormat="1" ht="20.25" spans="1:14">
      <c r="A149" s="90">
        <v>46007</v>
      </c>
      <c r="B149" s="91">
        <v>37</v>
      </c>
      <c r="C149" s="93" t="s">
        <v>65</v>
      </c>
      <c r="F149" s="92" t="s">
        <v>66</v>
      </c>
      <c r="G149" s="93">
        <v>2</v>
      </c>
      <c r="H149" s="93">
        <v>20</v>
      </c>
      <c r="I149" s="93">
        <f t="shared" si="19"/>
        <v>40</v>
      </c>
      <c r="J149" s="151">
        <v>18.5</v>
      </c>
      <c r="K149" s="151">
        <f t="shared" si="20"/>
        <v>740</v>
      </c>
      <c r="M149" s="93">
        <f>SUM(K141:K149)</f>
        <v>5556.5</v>
      </c>
    </row>
    <row r="150" s="98" customFormat="1" ht="20.25" spans="1:14">
      <c r="A150" s="95">
        <v>46009</v>
      </c>
      <c r="B150" s="96">
        <v>44</v>
      </c>
      <c r="C150" s="98">
        <v>10309</v>
      </c>
      <c r="F150" s="97" t="s">
        <v>58</v>
      </c>
      <c r="G150" s="98">
        <v>2</v>
      </c>
      <c r="H150" s="98">
        <v>21</v>
      </c>
      <c r="I150" s="98">
        <f t="shared" si="19"/>
        <v>42</v>
      </c>
      <c r="J150" s="152">
        <v>22</v>
      </c>
      <c r="K150" s="152">
        <f t="shared" si="20"/>
        <v>924</v>
      </c>
      <c r="L150" s="98" t="s">
        <v>57</v>
      </c>
      <c r="M150" s="98">
        <f>SUM(K149:K150)</f>
        <v>1664</v>
      </c>
    </row>
    <row r="151" s="98" customFormat="1" ht="20.25" spans="1:14">
      <c r="A151" s="95">
        <v>46009</v>
      </c>
      <c r="B151" s="96">
        <v>44</v>
      </c>
      <c r="C151" s="154" t="s">
        <v>71</v>
      </c>
      <c r="F151" s="173" t="s">
        <v>23</v>
      </c>
      <c r="G151" s="98">
        <v>2</v>
      </c>
      <c r="H151" s="98">
        <v>25</v>
      </c>
      <c r="I151" s="98">
        <f t="shared" si="19"/>
        <v>50</v>
      </c>
      <c r="J151" s="152">
        <v>12</v>
      </c>
      <c r="K151" s="152">
        <f t="shared" si="20"/>
        <v>600</v>
      </c>
      <c r="L151" s="98">
        <f>SUM(K150:K151)</f>
        <v>1524</v>
      </c>
    </row>
    <row r="152" s="93" customFormat="1" ht="20.25" spans="1:14">
      <c r="A152" s="90">
        <v>46025</v>
      </c>
      <c r="B152" s="91">
        <v>4</v>
      </c>
      <c r="C152" s="171" t="s">
        <v>71</v>
      </c>
      <c r="F152" s="175" t="s">
        <v>23</v>
      </c>
      <c r="G152" s="93">
        <v>4</v>
      </c>
      <c r="H152" s="93">
        <v>25</v>
      </c>
      <c r="I152" s="93">
        <f t="shared" si="19"/>
        <v>100</v>
      </c>
      <c r="J152" s="151">
        <v>12</v>
      </c>
      <c r="K152" s="151">
        <f t="shared" si="20"/>
        <v>1200</v>
      </c>
      <c r="L152" s="92" t="s">
        <v>123</v>
      </c>
    </row>
    <row r="153" s="93" customFormat="1" ht="20.25" spans="1:14">
      <c r="A153" s="90">
        <v>46025</v>
      </c>
      <c r="B153" s="91">
        <v>4</v>
      </c>
      <c r="C153" s="171" t="s">
        <v>124</v>
      </c>
      <c r="F153" s="175" t="s">
        <v>121</v>
      </c>
      <c r="G153" s="93">
        <v>1</v>
      </c>
      <c r="H153" s="93">
        <v>4</v>
      </c>
      <c r="I153" s="93">
        <f t="shared" si="19"/>
        <v>4</v>
      </c>
      <c r="J153" s="151">
        <v>18.5</v>
      </c>
      <c r="K153" s="151">
        <f t="shared" si="20"/>
        <v>74</v>
      </c>
    </row>
    <row r="154" s="93" customFormat="1" ht="20.25" spans="1:14">
      <c r="A154" s="90">
        <v>46025</v>
      </c>
      <c r="B154" s="91">
        <v>4</v>
      </c>
      <c r="C154" s="171" t="s">
        <v>125</v>
      </c>
      <c r="F154" s="175" t="s">
        <v>126</v>
      </c>
      <c r="G154" s="93">
        <v>1</v>
      </c>
      <c r="H154" s="93">
        <v>1</v>
      </c>
      <c r="I154" s="93">
        <f t="shared" si="19"/>
        <v>1</v>
      </c>
      <c r="J154" s="151">
        <v>18.5</v>
      </c>
      <c r="K154" s="151">
        <f t="shared" si="20"/>
        <v>18.5</v>
      </c>
    </row>
    <row r="155" s="93" customFormat="1" ht="20.25" spans="1:14">
      <c r="A155" s="90">
        <v>46025</v>
      </c>
      <c r="B155" s="91">
        <v>4</v>
      </c>
      <c r="C155" s="171"/>
      <c r="F155" s="175" t="s">
        <v>127</v>
      </c>
      <c r="G155" s="93">
        <v>1</v>
      </c>
      <c r="J155" s="151"/>
      <c r="K155" s="151"/>
      <c r="L155" s="93">
        <f>SUM(K152:K155)</f>
        <v>1292.5</v>
      </c>
    </row>
    <row r="156" s="98" customFormat="1" ht="20.25" spans="1:14">
      <c r="A156" s="95">
        <v>46032</v>
      </c>
      <c r="B156" s="96">
        <v>23</v>
      </c>
      <c r="C156" s="98">
        <v>15938</v>
      </c>
      <c r="F156" s="97" t="s">
        <v>70</v>
      </c>
      <c r="G156" s="98">
        <v>1</v>
      </c>
      <c r="H156" s="98">
        <v>25</v>
      </c>
      <c r="I156" s="98">
        <f t="shared" ref="I156:I158" si="21">G156*H156</f>
        <v>25</v>
      </c>
      <c r="J156" s="152">
        <v>18.5</v>
      </c>
      <c r="K156" s="152">
        <f t="shared" ref="K156:K158" si="22">I156*J156</f>
        <v>462.5</v>
      </c>
      <c r="L156" s="98" t="s">
        <v>57</v>
      </c>
    </row>
    <row r="157" s="99" customFormat="1" ht="20.25" spans="1:14">
      <c r="A157" s="95">
        <v>46032</v>
      </c>
      <c r="B157" s="96">
        <v>23</v>
      </c>
      <c r="C157" s="98" t="s">
        <v>98</v>
      </c>
      <c r="D157" s="98"/>
      <c r="E157" s="98"/>
      <c r="F157" s="103" t="s">
        <v>66</v>
      </c>
      <c r="G157" s="98">
        <v>1</v>
      </c>
      <c r="H157" s="98">
        <v>20</v>
      </c>
      <c r="I157" s="98">
        <f t="shared" si="21"/>
        <v>20</v>
      </c>
      <c r="J157" s="152">
        <v>19.5</v>
      </c>
      <c r="K157" s="152">
        <f t="shared" si="22"/>
        <v>390</v>
      </c>
      <c r="L157" s="99" t="s">
        <v>109</v>
      </c>
      <c r="M157" s="98"/>
    </row>
    <row r="158" s="94" customFormat="1" ht="20.25" spans="1:14">
      <c r="A158" s="90">
        <v>46042</v>
      </c>
      <c r="B158" s="91">
        <v>56</v>
      </c>
      <c r="C158" s="93"/>
      <c r="D158" s="93"/>
      <c r="E158" s="93"/>
      <c r="F158" s="92" t="s">
        <v>74</v>
      </c>
      <c r="G158" s="93">
        <v>1</v>
      </c>
      <c r="H158" s="93">
        <v>4</v>
      </c>
      <c r="I158" s="93">
        <f t="shared" si="21"/>
        <v>4</v>
      </c>
      <c r="J158" s="151">
        <v>14</v>
      </c>
      <c r="K158" s="151">
        <f t="shared" si="22"/>
        <v>56</v>
      </c>
      <c r="M158" s="93"/>
      <c r="N158" s="94">
        <f>SUM(K152:K159)</f>
        <v>2201</v>
      </c>
    </row>
    <row r="159" s="149" customFormat="1" ht="20.25" spans="1:14">
      <c r="A159" s="159"/>
      <c r="B159" s="160"/>
      <c r="C159" s="176"/>
      <c r="F159" s="177"/>
      <c r="J159" s="153"/>
      <c r="K159" s="153"/>
    </row>
  </sheetData>
  <autoFilter xmlns:etc="http://www.wps.cn/officeDocument/2017/etCustomData" ref="A1:N157" etc:filterBottomFollowUsedRange="0">
    <extLst/>
  </autoFilter>
  <mergeCells count="160">
    <mergeCell ref="C1:E1"/>
    <mergeCell ref="C2:E2"/>
    <mergeCell ref="C3:G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D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D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D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M77:M78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W37"/>
  <sheetViews>
    <sheetView tabSelected="1" workbookViewId="0">
      <selection activeCell="N14" sqref="N14"/>
    </sheetView>
  </sheetViews>
  <sheetFormatPr defaultColWidth="9" defaultRowHeight="14.25"/>
  <cols>
    <col min="1" max="1" width="3.50833333333333" style="104" customWidth="1"/>
    <col min="2" max="2" width="2.25833333333333" style="104" customWidth="1"/>
    <col min="3" max="3" width="13.375" style="104" customWidth="1"/>
    <col min="4" max="4" width="29.25" style="104" customWidth="1"/>
    <col min="5" max="5" width="11.625" style="104" customWidth="1"/>
    <col min="6" max="6" width="12.0083333333333" style="104" customWidth="1"/>
    <col min="7" max="7" width="11.7583333333333" style="104" customWidth="1"/>
    <col min="8" max="8" width="12.875" style="104" customWidth="1"/>
    <col min="9" max="9" width="16.625" style="104" customWidth="1"/>
    <col min="10" max="10" width="16.75" style="104" customWidth="1"/>
    <col min="11" max="11" width="10.875" style="104" customWidth="1"/>
    <col min="12" max="12" width="2" style="104" customWidth="1"/>
  </cols>
  <sheetData>
    <row r="1" ht="34" customHeight="1" spans="1:23">
      <c r="A1" s="105" t="s">
        <v>128</v>
      </c>
      <c r="B1" s="105"/>
      <c r="C1" s="105"/>
      <c r="D1" s="105"/>
      <c r="E1" s="105"/>
      <c r="F1" s="105"/>
      <c r="G1" s="105"/>
      <c r="H1" s="105"/>
      <c r="I1" s="105"/>
      <c r="J1" s="105"/>
    </row>
    <row r="2" ht="34" customHeight="1" spans="1:23">
      <c r="A2" s="106" t="s">
        <v>129</v>
      </c>
      <c r="B2" s="106"/>
      <c r="C2" s="106"/>
      <c r="D2" s="106"/>
      <c r="E2" s="106"/>
      <c r="F2" s="106"/>
      <c r="G2" s="106"/>
      <c r="H2" s="106"/>
      <c r="I2" s="106"/>
      <c r="J2" s="106"/>
    </row>
    <row r="3" ht="26" customHeight="1" spans="1:23">
      <c r="A3" s="107" t="s">
        <v>130</v>
      </c>
      <c r="B3" s="107"/>
      <c r="C3" s="107"/>
      <c r="D3" s="107" t="s">
        <v>131</v>
      </c>
      <c r="E3" s="107" t="s">
        <v>5</v>
      </c>
      <c r="F3" s="107" t="s">
        <v>6</v>
      </c>
      <c r="G3" s="107" t="s">
        <v>7</v>
      </c>
      <c r="H3" s="107" t="s">
        <v>8</v>
      </c>
      <c r="I3" s="107" t="s">
        <v>9</v>
      </c>
      <c r="J3" s="107" t="s">
        <v>132</v>
      </c>
    </row>
    <row r="4" customFormat="1" ht="24" customHeight="1" spans="1:23">
      <c r="A4" s="108"/>
      <c r="B4" s="108"/>
      <c r="C4" s="108"/>
      <c r="D4" s="109" t="s">
        <v>74</v>
      </c>
      <c r="E4" s="108">
        <v>1</v>
      </c>
      <c r="F4" s="108">
        <v>4</v>
      </c>
      <c r="G4" s="108">
        <f>E4*F4</f>
        <v>4</v>
      </c>
      <c r="H4" s="110">
        <v>14</v>
      </c>
      <c r="I4" s="110">
        <f>G4*H4</f>
        <v>56</v>
      </c>
      <c r="J4" s="111"/>
      <c r="K4" s="104"/>
      <c r="L4" s="104"/>
    </row>
    <row r="5" customFormat="1" ht="24" customHeight="1" spans="1:23">
      <c r="A5" s="112"/>
      <c r="B5" s="112"/>
      <c r="C5" s="112"/>
      <c r="D5" s="113"/>
      <c r="E5" s="112"/>
      <c r="F5" s="112"/>
      <c r="G5" s="112"/>
      <c r="H5" s="114"/>
      <c r="I5" s="114"/>
      <c r="J5" s="111"/>
      <c r="K5" s="104"/>
      <c r="L5" s="104"/>
    </row>
    <row r="6" customFormat="1" ht="24" customHeight="1" spans="1:23">
      <c r="A6" s="115"/>
      <c r="B6" s="116"/>
      <c r="C6" s="116"/>
      <c r="D6" s="117"/>
      <c r="E6" s="116"/>
      <c r="F6" s="116"/>
      <c r="G6" s="116"/>
      <c r="H6" s="118"/>
      <c r="I6" s="118"/>
      <c r="J6" s="111"/>
      <c r="K6" s="104"/>
      <c r="L6" s="104"/>
    </row>
    <row r="7" customFormat="1" ht="24" customHeight="1" spans="1:23">
      <c r="A7" s="115"/>
      <c r="B7" s="116"/>
      <c r="C7" s="116"/>
      <c r="D7" s="117"/>
      <c r="E7" s="116"/>
      <c r="F7" s="116"/>
      <c r="G7" s="116"/>
      <c r="H7" s="118"/>
      <c r="I7" s="118"/>
      <c r="J7" s="111"/>
      <c r="K7" s="104"/>
      <c r="L7" s="104"/>
    </row>
    <row r="8" customFormat="1" ht="24" customHeight="1" spans="1:23">
      <c r="A8" s="119"/>
      <c r="B8" s="108"/>
      <c r="C8" s="108"/>
      <c r="D8" s="109"/>
      <c r="E8" s="108"/>
      <c r="F8" s="108"/>
      <c r="G8" s="108"/>
      <c r="H8" s="110"/>
      <c r="I8" s="110"/>
      <c r="J8" s="111"/>
      <c r="K8" s="104"/>
      <c r="L8" s="104"/>
    </row>
    <row r="9" customFormat="1" ht="24" customHeight="1" spans="1:23">
      <c r="A9" s="108"/>
      <c r="B9" s="108"/>
      <c r="C9" s="108"/>
      <c r="D9" s="120"/>
      <c r="E9" s="108"/>
      <c r="F9" s="108"/>
      <c r="G9" s="108"/>
      <c r="H9" s="110"/>
      <c r="I9" s="110"/>
      <c r="J9" s="111"/>
      <c r="K9" s="104"/>
      <c r="L9" s="104"/>
    </row>
    <row r="10" customFormat="1" ht="24" customHeight="1" spans="1:23">
      <c r="A10" s="108"/>
      <c r="B10" s="108"/>
      <c r="C10" s="108"/>
      <c r="D10" s="109"/>
      <c r="E10" s="108"/>
      <c r="F10" s="108"/>
      <c r="G10" s="108"/>
      <c r="H10" s="110"/>
      <c r="I10" s="110"/>
      <c r="J10" s="111"/>
      <c r="K10" s="104"/>
      <c r="L10" s="104"/>
    </row>
    <row r="11" customFormat="1" ht="24" customHeight="1" spans="1:23">
      <c r="A11" s="108"/>
      <c r="B11" s="108"/>
      <c r="C11" s="108"/>
      <c r="D11" s="120"/>
      <c r="E11" s="108"/>
      <c r="F11" s="108"/>
      <c r="G11" s="108"/>
      <c r="H11" s="110"/>
      <c r="I11" s="110"/>
      <c r="J11" s="111"/>
      <c r="K11" s="104"/>
      <c r="L11" s="104"/>
    </row>
    <row r="12" customFormat="1" ht="24" customHeight="1" spans="1:23">
      <c r="A12" s="108"/>
      <c r="B12" s="108"/>
      <c r="C12" s="108"/>
      <c r="D12" s="109"/>
      <c r="E12" s="108"/>
      <c r="F12" s="108"/>
      <c r="G12" s="108"/>
      <c r="H12" s="110"/>
      <c r="I12" s="110"/>
      <c r="J12" s="111"/>
      <c r="K12" s="104"/>
      <c r="L12" s="104"/>
    </row>
    <row r="13" customFormat="1" ht="24" customHeight="1" spans="1:23">
      <c r="A13" s="108"/>
      <c r="B13" s="108"/>
      <c r="C13" s="108"/>
      <c r="D13" s="109"/>
      <c r="E13" s="108"/>
      <c r="F13" s="108"/>
      <c r="G13" s="108"/>
      <c r="H13" s="110"/>
      <c r="I13" s="110"/>
      <c r="J13" s="111"/>
      <c r="K13" s="104"/>
      <c r="L13" s="104"/>
    </row>
    <row r="14" ht="24" customHeight="1" spans="1:23">
      <c r="A14" s="107" t="s">
        <v>133</v>
      </c>
      <c r="B14" s="107"/>
      <c r="C14" s="107"/>
      <c r="D14" s="107"/>
      <c r="E14" s="107">
        <f>SUM(E4:E13)</f>
        <v>1</v>
      </c>
      <c r="F14" s="107"/>
      <c r="G14" s="107"/>
      <c r="H14" s="107"/>
      <c r="I14" s="107"/>
      <c r="J14" s="111"/>
      <c r="O14" t="s">
        <v>134</v>
      </c>
    </row>
    <row r="15" ht="24" customHeight="1" spans="1:23">
      <c r="A15" s="121" t="s">
        <v>135</v>
      </c>
      <c r="B15" s="121"/>
      <c r="C15" s="121"/>
      <c r="D15" s="122">
        <f>I15</f>
        <v>56</v>
      </c>
      <c r="E15" s="122"/>
      <c r="F15" s="122"/>
      <c r="G15" s="122"/>
      <c r="H15" s="122"/>
      <c r="I15" s="123">
        <f>SUM(I4:I14)</f>
        <v>56</v>
      </c>
      <c r="J15" s="111"/>
      <c r="K15"/>
      <c r="L15" s="87"/>
      <c r="M15" s="87"/>
      <c r="N15" s="60"/>
      <c r="O15" s="60"/>
      <c r="P15" s="60"/>
      <c r="Q15" s="43"/>
      <c r="R15" s="87"/>
      <c r="S15" s="87"/>
      <c r="T15" s="124"/>
      <c r="U15" s="87"/>
      <c r="V15" s="125"/>
      <c r="W15" s="87"/>
    </row>
    <row r="16" ht="20" customHeight="1" spans="1:23">
      <c r="A16" s="126" t="s">
        <v>136</v>
      </c>
      <c r="B16" s="127" t="s">
        <v>137</v>
      </c>
      <c r="C16" s="127"/>
      <c r="D16" s="127"/>
      <c r="E16" s="127"/>
      <c r="F16" s="127"/>
      <c r="G16" s="127"/>
      <c r="H16" s="127"/>
      <c r="I16" s="127"/>
      <c r="J16" s="128"/>
      <c r="K16" s="61"/>
      <c r="L16" s="61"/>
    </row>
    <row r="17" ht="20" customHeight="1" spans="1:15">
      <c r="A17" s="129"/>
      <c r="B17" s="130" t="s">
        <v>138</v>
      </c>
      <c r="C17" s="130"/>
      <c r="D17" s="130"/>
      <c r="E17" s="130"/>
      <c r="F17" s="130"/>
      <c r="G17" s="130"/>
      <c r="H17" s="130"/>
      <c r="I17" s="130"/>
      <c r="J17" s="131"/>
      <c r="K17" s="61"/>
      <c r="L17" s="61"/>
    </row>
    <row r="18" ht="20" customHeight="1" spans="1:15">
      <c r="A18" s="129"/>
      <c r="B18" s="130"/>
      <c r="C18" s="132" t="s">
        <v>139</v>
      </c>
      <c r="D18" s="130"/>
      <c r="E18" s="130"/>
      <c r="F18" s="130"/>
      <c r="G18" s="130"/>
      <c r="H18" s="130"/>
      <c r="I18" s="130"/>
      <c r="J18" s="131"/>
      <c r="L18" s="61"/>
    </row>
    <row r="19" ht="20" customHeight="1" spans="1:15">
      <c r="A19" s="133"/>
      <c r="B19" s="134" t="s">
        <v>140</v>
      </c>
      <c r="C19" s="134"/>
      <c r="D19" s="134"/>
      <c r="E19" s="134"/>
      <c r="F19" s="134"/>
      <c r="G19" s="134"/>
      <c r="H19" s="134"/>
      <c r="I19" s="134"/>
      <c r="J19" s="135"/>
      <c r="L19" s="61"/>
    </row>
    <row r="20" ht="20" customHeight="1" spans="1:15">
      <c r="A20" s="136" t="s">
        <v>141</v>
      </c>
      <c r="B20" s="137"/>
      <c r="C20" s="136"/>
      <c r="D20" s="137"/>
      <c r="E20" s="137"/>
      <c r="F20" s="137"/>
      <c r="G20" s="137"/>
      <c r="H20" s="137"/>
      <c r="I20" s="137"/>
      <c r="J20" s="137"/>
      <c r="K20"/>
      <c r="L20"/>
    </row>
    <row r="21" ht="20" customHeight="1" spans="1:15">
      <c r="A21" s="137" t="s">
        <v>142</v>
      </c>
      <c r="B21" s="137"/>
      <c r="C21" s="137"/>
      <c r="D21" s="137"/>
      <c r="E21" s="137"/>
      <c r="F21" s="137"/>
      <c r="G21" s="137"/>
      <c r="H21" s="137"/>
      <c r="I21" s="137"/>
      <c r="J21" s="137"/>
      <c r="K21" s="87"/>
      <c r="L21"/>
    </row>
    <row r="22" ht="23.25" customHeight="1" spans="1:15">
      <c r="A22" s="43"/>
      <c r="B22" s="17"/>
      <c r="C22" s="43"/>
      <c r="D22" s="43"/>
      <c r="E22" s="43"/>
      <c r="F22" s="43"/>
      <c r="G22" s="44"/>
      <c r="H22" s="43"/>
      <c r="I22" s="31"/>
      <c r="J22" s="45"/>
      <c r="K22" s="138"/>
      <c r="L22" s="61"/>
    </row>
    <row r="23" ht="17" customHeight="1" spans="1:15">
      <c r="A23" s="139"/>
      <c r="B23" s="17"/>
      <c r="C23" s="139"/>
      <c r="D23" s="139"/>
      <c r="E23" s="87"/>
      <c r="F23" s="124"/>
      <c r="G23" s="2"/>
      <c r="H23" s="87"/>
      <c r="I23" s="140"/>
      <c r="J23" s="87"/>
      <c r="K23"/>
      <c r="L23" s="61"/>
    </row>
    <row r="24" s="2" customFormat="1" ht="21" customHeight="1" spans="1:15">
      <c r="A24" s="141"/>
      <c r="B24" s="87"/>
      <c r="C24" s="87"/>
      <c r="D24" s="87"/>
      <c r="E24" s="87"/>
      <c r="F24" s="87"/>
      <c r="G24" s="87"/>
      <c r="H24" s="87"/>
      <c r="I24" s="87"/>
      <c r="J24" s="141"/>
      <c r="K24" s="142"/>
      <c r="L24" s="87"/>
      <c r="O24"/>
    </row>
    <row r="25" spans="1:15">
      <c r="A25" s="143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4"/>
    </row>
    <row r="26" spans="1:15">
      <c r="A26" s="143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4"/>
    </row>
    <row r="27" spans="1:15">
      <c r="A27" s="143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4"/>
    </row>
    <row r="28" spans="1:15">
      <c r="A28" s="143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4"/>
    </row>
    <row r="29" spans="1:15">
      <c r="A29" s="143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4"/>
    </row>
    <row r="30" spans="1:15">
      <c r="A30" s="143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4"/>
    </row>
    <row r="31" spans="1:15">
      <c r="A31" s="143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4"/>
    </row>
    <row r="32" spans="1:15">
      <c r="A32" s="143"/>
      <c r="B32" s="141"/>
      <c r="C32" s="141"/>
      <c r="D32" s="141"/>
      <c r="E32" s="141"/>
      <c r="F32" s="141"/>
      <c r="G32" s="141"/>
      <c r="H32" s="141"/>
      <c r="I32" s="141"/>
      <c r="K32" s="141"/>
      <c r="L32" s="144"/>
    </row>
    <row r="33" spans="12:12">
      <c r="L33" s="144"/>
    </row>
    <row r="34" spans="12:12">
      <c r="L34" s="144"/>
    </row>
    <row r="35" spans="12:12">
      <c r="L35" s="144"/>
    </row>
    <row r="36" spans="12:12">
      <c r="L36" s="144"/>
    </row>
    <row r="37" spans="12:12">
      <c r="L37" s="144"/>
    </row>
  </sheetData>
  <mergeCells count="25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D15:H15"/>
    <mergeCell ref="B16:J16"/>
    <mergeCell ref="B17:J17"/>
    <mergeCell ref="C18:J18"/>
    <mergeCell ref="B19:J19"/>
    <mergeCell ref="A20:J20"/>
    <mergeCell ref="A21:J21"/>
    <mergeCell ref="B24:I24"/>
    <mergeCell ref="A16:A19"/>
    <mergeCell ref="J4:J15"/>
  </mergeCells>
  <printOptions horizontalCentered="1"/>
  <pageMargins left="0.393055555555556" right="0.196527777777778" top="0.196527777777778" bottom="0.393055555555556" header="0.196527777777778" footer="0.393055555555556"/>
  <pageSetup paperSize="9" scale="70" orientation="portrait" horizontalDpi="600" verticalDpi="18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117"/>
  <sheetViews>
    <sheetView topLeftCell="A67" workbookViewId="0">
      <selection activeCell="L80" sqref="L80"/>
    </sheetView>
  </sheetViews>
  <sheetFormatPr defaultColWidth="9" defaultRowHeight="14.25"/>
  <cols>
    <col min="1" max="1" width="12" customWidth="1"/>
    <col min="2" max="2" width="8.875" customWidth="1"/>
    <col min="3" max="3" width="10.75" customWidth="1"/>
    <col min="4" max="4" width="27" customWidth="1"/>
    <col min="6" max="6" width="9.5" customWidth="1"/>
    <col min="9" max="9" width="9" style="18"/>
    <col min="12" max="12" width="24.25" customWidth="1"/>
    <col min="13" max="13" width="11.125" customWidth="1"/>
    <col min="14" max="14" width="9.5" customWidth="1"/>
  </cols>
  <sheetData>
    <row r="1" s="15" customFormat="1" spans="1:14">
      <c r="A1" s="19">
        <v>44642</v>
      </c>
      <c r="B1" s="20">
        <v>86</v>
      </c>
      <c r="C1" s="21" t="s">
        <v>143</v>
      </c>
      <c r="D1" s="22" t="s">
        <v>144</v>
      </c>
      <c r="E1" s="21">
        <v>4</v>
      </c>
      <c r="F1" s="23" t="s">
        <v>145</v>
      </c>
      <c r="G1" s="23" t="s">
        <v>146</v>
      </c>
      <c r="H1" s="23">
        <v>1</v>
      </c>
      <c r="I1" s="24">
        <v>21</v>
      </c>
      <c r="J1" s="23" t="s">
        <v>147</v>
      </c>
      <c r="K1" s="23">
        <f>E1*H1*I1</f>
        <v>84</v>
      </c>
      <c r="L1" s="25" t="s">
        <v>148</v>
      </c>
      <c r="M1" s="26"/>
    </row>
    <row r="2" s="15" customFormat="1" spans="1:14">
      <c r="A2" s="19">
        <v>44642</v>
      </c>
      <c r="B2" s="20">
        <v>86</v>
      </c>
      <c r="C2" s="21"/>
      <c r="D2" s="22" t="s">
        <v>149</v>
      </c>
      <c r="E2" s="21">
        <v>4</v>
      </c>
      <c r="F2" s="23" t="s">
        <v>145</v>
      </c>
      <c r="G2" s="23" t="s">
        <v>146</v>
      </c>
      <c r="H2" s="23">
        <v>1</v>
      </c>
      <c r="I2" s="24">
        <v>21</v>
      </c>
      <c r="J2" s="23" t="s">
        <v>147</v>
      </c>
      <c r="K2" s="23">
        <f>E2*H2*I2</f>
        <v>84</v>
      </c>
      <c r="L2" s="25" t="s">
        <v>148</v>
      </c>
      <c r="M2" s="26">
        <f>SUM(K1:K2)</f>
        <v>168</v>
      </c>
    </row>
    <row r="3" s="16" customFormat="1" spans="1:14">
      <c r="A3" s="27">
        <v>44665</v>
      </c>
      <c r="B3" s="28">
        <v>48</v>
      </c>
      <c r="C3" s="29"/>
      <c r="D3" s="30" t="s">
        <v>150</v>
      </c>
      <c r="E3" s="29">
        <v>4</v>
      </c>
      <c r="F3" s="31" t="s">
        <v>145</v>
      </c>
      <c r="G3" s="31" t="s">
        <v>146</v>
      </c>
      <c r="H3" s="31">
        <v>1</v>
      </c>
      <c r="I3" s="32">
        <v>21</v>
      </c>
      <c r="J3" s="31" t="s">
        <v>147</v>
      </c>
      <c r="K3" s="31">
        <f t="shared" ref="K3:K22" si="0">E3*H3*I3</f>
        <v>84</v>
      </c>
      <c r="L3" s="33" t="s">
        <v>151</v>
      </c>
      <c r="M3" s="34"/>
    </row>
    <row r="4" s="16" customFormat="1" spans="1:14">
      <c r="A4" s="27">
        <v>44665</v>
      </c>
      <c r="B4" s="28">
        <v>48</v>
      </c>
      <c r="D4" s="35" t="s">
        <v>152</v>
      </c>
      <c r="E4" s="36">
        <v>10</v>
      </c>
      <c r="F4" s="31" t="s">
        <v>145</v>
      </c>
      <c r="G4" s="31" t="s">
        <v>146</v>
      </c>
      <c r="H4" s="31">
        <v>1</v>
      </c>
      <c r="I4" s="32">
        <v>22</v>
      </c>
      <c r="J4" s="31" t="s">
        <v>147</v>
      </c>
      <c r="K4" s="31">
        <f t="shared" si="0"/>
        <v>220</v>
      </c>
      <c r="L4" s="37" t="s">
        <v>153</v>
      </c>
    </row>
    <row r="5" s="16" customFormat="1" spans="1:14">
      <c r="A5" s="27">
        <v>44665</v>
      </c>
      <c r="B5" s="28">
        <v>48</v>
      </c>
      <c r="C5" s="31"/>
      <c r="D5" s="37" t="s">
        <v>101</v>
      </c>
      <c r="E5" s="31">
        <v>18</v>
      </c>
      <c r="F5" s="31" t="s">
        <v>145</v>
      </c>
      <c r="G5" s="31" t="s">
        <v>146</v>
      </c>
      <c r="H5" s="31">
        <v>1</v>
      </c>
      <c r="I5" s="32">
        <v>11</v>
      </c>
      <c r="J5" s="31" t="s">
        <v>147</v>
      </c>
      <c r="K5" s="31">
        <f t="shared" si="0"/>
        <v>198</v>
      </c>
      <c r="L5" s="37" t="s">
        <v>147</v>
      </c>
      <c r="M5" s="34">
        <f>SUM(K3:K5)</f>
        <v>502</v>
      </c>
      <c r="N5" s="38"/>
    </row>
    <row r="6" s="17" customFormat="1" spans="1:14">
      <c r="A6" s="39">
        <v>44671</v>
      </c>
      <c r="B6" s="40">
        <v>65</v>
      </c>
      <c r="D6" s="41" t="s">
        <v>154</v>
      </c>
      <c r="E6" s="42">
        <v>24</v>
      </c>
      <c r="F6" s="43" t="s">
        <v>145</v>
      </c>
      <c r="G6" s="43" t="s">
        <v>146</v>
      </c>
      <c r="H6" s="43">
        <v>1</v>
      </c>
      <c r="I6" s="44">
        <v>22</v>
      </c>
      <c r="J6" s="43" t="s">
        <v>147</v>
      </c>
      <c r="K6" s="43">
        <f t="shared" si="0"/>
        <v>528</v>
      </c>
      <c r="L6" s="45" t="s">
        <v>147</v>
      </c>
      <c r="M6" s="46"/>
    </row>
    <row r="7" s="17" customFormat="1" spans="1:14">
      <c r="A7" s="39">
        <v>44671</v>
      </c>
      <c r="B7" s="40">
        <v>65</v>
      </c>
      <c r="D7" s="41" t="s">
        <v>152</v>
      </c>
      <c r="E7" s="42">
        <v>20</v>
      </c>
      <c r="F7" s="43" t="s">
        <v>145</v>
      </c>
      <c r="G7" s="43" t="s">
        <v>146</v>
      </c>
      <c r="H7" s="43">
        <v>1</v>
      </c>
      <c r="I7" s="44">
        <v>22</v>
      </c>
      <c r="J7" s="43" t="s">
        <v>147</v>
      </c>
      <c r="K7" s="43">
        <f t="shared" si="0"/>
        <v>440</v>
      </c>
      <c r="L7" s="45" t="s">
        <v>153</v>
      </c>
    </row>
    <row r="8" spans="1:14">
      <c r="A8" s="47">
        <v>44690</v>
      </c>
      <c r="B8" s="48">
        <v>22</v>
      </c>
      <c r="C8" s="49" t="s">
        <v>19</v>
      </c>
      <c r="D8" s="50" t="s">
        <v>155</v>
      </c>
      <c r="E8" s="49">
        <v>25</v>
      </c>
      <c r="F8" s="51" t="s">
        <v>145</v>
      </c>
      <c r="G8" s="51" t="s">
        <v>146</v>
      </c>
      <c r="H8" s="51">
        <v>1</v>
      </c>
      <c r="I8" s="52">
        <v>21</v>
      </c>
      <c r="J8" s="51" t="s">
        <v>147</v>
      </c>
      <c r="K8" s="51">
        <f t="shared" si="0"/>
        <v>525</v>
      </c>
      <c r="L8" s="53" t="s">
        <v>147</v>
      </c>
      <c r="M8" s="54"/>
    </row>
    <row r="9" spans="1:14">
      <c r="A9" s="47">
        <v>44690</v>
      </c>
      <c r="B9" s="48">
        <v>22</v>
      </c>
      <c r="C9" s="55"/>
      <c r="D9" s="50" t="s">
        <v>156</v>
      </c>
      <c r="E9" s="49">
        <v>26</v>
      </c>
      <c r="F9" s="51" t="s">
        <v>145</v>
      </c>
      <c r="G9" s="51" t="s">
        <v>146</v>
      </c>
      <c r="H9" s="51">
        <v>3</v>
      </c>
      <c r="I9" s="52">
        <v>21</v>
      </c>
      <c r="J9" s="51" t="s">
        <v>147</v>
      </c>
      <c r="K9" s="51">
        <f t="shared" si="0"/>
        <v>1638</v>
      </c>
      <c r="L9" s="54" t="s">
        <v>157</v>
      </c>
      <c r="M9" s="56">
        <f>SUM(K8:K9)</f>
        <v>2163</v>
      </c>
    </row>
    <row r="10" s="17" customFormat="1" spans="1:14">
      <c r="A10" s="57">
        <v>44706</v>
      </c>
      <c r="B10" s="40">
        <v>77</v>
      </c>
      <c r="C10" s="58">
        <v>7240</v>
      </c>
      <c r="D10" s="59" t="s">
        <v>150</v>
      </c>
      <c r="E10" s="58">
        <v>5</v>
      </c>
      <c r="F10" s="43" t="s">
        <v>145</v>
      </c>
      <c r="G10" s="43" t="s">
        <v>146</v>
      </c>
      <c r="H10" s="43">
        <v>1</v>
      </c>
      <c r="I10" s="44">
        <v>21</v>
      </c>
      <c r="J10" s="43" t="s">
        <v>147</v>
      </c>
      <c r="K10" s="43">
        <f t="shared" si="0"/>
        <v>105</v>
      </c>
      <c r="L10" s="45" t="s">
        <v>147</v>
      </c>
      <c r="M10" s="46"/>
    </row>
    <row r="11" s="17" customFormat="1" spans="1:14">
      <c r="A11" s="57">
        <v>44706</v>
      </c>
      <c r="B11" s="40">
        <v>77</v>
      </c>
      <c r="C11" s="58" t="s">
        <v>158</v>
      </c>
      <c r="D11" s="60" t="s">
        <v>159</v>
      </c>
      <c r="E11" s="43">
        <v>22</v>
      </c>
      <c r="F11" s="43" t="s">
        <v>145</v>
      </c>
      <c r="G11" s="61" t="s">
        <v>146</v>
      </c>
      <c r="H11" s="61">
        <v>1</v>
      </c>
      <c r="I11" s="44">
        <v>13.5</v>
      </c>
      <c r="J11" s="61" t="s">
        <v>147</v>
      </c>
      <c r="K11" s="43">
        <f t="shared" si="0"/>
        <v>297</v>
      </c>
      <c r="L11" s="45" t="s">
        <v>147</v>
      </c>
    </row>
    <row r="12" s="17" customFormat="1" spans="1:14">
      <c r="A12" s="57">
        <v>44706</v>
      </c>
      <c r="B12" s="40">
        <v>77</v>
      </c>
      <c r="C12" s="43" t="s">
        <v>45</v>
      </c>
      <c r="D12" s="59" t="s">
        <v>46</v>
      </c>
      <c r="E12" s="42">
        <v>20</v>
      </c>
      <c r="F12" s="43" t="s">
        <v>145</v>
      </c>
      <c r="G12" s="43" t="s">
        <v>146</v>
      </c>
      <c r="H12" s="43">
        <v>1</v>
      </c>
      <c r="I12" s="44">
        <v>17.5</v>
      </c>
      <c r="J12" s="43" t="s">
        <v>147</v>
      </c>
      <c r="K12" s="43">
        <f t="shared" si="0"/>
        <v>350</v>
      </c>
      <c r="L12" s="45" t="s">
        <v>147</v>
      </c>
      <c r="M12" s="17">
        <f>SUM(K10:K12)</f>
        <v>752</v>
      </c>
    </row>
    <row r="13" s="16" customFormat="1" ht="15" customHeight="1" spans="1:14">
      <c r="A13" s="27">
        <v>44746</v>
      </c>
      <c r="B13" s="28">
        <v>3</v>
      </c>
      <c r="C13" s="29">
        <v>11146</v>
      </c>
      <c r="D13" s="30" t="s">
        <v>160</v>
      </c>
      <c r="E13" s="29">
        <v>3</v>
      </c>
      <c r="F13" s="31" t="s">
        <v>145</v>
      </c>
      <c r="G13" s="31" t="s">
        <v>146</v>
      </c>
      <c r="H13" s="31">
        <v>1</v>
      </c>
      <c r="I13" s="32">
        <v>21</v>
      </c>
      <c r="J13" s="31" t="s">
        <v>147</v>
      </c>
      <c r="K13" s="31">
        <f t="shared" si="0"/>
        <v>63</v>
      </c>
      <c r="L13" s="33" t="s">
        <v>161</v>
      </c>
      <c r="M13" s="34"/>
    </row>
    <row r="14" s="16" customFormat="1" spans="1:14">
      <c r="A14" s="27">
        <v>44746</v>
      </c>
      <c r="B14" s="28">
        <v>3</v>
      </c>
      <c r="C14" s="29" t="s">
        <v>162</v>
      </c>
      <c r="D14" s="30" t="s">
        <v>163</v>
      </c>
      <c r="E14" s="29">
        <v>2</v>
      </c>
      <c r="F14" s="31" t="s">
        <v>145</v>
      </c>
      <c r="G14" s="31" t="s">
        <v>146</v>
      </c>
      <c r="H14" s="31">
        <v>1</v>
      </c>
      <c r="I14" s="32">
        <v>26</v>
      </c>
      <c r="J14" s="31" t="s">
        <v>147</v>
      </c>
      <c r="K14" s="31">
        <f t="shared" si="0"/>
        <v>52</v>
      </c>
      <c r="L14" s="33" t="s">
        <v>164</v>
      </c>
      <c r="M14" s="34"/>
    </row>
    <row r="15" s="16" customFormat="1" spans="1:14">
      <c r="A15" s="27">
        <v>44746</v>
      </c>
      <c r="B15" s="28">
        <v>3</v>
      </c>
      <c r="C15" s="62"/>
      <c r="D15" s="30" t="s">
        <v>149</v>
      </c>
      <c r="E15" s="29">
        <v>2</v>
      </c>
      <c r="F15" s="31" t="s">
        <v>145</v>
      </c>
      <c r="G15" s="31" t="s">
        <v>146</v>
      </c>
      <c r="H15" s="31">
        <v>1</v>
      </c>
      <c r="I15" s="32">
        <v>21</v>
      </c>
      <c r="J15" s="31" t="s">
        <v>147</v>
      </c>
      <c r="K15" s="31">
        <f t="shared" si="0"/>
        <v>42</v>
      </c>
      <c r="L15" s="33" t="s">
        <v>165</v>
      </c>
      <c r="M15" s="34"/>
    </row>
    <row r="16" s="17" customFormat="1" spans="1:14">
      <c r="A16" s="39">
        <v>44764</v>
      </c>
      <c r="B16" s="40">
        <v>80</v>
      </c>
      <c r="C16" s="58" t="s">
        <v>166</v>
      </c>
      <c r="D16" s="45" t="s">
        <v>167</v>
      </c>
      <c r="E16" s="43">
        <v>2</v>
      </c>
      <c r="F16" s="43" t="s">
        <v>145</v>
      </c>
      <c r="G16" s="43" t="s">
        <v>146</v>
      </c>
      <c r="H16" s="43">
        <v>1</v>
      </c>
      <c r="I16" s="44">
        <v>21</v>
      </c>
      <c r="J16" s="43" t="s">
        <v>147</v>
      </c>
      <c r="K16" s="31">
        <f t="shared" si="0"/>
        <v>42</v>
      </c>
      <c r="L16" s="45"/>
    </row>
    <row r="17" s="17" customFormat="1" spans="1:13">
      <c r="A17" s="39">
        <v>44764</v>
      </c>
      <c r="B17" s="40">
        <v>80</v>
      </c>
      <c r="C17" s="42" t="s">
        <v>168</v>
      </c>
      <c r="D17" s="59" t="s">
        <v>169</v>
      </c>
      <c r="E17" s="42">
        <v>20</v>
      </c>
      <c r="F17" s="43" t="s">
        <v>145</v>
      </c>
      <c r="G17" s="43" t="s">
        <v>146</v>
      </c>
      <c r="H17" s="43">
        <v>1</v>
      </c>
      <c r="I17" s="63">
        <v>16.5</v>
      </c>
      <c r="J17" s="43" t="s">
        <v>147</v>
      </c>
      <c r="K17" s="31">
        <f t="shared" si="0"/>
        <v>330</v>
      </c>
      <c r="L17" s="60" t="s">
        <v>147</v>
      </c>
    </row>
    <row r="18" s="17" customFormat="1" spans="1:13">
      <c r="A18" s="39">
        <v>44773</v>
      </c>
      <c r="B18" s="40">
        <v>107</v>
      </c>
      <c r="D18" s="41" t="s">
        <v>170</v>
      </c>
      <c r="E18" s="42">
        <v>10</v>
      </c>
      <c r="F18" s="43" t="s">
        <v>145</v>
      </c>
      <c r="G18" s="43" t="s">
        <v>146</v>
      </c>
      <c r="H18" s="43">
        <v>1</v>
      </c>
      <c r="I18" s="44">
        <v>15</v>
      </c>
      <c r="J18" s="43" t="s">
        <v>147</v>
      </c>
      <c r="K18" s="43">
        <f t="shared" si="0"/>
        <v>150</v>
      </c>
      <c r="L18" s="45" t="s">
        <v>147</v>
      </c>
    </row>
    <row r="19" s="15" customFormat="1" spans="1:13">
      <c r="A19" s="19">
        <v>44773</v>
      </c>
      <c r="B19" s="20">
        <v>108</v>
      </c>
      <c r="C19" s="64" t="s">
        <v>171</v>
      </c>
      <c r="D19" s="22" t="s">
        <v>172</v>
      </c>
      <c r="E19" s="65">
        <v>29</v>
      </c>
      <c r="F19" s="23" t="s">
        <v>145</v>
      </c>
      <c r="G19" s="23" t="s">
        <v>146</v>
      </c>
      <c r="H19" s="23">
        <v>-1</v>
      </c>
      <c r="I19" s="24">
        <v>18</v>
      </c>
      <c r="J19" s="23" t="s">
        <v>147</v>
      </c>
      <c r="K19" s="23">
        <f t="shared" si="0"/>
        <v>-522</v>
      </c>
      <c r="L19" s="66" t="s">
        <v>173</v>
      </c>
      <c r="M19" s="15">
        <f>SUM(K19:K19)</f>
        <v>-522</v>
      </c>
    </row>
    <row r="20" s="16" customFormat="1" spans="1:13">
      <c r="A20" s="67">
        <v>44858</v>
      </c>
      <c r="B20" s="28">
        <v>74</v>
      </c>
      <c r="C20" s="29" t="s">
        <v>174</v>
      </c>
      <c r="D20" s="33" t="s">
        <v>159</v>
      </c>
      <c r="E20" s="31">
        <v>22</v>
      </c>
      <c r="F20" s="31" t="s">
        <v>145</v>
      </c>
      <c r="G20" s="68" t="s">
        <v>146</v>
      </c>
      <c r="H20" s="68">
        <v>2</v>
      </c>
      <c r="I20" s="32">
        <v>14</v>
      </c>
      <c r="J20" s="68" t="s">
        <v>147</v>
      </c>
      <c r="K20" s="43">
        <f t="shared" si="0"/>
        <v>616</v>
      </c>
      <c r="L20" s="37" t="s">
        <v>175</v>
      </c>
    </row>
    <row r="21" s="16" customFormat="1" spans="1:13">
      <c r="A21" s="67">
        <v>44858</v>
      </c>
      <c r="B21" s="28">
        <v>74</v>
      </c>
      <c r="C21" s="29" t="s">
        <v>176</v>
      </c>
      <c r="D21" s="33" t="s">
        <v>177</v>
      </c>
      <c r="E21" s="31">
        <v>25</v>
      </c>
      <c r="F21" s="31" t="s">
        <v>145</v>
      </c>
      <c r="G21" s="68" t="s">
        <v>146</v>
      </c>
      <c r="H21" s="68">
        <v>2</v>
      </c>
      <c r="I21" s="32">
        <v>12.5</v>
      </c>
      <c r="J21" s="68" t="s">
        <v>147</v>
      </c>
      <c r="K21" s="43">
        <f t="shared" si="0"/>
        <v>625</v>
      </c>
      <c r="L21" s="37" t="s">
        <v>147</v>
      </c>
    </row>
    <row r="22" s="16" customFormat="1" spans="1:13">
      <c r="A22" s="67">
        <v>44858</v>
      </c>
      <c r="B22" s="28">
        <v>74</v>
      </c>
      <c r="C22" s="31" t="s">
        <v>45</v>
      </c>
      <c r="D22" s="30" t="s">
        <v>46</v>
      </c>
      <c r="E22" s="36">
        <v>20</v>
      </c>
      <c r="F22" s="31" t="s">
        <v>145</v>
      </c>
      <c r="G22" s="31" t="s">
        <v>146</v>
      </c>
      <c r="H22" s="31">
        <v>3</v>
      </c>
      <c r="I22" s="32">
        <v>17.5</v>
      </c>
      <c r="J22" s="31" t="s">
        <v>147</v>
      </c>
      <c r="K22" s="43">
        <f t="shared" si="0"/>
        <v>1050</v>
      </c>
      <c r="L22" s="37" t="s">
        <v>147</v>
      </c>
    </row>
    <row r="23" s="15" customFormat="1" ht="25" customHeight="1" spans="1:13">
      <c r="A23" s="69" t="s">
        <v>178</v>
      </c>
      <c r="B23" s="20"/>
      <c r="C23" s="21"/>
      <c r="D23" s="70"/>
      <c r="E23" s="21"/>
      <c r="F23" s="23"/>
      <c r="G23" s="23"/>
      <c r="H23" s="23"/>
      <c r="I23" s="24"/>
      <c r="J23" s="23"/>
      <c r="K23" s="23"/>
      <c r="L23" s="71"/>
      <c r="M23" s="26"/>
    </row>
    <row r="24" s="17" customFormat="1" spans="1:13">
      <c r="A24" s="39">
        <v>44964</v>
      </c>
      <c r="B24" s="40">
        <v>3</v>
      </c>
      <c r="C24" s="72" t="s">
        <v>179</v>
      </c>
      <c r="D24" s="59" t="s">
        <v>180</v>
      </c>
      <c r="E24" s="58">
        <v>4</v>
      </c>
      <c r="F24" s="43" t="s">
        <v>145</v>
      </c>
      <c r="G24" s="43" t="s">
        <v>146</v>
      </c>
      <c r="H24" s="43">
        <v>1</v>
      </c>
      <c r="I24" s="44">
        <v>21</v>
      </c>
      <c r="J24" s="43" t="s">
        <v>147</v>
      </c>
      <c r="K24" s="43">
        <f t="shared" ref="K24:K59" si="1">E24*H24*I24</f>
        <v>84</v>
      </c>
      <c r="L24" s="45" t="s">
        <v>181</v>
      </c>
      <c r="M24" s="46"/>
    </row>
    <row r="25" s="17" customFormat="1" spans="1:13">
      <c r="A25" s="39">
        <v>44964</v>
      </c>
      <c r="B25" s="40">
        <v>3</v>
      </c>
      <c r="C25" s="72" t="s">
        <v>179</v>
      </c>
      <c r="D25" s="59" t="s">
        <v>182</v>
      </c>
      <c r="E25" s="58">
        <v>4</v>
      </c>
      <c r="F25" s="43" t="s">
        <v>145</v>
      </c>
      <c r="G25" s="43" t="s">
        <v>146</v>
      </c>
      <c r="H25" s="43">
        <v>1</v>
      </c>
      <c r="I25" s="44">
        <v>21</v>
      </c>
      <c r="J25" s="43" t="s">
        <v>147</v>
      </c>
      <c r="K25" s="43">
        <f t="shared" si="1"/>
        <v>84</v>
      </c>
      <c r="L25" s="45" t="s">
        <v>183</v>
      </c>
      <c r="M25" s="46"/>
    </row>
    <row r="26" s="17" customFormat="1" spans="1:13">
      <c r="A26" s="39">
        <v>44964</v>
      </c>
      <c r="B26" s="40">
        <v>3</v>
      </c>
      <c r="C26" s="72" t="s">
        <v>179</v>
      </c>
      <c r="D26" s="59" t="s">
        <v>184</v>
      </c>
      <c r="E26" s="58">
        <v>4</v>
      </c>
      <c r="F26" s="43" t="s">
        <v>145</v>
      </c>
      <c r="G26" s="43" t="s">
        <v>146</v>
      </c>
      <c r="H26" s="43">
        <v>1</v>
      </c>
      <c r="I26" s="44">
        <v>21</v>
      </c>
      <c r="J26" s="43" t="s">
        <v>147</v>
      </c>
      <c r="K26" s="43">
        <f t="shared" si="1"/>
        <v>84</v>
      </c>
      <c r="L26" s="45" t="s">
        <v>147</v>
      </c>
      <c r="M26" s="46"/>
    </row>
    <row r="27" s="17" customFormat="1" spans="1:13">
      <c r="A27" s="39">
        <v>44964</v>
      </c>
      <c r="B27" s="40">
        <v>3</v>
      </c>
      <c r="C27" s="43" t="s">
        <v>14</v>
      </c>
      <c r="D27" s="60" t="s">
        <v>15</v>
      </c>
      <c r="E27" s="43">
        <v>28</v>
      </c>
      <c r="F27" s="43" t="s">
        <v>145</v>
      </c>
      <c r="G27" s="43" t="s">
        <v>146</v>
      </c>
      <c r="H27" s="43">
        <v>2</v>
      </c>
      <c r="I27" s="44">
        <v>10</v>
      </c>
      <c r="J27" s="43" t="s">
        <v>147</v>
      </c>
      <c r="K27" s="43">
        <f t="shared" si="1"/>
        <v>560</v>
      </c>
      <c r="L27" s="45" t="s">
        <v>147</v>
      </c>
    </row>
    <row r="28" s="17" customFormat="1" spans="1:13">
      <c r="A28" s="39">
        <v>44964</v>
      </c>
      <c r="B28" s="40">
        <v>3</v>
      </c>
      <c r="C28" s="43" t="s">
        <v>22</v>
      </c>
      <c r="D28" s="60" t="s">
        <v>23</v>
      </c>
      <c r="E28" s="43">
        <v>25</v>
      </c>
      <c r="F28" s="43" t="s">
        <v>145</v>
      </c>
      <c r="G28" s="43" t="s">
        <v>146</v>
      </c>
      <c r="H28" s="43">
        <v>2</v>
      </c>
      <c r="I28" s="44">
        <v>13.5</v>
      </c>
      <c r="J28" s="43" t="s">
        <v>147</v>
      </c>
      <c r="K28" s="43">
        <f t="shared" si="1"/>
        <v>675</v>
      </c>
      <c r="L28" s="45" t="s">
        <v>147</v>
      </c>
      <c r="M28" s="17">
        <f>SUM(K24:K28)</f>
        <v>1487</v>
      </c>
    </row>
    <row r="29" s="16" customFormat="1" spans="1:13">
      <c r="A29" s="27">
        <v>44967</v>
      </c>
      <c r="B29" s="28">
        <v>12</v>
      </c>
      <c r="C29" s="62"/>
      <c r="D29" s="30" t="s">
        <v>185</v>
      </c>
      <c r="E29" s="29">
        <v>25</v>
      </c>
      <c r="F29" s="31" t="s">
        <v>145</v>
      </c>
      <c r="G29" s="31" t="s">
        <v>146</v>
      </c>
      <c r="H29" s="31">
        <v>2</v>
      </c>
      <c r="I29" s="32">
        <v>21</v>
      </c>
      <c r="J29" s="31" t="s">
        <v>147</v>
      </c>
      <c r="K29" s="31">
        <f t="shared" si="1"/>
        <v>1050</v>
      </c>
      <c r="L29" s="37" t="s">
        <v>147</v>
      </c>
      <c r="M29" s="34"/>
    </row>
    <row r="30" s="16" customFormat="1" spans="1:13">
      <c r="A30" s="27">
        <v>44967</v>
      </c>
      <c r="B30" s="28">
        <v>12</v>
      </c>
      <c r="C30" s="31" t="s">
        <v>12</v>
      </c>
      <c r="D30" s="37" t="s">
        <v>13</v>
      </c>
      <c r="E30" s="31">
        <v>10</v>
      </c>
      <c r="F30" s="31" t="s">
        <v>145</v>
      </c>
      <c r="G30" s="31" t="s">
        <v>146</v>
      </c>
      <c r="H30" s="31">
        <v>2</v>
      </c>
      <c r="I30" s="32">
        <v>21</v>
      </c>
      <c r="J30" s="31" t="s">
        <v>147</v>
      </c>
      <c r="K30" s="31">
        <f t="shared" si="1"/>
        <v>420</v>
      </c>
      <c r="L30" s="37" t="s">
        <v>147</v>
      </c>
    </row>
    <row r="31" s="16" customFormat="1" spans="1:13">
      <c r="A31" s="27">
        <v>44967</v>
      </c>
      <c r="B31" s="28">
        <v>12</v>
      </c>
      <c r="D31" s="35" t="s">
        <v>154</v>
      </c>
      <c r="E31" s="36">
        <v>25</v>
      </c>
      <c r="F31" s="31" t="s">
        <v>145</v>
      </c>
      <c r="G31" s="31" t="s">
        <v>146</v>
      </c>
      <c r="H31" s="31">
        <v>1</v>
      </c>
      <c r="I31" s="32">
        <v>22</v>
      </c>
      <c r="J31" s="31" t="s">
        <v>147</v>
      </c>
      <c r="K31" s="31">
        <f t="shared" si="1"/>
        <v>550</v>
      </c>
      <c r="L31" s="37" t="s">
        <v>147</v>
      </c>
      <c r="M31" s="34"/>
    </row>
    <row r="32" s="16" customFormat="1" spans="1:13">
      <c r="A32" s="27">
        <v>44967</v>
      </c>
      <c r="B32" s="28">
        <v>12</v>
      </c>
      <c r="D32" s="35" t="s">
        <v>152</v>
      </c>
      <c r="E32" s="36">
        <v>20</v>
      </c>
      <c r="F32" s="31" t="s">
        <v>145</v>
      </c>
      <c r="G32" s="31" t="s">
        <v>146</v>
      </c>
      <c r="H32" s="31">
        <v>2</v>
      </c>
      <c r="I32" s="32">
        <v>22</v>
      </c>
      <c r="J32" s="31" t="s">
        <v>147</v>
      </c>
      <c r="K32" s="31">
        <f t="shared" si="1"/>
        <v>880</v>
      </c>
      <c r="L32" s="37" t="s">
        <v>153</v>
      </c>
    </row>
    <row r="33" s="16" customFormat="1" spans="1:14">
      <c r="A33" s="27">
        <v>44967</v>
      </c>
      <c r="B33" s="28">
        <v>12</v>
      </c>
      <c r="C33" s="31"/>
      <c r="D33" s="37" t="s">
        <v>101</v>
      </c>
      <c r="E33" s="31">
        <v>18</v>
      </c>
      <c r="F33" s="31" t="s">
        <v>145</v>
      </c>
      <c r="G33" s="31" t="s">
        <v>146</v>
      </c>
      <c r="H33" s="31">
        <v>1</v>
      </c>
      <c r="I33" s="32">
        <v>11</v>
      </c>
      <c r="J33" s="31" t="s">
        <v>147</v>
      </c>
      <c r="K33" s="31">
        <f t="shared" si="1"/>
        <v>198</v>
      </c>
      <c r="L33" s="37" t="s">
        <v>147</v>
      </c>
      <c r="M33" s="34"/>
      <c r="N33" s="38"/>
    </row>
    <row r="34" s="16" customFormat="1" spans="1:14">
      <c r="A34" s="27">
        <v>44967</v>
      </c>
      <c r="B34" s="28">
        <v>12</v>
      </c>
      <c r="C34" s="31" t="s">
        <v>14</v>
      </c>
      <c r="D34" s="33" t="s">
        <v>15</v>
      </c>
      <c r="E34" s="31">
        <v>1000</v>
      </c>
      <c r="F34" s="31" t="s">
        <v>145</v>
      </c>
      <c r="G34" s="31" t="s">
        <v>146</v>
      </c>
      <c r="H34" s="31">
        <v>1</v>
      </c>
      <c r="I34" s="32">
        <v>10</v>
      </c>
      <c r="J34" s="31" t="s">
        <v>147</v>
      </c>
      <c r="K34" s="31">
        <f t="shared" si="1"/>
        <v>10000</v>
      </c>
      <c r="L34" s="73" t="s">
        <v>147</v>
      </c>
      <c r="M34" s="34"/>
    </row>
    <row r="35" s="16" customFormat="1" spans="1:14">
      <c r="A35" s="27">
        <v>44967</v>
      </c>
      <c r="B35" s="28">
        <v>12</v>
      </c>
      <c r="C35" s="31" t="s">
        <v>22</v>
      </c>
      <c r="D35" s="33" t="s">
        <v>23</v>
      </c>
      <c r="E35" s="31">
        <v>25</v>
      </c>
      <c r="F35" s="31" t="s">
        <v>145</v>
      </c>
      <c r="G35" s="31" t="s">
        <v>146</v>
      </c>
      <c r="H35" s="31">
        <v>5</v>
      </c>
      <c r="I35" s="32">
        <v>13.5</v>
      </c>
      <c r="J35" s="31" t="s">
        <v>147</v>
      </c>
      <c r="K35" s="31">
        <f t="shared" si="1"/>
        <v>1687.5</v>
      </c>
      <c r="L35" s="74" t="s">
        <v>186</v>
      </c>
      <c r="M35" s="34">
        <f>SUM(K29:K35)</f>
        <v>14785.5</v>
      </c>
    </row>
    <row r="36" s="17" customFormat="1" spans="1:14">
      <c r="A36" s="39">
        <v>44975</v>
      </c>
      <c r="B36" s="40">
        <v>43</v>
      </c>
      <c r="C36" s="75" t="s">
        <v>17</v>
      </c>
      <c r="D36" s="59" t="s">
        <v>18</v>
      </c>
      <c r="E36" s="58">
        <v>25</v>
      </c>
      <c r="F36" s="43" t="s">
        <v>145</v>
      </c>
      <c r="G36" s="43" t="s">
        <v>146</v>
      </c>
      <c r="H36" s="43">
        <v>3</v>
      </c>
      <c r="I36" s="44">
        <v>21</v>
      </c>
      <c r="J36" s="43" t="s">
        <v>147</v>
      </c>
      <c r="K36" s="43">
        <f t="shared" si="1"/>
        <v>1575</v>
      </c>
      <c r="L36" s="45" t="s">
        <v>147</v>
      </c>
      <c r="M36" s="46"/>
    </row>
    <row r="37" s="17" customFormat="1" spans="1:14">
      <c r="A37" s="39">
        <v>44975</v>
      </c>
      <c r="B37" s="40">
        <v>43</v>
      </c>
      <c r="C37" s="58">
        <v>11302</v>
      </c>
      <c r="D37" s="59" t="s">
        <v>28</v>
      </c>
      <c r="E37" s="58">
        <v>26</v>
      </c>
      <c r="F37" s="43" t="s">
        <v>145</v>
      </c>
      <c r="G37" s="43" t="s">
        <v>146</v>
      </c>
      <c r="H37" s="43">
        <v>3</v>
      </c>
      <c r="I37" s="44">
        <v>21</v>
      </c>
      <c r="J37" s="43" t="s">
        <v>147</v>
      </c>
      <c r="K37" s="43">
        <f t="shared" si="1"/>
        <v>1638</v>
      </c>
      <c r="L37" s="45" t="s">
        <v>147</v>
      </c>
      <c r="M37" s="46">
        <f>SUM(K36:K37)</f>
        <v>3213</v>
      </c>
    </row>
    <row r="38" s="16" customFormat="1" spans="1:14">
      <c r="A38" s="27">
        <v>44978</v>
      </c>
      <c r="B38" s="28">
        <v>48</v>
      </c>
      <c r="C38" s="29">
        <v>11304</v>
      </c>
      <c r="D38" s="30" t="s">
        <v>21</v>
      </c>
      <c r="E38" s="29">
        <v>23</v>
      </c>
      <c r="F38" s="31" t="s">
        <v>145</v>
      </c>
      <c r="G38" s="31" t="s">
        <v>146</v>
      </c>
      <c r="H38" s="31">
        <v>2</v>
      </c>
      <c r="I38" s="32">
        <v>21</v>
      </c>
      <c r="J38" s="31" t="s">
        <v>147</v>
      </c>
      <c r="K38" s="31">
        <f t="shared" si="1"/>
        <v>966</v>
      </c>
      <c r="L38" s="37" t="s">
        <v>147</v>
      </c>
      <c r="M38" s="34"/>
    </row>
    <row r="39" s="16" customFormat="1" spans="1:14">
      <c r="A39" s="27">
        <v>44978</v>
      </c>
      <c r="B39" s="28">
        <v>48</v>
      </c>
      <c r="C39" s="62"/>
      <c r="D39" s="35" t="s">
        <v>30</v>
      </c>
      <c r="E39" s="36">
        <v>21</v>
      </c>
      <c r="F39" s="31" t="s">
        <v>145</v>
      </c>
      <c r="G39" s="31" t="s">
        <v>146</v>
      </c>
      <c r="H39" s="31">
        <v>2</v>
      </c>
      <c r="I39" s="32">
        <v>21</v>
      </c>
      <c r="J39" s="31" t="s">
        <v>147</v>
      </c>
      <c r="K39" s="31">
        <f t="shared" si="1"/>
        <v>882</v>
      </c>
      <c r="L39" s="37" t="s">
        <v>147</v>
      </c>
    </row>
    <row r="40" s="16" customFormat="1" ht="15" customHeight="1" spans="1:14">
      <c r="A40" s="27">
        <v>44978</v>
      </c>
      <c r="B40" s="28">
        <v>48</v>
      </c>
      <c r="C40" s="29">
        <v>11303</v>
      </c>
      <c r="D40" s="30" t="s">
        <v>34</v>
      </c>
      <c r="E40" s="29">
        <v>23</v>
      </c>
      <c r="F40" s="31" t="s">
        <v>145</v>
      </c>
      <c r="G40" s="31" t="s">
        <v>146</v>
      </c>
      <c r="H40" s="31">
        <v>1</v>
      </c>
      <c r="I40" s="32">
        <v>21</v>
      </c>
      <c r="J40" s="31" t="s">
        <v>147</v>
      </c>
      <c r="K40" s="31">
        <f t="shared" si="1"/>
        <v>483</v>
      </c>
      <c r="L40" s="33" t="s">
        <v>151</v>
      </c>
      <c r="M40" s="34"/>
    </row>
    <row r="41" s="16" customFormat="1" spans="1:14">
      <c r="A41" s="27">
        <v>44978</v>
      </c>
      <c r="B41" s="28">
        <v>48</v>
      </c>
      <c r="C41" s="31" t="s">
        <v>22</v>
      </c>
      <c r="D41" s="33" t="s">
        <v>23</v>
      </c>
      <c r="E41" s="31">
        <v>25</v>
      </c>
      <c r="F41" s="31" t="s">
        <v>145</v>
      </c>
      <c r="G41" s="31" t="s">
        <v>146</v>
      </c>
      <c r="H41" s="31">
        <v>5</v>
      </c>
      <c r="I41" s="32">
        <v>13.5</v>
      </c>
      <c r="J41" s="31" t="s">
        <v>147</v>
      </c>
      <c r="K41" s="31">
        <f t="shared" si="1"/>
        <v>1687.5</v>
      </c>
      <c r="L41" s="74" t="s">
        <v>186</v>
      </c>
    </row>
    <row r="42" s="16" customFormat="1" spans="1:14">
      <c r="A42" s="27">
        <v>44978</v>
      </c>
      <c r="B42" s="28">
        <v>48</v>
      </c>
      <c r="C42" s="31" t="s">
        <v>12</v>
      </c>
      <c r="D42" s="37" t="s">
        <v>13</v>
      </c>
      <c r="E42" s="31">
        <v>10</v>
      </c>
      <c r="F42" s="31" t="s">
        <v>145</v>
      </c>
      <c r="G42" s="31" t="s">
        <v>146</v>
      </c>
      <c r="H42" s="31">
        <v>14</v>
      </c>
      <c r="I42" s="32">
        <v>21</v>
      </c>
      <c r="J42" s="31" t="s">
        <v>147</v>
      </c>
      <c r="K42" s="31">
        <f t="shared" si="1"/>
        <v>2940</v>
      </c>
      <c r="L42" s="37" t="s">
        <v>147</v>
      </c>
    </row>
    <row r="43" s="16" customFormat="1" spans="1:14">
      <c r="A43" s="27">
        <v>44978</v>
      </c>
      <c r="B43" s="28">
        <v>48</v>
      </c>
      <c r="C43" s="29"/>
      <c r="D43" s="76" t="s">
        <v>187</v>
      </c>
      <c r="E43" s="29">
        <v>22</v>
      </c>
      <c r="F43" s="31" t="s">
        <v>145</v>
      </c>
      <c r="G43" s="31" t="s">
        <v>146</v>
      </c>
      <c r="H43" s="31">
        <v>-1</v>
      </c>
      <c r="I43" s="32">
        <v>21</v>
      </c>
      <c r="J43" s="31" t="s">
        <v>147</v>
      </c>
      <c r="K43" s="23">
        <f t="shared" si="1"/>
        <v>-462</v>
      </c>
      <c r="L43" s="37" t="s">
        <v>147</v>
      </c>
      <c r="M43" s="16">
        <f>SUM(K38:K43)</f>
        <v>6496.5</v>
      </c>
    </row>
    <row r="44" s="17" customFormat="1" spans="1:14">
      <c r="A44" s="39">
        <v>44979</v>
      </c>
      <c r="B44" s="40">
        <v>57</v>
      </c>
      <c r="C44" s="58">
        <v>223</v>
      </c>
      <c r="D44" s="59" t="s">
        <v>184</v>
      </c>
      <c r="E44" s="58">
        <v>4</v>
      </c>
      <c r="F44" s="43" t="s">
        <v>145</v>
      </c>
      <c r="G44" s="43" t="s">
        <v>146</v>
      </c>
      <c r="H44" s="43">
        <v>1</v>
      </c>
      <c r="I44" s="44">
        <v>21</v>
      </c>
      <c r="J44" s="43" t="s">
        <v>147</v>
      </c>
      <c r="K44" s="43">
        <f t="shared" si="1"/>
        <v>84</v>
      </c>
      <c r="L44" s="77" t="s">
        <v>188</v>
      </c>
      <c r="M44" s="46"/>
    </row>
    <row r="45" s="17" customFormat="1" spans="1:14">
      <c r="A45" s="39">
        <v>44979</v>
      </c>
      <c r="B45" s="40">
        <v>57</v>
      </c>
      <c r="C45" s="58" t="s">
        <v>189</v>
      </c>
      <c r="D45" s="17" t="s">
        <v>190</v>
      </c>
      <c r="E45" s="58">
        <v>21</v>
      </c>
      <c r="F45" s="43" t="s">
        <v>145</v>
      </c>
      <c r="G45" s="43" t="s">
        <v>146</v>
      </c>
      <c r="H45" s="43">
        <v>2</v>
      </c>
      <c r="I45" s="44">
        <v>26</v>
      </c>
      <c r="J45" s="43" t="s">
        <v>147</v>
      </c>
      <c r="K45" s="43">
        <f t="shared" si="1"/>
        <v>1092</v>
      </c>
      <c r="L45" s="76" t="s">
        <v>191</v>
      </c>
      <c r="M45" s="15"/>
    </row>
    <row r="46" s="17" customFormat="1" spans="1:14">
      <c r="A46" s="39">
        <v>44979</v>
      </c>
      <c r="B46" s="40">
        <v>57</v>
      </c>
      <c r="C46" s="43" t="s">
        <v>24</v>
      </c>
      <c r="D46" s="60" t="s">
        <v>25</v>
      </c>
      <c r="E46" s="58">
        <v>11</v>
      </c>
      <c r="F46" s="43" t="s">
        <v>145</v>
      </c>
      <c r="G46" s="43" t="s">
        <v>146</v>
      </c>
      <c r="H46" s="43">
        <v>1</v>
      </c>
      <c r="I46" s="44">
        <v>26</v>
      </c>
      <c r="J46" s="43" t="s">
        <v>147</v>
      </c>
      <c r="K46" s="43">
        <f t="shared" si="1"/>
        <v>286</v>
      </c>
      <c r="L46" s="76" t="s">
        <v>191</v>
      </c>
      <c r="M46" s="15"/>
    </row>
    <row r="47" s="17" customFormat="1" spans="1:14">
      <c r="A47" s="39">
        <v>44979</v>
      </c>
      <c r="B47" s="40">
        <v>57</v>
      </c>
      <c r="C47" s="43">
        <v>1209</v>
      </c>
      <c r="D47" s="45" t="s">
        <v>192</v>
      </c>
      <c r="E47" s="43">
        <v>7</v>
      </c>
      <c r="F47" s="43" t="s">
        <v>145</v>
      </c>
      <c r="G47" s="43" t="s">
        <v>146</v>
      </c>
      <c r="H47" s="43">
        <v>1</v>
      </c>
      <c r="I47" s="44">
        <v>26</v>
      </c>
      <c r="J47" s="43" t="s">
        <v>147</v>
      </c>
      <c r="K47" s="43">
        <f t="shared" si="1"/>
        <v>182</v>
      </c>
      <c r="L47" s="76" t="s">
        <v>191</v>
      </c>
      <c r="M47" s="15"/>
    </row>
    <row r="48" s="17" customFormat="1" spans="1:14">
      <c r="A48" s="39">
        <v>44979</v>
      </c>
      <c r="B48" s="40">
        <v>57</v>
      </c>
      <c r="C48" s="75"/>
      <c r="D48" s="59" t="s">
        <v>185</v>
      </c>
      <c r="E48" s="58">
        <v>25</v>
      </c>
      <c r="F48" s="43" t="s">
        <v>145</v>
      </c>
      <c r="G48" s="43" t="s">
        <v>146</v>
      </c>
      <c r="H48" s="43">
        <v>1</v>
      </c>
      <c r="I48" s="44"/>
      <c r="J48" s="43" t="s">
        <v>147</v>
      </c>
      <c r="K48" s="43">
        <f t="shared" si="1"/>
        <v>0</v>
      </c>
      <c r="L48" s="45" t="s">
        <v>193</v>
      </c>
      <c r="M48" s="46"/>
    </row>
    <row r="49" s="17" customFormat="1" spans="1:13">
      <c r="A49" s="39">
        <v>44979</v>
      </c>
      <c r="B49" s="40">
        <v>57</v>
      </c>
      <c r="C49" s="75"/>
      <c r="D49" s="59" t="s">
        <v>185</v>
      </c>
      <c r="E49" s="58">
        <v>23</v>
      </c>
      <c r="F49" s="43" t="s">
        <v>145</v>
      </c>
      <c r="G49" s="43" t="s">
        <v>146</v>
      </c>
      <c r="H49" s="43">
        <v>1</v>
      </c>
      <c r="I49" s="44"/>
      <c r="J49" s="43" t="s">
        <v>147</v>
      </c>
      <c r="K49" s="43">
        <f t="shared" si="1"/>
        <v>0</v>
      </c>
      <c r="L49" s="45" t="s">
        <v>193</v>
      </c>
      <c r="M49" s="46"/>
    </row>
    <row r="50" s="16" customFormat="1" spans="1:13">
      <c r="A50" s="27">
        <v>44983</v>
      </c>
      <c r="B50" s="28" t="s">
        <v>194</v>
      </c>
      <c r="C50" s="31">
        <v>3712</v>
      </c>
      <c r="D50" s="33" t="s">
        <v>195</v>
      </c>
      <c r="E50" s="31">
        <v>23</v>
      </c>
      <c r="F50" s="31" t="s">
        <v>145</v>
      </c>
      <c r="G50" s="31" t="s">
        <v>146</v>
      </c>
      <c r="H50" s="31">
        <v>2</v>
      </c>
      <c r="I50" s="78">
        <v>11</v>
      </c>
      <c r="J50" s="31" t="s">
        <v>147</v>
      </c>
      <c r="K50" s="31">
        <f t="shared" si="1"/>
        <v>506</v>
      </c>
      <c r="L50" s="37" t="s">
        <v>147</v>
      </c>
      <c r="M50" s="34"/>
    </row>
    <row r="51" s="16" customFormat="1" spans="1:13">
      <c r="A51" s="27">
        <v>44983</v>
      </c>
      <c r="B51" s="28" t="s">
        <v>194</v>
      </c>
      <c r="C51" s="31" t="s">
        <v>45</v>
      </c>
      <c r="D51" s="30" t="s">
        <v>46</v>
      </c>
      <c r="E51" s="36">
        <v>20</v>
      </c>
      <c r="F51" s="31" t="s">
        <v>145</v>
      </c>
      <c r="G51" s="31" t="s">
        <v>146</v>
      </c>
      <c r="H51" s="31">
        <v>2</v>
      </c>
      <c r="I51" s="32">
        <v>17.5</v>
      </c>
      <c r="J51" s="31" t="s">
        <v>147</v>
      </c>
      <c r="K51" s="31">
        <f t="shared" si="1"/>
        <v>700</v>
      </c>
      <c r="L51" s="37" t="s">
        <v>147</v>
      </c>
      <c r="M51" s="34"/>
    </row>
    <row r="52" s="17" customFormat="1" spans="1:13">
      <c r="A52" s="39">
        <v>44989</v>
      </c>
      <c r="B52" s="40"/>
      <c r="C52" s="43">
        <v>1209</v>
      </c>
      <c r="D52" s="45" t="s">
        <v>196</v>
      </c>
      <c r="E52" s="43">
        <v>7</v>
      </c>
      <c r="F52" s="43" t="s">
        <v>145</v>
      </c>
      <c r="G52" s="43" t="s">
        <v>146</v>
      </c>
      <c r="H52" s="43">
        <v>1</v>
      </c>
      <c r="I52" s="44"/>
      <c r="J52" s="43" t="s">
        <v>147</v>
      </c>
      <c r="K52" s="43">
        <f t="shared" si="1"/>
        <v>0</v>
      </c>
      <c r="L52" s="45" t="s">
        <v>197</v>
      </c>
    </row>
    <row r="53" s="15" customFormat="1" spans="1:13">
      <c r="A53" s="19">
        <v>44994</v>
      </c>
      <c r="B53" s="20"/>
      <c r="C53" s="79" t="s">
        <v>17</v>
      </c>
      <c r="D53" s="22" t="s">
        <v>18</v>
      </c>
      <c r="E53" s="21">
        <v>26</v>
      </c>
      <c r="F53" s="23" t="s">
        <v>145</v>
      </c>
      <c r="G53" s="23" t="s">
        <v>146</v>
      </c>
      <c r="H53" s="23">
        <v>2</v>
      </c>
      <c r="I53" s="24">
        <v>21</v>
      </c>
      <c r="J53" s="23" t="s">
        <v>147</v>
      </c>
      <c r="K53" s="23">
        <f t="shared" si="1"/>
        <v>1092</v>
      </c>
      <c r="L53" s="76" t="s">
        <v>198</v>
      </c>
      <c r="M53" s="26"/>
    </row>
    <row r="54" s="17" customFormat="1" spans="1:13">
      <c r="A54" s="39">
        <v>45007</v>
      </c>
      <c r="B54" s="40">
        <v>34</v>
      </c>
      <c r="C54" s="75" t="s">
        <v>17</v>
      </c>
      <c r="D54" s="59" t="s">
        <v>18</v>
      </c>
      <c r="E54" s="58">
        <v>26</v>
      </c>
      <c r="F54" s="43" t="s">
        <v>145</v>
      </c>
      <c r="G54" s="43" t="s">
        <v>146</v>
      </c>
      <c r="H54" s="43">
        <v>2</v>
      </c>
      <c r="I54" s="44">
        <v>21</v>
      </c>
      <c r="J54" s="43" t="s">
        <v>147</v>
      </c>
      <c r="K54" s="43">
        <f t="shared" si="1"/>
        <v>1092</v>
      </c>
      <c r="L54" s="45" t="s">
        <v>199</v>
      </c>
      <c r="M54" s="46"/>
    </row>
    <row r="55" s="17" customFormat="1" spans="1:13">
      <c r="A55" s="39">
        <v>45007</v>
      </c>
      <c r="B55" s="40">
        <v>34</v>
      </c>
      <c r="C55" s="43" t="s">
        <v>14</v>
      </c>
      <c r="D55" s="60" t="s">
        <v>15</v>
      </c>
      <c r="E55" s="43">
        <v>1000</v>
      </c>
      <c r="F55" s="43" t="s">
        <v>145</v>
      </c>
      <c r="G55" s="43" t="s">
        <v>146</v>
      </c>
      <c r="H55" s="43">
        <v>1</v>
      </c>
      <c r="I55" s="44">
        <v>10</v>
      </c>
      <c r="J55" s="43" t="s">
        <v>147</v>
      </c>
      <c r="K55" s="43">
        <f t="shared" ref="K55:K68" si="2">E55*H55*I55</f>
        <v>10000</v>
      </c>
      <c r="L55" s="80" t="s">
        <v>147</v>
      </c>
      <c r="M55" s="46"/>
    </row>
    <row r="56" s="17" customFormat="1" spans="1:13">
      <c r="A56" s="39">
        <v>45007</v>
      </c>
      <c r="B56" s="40">
        <v>34</v>
      </c>
      <c r="C56" s="75" t="s">
        <v>17</v>
      </c>
      <c r="D56" s="59" t="s">
        <v>18</v>
      </c>
      <c r="E56" s="58">
        <v>27</v>
      </c>
      <c r="F56" s="43" t="s">
        <v>145</v>
      </c>
      <c r="G56" s="43" t="s">
        <v>146</v>
      </c>
      <c r="H56" s="43">
        <v>2</v>
      </c>
      <c r="I56" s="44">
        <v>21</v>
      </c>
      <c r="J56" s="43" t="s">
        <v>147</v>
      </c>
      <c r="K56" s="43">
        <f t="shared" si="2"/>
        <v>1134</v>
      </c>
      <c r="L56" s="45" t="s">
        <v>147</v>
      </c>
      <c r="M56" s="46"/>
    </row>
    <row r="57" s="17" customFormat="1" spans="1:13">
      <c r="A57" s="39">
        <v>45007</v>
      </c>
      <c r="B57" s="40">
        <v>34</v>
      </c>
      <c r="C57" s="58">
        <v>11302</v>
      </c>
      <c r="D57" s="59" t="s">
        <v>28</v>
      </c>
      <c r="E57" s="58">
        <v>26</v>
      </c>
      <c r="F57" s="43" t="s">
        <v>145</v>
      </c>
      <c r="G57" s="43" t="s">
        <v>146</v>
      </c>
      <c r="H57" s="43">
        <v>1</v>
      </c>
      <c r="I57" s="44">
        <v>21</v>
      </c>
      <c r="J57" s="43" t="s">
        <v>147</v>
      </c>
      <c r="K57" s="43">
        <f t="shared" si="2"/>
        <v>546</v>
      </c>
      <c r="L57" s="45" t="s">
        <v>147</v>
      </c>
      <c r="M57" s="46"/>
    </row>
    <row r="58" s="17" customFormat="1" spans="1:13">
      <c r="A58" s="39">
        <v>45007</v>
      </c>
      <c r="B58" s="40">
        <v>34</v>
      </c>
      <c r="C58" s="58">
        <v>11302</v>
      </c>
      <c r="D58" s="59" t="s">
        <v>28</v>
      </c>
      <c r="E58" s="58">
        <v>25</v>
      </c>
      <c r="F58" s="43" t="s">
        <v>145</v>
      </c>
      <c r="G58" s="43" t="s">
        <v>146</v>
      </c>
      <c r="H58" s="43">
        <v>2</v>
      </c>
      <c r="I58" s="44">
        <v>21</v>
      </c>
      <c r="J58" s="43" t="s">
        <v>147</v>
      </c>
      <c r="K58" s="43">
        <f t="shared" si="2"/>
        <v>1050</v>
      </c>
      <c r="L58" s="45" t="s">
        <v>147</v>
      </c>
      <c r="M58" s="46"/>
    </row>
    <row r="59" s="17" customFormat="1" ht="15" customHeight="1" spans="1:13">
      <c r="A59" s="39">
        <v>45007</v>
      </c>
      <c r="B59" s="40">
        <v>34</v>
      </c>
      <c r="C59" s="58">
        <v>11303</v>
      </c>
      <c r="D59" s="59" t="s">
        <v>34</v>
      </c>
      <c r="E59" s="58">
        <v>22</v>
      </c>
      <c r="F59" s="43" t="s">
        <v>145</v>
      </c>
      <c r="G59" s="43" t="s">
        <v>146</v>
      </c>
      <c r="H59" s="43">
        <v>3</v>
      </c>
      <c r="I59" s="44">
        <v>21</v>
      </c>
      <c r="J59" s="43" t="s">
        <v>147</v>
      </c>
      <c r="K59" s="43">
        <f t="shared" si="2"/>
        <v>1386</v>
      </c>
      <c r="L59" s="60" t="s">
        <v>151</v>
      </c>
      <c r="M59" s="46"/>
    </row>
    <row r="60" s="17" customFormat="1" spans="1:13">
      <c r="A60" s="39">
        <v>45007</v>
      </c>
      <c r="B60" s="40">
        <v>34</v>
      </c>
      <c r="C60" s="43" t="s">
        <v>22</v>
      </c>
      <c r="D60" s="60" t="s">
        <v>23</v>
      </c>
      <c r="E60" s="43">
        <v>25</v>
      </c>
      <c r="F60" s="43" t="s">
        <v>145</v>
      </c>
      <c r="G60" s="43" t="s">
        <v>146</v>
      </c>
      <c r="H60" s="43">
        <v>5</v>
      </c>
      <c r="I60" s="44">
        <v>13.5</v>
      </c>
      <c r="J60" s="43" t="s">
        <v>147</v>
      </c>
      <c r="K60" s="43">
        <f t="shared" si="2"/>
        <v>1687.5</v>
      </c>
      <c r="L60" s="81" t="s">
        <v>200</v>
      </c>
    </row>
    <row r="61" s="17" customFormat="1" spans="1:13">
      <c r="A61" s="39">
        <v>45007</v>
      </c>
      <c r="B61" s="40">
        <v>34</v>
      </c>
      <c r="C61" s="43" t="s">
        <v>12</v>
      </c>
      <c r="D61" s="45" t="s">
        <v>13</v>
      </c>
      <c r="E61" s="43">
        <v>10</v>
      </c>
      <c r="F61" s="43" t="s">
        <v>145</v>
      </c>
      <c r="G61" s="43" t="s">
        <v>146</v>
      </c>
      <c r="H61" s="43">
        <v>15</v>
      </c>
      <c r="I61" s="44">
        <v>21</v>
      </c>
      <c r="J61" s="43" t="s">
        <v>147</v>
      </c>
      <c r="K61" s="43">
        <f t="shared" si="2"/>
        <v>3150</v>
      </c>
      <c r="L61" s="45" t="s">
        <v>147</v>
      </c>
      <c r="M61" s="17">
        <f>SUM(K54:K61)</f>
        <v>20045.5</v>
      </c>
    </row>
    <row r="62" s="16" customFormat="1" spans="1:13">
      <c r="A62" s="27">
        <v>45014</v>
      </c>
      <c r="B62" s="28">
        <v>118</v>
      </c>
      <c r="C62" s="29" t="s">
        <v>166</v>
      </c>
      <c r="D62" s="37" t="s">
        <v>201</v>
      </c>
      <c r="E62" s="31">
        <v>4</v>
      </c>
      <c r="F62" s="31" t="s">
        <v>145</v>
      </c>
      <c r="G62" s="31" t="s">
        <v>146</v>
      </c>
      <c r="H62" s="31">
        <v>1</v>
      </c>
      <c r="I62" s="32">
        <v>21</v>
      </c>
      <c r="J62" s="31" t="s">
        <v>147</v>
      </c>
      <c r="K62" s="31">
        <f t="shared" si="2"/>
        <v>84</v>
      </c>
      <c r="L62" s="37"/>
    </row>
    <row r="63" s="16" customFormat="1" spans="1:13">
      <c r="A63" s="27">
        <v>45014</v>
      </c>
      <c r="B63" s="28">
        <v>118</v>
      </c>
      <c r="C63" s="29"/>
      <c r="D63" s="37" t="s">
        <v>202</v>
      </c>
      <c r="E63" s="31">
        <v>4</v>
      </c>
      <c r="F63" s="31" t="s">
        <v>145</v>
      </c>
      <c r="G63" s="31" t="s">
        <v>146</v>
      </c>
      <c r="H63" s="31">
        <v>1</v>
      </c>
      <c r="I63" s="32">
        <v>20</v>
      </c>
      <c r="J63" s="31" t="s">
        <v>147</v>
      </c>
      <c r="K63" s="31">
        <f t="shared" si="2"/>
        <v>80</v>
      </c>
      <c r="L63" s="37"/>
    </row>
    <row r="64" s="16" customFormat="1" spans="1:13">
      <c r="A64" s="39">
        <v>45029</v>
      </c>
      <c r="B64" s="40">
        <v>44</v>
      </c>
      <c r="C64" s="43"/>
      <c r="D64" s="59" t="s">
        <v>31</v>
      </c>
      <c r="E64" s="42">
        <v>9</v>
      </c>
      <c r="F64" s="43" t="s">
        <v>145</v>
      </c>
      <c r="G64" s="43" t="s">
        <v>146</v>
      </c>
      <c r="H64" s="43">
        <v>1</v>
      </c>
      <c r="I64" s="63">
        <v>10</v>
      </c>
      <c r="J64" s="43" t="s">
        <v>147</v>
      </c>
      <c r="K64" s="43">
        <f t="shared" si="2"/>
        <v>90</v>
      </c>
      <c r="L64" s="60" t="s">
        <v>203</v>
      </c>
    </row>
    <row r="65" s="16" customFormat="1" spans="1:13">
      <c r="A65" s="39"/>
      <c r="B65" s="40"/>
      <c r="C65" s="58"/>
      <c r="D65" s="82" t="s">
        <v>204</v>
      </c>
      <c r="E65" s="42"/>
      <c r="F65" s="43"/>
      <c r="G65" s="43"/>
      <c r="H65" s="43"/>
      <c r="I65" s="63"/>
      <c r="J65" s="43"/>
      <c r="K65" s="43"/>
      <c r="L65" s="60"/>
    </row>
    <row r="66" s="15" customFormat="1" spans="1:13">
      <c r="A66" s="27">
        <v>45038</v>
      </c>
      <c r="B66" s="28">
        <v>65</v>
      </c>
      <c r="C66" s="16"/>
      <c r="D66" s="35" t="s">
        <v>154</v>
      </c>
      <c r="E66" s="36">
        <v>25</v>
      </c>
      <c r="F66" s="31" t="s">
        <v>145</v>
      </c>
      <c r="G66" s="31" t="s">
        <v>146</v>
      </c>
      <c r="H66" s="31">
        <v>1</v>
      </c>
      <c r="I66" s="32">
        <v>20</v>
      </c>
      <c r="J66" s="31" t="s">
        <v>147</v>
      </c>
      <c r="K66" s="31">
        <f>E66*H66*I66</f>
        <v>500</v>
      </c>
      <c r="L66" s="37" t="s">
        <v>147</v>
      </c>
    </row>
    <row r="67" s="15" customFormat="1" spans="1:13">
      <c r="A67" s="27">
        <v>45038</v>
      </c>
      <c r="B67" s="28">
        <v>65</v>
      </c>
      <c r="C67" s="16"/>
      <c r="D67" s="35" t="s">
        <v>152</v>
      </c>
      <c r="E67" s="36">
        <v>20</v>
      </c>
      <c r="F67" s="31" t="s">
        <v>145</v>
      </c>
      <c r="G67" s="31" t="s">
        <v>146</v>
      </c>
      <c r="H67" s="31">
        <v>1</v>
      </c>
      <c r="I67" s="32">
        <v>20</v>
      </c>
      <c r="J67" s="31" t="s">
        <v>147</v>
      </c>
      <c r="K67" s="31">
        <f>E67*H67*I67</f>
        <v>400</v>
      </c>
      <c r="L67" s="37" t="s">
        <v>147</v>
      </c>
    </row>
    <row r="68" s="15" customFormat="1" spans="1:13">
      <c r="A68" s="27">
        <v>45038</v>
      </c>
      <c r="B68" s="28">
        <v>65</v>
      </c>
      <c r="C68" s="29" t="s">
        <v>19</v>
      </c>
      <c r="D68" s="30" t="s">
        <v>20</v>
      </c>
      <c r="E68" s="29">
        <v>25</v>
      </c>
      <c r="F68" s="31" t="s">
        <v>145</v>
      </c>
      <c r="G68" s="31" t="s">
        <v>146</v>
      </c>
      <c r="H68" s="31">
        <v>2</v>
      </c>
      <c r="I68" s="32">
        <v>20</v>
      </c>
      <c r="J68" s="31" t="s">
        <v>147</v>
      </c>
      <c r="K68" s="31">
        <f>E68*H68*I68</f>
        <v>1000</v>
      </c>
      <c r="L68" s="37" t="s">
        <v>147</v>
      </c>
      <c r="M68" s="83"/>
    </row>
    <row r="69" s="15" customFormat="1" spans="1:13">
      <c r="A69" s="27">
        <v>45038</v>
      </c>
      <c r="B69" s="28">
        <v>65</v>
      </c>
      <c r="C69" s="31" t="s">
        <v>12</v>
      </c>
      <c r="D69" s="37" t="s">
        <v>13</v>
      </c>
      <c r="E69" s="31">
        <v>10</v>
      </c>
      <c r="F69" s="31" t="s">
        <v>145</v>
      </c>
      <c r="G69" s="31" t="s">
        <v>146</v>
      </c>
      <c r="H69" s="31">
        <v>2</v>
      </c>
      <c r="I69" s="32">
        <v>20</v>
      </c>
      <c r="J69" s="31" t="s">
        <v>147</v>
      </c>
      <c r="K69" s="31">
        <f>E69*H69*I69</f>
        <v>400</v>
      </c>
      <c r="L69" s="37" t="s">
        <v>147</v>
      </c>
      <c r="M69" s="83"/>
    </row>
    <row r="70" s="17" customFormat="1" spans="1:13">
      <c r="A70" s="27">
        <v>45038</v>
      </c>
      <c r="B70" s="28">
        <v>65</v>
      </c>
      <c r="C70" s="31" t="s">
        <v>205</v>
      </c>
      <c r="D70" s="33" t="s">
        <v>206</v>
      </c>
      <c r="E70" s="31">
        <v>25</v>
      </c>
      <c r="F70" s="31" t="s">
        <v>145</v>
      </c>
      <c r="G70" s="31" t="s">
        <v>146</v>
      </c>
      <c r="H70" s="31">
        <v>2</v>
      </c>
      <c r="I70" s="32">
        <v>15.5</v>
      </c>
      <c r="J70" s="31" t="s">
        <v>147</v>
      </c>
      <c r="K70" s="31">
        <f>E70*H70*I70</f>
        <v>775</v>
      </c>
      <c r="L70" s="81" t="s">
        <v>207</v>
      </c>
      <c r="M70" s="46">
        <f>SUM(K66:K70)</f>
        <v>3075</v>
      </c>
    </row>
    <row r="71" spans="1:13">
      <c r="A71" s="27">
        <v>45038</v>
      </c>
      <c r="B71" s="28">
        <v>65</v>
      </c>
      <c r="C71" s="16" t="s">
        <v>208</v>
      </c>
      <c r="D71" s="16" t="s">
        <v>209</v>
      </c>
      <c r="E71" s="16"/>
      <c r="F71" s="16"/>
      <c r="G71" s="16"/>
      <c r="H71" s="16"/>
      <c r="I71" s="84"/>
      <c r="J71" s="16"/>
      <c r="K71" s="16"/>
      <c r="L71" s="16"/>
    </row>
    <row r="72" s="17" customFormat="1" spans="1:13">
      <c r="A72" s="39">
        <v>45052</v>
      </c>
      <c r="B72" s="40">
        <v>7</v>
      </c>
      <c r="C72" s="43" t="s">
        <v>14</v>
      </c>
      <c r="D72" s="60" t="s">
        <v>15</v>
      </c>
      <c r="E72" s="43">
        <v>800</v>
      </c>
      <c r="F72" s="43" t="s">
        <v>145</v>
      </c>
      <c r="G72" s="43" t="s">
        <v>146</v>
      </c>
      <c r="H72" s="43">
        <v>1</v>
      </c>
      <c r="I72" s="44">
        <v>10</v>
      </c>
      <c r="J72" s="43" t="s">
        <v>147</v>
      </c>
      <c r="K72" s="43">
        <f>E72*H72*I72</f>
        <v>8000</v>
      </c>
      <c r="L72" s="33" t="s">
        <v>147</v>
      </c>
      <c r="M72" s="46"/>
    </row>
    <row r="73" s="17" customFormat="1" spans="1:13">
      <c r="A73" s="39">
        <v>45052</v>
      </c>
      <c r="B73" s="40">
        <v>7</v>
      </c>
      <c r="C73" s="43" t="s">
        <v>22</v>
      </c>
      <c r="D73" s="60" t="s">
        <v>23</v>
      </c>
      <c r="E73" s="43">
        <v>25</v>
      </c>
      <c r="F73" s="43" t="s">
        <v>145</v>
      </c>
      <c r="G73" s="43" t="s">
        <v>146</v>
      </c>
      <c r="H73" s="43">
        <v>5</v>
      </c>
      <c r="I73" s="44">
        <v>13.5</v>
      </c>
      <c r="J73" s="43" t="s">
        <v>147</v>
      </c>
      <c r="K73" s="43">
        <f t="shared" ref="K73:K91" si="3">E73*H73*I73</f>
        <v>1687.5</v>
      </c>
      <c r="L73" s="33" t="s">
        <v>147</v>
      </c>
    </row>
    <row r="74" s="17" customFormat="1" spans="1:13">
      <c r="A74" s="39">
        <v>45052</v>
      </c>
      <c r="B74" s="40">
        <v>7</v>
      </c>
      <c r="C74" s="75"/>
      <c r="D74" s="41" t="s">
        <v>30</v>
      </c>
      <c r="E74" s="42">
        <v>23</v>
      </c>
      <c r="F74" s="43" t="s">
        <v>145</v>
      </c>
      <c r="G74" s="43" t="s">
        <v>146</v>
      </c>
      <c r="H74" s="43">
        <v>2</v>
      </c>
      <c r="I74" s="44">
        <v>20</v>
      </c>
      <c r="J74" s="43" t="s">
        <v>147</v>
      </c>
      <c r="K74" s="43">
        <f t="shared" si="3"/>
        <v>920</v>
      </c>
      <c r="L74" s="33" t="s">
        <v>147</v>
      </c>
    </row>
    <row r="75" s="17" customFormat="1" ht="15" customHeight="1" spans="1:13">
      <c r="A75" s="39">
        <v>45052</v>
      </c>
      <c r="B75" s="40">
        <v>7</v>
      </c>
      <c r="C75" s="58">
        <v>11303</v>
      </c>
      <c r="D75" s="59" t="s">
        <v>34</v>
      </c>
      <c r="E75" s="58">
        <v>22</v>
      </c>
      <c r="F75" s="43" t="s">
        <v>145</v>
      </c>
      <c r="G75" s="43" t="s">
        <v>146</v>
      </c>
      <c r="H75" s="43">
        <v>1</v>
      </c>
      <c r="I75" s="44">
        <v>20</v>
      </c>
      <c r="J75" s="43" t="s">
        <v>147</v>
      </c>
      <c r="K75" s="43">
        <f t="shared" si="3"/>
        <v>440</v>
      </c>
      <c r="L75" s="33" t="s">
        <v>147</v>
      </c>
      <c r="M75" s="46"/>
    </row>
    <row r="76" s="17" customFormat="1" spans="1:13">
      <c r="A76" s="39">
        <v>45052</v>
      </c>
      <c r="B76" s="40">
        <v>7</v>
      </c>
      <c r="C76" s="58" t="s">
        <v>189</v>
      </c>
      <c r="D76" s="17" t="s">
        <v>190</v>
      </c>
      <c r="E76" s="58">
        <v>20</v>
      </c>
      <c r="F76" s="43" t="s">
        <v>145</v>
      </c>
      <c r="G76" s="43" t="s">
        <v>146</v>
      </c>
      <c r="H76" s="43">
        <v>2</v>
      </c>
      <c r="I76" s="44">
        <v>24</v>
      </c>
      <c r="J76" s="43" t="s">
        <v>147</v>
      </c>
      <c r="K76" s="43">
        <f t="shared" si="3"/>
        <v>960</v>
      </c>
      <c r="L76" s="33" t="s">
        <v>147</v>
      </c>
    </row>
    <row r="77" s="17" customFormat="1" spans="1:13">
      <c r="A77" s="39">
        <v>45052</v>
      </c>
      <c r="B77" s="40">
        <v>7</v>
      </c>
      <c r="C77" s="75" t="s">
        <v>17</v>
      </c>
      <c r="D77" s="59" t="s">
        <v>18</v>
      </c>
      <c r="E77" s="58">
        <v>26</v>
      </c>
      <c r="F77" s="43" t="s">
        <v>145</v>
      </c>
      <c r="G77" s="43" t="s">
        <v>146</v>
      </c>
      <c r="H77" s="43">
        <v>4</v>
      </c>
      <c r="I77" s="44">
        <v>20</v>
      </c>
      <c r="J77" s="43" t="s">
        <v>147</v>
      </c>
      <c r="K77" s="43">
        <f t="shared" si="3"/>
        <v>2080</v>
      </c>
      <c r="L77" s="33" t="s">
        <v>147</v>
      </c>
      <c r="M77" s="46"/>
    </row>
    <row r="78" s="17" customFormat="1" spans="1:13">
      <c r="A78" s="39">
        <v>45052</v>
      </c>
      <c r="B78" s="40">
        <v>7</v>
      </c>
      <c r="C78" s="75" t="s">
        <v>17</v>
      </c>
      <c r="D78" s="59" t="s">
        <v>18</v>
      </c>
      <c r="E78" s="58">
        <v>25</v>
      </c>
      <c r="F78" s="43" t="s">
        <v>145</v>
      </c>
      <c r="G78" s="43" t="s">
        <v>146</v>
      </c>
      <c r="H78" s="43">
        <v>1</v>
      </c>
      <c r="I78" s="44">
        <v>20</v>
      </c>
      <c r="J78" s="43" t="s">
        <v>147</v>
      </c>
      <c r="K78" s="43">
        <f t="shared" si="3"/>
        <v>500</v>
      </c>
      <c r="L78" s="33" t="s">
        <v>147</v>
      </c>
      <c r="M78" s="46"/>
    </row>
    <row r="79" s="17" customFormat="1" spans="1:13">
      <c r="A79" s="39">
        <v>45052</v>
      </c>
      <c r="B79" s="40">
        <v>7</v>
      </c>
      <c r="C79" s="43" t="s">
        <v>12</v>
      </c>
      <c r="D79" s="45" t="s">
        <v>13</v>
      </c>
      <c r="E79" s="43">
        <v>10</v>
      </c>
      <c r="F79" s="43" t="s">
        <v>145</v>
      </c>
      <c r="G79" s="43" t="s">
        <v>146</v>
      </c>
      <c r="H79" s="43">
        <v>15</v>
      </c>
      <c r="I79" s="44">
        <v>20</v>
      </c>
      <c r="J79" s="43" t="s">
        <v>147</v>
      </c>
      <c r="K79" s="43">
        <f t="shared" si="3"/>
        <v>3000</v>
      </c>
      <c r="L79" s="33" t="s">
        <v>147</v>
      </c>
      <c r="M79" s="85">
        <f>SUM(K72:K79)</f>
        <v>17587.5</v>
      </c>
    </row>
    <row r="80" s="16" customFormat="1" spans="1:13">
      <c r="A80" s="27">
        <v>45086</v>
      </c>
      <c r="B80" s="28">
        <v>20</v>
      </c>
      <c r="C80" s="31" t="s">
        <v>22</v>
      </c>
      <c r="D80" s="33" t="s">
        <v>23</v>
      </c>
      <c r="E80" s="31">
        <v>25</v>
      </c>
      <c r="F80" s="31" t="s">
        <v>145</v>
      </c>
      <c r="G80" s="31" t="s">
        <v>146</v>
      </c>
      <c r="H80" s="31">
        <v>3</v>
      </c>
      <c r="I80" s="32">
        <v>13.5</v>
      </c>
      <c r="J80" s="31" t="s">
        <v>147</v>
      </c>
      <c r="K80" s="31">
        <f t="shared" si="3"/>
        <v>1012.5</v>
      </c>
      <c r="L80" s="33" t="s">
        <v>147</v>
      </c>
    </row>
    <row r="81" s="16" customFormat="1" spans="1:13">
      <c r="A81" s="27">
        <v>45086</v>
      </c>
      <c r="B81" s="28">
        <v>20</v>
      </c>
      <c r="C81" s="31" t="s">
        <v>24</v>
      </c>
      <c r="D81" s="33" t="s">
        <v>25</v>
      </c>
      <c r="E81" s="29">
        <v>21</v>
      </c>
      <c r="F81" s="31" t="s">
        <v>145</v>
      </c>
      <c r="G81" s="31" t="s">
        <v>146</v>
      </c>
      <c r="H81" s="31">
        <v>2</v>
      </c>
      <c r="I81" s="32">
        <v>24</v>
      </c>
      <c r="J81" s="31" t="s">
        <v>147</v>
      </c>
      <c r="K81" s="31">
        <f t="shared" si="3"/>
        <v>1008</v>
      </c>
      <c r="L81" s="33" t="s">
        <v>147</v>
      </c>
    </row>
    <row r="82" s="16" customFormat="1" spans="1:13">
      <c r="A82" s="27">
        <v>45086</v>
      </c>
      <c r="B82" s="28">
        <v>20</v>
      </c>
      <c r="C82" s="29" t="s">
        <v>189</v>
      </c>
      <c r="D82" s="16" t="s">
        <v>190</v>
      </c>
      <c r="E82" s="29">
        <v>20</v>
      </c>
      <c r="F82" s="31" t="s">
        <v>145</v>
      </c>
      <c r="G82" s="31" t="s">
        <v>146</v>
      </c>
      <c r="H82" s="31">
        <v>3</v>
      </c>
      <c r="I82" s="32">
        <v>24</v>
      </c>
      <c r="J82" s="31" t="s">
        <v>147</v>
      </c>
      <c r="K82" s="31">
        <f t="shared" si="3"/>
        <v>1440</v>
      </c>
      <c r="L82" s="33" t="s">
        <v>147</v>
      </c>
    </row>
    <row r="83" s="16" customFormat="1" spans="1:13">
      <c r="A83" s="27">
        <v>45086</v>
      </c>
      <c r="B83" s="28">
        <v>20</v>
      </c>
      <c r="C83" s="29">
        <v>11302</v>
      </c>
      <c r="D83" s="30" t="s">
        <v>28</v>
      </c>
      <c r="E83" s="29">
        <v>25</v>
      </c>
      <c r="F83" s="31" t="s">
        <v>145</v>
      </c>
      <c r="G83" s="31" t="s">
        <v>146</v>
      </c>
      <c r="H83" s="31">
        <v>1</v>
      </c>
      <c r="I83" s="32">
        <v>20</v>
      </c>
      <c r="J83" s="31" t="s">
        <v>147</v>
      </c>
      <c r="K83" s="31">
        <f t="shared" si="3"/>
        <v>500</v>
      </c>
      <c r="L83" s="37" t="s">
        <v>147</v>
      </c>
      <c r="M83" s="34"/>
    </row>
    <row r="84" s="16" customFormat="1" spans="1:13">
      <c r="A84" s="27">
        <v>45086</v>
      </c>
      <c r="B84" s="28">
        <v>20</v>
      </c>
      <c r="C84" s="29">
        <v>11302</v>
      </c>
      <c r="D84" s="30" t="s">
        <v>28</v>
      </c>
      <c r="E84" s="29">
        <v>26</v>
      </c>
      <c r="F84" s="31" t="s">
        <v>145</v>
      </c>
      <c r="G84" s="31" t="s">
        <v>146</v>
      </c>
      <c r="H84" s="31">
        <v>1</v>
      </c>
      <c r="I84" s="32">
        <v>20</v>
      </c>
      <c r="J84" s="31" t="s">
        <v>147</v>
      </c>
      <c r="K84" s="31">
        <f t="shared" si="3"/>
        <v>520</v>
      </c>
      <c r="L84" s="37" t="s">
        <v>147</v>
      </c>
      <c r="M84" s="34"/>
    </row>
    <row r="85" s="16" customFormat="1" spans="1:13">
      <c r="A85" s="27">
        <v>45086</v>
      </c>
      <c r="B85" s="28">
        <v>20</v>
      </c>
      <c r="C85" s="62" t="s">
        <v>17</v>
      </c>
      <c r="D85" s="30" t="s">
        <v>18</v>
      </c>
      <c r="E85" s="29">
        <v>26</v>
      </c>
      <c r="F85" s="31" t="s">
        <v>145</v>
      </c>
      <c r="G85" s="31" t="s">
        <v>146</v>
      </c>
      <c r="H85" s="31">
        <v>3</v>
      </c>
      <c r="I85" s="32">
        <v>20</v>
      </c>
      <c r="J85" s="31" t="s">
        <v>147</v>
      </c>
      <c r="K85" s="31">
        <f t="shared" si="3"/>
        <v>1560</v>
      </c>
      <c r="L85" s="33" t="s">
        <v>147</v>
      </c>
      <c r="M85" s="34"/>
    </row>
    <row r="86" s="16" customFormat="1" spans="1:13">
      <c r="A86" s="27">
        <v>45086</v>
      </c>
      <c r="B86" s="28">
        <v>20</v>
      </c>
      <c r="C86" s="62" t="s">
        <v>17</v>
      </c>
      <c r="D86" s="30" t="s">
        <v>18</v>
      </c>
      <c r="E86" s="29">
        <v>25</v>
      </c>
      <c r="F86" s="31" t="s">
        <v>145</v>
      </c>
      <c r="G86" s="31" t="s">
        <v>146</v>
      </c>
      <c r="H86" s="31">
        <v>2</v>
      </c>
      <c r="I86" s="32">
        <v>20</v>
      </c>
      <c r="J86" s="31" t="s">
        <v>147</v>
      </c>
      <c r="K86" s="31">
        <f t="shared" si="3"/>
        <v>1000</v>
      </c>
      <c r="L86" s="33" t="s">
        <v>147</v>
      </c>
      <c r="M86" s="34"/>
    </row>
    <row r="87" s="16" customFormat="1" spans="1:13">
      <c r="A87" s="27">
        <v>45086</v>
      </c>
      <c r="B87" s="28">
        <v>20</v>
      </c>
      <c r="C87" s="31" t="s">
        <v>12</v>
      </c>
      <c r="D87" s="37" t="s">
        <v>13</v>
      </c>
      <c r="E87" s="31">
        <v>10</v>
      </c>
      <c r="F87" s="31" t="s">
        <v>145</v>
      </c>
      <c r="G87" s="31" t="s">
        <v>146</v>
      </c>
      <c r="H87" s="31">
        <v>15</v>
      </c>
      <c r="I87" s="32">
        <v>20</v>
      </c>
      <c r="J87" s="31" t="s">
        <v>147</v>
      </c>
      <c r="K87" s="31">
        <f t="shared" si="3"/>
        <v>3000</v>
      </c>
      <c r="L87" s="33" t="s">
        <v>147</v>
      </c>
      <c r="M87" s="86">
        <f>SUM(K80:K87)</f>
        <v>10040.5</v>
      </c>
    </row>
    <row r="88" s="17" customFormat="1" spans="1:13">
      <c r="A88" s="39">
        <v>44367</v>
      </c>
      <c r="B88" s="40">
        <v>62</v>
      </c>
      <c r="C88" s="43"/>
      <c r="D88" s="60" t="s">
        <v>74</v>
      </c>
      <c r="E88" s="43">
        <v>27</v>
      </c>
      <c r="F88" s="43" t="s">
        <v>145</v>
      </c>
      <c r="G88" s="61" t="s">
        <v>146</v>
      </c>
      <c r="H88" s="61">
        <v>1</v>
      </c>
      <c r="I88" s="63">
        <v>14</v>
      </c>
      <c r="J88" s="61" t="s">
        <v>147</v>
      </c>
      <c r="K88" s="43">
        <f t="shared" si="3"/>
        <v>378</v>
      </c>
      <c r="L88" s="87" t="s">
        <v>147</v>
      </c>
    </row>
    <row r="89" s="17" customFormat="1" spans="1:13">
      <c r="A89" s="39">
        <v>44367</v>
      </c>
      <c r="B89" s="40">
        <v>62</v>
      </c>
      <c r="C89" s="43"/>
      <c r="D89" s="59" t="s">
        <v>31</v>
      </c>
      <c r="E89" s="42">
        <v>18</v>
      </c>
      <c r="F89" s="43" t="s">
        <v>145</v>
      </c>
      <c r="G89" s="43" t="s">
        <v>146</v>
      </c>
      <c r="H89" s="43">
        <v>1</v>
      </c>
      <c r="I89" s="63">
        <v>10</v>
      </c>
      <c r="J89" s="43" t="s">
        <v>147</v>
      </c>
      <c r="K89" s="43">
        <f t="shared" si="3"/>
        <v>180</v>
      </c>
      <c r="L89" s="88" t="s">
        <v>210</v>
      </c>
      <c r="M89" s="89">
        <f>SUM(K88:K89)</f>
        <v>558</v>
      </c>
    </row>
    <row r="90" s="15" customFormat="1" spans="1:13">
      <c r="A90" s="19">
        <v>45052</v>
      </c>
      <c r="B90" s="20">
        <v>7</v>
      </c>
      <c r="C90" s="79" t="s">
        <v>17</v>
      </c>
      <c r="D90" s="22" t="s">
        <v>18</v>
      </c>
      <c r="E90" s="21"/>
      <c r="F90" s="23" t="s">
        <v>145</v>
      </c>
      <c r="G90" s="23" t="s">
        <v>146</v>
      </c>
      <c r="H90" s="23">
        <v>2</v>
      </c>
      <c r="I90" s="24">
        <v>20</v>
      </c>
      <c r="J90" s="23" t="s">
        <v>147</v>
      </c>
      <c r="K90" s="23">
        <f t="shared" si="3"/>
        <v>0</v>
      </c>
      <c r="L90" s="25" t="s">
        <v>147</v>
      </c>
      <c r="M90" s="26"/>
    </row>
    <row r="91" s="15" customFormat="1" spans="1:13">
      <c r="A91" s="19">
        <v>45086</v>
      </c>
      <c r="B91" s="20">
        <v>20</v>
      </c>
      <c r="C91" s="23" t="s">
        <v>12</v>
      </c>
      <c r="D91" s="76" t="s">
        <v>13</v>
      </c>
      <c r="E91" s="23">
        <v>10</v>
      </c>
      <c r="F91" s="23" t="s">
        <v>145</v>
      </c>
      <c r="G91" s="23" t="s">
        <v>146</v>
      </c>
      <c r="H91" s="23">
        <v>2</v>
      </c>
      <c r="I91" s="24">
        <v>20</v>
      </c>
      <c r="J91" s="23" t="s">
        <v>147</v>
      </c>
      <c r="K91" s="23">
        <f t="shared" si="3"/>
        <v>400</v>
      </c>
      <c r="L91" s="25" t="s">
        <v>147</v>
      </c>
      <c r="M91" s="83">
        <f>SUM(K84:K91)</f>
        <v>7038</v>
      </c>
    </row>
    <row r="92" ht="20.25" spans="1:13">
      <c r="A92" s="90">
        <v>45157</v>
      </c>
      <c r="B92" s="91">
        <v>20</v>
      </c>
      <c r="C92" t="s">
        <v>40</v>
      </c>
      <c r="D92" s="92" t="s">
        <v>211</v>
      </c>
      <c r="E92" s="93">
        <v>2</v>
      </c>
      <c r="F92" s="93">
        <v>22</v>
      </c>
      <c r="G92" s="93">
        <f t="shared" ref="G92:G102" si="4">E92*F92</f>
        <v>44</v>
      </c>
      <c r="H92" s="93">
        <v>14.5</v>
      </c>
      <c r="I92" s="93">
        <f t="shared" ref="I92:I102" si="5">G92*H92</f>
        <v>638</v>
      </c>
      <c r="J92" s="94"/>
    </row>
    <row r="93" ht="20.25" spans="1:13">
      <c r="A93" s="90">
        <v>45157</v>
      </c>
      <c r="B93" s="91">
        <v>20</v>
      </c>
      <c r="C93" t="s">
        <v>212</v>
      </c>
      <c r="D93" s="92" t="s">
        <v>213</v>
      </c>
      <c r="E93" s="93">
        <v>1</v>
      </c>
      <c r="F93" s="93">
        <v>20</v>
      </c>
      <c r="G93" s="93">
        <f t="shared" si="4"/>
        <v>20</v>
      </c>
      <c r="H93" s="93">
        <v>17.5</v>
      </c>
      <c r="I93" s="93">
        <f t="shared" si="5"/>
        <v>350</v>
      </c>
      <c r="J93" s="94"/>
    </row>
    <row r="94" s="16" customFormat="1" ht="20.25" spans="1:13">
      <c r="A94" s="95">
        <v>45189</v>
      </c>
      <c r="B94" s="96">
        <v>61</v>
      </c>
      <c r="C94" s="16" t="s">
        <v>14</v>
      </c>
      <c r="D94" s="97" t="s">
        <v>15</v>
      </c>
      <c r="E94" s="98">
        <v>5</v>
      </c>
      <c r="F94" s="98">
        <v>28</v>
      </c>
      <c r="G94" s="98">
        <f t="shared" si="4"/>
        <v>140</v>
      </c>
      <c r="H94" s="98">
        <v>10</v>
      </c>
      <c r="I94" s="98">
        <f t="shared" si="5"/>
        <v>1400</v>
      </c>
      <c r="J94" s="99" t="s">
        <v>16</v>
      </c>
    </row>
    <row r="95" s="17" customFormat="1" ht="20.25" spans="1:13">
      <c r="A95" s="90">
        <v>45197</v>
      </c>
      <c r="B95" s="91">
        <v>84</v>
      </c>
      <c r="C95" s="17" t="s">
        <v>17</v>
      </c>
      <c r="D95" s="100" t="s">
        <v>18</v>
      </c>
      <c r="E95" s="93">
        <v>1</v>
      </c>
      <c r="F95" s="93">
        <v>25</v>
      </c>
      <c r="G95" s="93">
        <f t="shared" si="4"/>
        <v>25</v>
      </c>
      <c r="H95" s="93">
        <v>20</v>
      </c>
      <c r="I95" s="93">
        <f t="shared" si="5"/>
        <v>500</v>
      </c>
      <c r="J95" s="94"/>
    </row>
    <row r="96" s="17" customFormat="1" ht="20.25" spans="1:13">
      <c r="A96" s="90">
        <v>45197</v>
      </c>
      <c r="B96" s="91">
        <v>84</v>
      </c>
      <c r="C96" s="17" t="s">
        <v>17</v>
      </c>
      <c r="D96" s="100" t="s">
        <v>18</v>
      </c>
      <c r="E96" s="93">
        <v>1</v>
      </c>
      <c r="F96" s="93">
        <v>26</v>
      </c>
      <c r="G96" s="93">
        <f t="shared" si="4"/>
        <v>26</v>
      </c>
      <c r="H96" s="93">
        <v>20</v>
      </c>
      <c r="I96" s="93">
        <f t="shared" si="5"/>
        <v>520</v>
      </c>
      <c r="J96" s="94"/>
    </row>
    <row r="97" s="17" customFormat="1" ht="20.25" spans="1:16">
      <c r="A97" s="90">
        <v>45197</v>
      </c>
      <c r="B97" s="91">
        <v>84</v>
      </c>
      <c r="C97" s="17" t="s">
        <v>12</v>
      </c>
      <c r="D97" s="101" t="s">
        <v>13</v>
      </c>
      <c r="E97" s="93">
        <v>3</v>
      </c>
      <c r="F97" s="93">
        <v>10</v>
      </c>
      <c r="G97" s="93">
        <f t="shared" si="4"/>
        <v>30</v>
      </c>
      <c r="H97" s="93">
        <v>20</v>
      </c>
      <c r="I97" s="93">
        <f t="shared" si="5"/>
        <v>600</v>
      </c>
      <c r="J97" s="94"/>
    </row>
    <row r="98" s="16" customFormat="1" ht="20.25" spans="1:16">
      <c r="A98" s="95">
        <v>45206</v>
      </c>
      <c r="B98" s="96">
        <v>10</v>
      </c>
      <c r="C98" s="16" t="s">
        <v>14</v>
      </c>
      <c r="D98" s="97" t="s">
        <v>15</v>
      </c>
      <c r="E98" s="98">
        <v>5</v>
      </c>
      <c r="F98" s="98">
        <v>28</v>
      </c>
      <c r="G98" s="98">
        <f t="shared" si="4"/>
        <v>140</v>
      </c>
      <c r="H98" s="98">
        <v>10</v>
      </c>
      <c r="I98" s="98">
        <f t="shared" si="5"/>
        <v>1400</v>
      </c>
      <c r="J98" s="99" t="s">
        <v>16</v>
      </c>
    </row>
    <row r="99" s="16" customFormat="1" ht="20.25" spans="1:16">
      <c r="A99" s="95">
        <v>45206</v>
      </c>
      <c r="B99" s="96">
        <v>10</v>
      </c>
      <c r="C99" s="16" t="s">
        <v>17</v>
      </c>
      <c r="D99" s="102" t="s">
        <v>18</v>
      </c>
      <c r="E99" s="98">
        <v>4</v>
      </c>
      <c r="F99" s="98">
        <v>25</v>
      </c>
      <c r="G99" s="98">
        <f t="shared" si="4"/>
        <v>100</v>
      </c>
      <c r="H99" s="98">
        <v>20</v>
      </c>
      <c r="I99" s="98">
        <f t="shared" si="5"/>
        <v>2000</v>
      </c>
      <c r="J99" s="99"/>
    </row>
    <row r="100" s="16" customFormat="1" ht="20.25" spans="1:16">
      <c r="A100" s="95">
        <v>45206</v>
      </c>
      <c r="B100" s="96">
        <v>10</v>
      </c>
      <c r="C100" s="16" t="s">
        <v>17</v>
      </c>
      <c r="D100" s="102" t="s">
        <v>18</v>
      </c>
      <c r="E100" s="98">
        <v>1</v>
      </c>
      <c r="F100" s="98">
        <v>26</v>
      </c>
      <c r="G100" s="98">
        <f t="shared" si="4"/>
        <v>26</v>
      </c>
      <c r="H100" s="98">
        <v>20</v>
      </c>
      <c r="I100" s="98">
        <f t="shared" si="5"/>
        <v>520</v>
      </c>
      <c r="J100" s="99"/>
    </row>
    <row r="101" s="16" customFormat="1" ht="20.25" spans="1:16">
      <c r="A101" s="95">
        <v>45206</v>
      </c>
      <c r="B101" s="96">
        <v>10</v>
      </c>
      <c r="C101" s="16" t="s">
        <v>12</v>
      </c>
      <c r="D101" s="103" t="s">
        <v>13</v>
      </c>
      <c r="E101" s="98">
        <v>6</v>
      </c>
      <c r="F101" s="98">
        <v>10</v>
      </c>
      <c r="G101" s="98">
        <f t="shared" si="4"/>
        <v>60</v>
      </c>
      <c r="H101" s="98">
        <v>20</v>
      </c>
      <c r="I101" s="98">
        <f t="shared" si="5"/>
        <v>1200</v>
      </c>
      <c r="J101" s="99"/>
    </row>
    <row r="102" ht="20.25" spans="1:16">
      <c r="A102" s="90">
        <v>45212</v>
      </c>
      <c r="B102" s="91">
        <v>30</v>
      </c>
      <c r="C102" t="s">
        <v>14</v>
      </c>
      <c r="D102" s="92" t="s">
        <v>15</v>
      </c>
      <c r="E102" s="93">
        <v>5</v>
      </c>
      <c r="F102" s="93">
        <v>28</v>
      </c>
      <c r="G102" s="93">
        <f t="shared" si="4"/>
        <v>140</v>
      </c>
      <c r="H102" s="93">
        <v>10</v>
      </c>
      <c r="I102" s="93">
        <f t="shared" si="5"/>
        <v>1400</v>
      </c>
      <c r="J102" s="94">
        <v>9803</v>
      </c>
    </row>
    <row r="107" ht="20.25" spans="1:16">
      <c r="P107" s="93"/>
    </row>
    <row r="108" ht="20.25" spans="1:16">
      <c r="P108" s="93"/>
    </row>
    <row r="109" ht="20.25" spans="1:16">
      <c r="P109" s="98"/>
    </row>
    <row r="110" ht="20.25" spans="1:16">
      <c r="P110" s="93"/>
    </row>
    <row r="111" ht="20.25" spans="1:16">
      <c r="P111" s="93"/>
    </row>
    <row r="112" ht="20.25" spans="1:16">
      <c r="P112" s="93"/>
    </row>
    <row r="113" ht="20.25" spans="16:16">
      <c r="P113" s="98"/>
    </row>
    <row r="114" ht="20.25" spans="16:16">
      <c r="P114" s="98"/>
    </row>
    <row r="115" ht="20.25" spans="16:16">
      <c r="P115" s="98"/>
    </row>
    <row r="116" ht="20.25" spans="16:16">
      <c r="P116" s="98"/>
    </row>
    <row r="117" ht="20.25" spans="16:16">
      <c r="P117" s="93"/>
    </row>
  </sheetData>
  <pageMargins left="0.75" right="0.75" top="1" bottom="1" header="0.5" footer="0.5"/>
  <pageSetup paperSize="9" orientation="portrait" horizontalDpi="180" verticalDpi="18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38"/>
  <sheetViews>
    <sheetView workbookViewId="0">
      <selection activeCell="L9" sqref="L9"/>
    </sheetView>
  </sheetViews>
  <sheetFormatPr defaultColWidth="9" defaultRowHeight="14.25" outlineLevelCol="4"/>
  <cols>
    <col min="1" max="1" width="16.625" style="2" customWidth="1"/>
    <col min="2" max="2" width="25.5" customWidth="1"/>
    <col min="3" max="3" width="14.875" customWidth="1"/>
    <col min="4" max="5" width="13.625" customWidth="1"/>
  </cols>
  <sheetData>
    <row r="1" s="1" customFormat="1" ht="32" customHeight="1" spans="1:5">
      <c r="A1" s="3" t="s">
        <v>214</v>
      </c>
      <c r="B1" s="3"/>
      <c r="C1" s="3"/>
      <c r="D1" s="3"/>
      <c r="E1" s="3"/>
    </row>
    <row r="2" s="1" customFormat="1" ht="25" customHeight="1" spans="1:5">
      <c r="A2" s="4" t="s">
        <v>215</v>
      </c>
      <c r="B2" s="5" t="s">
        <v>216</v>
      </c>
      <c r="C2" s="5" t="s">
        <v>217</v>
      </c>
      <c r="D2" s="5" t="s">
        <v>218</v>
      </c>
      <c r="E2" s="5" t="s">
        <v>10</v>
      </c>
    </row>
    <row r="3" s="1" customFormat="1" ht="25" customHeight="1" spans="1:5">
      <c r="A3" s="4" t="s">
        <v>14</v>
      </c>
      <c r="B3" s="6" t="s">
        <v>15</v>
      </c>
      <c r="C3" s="7" t="s">
        <v>219</v>
      </c>
      <c r="D3" s="8">
        <v>9</v>
      </c>
      <c r="E3" s="8"/>
    </row>
    <row r="4" s="1" customFormat="1" ht="25" customHeight="1" spans="1:5">
      <c r="A4" s="4" t="s">
        <v>22</v>
      </c>
      <c r="B4" s="6" t="s">
        <v>23</v>
      </c>
      <c r="C4" s="7">
        <v>25</v>
      </c>
      <c r="D4" s="8">
        <v>12</v>
      </c>
      <c r="E4" s="8"/>
    </row>
    <row r="5" s="1" customFormat="1" ht="25" customHeight="1" spans="1:5">
      <c r="A5" s="4" t="s">
        <v>205</v>
      </c>
      <c r="B5" s="6" t="s">
        <v>206</v>
      </c>
      <c r="C5" s="7">
        <v>25</v>
      </c>
      <c r="D5" s="8">
        <v>13.5</v>
      </c>
      <c r="E5" s="8"/>
    </row>
    <row r="6" s="1" customFormat="1" ht="25" customHeight="1" spans="1:5">
      <c r="A6" s="4" t="s">
        <v>40</v>
      </c>
      <c r="B6" s="6" t="s">
        <v>220</v>
      </c>
      <c r="C6" s="7">
        <v>25</v>
      </c>
      <c r="D6" s="8">
        <v>13</v>
      </c>
      <c r="E6" s="8"/>
    </row>
    <row r="7" s="1" customFormat="1" ht="25" customHeight="1" spans="1:5">
      <c r="A7" s="4" t="s">
        <v>221</v>
      </c>
      <c r="B7" s="6" t="s">
        <v>222</v>
      </c>
      <c r="C7" s="7">
        <v>25</v>
      </c>
      <c r="D7" s="8">
        <v>12</v>
      </c>
      <c r="E7" s="8"/>
    </row>
    <row r="8" s="1" customFormat="1" ht="25" customHeight="1" spans="1:5">
      <c r="A8" s="4" t="s">
        <v>212</v>
      </c>
      <c r="B8" s="6" t="s">
        <v>213</v>
      </c>
      <c r="C8" s="7">
        <v>20</v>
      </c>
      <c r="D8" s="8">
        <v>15.5</v>
      </c>
      <c r="E8" s="8"/>
    </row>
    <row r="9" s="1" customFormat="1" ht="25" customHeight="1" spans="1:5">
      <c r="A9" s="4" t="s">
        <v>78</v>
      </c>
      <c r="B9" s="6" t="s">
        <v>79</v>
      </c>
      <c r="C9" s="7">
        <v>20</v>
      </c>
      <c r="D9" s="8">
        <v>17</v>
      </c>
      <c r="E9" s="8"/>
    </row>
    <row r="10" s="1" customFormat="1" ht="25" customHeight="1" spans="1:5">
      <c r="A10" s="4"/>
      <c r="B10" s="6" t="s">
        <v>223</v>
      </c>
      <c r="C10" s="7">
        <v>20</v>
      </c>
      <c r="D10" s="8">
        <v>18</v>
      </c>
      <c r="E10" s="8"/>
    </row>
    <row r="11" s="1" customFormat="1" ht="25" customHeight="1" spans="1:5">
      <c r="A11" s="4"/>
      <c r="B11" s="6" t="s">
        <v>224</v>
      </c>
      <c r="C11" s="7">
        <v>25</v>
      </c>
      <c r="D11" s="8">
        <v>18.5</v>
      </c>
      <c r="E11" s="8"/>
    </row>
    <row r="12" s="1" customFormat="1" ht="25" customHeight="1" spans="1:5">
      <c r="A12" s="4"/>
      <c r="B12" s="6" t="s">
        <v>225</v>
      </c>
      <c r="C12" s="7">
        <v>10</v>
      </c>
      <c r="D12" s="8">
        <v>18.5</v>
      </c>
      <c r="E12" s="8"/>
    </row>
    <row r="13" s="1" customFormat="1" ht="25" customHeight="1" spans="1:5">
      <c r="A13" s="9" t="s">
        <v>226</v>
      </c>
      <c r="B13" s="10" t="s">
        <v>66</v>
      </c>
      <c r="C13" s="11">
        <v>20</v>
      </c>
      <c r="D13" s="12">
        <v>19.5</v>
      </c>
      <c r="E13" s="8"/>
    </row>
    <row r="14" s="1" customFormat="1" ht="25" customHeight="1" spans="1:5">
      <c r="A14" s="4"/>
      <c r="B14" s="6" t="s">
        <v>227</v>
      </c>
      <c r="C14" s="7">
        <v>20</v>
      </c>
      <c r="D14" s="8">
        <v>22</v>
      </c>
      <c r="E14" s="8"/>
    </row>
    <row r="15" s="1" customFormat="1" ht="25" customHeight="1" spans="1:5">
      <c r="A15" s="4"/>
      <c r="B15" s="6" t="s">
        <v>228</v>
      </c>
      <c r="C15" s="7">
        <v>20</v>
      </c>
      <c r="D15" s="8">
        <v>24</v>
      </c>
      <c r="E15" s="8"/>
    </row>
    <row r="16" s="1" customFormat="1" ht="25" customHeight="1" spans="1:5">
      <c r="A16" s="4" t="s">
        <v>36</v>
      </c>
      <c r="B16" s="6" t="s">
        <v>229</v>
      </c>
      <c r="C16" s="7">
        <v>180</v>
      </c>
      <c r="D16" s="8">
        <v>6</v>
      </c>
      <c r="E16" s="8"/>
    </row>
    <row r="17" s="1" customFormat="1" ht="25" customHeight="1" spans="1:5">
      <c r="A17" s="4" t="s">
        <v>230</v>
      </c>
      <c r="B17" s="6" t="s">
        <v>231</v>
      </c>
      <c r="C17" s="7">
        <v>180</v>
      </c>
      <c r="D17" s="8">
        <v>7</v>
      </c>
      <c r="E17" s="8"/>
    </row>
    <row r="18" s="1" customFormat="1" ht="25" customHeight="1" spans="1:5">
      <c r="A18" s="4" t="s">
        <v>100</v>
      </c>
      <c r="B18" s="6" t="s">
        <v>101</v>
      </c>
      <c r="C18" s="7">
        <v>180</v>
      </c>
      <c r="D18" s="8">
        <v>9.5</v>
      </c>
      <c r="E18" s="8"/>
    </row>
    <row r="19" s="1" customFormat="1" ht="25" customHeight="1" spans="1:5">
      <c r="A19" s="4"/>
      <c r="B19" s="6"/>
      <c r="C19" s="6"/>
      <c r="D19" s="6"/>
      <c r="E19" s="6"/>
    </row>
    <row r="20" s="1" customFormat="1" ht="25" customHeight="1" spans="1:5">
      <c r="A20" s="13"/>
      <c r="B20" s="14"/>
      <c r="C20" s="14"/>
      <c r="D20" s="14"/>
      <c r="E20" s="14"/>
    </row>
    <row r="21" s="1" customFormat="1" ht="25" customHeight="1" spans="1:5">
      <c r="A21" s="13"/>
      <c r="B21" s="14"/>
      <c r="C21" s="14"/>
      <c r="D21" s="14"/>
      <c r="E21" s="14"/>
    </row>
    <row r="22" s="1" customFormat="1" ht="25" customHeight="1" spans="1:5">
      <c r="A22" s="13"/>
      <c r="B22" s="14"/>
      <c r="C22" s="14"/>
      <c r="D22" s="14"/>
      <c r="E22" s="14"/>
    </row>
    <row r="24" ht="22.5" spans="1:5">
      <c r="A24" s="3" t="s">
        <v>232</v>
      </c>
      <c r="B24" s="3"/>
      <c r="C24" s="3"/>
      <c r="D24" s="3"/>
      <c r="E24" s="3"/>
    </row>
    <row r="25" ht="18.75" spans="1:5">
      <c r="A25" s="4" t="s">
        <v>215</v>
      </c>
      <c r="B25" s="5" t="s">
        <v>216</v>
      </c>
      <c r="C25" s="5" t="s">
        <v>217</v>
      </c>
      <c r="D25" s="5" t="s">
        <v>218</v>
      </c>
      <c r="E25" s="5" t="s">
        <v>10</v>
      </c>
    </row>
    <row r="26" ht="18.75" spans="1:5">
      <c r="A26" s="4" t="s">
        <v>14</v>
      </c>
      <c r="B26" s="6" t="s">
        <v>15</v>
      </c>
      <c r="C26" s="7" t="s">
        <v>219</v>
      </c>
      <c r="D26" s="8">
        <v>9.5</v>
      </c>
      <c r="E26" s="8"/>
    </row>
    <row r="27" ht="18.75" spans="1:5">
      <c r="A27" s="4" t="s">
        <v>22</v>
      </c>
      <c r="B27" s="6" t="s">
        <v>23</v>
      </c>
      <c r="C27" s="7">
        <v>25</v>
      </c>
      <c r="D27" s="8">
        <v>12.5</v>
      </c>
      <c r="E27" s="8"/>
    </row>
    <row r="28" ht="18.75" spans="1:5">
      <c r="A28" s="4" t="s">
        <v>205</v>
      </c>
      <c r="B28" s="6" t="s">
        <v>206</v>
      </c>
      <c r="C28" s="7">
        <v>25</v>
      </c>
      <c r="D28" s="8">
        <v>14.5</v>
      </c>
      <c r="E28" s="8"/>
    </row>
    <row r="29" ht="18.75" spans="1:5">
      <c r="A29" s="4" t="s">
        <v>40</v>
      </c>
      <c r="B29" s="6" t="s">
        <v>220</v>
      </c>
      <c r="C29" s="7">
        <v>25</v>
      </c>
      <c r="D29" s="8">
        <v>14</v>
      </c>
      <c r="E29" s="8"/>
    </row>
    <row r="30" ht="18.75" spans="1:5">
      <c r="A30" s="4" t="s">
        <v>221</v>
      </c>
      <c r="B30" s="6" t="s">
        <v>222</v>
      </c>
      <c r="C30" s="7">
        <v>25</v>
      </c>
      <c r="D30" s="8">
        <v>12</v>
      </c>
      <c r="E30" s="8"/>
    </row>
    <row r="31" ht="18.75" spans="1:5">
      <c r="A31" s="4" t="s">
        <v>212</v>
      </c>
      <c r="B31" s="6" t="s">
        <v>213</v>
      </c>
      <c r="C31" s="7">
        <v>20</v>
      </c>
      <c r="D31" s="8">
        <v>15.5</v>
      </c>
      <c r="E31" s="8"/>
    </row>
    <row r="32" ht="18.75" spans="1:5">
      <c r="A32" s="4" t="s">
        <v>78</v>
      </c>
      <c r="B32" s="6" t="s">
        <v>79</v>
      </c>
      <c r="C32" s="7">
        <v>20</v>
      </c>
      <c r="D32" s="8">
        <v>17</v>
      </c>
      <c r="E32" s="8"/>
    </row>
    <row r="33" ht="18.75" spans="1:5">
      <c r="A33" s="4"/>
      <c r="B33" s="6" t="s">
        <v>233</v>
      </c>
      <c r="C33" s="7">
        <v>25</v>
      </c>
      <c r="D33" s="8">
        <v>19</v>
      </c>
      <c r="E33" s="8"/>
    </row>
    <row r="34" ht="18.75" spans="1:5">
      <c r="A34" s="4"/>
      <c r="B34" s="6" t="s">
        <v>225</v>
      </c>
      <c r="C34" s="7">
        <v>10</v>
      </c>
      <c r="D34" s="8">
        <v>19</v>
      </c>
      <c r="E34" s="8"/>
    </row>
    <row r="35" ht="18.75" spans="1:5">
      <c r="A35" s="4" t="s">
        <v>36</v>
      </c>
      <c r="B35" s="6" t="s">
        <v>229</v>
      </c>
      <c r="C35" s="7">
        <v>180</v>
      </c>
      <c r="D35" s="8">
        <v>6</v>
      </c>
      <c r="E35" s="8"/>
    </row>
    <row r="36" ht="18.75" spans="1:5">
      <c r="A36" s="4" t="s">
        <v>230</v>
      </c>
      <c r="B36" s="6" t="s">
        <v>231</v>
      </c>
      <c r="C36" s="7">
        <v>180</v>
      </c>
      <c r="D36" s="8">
        <v>7</v>
      </c>
      <c r="E36" s="8"/>
    </row>
    <row r="37" ht="18.75" spans="1:5">
      <c r="A37" s="4" t="s">
        <v>234</v>
      </c>
      <c r="B37" s="6" t="s">
        <v>101</v>
      </c>
      <c r="C37" s="7">
        <v>180</v>
      </c>
      <c r="D37" s="8">
        <v>9.5</v>
      </c>
      <c r="E37" s="8"/>
    </row>
    <row r="38" ht="18.75" spans="1:5">
      <c r="A38" s="4"/>
      <c r="B38" s="6"/>
      <c r="C38" s="6"/>
      <c r="D38" s="6"/>
      <c r="E38" s="6"/>
    </row>
  </sheetData>
  <mergeCells count="2">
    <mergeCell ref="A1:E1"/>
    <mergeCell ref="A24:E24"/>
  </mergeCells>
  <pageMargins left="0.751388888888889" right="0.751388888888889" top="1" bottom="1" header="0.5" footer="0.5"/>
  <pageSetup paperSize="9" scale="96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出货</vt:lpstr>
      <vt:lpstr>25年</vt:lpstr>
      <vt:lpstr>宗南</vt:lpstr>
      <vt:lpstr>出货记录</vt:lpstr>
      <vt:lpstr>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2022-07-02T10:12:00Z</cp:lastPrinted>
  <dcterms:modified xsi:type="dcterms:W3CDTF">2026-01-20T04:04:46Z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11DB314E352943178AF8209E98720188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