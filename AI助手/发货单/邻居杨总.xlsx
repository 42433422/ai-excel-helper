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 firstSheet="1" activeTab="5"/>
  </bookViews>
  <sheets>
    <sheet name="杨总提货明细" sheetId="11" r:id="rId1"/>
    <sheet name="邻居" sheetId="1" r:id="rId2"/>
    <sheet name="回款明细" sheetId="10" state="hidden" r:id="rId3"/>
    <sheet name="出货" sheetId="8" state="hidden" r:id="rId4"/>
    <sheet name="25出" sheetId="12" r:id="rId5"/>
    <sheet name="25回款" sheetId="13" r:id="rId6"/>
    <sheet name="108C明细" sheetId="20" r:id="rId7"/>
    <sheet name="月底明细转发" sheetId="17" r:id="rId8"/>
    <sheet name="贾 杨 李" sheetId="14" state="hidden" r:id="rId9"/>
    <sheet name="2出货" sheetId="15" state="hidden" r:id="rId10"/>
    <sheet name="三人账目" sheetId="19" state="hidden" r:id="rId11"/>
    <sheet name="贾杨材料" sheetId="18" state="hidden" r:id="rId12"/>
    <sheet name="李总材料" sheetId="16" state="hidden" r:id="rId13"/>
  </sheets>
  <definedNames>
    <definedName name="_xlnm._FilterDatabase" localSheetId="0" hidden="1">杨总提货明细!$A$2:$J$72</definedName>
    <definedName name="_xlnm._FilterDatabase" localSheetId="2" hidden="1">回款明细!$A$91:$L$122</definedName>
    <definedName name="_xlnm._FilterDatabase" localSheetId="3" hidden="1">出货!$A$2:$Q$523</definedName>
    <definedName name="_xlnm._FilterDatabase" localSheetId="4" hidden="1">'25出'!$A$3:$P$888</definedName>
    <definedName name="_xlnm._FilterDatabase" localSheetId="9" hidden="1">'2出货'!$A$3:$X$162</definedName>
    <definedName name="_xlnm.Print_Area" localSheetId="1">邻居!$A$1:$J$16</definedName>
    <definedName name="_xlnm.Print_Area" localSheetId="2">回款明细!$A$1:$G$16</definedName>
    <definedName name="_xlnm.Print_Area" localSheetId="0">杨总提货明细!$A$1:$G$52</definedName>
    <definedName name="_xlnm.Print_Area" localSheetId="8">'贾 杨 李'!$A$1:$J$20</definedName>
    <definedName name="_xlnm.Print_Area" localSheetId="5">'25回款'!$A$1:$G$33</definedName>
    <definedName name="_xlnm.Print_Area" localSheetId="12">李总材料!$A$1:$G$20</definedName>
    <definedName name="_xlnm.Print_Area" localSheetId="11">贾杨材料!$A$1:$K$34</definedName>
    <definedName name="_xlnm.Print_Area" localSheetId="10">三人账目!$A$1:$I$15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<sst xmlns="http://schemas.openxmlformats.org/spreadsheetml/2006/main" count="4654" uniqueCount="1254">
  <si>
    <t>8月10日起杨总提货明细</t>
  </si>
  <si>
    <t>日期</t>
  </si>
  <si>
    <t>名称</t>
  </si>
  <si>
    <t>规格/KG</t>
  </si>
  <si>
    <t>件数/桶</t>
  </si>
  <si>
    <t>数量/KG</t>
  </si>
  <si>
    <t>经手人</t>
  </si>
  <si>
    <t>备注</t>
  </si>
  <si>
    <t>白色哑光氟硅磁漆</t>
  </si>
  <si>
    <t>9/8日订单已提</t>
  </si>
  <si>
    <t>丙聚稀释剂</t>
  </si>
  <si>
    <t>小白</t>
  </si>
  <si>
    <t>12/8订单已提</t>
  </si>
  <si>
    <t>13/8订单已提</t>
  </si>
  <si>
    <t>丙聚固化剂</t>
  </si>
  <si>
    <t>聚氨酯稀料（7024配套的）</t>
  </si>
  <si>
    <t>14/8日订单稀料已提</t>
  </si>
  <si>
    <t>7024亮光深灰色漆</t>
  </si>
  <si>
    <t>14/8日订单已（含15/8又配稀料75KG)</t>
  </si>
  <si>
    <t>白色划线漆</t>
  </si>
  <si>
    <t>李总带</t>
  </si>
  <si>
    <t>17/8订单已提</t>
  </si>
  <si>
    <t>贺超</t>
  </si>
  <si>
    <t>21/8订单已发货（发自贡）</t>
  </si>
  <si>
    <t>N6.75浅灰丙聚</t>
  </si>
  <si>
    <t>15/8的订单：还余稀料18*4桶；N4.25深灰丙聚还剩:9桶*22KG</t>
  </si>
  <si>
    <t>24/8订单：10桶-2桶=8桶（5/9已提）</t>
  </si>
  <si>
    <t>15/8订单余货：稀料4桶-2桶=2桶，N4.25:9桶-2桶=7桶</t>
  </si>
  <si>
    <t>N4.25深灰丙聚</t>
  </si>
  <si>
    <t>24/8订单：4桶-1桶=3桶</t>
  </si>
  <si>
    <t>24/8订单稀料：5桶+15/8:2桶=7桶</t>
  </si>
  <si>
    <t>广安武胜：GB-浅蓝色</t>
  </si>
  <si>
    <t>26/8订单已发货武胜</t>
  </si>
  <si>
    <t>26/8日下午已对账小白已签字</t>
  </si>
  <si>
    <t>5/9上午提货</t>
  </si>
  <si>
    <t>3/9订单已提完：10桶+1桶：15/8</t>
  </si>
  <si>
    <t>:24/8订单N6.75余货：8-1=7桶</t>
  </si>
  <si>
    <t>固化剂</t>
  </si>
  <si>
    <t>5/9下午提货（24/8订单余：3桶-2桶=1桶）</t>
  </si>
  <si>
    <t>3/9订单N4.25余货：10桶+7桶（15/8）=17桶</t>
  </si>
  <si>
    <t>杨总</t>
  </si>
  <si>
    <t>5/9下午提:8桶（5/9订单）</t>
  </si>
  <si>
    <t>5/9提货小白已确认签字</t>
  </si>
  <si>
    <t>3/9订单已提完：10桶</t>
  </si>
  <si>
    <t>15/8订单N4.25余货：7桶</t>
  </si>
  <si>
    <t>6/9提货后余：6桶（24/8:5桶+2桶：15/8-1桶：6/9提）</t>
  </si>
  <si>
    <r>
      <rPr>
        <b/>
        <sz val="10"/>
        <rFont val="宋体"/>
        <charset val="134"/>
      </rPr>
      <t>6/9提货24/8日订单余货1桶+6/9订单：1桶（</t>
    </r>
    <r>
      <rPr>
        <b/>
        <sz val="10"/>
        <color rgb="FFFF0000"/>
        <rFont val="宋体"/>
        <charset val="134"/>
      </rPr>
      <t>无固化剂库存）</t>
    </r>
  </si>
  <si>
    <r>
      <rPr>
        <b/>
        <sz val="10"/>
        <rFont val="宋体"/>
        <charset val="134"/>
      </rPr>
      <t>6/9订单:3桶+24/8订单稀料：5桶+15/8:1桶=9桶</t>
    </r>
    <r>
      <rPr>
        <b/>
        <sz val="10"/>
        <color rgb="FFFF0000"/>
        <rFont val="宋体"/>
        <charset val="134"/>
      </rPr>
      <t>(无稀料库存）</t>
    </r>
  </si>
  <si>
    <t>6/9小白中午提货已确认签字{稀料小白签字9桶（含杨总的8桶）+1桶杨总下午多提=10桶已电话确认}</t>
  </si>
  <si>
    <t>河南发货RAL3000</t>
  </si>
  <si>
    <t>河南发货</t>
  </si>
  <si>
    <t>7/9订单无库存</t>
  </si>
  <si>
    <t>李总</t>
  </si>
  <si>
    <r>
      <rPr>
        <b/>
        <sz val="10"/>
        <color rgb="FF00B0F0"/>
        <rFont val="宋体"/>
        <charset val="134"/>
      </rPr>
      <t>10/9订单6桶-5桶：</t>
    </r>
    <r>
      <rPr>
        <b/>
        <sz val="10"/>
        <color rgb="FFFF0000"/>
        <rFont val="宋体"/>
        <charset val="134"/>
      </rPr>
      <t>12/9提=1桶于13/9已提</t>
    </r>
  </si>
  <si>
    <r>
      <rPr>
        <b/>
        <sz val="10"/>
        <color rgb="FF00B0F0"/>
        <rFont val="宋体"/>
        <charset val="134"/>
      </rPr>
      <t>10/9订单于12/9已提</t>
    </r>
    <r>
      <rPr>
        <b/>
        <sz val="10"/>
        <color rgb="FFFF0000"/>
        <rFont val="宋体"/>
        <charset val="134"/>
      </rPr>
      <t>无库存</t>
    </r>
  </si>
  <si>
    <t>15/8订单余货7桶-4桶=3桶</t>
  </si>
  <si>
    <t>24/8订单余货7桶-4桶=3桶</t>
  </si>
  <si>
    <t>截止12/9下午提货后所有订单余货=200-193=7桶</t>
  </si>
  <si>
    <t>货拉拉</t>
  </si>
  <si>
    <t>15/8订单余货7桶-4桶=3桶-2桶：13/9=1桶（库存）</t>
  </si>
  <si>
    <t>24/8订单余货7桶-4桶=3桶-2桶：13/9=1桶（库存）</t>
  </si>
  <si>
    <t>13/9订单4桶+1桶：10/9=5桶已提（无库存）</t>
  </si>
  <si>
    <t>7024灰磁漆（温江货）</t>
  </si>
  <si>
    <t>21/9订单已提无库存</t>
  </si>
  <si>
    <t>醇酸稀料（河南退回）</t>
  </si>
  <si>
    <t>白丙聚</t>
  </si>
  <si>
    <t>25/9订单已提无库存（27/9早上提货）</t>
  </si>
  <si>
    <t>丙聚稀释剂（工地退货）</t>
  </si>
  <si>
    <t>工地退回的(N6.75、N4.25）丙聚稀料</t>
  </si>
  <si>
    <t>CBCC色卡样1093黄色丙聚</t>
  </si>
  <si>
    <t>货拉拉：摩托</t>
  </si>
  <si>
    <t>27/9订单无库存：27/9下午提货</t>
  </si>
  <si>
    <t>CBCC色卡样10.6桔黄色丙聚</t>
  </si>
  <si>
    <t>6/10订单无库存：6/10提货</t>
  </si>
  <si>
    <t>业主：客户本人</t>
  </si>
  <si>
    <t>10/10订单已提货4桶（含拿回改色1093）+固化剂：4KG无库存</t>
  </si>
  <si>
    <t>10.6#丙聚（桔黄色）</t>
  </si>
  <si>
    <t>15/10订单已提无库存</t>
  </si>
  <si>
    <t>中黄丙聚</t>
  </si>
  <si>
    <t>小白经手有签字</t>
  </si>
  <si>
    <t>N6.75浅灰丙聚半桶</t>
  </si>
  <si>
    <t>0.5桶</t>
  </si>
  <si>
    <t>通用醇酸稀料</t>
  </si>
  <si>
    <t>丙酸稀料</t>
  </si>
  <si>
    <t>14/9统计库存</t>
  </si>
  <si>
    <t>小白21/10共提走5个桶（含半桶）</t>
  </si>
  <si>
    <t>N4.25深灰</t>
  </si>
  <si>
    <t>N6.75浅灰</t>
  </si>
  <si>
    <t>1桶半</t>
  </si>
  <si>
    <t>1桶半于21/10小白已提</t>
  </si>
  <si>
    <t>丙聚稀料</t>
  </si>
  <si>
    <t>27/9白丙聚配套用36KG</t>
  </si>
  <si>
    <t>21/10小白已提（半桶4KG）</t>
  </si>
  <si>
    <t>21/10小白已提17KG</t>
  </si>
  <si>
    <t>20/9拉回（河南货）</t>
  </si>
  <si>
    <t>RAL9018</t>
  </si>
  <si>
    <t>26/9国圣购20KG:老板经手已微转杨</t>
  </si>
  <si>
    <t>21/9做7024（温江）改</t>
  </si>
  <si>
    <t>醇酸稀料</t>
  </si>
  <si>
    <t>21/9配温江7024（温江）小白已提</t>
  </si>
  <si>
    <t>9月26前统计</t>
  </si>
  <si>
    <t>工地用材料</t>
  </si>
  <si>
    <t>38桶*22-42KG+20自备</t>
  </si>
  <si>
    <t>稀料配比%：</t>
  </si>
  <si>
    <t>44桶*24-48KG</t>
  </si>
  <si>
    <t>74桶*18</t>
  </si>
  <si>
    <t>1桶*16</t>
  </si>
  <si>
    <t>6桶*15-40KG</t>
  </si>
  <si>
    <t>20桶*20-10</t>
  </si>
  <si>
    <t>送货单</t>
  </si>
  <si>
    <t>购货单位（乙方）：杨总         联系人：杨总       日期：2026年01月10日          订单编号：26-010027A</t>
  </si>
  <si>
    <t xml:space="preserve"> 产 品 型 号</t>
  </si>
  <si>
    <t xml:space="preserve"> 产 品 名 称</t>
  </si>
  <si>
    <t>数量/件</t>
  </si>
  <si>
    <t>单价/元</t>
  </si>
  <si>
    <t>金额/元</t>
  </si>
  <si>
    <t>备  注</t>
  </si>
  <si>
    <t>66-2*</t>
  </si>
  <si>
    <t>邻居杨总货单从38号单开始已改标头</t>
  </si>
  <si>
    <t>108C：自备</t>
  </si>
  <si>
    <t>D-10</t>
  </si>
  <si>
    <t>1250目</t>
  </si>
  <si>
    <t>802A</t>
  </si>
  <si>
    <t>812+</t>
  </si>
  <si>
    <t>白浆：自备</t>
  </si>
  <si>
    <t>柠檬黄浆</t>
  </si>
  <si>
    <t>绿色浆</t>
  </si>
  <si>
    <t>透水浅绿加工费：</t>
  </si>
  <si>
    <t>另加包装桶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</si>
  <si>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</si>
  <si>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</si>
  <si>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</si>
  <si>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</si>
  <si>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</si>
  <si>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</si>
  <si>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</t>
  </si>
  <si>
    <t>销售负责人：         销售送货人：       销售制单人：        购货单位经手人：</t>
  </si>
  <si>
    <t>购货单位（乙方）：都江堰标牌厂  联系人：张总13982286848   日期：2025年05月13日   订单编号：25-050026A</t>
  </si>
  <si>
    <t>2025年元月杨总回款</t>
  </si>
  <si>
    <t xml:space="preserve"> 日 期 </t>
  </si>
  <si>
    <t xml:space="preserve"> 随机单号</t>
  </si>
  <si>
    <t>内容摘要</t>
  </si>
  <si>
    <t>应付款合计金额/元</t>
  </si>
  <si>
    <t>已付款合计金额/元</t>
  </si>
  <si>
    <t>下欠款合计金额/元</t>
  </si>
  <si>
    <t>小白提货只统计名称、件数和日期即可</t>
  </si>
  <si>
    <t>其余的均不得告知</t>
  </si>
  <si>
    <t>金额</t>
  </si>
  <si>
    <t>已付金额</t>
  </si>
  <si>
    <t>欠款结存金额/元</t>
  </si>
  <si>
    <t>25.1.7</t>
  </si>
  <si>
    <t>重庆美河梨树湾宝绿</t>
  </si>
  <si>
    <t>天运捷安物流</t>
  </si>
  <si>
    <t>重庆美河梨树湾艳蓝</t>
  </si>
  <si>
    <t>白色漆</t>
  </si>
  <si>
    <t>重庆美河梨树湾深灰</t>
  </si>
  <si>
    <t>25.1.14</t>
  </si>
  <si>
    <t>泸州铁红漆重庆美河合川</t>
  </si>
  <si>
    <t>25.1.15</t>
  </si>
  <si>
    <t>广安武胜GB-浅蓝色</t>
  </si>
  <si>
    <t>八佰里物流</t>
  </si>
  <si>
    <t>25.1.17</t>
  </si>
  <si>
    <t>凡是杨总提货、以及和小白账目均不得告知小白</t>
  </si>
  <si>
    <t>年前</t>
  </si>
  <si>
    <t>付款</t>
  </si>
  <si>
    <t>25.1.19</t>
  </si>
  <si>
    <t>泸州浅蓝</t>
  </si>
  <si>
    <t>49桶</t>
  </si>
  <si>
    <t>泸州铁红</t>
  </si>
  <si>
    <t>13桶</t>
  </si>
  <si>
    <t>25.2.18</t>
  </si>
  <si>
    <t>重庆白色</t>
  </si>
  <si>
    <t>10桶</t>
  </si>
  <si>
    <t>52桶</t>
  </si>
  <si>
    <t>重庆宝绿</t>
  </si>
  <si>
    <t>22桶</t>
  </si>
  <si>
    <t>重庆艳蓝</t>
  </si>
  <si>
    <t>11桶</t>
  </si>
  <si>
    <t>重庆米黄</t>
  </si>
  <si>
    <t>5桶</t>
  </si>
  <si>
    <t>重庆浅褐色</t>
  </si>
  <si>
    <t>4桶</t>
  </si>
  <si>
    <t>重庆退货39桶（宝绿23桶、艳蓝16桶）-29桶=10未改（8桶宝绿、2桶艳蓝）</t>
  </si>
  <si>
    <t>氟碳银珠、固化剂、稀料</t>
  </si>
  <si>
    <t>1桶、4KG、10KG稀料</t>
  </si>
  <si>
    <t>25.2.20</t>
  </si>
  <si>
    <t>28桶</t>
  </si>
  <si>
    <t>57桶</t>
  </si>
  <si>
    <t>25桶</t>
  </si>
  <si>
    <t>3月</t>
  </si>
  <si>
    <t>杨总微转</t>
  </si>
  <si>
    <t>2024年24.10-25.01月杨总回款</t>
  </si>
  <si>
    <t>9月</t>
  </si>
  <si>
    <t>9月未付尾款</t>
  </si>
  <si>
    <t>10.6#桔黄色丙聚</t>
  </si>
  <si>
    <t>10.6#桔黄色丙聚、固化剂、包装</t>
  </si>
  <si>
    <t>10.6#桔黄色、中黄丙聚、固化剂</t>
  </si>
  <si>
    <t>亮黑、亮大红、PU清底、固化剂、稀料</t>
  </si>
  <si>
    <t>GB-浅蓝配套稀料15KG,退黑面3.5KG</t>
  </si>
  <si>
    <t>氟碳香槟银珠漆定制（甲)</t>
  </si>
  <si>
    <t>氟碳香槟银珠固化剂、包装</t>
  </si>
  <si>
    <t>氟碳香槟银珠漆定制（甲)、固化剂、包装</t>
  </si>
  <si>
    <t>微转</t>
  </si>
  <si>
    <t>90号</t>
  </si>
  <si>
    <t>RAL6018绿、5015蓝丙聚</t>
  </si>
  <si>
    <t>2024年9月杨总回款</t>
  </si>
  <si>
    <t>8月</t>
  </si>
  <si>
    <t>8月未付尾款</t>
  </si>
  <si>
    <t>10桶*24KG</t>
  </si>
  <si>
    <t>10桶*22KG</t>
  </si>
  <si>
    <t>丙烯酸聚氨酯稀释剂</t>
  </si>
  <si>
    <t>8桶*18KG</t>
  </si>
  <si>
    <t>丙烯酸聚氨酯固化剂、稀释剂</t>
  </si>
  <si>
    <t>4桶（稀3桶*18+1桶*20：固）</t>
  </si>
  <si>
    <t>1桶*10KG</t>
  </si>
  <si>
    <t>9/9：河南货</t>
  </si>
  <si>
    <t>RAL3000定制红、RAL7024定制灰</t>
  </si>
  <si>
    <t>8桶*20KG</t>
  </si>
  <si>
    <t>RAL9018定制白磁漆</t>
  </si>
  <si>
    <t>24桶*20KG</t>
  </si>
  <si>
    <t>醇酸稀释剂</t>
  </si>
  <si>
    <t>20桶*17KG</t>
  </si>
  <si>
    <t>8桶（稀6桶*18+2桶*20：固）</t>
  </si>
  <si>
    <t>4桶*18KG</t>
  </si>
  <si>
    <t>面：5桶*23KG,稀料：2桶*17（河南退回）</t>
  </si>
  <si>
    <t>白色丙聚、固化剂</t>
  </si>
  <si>
    <t>双方同意尾数349抹账</t>
  </si>
  <si>
    <t>因69号单的成本过高，为此尾数须抹账349</t>
  </si>
  <si>
    <t>1093丙聚、固化剂</t>
  </si>
  <si>
    <t>100号</t>
  </si>
  <si>
    <t>0111、0114丙聚、固化剂、包装</t>
  </si>
  <si>
    <t>2024年8月杨总回款</t>
  </si>
  <si>
    <t>7月</t>
  </si>
  <si>
    <t>7月未付尾款</t>
  </si>
  <si>
    <t>21桶*24KG</t>
  </si>
  <si>
    <t>21桶*22KG</t>
  </si>
  <si>
    <t>丙烯酸聚氨酯稀释剂、固化剂</t>
  </si>
  <si>
    <t>稀：18桶*18KG+16KG*1+15KG*1(自备），+10*20固</t>
  </si>
  <si>
    <t>杨总微转李总</t>
  </si>
  <si>
    <t>6桶*24KG</t>
  </si>
  <si>
    <t>丙烯酸聚氨酯稀释剂固化剂、</t>
  </si>
  <si>
    <t>稀：10桶</t>
  </si>
  <si>
    <t>稀：10桶+固2桶</t>
  </si>
  <si>
    <t>7024亮光深灰色漆、稀释剂</t>
  </si>
  <si>
    <t>稀：10桶*15+7024:4*22桶</t>
  </si>
  <si>
    <t>7桶*24KG</t>
  </si>
  <si>
    <t>9桶*22KG</t>
  </si>
  <si>
    <t>稀：10桶+固1桶</t>
  </si>
  <si>
    <t>2桶*20KG</t>
  </si>
  <si>
    <t>白色划线漆：发自贡货</t>
  </si>
  <si>
    <t>20桶20KG</t>
  </si>
  <si>
    <t>丙聚稀释剂、固化剂</t>
  </si>
  <si>
    <t>稀：5桶+固4桶</t>
  </si>
  <si>
    <t>广安武胜GB-浅蓝色：发货</t>
  </si>
  <si>
    <t>40桶*18KG</t>
  </si>
  <si>
    <t>9月金额</t>
  </si>
  <si>
    <t>尾数抹账</t>
  </si>
  <si>
    <t>4桶（3桶*18+1桶*20）</t>
  </si>
  <si>
    <t>截止6/9（含18号单）：192桶-178桶（已提=14</t>
  </si>
  <si>
    <t>红3桶+5桶（灰）</t>
  </si>
  <si>
    <t>4桶（稀4桶*18）</t>
  </si>
  <si>
    <t>2024年6-7月杨总回款</t>
  </si>
  <si>
    <t>氟碳银珠定制</t>
  </si>
  <si>
    <t>深灰厚浆型聚氨酯磁漆</t>
  </si>
  <si>
    <t>聚氨酯固化剂、稀释剂</t>
  </si>
  <si>
    <t>水性系列</t>
  </si>
  <si>
    <t>稀料、固化剂</t>
  </si>
  <si>
    <t>中灰透水漆</t>
  </si>
  <si>
    <t>红、黄、黑、白、蓝划线漆</t>
  </si>
  <si>
    <t>通用稀料、清洗剂</t>
  </si>
  <si>
    <t>2024年5月杨总回款</t>
  </si>
  <si>
    <t>随机单号</t>
  </si>
  <si>
    <t>下欠款结存金额/元</t>
  </si>
  <si>
    <t>微转老板</t>
  </si>
  <si>
    <t>2024年4月杨总回款</t>
  </si>
  <si>
    <t>应付款金额合计/元</t>
  </si>
  <si>
    <t>已付款金额合计/元</t>
  </si>
  <si>
    <t>下欠款金额合计/元</t>
  </si>
  <si>
    <t>2024年3月杨总回款</t>
  </si>
  <si>
    <t>购货款总计</t>
  </si>
  <si>
    <t>已付款合计</t>
  </si>
  <si>
    <t>余款合计</t>
  </si>
  <si>
    <t>销售额</t>
  </si>
  <si>
    <t>余款</t>
  </si>
  <si>
    <t>老板经手：货单未交回</t>
  </si>
  <si>
    <t>实收25770</t>
  </si>
  <si>
    <t>2023年杨总回款</t>
  </si>
  <si>
    <t>77号单原单金额为640已调价后金额为580</t>
  </si>
  <si>
    <t>预支货款20000</t>
  </si>
  <si>
    <t>13/10日借965:90KG已减账</t>
  </si>
  <si>
    <t>2023年11月杨总回款</t>
  </si>
  <si>
    <t>邻居杨姐</t>
  </si>
  <si>
    <t>杨总：水性防锈漆</t>
  </si>
  <si>
    <t>杨总：广安武胜浅灰丙聚</t>
  </si>
  <si>
    <t>杨总：广安岳池浅灰丙聚</t>
  </si>
  <si>
    <t>邻居杨姐材料款</t>
  </si>
  <si>
    <t>杨总：广安武胜紫色2号</t>
  </si>
  <si>
    <t>杨总：：广安岳池中黄色</t>
  </si>
  <si>
    <t>杨总：广安岳池中黄色浆</t>
  </si>
  <si>
    <t>杨总：广安岳池浅灰丙聚固化剂</t>
  </si>
  <si>
    <t>实转40000</t>
  </si>
  <si>
    <t>24出货</t>
  </si>
  <si>
    <t>加工费</t>
  </si>
  <si>
    <t>金额合计</t>
  </si>
  <si>
    <t>单号</t>
  </si>
  <si>
    <t>产品型号</t>
  </si>
  <si>
    <t>产品名称</t>
  </si>
  <si>
    <t>9122树脂</t>
  </si>
  <si>
    <t>965树脂</t>
  </si>
  <si>
    <t>R369</t>
  </si>
  <si>
    <t>1250重钙</t>
  </si>
  <si>
    <t>二甲苯</t>
  </si>
  <si>
    <t>粗甲酯</t>
  </si>
  <si>
    <t>酞青蓝浆</t>
  </si>
  <si>
    <r>
      <rPr>
        <sz val="16"/>
        <color theme="9" tint="-0.25"/>
        <rFont val="宋体"/>
        <charset val="134"/>
      </rPr>
      <t>天蓝色漆：</t>
    </r>
    <r>
      <rPr>
        <sz val="10"/>
        <color theme="9" tint="-0.25"/>
        <rFont val="宋体"/>
        <charset val="134"/>
      </rPr>
      <t>（彩钢瓦用）</t>
    </r>
    <r>
      <rPr>
        <sz val="16"/>
        <color theme="9" tint="-0.25"/>
        <rFont val="宋体"/>
        <charset val="134"/>
      </rPr>
      <t>加工费</t>
    </r>
  </si>
  <si>
    <t>4桶*20KG</t>
  </si>
  <si>
    <t>另加包装20L</t>
  </si>
  <si>
    <t>稀料加工费</t>
  </si>
  <si>
    <t>甲缩醛</t>
  </si>
  <si>
    <t>7桶稀料:15KG*7桶</t>
  </si>
  <si>
    <t>实际60桶（61桶-1桶:已退回（因盖子漏）</t>
  </si>
  <si>
    <t>透水砼面层保护剂</t>
  </si>
  <si>
    <t>GB-浅蓝色</t>
  </si>
  <si>
    <t>白浆</t>
  </si>
  <si>
    <t>打商标：直接贴</t>
  </si>
  <si>
    <t>GB-浅蓝色漆：加工费</t>
  </si>
  <si>
    <t xml:space="preserve">61桶*18KG </t>
  </si>
  <si>
    <t>PU亮光白面漆</t>
  </si>
  <si>
    <t>GAA货</t>
  </si>
  <si>
    <t>PU亮光固化剂</t>
  </si>
  <si>
    <t>PU哑光黑面漆</t>
  </si>
  <si>
    <t>半哑的（3705：16KG+4KG色浆）</t>
  </si>
  <si>
    <t>固化剂包装桶：自备</t>
  </si>
  <si>
    <r>
      <rPr>
        <sz val="16"/>
        <color rgb="FF00B0F0"/>
        <rFont val="宋体"/>
        <charset val="134"/>
      </rPr>
      <t>购350</t>
    </r>
    <r>
      <rPr>
        <sz val="8"/>
        <color rgb="FF00B0F0"/>
        <rFont val="宋体"/>
        <charset val="134"/>
      </rPr>
      <t>(实为100C)哑粉</t>
    </r>
  </si>
  <si>
    <t>20/KG:外部</t>
  </si>
  <si>
    <t>（7024）亮光深灰色漆</t>
  </si>
  <si>
    <t>从即日已调价</t>
  </si>
  <si>
    <t>PU稀释剂</t>
  </si>
  <si>
    <t>通用稀料</t>
  </si>
  <si>
    <t>600重钙</t>
  </si>
  <si>
    <t>中黄粉</t>
  </si>
  <si>
    <t>广安武胜(打印小商标：中黄色)40桶*18KG）</t>
  </si>
  <si>
    <t>中黄色加工费</t>
  </si>
  <si>
    <t>商标是25日的日期</t>
  </si>
  <si>
    <t>发武胜</t>
  </si>
  <si>
    <t>600目重钙</t>
  </si>
  <si>
    <t>大商标：直接贴</t>
  </si>
  <si>
    <t>发南充营山</t>
  </si>
  <si>
    <t>天酞蓝2号加工费</t>
  </si>
  <si>
    <t>60桶*18KG：60桶=54桶+6桶（成品：5桶天酞蓝+1桶浅蓝）</t>
  </si>
  <si>
    <t>自备成品5桶+1桶浅蓝</t>
  </si>
  <si>
    <t>中黄浆</t>
  </si>
  <si>
    <t>淡苹果绿2号加工费</t>
  </si>
  <si>
    <r>
      <rPr>
        <sz val="16"/>
        <color rgb="FF00B0F0"/>
        <rFont val="宋体"/>
        <charset val="134"/>
      </rPr>
      <t>18KG*40桶</t>
    </r>
    <r>
      <rPr>
        <sz val="10"/>
        <color rgb="FF00B0F0"/>
        <rFont val="宋体"/>
        <charset val="134"/>
      </rPr>
      <t>（36.5+60KG:3.5桶)</t>
    </r>
  </si>
  <si>
    <t>自备成品60KG</t>
  </si>
  <si>
    <t>389树脂</t>
  </si>
  <si>
    <t>218*</t>
  </si>
  <si>
    <t>自来水</t>
  </si>
  <si>
    <t>山东货商标：统一用固化剂商标样板</t>
  </si>
  <si>
    <t>铅液：自备</t>
  </si>
  <si>
    <t>大商标：直接用信封装了放在纸箱里</t>
  </si>
  <si>
    <t>洗衣服</t>
  </si>
  <si>
    <t>RAL9018白色磁漆加工费</t>
  </si>
  <si>
    <t>12桶*20KG</t>
  </si>
  <si>
    <t>发山东：12桶</t>
  </si>
  <si>
    <t>中黄色漆：自备</t>
  </si>
  <si>
    <t>中黄：1桶*20KG</t>
  </si>
  <si>
    <t>发山东：1桶</t>
  </si>
  <si>
    <t>另加纸箱</t>
  </si>
  <si>
    <t>7桶*15KG</t>
  </si>
  <si>
    <t>醇酸稀料加工费</t>
  </si>
  <si>
    <t>发山东：7桶</t>
  </si>
  <si>
    <t>另加包装20L小口桶</t>
  </si>
  <si>
    <t>2桶*15KG</t>
  </si>
  <si>
    <t>洗机溶剂加工费</t>
  </si>
  <si>
    <t>成都：2桶</t>
  </si>
  <si>
    <t>透水砼面层保护剂：GB-艳蓝</t>
  </si>
  <si>
    <t>大商标：直接贴（</t>
  </si>
  <si>
    <r>
      <rPr>
        <sz val="16"/>
        <color theme="9" tint="-0.25"/>
        <rFont val="宋体"/>
        <charset val="134"/>
      </rPr>
      <t>BG05</t>
    </r>
    <r>
      <rPr>
        <sz val="10"/>
        <color theme="9" tint="-0.25"/>
        <rFont val="宋体"/>
        <charset val="134"/>
      </rPr>
      <t>(样板误留成编号：B605)</t>
    </r>
    <r>
      <rPr>
        <sz val="16"/>
        <color theme="9" tint="-0.25"/>
        <rFont val="宋体"/>
        <charset val="134"/>
      </rPr>
      <t>：GB-艳蓝加工费</t>
    </r>
  </si>
  <si>
    <t>18KG*15桶</t>
  </si>
  <si>
    <t>发重庆</t>
  </si>
  <si>
    <t>透水砼面层保护剂：GB-淡湖绿</t>
  </si>
  <si>
    <t>B15：GB-淡湖绿加工费</t>
  </si>
  <si>
    <t>18KG*5桶</t>
  </si>
  <si>
    <t>透水砼面层保护剂：GB-橘黄</t>
  </si>
  <si>
    <t>大红浆</t>
  </si>
  <si>
    <t>桔红浆</t>
  </si>
  <si>
    <t>YR04：GB-橘黄加工费</t>
  </si>
  <si>
    <t>18KG*2桶</t>
  </si>
  <si>
    <t>389树脂：李总购的货</t>
  </si>
  <si>
    <t>水</t>
  </si>
  <si>
    <t>22桶*20KG</t>
  </si>
  <si>
    <t>半成品：自备</t>
  </si>
  <si>
    <t>中黄色漆加工费</t>
  </si>
  <si>
    <t>13桶*15KG</t>
  </si>
  <si>
    <t>（含自备：2桶（河南退货）</t>
  </si>
  <si>
    <t>11桶醇酸稀料加工费</t>
  </si>
  <si>
    <t>104-2</t>
  </si>
  <si>
    <t>有机土</t>
  </si>
  <si>
    <t>二甲</t>
  </si>
  <si>
    <t>透水砼面层保护剂：白色</t>
  </si>
  <si>
    <t>白色划线漆加工费</t>
  </si>
  <si>
    <t>广安武胜：30桶*20KG</t>
  </si>
  <si>
    <t>包装桶:20L</t>
  </si>
  <si>
    <t>9122：自备</t>
  </si>
  <si>
    <t>气硅</t>
  </si>
  <si>
    <t>丁酯</t>
  </si>
  <si>
    <t>PM</t>
  </si>
  <si>
    <t>透水砼面层保护剂：清漆</t>
  </si>
  <si>
    <t>洗枪水：粗甲酯</t>
  </si>
  <si>
    <r>
      <rPr>
        <b/>
        <sz val="16"/>
        <color theme="9" tint="-0.25"/>
        <rFont val="宋体"/>
        <charset val="134"/>
      </rPr>
      <t>清漆</t>
    </r>
    <r>
      <rPr>
        <sz val="16"/>
        <color theme="9" tint="-0.25"/>
        <rFont val="宋体"/>
        <charset val="134"/>
      </rPr>
      <t>加工费</t>
    </r>
  </si>
  <si>
    <t>成都货：8桶*18KG</t>
  </si>
  <si>
    <t>自提货7桶+1桶（存库房）+稀料桶：10KG(未加包装）</t>
  </si>
  <si>
    <t>李总购树脂389：含运费</t>
  </si>
  <si>
    <t>白色划线漆加工费:</t>
  </si>
  <si>
    <t>广安武胜：8桶*20KG</t>
  </si>
  <si>
    <t>965树脂：自备</t>
  </si>
  <si>
    <t>钛白粉</t>
  </si>
  <si>
    <t>5015蓝加酞蓝浆（加黑浆50g)</t>
  </si>
  <si>
    <t>6018绿加酞青绿浆</t>
  </si>
  <si>
    <t>6018绿加柠檬黄浆</t>
  </si>
  <si>
    <t>K7色卡</t>
  </si>
  <si>
    <r>
      <rPr>
        <sz val="12"/>
        <color theme="9" tint="-0.25"/>
        <rFont val="宋体"/>
        <charset val="134"/>
      </rPr>
      <t>5015蓝色、白色、6018绿色</t>
    </r>
    <r>
      <rPr>
        <sz val="10"/>
        <color theme="9" tint="-0.25"/>
        <rFont val="宋体"/>
        <charset val="134"/>
      </rPr>
      <t>丙烯酸聚氨酯加工费</t>
    </r>
  </si>
  <si>
    <t>另加包装费20L</t>
  </si>
  <si>
    <t>聚氨酯固化剂</t>
  </si>
  <si>
    <t>16/4提货：不打商标</t>
  </si>
  <si>
    <t>2桶聚氨酯稀释剂加工费</t>
  </si>
  <si>
    <t>已调价</t>
  </si>
  <si>
    <t>杨总库存的6小罐固化剂中含李总的11KG未开单未计价于11/5打单</t>
  </si>
  <si>
    <t>7322-60树脂：购国圣</t>
  </si>
  <si>
    <t>6920浆</t>
  </si>
  <si>
    <t>5000目滑石粉</t>
  </si>
  <si>
    <t>黑浆</t>
  </si>
  <si>
    <t>100C哑粉</t>
  </si>
  <si>
    <t>807A</t>
  </si>
  <si>
    <t>黑半光氟碳漆（甲）加工费</t>
  </si>
  <si>
    <t>106D哑粉</t>
  </si>
  <si>
    <t>氟碳清漆（甲）加工费</t>
  </si>
  <si>
    <t>包装费：自备</t>
  </si>
  <si>
    <t>SX-7900货</t>
  </si>
  <si>
    <t>银粉</t>
  </si>
  <si>
    <t>1220银粉</t>
  </si>
  <si>
    <t>氟碳银珠漆（甲）加工费</t>
  </si>
  <si>
    <t>包装费：</t>
  </si>
  <si>
    <t>色浆：中黄、铁黄</t>
  </si>
  <si>
    <t>色卡N4.25  N6.75灰色加工费</t>
  </si>
  <si>
    <t>另加包装费：5L</t>
  </si>
  <si>
    <t>另加包装费:4L</t>
  </si>
  <si>
    <t>稀料包装自备</t>
  </si>
  <si>
    <t>11/5已开单</t>
  </si>
  <si>
    <t>PU净味哑光白面漆</t>
  </si>
  <si>
    <t>PU净味哑光固化剂</t>
  </si>
  <si>
    <t>PU净味面漆稀释剂</t>
  </si>
  <si>
    <t>李总购</t>
  </si>
  <si>
    <t>银粉：</t>
  </si>
  <si>
    <t>购通润宝银粉1100</t>
  </si>
  <si>
    <t>氟碳银珠漆 定制（甲）加工费</t>
  </si>
  <si>
    <t>包装费</t>
  </si>
  <si>
    <t>色浆</t>
  </si>
  <si>
    <t>15.7元/KG</t>
  </si>
  <si>
    <t>N6.75:14KG浅灰灰透水漆商标打成：N6.75丙聚</t>
  </si>
  <si>
    <t>N4.25:16KG深灰透水漆商标打成：N4.25丙聚</t>
  </si>
  <si>
    <t>另加包装费：20L</t>
  </si>
  <si>
    <t>6102B树脂</t>
  </si>
  <si>
    <t>金堂段总的货</t>
  </si>
  <si>
    <t>按固化剂样板打商标：深灰厚浆型聚氨酯磁漆</t>
  </si>
  <si>
    <t>亮光白浆</t>
  </si>
  <si>
    <t>聚氨酯固化剂、聚氨酯稀释剂</t>
  </si>
  <si>
    <t>深灰厚浆型聚氨酯磁漆加工费</t>
  </si>
  <si>
    <t>21KG/桶</t>
  </si>
  <si>
    <t>已提走：21KG*8桶+库存(1桶原装+7KG)</t>
  </si>
  <si>
    <t>自备成品21KG</t>
  </si>
  <si>
    <t>8桶*3KG</t>
  </si>
  <si>
    <t>聚氨酯固化剂：自备</t>
  </si>
  <si>
    <t>另加包装4L方罐</t>
  </si>
  <si>
    <t>（深灰厚浆磁漆）稀料加工费</t>
  </si>
  <si>
    <t>5桶*15KG</t>
  </si>
  <si>
    <t>稀料包装</t>
  </si>
  <si>
    <t>透水砼面层保护剂：粉绿</t>
  </si>
  <si>
    <t>粉绿加工费</t>
  </si>
  <si>
    <t>18KG*14桶发岳池</t>
  </si>
  <si>
    <t>389树脂：自备</t>
  </si>
  <si>
    <t>发河南</t>
  </si>
  <si>
    <t>桶侧边贴一个字便于区分例如红就贴红</t>
  </si>
  <si>
    <t>大红浆、紫红少许</t>
  </si>
  <si>
    <t>大商标：不贴，装入信封中：RAL3000(RAL7024)定制：红（灰）磁漆</t>
  </si>
  <si>
    <t>RAL3000红、RAL7024灰磁漆加工费</t>
  </si>
  <si>
    <t>20KG*1桶（红）+2桶（灰）发河南</t>
  </si>
  <si>
    <t>返工RAL9018：白磁漆半成品</t>
  </si>
  <si>
    <t>大商标：不贴，装入信封中：RAL9018定制：白磁漆</t>
  </si>
  <si>
    <t>返工RAL9018：白磁漆加工费</t>
  </si>
  <si>
    <t>20KG*4桶（白）发河南</t>
  </si>
  <si>
    <t>包装自备</t>
  </si>
  <si>
    <t>醇酸稀释剂加工费</t>
  </si>
  <si>
    <t>大商标：不贴，装入信封中：醇酸稀释剂（发河南）</t>
  </si>
  <si>
    <t>17KG*4桶发河南</t>
  </si>
  <si>
    <t>氟碳固化剂</t>
  </si>
  <si>
    <t>包装费：4L</t>
  </si>
  <si>
    <t>6-7月份</t>
  </si>
  <si>
    <t>金额总计</t>
  </si>
  <si>
    <t>李总材料金额</t>
  </si>
  <si>
    <t>外购包装、商标</t>
  </si>
  <si>
    <t>包装桶金额</t>
  </si>
  <si>
    <t>成品</t>
  </si>
  <si>
    <t>总金额</t>
  </si>
  <si>
    <t>包装费:5L</t>
  </si>
  <si>
    <t>本次是印刷的带有合格证的商标直接贴</t>
  </si>
  <si>
    <r>
      <rPr>
        <sz val="16"/>
        <color theme="9" tint="-0.25"/>
        <rFont val="宋体"/>
        <charset val="134"/>
      </rPr>
      <t>下次带</t>
    </r>
    <r>
      <rPr>
        <sz val="16"/>
        <color rgb="FFFF0000"/>
        <rFont val="宋体"/>
        <charset val="134"/>
      </rPr>
      <t>合格证样板</t>
    </r>
    <r>
      <rPr>
        <sz val="16"/>
        <color theme="9" tint="-0.25"/>
        <rFont val="宋体"/>
        <charset val="134"/>
      </rPr>
      <t>打商标（用空格商标里面留的模块打）：深灰厚浆型聚氨酯磁漆</t>
    </r>
  </si>
  <si>
    <t>已提走：21KG*10桶(含库存21KG自备货)</t>
  </si>
  <si>
    <t>包装桶：自备彩桶10个</t>
  </si>
  <si>
    <t>3KG/桶</t>
  </si>
  <si>
    <t>15KG/桶</t>
  </si>
  <si>
    <t>外加工打印商标:25张</t>
  </si>
  <si>
    <t>水性底漆：</t>
  </si>
  <si>
    <r>
      <rPr>
        <b/>
        <sz val="12"/>
        <color rgb="FF00B0F0"/>
        <rFont val="宋体"/>
        <charset val="134"/>
      </rPr>
      <t>商标品名改成水性底漆配比和PU底漆一样</t>
    </r>
    <r>
      <rPr>
        <b/>
        <sz val="12"/>
        <color rgb="FFFF0000"/>
        <rFont val="宋体"/>
        <charset val="134"/>
      </rPr>
      <t>(1871G:11/6用A1176树脂做）</t>
    </r>
  </si>
  <si>
    <t>水性面漆</t>
  </si>
  <si>
    <r>
      <rPr>
        <b/>
        <sz val="12"/>
        <color rgb="FF00B0F0"/>
        <rFont val="宋体"/>
        <charset val="134"/>
      </rPr>
      <t>商标：水性面漆配比和哑光清面一样</t>
    </r>
    <r>
      <rPr>
        <b/>
        <sz val="12"/>
        <color rgb="FFFF0000"/>
        <rFont val="宋体"/>
        <charset val="134"/>
      </rPr>
      <t>（50FG清面用5分光和70FA改：见生产单）</t>
    </r>
  </si>
  <si>
    <t>水性助剂</t>
  </si>
  <si>
    <r>
      <rPr>
        <b/>
        <sz val="12"/>
        <color rgb="FF00B0F0"/>
        <rFont val="宋体"/>
        <charset val="134"/>
      </rPr>
      <t>商标：水性助剂（面稀：</t>
    </r>
    <r>
      <rPr>
        <b/>
        <sz val="12"/>
        <color rgb="FFFF0000"/>
        <rFont val="宋体"/>
        <charset val="134"/>
      </rPr>
      <t>和稀释剂一样的格式）见生产单</t>
    </r>
  </si>
  <si>
    <t>N4.25  N6.75稀释剂</t>
  </si>
  <si>
    <t>稀料包装彩桶:贾的</t>
  </si>
  <si>
    <t>N4.25  N6.75固化剂</t>
  </si>
  <si>
    <t>525货</t>
  </si>
  <si>
    <t>包装费：10L</t>
  </si>
  <si>
    <t>中灰透水漆加工费</t>
  </si>
  <si>
    <t>包装费:20L</t>
  </si>
  <si>
    <t>划线漆：</t>
  </si>
  <si>
    <t>蓝加酞蓝浆</t>
  </si>
  <si>
    <t>黑：1KG</t>
  </si>
  <si>
    <t>黄加中黄浆</t>
  </si>
  <si>
    <t>红、黄、蓝各5KG</t>
  </si>
  <si>
    <t>红加大红浆</t>
  </si>
  <si>
    <t>白色：20KG</t>
  </si>
  <si>
    <t>黑加黑浆</t>
  </si>
  <si>
    <t>划线漆（又称双组份油性丙烯酸）</t>
  </si>
  <si>
    <t>蓝色、白色、蓝色和红色划线加工费</t>
  </si>
  <si>
    <t>1L圆罐</t>
  </si>
  <si>
    <t>5L圆罐</t>
  </si>
  <si>
    <t>自备包装</t>
  </si>
  <si>
    <t>12号</t>
  </si>
  <si>
    <t>购二甲苯：自备包装</t>
  </si>
  <si>
    <t>杨总自提</t>
  </si>
  <si>
    <t>通用稀释剂加工费(4桶）</t>
  </si>
  <si>
    <t>811*</t>
  </si>
  <si>
    <t>清洗剂（洗桶水）加工费（2桶）</t>
  </si>
  <si>
    <t>另加包装桶：18L</t>
  </si>
  <si>
    <t>购环己酮：杨总的客户</t>
  </si>
  <si>
    <t>现金</t>
  </si>
  <si>
    <t>罐子：杨总的客户</t>
  </si>
  <si>
    <t>1250钙</t>
  </si>
  <si>
    <t>另加包装费:4L圆罐</t>
  </si>
  <si>
    <t>打样</t>
  </si>
  <si>
    <t>RO3</t>
  </si>
  <si>
    <t>大红色:须留样（1号客户）</t>
  </si>
  <si>
    <t>PB11</t>
  </si>
  <si>
    <t>孔雀蓝:须留样（1号客户）</t>
  </si>
  <si>
    <t>GO2</t>
  </si>
  <si>
    <t>淡绿:须留样（1号客户）</t>
  </si>
  <si>
    <t>R08</t>
  </si>
  <si>
    <t>深黄面层保护剂：（打商标编号EPDM）（2号客户）</t>
  </si>
  <si>
    <t>PB08</t>
  </si>
  <si>
    <t>蓝灰面层保护剂：（打商标编号EPDM）（2号客户）</t>
  </si>
  <si>
    <t>孔雀蓝面层保护剂：（打商标编号EPDM）（2号客户）</t>
  </si>
  <si>
    <t>实际是6102：19KG+6KG:6501</t>
  </si>
  <si>
    <t>6501树脂</t>
  </si>
  <si>
    <t>下次带合格证样板打商标（用空格商标里面留的模块打）：深灰厚浆型聚氨酯磁漆</t>
  </si>
  <si>
    <t>已提走：21KG*4桶</t>
  </si>
  <si>
    <t>包装桶：自备彩桶(川峡）4个</t>
  </si>
  <si>
    <t>外加工打印商标:4张</t>
  </si>
  <si>
    <t>8月份</t>
  </si>
  <si>
    <t>黑色浆</t>
  </si>
  <si>
    <t>N6.75:14KG浅灰灰透水漆商标同固化剂商标一样打成：编号N6.75  ，名称：浅灰丙聚其余的一样</t>
  </si>
  <si>
    <t>24KG*21桶+6.5kg</t>
  </si>
  <si>
    <t>自备原油</t>
  </si>
  <si>
    <r>
      <rPr>
        <sz val="16"/>
        <color theme="9" tint="-0.25"/>
        <rFont val="宋体"/>
        <charset val="134"/>
      </rPr>
      <t>色卡 N6.75浅灰丙聚加工费</t>
    </r>
    <r>
      <rPr>
        <sz val="10"/>
        <color theme="9" tint="-0.25"/>
        <rFont val="宋体"/>
        <charset val="134"/>
      </rPr>
      <t>（商标名一样）</t>
    </r>
  </si>
  <si>
    <t>铁红浆</t>
  </si>
  <si>
    <t>铁黄浆</t>
  </si>
  <si>
    <t>深灰丙聚：22KG*21桶+15KG)</t>
  </si>
  <si>
    <r>
      <rPr>
        <sz val="12"/>
        <rFont val="宋体"/>
        <charset val="134"/>
      </rPr>
      <t>N4.25:（</t>
    </r>
    <r>
      <rPr>
        <sz val="12"/>
        <color rgb="FFFF0000"/>
        <rFont val="宋体"/>
        <charset val="134"/>
      </rPr>
      <t>发货22KG*21桶</t>
    </r>
    <r>
      <rPr>
        <sz val="12"/>
        <rFont val="宋体"/>
        <charset val="134"/>
      </rPr>
      <t>）深灰丙聚：商标桶固化剂模块一样：编号N6.75,名称：</t>
    </r>
  </si>
  <si>
    <t>二甲苯：自备</t>
  </si>
  <si>
    <t>原油：自备</t>
  </si>
  <si>
    <r>
      <rPr>
        <sz val="16"/>
        <color theme="9" tint="-0.25"/>
        <rFont val="宋体"/>
        <charset val="134"/>
      </rPr>
      <t>色卡 N4.25深灰丙聚加工费</t>
    </r>
    <r>
      <rPr>
        <sz val="10"/>
        <color theme="9" tint="-0.25"/>
        <rFont val="宋体"/>
        <charset val="134"/>
      </rPr>
      <t>（商标名一样）</t>
    </r>
  </si>
  <si>
    <t>20桶（</t>
  </si>
  <si>
    <t>18KG*18桶+16KG*桶+15KG:自备货）</t>
  </si>
  <si>
    <t>防白水</t>
  </si>
  <si>
    <t>丙烯酸聚氨酯稀释剂加工费（商标名一样）</t>
  </si>
  <si>
    <t>丙烯酸聚氨酯固化剂（商标名一样）</t>
  </si>
  <si>
    <t>10桶*20KG</t>
  </si>
  <si>
    <t>24K*6桶</t>
  </si>
  <si>
    <t>大商标和普通固化剂样板一样</t>
  </si>
  <si>
    <r>
      <rPr>
        <sz val="16"/>
        <color theme="9" tint="-0.25"/>
        <rFont val="宋体"/>
        <charset val="134"/>
      </rPr>
      <t>白色哑光氟硅磁漆加工费</t>
    </r>
    <r>
      <rPr>
        <sz val="12"/>
        <color theme="9" tint="-0.25"/>
        <rFont val="宋体"/>
        <charset val="134"/>
      </rPr>
      <t>（和商标名一样）</t>
    </r>
  </si>
  <si>
    <t>另加包装费:20L白大口桶</t>
  </si>
  <si>
    <t>10桶*18KG</t>
  </si>
  <si>
    <t>未打印商标</t>
  </si>
  <si>
    <t>另加包装费：20L（自备7个+3个）</t>
  </si>
  <si>
    <t>另加包装费：20L：自备</t>
  </si>
  <si>
    <t>N4.25  N6.75固化剂525货</t>
  </si>
  <si>
    <t>不打印商标</t>
  </si>
  <si>
    <t>14/8喷N6.75和N4.25已用75KG</t>
  </si>
  <si>
    <t>减自备包装费</t>
  </si>
  <si>
    <t>N6.75:（发货24KG*7桶）浅灰灰丙聚：商标桶固化剂模块一样：编号N6.75,名称：浅灰丙聚（库存6.5KG)</t>
  </si>
  <si>
    <t>23/8已提货不打印商标</t>
  </si>
  <si>
    <t>24KG*7桶</t>
  </si>
  <si>
    <r>
      <rPr>
        <sz val="16"/>
        <rFont val="宋体"/>
        <charset val="134"/>
      </rPr>
      <t>色卡 N6.75浅灰丙聚加工费</t>
    </r>
    <r>
      <rPr>
        <sz val="10"/>
        <rFont val="宋体"/>
        <charset val="134"/>
      </rPr>
      <t>（商标名一样）</t>
    </r>
  </si>
  <si>
    <t>N4.25:（发货22KG*9桶）深灰丙聚：商标桶固化剂模块一样：编号N6.75,名称：深灰丙聚：(库存15.5KG)</t>
  </si>
  <si>
    <r>
      <rPr>
        <sz val="16"/>
        <color rgb="FF00B0F0"/>
        <rFont val="宋体"/>
        <charset val="134"/>
      </rPr>
      <t>色卡 N4.25深灰丙聚加工费</t>
    </r>
    <r>
      <rPr>
        <sz val="10"/>
        <color rgb="FF00B0F0"/>
        <rFont val="宋体"/>
        <charset val="134"/>
      </rPr>
      <t>（商标名一样）</t>
    </r>
  </si>
  <si>
    <r>
      <rPr>
        <sz val="16"/>
        <rFont val="宋体"/>
        <charset val="134"/>
      </rPr>
      <t>丙烯酸聚氨酯稀释剂加工费</t>
    </r>
    <r>
      <rPr>
        <sz val="11"/>
        <rFont val="宋体"/>
        <charset val="134"/>
      </rPr>
      <t>（商标名一样）</t>
    </r>
  </si>
  <si>
    <t>23/8已提货6桶（5+1）：10桶-6桶=4桶（剩下）不打印商标</t>
  </si>
  <si>
    <t>20KG*2桶</t>
  </si>
  <si>
    <t>陈总专用白色划线（浓的）</t>
  </si>
  <si>
    <t>陈总专用白色划线漆加工费（新配方）</t>
  </si>
  <si>
    <t>金雅达快运：（见托运单)发自贡市富顺县城李总：18982636922</t>
  </si>
  <si>
    <t>商标透水商标一样：（除名称白色划线：不打漆）</t>
  </si>
  <si>
    <t>发货人：杨总号码</t>
  </si>
  <si>
    <t>20KG*20桶</t>
  </si>
  <si>
    <t>白色划线漆加工费（新配方）</t>
  </si>
  <si>
    <t>广安武胜</t>
  </si>
  <si>
    <t xml:space="preserve">40桶*18KG </t>
  </si>
  <si>
    <t>525*</t>
  </si>
  <si>
    <r>
      <rPr>
        <sz val="16"/>
        <color rgb="FFFF0000"/>
        <rFont val="宋体"/>
        <charset val="134"/>
      </rPr>
      <t>白色哑光氟硅磁漆加工费</t>
    </r>
    <r>
      <rPr>
        <sz val="12"/>
        <color rgb="FFFF0000"/>
        <rFont val="宋体"/>
        <charset val="134"/>
      </rPr>
      <t>（和商标名一样）</t>
    </r>
  </si>
  <si>
    <t>紫红</t>
  </si>
  <si>
    <t>洗衣粉</t>
  </si>
  <si>
    <t>7/9;RAL7024库存：10KG于21/9日做温江货已用）</t>
  </si>
  <si>
    <t>20KG*3桶（红）+5桶（灰）发河南</t>
  </si>
  <si>
    <t>20KG*24桶发河南</t>
  </si>
  <si>
    <t>自备成品</t>
  </si>
  <si>
    <t>RAL9018定制白磁漆加工费</t>
  </si>
  <si>
    <t>17KG*20桶发河南</t>
  </si>
  <si>
    <t>稀料要纸箱打包</t>
  </si>
  <si>
    <r>
      <rPr>
        <sz val="16"/>
        <color rgb="FF00B0F0"/>
        <rFont val="宋体"/>
        <charset val="134"/>
      </rPr>
      <t>丙烯酸聚氨酯稀释剂加工费</t>
    </r>
    <r>
      <rPr>
        <sz val="11"/>
        <color rgb="FF00B0F0"/>
        <rFont val="宋体"/>
        <charset val="134"/>
      </rPr>
      <t>（商标名一样）</t>
    </r>
  </si>
  <si>
    <t>6桶*18KG</t>
  </si>
  <si>
    <t>1250目钙</t>
  </si>
  <si>
    <t>紫色浆</t>
  </si>
  <si>
    <t>1号紫红浆</t>
  </si>
  <si>
    <t>23kg*5桶（配的河南退回的醇酸稀料17KG*2桶）</t>
  </si>
  <si>
    <t>自备白磁漆RAL9018:</t>
  </si>
  <si>
    <t>不打商标</t>
  </si>
  <si>
    <t>自备库存灰磁漆</t>
  </si>
  <si>
    <t>7024灰磁漆加工费（温江货）</t>
  </si>
  <si>
    <t>以后常用：（以温江货7024亮深灰为样调的）</t>
  </si>
  <si>
    <r>
      <rPr>
        <sz val="16"/>
        <rFont val="宋体"/>
        <charset val="134"/>
      </rPr>
      <t>白色丙聚加工费</t>
    </r>
    <r>
      <rPr>
        <sz val="10"/>
        <rFont val="宋体"/>
        <charset val="134"/>
      </rPr>
      <t>（商标名一样）</t>
    </r>
  </si>
  <si>
    <t>另加包装费4L</t>
  </si>
  <si>
    <t>CBCC色卡 1093丙聚加工费</t>
  </si>
  <si>
    <t>CBCC色卡样：0111丙聚</t>
  </si>
  <si>
    <t>CBCC色卡样：0114丙聚</t>
  </si>
  <si>
    <t>另加包装费5L</t>
  </si>
  <si>
    <t>丙聚固化剂包装</t>
  </si>
  <si>
    <t>丙聚稀料：自备（含包装）</t>
  </si>
  <si>
    <t>10月10日购965的单价为13元/KG</t>
  </si>
  <si>
    <t>1093改色</t>
  </si>
  <si>
    <t>微信图片样</t>
  </si>
  <si>
    <t>另加包装费2L</t>
  </si>
  <si>
    <t>PU亮光黑面漆</t>
  </si>
  <si>
    <t>杰妮熊退货</t>
  </si>
  <si>
    <t>PU亮光大红色漆</t>
  </si>
  <si>
    <t>1号大红浆2KG+3KG光油</t>
  </si>
  <si>
    <t>PU面漆固化剂</t>
  </si>
  <si>
    <t>PU清底漆：</t>
  </si>
  <si>
    <t>1871M</t>
  </si>
  <si>
    <t>PU底漆固化剂</t>
  </si>
  <si>
    <t>309A</t>
  </si>
  <si>
    <t>PU面漆稀释剂</t>
  </si>
  <si>
    <t>812+：7KG+1KG:807A+4KG:802A</t>
  </si>
  <si>
    <t>定制：琥珀黄氟碳漆</t>
  </si>
  <si>
    <t>现金（已微转）不留样（50F:11KG+3.8KG铁黄浆+0.2铁红浆+少许黑/桶）</t>
  </si>
  <si>
    <r>
      <rPr>
        <sz val="16"/>
        <color rgb="FFFF0000"/>
        <rFont val="宋体"/>
        <charset val="134"/>
      </rPr>
      <t>41桶</t>
    </r>
    <r>
      <rPr>
        <sz val="10"/>
        <color rgb="FFFF0000"/>
        <rFont val="宋体"/>
        <charset val="134"/>
      </rPr>
      <t>（含杨总自提3桶）</t>
    </r>
    <r>
      <rPr>
        <sz val="16"/>
        <color rgb="FFFF0000"/>
        <rFont val="宋体"/>
        <charset val="134"/>
      </rPr>
      <t xml:space="preserve">*18KG </t>
    </r>
  </si>
  <si>
    <t>GB-浅蓝色配套稀料</t>
  </si>
  <si>
    <t>杨总自提不含包装（包装自备）</t>
  </si>
  <si>
    <t>PU亮光黑面漆 （退货）</t>
  </si>
  <si>
    <t>20KG/桶</t>
  </si>
  <si>
    <t>透明铁红浆</t>
  </si>
  <si>
    <t>商标：氟碳香槟色银珠漆定制（甲）</t>
  </si>
  <si>
    <t xml:space="preserve">损耗5.6KG </t>
  </si>
  <si>
    <t>氟碳香槟色银珠漆 定制（甲）加工费</t>
  </si>
  <si>
    <t>氟碳香槟银珠固化剂(乙）</t>
  </si>
  <si>
    <t>525：商标：氟碳银珠漆固化剂（乙）</t>
  </si>
  <si>
    <t>氟碳银珠漆 定制（甲）</t>
  </si>
  <si>
    <t>氟碳固化剂(乙）</t>
  </si>
  <si>
    <t>氟碳稀释剂</t>
  </si>
  <si>
    <t>付现金：242</t>
  </si>
  <si>
    <t>包装费：2L</t>
  </si>
  <si>
    <t>47桶都是广安李总的货（发广安武胜38桶+4桶：发达州开县）</t>
  </si>
  <si>
    <t>商标透水商标一样：型号为1128A+(白色)</t>
  </si>
  <si>
    <t>（此单钛白粉增加了达14.74%）</t>
  </si>
  <si>
    <t>18KG*47桶</t>
  </si>
  <si>
    <t>11.88（含树脂12.5/KG</t>
  </si>
  <si>
    <t>1128A+白色划线漆加工费</t>
  </si>
  <si>
    <t>现金：6850.8</t>
  </si>
  <si>
    <t>965：自备</t>
  </si>
  <si>
    <t>商标全哑白色氟碳漆</t>
  </si>
  <si>
    <t>24KG*1桶</t>
  </si>
  <si>
    <t>全哑白色氟碳漆</t>
  </si>
  <si>
    <t>现金403.8</t>
  </si>
  <si>
    <t xml:space="preserve">损耗6KG </t>
  </si>
  <si>
    <t>1250目重钙</t>
  </si>
  <si>
    <t>11.07/KG</t>
  </si>
  <si>
    <t>自备成品蓝色：1桶</t>
  </si>
  <si>
    <t>现金4995</t>
  </si>
  <si>
    <t>发货38桶*18KG</t>
  </si>
  <si>
    <t>现金4002</t>
  </si>
  <si>
    <t>发货18KG*30桶</t>
  </si>
  <si>
    <t>GB-深灰</t>
  </si>
  <si>
    <t>发货6桶*18KG（不含28/12库存1桶*19）</t>
  </si>
  <si>
    <t>自备中黄浆</t>
  </si>
  <si>
    <t>自备N4.25成品</t>
  </si>
  <si>
    <t>GB-深灰（国标）加工费</t>
  </si>
  <si>
    <t>现金914</t>
  </si>
  <si>
    <t>购RAL6018绿：丙聚</t>
  </si>
  <si>
    <t>购RAL5015蓝：丙聚</t>
  </si>
  <si>
    <t>丙聚固化剂:自备2KG+1.6=3.6</t>
  </si>
  <si>
    <t>丙聚固化剂:自备2KG</t>
  </si>
  <si>
    <t>另减固化剂包装</t>
  </si>
  <si>
    <t>2025年</t>
  </si>
  <si>
    <t>B15艳蓝、BG03:宝绿各2桶*18KG、白色：18KG</t>
  </si>
  <si>
    <t>B15艳蓝、BG0340桶:宝绿30桶*18KG、国标深灰：18KG</t>
  </si>
  <si>
    <t>宝绿加工费</t>
  </si>
  <si>
    <t>发货18KG*42桶</t>
  </si>
  <si>
    <t>发重庆梨树湾巴南</t>
  </si>
  <si>
    <t>发货18KG*32桶</t>
  </si>
  <si>
    <t>中蓝成品：自备</t>
  </si>
  <si>
    <t>艳蓝加工费</t>
  </si>
  <si>
    <t>发货18KG*1桶</t>
  </si>
  <si>
    <t>白色漆加工费</t>
  </si>
  <si>
    <t>发货18KG*7桶</t>
  </si>
  <si>
    <t>不含自备成品</t>
  </si>
  <si>
    <t>含自备成品</t>
  </si>
  <si>
    <t>N4.25\N6.75</t>
  </si>
  <si>
    <t>国标深灰成品</t>
  </si>
  <si>
    <t>深灰加工费</t>
  </si>
  <si>
    <t>商标透水商标一样：名称铁红</t>
  </si>
  <si>
    <t>60桶*18KG+2桶（库存）</t>
  </si>
  <si>
    <t>泸州吴平：发重庆梨树湾-美河-合川</t>
  </si>
  <si>
    <t>11.53元/KG</t>
  </si>
  <si>
    <t>氧化铁红</t>
  </si>
  <si>
    <t>透水铁红加工费</t>
  </si>
  <si>
    <t>AC66-3</t>
  </si>
  <si>
    <t>12.45/KG</t>
  </si>
  <si>
    <t>发货18KG*20桶</t>
  </si>
  <si>
    <t>发货18KG*10桶</t>
  </si>
  <si>
    <t>12.2/KG</t>
  </si>
  <si>
    <t>12.4/KG</t>
  </si>
  <si>
    <r>
      <rPr>
        <sz val="16"/>
        <color rgb="FFFF0000"/>
        <rFont val="宋体"/>
        <charset val="134"/>
      </rPr>
      <t>32桶</t>
    </r>
    <r>
      <rPr>
        <sz val="10"/>
        <color rgb="FFFF0000"/>
        <rFont val="宋体"/>
        <charset val="134"/>
      </rPr>
      <t>（含杨总自提3桶）</t>
    </r>
    <r>
      <rPr>
        <sz val="16"/>
        <color rgb="FFFF0000"/>
        <rFont val="宋体"/>
        <charset val="134"/>
      </rPr>
      <t xml:space="preserve">*18KG </t>
    </r>
  </si>
  <si>
    <t>1月16-17</t>
  </si>
  <si>
    <t>AC66-3：自备</t>
  </si>
  <si>
    <t>12.3/KG</t>
  </si>
  <si>
    <t>发货18KG*34桶</t>
  </si>
  <si>
    <t>12/KG</t>
  </si>
  <si>
    <t>15号</t>
  </si>
  <si>
    <t>发货19KG*49桶</t>
  </si>
  <si>
    <t>泸州吴平：货拉拉送</t>
  </si>
  <si>
    <t>12.05/KG</t>
  </si>
  <si>
    <t>泸州浅蓝加工费</t>
  </si>
  <si>
    <t>16号</t>
  </si>
  <si>
    <t>AC66-3：自备（含磨浆的：4KG)</t>
  </si>
  <si>
    <t>铁红粉：自备</t>
  </si>
  <si>
    <t>发货19KG*13桶</t>
  </si>
  <si>
    <t>11.9/KG</t>
  </si>
  <si>
    <t>泸州铁红加工费</t>
  </si>
  <si>
    <t>17号</t>
  </si>
  <si>
    <t>黄修伍发重庆</t>
  </si>
  <si>
    <t>12.6/KG</t>
  </si>
  <si>
    <t>白色加工费</t>
  </si>
  <si>
    <t>18号</t>
  </si>
  <si>
    <t>12.24/KG</t>
  </si>
  <si>
    <t>19号</t>
  </si>
  <si>
    <t>20号</t>
  </si>
  <si>
    <t>RAL1001:米黄加工费</t>
  </si>
  <si>
    <t>21号</t>
  </si>
  <si>
    <t>白色浆</t>
  </si>
  <si>
    <t>RAL8025浅褐色加工费</t>
  </si>
  <si>
    <t>22号</t>
  </si>
  <si>
    <t>氟碳专用稀释剂</t>
  </si>
  <si>
    <t>29号</t>
  </si>
  <si>
    <t>发货18KG*28桶</t>
  </si>
  <si>
    <t>自备成品:15桶*18</t>
  </si>
  <si>
    <t>30号</t>
  </si>
  <si>
    <t>发货18KG*25桶</t>
  </si>
  <si>
    <t>自备：14桶*18</t>
  </si>
  <si>
    <t>31号</t>
  </si>
  <si>
    <t>2025*</t>
  </si>
  <si>
    <t>AC66-3树脂</t>
  </si>
  <si>
    <t>12.5/KG</t>
  </si>
  <si>
    <t>中黄粉：自备</t>
  </si>
  <si>
    <t>广安武胜透水漆商标：中黄色)40桶*18KG）</t>
  </si>
  <si>
    <t>广安武胜中黄色加工费</t>
  </si>
  <si>
    <t>2200重钙</t>
  </si>
  <si>
    <t>配方见生产单</t>
  </si>
  <si>
    <t>酞蓝浆</t>
  </si>
  <si>
    <t>广安武胜透水漆商标：深蓝色)27桶*18KG）</t>
  </si>
  <si>
    <t>深蓝色加工费</t>
  </si>
  <si>
    <t>广安武胜透水漆商标：浅黄色)23桶*18KG）</t>
  </si>
  <si>
    <t>12.1/KG</t>
  </si>
  <si>
    <t>浅黄色加工费</t>
  </si>
  <si>
    <t>蓉收已交贺超</t>
  </si>
  <si>
    <t>商标是哑光氟碳清漆：20KG/桶</t>
  </si>
  <si>
    <t>全哑氟碳清漆（甲）加工费</t>
  </si>
  <si>
    <t>另加包装费10L</t>
  </si>
  <si>
    <t>氟碳稀料加工费</t>
  </si>
  <si>
    <t>12/4已微转蓉已交账</t>
  </si>
  <si>
    <r>
      <rPr>
        <sz val="16"/>
        <color rgb="FF00B0F0"/>
        <rFont val="宋体"/>
        <charset val="134"/>
      </rPr>
      <t>AC66-3</t>
    </r>
    <r>
      <rPr>
        <sz val="14"/>
        <color rgb="FF00B0F0"/>
        <rFont val="宋体"/>
        <charset val="134"/>
      </rPr>
      <t>树脂</t>
    </r>
  </si>
  <si>
    <r>
      <rPr>
        <sz val="16"/>
        <color rgb="FF00B0F0"/>
        <rFont val="宋体"/>
        <charset val="134"/>
      </rPr>
      <t>60059-60</t>
    </r>
    <r>
      <rPr>
        <sz val="14"/>
        <color rgb="FF00B0F0"/>
        <rFont val="宋体"/>
        <charset val="134"/>
      </rPr>
      <t>树脂</t>
    </r>
  </si>
  <si>
    <t>泸州透水漆商标：中灰色)41桶*18KG）</t>
  </si>
  <si>
    <t>发泸州</t>
  </si>
  <si>
    <t>11/4库存基料100KG</t>
  </si>
  <si>
    <t>11/4库存基料5KG</t>
  </si>
  <si>
    <t>待改成品4桶*18KG</t>
  </si>
  <si>
    <t>待改成品1桶*24KG</t>
  </si>
  <si>
    <t>泸州国标中灰加工费</t>
  </si>
  <si>
    <t>包装费:4L</t>
  </si>
  <si>
    <t>（802A:1.5+0.5:807A)</t>
  </si>
  <si>
    <t xml:space="preserve">812+ </t>
  </si>
  <si>
    <t>自备蓝色漆（贾总货）</t>
  </si>
  <si>
    <t>泸州货：双丙聚氨酯透水砼密封剂</t>
  </si>
  <si>
    <t>自备白浆3.4%（基料）</t>
  </si>
  <si>
    <t>16KG/桶</t>
  </si>
  <si>
    <t>12.7/KG</t>
  </si>
  <si>
    <t>50%的白浆</t>
  </si>
  <si>
    <t>62桶*16KG无库存</t>
  </si>
  <si>
    <t>库存货半桶均未算包装</t>
  </si>
  <si>
    <t>5017天蓝（双丙聚氨酯透水砼密封剂）加工费</t>
  </si>
  <si>
    <t>另加包装桶含</t>
  </si>
  <si>
    <t>白色浆加工费</t>
  </si>
  <si>
    <t>13.1/KG</t>
  </si>
  <si>
    <t>43桶*16KG</t>
  </si>
  <si>
    <t>43桶*16余10KG</t>
  </si>
  <si>
    <t>09-1湖蓝（双丙聚氨酯透水砼密封剂）加工费</t>
  </si>
  <si>
    <t>13.86/KG</t>
  </si>
  <si>
    <t>33桶*16KG余5KG</t>
  </si>
  <si>
    <t>5002深蓝（双丙聚氨酯透水砼密封剂）加工费</t>
  </si>
  <si>
    <t>发货32桶库存1桶</t>
  </si>
  <si>
    <t>黄浆</t>
  </si>
  <si>
    <t>自备：黄浆</t>
  </si>
  <si>
    <t>36桶*16KG（发货33桶库存3桶）</t>
  </si>
  <si>
    <t>自备：宝绿</t>
  </si>
  <si>
    <t>自备浅黄色</t>
  </si>
  <si>
    <t>09-2正黄（双丙聚氨酯透水砼密封剂）加工费</t>
  </si>
  <si>
    <t>中黄色粉：自备</t>
  </si>
  <si>
    <t>17.4/KG</t>
  </si>
  <si>
    <t>中黄浆加工费</t>
  </si>
  <si>
    <t>75A</t>
  </si>
  <si>
    <t>740#:自备</t>
  </si>
  <si>
    <t>350#</t>
  </si>
  <si>
    <t>双丙聚氨酯透水砼固化剂加工费</t>
  </si>
  <si>
    <t>12.64/KG</t>
  </si>
  <si>
    <t>另加包装费</t>
  </si>
  <si>
    <t>丙烯酸稀释剂加工费（都江堰张总）</t>
  </si>
  <si>
    <t>现金497</t>
  </si>
  <si>
    <t>另加包装费20L白小口</t>
  </si>
  <si>
    <t>106D</t>
  </si>
  <si>
    <t>助剂</t>
  </si>
  <si>
    <t>)</t>
  </si>
  <si>
    <t>钢架专用</t>
  </si>
  <si>
    <t>74BG碧海云天半哑氟碳漆（甲）加工费</t>
  </si>
  <si>
    <t>氟碳漆固化剂（乙）</t>
  </si>
  <si>
    <t>氟碳稀释剂加工费</t>
  </si>
  <si>
    <t>现金208.8</t>
  </si>
  <si>
    <t>3号</t>
  </si>
  <si>
    <t>4号</t>
  </si>
  <si>
    <t>5号</t>
  </si>
  <si>
    <t>6号</t>
  </si>
  <si>
    <t>助剂:8333</t>
  </si>
  <si>
    <t>流平剂：8460</t>
  </si>
  <si>
    <t>抗氧剂</t>
  </si>
  <si>
    <t>紫外线吸收剂</t>
  </si>
  <si>
    <t>黄色浆</t>
  </si>
  <si>
    <t>B05国标海灰聚氨酯脂肪族面漆加工费</t>
  </si>
  <si>
    <t>脂肪族固化剂（乙）</t>
  </si>
  <si>
    <t>脂肪族稀释剂加工费</t>
  </si>
  <si>
    <t>K600</t>
  </si>
  <si>
    <t>白哑光脂肪族面漆（甲）</t>
  </si>
  <si>
    <t>303固:2+1.5:100#+1.5:807A</t>
  </si>
  <si>
    <t>另加包装费：10L</t>
  </si>
  <si>
    <t>环氧底漆</t>
  </si>
  <si>
    <t>环氧固化剂：自备1.2</t>
  </si>
  <si>
    <t>另购丁酯</t>
  </si>
  <si>
    <t>另购二甲苯</t>
  </si>
  <si>
    <t>另加包装费：10L（稀料包装）</t>
  </si>
  <si>
    <t>另加包装费：4L</t>
  </si>
  <si>
    <t>江门1160自备</t>
  </si>
  <si>
    <t>1#紫红</t>
  </si>
  <si>
    <t>23.5桶*19KG</t>
  </si>
  <si>
    <t>商标重量打的20KG/桶</t>
  </si>
  <si>
    <t>16/7库存基料：30多斤壹算钱</t>
  </si>
  <si>
    <t>浅紫色漆：自备</t>
  </si>
  <si>
    <t>自备：贾总蓝</t>
  </si>
  <si>
    <t>泸州0153定 黄色、0514定 蓝色加工费</t>
  </si>
  <si>
    <t>15元/KG</t>
  </si>
  <si>
    <t>60059-60树脂：自备</t>
  </si>
  <si>
    <t>101*19KG</t>
  </si>
  <si>
    <t>自备油漆</t>
  </si>
  <si>
    <t>泸州合川：中灰定 加工费</t>
  </si>
  <si>
    <t>13*19KG</t>
  </si>
  <si>
    <t>PU清底漆（A-1)</t>
  </si>
  <si>
    <t>阆中何总</t>
  </si>
  <si>
    <t>PU清底漆固化剂（A-2)</t>
  </si>
  <si>
    <t>PU清底漆稀释剂（A-3)</t>
  </si>
  <si>
    <t>PU白底漆（B-1)</t>
  </si>
  <si>
    <t>PU白底漆固化剂（B-2)</t>
  </si>
  <si>
    <t>PU白底漆稀释剂（B-3)</t>
  </si>
  <si>
    <t>8025*</t>
  </si>
  <si>
    <t>哑光苍白棕色漆：打印</t>
  </si>
  <si>
    <t>9003*</t>
  </si>
  <si>
    <t>哑光信号白色漆：打印</t>
  </si>
  <si>
    <t>1037*</t>
  </si>
  <si>
    <t>哑光太阳黄色漆：打印</t>
  </si>
  <si>
    <t>0812*</t>
  </si>
  <si>
    <t>哑光咖啡色漆：打印</t>
  </si>
  <si>
    <t>原油</t>
  </si>
  <si>
    <t>泸州0514定 蓝色加工费</t>
  </si>
  <si>
    <t>5002深蓝、5017、09-1湖蓝、09-2正黄加工费</t>
  </si>
  <si>
    <t>11.7/KG</t>
  </si>
  <si>
    <t xml:space="preserve">42桶*18KG </t>
  </si>
  <si>
    <t>贾总货</t>
  </si>
  <si>
    <t>广安武胜GB-浅蓝色漆：加工费</t>
  </si>
  <si>
    <t>9003A:哑光信号白色漆</t>
  </si>
  <si>
    <t>5分光：净味</t>
  </si>
  <si>
    <t>阆中 何总货</t>
  </si>
  <si>
    <t>9003B:哑光信号白固化剂</t>
  </si>
  <si>
    <t>303货</t>
  </si>
  <si>
    <t>8025A:哑光苍白棕色漆</t>
  </si>
  <si>
    <t>8025B:哑光苍白棕固化剂</t>
  </si>
  <si>
    <t>C：面漆稀释剂</t>
  </si>
  <si>
    <t>见配方</t>
  </si>
  <si>
    <t>3003:哑光宝石红色漆</t>
  </si>
  <si>
    <t>老板带过去的未打印商标</t>
  </si>
  <si>
    <t>哑光浆（消光剂）</t>
  </si>
  <si>
    <t>ben11.4</t>
  </si>
  <si>
    <t>哑光太阳黄色漆</t>
  </si>
  <si>
    <t>防尘浆</t>
  </si>
  <si>
    <t>购白色环氧墙面涂料（白半哑丙聚）加工费</t>
  </si>
  <si>
    <t>现金：实收205</t>
  </si>
  <si>
    <t>环氧固化剂：</t>
  </si>
  <si>
    <t>525：0.5+1.5：303</t>
  </si>
  <si>
    <t>环氧稀释剂</t>
  </si>
  <si>
    <t>七彩乐园面稀</t>
  </si>
  <si>
    <t>另加包装费：4L方罐</t>
  </si>
  <si>
    <t>108C</t>
  </si>
  <si>
    <t>武侯韩总</t>
  </si>
  <si>
    <t>20/KG</t>
  </si>
  <si>
    <t>清水绿：1桶</t>
  </si>
  <si>
    <t>白浆：</t>
  </si>
  <si>
    <t>淡红：3桶</t>
  </si>
  <si>
    <t>晴朗蓝：2桶</t>
  </si>
  <si>
    <t>交通蓝：5桶</t>
  </si>
  <si>
    <t>淡蓝：5桶</t>
  </si>
  <si>
    <t>16桶均为20KG/桶</t>
  </si>
  <si>
    <t>武侯韩总货加工费</t>
  </si>
  <si>
    <t>2号</t>
  </si>
  <si>
    <t>乳白聚氨酯磁漆</t>
  </si>
  <si>
    <t>霜竹青聚氨酯磁漆</t>
  </si>
  <si>
    <t>鱼腥草聚氨酯磁漆</t>
  </si>
  <si>
    <t>聚氨酯稀释剂</t>
  </si>
  <si>
    <t>另加包装费：4L圆罐</t>
  </si>
  <si>
    <t>另加包装费：2L方罐</t>
  </si>
  <si>
    <t>韩总白浆：自备</t>
  </si>
  <si>
    <t>杨总自备基料</t>
  </si>
  <si>
    <t>武侯韩总货</t>
  </si>
  <si>
    <t>韩总纯白加工费（自提：卖出）货</t>
  </si>
  <si>
    <t>15kg*2桶</t>
  </si>
  <si>
    <t>包装费自备</t>
  </si>
  <si>
    <t>另加桶盖</t>
  </si>
  <si>
    <t>武侯韩总浅灰1#加工费（改）</t>
  </si>
  <si>
    <t>21桶*20KG</t>
  </si>
  <si>
    <t>自备原油加工费</t>
  </si>
  <si>
    <t>另加桶盖（含深灰5个）</t>
  </si>
  <si>
    <t>23号</t>
  </si>
  <si>
    <t>108树：韩总自备</t>
  </si>
  <si>
    <t>20KG*16桶</t>
  </si>
  <si>
    <t>武侯韩总深灰2#加工费（改）</t>
  </si>
  <si>
    <t>R218</t>
  </si>
  <si>
    <t>20/KG*40</t>
  </si>
  <si>
    <t>纯白：2桶</t>
  </si>
  <si>
    <t>白浆：算自备</t>
  </si>
  <si>
    <t>李总说不算钱</t>
  </si>
  <si>
    <t>纯黑：2桶</t>
  </si>
  <si>
    <t>自备包装20个+20个=40个</t>
  </si>
  <si>
    <t>0306粉红：10桶</t>
  </si>
  <si>
    <t>0022浅黄：26桶</t>
  </si>
  <si>
    <t>40桶均为20KG/桶</t>
  </si>
  <si>
    <t>自备基料</t>
  </si>
  <si>
    <t>危废：油漆沉淀</t>
  </si>
  <si>
    <t>危废：油漆废桶、桶盖</t>
  </si>
  <si>
    <t>590065-60：自备</t>
  </si>
  <si>
    <t>8*19KG</t>
  </si>
  <si>
    <t>透水铁红加工费：重庆合川</t>
  </si>
  <si>
    <t>50号</t>
  </si>
  <si>
    <t>透水中灰定加工费：重庆合川</t>
  </si>
  <si>
    <t>51号</t>
  </si>
  <si>
    <t>交通蓝：1桶</t>
  </si>
  <si>
    <t>淡蓝：1桶</t>
  </si>
  <si>
    <t>4桶均为20KG/桶</t>
  </si>
  <si>
    <t>52号</t>
  </si>
  <si>
    <t>江门590065-60：自备</t>
  </si>
  <si>
    <t>净重：18</t>
  </si>
  <si>
    <t>广安武胜透水漆商40桶*18KG）</t>
  </si>
  <si>
    <t>广安武胜李总白色加工费</t>
  </si>
  <si>
    <t>江门590065-60</t>
  </si>
  <si>
    <t>白浆：韩总自备</t>
  </si>
  <si>
    <t>此次危废41KG*6未及时在内</t>
  </si>
  <si>
    <t>余17KG定灰算李总的</t>
  </si>
  <si>
    <t>武侯韩总定灰加工费</t>
  </si>
  <si>
    <t>20桶*20KG</t>
  </si>
  <si>
    <t>10-23日的危废41KG*6=246杨总收</t>
  </si>
  <si>
    <t>自备半成品加工费</t>
  </si>
  <si>
    <t>发货16桶*20KG</t>
  </si>
  <si>
    <t>包装桶盖自备</t>
  </si>
  <si>
    <t>正丁醇</t>
  </si>
  <si>
    <t>801+</t>
  </si>
  <si>
    <t>氨基稀释剂加工费</t>
  </si>
  <si>
    <t>另加包装费18L</t>
  </si>
  <si>
    <t>66-3：自备</t>
  </si>
  <si>
    <t>铁红浆：自备</t>
  </si>
  <si>
    <t>江门PJ590065-60</t>
  </si>
  <si>
    <t>10.75/KG</t>
  </si>
  <si>
    <t>白色：7桶</t>
  </si>
  <si>
    <t>粉色：9桶（8桶+1桶多调）</t>
  </si>
  <si>
    <t>浅黄色：9桶</t>
  </si>
  <si>
    <t>浅黄色：15桶</t>
  </si>
  <si>
    <t>10-23余17KG定灰算李总的</t>
  </si>
  <si>
    <t>武侯韩总白色、粉红、浅灰、浅黄加工费</t>
  </si>
  <si>
    <t>40桶*20KG</t>
  </si>
  <si>
    <t>2038*</t>
  </si>
  <si>
    <t>3033*</t>
  </si>
  <si>
    <t>丙聚清漆（甲）加工费</t>
  </si>
  <si>
    <t>丙聚清漆（乙）</t>
  </si>
  <si>
    <t>555固化剂：含包装（成本12）</t>
  </si>
  <si>
    <t>丙聚稀释剂加工费</t>
  </si>
  <si>
    <t>108树脂：韩自备</t>
  </si>
  <si>
    <t>此次不算加工费</t>
  </si>
  <si>
    <t>88号</t>
  </si>
  <si>
    <t>发货19KG*14桶</t>
  </si>
  <si>
    <t>商标打印重量：20KG</t>
  </si>
  <si>
    <t>泸州浅蓝10桶、铁红4桶加工费</t>
  </si>
  <si>
    <t>已留样</t>
  </si>
  <si>
    <t xml:space="preserve">108C </t>
  </si>
  <si>
    <t>广安中黄浆加工费</t>
  </si>
  <si>
    <t>仅本次算1.00/KG加工费</t>
  </si>
  <si>
    <t>武侯韩总深灰色漆加工费</t>
  </si>
  <si>
    <t>杨自备白浆</t>
  </si>
  <si>
    <t>武侯韩总中蓝、绿色加工费</t>
  </si>
  <si>
    <t>11.8元/kg</t>
  </si>
  <si>
    <t>自备0153</t>
  </si>
  <si>
    <t>3*19KG</t>
  </si>
  <si>
    <t>11/kg</t>
  </si>
  <si>
    <t>透水中灰加工费：泸州（25-12-19）</t>
  </si>
  <si>
    <t>商标重量打的18KG/桶</t>
  </si>
  <si>
    <t>3*18KG</t>
  </si>
  <si>
    <t>2025.8.23购PJ60059-60;4桶*190*10.8</t>
  </si>
  <si>
    <t>2025年3月杨总回款</t>
  </si>
  <si>
    <t>2月</t>
  </si>
  <si>
    <t>购货款结存</t>
  </si>
  <si>
    <t>购江门（盈）材料</t>
  </si>
  <si>
    <t>广安武胜：中黄</t>
  </si>
  <si>
    <t>广安武胜：深蓝</t>
  </si>
  <si>
    <t>生产明细</t>
  </si>
  <si>
    <t>5-12-13日</t>
  </si>
  <si>
    <t>广安武胜：浅黄</t>
  </si>
  <si>
    <t>品名</t>
  </si>
  <si>
    <t>规格</t>
  </si>
  <si>
    <t>件数</t>
  </si>
  <si>
    <t>发货</t>
  </si>
  <si>
    <t>库存</t>
  </si>
  <si>
    <t>杨总购亮白面、固化剂</t>
  </si>
  <si>
    <t>5017天蓝</t>
  </si>
  <si>
    <t>62桶</t>
  </si>
  <si>
    <t>全哑氟碳清漆、固化剂、稀料</t>
  </si>
  <si>
    <t>5002深蓝</t>
  </si>
  <si>
    <t>33桶</t>
  </si>
  <si>
    <t>32桶</t>
  </si>
  <si>
    <t>1桶+5kg</t>
  </si>
  <si>
    <t>泸州国标中灰</t>
  </si>
  <si>
    <t>09-1湖蓝</t>
  </si>
  <si>
    <t>43桶</t>
  </si>
  <si>
    <t>10KG</t>
  </si>
  <si>
    <t>氟碳银珠定制、固化剂、稀料</t>
  </si>
  <si>
    <t>09-2正黄</t>
  </si>
  <si>
    <t>36桶</t>
  </si>
  <si>
    <t>3桶</t>
  </si>
  <si>
    <t>5017天蓝：泸州</t>
  </si>
  <si>
    <t>用</t>
  </si>
  <si>
    <t>白色浆：泸州</t>
  </si>
  <si>
    <t>白浆：150</t>
  </si>
  <si>
    <t>147KG/桶</t>
  </si>
  <si>
    <t>121KG</t>
  </si>
  <si>
    <t>36KG-13.5</t>
  </si>
  <si>
    <t>150+10：3.4%白浆一起磨的</t>
  </si>
  <si>
    <t>09-1湖蓝：泸州</t>
  </si>
  <si>
    <t>中黄浆:108</t>
  </si>
  <si>
    <t>104KG/桶</t>
  </si>
  <si>
    <t>46KG</t>
  </si>
  <si>
    <t>58KG</t>
  </si>
  <si>
    <t>5002深蓝：泸州</t>
  </si>
  <si>
    <t>09-2正黄：泸州</t>
  </si>
  <si>
    <t>中黄浆：泸州</t>
  </si>
  <si>
    <t>固化剂泸州</t>
  </si>
  <si>
    <t>稀释剂：都江堰</t>
  </si>
  <si>
    <t>74BG碧海云天 半哑氟碳漆、固化剂稀料</t>
  </si>
  <si>
    <t>B05国标海灰聚氨酯脂肪族1套</t>
  </si>
  <si>
    <t>白哑光脂肪族面漆（乙）、环氧底</t>
  </si>
  <si>
    <t>泸州0153定黄色、0514定蓝色</t>
  </si>
  <si>
    <t>泸州合川（中灰定）：磨白浆</t>
  </si>
  <si>
    <t>泸州合川：中灰定</t>
  </si>
  <si>
    <t>透水铁红</t>
  </si>
  <si>
    <t>阆中何总货</t>
  </si>
  <si>
    <t>泸州0514定蓝</t>
  </si>
  <si>
    <t>泸州5002、5017、09-1、09-2</t>
  </si>
  <si>
    <t>广安GB-浅蓝色</t>
  </si>
  <si>
    <t>购江门（盈）材料:4桶*190</t>
  </si>
  <si>
    <t>阆中：何总货3003</t>
  </si>
  <si>
    <t>消光剂、1037太阳黄</t>
  </si>
  <si>
    <t>钛白粉3吨*12=36000+300运费</t>
  </si>
  <si>
    <t>无货单</t>
  </si>
  <si>
    <t>武侯韩总色漆</t>
  </si>
  <si>
    <t>武侯李总货</t>
  </si>
  <si>
    <t>韩总自提纯白（卖的货）</t>
  </si>
  <si>
    <t>韩总浅灰1#改:21桶、桶盖26个（含深灰5个）</t>
  </si>
  <si>
    <t>韩总深灰2#改：16桶</t>
  </si>
  <si>
    <t>危废91kg+30KG沉淀</t>
  </si>
  <si>
    <t>武侯韩总：纯白、黑各2桶+0306:10桶、0022：26桶</t>
  </si>
  <si>
    <t>41号</t>
  </si>
  <si>
    <t>退8025B固化剂：4桶*12KG   哑光浆：4KG</t>
  </si>
  <si>
    <t>49号</t>
  </si>
  <si>
    <t>重庆合川杨总：铁红</t>
  </si>
  <si>
    <t>重庆合川杨总：中灰定</t>
  </si>
  <si>
    <t>武侯韩总淡蓝、交通蓝、晴朗蓝</t>
  </si>
  <si>
    <t>广安武胜：白色</t>
  </si>
  <si>
    <t xml:space="preserve"> 振中电气公司（三人合作的）利润和材料款</t>
  </si>
  <si>
    <t>63号</t>
  </si>
  <si>
    <t>亮光白面、亮光固化剂</t>
  </si>
  <si>
    <t>67号</t>
  </si>
  <si>
    <t>韩总：定灰、白色</t>
  </si>
  <si>
    <t>10-23日的危废41KG*6=246（未加）</t>
  </si>
  <si>
    <t>93号</t>
  </si>
  <si>
    <t>氨基稀料</t>
  </si>
  <si>
    <t>27号</t>
  </si>
  <si>
    <t>透水铁红：重庆合川</t>
  </si>
  <si>
    <t>64号</t>
  </si>
  <si>
    <t>70号</t>
  </si>
  <si>
    <t>武侯韩总：白色、浅灰、浅黄和粉红</t>
  </si>
  <si>
    <t>71号</t>
  </si>
  <si>
    <t>丙聚清漆（甲）</t>
  </si>
  <si>
    <t>72号</t>
  </si>
  <si>
    <t>丙聚清漆（乙）、稀释剂</t>
  </si>
  <si>
    <t>83号</t>
  </si>
  <si>
    <t>武侯韩总：白色、浅蓝、中蓝、深蓝</t>
  </si>
  <si>
    <t>泸州吴平浅蓝、铁红</t>
  </si>
  <si>
    <t>广安武胜：中黄浆</t>
  </si>
  <si>
    <t>7号</t>
  </si>
  <si>
    <t>武侯韩总中蓝、绿色漆</t>
  </si>
  <si>
    <t>广安武胜中黄</t>
  </si>
  <si>
    <t>28号</t>
  </si>
  <si>
    <t>47号</t>
  </si>
  <si>
    <t>泸州中灰25-12-19</t>
  </si>
  <si>
    <t>浅绿色漆</t>
  </si>
  <si>
    <t>元月</t>
  </si>
  <si>
    <t>国圣购965树脂：200*11.2=2240</t>
  </si>
  <si>
    <t>25年9月起杨总用108C树脂明细数量/kg</t>
  </si>
  <si>
    <t>数量/kg</t>
  </si>
  <si>
    <t>结存数量/kg</t>
  </si>
  <si>
    <t>杨总已付现</t>
  </si>
  <si>
    <t>2025年10月29日起杨总回款明细</t>
  </si>
  <si>
    <t>截止10月29</t>
  </si>
  <si>
    <t>结存</t>
  </si>
  <si>
    <t>2025年9月3起杨总回款明细</t>
  </si>
  <si>
    <t>截止9月3日</t>
  </si>
  <si>
    <t>购货单位（乙方）：成都振中电气有限公司  联系人：贾、杨总  2025年03月28日    编号：25-03280120A</t>
  </si>
  <si>
    <t xml:space="preserve"> 产 品 型 号
 产 品 名 称</t>
  </si>
  <si>
    <t>965丙烯酸树脂</t>
  </si>
  <si>
    <t>合成脂肪酸树脂：</t>
  </si>
  <si>
    <t>紫外线吸收剂:国圣</t>
  </si>
  <si>
    <t>抗氧剂：国圣</t>
  </si>
  <si>
    <r>
      <rPr>
        <sz val="16"/>
        <color rgb="FF00B0F0"/>
        <rFont val="宋体"/>
        <charset val="134"/>
      </rPr>
      <t>流平剂</t>
    </r>
    <r>
      <rPr>
        <sz val="12"/>
        <color rgb="FFFF0000"/>
        <rFont val="宋体"/>
        <charset val="134"/>
      </rPr>
      <t>8460</t>
    </r>
  </si>
  <si>
    <t>PMA</t>
  </si>
  <si>
    <t>G10 飞机灰脂肪族聚氨酯磁漆加工费</t>
  </si>
  <si>
    <t>成都国圣工业有限公司（五星花）送货单</t>
  </si>
  <si>
    <t>购货单位（乙方）：成都振中电气有限公司        日期：2025年03月29日       订单编号：25-0329004A</t>
  </si>
  <si>
    <t>铁红环氧底漆</t>
  </si>
  <si>
    <t>购货单位（乙方）：成都振中电气有限公司        日期：2025年05月05日       订单编号：25-0505001A</t>
  </si>
  <si>
    <t>RAL9016白色脂肪族丙烯酸聚氨酯磁漆</t>
  </si>
  <si>
    <t>脂肪族固化剂</t>
  </si>
  <si>
    <t>聚酯稀释剂</t>
  </si>
  <si>
    <t>购货单位（乙方）：成都振中电气有限公司   联系人：贾、杨总   2025年03月25日  编号：25-03250105A</t>
  </si>
  <si>
    <t>商标和货单名一样</t>
  </si>
  <si>
    <t>贾、杨总材料金额</t>
  </si>
  <si>
    <t>外部金额</t>
  </si>
  <si>
    <t>合成脂肪酸树脂：自备</t>
  </si>
  <si>
    <t>6501-80</t>
  </si>
  <si>
    <t>G10飞机灰脂肪族丙烯酸聚氨酯磁漆</t>
  </si>
  <si>
    <t>23/4：下调1.0/kg</t>
  </si>
  <si>
    <t>稀料不变</t>
  </si>
  <si>
    <t>14.53/KG</t>
  </si>
  <si>
    <t>流平剂8460</t>
  </si>
  <si>
    <t>20KG/桶*3</t>
  </si>
  <si>
    <t>H-100固化剂：自备32/KG</t>
  </si>
  <si>
    <t>亮三聚体</t>
  </si>
  <si>
    <t>5KG/桶*3</t>
  </si>
  <si>
    <t>21/KG</t>
  </si>
  <si>
    <t>脂肪族固化剂加工费</t>
  </si>
  <si>
    <t>15KG/桶*2</t>
  </si>
  <si>
    <t>聚酯稀释剂加工费</t>
  </si>
  <si>
    <t>7.31/KG</t>
  </si>
  <si>
    <t>6101-80环氧树脂:自备18/KG</t>
  </si>
  <si>
    <t>氧化铁红粉7/KG</t>
  </si>
  <si>
    <t>正丁醇:国圣</t>
  </si>
  <si>
    <t>铁红环氧底漆加工费</t>
  </si>
  <si>
    <t>7.62/KG</t>
  </si>
  <si>
    <t>650聚酰胺自备：25/KG</t>
  </si>
  <si>
    <t>正丁醇：购国圣</t>
  </si>
  <si>
    <t>20.8/KG</t>
  </si>
  <si>
    <t>环氧底固化剂加工费</t>
  </si>
  <si>
    <t>2.5KG/桶*3</t>
  </si>
  <si>
    <t>正丁醇：国圣</t>
  </si>
  <si>
    <t>7.5/KG</t>
  </si>
  <si>
    <t>环氧稀释剂加工费</t>
  </si>
  <si>
    <t>RAL9016白色脂肪族聚氨酯磁漆加工费</t>
  </si>
  <si>
    <t>66号</t>
  </si>
  <si>
    <t>H-100固化剂：国圣购</t>
  </si>
  <si>
    <t>成都振中电气三人合作的账目明细（3-4月份）</t>
  </si>
  <si>
    <t>应收款货款</t>
  </si>
  <si>
    <t>支客户返点</t>
  </si>
  <si>
    <t>支材料（成本）</t>
  </si>
  <si>
    <t>纯利润</t>
  </si>
  <si>
    <r>
      <rPr>
        <b/>
        <sz val="16"/>
        <color rgb="FF00B0F0"/>
        <rFont val="宋体"/>
        <charset val="134"/>
      </rPr>
      <t>附表1</t>
    </r>
    <r>
      <rPr>
        <b/>
        <sz val="12"/>
        <color rgb="FF00B0F0"/>
        <rFont val="宋体"/>
        <charset val="134"/>
      </rPr>
      <t>：贾杨李总三人同做产品所需材料成本明细如下：</t>
    </r>
  </si>
  <si>
    <t xml:space="preserve">内容摘要
</t>
  </si>
  <si>
    <t>合计金额/元</t>
  </si>
  <si>
    <t>材料款</t>
  </si>
  <si>
    <t>贾总</t>
  </si>
  <si>
    <t>对公税点3%</t>
  </si>
  <si>
    <r>
      <rPr>
        <b/>
        <sz val="16"/>
        <rFont val="宋体"/>
        <charset val="134"/>
      </rPr>
      <t>附:2：</t>
    </r>
    <r>
      <rPr>
        <b/>
        <sz val="12"/>
        <rFont val="宋体"/>
        <charset val="134"/>
      </rPr>
      <t>三人各自应收款明细如下：</t>
    </r>
  </si>
  <si>
    <t>李总应收款</t>
  </si>
  <si>
    <t>贾总应收款</t>
  </si>
  <si>
    <t xml:space="preserve">10月22日已付（直接杨总应付账上减的）
</t>
  </si>
  <si>
    <t>杨总应收款</t>
  </si>
  <si>
    <t xml:space="preserve">10月22日已付（直接贾总应付账上减的）
</t>
  </si>
  <si>
    <t>对公税点</t>
  </si>
  <si>
    <t>客户返点</t>
  </si>
  <si>
    <t>合计金额</t>
  </si>
  <si>
    <t>贾杨李总三人合作应收货款总计金额/元</t>
  </si>
  <si>
    <t>成都振中电气三人合作:贾总和杨总各自备的材料明细如下：</t>
  </si>
  <si>
    <t>附表1：贾杨总自备材料金额/元：1495</t>
  </si>
  <si>
    <t>附表2：杨总自备材料金额/元：256</t>
  </si>
  <si>
    <t>2025年3月贾、杨、李总三人合作材料明细表</t>
  </si>
  <si>
    <t>李总备原材料</t>
  </si>
  <si>
    <t>贾、杨总备原材料</t>
  </si>
  <si>
    <t>原材料合计金额/元</t>
  </si>
  <si>
    <t>25.7.24对公</t>
  </si>
  <si>
    <t>4月底外部20505（11295:3月+9210:4月）</t>
  </si>
  <si>
    <t xml:space="preserve"> </t>
  </si>
  <si>
    <t>原材料合计结存金额/元</t>
  </si>
  <si>
    <t>外部</t>
  </si>
  <si>
    <t>G10飞机灰聚氨酯磁漆</t>
  </si>
  <si>
    <t>环氧底固化剂、稀释剂</t>
  </si>
  <si>
    <t>脂肪族固化剂、聚酯稀释剂</t>
  </si>
  <si>
    <t>RAL9016白色聚氨酯磁漆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</si>
</sst>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_ "/>
    <numFmt numFmtId="178" formatCode="m&quot;月&quot;d&quot;日&quot;;@"/>
    <numFmt numFmtId="179" formatCode="General&quot;号&quot;"/>
    <numFmt numFmtId="180" formatCode="0.00_ "/>
    <numFmt numFmtId="181" formatCode="0_ "/>
    <numFmt numFmtId="182" formatCode="000000"/>
    <numFmt numFmtId="183" formatCode="[DBNum2][$RMB]General;[Red][DBNum2][$RMB]General"/>
    <numFmt numFmtId="184" formatCode="&quot;￥&quot;#,##0.0;&quot;￥&quot;\-#,##0.0"/>
    <numFmt numFmtId="185" formatCode="General&quot;个&quot;"/>
    <numFmt numFmtId="186" formatCode="General&quot;桶&quot;"/>
    <numFmt numFmtId="187" formatCode="General&quot;KG&quot;"/>
  </numFmts>
  <fonts count="111">
    <font>
      <sz val="12"/>
      <name val="宋体"/>
      <charset val="134"/>
    </font>
    <font>
      <sz val="12"/>
      <color rgb="FF00B0F0"/>
      <name val="宋体"/>
      <charset val="134"/>
    </font>
    <font>
      <b/>
      <sz val="20"/>
      <color rgb="FF7030A0"/>
      <name val="宋体"/>
      <charset val="134"/>
    </font>
    <font>
      <b/>
      <sz val="14"/>
      <color rgb="FF7030A0"/>
      <name val="宋体"/>
      <charset val="134"/>
    </font>
    <font>
      <b/>
      <sz val="14"/>
      <color theme="3"/>
      <name val="宋体"/>
      <charset val="134"/>
    </font>
    <font>
      <b/>
      <sz val="12"/>
      <name val="宋体"/>
      <charset val="134"/>
    </font>
    <font>
      <b/>
      <sz val="12"/>
      <color theme="3"/>
      <name val="宋体"/>
      <charset val="134"/>
    </font>
    <font>
      <b/>
      <sz val="12"/>
      <color rgb="FFFF0000"/>
      <name val="宋体"/>
      <charset val="134"/>
    </font>
    <font>
      <sz val="12"/>
      <color rgb="FFFF0000"/>
      <name val="宋体"/>
      <charset val="134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b/>
      <sz val="14"/>
      <name val="宋体"/>
      <charset val="134"/>
    </font>
    <font>
      <b/>
      <sz val="10"/>
      <name val="宋体"/>
      <charset val="134"/>
    </font>
    <font>
      <b/>
      <sz val="14"/>
      <color rgb="FF00B0F0"/>
      <name val="宋体"/>
      <charset val="134"/>
    </font>
    <font>
      <b/>
      <sz val="10"/>
      <color rgb="FF00B0F0"/>
      <name val="宋体"/>
      <charset val="134"/>
    </font>
    <font>
      <sz val="16"/>
      <name val="宋体"/>
      <charset val="134"/>
    </font>
    <font>
      <b/>
      <sz val="16"/>
      <color rgb="FF00B0F0"/>
      <name val="宋体"/>
      <charset val="134"/>
    </font>
    <font>
      <sz val="16"/>
      <color rgb="FF00B0F0"/>
      <name val="宋体"/>
      <charset val="134"/>
    </font>
    <font>
      <b/>
      <sz val="12"/>
      <color rgb="FF00B0F0"/>
      <name val="宋体"/>
      <charset val="134"/>
    </font>
    <font>
      <b/>
      <sz val="18"/>
      <name val="宋体"/>
      <charset val="134"/>
    </font>
    <font>
      <b/>
      <sz val="12"/>
      <color rgb="FF7030A0"/>
      <name val="宋体"/>
      <charset val="134"/>
    </font>
    <font>
      <b/>
      <sz val="16"/>
      <color rgb="FF7030A0"/>
      <name val="宋体"/>
      <charset val="134"/>
    </font>
    <font>
      <sz val="12"/>
      <color rgb="FF7030A0"/>
      <name val="宋体"/>
      <charset val="134"/>
    </font>
    <font>
      <sz val="8"/>
      <color rgb="FF00B0F0"/>
      <name val="宋体"/>
      <charset val="134"/>
    </font>
    <font>
      <sz val="16"/>
      <color theme="9" tint="-0.25"/>
      <name val="宋体"/>
      <charset val="134"/>
    </font>
    <font>
      <sz val="16"/>
      <color rgb="FF7030A0"/>
      <name val="宋体"/>
      <charset val="134"/>
    </font>
    <font>
      <sz val="16"/>
      <color rgb="FF002060"/>
      <name val="宋体"/>
      <charset val="134"/>
    </font>
    <font>
      <sz val="8"/>
      <name val="宋体"/>
      <charset val="134"/>
    </font>
    <font>
      <sz val="16"/>
      <color rgb="FFFF0000"/>
      <name val="宋体"/>
      <charset val="134"/>
    </font>
    <font>
      <sz val="8"/>
      <color rgb="FF7030A0"/>
      <name val="宋体"/>
      <charset val="134"/>
    </font>
    <font>
      <sz val="24"/>
      <name val="宋体"/>
      <charset val="134"/>
    </font>
    <font>
      <sz val="14"/>
      <name val="宋体"/>
      <charset val="134"/>
    </font>
    <font>
      <sz val="16"/>
      <color theme="3" tint="0.4"/>
      <name val="宋体"/>
      <charset val="134"/>
    </font>
    <font>
      <sz val="12"/>
      <color rgb="FF002060"/>
      <name val="宋体"/>
      <charset val="134"/>
    </font>
    <font>
      <sz val="8"/>
      <color rgb="FF002060"/>
      <name val="宋体"/>
      <charset val="134"/>
    </font>
    <font>
      <b/>
      <sz val="16"/>
      <color rgb="FF002060"/>
      <name val="宋体"/>
      <charset val="134"/>
    </font>
    <font>
      <sz val="8"/>
      <color rgb="FFFF0000"/>
      <name val="宋体"/>
      <charset val="134"/>
    </font>
    <font>
      <sz val="10"/>
      <name val="宋体"/>
      <charset val="134"/>
    </font>
    <font>
      <sz val="10"/>
      <color rgb="FF00B0F0"/>
      <name val="宋体"/>
      <charset val="134"/>
    </font>
    <font>
      <sz val="16"/>
      <color theme="9" tint="-0.5"/>
      <name val="宋体"/>
      <charset val="134"/>
    </font>
    <font>
      <sz val="14"/>
      <color rgb="FF00B0F0"/>
      <name val="宋体"/>
      <charset val="134"/>
    </font>
    <font>
      <b/>
      <sz val="8"/>
      <color rgb="FF00B0F0"/>
      <name val="宋体"/>
      <charset val="134"/>
    </font>
    <font>
      <sz val="9"/>
      <name val="宋体"/>
      <charset val="134"/>
    </font>
    <font>
      <sz val="10"/>
      <color theme="9" tint="-0.25"/>
      <name val="宋体"/>
      <charset val="134"/>
    </font>
    <font>
      <sz val="12"/>
      <color theme="9" tint="-0.25"/>
      <name val="宋体"/>
      <charset val="134"/>
    </font>
    <font>
      <sz val="8"/>
      <color theme="9" tint="-0.25"/>
      <name val="宋体"/>
      <charset val="134"/>
    </font>
    <font>
      <b/>
      <sz val="10"/>
      <color rgb="FFFF0000"/>
      <name val="宋体"/>
      <charset val="134"/>
    </font>
    <font>
      <sz val="10"/>
      <color rgb="FF7030A0"/>
      <name val="宋体"/>
      <charset val="134"/>
    </font>
    <font>
      <sz val="10"/>
      <color rgb="FFFF0000"/>
      <name val="宋体"/>
      <charset val="134"/>
    </font>
    <font>
      <b/>
      <sz val="10"/>
      <color rgb="FF7030A0"/>
      <name val="宋体"/>
      <charset val="134"/>
    </font>
    <font>
      <b/>
      <sz val="8"/>
      <color rgb="FFFF0000"/>
      <name val="宋体"/>
      <charset val="134"/>
    </font>
    <font>
      <sz val="12"/>
      <color theme="1"/>
      <name val="宋体"/>
      <charset val="134"/>
    </font>
    <font>
      <b/>
      <sz val="8"/>
      <color rgb="FF7030A0"/>
      <name val="宋体"/>
      <charset val="134"/>
    </font>
    <font>
      <sz val="16"/>
      <color theme="4" tint="-0.25"/>
      <name val="宋体"/>
      <charset val="134"/>
    </font>
    <font>
      <sz val="16"/>
      <color theme="1"/>
      <name val="宋体"/>
      <charset val="134"/>
    </font>
    <font>
      <sz val="8"/>
      <color theme="1"/>
      <name val="宋体"/>
      <charset val="134"/>
    </font>
    <font>
      <sz val="10"/>
      <color rgb="FF0070C0"/>
      <name val="宋体"/>
      <charset val="134"/>
    </font>
    <font>
      <sz val="9"/>
      <color theme="9" tint="-0.25"/>
      <name val="宋体"/>
      <charset val="134"/>
    </font>
    <font>
      <sz val="9"/>
      <color rgb="FF00B0F0"/>
      <name val="宋体"/>
      <charset val="134"/>
    </font>
    <font>
      <sz val="12"/>
      <color theme="5"/>
      <name val="宋体"/>
      <charset val="134"/>
    </font>
    <font>
      <b/>
      <sz val="16"/>
      <color theme="9" tint="-0.25"/>
      <name val="宋体"/>
      <charset val="134"/>
    </font>
    <font>
      <sz val="9"/>
      <color rgb="FFFF0000"/>
      <name val="宋体"/>
      <charset val="134"/>
    </font>
    <font>
      <sz val="14"/>
      <color theme="9" tint="-0.25"/>
      <name val="宋体"/>
      <charset val="134"/>
    </font>
    <font>
      <sz val="11"/>
      <color rgb="FFFF0000"/>
      <name val="宋体"/>
      <charset val="134"/>
    </font>
    <font>
      <b/>
      <sz val="18"/>
      <color rgb="FF7030A0"/>
      <name val="宋体"/>
      <charset val="134"/>
    </font>
    <font>
      <sz val="10"/>
      <color rgb="FF002060"/>
      <name val="宋体"/>
      <charset val="134"/>
    </font>
    <font>
      <sz val="14"/>
      <color rgb="FF7030A0"/>
      <name val="宋体"/>
      <charset val="134"/>
    </font>
    <font>
      <sz val="14"/>
      <color rgb="FFFF0000"/>
      <name val="宋体"/>
      <charset val="134"/>
    </font>
    <font>
      <b/>
      <sz val="14"/>
      <color rgb="FFFF0000"/>
      <name val="宋体"/>
      <charset val="134"/>
    </font>
    <font>
      <b/>
      <sz val="10"/>
      <color theme="9" tint="-0.25"/>
      <name val="宋体"/>
      <charset val="134"/>
    </font>
    <font>
      <b/>
      <sz val="18"/>
      <color theme="0"/>
      <name val="宋体"/>
      <charset val="134"/>
    </font>
    <font>
      <sz val="18"/>
      <color rgb="FF7030A0"/>
      <name val="宋体"/>
      <charset val="134"/>
    </font>
    <font>
      <b/>
      <sz val="16"/>
      <color theme="3"/>
      <name val="宋体"/>
      <charset val="134"/>
    </font>
    <font>
      <b/>
      <sz val="20"/>
      <color theme="0"/>
      <name val="宋体"/>
      <charset val="134"/>
    </font>
    <font>
      <b/>
      <sz val="20"/>
      <name val="宋体"/>
      <charset val="134"/>
    </font>
    <font>
      <b/>
      <sz val="14"/>
      <color theme="9" tint="-0.25"/>
      <name val="宋体"/>
      <charset val="134"/>
    </font>
    <font>
      <b/>
      <sz val="11"/>
      <name val="宋体"/>
      <charset val="134"/>
    </font>
    <font>
      <b/>
      <sz val="11"/>
      <color rgb="FFFF0000"/>
      <name val="宋体"/>
      <charset val="134"/>
    </font>
    <font>
      <sz val="18"/>
      <name val="宋体"/>
      <charset val="134"/>
    </font>
    <font>
      <sz val="18"/>
      <color rgb="FF00B0F0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0"/>
      <color theme="1"/>
      <name val="宋体"/>
      <charset val="134"/>
    </font>
    <font>
      <b/>
      <sz val="14"/>
      <color rgb="FF0070C0"/>
      <name val="宋体"/>
      <charset val="134"/>
    </font>
    <font>
      <b/>
      <sz val="10"/>
      <color rgb="FF0070C0"/>
      <name val="宋体"/>
      <charset val="134"/>
    </font>
    <font>
      <b/>
      <sz val="12"/>
      <color theme="9" tint="-0.2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00B0F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87" fillId="0" borderId="0" applyFont="0" applyFill="0" applyBorder="0" applyAlignment="0" applyProtection="0">
      <alignment vertical="center"/>
    </xf>
    <xf numFmtId="44" fontId="87" fillId="0" borderId="0" applyFont="0" applyFill="0" applyBorder="0" applyAlignment="0" applyProtection="0">
      <alignment vertical="center"/>
    </xf>
    <xf numFmtId="9" fontId="87" fillId="0" borderId="0" applyFont="0" applyFill="0" applyBorder="0" applyAlignment="0" applyProtection="0">
      <alignment vertical="center"/>
    </xf>
    <xf numFmtId="41" fontId="87" fillId="0" borderId="0" applyFont="0" applyFill="0" applyBorder="0" applyAlignment="0" applyProtection="0">
      <alignment vertical="center"/>
    </xf>
    <xf numFmtId="42" fontId="87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4" borderId="16" applyNumberFormat="0" applyFont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17" applyNumberFormat="0" applyFill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5" borderId="19" applyNumberFormat="0" applyAlignment="0" applyProtection="0">
      <alignment vertical="center"/>
    </xf>
    <xf numFmtId="0" fontId="97" fillId="6" borderId="20" applyNumberFormat="0" applyAlignment="0" applyProtection="0">
      <alignment vertical="center"/>
    </xf>
    <xf numFmtId="0" fontId="98" fillId="6" borderId="19" applyNumberFormat="0" applyAlignment="0" applyProtection="0">
      <alignment vertical="center"/>
    </xf>
    <xf numFmtId="0" fontId="99" fillId="7" borderId="21" applyNumberFormat="0" applyAlignment="0" applyProtection="0">
      <alignment vertical="center"/>
    </xf>
    <xf numFmtId="0" fontId="100" fillId="0" borderId="22" applyNumberFormat="0" applyFill="0" applyAlignment="0" applyProtection="0">
      <alignment vertical="center"/>
    </xf>
    <xf numFmtId="0" fontId="101" fillId="0" borderId="23" applyNumberFormat="0" applyFill="0" applyAlignment="0" applyProtection="0">
      <alignment vertical="center"/>
    </xf>
    <xf numFmtId="0" fontId="102" fillId="8" borderId="0" applyNumberFormat="0" applyBorder="0" applyAlignment="0" applyProtection="0">
      <alignment vertical="center"/>
    </xf>
    <xf numFmtId="0" fontId="103" fillId="9" borderId="0" applyNumberFormat="0" applyBorder="0" applyAlignment="0" applyProtection="0">
      <alignment vertical="center"/>
    </xf>
    <xf numFmtId="0" fontId="104" fillId="10" borderId="0" applyNumberFormat="0" applyBorder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5" fillId="14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7" borderId="0" applyNumberFormat="0" applyBorder="0" applyAlignment="0" applyProtection="0">
      <alignment vertical="center"/>
    </xf>
    <xf numFmtId="0" fontId="105" fillId="18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1" borderId="0" applyNumberFormat="0" applyBorder="0" applyAlignment="0" applyProtection="0">
      <alignment vertical="center"/>
    </xf>
    <xf numFmtId="0" fontId="105" fillId="22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5" borderId="0" applyNumberFormat="0" applyBorder="0" applyAlignment="0" applyProtection="0">
      <alignment vertical="center"/>
    </xf>
    <xf numFmtId="0" fontId="105" fillId="26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29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6" fillId="33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7" fillId="10" borderId="0" applyNumberFormat="0" applyBorder="0" applyAlignment="0" applyProtection="0">
      <alignment vertical="center"/>
    </xf>
    <xf numFmtId="0" fontId="0" fillId="0" borderId="0"/>
    <xf numFmtId="0" fontId="10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87" fillId="0" borderId="0"/>
    <xf numFmtId="0" fontId="87" fillId="0" borderId="0">
      <alignment vertical="center"/>
    </xf>
    <xf numFmtId="0" fontId="109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</cellStyleXfs>
  <cellXfs count="75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51" applyFont="1" applyBorder="1" applyAlignment="1">
      <alignment horizontal="center"/>
    </xf>
    <xf numFmtId="0" fontId="2" fillId="0" borderId="0" xfId="51" applyFont="1" applyFill="1" applyBorder="1" applyAlignment="1">
      <alignment horizontal="center"/>
    </xf>
    <xf numFmtId="177" fontId="2" fillId="0" borderId="0" xfId="51" applyNumberFormat="1" applyFont="1" applyBorder="1" applyAlignment="1">
      <alignment horizontal="center"/>
    </xf>
    <xf numFmtId="0" fontId="3" fillId="2" borderId="1" xfId="51" applyFont="1" applyFill="1" applyBorder="1" applyAlignment="1">
      <alignment horizontal="center" vertical="center" textRotation="255"/>
    </xf>
    <xf numFmtId="0" fontId="4" fillId="2" borderId="1" xfId="51" applyFont="1" applyFill="1" applyBorder="1" applyAlignment="1">
      <alignment horizontal="center" textRotation="255"/>
    </xf>
    <xf numFmtId="177" fontId="5" fillId="2" borderId="1" xfId="51" applyNumberFormat="1" applyFont="1" applyFill="1" applyBorder="1" applyAlignment="1">
      <alignment horizontal="center" vertical="center"/>
    </xf>
    <xf numFmtId="0" fontId="5" fillId="2" borderId="1" xfId="51" applyFont="1" applyFill="1" applyBorder="1" applyAlignment="1">
      <alignment horizontal="center" vertical="center"/>
    </xf>
    <xf numFmtId="0" fontId="6" fillId="2" borderId="1" xfId="51" applyFont="1" applyFill="1" applyBorder="1" applyAlignment="1">
      <alignment vertical="center"/>
    </xf>
    <xf numFmtId="58" fontId="7" fillId="2" borderId="1" xfId="51" applyNumberFormat="1" applyFont="1" applyFill="1" applyBorder="1" applyAlignme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77" fontId="9" fillId="2" borderId="1" xfId="51" applyNumberFormat="1" applyFont="1" applyFill="1" applyBorder="1" applyAlignment="1">
      <alignment horizontal="center" vertical="center"/>
    </xf>
    <xf numFmtId="177" fontId="10" fillId="2" borderId="1" xfId="51" applyNumberFormat="1" applyFont="1" applyFill="1" applyBorder="1" applyAlignment="1">
      <alignment horizontal="center" vertical="center"/>
    </xf>
    <xf numFmtId="0" fontId="6" fillId="2" borderId="1" xfId="51" applyFont="1" applyFill="1" applyBorder="1" applyAlignment="1">
      <alignment horizontal="center" vertical="center"/>
    </xf>
    <xf numFmtId="178" fontId="11" fillId="2" borderId="1" xfId="51" applyNumberFormat="1" applyFont="1" applyFill="1" applyBorder="1" applyAlignment="1">
      <alignment horizontal="center" vertical="center"/>
    </xf>
    <xf numFmtId="179" fontId="11" fillId="2" borderId="1" xfId="0" applyNumberFormat="1" applyFont="1" applyFill="1" applyBorder="1" applyAlignment="1">
      <alignment horizontal="center" vertical="center"/>
    </xf>
    <xf numFmtId="179" fontId="11" fillId="2" borderId="1" xfId="0" applyNumberFormat="1" applyFont="1" applyFill="1" applyBorder="1" applyAlignment="1">
      <alignment horizontal="left" vertical="center"/>
    </xf>
    <xf numFmtId="177" fontId="11" fillId="2" borderId="1" xfId="53" applyNumberFormat="1" applyFont="1" applyFill="1" applyBorder="1" applyAlignment="1">
      <alignment horizontal="center" vertical="center"/>
    </xf>
    <xf numFmtId="0" fontId="11" fillId="2" borderId="1" xfId="51" applyFont="1" applyFill="1" applyBorder="1" applyAlignment="1">
      <alignment horizontal="center" vertical="center"/>
    </xf>
    <xf numFmtId="0" fontId="12" fillId="2" borderId="2" xfId="51" applyFont="1" applyFill="1" applyBorder="1" applyAlignment="1">
      <alignment horizontal="center" vertical="center"/>
    </xf>
    <xf numFmtId="0" fontId="12" fillId="2" borderId="3" xfId="51" applyFont="1" applyFill="1" applyBorder="1" applyAlignment="1">
      <alignment horizontal="center" vertical="center"/>
    </xf>
    <xf numFmtId="0" fontId="12" fillId="2" borderId="4" xfId="51" applyFont="1" applyFill="1" applyBorder="1" applyAlignment="1">
      <alignment horizontal="center" vertical="center"/>
    </xf>
    <xf numFmtId="0" fontId="12" fillId="2" borderId="1" xfId="51" applyFont="1" applyFill="1" applyBorder="1" applyAlignment="1">
      <alignment horizontal="center" vertical="center"/>
    </xf>
    <xf numFmtId="178" fontId="13" fillId="2" borderId="1" xfId="51" applyNumberFormat="1" applyFont="1" applyFill="1" applyBorder="1" applyAlignment="1">
      <alignment horizontal="center" vertical="center"/>
    </xf>
    <xf numFmtId="179" fontId="13" fillId="2" borderId="1" xfId="0" applyNumberFormat="1" applyFont="1" applyFill="1" applyBorder="1" applyAlignment="1">
      <alignment horizontal="center" vertical="center"/>
    </xf>
    <xf numFmtId="179" fontId="13" fillId="2" borderId="1" xfId="0" applyNumberFormat="1" applyFont="1" applyFill="1" applyBorder="1" applyAlignment="1">
      <alignment horizontal="left" vertical="center"/>
    </xf>
    <xf numFmtId="177" fontId="13" fillId="2" borderId="1" xfId="53" applyNumberFormat="1" applyFont="1" applyFill="1" applyBorder="1" applyAlignment="1">
      <alignment horizontal="center" vertical="center"/>
    </xf>
    <xf numFmtId="0" fontId="13" fillId="2" borderId="1" xfId="51" applyFont="1" applyFill="1" applyBorder="1" applyAlignment="1">
      <alignment horizontal="center" vertical="center"/>
    </xf>
    <xf numFmtId="0" fontId="14" fillId="2" borderId="2" xfId="51" applyFont="1" applyFill="1" applyBorder="1" applyAlignment="1">
      <alignment horizontal="center" vertical="center"/>
    </xf>
    <xf numFmtId="0" fontId="14" fillId="2" borderId="4" xfId="51" applyFont="1" applyFill="1" applyBorder="1" applyAlignment="1">
      <alignment horizontal="center" vertical="center"/>
    </xf>
    <xf numFmtId="0" fontId="14" fillId="2" borderId="1" xfId="5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center"/>
    </xf>
    <xf numFmtId="58" fontId="15" fillId="0" borderId="1" xfId="0" applyNumberFormat="1" applyFont="1" applyBorder="1" applyAlignment="1">
      <alignment horizontal="center" vertical="center"/>
    </xf>
    <xf numFmtId="17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180" fontId="15" fillId="0" borderId="1" xfId="0" applyNumberFormat="1" applyFont="1" applyBorder="1" applyAlignment="1">
      <alignment horizontal="center" vertical="center"/>
    </xf>
    <xf numFmtId="181" fontId="5" fillId="0" borderId="1" xfId="0" applyNumberFormat="1" applyFont="1" applyBorder="1">
      <alignment vertical="center"/>
    </xf>
    <xf numFmtId="58" fontId="16" fillId="0" borderId="1" xfId="0" applyNumberFormat="1" applyFont="1" applyBorder="1" applyAlignment="1">
      <alignment horizontal="left"/>
    </xf>
    <xf numFmtId="58" fontId="17" fillId="0" borderId="1" xfId="0" applyNumberFormat="1" applyFont="1" applyBorder="1" applyAlignment="1">
      <alignment horizontal="center"/>
    </xf>
    <xf numFmtId="58" fontId="17" fillId="0" borderId="1" xfId="0" applyNumberFormat="1" applyFont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180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58" fontId="17" fillId="0" borderId="0" xfId="0" applyNumberFormat="1" applyFont="1" applyAlignment="1">
      <alignment horizontal="center" vertical="center"/>
    </xf>
    <xf numFmtId="0" fontId="5" fillId="0" borderId="1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9" fillId="0" borderId="5" xfId="0" applyNumberFormat="1" applyFont="1" applyFill="1" applyBorder="1" applyAlignment="1" applyProtection="1">
      <alignment horizontal="center" vertical="center"/>
    </xf>
    <xf numFmtId="0" fontId="9" fillId="0" borderId="6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>
      <alignment horizontal="center" vertical="center"/>
    </xf>
    <xf numFmtId="0" fontId="9" fillId="0" borderId="8" xfId="0" applyNumberFormat="1" applyFont="1" applyFill="1" applyBorder="1" applyAlignment="1" applyProtection="1">
      <alignment horizontal="right" vertical="center"/>
    </xf>
    <xf numFmtId="0" fontId="9" fillId="0" borderId="9" xfId="0" applyNumberFormat="1" applyFont="1" applyFill="1" applyBorder="1" applyAlignment="1" applyProtection="1">
      <alignment horizontal="right" vertical="center"/>
    </xf>
    <xf numFmtId="0" fontId="16" fillId="0" borderId="5" xfId="0" applyFont="1" applyBorder="1" applyAlignment="1">
      <alignment horizontal="left" vertical="center"/>
    </xf>
    <xf numFmtId="0" fontId="18" fillId="0" borderId="6" xfId="0" applyFont="1" applyFill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18" fillId="0" borderId="1" xfId="0" applyFont="1" applyBorder="1" applyAlignment="1">
      <alignment vertical="center"/>
    </xf>
    <xf numFmtId="0" fontId="13" fillId="0" borderId="1" xfId="0" applyNumberFormat="1" applyFont="1" applyFill="1" applyBorder="1" applyAlignment="1" applyProtection="1"/>
    <xf numFmtId="0" fontId="13" fillId="0" borderId="1" xfId="0" applyNumberFormat="1" applyFont="1" applyFill="1" applyBorder="1" applyAlignment="1" applyProtection="1">
      <alignment horizontal="center"/>
    </xf>
    <xf numFmtId="0" fontId="13" fillId="0" borderId="2" xfId="0" applyNumberFormat="1" applyFont="1" applyFill="1" applyBorder="1" applyAlignment="1" applyProtection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NumberFormat="1" applyFont="1" applyFill="1" applyBorder="1" applyAlignment="1" applyProtection="1"/>
    <xf numFmtId="0" fontId="16" fillId="0" borderId="1" xfId="0" applyNumberFormat="1" applyFont="1" applyFill="1" applyBorder="1" applyAlignment="1" applyProtection="1">
      <alignment horizontal="center"/>
    </xf>
    <xf numFmtId="0" fontId="16" fillId="0" borderId="1" xfId="0" applyNumberFormat="1" applyFont="1" applyFill="1" applyBorder="1" applyAlignment="1" applyProtection="1">
      <alignment horizontal="center" vertical="center"/>
    </xf>
    <xf numFmtId="0" fontId="13" fillId="0" borderId="3" xfId="0" applyNumberFormat="1" applyFont="1" applyFill="1" applyBorder="1" applyAlignment="1" applyProtection="1">
      <alignment horizontal="center"/>
    </xf>
    <xf numFmtId="0" fontId="16" fillId="0" borderId="1" xfId="0" applyNumberFormat="1" applyFont="1" applyFill="1" applyBorder="1" applyAlignment="1" applyProtection="1">
      <alignment vertical="center"/>
    </xf>
    <xf numFmtId="0" fontId="16" fillId="2" borderId="1" xfId="0" applyNumberFormat="1" applyFont="1" applyFill="1" applyBorder="1" applyAlignment="1" applyProtection="1">
      <alignment horizontal="center"/>
    </xf>
    <xf numFmtId="0" fontId="18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13" fillId="0" borderId="4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0" fontId="20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81" fontId="21" fillId="0" borderId="1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9" fillId="0" borderId="5" xfId="0" applyNumberFormat="1" applyFont="1" applyFill="1" applyBorder="1" applyAlignment="1" applyProtection="1">
      <alignment horizontal="right" vertical="center"/>
    </xf>
    <xf numFmtId="0" fontId="9" fillId="0" borderId="6" xfId="0" applyNumberFormat="1" applyFont="1" applyFill="1" applyBorder="1" applyAlignment="1" applyProtection="1">
      <alignment horizontal="right" vertical="center"/>
    </xf>
    <xf numFmtId="0" fontId="9" fillId="0" borderId="7" xfId="0" applyNumberFormat="1" applyFont="1" applyFill="1" applyBorder="1" applyAlignment="1" applyProtection="1">
      <alignment horizontal="righ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Fill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2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77" fontId="9" fillId="0" borderId="1" xfId="0" applyNumberFormat="1" applyFont="1" applyBorder="1">
      <alignment vertical="center"/>
    </xf>
    <xf numFmtId="179" fontId="17" fillId="0" borderId="0" xfId="0" applyNumberFormat="1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80" fontId="17" fillId="0" borderId="0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0" fontId="23" fillId="0" borderId="0" xfId="0" applyFont="1">
      <alignment vertical="center"/>
    </xf>
    <xf numFmtId="58" fontId="17" fillId="0" borderId="0" xfId="0" applyNumberFormat="1" applyFont="1" applyBorder="1" applyAlignment="1">
      <alignment horizontal="left" vertical="center" wrapText="1"/>
    </xf>
    <xf numFmtId="58" fontId="17" fillId="0" borderId="0" xfId="0" applyNumberFormat="1" applyFont="1" applyBorder="1" applyAlignment="1">
      <alignment horizontal="left" vertical="center"/>
    </xf>
    <xf numFmtId="0" fontId="24" fillId="0" borderId="0" xfId="0" applyFont="1" applyBorder="1" applyAlignment="1">
      <alignment horizontal="center" vertical="center"/>
    </xf>
    <xf numFmtId="180" fontId="24" fillId="0" borderId="0" xfId="0" applyNumberFormat="1" applyFont="1" applyBorder="1" applyAlignment="1">
      <alignment horizontal="center" vertical="center"/>
    </xf>
    <xf numFmtId="58" fontId="1" fillId="0" borderId="0" xfId="0" applyNumberFormat="1" applyFont="1">
      <alignment vertical="center"/>
    </xf>
    <xf numFmtId="0" fontId="17" fillId="0" borderId="0" xfId="0" applyFont="1" applyAlignment="1">
      <alignment vertical="center"/>
    </xf>
    <xf numFmtId="0" fontId="25" fillId="0" borderId="0" xfId="0" applyFont="1">
      <alignment vertical="center"/>
    </xf>
    <xf numFmtId="58" fontId="26" fillId="0" borderId="0" xfId="0" applyNumberFormat="1" applyFont="1" applyBorder="1" applyAlignment="1">
      <alignment horizontal="left" vertical="center" wrapText="1"/>
    </xf>
    <xf numFmtId="58" fontId="26" fillId="0" borderId="0" xfId="0" applyNumberFormat="1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80" fontId="26" fillId="0" borderId="0" xfId="0" applyNumberFormat="1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177" fontId="17" fillId="0" borderId="0" xfId="0" applyNumberFormat="1" applyFont="1">
      <alignment vertical="center"/>
    </xf>
    <xf numFmtId="58" fontId="15" fillId="0" borderId="0" xfId="0" applyNumberFormat="1" applyFont="1" applyAlignment="1">
      <alignment horizontal="center" vertical="center"/>
    </xf>
    <xf numFmtId="179" fontId="15" fillId="0" borderId="0" xfId="0" applyNumberFormat="1" applyFont="1" applyBorder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180" fontId="25" fillId="0" borderId="0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27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80" fontId="15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58" fontId="25" fillId="0" borderId="0" xfId="0" applyNumberFormat="1" applyFont="1" applyAlignment="1">
      <alignment horizontal="center" vertical="center"/>
    </xf>
    <xf numFmtId="179" fontId="25" fillId="0" borderId="0" xfId="0" applyNumberFormat="1" applyFont="1" applyBorder="1" applyAlignment="1">
      <alignment horizontal="center" vertical="center"/>
    </xf>
    <xf numFmtId="58" fontId="25" fillId="0" borderId="0" xfId="0" applyNumberFormat="1" applyFont="1" applyBorder="1" applyAlignment="1">
      <alignment horizontal="left" vertical="center" wrapText="1"/>
    </xf>
    <xf numFmtId="58" fontId="25" fillId="0" borderId="0" xfId="0" applyNumberFormat="1" applyFont="1" applyBorder="1" applyAlignment="1">
      <alignment horizontal="left" vertical="center"/>
    </xf>
    <xf numFmtId="177" fontId="24" fillId="0" borderId="0" xfId="0" applyNumberFormat="1" applyFont="1">
      <alignment vertical="center"/>
    </xf>
    <xf numFmtId="0" fontId="15" fillId="0" borderId="0" xfId="0" applyFont="1" applyAlignment="1">
      <alignment horizontal="right" vertical="center"/>
    </xf>
    <xf numFmtId="58" fontId="15" fillId="0" borderId="0" xfId="0" applyNumberFormat="1" applyFont="1" applyBorder="1" applyAlignment="1">
      <alignment horizontal="left" vertical="center" wrapText="1"/>
    </xf>
    <xf numFmtId="58" fontId="15" fillId="0" borderId="0" xfId="0" applyNumberFormat="1" applyFont="1" applyBorder="1" applyAlignment="1">
      <alignment horizontal="left" vertical="center"/>
    </xf>
    <xf numFmtId="0" fontId="15" fillId="0" borderId="0" xfId="0" applyFont="1" applyAlignment="1">
      <alignment vertical="center"/>
    </xf>
    <xf numFmtId="177" fontId="15" fillId="0" borderId="0" xfId="0" applyNumberFormat="1" applyFont="1">
      <alignment vertical="center"/>
    </xf>
    <xf numFmtId="0" fontId="29" fillId="0" borderId="0" xfId="0" applyFont="1">
      <alignment vertical="center"/>
    </xf>
    <xf numFmtId="0" fontId="2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30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/>
    </xf>
    <xf numFmtId="0" fontId="15" fillId="0" borderId="8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center" vertical="center"/>
    </xf>
    <xf numFmtId="0" fontId="15" fillId="0" borderId="2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180" fontId="25" fillId="0" borderId="1" xfId="0" applyNumberFormat="1" applyFont="1" applyBorder="1" applyAlignment="1">
      <alignment horizontal="center" vertical="center"/>
    </xf>
    <xf numFmtId="0" fontId="15" fillId="0" borderId="7" xfId="0" applyFont="1" applyBorder="1">
      <alignment vertical="center"/>
    </xf>
    <xf numFmtId="58" fontId="25" fillId="0" borderId="1" xfId="0" applyNumberFormat="1" applyFont="1" applyBorder="1" applyAlignment="1">
      <alignment horizontal="left" vertical="center" wrapText="1"/>
    </xf>
    <xf numFmtId="58" fontId="25" fillId="0" borderId="1" xfId="0" applyNumberFormat="1" applyFont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180" fontId="24" fillId="0" borderId="1" xfId="0" applyNumberFormat="1" applyFont="1" applyBorder="1" applyAlignment="1">
      <alignment horizontal="center" vertical="center"/>
    </xf>
    <xf numFmtId="182" fontId="15" fillId="0" borderId="1" xfId="0" applyNumberFormat="1" applyFont="1" applyFill="1" applyBorder="1" applyAlignment="1">
      <alignment horizontal="left" vertical="center"/>
    </xf>
    <xf numFmtId="183" fontId="15" fillId="0" borderId="1" xfId="0" applyNumberFormat="1" applyFont="1" applyFill="1" applyBorder="1" applyAlignment="1">
      <alignment horizontal="left" vertical="center"/>
    </xf>
    <xf numFmtId="184" fontId="15" fillId="0" borderId="1" xfId="0" applyNumberFormat="1" applyFont="1" applyBorder="1" applyAlignment="1">
      <alignment horizontal="center" vertical="center"/>
    </xf>
    <xf numFmtId="0" fontId="15" fillId="0" borderId="11" xfId="0" applyNumberFormat="1" applyFont="1" applyFill="1" applyBorder="1" applyAlignment="1">
      <alignment vertical="center"/>
    </xf>
    <xf numFmtId="0" fontId="31" fillId="0" borderId="8" xfId="0" applyFont="1" applyFill="1" applyBorder="1" applyAlignment="1">
      <alignment horizontal="left" vertical="center" textRotation="255"/>
    </xf>
    <xf numFmtId="0" fontId="31" fillId="0" borderId="10" xfId="0" applyFont="1" applyFill="1" applyBorder="1" applyAlignment="1">
      <alignment horizontal="left" vertical="center" wrapText="1" readingOrder="1"/>
    </xf>
    <xf numFmtId="0" fontId="31" fillId="0" borderId="9" xfId="0" applyFont="1" applyFill="1" applyBorder="1" applyAlignment="1">
      <alignment horizontal="left" vertical="center" wrapText="1" readingOrder="1"/>
    </xf>
    <xf numFmtId="0" fontId="31" fillId="0" borderId="12" xfId="0" applyFont="1" applyFill="1" applyBorder="1" applyAlignment="1">
      <alignment horizontal="left" vertical="center" textRotation="255"/>
    </xf>
    <xf numFmtId="0" fontId="31" fillId="0" borderId="0" xfId="0" applyFont="1" applyFill="1" applyBorder="1" applyAlignment="1">
      <alignment horizontal="left" vertical="center" wrapText="1" readingOrder="1"/>
    </xf>
    <xf numFmtId="0" fontId="31" fillId="0" borderId="13" xfId="0" applyFont="1" applyFill="1" applyBorder="1" applyAlignment="1">
      <alignment horizontal="left" vertical="center" wrapText="1" readingOrder="1"/>
    </xf>
    <xf numFmtId="0" fontId="31" fillId="0" borderId="14" xfId="0" applyFont="1" applyFill="1" applyBorder="1" applyAlignment="1">
      <alignment horizontal="left" vertical="center" textRotation="255"/>
    </xf>
    <xf numFmtId="0" fontId="31" fillId="0" borderId="15" xfId="0" applyFont="1" applyFill="1" applyBorder="1" applyAlignment="1">
      <alignment horizontal="left" vertical="center" wrapText="1" readingOrder="1"/>
    </xf>
    <xf numFmtId="0" fontId="31" fillId="0" borderId="11" xfId="0" applyFont="1" applyFill="1" applyBorder="1" applyAlignment="1">
      <alignment horizontal="left" vertical="center" wrapText="1" readingOrder="1"/>
    </xf>
    <xf numFmtId="0" fontId="31" fillId="0" borderId="0" xfId="0" applyFont="1" applyFill="1" applyBorder="1" applyAlignment="1">
      <alignment horizontal="left" vertical="center"/>
    </xf>
    <xf numFmtId="0" fontId="31" fillId="0" borderId="0" xfId="0" applyFont="1" applyFill="1" applyAlignment="1">
      <alignment horizontal="left" vertical="center"/>
    </xf>
    <xf numFmtId="58" fontId="26" fillId="0" borderId="1" xfId="0" applyNumberFormat="1" applyFont="1" applyBorder="1" applyAlignment="1">
      <alignment horizontal="center" vertical="center" wrapText="1"/>
    </xf>
    <xf numFmtId="58" fontId="26" fillId="0" borderId="1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80" fontId="26" fillId="0" borderId="1" xfId="0" applyNumberFormat="1" applyFont="1" applyBorder="1" applyAlignment="1">
      <alignment horizontal="center" vertical="center"/>
    </xf>
    <xf numFmtId="0" fontId="31" fillId="0" borderId="7" xfId="0" applyNumberFormat="1" applyFont="1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58" fontId="17" fillId="0" borderId="5" xfId="0" applyNumberFormat="1" applyFont="1" applyBorder="1" applyAlignment="1">
      <alignment horizontal="right" vertical="center" wrapText="1"/>
    </xf>
    <xf numFmtId="58" fontId="17" fillId="0" borderId="6" xfId="0" applyNumberFormat="1" applyFont="1" applyBorder="1" applyAlignment="1">
      <alignment horizontal="right" vertical="center"/>
    </xf>
    <xf numFmtId="58" fontId="17" fillId="0" borderId="7" xfId="0" applyNumberFormat="1" applyFont="1" applyBorder="1" applyAlignment="1">
      <alignment horizontal="right" vertical="center"/>
    </xf>
    <xf numFmtId="180" fontId="32" fillId="0" borderId="1" xfId="0" applyNumberFormat="1" applyFont="1" applyBorder="1" applyAlignment="1">
      <alignment horizontal="center" vertical="center"/>
    </xf>
    <xf numFmtId="58" fontId="17" fillId="0" borderId="1" xfId="0" applyNumberFormat="1" applyFont="1" applyBorder="1" applyAlignment="1">
      <alignment horizontal="left" vertical="center" wrapText="1"/>
    </xf>
    <xf numFmtId="58" fontId="17" fillId="0" borderId="1" xfId="0" applyNumberFormat="1" applyFont="1" applyBorder="1" applyAlignment="1">
      <alignment horizontal="left" vertical="center"/>
    </xf>
    <xf numFmtId="0" fontId="15" fillId="0" borderId="7" xfId="0" applyNumberFormat="1" applyFont="1" applyFill="1" applyBorder="1" applyAlignment="1">
      <alignment vertical="center"/>
    </xf>
    <xf numFmtId="58" fontId="17" fillId="0" borderId="5" xfId="0" applyNumberFormat="1" applyFont="1" applyBorder="1" applyAlignment="1">
      <alignment horizontal="center" vertical="center" wrapText="1"/>
    </xf>
    <xf numFmtId="58" fontId="17" fillId="0" borderId="6" xfId="0" applyNumberFormat="1" applyFont="1" applyBorder="1" applyAlignment="1">
      <alignment horizontal="center" vertical="center"/>
    </xf>
    <xf numFmtId="58" fontId="17" fillId="0" borderId="7" xfId="0" applyNumberFormat="1" applyFont="1" applyBorder="1" applyAlignment="1">
      <alignment horizontal="center" vertical="center"/>
    </xf>
    <xf numFmtId="0" fontId="4" fillId="2" borderId="1" xfId="51" applyFont="1" applyFill="1" applyBorder="1" applyAlignment="1">
      <alignment horizontal="center" vertical="center"/>
    </xf>
    <xf numFmtId="58" fontId="18" fillId="0" borderId="1" xfId="0" applyNumberFormat="1" applyFont="1" applyBorder="1" applyAlignment="1">
      <alignment horizontal="center" vertical="center"/>
    </xf>
    <xf numFmtId="179" fontId="7" fillId="2" borderId="1" xfId="0" applyNumberFormat="1" applyFont="1" applyFill="1" applyBorder="1" applyAlignment="1">
      <alignment horizontal="center" vertical="center"/>
    </xf>
    <xf numFmtId="179" fontId="7" fillId="2" borderId="1" xfId="0" applyNumberFormat="1" applyFont="1" applyFill="1" applyBorder="1" applyAlignment="1">
      <alignment horizontal="left" vertical="center"/>
    </xf>
    <xf numFmtId="177" fontId="7" fillId="2" borderId="1" xfId="53" applyNumberFormat="1" applyFont="1" applyFill="1" applyBorder="1" applyAlignment="1">
      <alignment horizontal="center" vertical="center"/>
    </xf>
    <xf numFmtId="0" fontId="7" fillId="2" borderId="1" xfId="51" applyFont="1" applyFill="1" applyBorder="1" applyAlignment="1">
      <alignment horizontal="center" vertical="center"/>
    </xf>
    <xf numFmtId="0" fontId="12" fillId="2" borderId="1" xfId="51" applyFont="1" applyFill="1" applyBorder="1" applyAlignment="1">
      <alignment vertical="center"/>
    </xf>
    <xf numFmtId="58" fontId="5" fillId="0" borderId="1" xfId="0" applyNumberFormat="1" applyFont="1" applyBorder="1" applyAlignment="1">
      <alignment horizontal="center" vertical="center"/>
    </xf>
    <xf numFmtId="0" fontId="18" fillId="2" borderId="1" xfId="51" applyFont="1" applyFill="1" applyBorder="1" applyAlignment="1">
      <alignment horizontal="center" vertical="center"/>
    </xf>
    <xf numFmtId="178" fontId="7" fillId="2" borderId="1" xfId="51" applyNumberFormat="1" applyFont="1" applyFill="1" applyBorder="1" applyAlignment="1">
      <alignment horizontal="center" vertical="center"/>
    </xf>
    <xf numFmtId="178" fontId="20" fillId="2" borderId="1" xfId="51" applyNumberFormat="1" applyFont="1" applyFill="1" applyBorder="1" applyAlignment="1">
      <alignment horizontal="center" vertical="center"/>
    </xf>
    <xf numFmtId="179" fontId="20" fillId="2" borderId="1" xfId="0" applyNumberFormat="1" applyFont="1" applyFill="1" applyBorder="1" applyAlignment="1">
      <alignment horizontal="center" vertical="center"/>
    </xf>
    <xf numFmtId="179" fontId="20" fillId="2" borderId="1" xfId="0" applyNumberFormat="1" applyFont="1" applyFill="1" applyBorder="1" applyAlignment="1">
      <alignment horizontal="left" vertical="center"/>
    </xf>
    <xf numFmtId="177" fontId="20" fillId="2" borderId="1" xfId="53" applyNumberFormat="1" applyFont="1" applyFill="1" applyBorder="1" applyAlignment="1">
      <alignment horizontal="center" vertical="center"/>
    </xf>
    <xf numFmtId="0" fontId="20" fillId="2" borderId="1" xfId="51" applyFont="1" applyFill="1" applyBorder="1" applyAlignment="1">
      <alignment horizontal="center" vertical="center"/>
    </xf>
    <xf numFmtId="178" fontId="5" fillId="2" borderId="1" xfId="51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79" fontId="5" fillId="2" borderId="1" xfId="0" applyNumberFormat="1" applyFont="1" applyFill="1" applyBorder="1" applyAlignment="1">
      <alignment horizontal="left" vertical="center"/>
    </xf>
    <xf numFmtId="177" fontId="5" fillId="2" borderId="1" xfId="53" applyNumberFormat="1" applyFont="1" applyFill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58" fontId="28" fillId="0" borderId="1" xfId="0" applyNumberFormat="1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0" fontId="28" fillId="0" borderId="1" xfId="0" applyFont="1" applyBorder="1" applyAlignment="1">
      <alignment horizontal="center" vertical="center"/>
    </xf>
    <xf numFmtId="58" fontId="17" fillId="0" borderId="4" xfId="0" applyNumberFormat="1" applyFont="1" applyBorder="1" applyAlignment="1">
      <alignment horizontal="center" vertical="center"/>
    </xf>
    <xf numFmtId="0" fontId="17" fillId="0" borderId="4" xfId="0" applyFont="1" applyBorder="1">
      <alignment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5" fillId="0" borderId="0" xfId="0" applyFont="1">
      <alignment vertical="center"/>
    </xf>
    <xf numFmtId="178" fontId="18" fillId="2" borderId="1" xfId="51" applyNumberFormat="1" applyFont="1" applyFill="1" applyBorder="1" applyAlignment="1">
      <alignment horizontal="center" vertical="center"/>
    </xf>
    <xf numFmtId="179" fontId="18" fillId="2" borderId="1" xfId="0" applyNumberFormat="1" applyFont="1" applyFill="1" applyBorder="1" applyAlignment="1">
      <alignment horizontal="center" vertical="center"/>
    </xf>
    <xf numFmtId="179" fontId="18" fillId="2" borderId="1" xfId="0" applyNumberFormat="1" applyFont="1" applyFill="1" applyBorder="1" applyAlignment="1">
      <alignment horizontal="left" vertical="center"/>
    </xf>
    <xf numFmtId="177" fontId="18" fillId="2" borderId="1" xfId="53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0" xfId="0" applyFont="1" applyBorder="1">
      <alignment vertical="center"/>
    </xf>
    <xf numFmtId="0" fontId="15" fillId="0" borderId="0" xfId="0" applyFont="1" applyBorder="1">
      <alignment vertical="center"/>
    </xf>
    <xf numFmtId="0" fontId="33" fillId="0" borderId="0" xfId="0" applyFont="1">
      <alignment vertical="center"/>
    </xf>
    <xf numFmtId="0" fontId="17" fillId="0" borderId="0" xfId="0" applyFont="1" applyBorder="1">
      <alignment vertical="center"/>
    </xf>
    <xf numFmtId="0" fontId="1" fillId="0" borderId="0" xfId="0" applyFont="1" applyBorder="1">
      <alignment vertical="center"/>
    </xf>
    <xf numFmtId="0" fontId="24" fillId="0" borderId="0" xfId="0" applyFont="1" applyBorder="1">
      <alignment vertical="center"/>
    </xf>
    <xf numFmtId="0" fontId="25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27" fillId="0" borderId="1" xfId="0" applyFont="1" applyBorder="1">
      <alignment vertical="center"/>
    </xf>
    <xf numFmtId="58" fontId="15" fillId="0" borderId="5" xfId="0" applyNumberFormat="1" applyFont="1" applyBorder="1" applyAlignment="1">
      <alignment horizontal="center" vertical="center"/>
    </xf>
    <xf numFmtId="58" fontId="15" fillId="0" borderId="6" xfId="0" applyNumberFormat="1" applyFont="1" applyBorder="1" applyAlignment="1">
      <alignment horizontal="center" vertical="center"/>
    </xf>
    <xf numFmtId="58" fontId="15" fillId="0" borderId="7" xfId="0" applyNumberFormat="1" applyFont="1" applyBorder="1" applyAlignment="1">
      <alignment horizontal="center" vertical="center"/>
    </xf>
    <xf numFmtId="0" fontId="24" fillId="0" borderId="0" xfId="0" applyFont="1">
      <alignment vertical="center"/>
    </xf>
    <xf numFmtId="0" fontId="18" fillId="0" borderId="0" xfId="0" applyFont="1">
      <alignment vertical="center"/>
    </xf>
    <xf numFmtId="0" fontId="9" fillId="0" borderId="0" xfId="0" applyFont="1">
      <alignment vertical="center"/>
    </xf>
    <xf numFmtId="0" fontId="16" fillId="0" borderId="0" xfId="0" applyFont="1">
      <alignment vertical="center"/>
    </xf>
    <xf numFmtId="58" fontId="15" fillId="0" borderId="0" xfId="0" applyNumberFormat="1" applyFont="1" applyBorder="1" applyAlignment="1">
      <alignment horizontal="center" vertical="center"/>
    </xf>
    <xf numFmtId="0" fontId="27" fillId="0" borderId="0" xfId="0" applyFont="1" applyBorder="1">
      <alignment vertical="center"/>
    </xf>
    <xf numFmtId="0" fontId="9" fillId="0" borderId="0" xfId="0" applyFont="1" applyBorder="1">
      <alignment vertical="center"/>
    </xf>
    <xf numFmtId="0" fontId="28" fillId="0" borderId="0" xfId="0" applyFont="1" applyBorder="1">
      <alignment vertical="center"/>
    </xf>
    <xf numFmtId="0" fontId="28" fillId="0" borderId="0" xfId="0" applyFont="1" applyAlignment="1">
      <alignment horizontal="center" vertical="center"/>
    </xf>
    <xf numFmtId="178" fontId="15" fillId="0" borderId="0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180" fontId="15" fillId="0" borderId="0" xfId="0" applyNumberFormat="1" applyFont="1" applyBorder="1" applyAlignment="1">
      <alignment horizontal="left" vertical="center"/>
    </xf>
    <xf numFmtId="58" fontId="26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34" fillId="0" borderId="0" xfId="0" applyFont="1">
      <alignment vertical="center"/>
    </xf>
    <xf numFmtId="0" fontId="35" fillId="0" borderId="0" xfId="0" applyFont="1">
      <alignment vertical="center"/>
    </xf>
    <xf numFmtId="180" fontId="32" fillId="0" borderId="0" xfId="0" applyNumberFormat="1" applyFont="1" applyBorder="1" applyAlignment="1">
      <alignment horizontal="center" vertical="center"/>
    </xf>
    <xf numFmtId="58" fontId="28" fillId="0" borderId="0" xfId="0" applyNumberFormat="1" applyFont="1" applyAlignment="1">
      <alignment horizontal="center" vertical="center"/>
    </xf>
    <xf numFmtId="179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180" fontId="28" fillId="0" borderId="0" xfId="0" applyNumberFormat="1" applyFont="1" applyBorder="1" applyAlignment="1">
      <alignment horizontal="center" vertical="center"/>
    </xf>
    <xf numFmtId="0" fontId="36" fillId="0" borderId="0" xfId="0" applyFont="1">
      <alignment vertical="center"/>
    </xf>
    <xf numFmtId="180" fontId="17" fillId="0" borderId="0" xfId="0" applyNumberFormat="1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77" fontId="24" fillId="0" borderId="0" xfId="0" applyNumberFormat="1" applyFont="1" applyBorder="1" applyAlignment="1">
      <alignment horizontal="center" vertical="center"/>
    </xf>
    <xf numFmtId="177" fontId="15" fillId="0" borderId="0" xfId="0" applyNumberFormat="1" applyFont="1" applyBorder="1" applyAlignment="1">
      <alignment horizontal="center" vertical="center"/>
    </xf>
    <xf numFmtId="177" fontId="5" fillId="0" borderId="0" xfId="0" applyNumberFormat="1" applyFont="1" applyBorder="1" applyAlignment="1">
      <alignment horizontal="left" vertical="center"/>
    </xf>
    <xf numFmtId="178" fontId="17" fillId="0" borderId="0" xfId="0" applyNumberFormat="1" applyFont="1" applyBorder="1" applyAlignment="1">
      <alignment horizontal="center" vertical="center"/>
    </xf>
    <xf numFmtId="58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177" fontId="18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177" fontId="17" fillId="0" borderId="0" xfId="0" applyNumberFormat="1" applyFont="1" applyBorder="1" applyAlignment="1">
      <alignment horizontal="center" vertical="center"/>
    </xf>
    <xf numFmtId="0" fontId="38" fillId="0" borderId="0" xfId="0" applyFont="1" applyBorder="1" applyAlignment="1">
      <alignment horizontal="left" vertical="center"/>
    </xf>
    <xf numFmtId="0" fontId="39" fillId="0" borderId="0" xfId="0" applyFont="1">
      <alignment vertical="center"/>
    </xf>
    <xf numFmtId="0" fontId="39" fillId="0" borderId="0" xfId="0" applyFont="1" applyBorder="1" applyAlignment="1">
      <alignment horizontal="center" vertical="center"/>
    </xf>
    <xf numFmtId="177" fontId="39" fillId="0" borderId="0" xfId="0" applyNumberFormat="1" applyFont="1" applyBorder="1" applyAlignment="1">
      <alignment horizontal="center" vertical="center"/>
    </xf>
    <xf numFmtId="180" fontId="39" fillId="0" borderId="0" xfId="0" applyNumberFormat="1" applyFont="1" applyBorder="1" applyAlignment="1">
      <alignment horizontal="center" vertical="center"/>
    </xf>
    <xf numFmtId="0" fontId="39" fillId="0" borderId="0" xfId="0" applyFont="1" applyBorder="1">
      <alignment vertical="center"/>
    </xf>
    <xf numFmtId="177" fontId="7" fillId="0" borderId="0" xfId="0" applyNumberFormat="1" applyFont="1" applyBorder="1" applyAlignment="1">
      <alignment horizontal="left" vertical="center"/>
    </xf>
    <xf numFmtId="177" fontId="0" fillId="0" borderId="0" xfId="0" applyNumberFormat="1" applyFont="1" applyBorder="1" applyAlignment="1">
      <alignment horizontal="left" vertical="center"/>
    </xf>
    <xf numFmtId="0" fontId="40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18" fillId="0" borderId="0" xfId="0" applyFont="1" applyBorder="1">
      <alignment vertical="center"/>
    </xf>
    <xf numFmtId="0" fontId="23" fillId="0" borderId="0" xfId="0" applyFont="1" applyBorder="1">
      <alignment vertical="center"/>
    </xf>
    <xf numFmtId="0" fontId="41" fillId="0" borderId="0" xfId="0" applyFont="1" applyBorder="1" applyAlignment="1">
      <alignment horizontal="right" vertical="center"/>
    </xf>
    <xf numFmtId="0" fontId="42" fillId="0" borderId="0" xfId="0" applyFont="1" applyBorder="1" applyAlignment="1">
      <alignment horizontal="left" vertical="center"/>
    </xf>
    <xf numFmtId="177" fontId="37" fillId="0" borderId="0" xfId="0" applyNumberFormat="1" applyFont="1" applyBorder="1" applyAlignment="1">
      <alignment horizontal="left" vertical="center"/>
    </xf>
    <xf numFmtId="0" fontId="16" fillId="0" borderId="0" xfId="0" applyFont="1" applyBorder="1">
      <alignment vertical="center"/>
    </xf>
    <xf numFmtId="177" fontId="38" fillId="0" borderId="0" xfId="0" applyNumberFormat="1" applyFont="1" applyBorder="1" applyAlignment="1">
      <alignment horizontal="left" vertical="center"/>
    </xf>
    <xf numFmtId="58" fontId="24" fillId="0" borderId="0" xfId="0" applyNumberFormat="1" applyFont="1" applyBorder="1" applyAlignment="1">
      <alignment horizontal="center" vertical="center"/>
    </xf>
    <xf numFmtId="177" fontId="43" fillId="0" borderId="0" xfId="0" applyNumberFormat="1" applyFont="1" applyBorder="1" applyAlignment="1">
      <alignment horizontal="left" vertical="center"/>
    </xf>
    <xf numFmtId="0" fontId="44" fillId="0" borderId="0" xfId="0" applyFont="1" applyBorder="1" applyAlignment="1">
      <alignment horizontal="left" vertical="center"/>
    </xf>
    <xf numFmtId="0" fontId="45" fillId="0" borderId="0" xfId="0" applyFont="1">
      <alignment vertical="center"/>
    </xf>
    <xf numFmtId="177" fontId="12" fillId="0" borderId="0" xfId="0" applyNumberFormat="1" applyFont="1" applyBorder="1" applyAlignment="1">
      <alignment horizontal="left" vertical="center"/>
    </xf>
    <xf numFmtId="177" fontId="46" fillId="0" borderId="0" xfId="0" applyNumberFormat="1" applyFont="1" applyBorder="1" applyAlignment="1">
      <alignment horizontal="left" vertical="center"/>
    </xf>
    <xf numFmtId="177" fontId="14" fillId="0" borderId="0" xfId="0" applyNumberFormat="1" applyFont="1" applyBorder="1" applyAlignment="1">
      <alignment horizontal="left" vertical="center"/>
    </xf>
    <xf numFmtId="58" fontId="25" fillId="0" borderId="0" xfId="0" applyNumberFormat="1" applyFont="1" applyBorder="1" applyAlignment="1">
      <alignment horizontal="center" vertical="center"/>
    </xf>
    <xf numFmtId="177" fontId="47" fillId="0" borderId="0" xfId="0" applyNumberFormat="1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177" fontId="48" fillId="0" borderId="0" xfId="0" applyNumberFormat="1" applyFont="1" applyBorder="1" applyAlignment="1">
      <alignment horizontal="left" vertical="center"/>
    </xf>
    <xf numFmtId="177" fontId="49" fillId="0" borderId="0" xfId="0" applyNumberFormat="1" applyFont="1" applyBorder="1" applyAlignment="1">
      <alignment horizontal="left" vertical="center"/>
    </xf>
    <xf numFmtId="58" fontId="28" fillId="0" borderId="0" xfId="0" applyNumberFormat="1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36" fillId="0" borderId="0" xfId="0" applyFont="1" applyBorder="1">
      <alignment vertical="center"/>
    </xf>
    <xf numFmtId="0" fontId="50" fillId="0" borderId="0" xfId="0" applyFont="1" applyBorder="1" applyAlignment="1">
      <alignment horizontal="right" vertical="center"/>
    </xf>
    <xf numFmtId="58" fontId="17" fillId="0" borderId="0" xfId="0" applyNumberFormat="1" applyFont="1" applyAlignment="1">
      <alignment vertical="center"/>
    </xf>
    <xf numFmtId="58" fontId="15" fillId="0" borderId="0" xfId="0" applyNumberFormat="1" applyFont="1" applyAlignment="1">
      <alignment vertical="center"/>
    </xf>
    <xf numFmtId="17" fontId="15" fillId="0" borderId="0" xfId="0" applyNumberFormat="1" applyFont="1" applyBorder="1" applyAlignment="1">
      <alignment horizontal="left" vertical="center"/>
    </xf>
    <xf numFmtId="0" fontId="51" fillId="0" borderId="0" xfId="0" applyFont="1">
      <alignment vertical="center"/>
    </xf>
    <xf numFmtId="0" fontId="52" fillId="0" borderId="1" xfId="0" applyFont="1" applyBorder="1">
      <alignment vertical="center"/>
    </xf>
    <xf numFmtId="0" fontId="27" fillId="0" borderId="0" xfId="0" applyFont="1" applyAlignment="1">
      <alignment horizontal="center" vertical="center"/>
    </xf>
    <xf numFmtId="0" fontId="26" fillId="0" borderId="0" xfId="0" applyFont="1" applyBorder="1">
      <alignment vertical="center"/>
    </xf>
    <xf numFmtId="58" fontId="42" fillId="0" borderId="0" xfId="0" applyNumberFormat="1" applyFont="1" applyAlignment="1">
      <alignment horizontal="center"/>
    </xf>
    <xf numFmtId="58" fontId="48" fillId="0" borderId="0" xfId="0" applyNumberFormat="1" applyFont="1" applyAlignment="1">
      <alignment horizontal="center" vertical="center"/>
    </xf>
    <xf numFmtId="180" fontId="45" fillId="0" borderId="0" xfId="0" applyNumberFormat="1" applyFont="1" applyBorder="1" applyAlignment="1">
      <alignment horizontal="center" vertical="center"/>
    </xf>
    <xf numFmtId="180" fontId="45" fillId="0" borderId="0" xfId="0" applyNumberFormat="1" applyFont="1" applyAlignment="1">
      <alignment horizontal="left" vertical="center"/>
    </xf>
    <xf numFmtId="0" fontId="50" fillId="0" borderId="0" xfId="0" applyFont="1" applyAlignment="1">
      <alignment horizontal="right" vertical="center"/>
    </xf>
    <xf numFmtId="180" fontId="50" fillId="0" borderId="0" xfId="0" applyNumberFormat="1" applyFont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180" fontId="53" fillId="0" borderId="0" xfId="0" applyNumberFormat="1" applyFont="1" applyBorder="1" applyAlignment="1">
      <alignment horizontal="center" vertical="center"/>
    </xf>
    <xf numFmtId="0" fontId="48" fillId="0" borderId="0" xfId="0" applyFont="1">
      <alignment vertical="center"/>
    </xf>
    <xf numFmtId="58" fontId="54" fillId="0" borderId="0" xfId="0" applyNumberFormat="1" applyFont="1" applyAlignment="1">
      <alignment horizontal="center" vertical="center"/>
    </xf>
    <xf numFmtId="179" fontId="54" fillId="0" borderId="0" xfId="0" applyNumberFormat="1" applyFont="1" applyBorder="1" applyAlignment="1">
      <alignment horizontal="center" vertical="center"/>
    </xf>
    <xf numFmtId="0" fontId="54" fillId="0" borderId="0" xfId="0" applyFont="1">
      <alignment vertical="center"/>
    </xf>
    <xf numFmtId="0" fontId="54" fillId="0" borderId="0" xfId="0" applyFont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180" fontId="54" fillId="0" borderId="0" xfId="0" applyNumberFormat="1" applyFont="1" applyBorder="1" applyAlignment="1">
      <alignment horizontal="center" vertical="center"/>
    </xf>
    <xf numFmtId="0" fontId="55" fillId="0" borderId="0" xfId="0" applyFont="1">
      <alignment vertical="center"/>
    </xf>
    <xf numFmtId="0" fontId="37" fillId="0" borderId="0" xfId="0" applyFont="1">
      <alignment vertical="center"/>
    </xf>
    <xf numFmtId="0" fontId="44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42" fillId="0" borderId="0" xfId="0" applyFont="1">
      <alignment vertical="center"/>
    </xf>
    <xf numFmtId="0" fontId="58" fillId="0" borderId="0" xfId="0" applyFont="1">
      <alignment vertical="center"/>
    </xf>
    <xf numFmtId="0" fontId="38" fillId="0" borderId="0" xfId="0" applyFont="1">
      <alignment vertical="center"/>
    </xf>
    <xf numFmtId="0" fontId="59" fillId="0" borderId="0" xfId="0" applyFont="1">
      <alignment vertical="center"/>
    </xf>
    <xf numFmtId="180" fontId="15" fillId="0" borderId="0" xfId="0" applyNumberFormat="1" applyFont="1">
      <alignment vertical="center"/>
    </xf>
    <xf numFmtId="0" fontId="15" fillId="0" borderId="0" xfId="0" applyFont="1" applyFill="1" applyBorder="1" applyAlignment="1">
      <alignment horizontal="center" vertical="center"/>
    </xf>
    <xf numFmtId="185" fontId="15" fillId="0" borderId="0" xfId="0" applyNumberFormat="1" applyFont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60" fillId="0" borderId="0" xfId="0" applyFont="1" applyAlignment="1">
      <alignment horizontal="left" vertical="center"/>
    </xf>
    <xf numFmtId="185" fontId="17" fillId="0" borderId="0" xfId="0" applyNumberFormat="1" applyFont="1" applyBorder="1" applyAlignment="1">
      <alignment horizontal="center" vertical="center"/>
    </xf>
    <xf numFmtId="178" fontId="28" fillId="0" borderId="0" xfId="0" applyNumberFormat="1" applyFont="1" applyBorder="1" applyAlignment="1">
      <alignment horizontal="center" vertical="center"/>
    </xf>
    <xf numFmtId="0" fontId="61" fillId="0" borderId="0" xfId="0" applyFont="1">
      <alignment vertical="center"/>
    </xf>
    <xf numFmtId="0" fontId="31" fillId="0" borderId="0" xfId="0" applyFont="1">
      <alignment vertical="center"/>
    </xf>
    <xf numFmtId="0" fontId="40" fillId="0" borderId="0" xfId="0" applyFont="1">
      <alignment vertical="center"/>
    </xf>
    <xf numFmtId="0" fontId="62" fillId="0" borderId="0" xfId="0" applyFont="1">
      <alignment vertical="center"/>
    </xf>
    <xf numFmtId="178" fontId="25" fillId="0" borderId="0" xfId="0" applyNumberFormat="1" applyFont="1" applyBorder="1" applyAlignment="1">
      <alignment horizontal="center" vertical="center"/>
    </xf>
    <xf numFmtId="180" fontId="22" fillId="0" borderId="0" xfId="0" applyNumberFormat="1" applyFont="1" applyBorder="1" applyAlignment="1">
      <alignment horizontal="left" vertical="center"/>
    </xf>
    <xf numFmtId="0" fontId="47" fillId="0" borderId="0" xfId="0" applyFont="1" applyBorder="1" applyAlignment="1">
      <alignment horizontal="left" vertical="center"/>
    </xf>
    <xf numFmtId="180" fontId="1" fillId="0" borderId="0" xfId="0" applyNumberFormat="1" applyFont="1" applyBorder="1" applyAlignment="1">
      <alignment horizontal="left" vertical="center"/>
    </xf>
    <xf numFmtId="180" fontId="0" fillId="0" borderId="0" xfId="0" applyNumberFormat="1" applyFont="1" applyBorder="1" applyAlignment="1">
      <alignment horizontal="left" vertical="center"/>
    </xf>
    <xf numFmtId="179" fontId="63" fillId="0" borderId="0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left" vertical="center"/>
    </xf>
    <xf numFmtId="0" fontId="48" fillId="0" borderId="0" xfId="0" applyFont="1" applyBorder="1" applyAlignment="1">
      <alignment horizontal="left" vertical="center"/>
    </xf>
    <xf numFmtId="177" fontId="1" fillId="0" borderId="0" xfId="0" applyNumberFormat="1" applyFont="1" applyBorder="1" applyAlignment="1">
      <alignment horizontal="left" vertical="center"/>
    </xf>
    <xf numFmtId="0" fontId="46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2" fillId="0" borderId="1" xfId="0" applyFont="1" applyBorder="1" applyAlignment="1">
      <alignment horizontal="center" vertical="center"/>
    </xf>
    <xf numFmtId="0" fontId="64" fillId="3" borderId="1" xfId="0" applyFont="1" applyFill="1" applyBorder="1" applyAlignment="1">
      <alignment horizontal="center" vertical="center"/>
    </xf>
    <xf numFmtId="0" fontId="64" fillId="3" borderId="1" xfId="0" applyFont="1" applyFill="1" applyBorder="1" applyAlignment="1">
      <alignment horizontal="left" vertical="center"/>
    </xf>
    <xf numFmtId="0" fontId="52" fillId="0" borderId="1" xfId="0" applyFont="1" applyBorder="1" applyAlignment="1">
      <alignment horizontal="left" vertical="center"/>
    </xf>
    <xf numFmtId="0" fontId="52" fillId="0" borderId="1" xfId="0" applyFont="1" applyBorder="1" applyAlignment="1">
      <alignment horizontal="right" vertical="center"/>
    </xf>
    <xf numFmtId="0" fontId="27" fillId="0" borderId="4" xfId="0" applyFont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20" fillId="0" borderId="0" xfId="0" applyFont="1">
      <alignment vertical="center"/>
    </xf>
    <xf numFmtId="178" fontId="26" fillId="0" borderId="0" xfId="0" applyNumberFormat="1" applyFont="1" applyBorder="1" applyAlignment="1">
      <alignment horizontal="center" vertical="center"/>
    </xf>
    <xf numFmtId="179" fontId="26" fillId="0" borderId="0" xfId="0" applyNumberFormat="1" applyFont="1" applyBorder="1" applyAlignment="1">
      <alignment horizontal="center" vertical="center"/>
    </xf>
    <xf numFmtId="58" fontId="26" fillId="0" borderId="0" xfId="0" applyNumberFormat="1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65" fillId="0" borderId="0" xfId="0" applyFont="1" applyBorder="1" applyAlignment="1">
      <alignment horizontal="left" vertical="center"/>
    </xf>
    <xf numFmtId="0" fontId="31" fillId="0" borderId="0" xfId="0" applyFont="1" applyBorder="1">
      <alignment vertical="center"/>
    </xf>
    <xf numFmtId="0" fontId="25" fillId="0" borderId="0" xfId="0" applyFont="1" applyBorder="1" applyAlignment="1">
      <alignment horizontal="left" vertical="center"/>
    </xf>
    <xf numFmtId="0" fontId="28" fillId="0" borderId="0" xfId="0" applyFont="1" applyBorder="1" applyAlignment="1">
      <alignment horizontal="left" vertical="center"/>
    </xf>
    <xf numFmtId="186" fontId="28" fillId="0" borderId="0" xfId="0" applyNumberFormat="1" applyFont="1" applyFill="1" applyBorder="1" applyAlignment="1">
      <alignment horizontal="center" vertical="center"/>
    </xf>
    <xf numFmtId="0" fontId="24" fillId="0" borderId="0" xfId="0" applyFont="1" applyBorder="1" applyAlignment="1">
      <alignment horizontal="left" vertical="center"/>
    </xf>
    <xf numFmtId="186" fontId="17" fillId="0" borderId="0" xfId="0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right" vertical="center"/>
    </xf>
    <xf numFmtId="180" fontId="17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180" fontId="15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185" fontId="17" fillId="0" borderId="0" xfId="0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177" fontId="28" fillId="0" borderId="0" xfId="0" applyNumberFormat="1" applyFont="1">
      <alignment vertical="center"/>
    </xf>
    <xf numFmtId="0" fontId="14" fillId="0" borderId="0" xfId="0" applyFont="1">
      <alignment vertical="center"/>
    </xf>
    <xf numFmtId="0" fontId="43" fillId="0" borderId="0" xfId="0" applyFont="1">
      <alignment vertical="center"/>
    </xf>
    <xf numFmtId="177" fontId="28" fillId="0" borderId="0" xfId="0" applyNumberFormat="1" applyFont="1" applyBorder="1" applyAlignment="1">
      <alignment horizontal="center" vertical="center"/>
    </xf>
    <xf numFmtId="0" fontId="66" fillId="0" borderId="0" xfId="0" applyFont="1">
      <alignment vertical="center"/>
    </xf>
    <xf numFmtId="0" fontId="67" fillId="0" borderId="0" xfId="0" applyFont="1" applyBorder="1" applyAlignment="1">
      <alignment horizontal="left" vertical="center"/>
    </xf>
    <xf numFmtId="0" fontId="61" fillId="0" borderId="0" xfId="0" applyFont="1" applyBorder="1" applyAlignment="1">
      <alignment horizontal="left" vertical="center"/>
    </xf>
    <xf numFmtId="179" fontId="15" fillId="0" borderId="0" xfId="0" applyNumberFormat="1" applyFont="1" applyAlignment="1">
      <alignment horizontal="center" vertical="center"/>
    </xf>
    <xf numFmtId="0" fontId="12" fillId="0" borderId="0" xfId="0" applyFont="1">
      <alignment vertical="center"/>
    </xf>
    <xf numFmtId="177" fontId="0" fillId="0" borderId="0" xfId="0" applyNumberFormat="1">
      <alignment vertical="center"/>
    </xf>
    <xf numFmtId="0" fontId="9" fillId="2" borderId="1" xfId="51" applyFont="1" applyFill="1" applyBorder="1" applyAlignment="1">
      <alignment horizontal="center" vertical="center"/>
    </xf>
    <xf numFmtId="0" fontId="19" fillId="2" borderId="1" xfId="51" applyFont="1" applyFill="1" applyBorder="1" applyAlignment="1">
      <alignment horizontal="center" vertical="center"/>
    </xf>
    <xf numFmtId="0" fontId="12" fillId="2" borderId="7" xfId="51" applyFont="1" applyFill="1" applyBorder="1" applyAlignment="1">
      <alignment vertical="center"/>
    </xf>
    <xf numFmtId="179" fontId="68" fillId="2" borderId="1" xfId="0" applyNumberFormat="1" applyFont="1" applyFill="1" applyBorder="1" applyAlignment="1">
      <alignment horizontal="left" vertical="center"/>
    </xf>
    <xf numFmtId="0" fontId="64" fillId="0" borderId="12" xfId="51" applyFont="1" applyBorder="1" applyAlignment="1">
      <alignment horizontal="center"/>
    </xf>
    <xf numFmtId="0" fontId="64" fillId="0" borderId="0" xfId="51" applyFont="1" applyFill="1" applyAlignment="1">
      <alignment horizontal="center"/>
    </xf>
    <xf numFmtId="177" fontId="64" fillId="0" borderId="0" xfId="51" applyNumberFormat="1" applyFont="1" applyAlignment="1">
      <alignment horizontal="center"/>
    </xf>
    <xf numFmtId="0" fontId="64" fillId="0" borderId="0" xfId="51" applyFont="1" applyAlignment="1">
      <alignment horizontal="center"/>
    </xf>
    <xf numFmtId="0" fontId="3" fillId="2" borderId="8" xfId="51" applyFont="1" applyFill="1" applyBorder="1" applyAlignment="1">
      <alignment horizontal="center" vertical="center" textRotation="255"/>
    </xf>
    <xf numFmtId="0" fontId="4" fillId="2" borderId="8" xfId="51" applyFont="1" applyFill="1" applyBorder="1" applyAlignment="1">
      <alignment horizontal="center" textRotation="255"/>
    </xf>
    <xf numFmtId="177" fontId="5" fillId="2" borderId="7" xfId="51" applyNumberFormat="1" applyFont="1" applyFill="1" applyBorder="1" applyAlignment="1">
      <alignment horizontal="center" vertical="center"/>
    </xf>
    <xf numFmtId="0" fontId="5" fillId="2" borderId="7" xfId="51" applyFont="1" applyFill="1" applyBorder="1" applyAlignment="1">
      <alignment horizontal="center" vertical="center"/>
    </xf>
    <xf numFmtId="0" fontId="6" fillId="2" borderId="5" xfId="51" applyFont="1" applyFill="1" applyBorder="1" applyAlignment="1">
      <alignment horizontal="center" vertical="center"/>
    </xf>
    <xf numFmtId="0" fontId="6" fillId="2" borderId="7" xfId="51" applyFont="1" applyFill="1" applyBorder="1" applyAlignment="1">
      <alignment horizontal="center" vertical="center"/>
    </xf>
    <xf numFmtId="0" fontId="3" fillId="2" borderId="12" xfId="51" applyFont="1" applyFill="1" applyBorder="1" applyAlignment="1">
      <alignment horizontal="center" vertical="center" textRotation="255"/>
    </xf>
    <xf numFmtId="0" fontId="4" fillId="2" borderId="12" xfId="51" applyFont="1" applyFill="1" applyBorder="1" applyAlignment="1">
      <alignment horizontal="center" textRotation="255"/>
    </xf>
    <xf numFmtId="177" fontId="9" fillId="2" borderId="9" xfId="51" applyNumberFormat="1" applyFont="1" applyFill="1" applyBorder="1" applyAlignment="1">
      <alignment horizontal="center" vertical="center"/>
    </xf>
    <xf numFmtId="0" fontId="9" fillId="2" borderId="9" xfId="51" applyFont="1" applyFill="1" applyBorder="1" applyAlignment="1">
      <alignment horizontal="center" vertical="center"/>
    </xf>
    <xf numFmtId="0" fontId="19" fillId="2" borderId="8" xfId="51" applyFont="1" applyFill="1" applyBorder="1" applyAlignment="1">
      <alignment horizontal="center" vertical="center"/>
    </xf>
    <xf numFmtId="0" fontId="19" fillId="2" borderId="9" xfId="51" applyFont="1" applyFill="1" applyBorder="1" applyAlignment="1">
      <alignment horizontal="center" vertical="center"/>
    </xf>
    <xf numFmtId="177" fontId="9" fillId="2" borderId="11" xfId="51" applyNumberFormat="1" applyFont="1" applyFill="1" applyBorder="1" applyAlignment="1">
      <alignment horizontal="center" vertical="center"/>
    </xf>
    <xf numFmtId="0" fontId="9" fillId="2" borderId="11" xfId="51" applyFont="1" applyFill="1" applyBorder="1" applyAlignment="1">
      <alignment horizontal="center" vertical="center"/>
    </xf>
    <xf numFmtId="0" fontId="19" fillId="2" borderId="14" xfId="51" applyFont="1" applyFill="1" applyBorder="1" applyAlignment="1">
      <alignment horizontal="center" vertical="center"/>
    </xf>
    <xf numFmtId="0" fontId="19" fillId="2" borderId="11" xfId="51" applyFont="1" applyFill="1" applyBorder="1" applyAlignment="1">
      <alignment horizontal="center" vertical="center"/>
    </xf>
    <xf numFmtId="0" fontId="3" fillId="2" borderId="14" xfId="51" applyFont="1" applyFill="1" applyBorder="1" applyAlignment="1">
      <alignment horizontal="center" vertical="center" textRotation="255"/>
    </xf>
    <xf numFmtId="0" fontId="4" fillId="2" borderId="14" xfId="51" applyFont="1" applyFill="1" applyBorder="1" applyAlignment="1">
      <alignment horizontal="center" textRotation="255"/>
    </xf>
    <xf numFmtId="178" fontId="14" fillId="2" borderId="5" xfId="51" applyNumberFormat="1" applyFont="1" applyFill="1" applyBorder="1" applyAlignment="1">
      <alignment horizontal="center" vertical="center"/>
    </xf>
    <xf numFmtId="179" fontId="14" fillId="2" borderId="1" xfId="0" applyNumberFormat="1" applyFont="1" applyFill="1" applyBorder="1" applyAlignment="1">
      <alignment horizontal="center" vertical="center"/>
    </xf>
    <xf numFmtId="179" fontId="18" fillId="2" borderId="7" xfId="0" applyNumberFormat="1" applyFont="1" applyFill="1" applyBorder="1" applyAlignment="1">
      <alignment horizontal="left" vertical="center"/>
    </xf>
    <xf numFmtId="177" fontId="18" fillId="2" borderId="7" xfId="53" applyNumberFormat="1" applyFont="1" applyFill="1" applyBorder="1" applyAlignment="1">
      <alignment horizontal="center" vertical="center"/>
    </xf>
    <xf numFmtId="178" fontId="46" fillId="2" borderId="5" xfId="51" applyNumberFormat="1" applyFont="1" applyFill="1" applyBorder="1" applyAlignment="1">
      <alignment horizontal="center" vertical="center"/>
    </xf>
    <xf numFmtId="179" fontId="46" fillId="2" borderId="1" xfId="0" applyNumberFormat="1" applyFont="1" applyFill="1" applyBorder="1" applyAlignment="1">
      <alignment horizontal="center" vertical="center"/>
    </xf>
    <xf numFmtId="179" fontId="7" fillId="2" borderId="7" xfId="0" applyNumberFormat="1" applyFont="1" applyFill="1" applyBorder="1" applyAlignment="1">
      <alignment horizontal="left" vertical="center"/>
    </xf>
    <xf numFmtId="177" fontId="7" fillId="2" borderId="7" xfId="53" applyNumberFormat="1" applyFont="1" applyFill="1" applyBorder="1" applyAlignment="1">
      <alignment horizontal="center" vertical="center"/>
    </xf>
    <xf numFmtId="178" fontId="12" fillId="2" borderId="5" xfId="51" applyNumberFormat="1" applyFont="1" applyFill="1" applyBorder="1" applyAlignment="1">
      <alignment horizontal="center" vertical="center"/>
    </xf>
    <xf numFmtId="179" fontId="12" fillId="2" borderId="1" xfId="0" applyNumberFormat="1" applyFont="1" applyFill="1" applyBorder="1" applyAlignment="1">
      <alignment horizontal="center" vertical="center"/>
    </xf>
    <xf numFmtId="179" fontId="12" fillId="2" borderId="7" xfId="0" applyNumberFormat="1" applyFont="1" applyFill="1" applyBorder="1" applyAlignment="1">
      <alignment horizontal="left" vertical="center"/>
    </xf>
    <xf numFmtId="177" fontId="12" fillId="2" borderId="7" xfId="53" applyNumberFormat="1" applyFont="1" applyFill="1" applyBorder="1" applyAlignment="1">
      <alignment horizontal="center" vertical="center"/>
    </xf>
    <xf numFmtId="186" fontId="5" fillId="2" borderId="1" xfId="51" applyNumberFormat="1" applyFont="1" applyFill="1" applyBorder="1" applyAlignment="1">
      <alignment horizontal="left" vertical="center"/>
    </xf>
    <xf numFmtId="179" fontId="46" fillId="2" borderId="7" xfId="0" applyNumberFormat="1" applyFont="1" applyFill="1" applyBorder="1" applyAlignment="1">
      <alignment horizontal="left" vertical="center"/>
    </xf>
    <xf numFmtId="177" fontId="46" fillId="2" borderId="7" xfId="53" applyNumberFormat="1" applyFont="1" applyFill="1" applyBorder="1" applyAlignment="1">
      <alignment horizontal="center" vertical="center"/>
    </xf>
    <xf numFmtId="0" fontId="46" fillId="2" borderId="1" xfId="51" applyFont="1" applyFill="1" applyBorder="1" applyAlignment="1">
      <alignment horizontal="center" vertical="center"/>
    </xf>
    <xf numFmtId="181" fontId="12" fillId="2" borderId="1" xfId="51" applyNumberFormat="1" applyFont="1" applyFill="1" applyBorder="1" applyAlignment="1">
      <alignment horizontal="center" vertical="center"/>
    </xf>
    <xf numFmtId="186" fontId="20" fillId="2" borderId="1" xfId="51" applyNumberFormat="1" applyFont="1" applyFill="1" applyBorder="1" applyAlignment="1">
      <alignment horizontal="left" vertical="center"/>
    </xf>
    <xf numFmtId="178" fontId="49" fillId="2" borderId="5" xfId="51" applyNumberFormat="1" applyFont="1" applyFill="1" applyBorder="1" applyAlignment="1">
      <alignment horizontal="center" vertical="center"/>
    </xf>
    <xf numFmtId="179" fontId="49" fillId="2" borderId="1" xfId="0" applyNumberFormat="1" applyFont="1" applyFill="1" applyBorder="1" applyAlignment="1">
      <alignment horizontal="center" vertical="center"/>
    </xf>
    <xf numFmtId="179" fontId="49" fillId="2" borderId="7" xfId="0" applyNumberFormat="1" applyFont="1" applyFill="1" applyBorder="1" applyAlignment="1">
      <alignment horizontal="left" vertical="center"/>
    </xf>
    <xf numFmtId="177" fontId="49" fillId="2" borderId="7" xfId="53" applyNumberFormat="1" applyFont="1" applyFill="1" applyBorder="1" applyAlignment="1">
      <alignment horizontal="center" vertical="center"/>
    </xf>
    <xf numFmtId="0" fontId="49" fillId="2" borderId="1" xfId="51" applyFont="1" applyFill="1" applyBorder="1" applyAlignment="1">
      <alignment horizontal="center" vertical="center"/>
    </xf>
    <xf numFmtId="178" fontId="69" fillId="2" borderId="5" xfId="51" applyNumberFormat="1" applyFont="1" applyFill="1" applyBorder="1" applyAlignment="1">
      <alignment horizontal="center" vertical="center"/>
    </xf>
    <xf numFmtId="179" fontId="69" fillId="2" borderId="1" xfId="0" applyNumberFormat="1" applyFont="1" applyFill="1" applyBorder="1" applyAlignment="1">
      <alignment horizontal="center" vertical="center"/>
    </xf>
    <xf numFmtId="179" fontId="69" fillId="2" borderId="7" xfId="0" applyNumberFormat="1" applyFont="1" applyFill="1" applyBorder="1" applyAlignment="1">
      <alignment horizontal="left" vertical="center"/>
    </xf>
    <xf numFmtId="177" fontId="69" fillId="2" borderId="7" xfId="53" applyNumberFormat="1" applyFont="1" applyFill="1" applyBorder="1" applyAlignment="1">
      <alignment horizontal="center" vertical="center"/>
    </xf>
    <xf numFmtId="0" fontId="69" fillId="2" borderId="1" xfId="51" applyFont="1" applyFill="1" applyBorder="1" applyAlignment="1">
      <alignment horizontal="center" vertical="center"/>
    </xf>
    <xf numFmtId="178" fontId="18" fillId="2" borderId="5" xfId="51" applyNumberFormat="1" applyFont="1" applyFill="1" applyBorder="1" applyAlignment="1">
      <alignment horizontal="center" vertical="center"/>
    </xf>
    <xf numFmtId="0" fontId="5" fillId="2" borderId="1" xfId="51" applyFont="1" applyFill="1" applyBorder="1" applyAlignment="1">
      <alignment vertical="center"/>
    </xf>
    <xf numFmtId="178" fontId="5" fillId="2" borderId="5" xfId="51" applyNumberFormat="1" applyFont="1" applyFill="1" applyBorder="1" applyAlignment="1">
      <alignment horizontal="center" vertical="center"/>
    </xf>
    <xf numFmtId="179" fontId="5" fillId="2" borderId="7" xfId="0" applyNumberFormat="1" applyFont="1" applyFill="1" applyBorder="1" applyAlignment="1">
      <alignment horizontal="left" vertical="center"/>
    </xf>
    <xf numFmtId="177" fontId="5" fillId="2" borderId="7" xfId="53" applyNumberFormat="1" applyFont="1" applyFill="1" applyBorder="1" applyAlignment="1">
      <alignment horizontal="center" vertical="center"/>
    </xf>
    <xf numFmtId="178" fontId="7" fillId="2" borderId="5" xfId="51" applyNumberFormat="1" applyFont="1" applyFill="1" applyBorder="1" applyAlignment="1">
      <alignment horizontal="center" vertical="center"/>
    </xf>
    <xf numFmtId="0" fontId="7" fillId="2" borderId="1" xfId="51" applyFont="1" applyFill="1" applyBorder="1" applyAlignment="1">
      <alignment vertical="center"/>
    </xf>
    <xf numFmtId="178" fontId="5" fillId="2" borderId="8" xfId="51" applyNumberFormat="1" applyFont="1" applyFill="1" applyBorder="1" applyAlignment="1">
      <alignment horizontal="center" vertical="center"/>
    </xf>
    <xf numFmtId="178" fontId="5" fillId="2" borderId="10" xfId="51" applyNumberFormat="1" applyFont="1" applyFill="1" applyBorder="1" applyAlignment="1">
      <alignment horizontal="center" vertical="center"/>
    </xf>
    <xf numFmtId="178" fontId="5" fillId="2" borderId="9" xfId="5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178" fontId="5" fillId="2" borderId="14" xfId="51" applyNumberFormat="1" applyFont="1" applyFill="1" applyBorder="1" applyAlignment="1">
      <alignment horizontal="center" vertical="center"/>
    </xf>
    <xf numFmtId="179" fontId="5" fillId="2" borderId="4" xfId="0" applyNumberFormat="1" applyFont="1" applyFill="1" applyBorder="1" applyAlignment="1">
      <alignment horizontal="center" vertical="center"/>
    </xf>
    <xf numFmtId="179" fontId="5" fillId="2" borderId="11" xfId="0" applyNumberFormat="1" applyFont="1" applyFill="1" applyBorder="1" applyAlignment="1">
      <alignment horizontal="left" vertical="center"/>
    </xf>
    <xf numFmtId="177" fontId="5" fillId="2" borderId="11" xfId="53" applyNumberFormat="1" applyFont="1" applyFill="1" applyBorder="1" applyAlignment="1">
      <alignment horizontal="center" vertical="center"/>
    </xf>
    <xf numFmtId="0" fontId="5" fillId="2" borderId="4" xfId="51" applyFont="1" applyFill="1" applyBorder="1" applyAlignment="1">
      <alignment horizontal="center" vertical="center"/>
    </xf>
    <xf numFmtId="186" fontId="5" fillId="2" borderId="4" xfId="51" applyNumberFormat="1" applyFont="1" applyFill="1" applyBorder="1" applyAlignment="1">
      <alignment horizontal="left" vertical="center"/>
    </xf>
    <xf numFmtId="186" fontId="7" fillId="2" borderId="1" xfId="51" applyNumberFormat="1" applyFont="1" applyFill="1" applyBorder="1" applyAlignment="1">
      <alignment horizontal="left" vertical="center"/>
    </xf>
    <xf numFmtId="178" fontId="20" fillId="2" borderId="5" xfId="51" applyNumberFormat="1" applyFont="1" applyFill="1" applyBorder="1" applyAlignment="1">
      <alignment horizontal="center" vertical="center"/>
    </xf>
    <xf numFmtId="179" fontId="20" fillId="2" borderId="7" xfId="0" applyNumberFormat="1" applyFont="1" applyFill="1" applyBorder="1" applyAlignment="1">
      <alignment horizontal="left" vertical="center"/>
    </xf>
    <xf numFmtId="177" fontId="20" fillId="2" borderId="7" xfId="53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79" fontId="12" fillId="2" borderId="7" xfId="0" applyNumberFormat="1" applyFont="1" applyFill="1" applyBorder="1" applyAlignment="1">
      <alignment horizontal="center" vertical="center"/>
    </xf>
    <xf numFmtId="179" fontId="46" fillId="2" borderId="7" xfId="0" applyNumberFormat="1" applyFont="1" applyFill="1" applyBorder="1" applyAlignment="1">
      <alignment horizontal="center" vertical="center"/>
    </xf>
    <xf numFmtId="58" fontId="12" fillId="2" borderId="2" xfId="0" applyNumberFormat="1" applyFont="1" applyFill="1" applyBorder="1" applyAlignment="1">
      <alignment horizontal="center"/>
    </xf>
    <xf numFmtId="179" fontId="12" fillId="2" borderId="2" xfId="0" applyNumberFormat="1" applyFont="1" applyFill="1" applyBorder="1" applyAlignment="1">
      <alignment horizontal="center" vertical="center"/>
    </xf>
    <xf numFmtId="177" fontId="12" fillId="2" borderId="2" xfId="0" applyNumberFormat="1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58" fontId="46" fillId="2" borderId="2" xfId="0" applyNumberFormat="1" applyFont="1" applyFill="1" applyBorder="1" applyAlignment="1">
      <alignment horizontal="center"/>
    </xf>
    <xf numFmtId="179" fontId="46" fillId="2" borderId="2" xfId="0" applyNumberFormat="1" applyFont="1" applyFill="1" applyBorder="1" applyAlignment="1">
      <alignment horizontal="center" vertical="center"/>
    </xf>
    <xf numFmtId="177" fontId="46" fillId="2" borderId="2" xfId="0" applyNumberFormat="1" applyFont="1" applyFill="1" applyBorder="1" applyAlignment="1">
      <alignment horizontal="center"/>
    </xf>
    <xf numFmtId="0" fontId="46" fillId="2" borderId="2" xfId="0" applyFont="1" applyFill="1" applyBorder="1" applyAlignment="1">
      <alignment horizontal="center"/>
    </xf>
    <xf numFmtId="0" fontId="11" fillId="2" borderId="8" xfId="51" applyFont="1" applyFill="1" applyBorder="1" applyAlignment="1">
      <alignment horizontal="center" vertical="center"/>
    </xf>
    <xf numFmtId="0" fontId="11" fillId="2" borderId="10" xfId="51" applyFont="1" applyFill="1" applyBorder="1" applyAlignment="1">
      <alignment horizontal="center" vertical="center"/>
    </xf>
    <xf numFmtId="177" fontId="11" fillId="2" borderId="10" xfId="51" applyNumberFormat="1" applyFont="1" applyFill="1" applyBorder="1" applyAlignment="1">
      <alignment horizontal="center" vertical="center"/>
    </xf>
    <xf numFmtId="0" fontId="11" fillId="2" borderId="9" xfId="51" applyFont="1" applyFill="1" applyBorder="1" applyAlignment="1">
      <alignment horizontal="center" vertical="center"/>
    </xf>
    <xf numFmtId="0" fontId="11" fillId="2" borderId="1" xfId="51" applyFont="1" applyFill="1" applyBorder="1" applyAlignment="1">
      <alignment vertical="center"/>
    </xf>
    <xf numFmtId="0" fontId="11" fillId="2" borderId="14" xfId="51" applyFont="1" applyFill="1" applyBorder="1" applyAlignment="1">
      <alignment horizontal="center" vertical="center"/>
    </xf>
    <xf numFmtId="0" fontId="11" fillId="2" borderId="15" xfId="51" applyFont="1" applyFill="1" applyBorder="1" applyAlignment="1">
      <alignment horizontal="center" vertical="center"/>
    </xf>
    <xf numFmtId="177" fontId="11" fillId="2" borderId="15" xfId="51" applyNumberFormat="1" applyFont="1" applyFill="1" applyBorder="1" applyAlignment="1">
      <alignment horizontal="center" vertical="center"/>
    </xf>
    <xf numFmtId="0" fontId="11" fillId="2" borderId="11" xfId="51" applyFont="1" applyFill="1" applyBorder="1" applyAlignment="1">
      <alignment horizontal="center" vertical="center"/>
    </xf>
    <xf numFmtId="0" fontId="64" fillId="0" borderId="8" xfId="51" applyFont="1" applyBorder="1" applyAlignment="1">
      <alignment horizontal="center"/>
    </xf>
    <xf numFmtId="0" fontId="70" fillId="2" borderId="1" xfId="51" applyFont="1" applyFill="1" applyBorder="1" applyAlignment="1">
      <alignment horizontal="center"/>
    </xf>
    <xf numFmtId="0" fontId="19" fillId="2" borderId="9" xfId="51" applyFont="1" applyFill="1" applyBorder="1" applyAlignment="1">
      <alignment horizontal="center"/>
    </xf>
    <xf numFmtId="177" fontId="19" fillId="0" borderId="2" xfId="51" applyNumberFormat="1" applyFont="1" applyBorder="1" applyAlignment="1">
      <alignment horizontal="center"/>
    </xf>
    <xf numFmtId="0" fontId="19" fillId="0" borderId="2" xfId="51" applyFont="1" applyBorder="1" applyAlignment="1">
      <alignment horizontal="center"/>
    </xf>
    <xf numFmtId="0" fontId="71" fillId="2" borderId="5" xfId="51" applyFont="1" applyFill="1" applyBorder="1" applyAlignment="1"/>
    <xf numFmtId="0" fontId="9" fillId="2" borderId="5" xfId="51" applyFont="1" applyFill="1" applyBorder="1" applyAlignment="1">
      <alignment horizontal="center"/>
    </xf>
    <xf numFmtId="0" fontId="9" fillId="2" borderId="7" xfId="51" applyFont="1" applyFill="1" applyBorder="1" applyAlignment="1">
      <alignment horizontal="center"/>
    </xf>
    <xf numFmtId="177" fontId="9" fillId="2" borderId="7" xfId="51" applyNumberFormat="1" applyFont="1" applyFill="1" applyBorder="1" applyAlignment="1">
      <alignment horizontal="center"/>
    </xf>
    <xf numFmtId="0" fontId="72" fillId="2" borderId="1" xfId="51" applyFont="1" applyFill="1" applyBorder="1" applyAlignment="1">
      <alignment horizontal="center"/>
    </xf>
    <xf numFmtId="0" fontId="19" fillId="2" borderId="1" xfId="51" applyFont="1" applyFill="1" applyBorder="1" applyAlignment="1">
      <alignment horizontal="center"/>
    </xf>
    <xf numFmtId="0" fontId="71" fillId="2" borderId="5" xfId="51" applyFont="1" applyFill="1" applyBorder="1" applyAlignment="1">
      <alignment horizontal="center"/>
    </xf>
    <xf numFmtId="180" fontId="9" fillId="2" borderId="8" xfId="51" applyNumberFormat="1" applyFont="1" applyFill="1" applyBorder="1" applyAlignment="1">
      <alignment horizontal="center" vertical="center"/>
    </xf>
    <xf numFmtId="180" fontId="9" fillId="2" borderId="9" xfId="51" applyNumberFormat="1" applyFont="1" applyFill="1" applyBorder="1" applyAlignment="1">
      <alignment horizontal="center" vertical="center"/>
    </xf>
    <xf numFmtId="180" fontId="72" fillId="2" borderId="2" xfId="51" applyNumberFormat="1" applyFont="1" applyFill="1" applyBorder="1" applyAlignment="1">
      <alignment horizontal="center" vertical="center"/>
    </xf>
    <xf numFmtId="180" fontId="9" fillId="2" borderId="14" xfId="51" applyNumberFormat="1" applyFont="1" applyFill="1" applyBorder="1" applyAlignment="1">
      <alignment horizontal="center" vertical="center"/>
    </xf>
    <xf numFmtId="180" fontId="9" fillId="2" borderId="11" xfId="51" applyNumberFormat="1" applyFont="1" applyFill="1" applyBorder="1" applyAlignment="1">
      <alignment horizontal="center" vertical="center"/>
    </xf>
    <xf numFmtId="180" fontId="72" fillId="2" borderId="4" xfId="51" applyNumberFormat="1" applyFont="1" applyFill="1" applyBorder="1" applyAlignment="1">
      <alignment horizontal="center" vertical="center"/>
    </xf>
    <xf numFmtId="0" fontId="3" fillId="2" borderId="5" xfId="51" applyFont="1" applyFill="1" applyBorder="1" applyAlignment="1">
      <alignment horizontal="center"/>
    </xf>
    <xf numFmtId="0" fontId="4" fillId="2" borderId="1" xfId="51" applyFont="1" applyFill="1" applyBorder="1" applyAlignment="1">
      <alignment horizontal="center"/>
    </xf>
    <xf numFmtId="0" fontId="11" fillId="2" borderId="7" xfId="51" applyFont="1" applyFill="1" applyBorder="1" applyAlignment="1">
      <alignment horizontal="center"/>
    </xf>
    <xf numFmtId="177" fontId="11" fillId="2" borderId="1" xfId="51" applyNumberFormat="1" applyFont="1" applyFill="1" applyBorder="1" applyAlignment="1">
      <alignment horizontal="center" vertical="center"/>
    </xf>
    <xf numFmtId="0" fontId="11" fillId="2" borderId="1" xfId="51" applyFont="1" applyFill="1" applyBorder="1" applyAlignment="1">
      <alignment horizontal="center"/>
    </xf>
    <xf numFmtId="178" fontId="11" fillId="2" borderId="5" xfId="51" applyNumberFormat="1" applyFont="1" applyFill="1" applyBorder="1" applyAlignment="1">
      <alignment horizontal="center" vertical="center"/>
    </xf>
    <xf numFmtId="0" fontId="11" fillId="2" borderId="7" xfId="53" applyFont="1" applyFill="1" applyBorder="1" applyAlignment="1">
      <alignment horizontal="center" vertical="center"/>
    </xf>
    <xf numFmtId="178" fontId="68" fillId="2" borderId="5" xfId="51" applyNumberFormat="1" applyFont="1" applyFill="1" applyBorder="1" applyAlignment="1">
      <alignment horizontal="center" vertical="center"/>
    </xf>
    <xf numFmtId="179" fontId="68" fillId="2" borderId="1" xfId="0" applyNumberFormat="1" applyFont="1" applyFill="1" applyBorder="1" applyAlignment="1">
      <alignment horizontal="center" vertical="center"/>
    </xf>
    <xf numFmtId="0" fontId="68" fillId="2" borderId="7" xfId="53" applyFont="1" applyFill="1" applyBorder="1" applyAlignment="1">
      <alignment horizontal="center" vertical="center"/>
    </xf>
    <xf numFmtId="177" fontId="68" fillId="2" borderId="1" xfId="51" applyNumberFormat="1" applyFont="1" applyFill="1" applyBorder="1" applyAlignment="1">
      <alignment horizontal="center" vertical="center"/>
    </xf>
    <xf numFmtId="0" fontId="68" fillId="2" borderId="1" xfId="51" applyFont="1" applyFill="1" applyBorder="1" applyAlignment="1">
      <alignment horizontal="center" vertical="center"/>
    </xf>
    <xf numFmtId="58" fontId="9" fillId="2" borderId="2" xfId="0" applyNumberFormat="1" applyFont="1" applyFill="1" applyBorder="1" applyAlignment="1">
      <alignment horizontal="center"/>
    </xf>
    <xf numFmtId="179" fontId="9" fillId="2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/>
    </xf>
    <xf numFmtId="177" fontId="9" fillId="2" borderId="2" xfId="0" applyNumberFormat="1" applyFont="1" applyFill="1" applyBorder="1" applyAlignment="1">
      <alignment horizontal="center"/>
    </xf>
    <xf numFmtId="0" fontId="9" fillId="2" borderId="1" xfId="51" applyFont="1" applyFill="1" applyBorder="1" applyAlignment="1">
      <alignment vertical="center"/>
    </xf>
    <xf numFmtId="178" fontId="9" fillId="2" borderId="5" xfId="51" applyNumberFormat="1" applyFont="1" applyFill="1" applyBorder="1" applyAlignment="1">
      <alignment horizontal="center" vertical="center"/>
    </xf>
    <xf numFmtId="0" fontId="9" fillId="2" borderId="7" xfId="53" applyFont="1" applyFill="1" applyBorder="1" applyAlignment="1">
      <alignment horizontal="center" vertical="center"/>
    </xf>
    <xf numFmtId="178" fontId="10" fillId="2" borderId="5" xfId="51" applyNumberFormat="1" applyFont="1" applyFill="1" applyBorder="1" applyAlignment="1">
      <alignment horizontal="center" vertical="center"/>
    </xf>
    <xf numFmtId="179" fontId="10" fillId="2" borderId="1" xfId="0" applyNumberFormat="1" applyFont="1" applyFill="1" applyBorder="1" applyAlignment="1">
      <alignment horizontal="center" vertical="center"/>
    </xf>
    <xf numFmtId="0" fontId="10" fillId="2" borderId="7" xfId="53" applyFont="1" applyFill="1" applyBorder="1" applyAlignment="1">
      <alignment horizontal="center" vertical="center"/>
    </xf>
    <xf numFmtId="0" fontId="10" fillId="2" borderId="1" xfId="51" applyFont="1" applyFill="1" applyBorder="1" applyAlignment="1">
      <alignment horizontal="center" vertical="center"/>
    </xf>
    <xf numFmtId="0" fontId="21" fillId="0" borderId="8" xfId="51" applyFont="1" applyBorder="1" applyAlignment="1">
      <alignment horizontal="center"/>
    </xf>
    <xf numFmtId="0" fontId="73" fillId="2" borderId="1" xfId="51" applyFont="1" applyFill="1" applyBorder="1" applyAlignment="1">
      <alignment horizontal="center"/>
    </xf>
    <xf numFmtId="0" fontId="74" fillId="2" borderId="9" xfId="51" applyFont="1" applyFill="1" applyBorder="1" applyAlignment="1">
      <alignment horizontal="center"/>
    </xf>
    <xf numFmtId="177" fontId="74" fillId="0" borderId="2" xfId="51" applyNumberFormat="1" applyFont="1" applyBorder="1" applyAlignment="1">
      <alignment horizontal="center"/>
    </xf>
    <xf numFmtId="0" fontId="74" fillId="0" borderId="2" xfId="51" applyFont="1" applyBorder="1" applyAlignment="1">
      <alignment horizontal="center"/>
    </xf>
    <xf numFmtId="181" fontId="72" fillId="2" borderId="2" xfId="51" applyNumberFormat="1" applyFont="1" applyFill="1" applyBorder="1" applyAlignment="1">
      <alignment horizontal="center" vertical="center"/>
    </xf>
    <xf numFmtId="181" fontId="72" fillId="2" borderId="4" xfId="51" applyNumberFormat="1" applyFont="1" applyFill="1" applyBorder="1" applyAlignment="1">
      <alignment horizontal="center" vertical="center"/>
    </xf>
    <xf numFmtId="0" fontId="3" fillId="2" borderId="7" xfId="53" applyFont="1" applyFill="1" applyBorder="1" applyAlignment="1">
      <alignment horizontal="center" vertical="center"/>
    </xf>
    <xf numFmtId="181" fontId="9" fillId="2" borderId="8" xfId="51" applyNumberFormat="1" applyFont="1" applyFill="1" applyBorder="1" applyAlignment="1">
      <alignment horizontal="center" vertical="center"/>
    </xf>
    <xf numFmtId="181" fontId="9" fillId="2" borderId="9" xfId="51" applyNumberFormat="1" applyFont="1" applyFill="1" applyBorder="1" applyAlignment="1">
      <alignment horizontal="center" vertical="center"/>
    </xf>
    <xf numFmtId="181" fontId="9" fillId="2" borderId="14" xfId="51" applyNumberFormat="1" applyFont="1" applyFill="1" applyBorder="1" applyAlignment="1">
      <alignment horizontal="center" vertical="center"/>
    </xf>
    <xf numFmtId="181" fontId="9" fillId="2" borderId="11" xfId="51" applyNumberFormat="1" applyFont="1" applyFill="1" applyBorder="1" applyAlignment="1">
      <alignment horizontal="center" vertical="center"/>
    </xf>
    <xf numFmtId="177" fontId="11" fillId="2" borderId="1" xfId="51" applyNumberFormat="1" applyFont="1" applyFill="1" applyBorder="1" applyAlignment="1">
      <alignment horizontal="center"/>
    </xf>
    <xf numFmtId="0" fontId="68" fillId="2" borderId="1" xfId="51" applyFont="1" applyFill="1" applyBorder="1" applyAlignment="1">
      <alignment vertical="center"/>
    </xf>
    <xf numFmtId="0" fontId="75" fillId="2" borderId="7" xfId="53" applyFont="1" applyFill="1" applyBorder="1" applyAlignment="1">
      <alignment horizontal="center" vertical="center"/>
    </xf>
    <xf numFmtId="178" fontId="68" fillId="2" borderId="1" xfId="53" applyNumberFormat="1" applyFont="1" applyFill="1" applyBorder="1" applyAlignment="1">
      <alignment horizontal="center" vertical="center"/>
    </xf>
    <xf numFmtId="181" fontId="11" fillId="2" borderId="1" xfId="51" applyNumberFormat="1" applyFont="1" applyFill="1" applyBorder="1" applyAlignment="1">
      <alignment horizontal="center" vertical="center"/>
    </xf>
    <xf numFmtId="0" fontId="46" fillId="2" borderId="1" xfId="51" applyFont="1" applyFill="1" applyBorder="1" applyAlignment="1">
      <alignment vertical="center"/>
    </xf>
    <xf numFmtId="58" fontId="5" fillId="2" borderId="7" xfId="0" applyNumberFormat="1" applyFont="1" applyFill="1" applyBorder="1" applyAlignment="1">
      <alignment horizontal="left" vertical="center"/>
    </xf>
    <xf numFmtId="179" fontId="76" fillId="2" borderId="1" xfId="0" applyNumberFormat="1" applyFont="1" applyFill="1" applyBorder="1" applyAlignment="1">
      <alignment horizontal="center" vertical="center"/>
    </xf>
    <xf numFmtId="177" fontId="7" fillId="2" borderId="1" xfId="0" applyNumberFormat="1" applyFont="1" applyFill="1" applyBorder="1">
      <alignment vertical="center"/>
    </xf>
    <xf numFmtId="177" fontId="7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76" fillId="2" borderId="1" xfId="0" applyFont="1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9" fontId="77" fillId="2" borderId="1" xfId="0" applyNumberFormat="1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8" fillId="0" borderId="0" xfId="0" applyFont="1" applyAlignment="1">
      <alignment vertical="center"/>
    </xf>
    <xf numFmtId="0" fontId="79" fillId="0" borderId="0" xfId="0" applyFont="1" applyAlignment="1">
      <alignment horizontal="left" vertical="center"/>
    </xf>
    <xf numFmtId="0" fontId="15" fillId="0" borderId="1" xfId="0" applyNumberFormat="1" applyFont="1" applyFill="1" applyBorder="1" applyAlignment="1">
      <alignment vertical="center"/>
    </xf>
    <xf numFmtId="0" fontId="15" fillId="0" borderId="1" xfId="0" applyNumberFormat="1" applyFont="1" applyFill="1" applyBorder="1" applyAlignment="1">
      <alignment horizontal="center" vertical="center"/>
    </xf>
    <xf numFmtId="17" fontId="15" fillId="0" borderId="1" xfId="0" applyNumberFormat="1" applyFont="1" applyBorder="1" applyAlignment="1">
      <alignment horizontal="left" vertical="center"/>
    </xf>
    <xf numFmtId="177" fontId="15" fillId="0" borderId="1" xfId="0" applyNumberFormat="1" applyFont="1" applyBorder="1" applyAlignment="1">
      <alignment horizontal="center" vertical="center"/>
    </xf>
    <xf numFmtId="177" fontId="18" fillId="0" borderId="2" xfId="0" applyNumberFormat="1" applyFont="1" applyBorder="1" applyAlignment="1">
      <alignment horizontal="center" vertical="center"/>
    </xf>
    <xf numFmtId="177" fontId="18" fillId="0" borderId="3" xfId="0" applyNumberFormat="1" applyFont="1" applyBorder="1" applyAlignment="1">
      <alignment horizontal="center" vertical="center"/>
    </xf>
    <xf numFmtId="177" fontId="18" fillId="0" borderId="3" xfId="0" applyNumberFormat="1" applyFont="1" applyBorder="1" applyAlignment="1">
      <alignment vertical="center"/>
    </xf>
    <xf numFmtId="177" fontId="18" fillId="0" borderId="4" xfId="0" applyNumberFormat="1" applyFont="1" applyBorder="1" applyAlignment="1">
      <alignment vertical="center"/>
    </xf>
    <xf numFmtId="58" fontId="80" fillId="0" borderId="0" xfId="0" applyNumberFormat="1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3" fillId="0" borderId="0" xfId="0" applyFont="1" applyFill="1" applyBorder="1" applyAlignment="1">
      <alignment horizontal="center" vertical="center"/>
    </xf>
    <xf numFmtId="0" fontId="63" fillId="0" borderId="0" xfId="0" applyFont="1" applyBorder="1" applyAlignment="1">
      <alignment horizontal="left" vertical="center"/>
    </xf>
    <xf numFmtId="0" fontId="63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1" fontId="63" fillId="0" borderId="0" xfId="0" applyNumberFormat="1" applyFont="1" applyFill="1" applyBorder="1" applyAlignment="1">
      <alignment horizontal="center" vertical="center"/>
    </xf>
    <xf numFmtId="58" fontId="81" fillId="0" borderId="0" xfId="0" applyNumberFormat="1" applyFont="1" applyFill="1" applyAlignment="1">
      <alignment vertical="center"/>
    </xf>
    <xf numFmtId="0" fontId="82" fillId="0" borderId="0" xfId="0" applyFont="1" applyFill="1" applyBorder="1" applyAlignment="1">
      <alignment horizontal="center" vertical="center"/>
    </xf>
    <xf numFmtId="0" fontId="82" fillId="0" borderId="0" xfId="0" applyFont="1" applyBorder="1" applyAlignment="1">
      <alignment horizontal="left" vertical="center"/>
    </xf>
    <xf numFmtId="0" fontId="82" fillId="0" borderId="0" xfId="0" applyFont="1" applyBorder="1" applyAlignment="1">
      <alignment horizontal="center" vertical="center"/>
    </xf>
    <xf numFmtId="181" fontId="82" fillId="0" borderId="0" xfId="0" applyNumberFormat="1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82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42" fillId="0" borderId="0" xfId="0" applyFont="1" applyBorder="1" applyAlignment="1">
      <alignment vertical="center"/>
    </xf>
    <xf numFmtId="181" fontId="82" fillId="0" borderId="0" xfId="0" applyNumberFormat="1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58" fontId="40" fillId="0" borderId="1" xfId="0" applyNumberFormat="1" applyFont="1" applyBorder="1" applyAlignment="1">
      <alignment horizontal="center" vertical="center"/>
    </xf>
    <xf numFmtId="58" fontId="38" fillId="0" borderId="1" xfId="0" applyNumberFormat="1" applyFont="1" applyBorder="1" applyAlignment="1">
      <alignment horizontal="center" vertical="center"/>
    </xf>
    <xf numFmtId="58" fontId="11" fillId="0" borderId="2" xfId="0" applyNumberFormat="1" applyFont="1" applyBorder="1">
      <alignment vertical="center"/>
    </xf>
    <xf numFmtId="0" fontId="11" fillId="0" borderId="2" xfId="0" applyFont="1" applyBorder="1">
      <alignment vertical="center"/>
    </xf>
    <xf numFmtId="187" fontId="11" fillId="0" borderId="2" xfId="0" applyNumberFormat="1" applyFont="1" applyBorder="1" applyAlignment="1">
      <alignment horizontal="center" vertical="center"/>
    </xf>
    <xf numFmtId="186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58" fontId="11" fillId="0" borderId="1" xfId="0" applyNumberFormat="1" applyFont="1" applyBorder="1" applyAlignment="1">
      <alignment horizontal="center" vertical="center"/>
    </xf>
    <xf numFmtId="58" fontId="12" fillId="0" borderId="1" xfId="0" applyNumberFormat="1" applyFont="1" applyBorder="1" applyAlignment="1">
      <alignment horizontal="center" vertical="center"/>
    </xf>
    <xf numFmtId="58" fontId="13" fillId="0" borderId="1" xfId="0" applyNumberFormat="1" applyFont="1" applyBorder="1">
      <alignment vertical="center"/>
    </xf>
    <xf numFmtId="0" fontId="13" fillId="0" borderId="1" xfId="0" applyFont="1" applyBorder="1">
      <alignment vertical="center"/>
    </xf>
    <xf numFmtId="187" fontId="13" fillId="0" borderId="1" xfId="0" applyNumberFormat="1" applyFont="1" applyBorder="1" applyAlignment="1">
      <alignment horizontal="center" vertical="center"/>
    </xf>
    <xf numFmtId="186" fontId="13" fillId="0" borderId="1" xfId="0" applyNumberFormat="1" applyFont="1" applyBorder="1" applyAlignment="1">
      <alignment horizontal="center" vertical="center"/>
    </xf>
    <xf numFmtId="58" fontId="13" fillId="0" borderId="8" xfId="0" applyNumberFormat="1" applyFont="1" applyBorder="1" applyAlignment="1">
      <alignment horizontal="center" vertical="center"/>
    </xf>
    <xf numFmtId="58" fontId="13" fillId="0" borderId="10" xfId="0" applyNumberFormat="1" applyFont="1" applyBorder="1" applyAlignment="1">
      <alignment horizontal="center" vertical="center"/>
    </xf>
    <xf numFmtId="58" fontId="14" fillId="0" borderId="9" xfId="0" applyNumberFormat="1" applyFont="1" applyBorder="1" applyAlignment="1">
      <alignment horizontal="center" vertical="center"/>
    </xf>
    <xf numFmtId="0" fontId="11" fillId="0" borderId="1" xfId="0" applyFont="1" applyBorder="1">
      <alignment vertical="center"/>
    </xf>
    <xf numFmtId="187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 applyAlignment="1">
      <alignment horizontal="center" vertical="center"/>
    </xf>
    <xf numFmtId="58" fontId="13" fillId="0" borderId="4" xfId="0" applyNumberFormat="1" applyFont="1" applyBorder="1">
      <alignment vertical="center"/>
    </xf>
    <xf numFmtId="0" fontId="13" fillId="0" borderId="4" xfId="0" applyFont="1" applyBorder="1">
      <alignment vertical="center"/>
    </xf>
    <xf numFmtId="187" fontId="13" fillId="0" borderId="4" xfId="0" applyNumberFormat="1" applyFont="1" applyBorder="1" applyAlignment="1">
      <alignment horizontal="center" vertical="center"/>
    </xf>
    <xf numFmtId="186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58" fontId="13" fillId="0" borderId="1" xfId="0" applyNumberFormat="1" applyFont="1" applyBorder="1" applyAlignment="1">
      <alignment horizontal="center" vertical="center"/>
    </xf>
    <xf numFmtId="58" fontId="14" fillId="0" borderId="1" xfId="0" applyNumberFormat="1" applyFont="1" applyBorder="1" applyAlignment="1">
      <alignment horizontal="center" vertical="center"/>
    </xf>
    <xf numFmtId="58" fontId="11" fillId="0" borderId="3" xfId="0" applyNumberFormat="1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187" fontId="11" fillId="0" borderId="4" xfId="0" applyNumberFormat="1" applyFont="1" applyBorder="1" applyAlignment="1">
      <alignment horizontal="center" vertical="center"/>
    </xf>
    <xf numFmtId="186" fontId="11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3" fillId="0" borderId="4" xfId="0" applyFont="1" applyBorder="1" applyAlignment="1">
      <alignment horizontal="left" vertical="center" wrapText="1"/>
    </xf>
    <xf numFmtId="0" fontId="83" fillId="0" borderId="2" xfId="0" applyFont="1" applyBorder="1" applyAlignment="1">
      <alignment horizontal="left" vertical="center" wrapText="1"/>
    </xf>
    <xf numFmtId="58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>
      <alignment vertical="center"/>
    </xf>
    <xf numFmtId="187" fontId="13" fillId="0" borderId="3" xfId="0" applyNumberFormat="1" applyFont="1" applyBorder="1" applyAlignment="1">
      <alignment horizontal="center" vertical="center"/>
    </xf>
    <xf numFmtId="186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3" fillId="0" borderId="3" xfId="0" applyFont="1" applyBorder="1" applyAlignment="1">
      <alignment horizontal="left" vertical="center" wrapText="1"/>
    </xf>
    <xf numFmtId="0" fontId="11" fillId="0" borderId="3" xfId="0" applyFont="1" applyBorder="1">
      <alignment vertical="center"/>
    </xf>
    <xf numFmtId="187" fontId="11" fillId="0" borderId="3" xfId="0" applyNumberFormat="1" applyFont="1" applyBorder="1" applyAlignment="1">
      <alignment horizontal="center" vertical="center"/>
    </xf>
    <xf numFmtId="186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58" fontId="11" fillId="0" borderId="5" xfId="0" applyNumberFormat="1" applyFont="1" applyBorder="1" applyAlignment="1">
      <alignment horizontal="center" vertical="center"/>
    </xf>
    <xf numFmtId="58" fontId="11" fillId="0" borderId="6" xfId="0" applyNumberFormat="1" applyFont="1" applyBorder="1" applyAlignment="1">
      <alignment horizontal="center" vertical="center"/>
    </xf>
    <xf numFmtId="58" fontId="11" fillId="0" borderId="7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58" fontId="11" fillId="0" borderId="1" xfId="0" applyNumberFormat="1" applyFont="1" applyBorder="1">
      <alignment vertical="center"/>
    </xf>
    <xf numFmtId="0" fontId="12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left" vertical="center"/>
    </xf>
    <xf numFmtId="58" fontId="13" fillId="0" borderId="14" xfId="0" applyNumberFormat="1" applyFont="1" applyBorder="1" applyAlignment="1">
      <alignment horizontal="center" vertical="center"/>
    </xf>
    <xf numFmtId="58" fontId="13" fillId="0" borderId="15" xfId="0" applyNumberFormat="1" applyFont="1" applyBorder="1" applyAlignment="1">
      <alignment horizontal="center" vertical="center"/>
    </xf>
    <xf numFmtId="58" fontId="13" fillId="0" borderId="11" xfId="0" applyNumberFormat="1" applyFont="1" applyBorder="1" applyAlignment="1">
      <alignment horizontal="center" vertical="center"/>
    </xf>
    <xf numFmtId="0" fontId="49" fillId="0" borderId="7" xfId="0" applyFont="1" applyBorder="1" applyAlignment="1">
      <alignment horizontal="left" vertical="center"/>
    </xf>
    <xf numFmtId="58" fontId="11" fillId="0" borderId="5" xfId="0" applyNumberFormat="1" applyFont="1" applyBorder="1">
      <alignment vertical="center"/>
    </xf>
    <xf numFmtId="0" fontId="12" fillId="0" borderId="7" xfId="0" applyFont="1" applyBorder="1" applyAlignment="1">
      <alignment horizontal="left" vertical="center"/>
    </xf>
    <xf numFmtId="0" fontId="67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22" fillId="0" borderId="0" xfId="0" applyFont="1" applyBorder="1">
      <alignment vertical="center"/>
    </xf>
    <xf numFmtId="0" fontId="12" fillId="0" borderId="1" xfId="0" applyFont="1" applyBorder="1" applyAlignment="1">
      <alignment horizontal="left" vertical="center"/>
    </xf>
    <xf numFmtId="58" fontId="11" fillId="0" borderId="0" xfId="0" applyNumberFormat="1" applyFont="1" applyBorder="1" applyAlignment="1">
      <alignment horizontal="left" vertical="center"/>
    </xf>
    <xf numFmtId="0" fontId="11" fillId="0" borderId="0" xfId="0" applyFont="1" applyBorder="1">
      <alignment vertical="center"/>
    </xf>
    <xf numFmtId="187" fontId="11" fillId="0" borderId="0" xfId="0" applyNumberFormat="1" applyFont="1" applyBorder="1" applyAlignment="1">
      <alignment horizontal="center" vertical="center"/>
    </xf>
    <xf numFmtId="186" fontId="11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58" fontId="11" fillId="0" borderId="1" xfId="0" applyNumberFormat="1" applyFont="1" applyBorder="1" applyAlignment="1">
      <alignment horizontal="left" vertical="center"/>
    </xf>
    <xf numFmtId="58" fontId="68" fillId="0" borderId="5" xfId="0" applyNumberFormat="1" applyFont="1" applyBorder="1" applyAlignment="1">
      <alignment horizontal="center" vertical="center"/>
    </xf>
    <xf numFmtId="58" fontId="68" fillId="0" borderId="6" xfId="0" applyNumberFormat="1" applyFont="1" applyBorder="1" applyAlignment="1">
      <alignment horizontal="center" vertical="center"/>
    </xf>
    <xf numFmtId="58" fontId="46" fillId="0" borderId="7" xfId="0" applyNumberFormat="1" applyFont="1" applyBorder="1" applyAlignment="1">
      <alignment horizontal="center" vertical="center"/>
    </xf>
    <xf numFmtId="58" fontId="13" fillId="0" borderId="5" xfId="0" applyNumberFormat="1" applyFont="1" applyBorder="1">
      <alignment vertical="center"/>
    </xf>
    <xf numFmtId="0" fontId="46" fillId="0" borderId="7" xfId="0" applyFont="1" applyBorder="1" applyAlignment="1">
      <alignment horizontal="left" vertical="center"/>
    </xf>
    <xf numFmtId="58" fontId="12" fillId="0" borderId="1" xfId="0" applyNumberFormat="1" applyFont="1" applyBorder="1" applyAlignment="1">
      <alignment horizontal="left" vertical="center"/>
    </xf>
    <xf numFmtId="58" fontId="68" fillId="0" borderId="7" xfId="0" applyNumberFormat="1" applyFont="1" applyBorder="1" applyAlignment="1">
      <alignment horizontal="center" vertical="center"/>
    </xf>
    <xf numFmtId="58" fontId="68" fillId="0" borderId="10" xfId="0" applyNumberFormat="1" applyFont="1" applyBorder="1" applyAlignment="1">
      <alignment horizontal="left" vertical="center"/>
    </xf>
    <xf numFmtId="58" fontId="68" fillId="0" borderId="9" xfId="0" applyNumberFormat="1" applyFont="1" applyBorder="1" applyAlignment="1">
      <alignment horizontal="center" vertical="center"/>
    </xf>
    <xf numFmtId="58" fontId="68" fillId="0" borderId="13" xfId="0" applyNumberFormat="1" applyFont="1" applyBorder="1" applyAlignment="1">
      <alignment horizontal="center" vertical="center"/>
    </xf>
    <xf numFmtId="58" fontId="68" fillId="0" borderId="11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58" fontId="84" fillId="0" borderId="5" xfId="0" applyNumberFormat="1" applyFont="1" applyBorder="1">
      <alignment vertical="center"/>
    </xf>
    <xf numFmtId="0" fontId="84" fillId="0" borderId="1" xfId="0" applyFont="1" applyBorder="1">
      <alignment vertical="center"/>
    </xf>
    <xf numFmtId="187" fontId="84" fillId="0" borderId="1" xfId="0" applyNumberFormat="1" applyFont="1" applyBorder="1" applyAlignment="1">
      <alignment horizontal="center" vertical="center"/>
    </xf>
    <xf numFmtId="186" fontId="84" fillId="0" borderId="1" xfId="0" applyNumberFormat="1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85" fillId="0" borderId="9" xfId="0" applyFont="1" applyBorder="1" applyAlignment="1">
      <alignment horizontal="left" vertical="center"/>
    </xf>
    <xf numFmtId="0" fontId="85" fillId="0" borderId="11" xfId="0" applyFont="1" applyBorder="1" applyAlignment="1">
      <alignment horizontal="left" vertical="center"/>
    </xf>
    <xf numFmtId="58" fontId="5" fillId="0" borderId="1" xfId="0" applyNumberFormat="1" applyFont="1" applyBorder="1">
      <alignment vertical="center"/>
    </xf>
    <xf numFmtId="58" fontId="12" fillId="0" borderId="2" xfId="0" applyNumberFormat="1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58" fontId="18" fillId="0" borderId="1" xfId="0" applyNumberFormat="1" applyFont="1" applyBorder="1">
      <alignment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9" fillId="0" borderId="1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58" fontId="18" fillId="0" borderId="0" xfId="0" applyNumberFormat="1" applyFont="1">
      <alignment vertical="center"/>
    </xf>
    <xf numFmtId="0" fontId="18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80" fontId="5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80" fontId="18" fillId="0" borderId="1" xfId="0" applyNumberFormat="1" applyFont="1" applyBorder="1" applyAlignment="1">
      <alignment horizontal="center" vertical="center"/>
    </xf>
    <xf numFmtId="0" fontId="86" fillId="0" borderId="1" xfId="0" applyFont="1" applyBorder="1" applyAlignment="1">
      <alignment horizontal="center" vertical="center"/>
    </xf>
    <xf numFmtId="180" fontId="86" fillId="0" borderId="2" xfId="0" applyNumberFormat="1" applyFont="1" applyBorder="1" applyAlignment="1">
      <alignment horizontal="left" vertical="center"/>
    </xf>
    <xf numFmtId="0" fontId="86" fillId="0" borderId="2" xfId="0" applyFont="1" applyBorder="1" applyAlignment="1">
      <alignment horizontal="center" vertical="center"/>
    </xf>
    <xf numFmtId="180" fontId="18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86" fillId="0" borderId="3" xfId="0" applyFont="1" applyBorder="1" applyAlignment="1">
      <alignment horizontal="center" vertical="center"/>
    </xf>
    <xf numFmtId="180" fontId="18" fillId="0" borderId="3" xfId="0" applyNumberFormat="1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86" fillId="0" borderId="1" xfId="0" applyFont="1" applyBorder="1" applyAlignment="1">
      <alignment horizontal="left" vertical="center"/>
    </xf>
    <xf numFmtId="180" fontId="86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6" fillId="0" borderId="2" xfId="0" applyFont="1" applyBorder="1" applyAlignment="1">
      <alignment vertical="center"/>
    </xf>
    <xf numFmtId="0" fontId="86" fillId="0" borderId="0" xfId="0" applyFont="1" applyAlignment="1">
      <alignment horizontal="center" vertical="center" wrapText="1"/>
    </xf>
    <xf numFmtId="0" fontId="86" fillId="0" borderId="4" xfId="0" applyFont="1" applyBorder="1" applyAlignment="1">
      <alignment vertical="center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3 12 2" xfId="49"/>
    <cellStyle name="适中 2 4 2" xfId="50"/>
    <cellStyle name="常规 10" xfId="51"/>
    <cellStyle name="差 2" xfId="52"/>
    <cellStyle name="常规 8" xfId="53"/>
    <cellStyle name="常规 33" xfId="54"/>
    <cellStyle name="常规 38 5" xfId="55"/>
    <cellStyle name="好_2020前期总表" xfId="56"/>
    <cellStyle name="货币 4 3" xfId="57"/>
  </cellStyles>
  <tableStyles count="1" defaultTableStyle="TableStyleMedium9" defaultPivotStyle="PivotStyleLight16">
    <tableStyle name="表样式 1" pivot="0" count="0" xr9:uid="{60B05D7B-68B1-4CF9-B6D7-16B90C4338B9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08"/>
  <sheetViews>
    <sheetView topLeftCell="A22" workbookViewId="0">
      <selection activeCell="A826" sqref="$A826:$XFD834"/>
    </sheetView>
  </sheetViews>
  <sheetFormatPr defaultColWidth="9" defaultRowHeight="14.25"/>
  <cols>
    <col min="1" max="1" width="11.25" customWidth="1"/>
    <col min="2" max="2" width="29" customWidth="1"/>
    <col min="3" max="3" width="11.875" style="77" customWidth="1"/>
    <col min="4" max="4" width="11.375" style="77" customWidth="1"/>
    <col min="5" max="5" width="12" style="77" customWidth="1"/>
    <col min="6" max="6" width="11.375" style="77" customWidth="1"/>
    <col min="7" max="7" width="35.375" style="409" customWidth="1"/>
  </cols>
  <sheetData>
    <row r="1" ht="27" customHeight="1" spans="1:10">
      <c r="A1" s="226" t="s">
        <v>0</v>
      </c>
      <c r="B1" s="226"/>
      <c r="C1" s="226"/>
      <c r="D1" s="226"/>
      <c r="E1" s="226"/>
      <c r="F1" s="226"/>
      <c r="G1" s="619"/>
    </row>
    <row r="2" s="618" customFormat="1" ht="20" customHeight="1" spans="1:10">
      <c r="A2" s="620" t="s">
        <v>1</v>
      </c>
      <c r="B2" s="620" t="s">
        <v>2</v>
      </c>
      <c r="C2" s="620" t="s">
        <v>3</v>
      </c>
      <c r="D2" s="620" t="s">
        <v>4</v>
      </c>
      <c r="E2" s="620" t="s">
        <v>5</v>
      </c>
      <c r="F2" s="620" t="s">
        <v>6</v>
      </c>
      <c r="G2" s="621" t="s">
        <v>7</v>
      </c>
    </row>
    <row r="3" ht="20" customHeight="1" spans="1:10">
      <c r="A3" s="622"/>
      <c r="B3" s="622"/>
      <c r="C3" s="622"/>
      <c r="D3" s="622"/>
      <c r="E3" s="622"/>
      <c r="F3" s="622"/>
      <c r="G3" s="623"/>
    </row>
    <row r="4" ht="20" customHeight="1" spans="1:10">
      <c r="A4" s="624">
        <v>45514</v>
      </c>
      <c r="B4" s="625" t="s">
        <v>8</v>
      </c>
      <c r="C4" s="626">
        <v>24</v>
      </c>
      <c r="D4" s="627">
        <v>6</v>
      </c>
      <c r="E4" s="626">
        <f>C4*D4</f>
        <v>144</v>
      </c>
      <c r="F4" s="628"/>
      <c r="G4" s="629" t="s">
        <v>9</v>
      </c>
    </row>
    <row r="5" ht="20" customHeight="1" spans="1:10">
      <c r="A5" s="630"/>
      <c r="B5" s="630"/>
      <c r="C5" s="630"/>
      <c r="D5" s="630"/>
      <c r="E5" s="630"/>
      <c r="F5" s="630"/>
      <c r="G5" s="631"/>
    </row>
    <row r="6" ht="20" customHeight="1" spans="1:10">
      <c r="A6" s="632">
        <v>45516</v>
      </c>
      <c r="B6" s="633" t="s">
        <v>10</v>
      </c>
      <c r="C6" s="634">
        <v>18</v>
      </c>
      <c r="D6" s="635">
        <v>10</v>
      </c>
      <c r="E6" s="634">
        <f>C6*D6</f>
        <v>180</v>
      </c>
      <c r="F6" s="620" t="s">
        <v>11</v>
      </c>
      <c r="G6" s="621" t="s">
        <v>12</v>
      </c>
    </row>
    <row r="7" ht="20" customHeight="1" spans="1:10">
      <c r="A7" s="636"/>
      <c r="B7" s="637"/>
      <c r="C7" s="637"/>
      <c r="D7" s="637"/>
      <c r="E7" s="637"/>
      <c r="F7" s="637"/>
      <c r="G7" s="638"/>
    </row>
    <row r="8" ht="20" customHeight="1" spans="1:10">
      <c r="A8" s="630">
        <v>45517</v>
      </c>
      <c r="B8" s="639" t="s">
        <v>10</v>
      </c>
      <c r="C8" s="640">
        <v>18</v>
      </c>
      <c r="D8" s="641">
        <v>10</v>
      </c>
      <c r="E8" s="640">
        <f>C8*D8</f>
        <v>180</v>
      </c>
      <c r="F8" s="224" t="s">
        <v>11</v>
      </c>
      <c r="G8" s="619" t="s">
        <v>13</v>
      </c>
    </row>
    <row r="9" ht="20" customHeight="1" spans="1:10">
      <c r="A9" s="630"/>
      <c r="B9" s="639" t="s">
        <v>14</v>
      </c>
      <c r="C9" s="640">
        <v>20</v>
      </c>
      <c r="D9" s="641">
        <v>2</v>
      </c>
      <c r="E9" s="640">
        <f>C9*D9</f>
        <v>40</v>
      </c>
      <c r="F9" s="224" t="s">
        <v>11</v>
      </c>
      <c r="G9" s="619"/>
    </row>
    <row r="10" ht="18" customHeight="1" spans="1:10">
      <c r="A10" s="630"/>
      <c r="B10" s="630"/>
      <c r="C10" s="630"/>
      <c r="D10" s="630"/>
      <c r="E10" s="630"/>
      <c r="F10" s="630"/>
      <c r="G10" s="631"/>
    </row>
    <row r="11" ht="25" customHeight="1" spans="1:10">
      <c r="A11" s="642">
        <v>45518</v>
      </c>
      <c r="B11" s="643" t="s">
        <v>15</v>
      </c>
      <c r="C11" s="644">
        <v>15</v>
      </c>
      <c r="D11" s="645">
        <v>5</v>
      </c>
      <c r="E11" s="644">
        <f>C11*D11</f>
        <v>75</v>
      </c>
      <c r="F11" s="646" t="s">
        <v>11</v>
      </c>
      <c r="G11" s="647" t="s">
        <v>16</v>
      </c>
      <c r="J11" s="498"/>
    </row>
    <row r="12" customFormat="1" ht="15" customHeight="1" spans="1:10">
      <c r="A12" s="648"/>
      <c r="B12" s="648"/>
      <c r="C12" s="648"/>
      <c r="D12" s="648"/>
      <c r="E12" s="648"/>
      <c r="F12" s="648"/>
      <c r="G12" s="649"/>
    </row>
    <row r="13" customFormat="1" ht="30" customHeight="1" spans="1:10">
      <c r="A13" s="650">
        <v>45519</v>
      </c>
      <c r="B13" s="651" t="s">
        <v>17</v>
      </c>
      <c r="C13" s="652">
        <v>22</v>
      </c>
      <c r="D13" s="653">
        <v>4</v>
      </c>
      <c r="E13" s="652">
        <f>C13*D13</f>
        <v>88</v>
      </c>
      <c r="F13" s="654" t="s">
        <v>11</v>
      </c>
      <c r="G13" s="655" t="s">
        <v>18</v>
      </c>
    </row>
    <row r="14" s="2" customFormat="1" ht="20" customHeight="1" spans="1:10">
      <c r="A14" s="650"/>
      <c r="B14" s="625" t="s">
        <v>15</v>
      </c>
      <c r="C14" s="626">
        <v>15</v>
      </c>
      <c r="D14" s="627">
        <v>5</v>
      </c>
      <c r="E14" s="626">
        <f>C14*D14</f>
        <v>75</v>
      </c>
      <c r="F14" s="628" t="s">
        <v>11</v>
      </c>
      <c r="G14" s="656"/>
    </row>
    <row r="15" s="2" customFormat="1" ht="20" customHeight="1" spans="1:10">
      <c r="A15" s="630"/>
      <c r="B15" s="630"/>
      <c r="C15" s="630"/>
      <c r="D15" s="630"/>
      <c r="E15" s="630"/>
      <c r="F15" s="630"/>
      <c r="G15" s="631"/>
    </row>
    <row r="16" s="2" customFormat="1" ht="20" customHeight="1" spans="1:10">
      <c r="A16" s="657">
        <v>45521</v>
      </c>
      <c r="B16" s="658" t="s">
        <v>19</v>
      </c>
      <c r="C16" s="659">
        <v>20</v>
      </c>
      <c r="D16" s="660">
        <v>2</v>
      </c>
      <c r="E16" s="659">
        <f>C16*D16</f>
        <v>40</v>
      </c>
      <c r="F16" s="661" t="s">
        <v>20</v>
      </c>
      <c r="G16" s="662" t="s">
        <v>21</v>
      </c>
    </row>
    <row r="17" ht="18" customHeight="1" spans="1:16">
      <c r="A17" s="648"/>
      <c r="B17" s="648"/>
      <c r="C17" s="648"/>
      <c r="D17" s="648"/>
      <c r="E17" s="648"/>
      <c r="F17" s="648"/>
      <c r="G17" s="649"/>
    </row>
    <row r="18" ht="26" customHeight="1" spans="1:16">
      <c r="A18" s="650">
        <v>45525</v>
      </c>
      <c r="B18" s="663" t="s">
        <v>19</v>
      </c>
      <c r="C18" s="664">
        <v>20</v>
      </c>
      <c r="D18" s="665">
        <v>20</v>
      </c>
      <c r="E18" s="664">
        <f>C18*D18</f>
        <v>400</v>
      </c>
      <c r="F18" s="666" t="s">
        <v>22</v>
      </c>
      <c r="G18" s="662" t="s">
        <v>23</v>
      </c>
    </row>
    <row r="19" ht="20" customHeight="1" spans="1:16">
      <c r="A19" s="648"/>
      <c r="B19" s="648"/>
      <c r="C19" s="648"/>
      <c r="D19" s="648"/>
      <c r="E19" s="648"/>
      <c r="F19" s="648"/>
      <c r="G19" s="649"/>
    </row>
    <row r="20" s="1" customFormat="1" ht="20" customHeight="1" spans="1:16">
      <c r="A20" s="642">
        <v>45527</v>
      </c>
      <c r="B20" s="643" t="s">
        <v>24</v>
      </c>
      <c r="C20" s="644">
        <v>24</v>
      </c>
      <c r="D20" s="645">
        <v>7</v>
      </c>
      <c r="E20" s="644">
        <f t="shared" ref="E20:E29" si="0">C20*D20</f>
        <v>168</v>
      </c>
      <c r="F20" s="646" t="s">
        <v>11</v>
      </c>
      <c r="G20" s="667" t="s">
        <v>25</v>
      </c>
    </row>
    <row r="21" s="1" customFormat="1" ht="20" customHeight="1" spans="1:16">
      <c r="A21" s="632">
        <v>45527</v>
      </c>
      <c r="B21" s="633" t="s">
        <v>10</v>
      </c>
      <c r="C21" s="634">
        <v>18</v>
      </c>
      <c r="D21" s="645">
        <v>1</v>
      </c>
      <c r="E21" s="634">
        <f t="shared" si="0"/>
        <v>18</v>
      </c>
      <c r="F21" s="620" t="s">
        <v>11</v>
      </c>
      <c r="G21" s="667"/>
    </row>
    <row r="22" s="1" customFormat="1" ht="20" customHeight="1" spans="1:16">
      <c r="A22" s="632">
        <v>45527</v>
      </c>
      <c r="B22" s="633" t="s">
        <v>14</v>
      </c>
      <c r="C22" s="634">
        <v>20</v>
      </c>
      <c r="D22" s="645">
        <v>1</v>
      </c>
      <c r="E22" s="634">
        <f t="shared" si="0"/>
        <v>20</v>
      </c>
      <c r="F22" s="620" t="s">
        <v>11</v>
      </c>
      <c r="G22" s="667"/>
    </row>
    <row r="23" ht="20" customHeight="1" spans="1:16">
      <c r="A23" s="668"/>
      <c r="B23" s="669"/>
      <c r="C23" s="669"/>
      <c r="D23" s="669"/>
      <c r="E23" s="669"/>
      <c r="F23" s="670"/>
      <c r="G23" s="671"/>
    </row>
    <row r="24" s="2" customFormat="1" ht="20" customHeight="1" spans="1:16">
      <c r="A24" s="672">
        <v>45527</v>
      </c>
      <c r="B24" s="639" t="s">
        <v>10</v>
      </c>
      <c r="C24" s="640">
        <v>18</v>
      </c>
      <c r="D24" s="641">
        <v>5</v>
      </c>
      <c r="E24" s="640">
        <f t="shared" si="0"/>
        <v>90</v>
      </c>
      <c r="F24" s="224" t="s">
        <v>20</v>
      </c>
      <c r="G24" s="673"/>
    </row>
    <row r="25" ht="18.75" spans="1:16">
      <c r="A25" s="632">
        <v>45530</v>
      </c>
      <c r="B25" s="643" t="s">
        <v>24</v>
      </c>
      <c r="C25" s="644">
        <v>24</v>
      </c>
      <c r="D25" s="645">
        <v>2</v>
      </c>
      <c r="E25" s="644">
        <f t="shared" si="0"/>
        <v>48</v>
      </c>
      <c r="F25" s="646" t="s">
        <v>11</v>
      </c>
      <c r="G25" s="674" t="s">
        <v>26</v>
      </c>
    </row>
    <row r="26" ht="18.75" spans="1:16">
      <c r="A26" s="632">
        <v>45530</v>
      </c>
      <c r="B26" s="633" t="s">
        <v>10</v>
      </c>
      <c r="C26" s="634">
        <v>18</v>
      </c>
      <c r="D26" s="645">
        <v>2</v>
      </c>
      <c r="E26" s="634">
        <f t="shared" si="0"/>
        <v>36</v>
      </c>
      <c r="F26" s="620" t="s">
        <v>11</v>
      </c>
      <c r="G26" s="675" t="s">
        <v>27</v>
      </c>
    </row>
    <row r="27" ht="23" customHeight="1" spans="1:16">
      <c r="A27" s="632">
        <v>45530</v>
      </c>
      <c r="B27" s="643" t="s">
        <v>28</v>
      </c>
      <c r="C27" s="644">
        <v>22</v>
      </c>
      <c r="D27" s="645">
        <v>2</v>
      </c>
      <c r="E27" s="644">
        <f t="shared" si="0"/>
        <v>44</v>
      </c>
      <c r="F27" s="646" t="s">
        <v>11</v>
      </c>
      <c r="G27" s="673"/>
    </row>
    <row r="28" ht="18.75" spans="1:16">
      <c r="A28" s="632">
        <v>45530</v>
      </c>
      <c r="B28" s="633" t="s">
        <v>14</v>
      </c>
      <c r="C28" s="634">
        <v>20</v>
      </c>
      <c r="D28" s="635">
        <v>1</v>
      </c>
      <c r="E28" s="634">
        <f t="shared" si="0"/>
        <v>20</v>
      </c>
      <c r="F28" s="620" t="s">
        <v>11</v>
      </c>
      <c r="G28" s="676" t="s">
        <v>29</v>
      </c>
      <c r="H28" s="388" t="s">
        <v>30</v>
      </c>
      <c r="I28" s="102"/>
      <c r="J28" s="102"/>
      <c r="K28" s="102"/>
      <c r="L28" s="102"/>
    </row>
    <row r="29" ht="18.75" spans="1:16">
      <c r="A29" s="677"/>
      <c r="B29" s="678"/>
      <c r="C29" s="678"/>
      <c r="D29" s="678"/>
      <c r="E29" s="678"/>
      <c r="F29" s="679"/>
      <c r="G29" s="680"/>
      <c r="H29" s="388"/>
      <c r="I29" s="102"/>
      <c r="J29" s="102"/>
      <c r="K29" s="102"/>
      <c r="L29" s="102"/>
    </row>
    <row r="30" ht="18.75" spans="1:16">
      <c r="A30" s="681">
        <v>45530</v>
      </c>
      <c r="B30" s="639" t="s">
        <v>31</v>
      </c>
      <c r="C30" s="640">
        <v>18</v>
      </c>
      <c r="D30" s="641">
        <v>40</v>
      </c>
      <c r="E30" s="640">
        <f>C30*D30</f>
        <v>720</v>
      </c>
      <c r="F30" s="224" t="s">
        <v>22</v>
      </c>
      <c r="G30" s="682" t="s">
        <v>32</v>
      </c>
      <c r="H30" s="102"/>
      <c r="I30" s="102"/>
      <c r="J30" s="102"/>
      <c r="K30" s="102"/>
      <c r="L30" s="102"/>
    </row>
    <row r="31" ht="18.75" spans="1:16">
      <c r="A31" s="683" t="s">
        <v>33</v>
      </c>
      <c r="B31" s="683"/>
      <c r="C31" s="683"/>
      <c r="D31" s="683"/>
      <c r="E31" s="683"/>
      <c r="F31" s="683"/>
      <c r="G31" s="684"/>
      <c r="H31" s="685"/>
      <c r="I31" s="685"/>
      <c r="J31" s="685"/>
      <c r="K31" s="685"/>
      <c r="L31" s="685"/>
      <c r="M31" s="487"/>
      <c r="N31" s="487"/>
      <c r="O31" s="487"/>
      <c r="P31" s="487"/>
    </row>
    <row r="32" s="2" customFormat="1" ht="18.75" spans="1:16">
      <c r="A32" s="672">
        <v>45540</v>
      </c>
      <c r="B32" s="639" t="s">
        <v>17</v>
      </c>
      <c r="C32" s="640">
        <v>22</v>
      </c>
      <c r="D32" s="641">
        <v>10</v>
      </c>
      <c r="E32" s="640">
        <f>C32*D32</f>
        <v>220</v>
      </c>
      <c r="F32" s="224" t="s">
        <v>11</v>
      </c>
      <c r="G32" s="686" t="s">
        <v>34</v>
      </c>
      <c r="H32" s="687"/>
      <c r="I32" s="688"/>
      <c r="J32" s="689"/>
      <c r="K32" s="690"/>
      <c r="L32" s="689"/>
      <c r="M32" s="691"/>
      <c r="N32" s="280"/>
      <c r="O32" s="242"/>
      <c r="P32" s="242"/>
    </row>
    <row r="33" s="2" customFormat="1" ht="18.75" spans="1:16">
      <c r="A33" s="692">
        <v>45540</v>
      </c>
      <c r="B33" s="639" t="s">
        <v>24</v>
      </c>
      <c r="C33" s="640">
        <v>24</v>
      </c>
      <c r="D33" s="641">
        <v>11</v>
      </c>
      <c r="E33" s="640">
        <f t="shared" ref="E32:E35" si="1">C33*D33</f>
        <v>264</v>
      </c>
      <c r="F33" s="224" t="s">
        <v>11</v>
      </c>
      <c r="G33" s="686" t="s">
        <v>35</v>
      </c>
      <c r="H33" s="687" t="s">
        <v>36</v>
      </c>
      <c r="I33" s="688"/>
      <c r="J33" s="689"/>
      <c r="K33" s="690"/>
      <c r="L33" s="689"/>
      <c r="M33" s="691"/>
      <c r="N33" s="280"/>
      <c r="O33" s="242"/>
      <c r="P33" s="242"/>
    </row>
    <row r="34" s="2" customFormat="1" ht="18.75" spans="1:16">
      <c r="A34" s="672">
        <v>45540</v>
      </c>
      <c r="B34" s="639" t="s">
        <v>37</v>
      </c>
      <c r="C34" s="640">
        <v>20</v>
      </c>
      <c r="D34" s="641">
        <v>2</v>
      </c>
      <c r="E34" s="640">
        <f t="shared" si="1"/>
        <v>40</v>
      </c>
      <c r="F34" s="224" t="s">
        <v>11</v>
      </c>
      <c r="G34" s="686" t="s">
        <v>38</v>
      </c>
      <c r="H34" s="242" t="s">
        <v>39</v>
      </c>
      <c r="I34" s="242"/>
      <c r="J34" s="242"/>
      <c r="K34" s="242"/>
      <c r="L34" s="242"/>
      <c r="M34" s="242"/>
      <c r="N34" s="242"/>
      <c r="O34" s="242"/>
      <c r="P34" s="242"/>
    </row>
    <row r="35" s="2" customFormat="1" ht="18.75" spans="1:16">
      <c r="A35" s="672">
        <v>45540</v>
      </c>
      <c r="B35" s="639" t="s">
        <v>10</v>
      </c>
      <c r="C35" s="640">
        <v>18</v>
      </c>
      <c r="D35" s="653">
        <v>8</v>
      </c>
      <c r="E35" s="640">
        <f t="shared" si="1"/>
        <v>144</v>
      </c>
      <c r="F35" s="224" t="s">
        <v>40</v>
      </c>
      <c r="G35" s="682" t="s">
        <v>41</v>
      </c>
    </row>
    <row r="36" ht="25" customHeight="1" spans="1:16">
      <c r="A36" s="693" t="s">
        <v>42</v>
      </c>
      <c r="B36" s="694"/>
      <c r="C36" s="694"/>
      <c r="D36" s="694"/>
      <c r="E36" s="694"/>
      <c r="F36" s="694"/>
      <c r="G36" s="695"/>
    </row>
    <row r="37" ht="18.75" spans="1:16">
      <c r="A37" s="696">
        <v>45541</v>
      </c>
      <c r="B37" s="643" t="s">
        <v>28</v>
      </c>
      <c r="C37" s="644">
        <v>22</v>
      </c>
      <c r="D37" s="645">
        <v>10</v>
      </c>
      <c r="E37" s="644">
        <f t="shared" ref="E37:E40" si="2">C37*D37</f>
        <v>220</v>
      </c>
      <c r="F37" s="646" t="s">
        <v>11</v>
      </c>
      <c r="G37" s="697" t="s">
        <v>43</v>
      </c>
      <c r="H37" t="s">
        <v>44</v>
      </c>
    </row>
    <row r="38" ht="18.75" spans="1:16">
      <c r="A38" s="696">
        <v>45541</v>
      </c>
      <c r="B38" s="633" t="s">
        <v>10</v>
      </c>
      <c r="C38" s="634">
        <v>18</v>
      </c>
      <c r="D38" s="645">
        <v>1</v>
      </c>
      <c r="E38" s="634">
        <f t="shared" si="2"/>
        <v>18</v>
      </c>
      <c r="F38" s="620" t="s">
        <v>11</v>
      </c>
      <c r="G38" s="686" t="s">
        <v>45</v>
      </c>
    </row>
    <row r="39" ht="18.75" spans="1:16">
      <c r="A39" s="696">
        <v>45541</v>
      </c>
      <c r="B39" s="633" t="s">
        <v>14</v>
      </c>
      <c r="C39" s="634">
        <v>20</v>
      </c>
      <c r="D39" s="645">
        <v>2</v>
      </c>
      <c r="E39" s="634">
        <f t="shared" si="2"/>
        <v>40</v>
      </c>
      <c r="F39" s="620" t="s">
        <v>11</v>
      </c>
      <c r="G39" s="686" t="s">
        <v>46</v>
      </c>
    </row>
    <row r="40" ht="18.75" spans="1:16">
      <c r="A40" s="696">
        <v>45541</v>
      </c>
      <c r="B40" s="633" t="s">
        <v>10</v>
      </c>
      <c r="C40" s="634">
        <v>18</v>
      </c>
      <c r="D40" s="645">
        <v>9</v>
      </c>
      <c r="E40" s="634">
        <f t="shared" si="2"/>
        <v>162</v>
      </c>
      <c r="F40" s="620" t="s">
        <v>40</v>
      </c>
      <c r="G40" s="698" t="s">
        <v>47</v>
      </c>
    </row>
    <row r="41" ht="18.75" spans="1:16">
      <c r="A41" s="693" t="s">
        <v>48</v>
      </c>
      <c r="B41" s="694"/>
      <c r="C41" s="694"/>
      <c r="D41" s="694"/>
      <c r="E41" s="694"/>
      <c r="F41" s="694"/>
      <c r="G41" s="699"/>
    </row>
    <row r="42" ht="18.75" spans="1:16">
      <c r="A42" s="693">
        <v>45544</v>
      </c>
      <c r="B42" s="700" t="s">
        <v>49</v>
      </c>
      <c r="C42" s="634">
        <v>20</v>
      </c>
      <c r="D42" s="645">
        <v>3</v>
      </c>
      <c r="E42" s="634">
        <f t="shared" ref="E42:E45" si="3">C42*D42</f>
        <v>60</v>
      </c>
      <c r="F42" s="224" t="s">
        <v>22</v>
      </c>
      <c r="G42" s="701"/>
    </row>
    <row r="43" ht="18.75" spans="1:16">
      <c r="A43" s="693">
        <v>45544</v>
      </c>
      <c r="B43" s="700" t="s">
        <v>50</v>
      </c>
      <c r="C43" s="634">
        <v>20</v>
      </c>
      <c r="D43" s="645">
        <v>5</v>
      </c>
      <c r="E43" s="634">
        <f t="shared" si="3"/>
        <v>100</v>
      </c>
      <c r="F43" s="224" t="s">
        <v>22</v>
      </c>
      <c r="G43" s="702"/>
    </row>
    <row r="44" ht="18.75" spans="1:16">
      <c r="A44" s="693">
        <v>45544</v>
      </c>
      <c r="B44" s="700" t="s">
        <v>50</v>
      </c>
      <c r="C44" s="634">
        <v>20</v>
      </c>
      <c r="D44" s="645">
        <v>24</v>
      </c>
      <c r="E44" s="634">
        <f t="shared" si="3"/>
        <v>480</v>
      </c>
      <c r="F44" s="224" t="s">
        <v>22</v>
      </c>
      <c r="G44" s="702"/>
    </row>
    <row r="45" ht="18.75" spans="1:16">
      <c r="A45" s="693">
        <v>45544</v>
      </c>
      <c r="B45" s="700" t="s">
        <v>50</v>
      </c>
      <c r="C45" s="634">
        <v>17</v>
      </c>
      <c r="D45" s="645">
        <v>20</v>
      </c>
      <c r="E45" s="634">
        <f t="shared" si="3"/>
        <v>340</v>
      </c>
      <c r="F45" s="224" t="s">
        <v>22</v>
      </c>
      <c r="G45" s="703"/>
    </row>
    <row r="46" ht="18.75" spans="1:16">
      <c r="A46" s="681">
        <v>45545</v>
      </c>
      <c r="B46" s="625" t="s">
        <v>8</v>
      </c>
      <c r="C46" s="626">
        <v>10</v>
      </c>
      <c r="D46" s="627">
        <v>1</v>
      </c>
      <c r="E46" s="626">
        <f t="shared" ref="E46:E68" si="4">C46*D46</f>
        <v>10</v>
      </c>
      <c r="F46" s="224" t="s">
        <v>40</v>
      </c>
      <c r="G46" s="682" t="s">
        <v>51</v>
      </c>
    </row>
    <row r="47" s="1" customFormat="1" ht="18.75" spans="1:16">
      <c r="A47" s="696">
        <v>45547</v>
      </c>
      <c r="B47" s="633" t="s">
        <v>10</v>
      </c>
      <c r="C47" s="634">
        <v>18</v>
      </c>
      <c r="D47" s="635">
        <v>5</v>
      </c>
      <c r="E47" s="634">
        <f t="shared" si="4"/>
        <v>90</v>
      </c>
      <c r="F47" s="620" t="s">
        <v>52</v>
      </c>
      <c r="G47" s="704" t="s">
        <v>53</v>
      </c>
    </row>
    <row r="48" s="1" customFormat="1" ht="18.75" spans="1:16">
      <c r="A48" s="696">
        <v>45547</v>
      </c>
      <c r="B48" s="633" t="s">
        <v>14</v>
      </c>
      <c r="C48" s="634">
        <v>20</v>
      </c>
      <c r="D48" s="645">
        <v>2</v>
      </c>
      <c r="E48" s="634">
        <f t="shared" si="4"/>
        <v>40</v>
      </c>
      <c r="F48" s="620" t="s">
        <v>11</v>
      </c>
      <c r="G48" s="704" t="s">
        <v>54</v>
      </c>
    </row>
    <row r="49" s="1" customFormat="1" ht="18.75" spans="1:8">
      <c r="A49" s="696">
        <v>45547</v>
      </c>
      <c r="B49" s="643" t="s">
        <v>28</v>
      </c>
      <c r="C49" s="644">
        <v>22</v>
      </c>
      <c r="D49" s="645">
        <v>4</v>
      </c>
      <c r="E49" s="644">
        <f t="shared" si="4"/>
        <v>88</v>
      </c>
      <c r="F49" s="646" t="s">
        <v>11</v>
      </c>
      <c r="G49" s="704" t="s">
        <v>55</v>
      </c>
    </row>
    <row r="50" s="1" customFormat="1" ht="18.75" spans="1:8">
      <c r="A50" s="696">
        <v>45547</v>
      </c>
      <c r="B50" s="633" t="s">
        <v>24</v>
      </c>
      <c r="C50" s="634">
        <v>24</v>
      </c>
      <c r="D50" s="635">
        <v>4</v>
      </c>
      <c r="E50" s="634">
        <f t="shared" si="4"/>
        <v>96</v>
      </c>
      <c r="F50" s="620" t="s">
        <v>11</v>
      </c>
      <c r="G50" s="704" t="s">
        <v>56</v>
      </c>
      <c r="H50" s="1" t="s">
        <v>57</v>
      </c>
    </row>
    <row r="51" s="2" customFormat="1" ht="18.75" spans="1:8">
      <c r="A51" s="681">
        <v>45548</v>
      </c>
      <c r="B51" s="651" t="s">
        <v>28</v>
      </c>
      <c r="C51" s="652">
        <v>22</v>
      </c>
      <c r="D51" s="653">
        <v>2</v>
      </c>
      <c r="E51" s="652">
        <f t="shared" si="4"/>
        <v>44</v>
      </c>
      <c r="F51" s="224" t="s">
        <v>58</v>
      </c>
      <c r="G51" s="704" t="s">
        <v>59</v>
      </c>
    </row>
    <row r="52" s="2" customFormat="1" ht="18.75" spans="1:8">
      <c r="A52" s="681">
        <v>45548</v>
      </c>
      <c r="B52" s="639" t="s">
        <v>24</v>
      </c>
      <c r="C52" s="640">
        <v>24</v>
      </c>
      <c r="D52" s="641">
        <v>2</v>
      </c>
      <c r="E52" s="640">
        <f t="shared" si="4"/>
        <v>48</v>
      </c>
      <c r="F52" s="224" t="s">
        <v>58</v>
      </c>
      <c r="G52" s="704" t="s">
        <v>60</v>
      </c>
    </row>
    <row r="53" s="2" customFormat="1" ht="18.75" spans="1:8">
      <c r="A53" s="681">
        <v>45548</v>
      </c>
      <c r="B53" s="639" t="s">
        <v>10</v>
      </c>
      <c r="C53" s="640">
        <v>18</v>
      </c>
      <c r="D53" s="641">
        <v>5</v>
      </c>
      <c r="E53" s="640">
        <f t="shared" si="4"/>
        <v>90</v>
      </c>
      <c r="F53" s="224" t="s">
        <v>58</v>
      </c>
      <c r="G53" s="682" t="s">
        <v>61</v>
      </c>
    </row>
    <row r="54" s="2" customFormat="1" ht="18.75" spans="1:8">
      <c r="A54" s="705">
        <v>45556</v>
      </c>
      <c r="B54" s="706" t="s">
        <v>62</v>
      </c>
      <c r="C54" s="707">
        <v>23</v>
      </c>
      <c r="D54" s="708">
        <v>5</v>
      </c>
      <c r="E54" s="640">
        <f t="shared" si="4"/>
        <v>115</v>
      </c>
      <c r="F54" s="709" t="s">
        <v>11</v>
      </c>
      <c r="G54" s="710" t="s">
        <v>63</v>
      </c>
    </row>
    <row r="55" s="2" customFormat="1" ht="18.75" spans="1:8">
      <c r="A55" s="705">
        <v>45556</v>
      </c>
      <c r="B55" s="706" t="s">
        <v>64</v>
      </c>
      <c r="C55" s="707">
        <v>17</v>
      </c>
      <c r="D55" s="708">
        <v>2</v>
      </c>
      <c r="E55" s="640">
        <f t="shared" si="4"/>
        <v>34</v>
      </c>
      <c r="F55" s="709" t="s">
        <v>11</v>
      </c>
      <c r="G55" s="711"/>
    </row>
    <row r="56" s="235" customFormat="1" ht="18.75" spans="1:8">
      <c r="A56" s="712">
        <v>45562</v>
      </c>
      <c r="B56" s="52" t="s">
        <v>65</v>
      </c>
      <c r="C56" s="34">
        <v>20</v>
      </c>
      <c r="D56" s="34">
        <v>10</v>
      </c>
      <c r="E56" s="640">
        <f t="shared" si="4"/>
        <v>200</v>
      </c>
      <c r="F56" s="34" t="s">
        <v>58</v>
      </c>
      <c r="G56" s="713" t="s">
        <v>66</v>
      </c>
    </row>
    <row r="57" s="235" customFormat="1" ht="18.75" spans="1:8">
      <c r="A57" s="712">
        <v>45562</v>
      </c>
      <c r="B57" s="52" t="s">
        <v>14</v>
      </c>
      <c r="C57" s="34">
        <v>4</v>
      </c>
      <c r="D57" s="34">
        <v>10</v>
      </c>
      <c r="E57" s="640">
        <f t="shared" si="4"/>
        <v>40</v>
      </c>
      <c r="F57" s="34" t="s">
        <v>58</v>
      </c>
      <c r="G57" s="714"/>
    </row>
    <row r="58" s="235" customFormat="1" ht="18.75" spans="1:8">
      <c r="A58" s="712">
        <v>45562</v>
      </c>
      <c r="B58" s="52" t="s">
        <v>67</v>
      </c>
      <c r="C58" s="34">
        <v>18</v>
      </c>
      <c r="D58" s="34">
        <v>2</v>
      </c>
      <c r="E58" s="640">
        <f t="shared" si="4"/>
        <v>36</v>
      </c>
      <c r="F58" s="34" t="s">
        <v>58</v>
      </c>
      <c r="G58" s="619" t="s">
        <v>68</v>
      </c>
    </row>
    <row r="59" s="255" customFormat="1" ht="18.75" spans="1:8">
      <c r="A59" s="715">
        <v>45562</v>
      </c>
      <c r="B59" s="50" t="s">
        <v>69</v>
      </c>
      <c r="C59" s="74">
        <v>1</v>
      </c>
      <c r="D59" s="74">
        <v>20</v>
      </c>
      <c r="E59" s="634">
        <f t="shared" si="4"/>
        <v>20</v>
      </c>
      <c r="F59" s="674" t="s">
        <v>70</v>
      </c>
      <c r="G59" s="716" t="s">
        <v>71</v>
      </c>
    </row>
    <row r="60" s="255" customFormat="1" ht="18.75" spans="1:8">
      <c r="A60" s="715">
        <v>45562</v>
      </c>
      <c r="B60" s="50" t="s">
        <v>14</v>
      </c>
      <c r="C60" s="74">
        <v>1</v>
      </c>
      <c r="D60" s="74">
        <v>4</v>
      </c>
      <c r="E60" s="634">
        <f t="shared" si="4"/>
        <v>4</v>
      </c>
      <c r="F60" s="674" t="s">
        <v>70</v>
      </c>
      <c r="G60" s="717"/>
    </row>
    <row r="61" s="235" customFormat="1" ht="18.75" spans="1:8">
      <c r="A61" s="712">
        <v>45571</v>
      </c>
      <c r="B61" s="52" t="s">
        <v>72</v>
      </c>
      <c r="C61" s="34">
        <v>1</v>
      </c>
      <c r="D61" s="34">
        <v>20</v>
      </c>
      <c r="E61" s="640">
        <f t="shared" si="4"/>
        <v>20</v>
      </c>
      <c r="F61" s="686" t="s">
        <v>70</v>
      </c>
      <c r="G61" s="619" t="s">
        <v>73</v>
      </c>
    </row>
    <row r="62" s="255" customFormat="1" ht="18.75" spans="1:8">
      <c r="A62" s="715">
        <v>45575</v>
      </c>
      <c r="B62" s="50" t="s">
        <v>72</v>
      </c>
      <c r="C62" s="74">
        <v>4</v>
      </c>
      <c r="D62" s="74">
        <v>20</v>
      </c>
      <c r="E62" s="634">
        <f t="shared" si="4"/>
        <v>80</v>
      </c>
      <c r="F62" s="674" t="s">
        <v>74</v>
      </c>
      <c r="G62" s="718" t="s">
        <v>75</v>
      </c>
    </row>
    <row r="63" s="255" customFormat="1" ht="18.75" spans="1:8">
      <c r="A63" s="715">
        <v>45575</v>
      </c>
      <c r="B63" s="50" t="s">
        <v>14</v>
      </c>
      <c r="C63" s="74">
        <v>4</v>
      </c>
      <c r="D63" s="74">
        <v>4</v>
      </c>
      <c r="E63" s="634">
        <f t="shared" si="4"/>
        <v>16</v>
      </c>
      <c r="F63" s="674" t="s">
        <v>74</v>
      </c>
      <c r="G63" s="719"/>
    </row>
    <row r="64" s="255" customFormat="1" ht="20.25" spans="1:8">
      <c r="A64" s="712">
        <v>45580</v>
      </c>
      <c r="B64" s="720" t="s">
        <v>76</v>
      </c>
      <c r="C64" s="34">
        <v>1</v>
      </c>
      <c r="D64" s="34">
        <v>20</v>
      </c>
      <c r="E64" s="640">
        <f t="shared" si="4"/>
        <v>20</v>
      </c>
      <c r="F64" s="686" t="s">
        <v>70</v>
      </c>
      <c r="G64" s="721" t="s">
        <v>77</v>
      </c>
    </row>
    <row r="65" s="255" customFormat="1" ht="20.25" spans="1:7">
      <c r="A65" s="712">
        <v>45580</v>
      </c>
      <c r="B65" s="720" t="s">
        <v>78</v>
      </c>
      <c r="C65" s="34">
        <v>1</v>
      </c>
      <c r="D65" s="34">
        <v>10</v>
      </c>
      <c r="E65" s="640">
        <f t="shared" si="4"/>
        <v>10</v>
      </c>
      <c r="F65" s="686" t="s">
        <v>70</v>
      </c>
      <c r="G65" s="629"/>
    </row>
    <row r="66" s="255" customFormat="1" ht="20.25" spans="1:7">
      <c r="A66" s="712">
        <v>45580</v>
      </c>
      <c r="B66" s="720" t="s">
        <v>14</v>
      </c>
      <c r="C66" s="34">
        <v>1</v>
      </c>
      <c r="D66" s="34">
        <v>4</v>
      </c>
      <c r="E66" s="640">
        <f t="shared" si="4"/>
        <v>4</v>
      </c>
      <c r="F66" s="686" t="s">
        <v>70</v>
      </c>
      <c r="G66" s="629"/>
    </row>
    <row r="67" ht="20.25" spans="1:7">
      <c r="A67" s="712">
        <v>45580</v>
      </c>
      <c r="B67" s="720" t="s">
        <v>14</v>
      </c>
      <c r="C67" s="34">
        <v>1</v>
      </c>
      <c r="D67" s="34">
        <v>2</v>
      </c>
      <c r="E67" s="640">
        <f t="shared" si="4"/>
        <v>2</v>
      </c>
      <c r="F67" s="686" t="s">
        <v>70</v>
      </c>
      <c r="G67" s="722"/>
    </row>
    <row r="68" ht="20.25" spans="1:7">
      <c r="A68" s="715">
        <v>45586</v>
      </c>
      <c r="B68" s="75" t="s">
        <v>24</v>
      </c>
      <c r="C68" s="74">
        <v>1</v>
      </c>
      <c r="D68" s="74">
        <v>24</v>
      </c>
      <c r="E68" s="634">
        <f t="shared" si="4"/>
        <v>24</v>
      </c>
      <c r="F68" s="723" t="s">
        <v>79</v>
      </c>
      <c r="G68" s="619"/>
    </row>
    <row r="69" ht="20.25" spans="1:7">
      <c r="A69" s="715">
        <v>45586</v>
      </c>
      <c r="B69" s="75" t="s">
        <v>80</v>
      </c>
      <c r="C69" s="74" t="s">
        <v>81</v>
      </c>
      <c r="D69" s="74"/>
      <c r="E69" s="634"/>
      <c r="F69" s="667"/>
      <c r="G69" s="619"/>
    </row>
    <row r="70" ht="20.25" spans="1:7">
      <c r="A70" s="715">
        <v>45586</v>
      </c>
      <c r="B70" s="75" t="s">
        <v>82</v>
      </c>
      <c r="C70" s="74">
        <v>1</v>
      </c>
      <c r="D70" s="74">
        <v>17</v>
      </c>
      <c r="E70" s="634">
        <f>C70*D70</f>
        <v>17</v>
      </c>
      <c r="F70" s="667"/>
      <c r="G70" s="619"/>
    </row>
    <row r="71" ht="20.25" spans="1:7">
      <c r="A71" s="715">
        <v>45586</v>
      </c>
      <c r="B71" s="75" t="s">
        <v>83</v>
      </c>
      <c r="C71" s="74" t="s">
        <v>81</v>
      </c>
      <c r="D71" s="74"/>
      <c r="E71" s="634">
        <v>4</v>
      </c>
      <c r="F71" s="667"/>
      <c r="G71" s="619"/>
    </row>
    <row r="72" ht="20.25" spans="1:7">
      <c r="A72" s="715">
        <v>45586</v>
      </c>
      <c r="B72" s="75" t="s">
        <v>14</v>
      </c>
      <c r="C72" s="74" t="s">
        <v>81</v>
      </c>
      <c r="D72" s="74"/>
      <c r="E72" s="634">
        <v>10</v>
      </c>
      <c r="F72" s="724"/>
      <c r="G72" s="619"/>
    </row>
    <row r="73" ht="20.25" spans="1:7">
      <c r="A73" s="725"/>
      <c r="B73" s="257"/>
      <c r="C73" s="726"/>
      <c r="D73" s="726"/>
      <c r="E73" s="727"/>
      <c r="F73" s="728"/>
      <c r="G73" s="729"/>
    </row>
    <row r="74" ht="20.25" spans="1:7">
      <c r="A74" s="725"/>
      <c r="B74" s="257"/>
      <c r="C74" s="726"/>
      <c r="D74" s="726"/>
      <c r="E74" s="727"/>
      <c r="F74" s="728"/>
      <c r="G74" s="729"/>
    </row>
    <row r="75" ht="20.25" spans="1:7">
      <c r="A75" s="725"/>
      <c r="B75" s="257"/>
      <c r="C75" s="726"/>
      <c r="D75" s="726"/>
      <c r="E75" s="727"/>
      <c r="F75" s="728"/>
      <c r="G75" s="729"/>
    </row>
    <row r="76" ht="20.25" spans="1:7">
      <c r="A76" s="725"/>
      <c r="B76" s="257"/>
      <c r="C76" s="726"/>
      <c r="D76" s="726"/>
      <c r="E76" s="727"/>
      <c r="F76" s="728"/>
      <c r="G76" s="729"/>
    </row>
    <row r="77" ht="20.25" spans="1:7">
      <c r="A77" s="725"/>
      <c r="B77" s="257"/>
      <c r="C77" s="726"/>
      <c r="D77" s="726"/>
      <c r="E77" s="727"/>
      <c r="F77" s="728"/>
      <c r="G77" s="729"/>
    </row>
    <row r="80" spans="1:7">
      <c r="A80" t="s">
        <v>84</v>
      </c>
      <c r="B80" s="77" t="s">
        <v>85</v>
      </c>
    </row>
    <row r="81" spans="1:6">
      <c r="A81" s="34" t="s">
        <v>86</v>
      </c>
      <c r="B81" s="34">
        <v>1</v>
      </c>
      <c r="C81" s="34">
        <v>22</v>
      </c>
      <c r="D81" s="34">
        <f>B81*C81</f>
        <v>22</v>
      </c>
      <c r="E81" s="730">
        <f>SUM(D81:D82)</f>
        <v>42</v>
      </c>
    </row>
    <row r="82" spans="1:6">
      <c r="A82" s="34"/>
      <c r="B82" s="34">
        <v>1</v>
      </c>
      <c r="C82" s="34">
        <v>20</v>
      </c>
      <c r="D82" s="34">
        <f>B82*C82</f>
        <v>20</v>
      </c>
      <c r="E82" s="730"/>
    </row>
    <row r="83" spans="1:6">
      <c r="A83" s="731" t="s">
        <v>87</v>
      </c>
      <c r="B83" s="74">
        <v>1</v>
      </c>
      <c r="C83" s="74">
        <v>24</v>
      </c>
      <c r="D83" s="74">
        <f>B83*C83</f>
        <v>24</v>
      </c>
      <c r="E83" s="732">
        <f>D83</f>
        <v>24</v>
      </c>
    </row>
    <row r="84" spans="1:6">
      <c r="A84" s="88"/>
      <c r="B84" s="733" t="s">
        <v>88</v>
      </c>
      <c r="C84" s="733"/>
      <c r="D84" s="733"/>
      <c r="E84" s="734" t="s">
        <v>89</v>
      </c>
    </row>
    <row r="85" spans="1:6">
      <c r="A85" s="735" t="s">
        <v>90</v>
      </c>
      <c r="B85" s="74">
        <v>2</v>
      </c>
      <c r="C85" s="74">
        <v>18</v>
      </c>
      <c r="D85" s="74">
        <f>B85*C85</f>
        <v>36</v>
      </c>
      <c r="E85" s="736">
        <f>D85+D86</f>
        <v>0</v>
      </c>
      <c r="F85" s="737" t="s">
        <v>91</v>
      </c>
    </row>
    <row r="86" spans="1:6">
      <c r="A86" s="738"/>
      <c r="B86" s="74">
        <v>-2</v>
      </c>
      <c r="C86" s="74">
        <v>18</v>
      </c>
      <c r="D86" s="74">
        <f>B86*C86</f>
        <v>-36</v>
      </c>
      <c r="E86" s="739"/>
      <c r="F86" s="737"/>
    </row>
    <row r="87" ht="21" customHeight="1" spans="1:6">
      <c r="A87" s="740"/>
      <c r="B87" s="733">
        <v>1</v>
      </c>
      <c r="C87" s="733">
        <v>4</v>
      </c>
      <c r="D87" s="733">
        <f>B87*C87</f>
        <v>4</v>
      </c>
      <c r="E87" s="741" t="s">
        <v>92</v>
      </c>
      <c r="F87" s="741"/>
    </row>
    <row r="88" spans="1:6">
      <c r="A88" s="733" t="s">
        <v>37</v>
      </c>
      <c r="B88" s="733">
        <v>1</v>
      </c>
      <c r="C88" s="733">
        <v>10</v>
      </c>
      <c r="D88" s="733">
        <f>B88*C88</f>
        <v>10</v>
      </c>
      <c r="E88" s="742">
        <f>D88</f>
        <v>10</v>
      </c>
      <c r="F88" s="741" t="s">
        <v>93</v>
      </c>
    </row>
    <row r="89" spans="1:6">
      <c r="C89"/>
      <c r="D89"/>
      <c r="E89"/>
    </row>
    <row r="90" spans="1:6">
      <c r="A90" s="2" t="s">
        <v>94</v>
      </c>
      <c r="B90" s="2"/>
      <c r="C90" s="2"/>
      <c r="D90" s="2"/>
      <c r="E90" s="2"/>
      <c r="F90" s="240"/>
    </row>
    <row r="91" spans="1:6">
      <c r="A91" s="34" t="s">
        <v>95</v>
      </c>
      <c r="B91" s="34">
        <v>5</v>
      </c>
      <c r="C91" s="34">
        <v>20</v>
      </c>
      <c r="D91" s="34">
        <f>B91*C91</f>
        <v>100</v>
      </c>
      <c r="E91" s="81">
        <f>SUM(D91:D93)</f>
        <v>70</v>
      </c>
      <c r="F91" s="743" t="s">
        <v>96</v>
      </c>
    </row>
    <row r="92" spans="1:6">
      <c r="A92" s="34"/>
      <c r="B92" s="34">
        <v>-1</v>
      </c>
      <c r="C92" s="34">
        <v>20</v>
      </c>
      <c r="D92" s="34">
        <f>B92*C92</f>
        <v>-20</v>
      </c>
      <c r="E92" s="85"/>
      <c r="F92" s="743"/>
    </row>
    <row r="93" spans="1:6">
      <c r="A93" s="744" t="s">
        <v>97</v>
      </c>
      <c r="B93" s="34">
        <v>-1</v>
      </c>
      <c r="C93" s="34">
        <v>10</v>
      </c>
      <c r="D93" s="34">
        <f>B93*C93</f>
        <v>-10</v>
      </c>
      <c r="E93" s="92"/>
      <c r="F93" s="743"/>
    </row>
    <row r="94" spans="1:6">
      <c r="A94" s="745"/>
      <c r="B94" s="746"/>
      <c r="C94" s="746"/>
      <c r="D94" s="746"/>
      <c r="E94" s="747"/>
    </row>
    <row r="95" spans="1:6">
      <c r="A95" s="748" t="s">
        <v>98</v>
      </c>
      <c r="B95" s="733">
        <v>3</v>
      </c>
      <c r="C95" s="733">
        <v>17</v>
      </c>
      <c r="D95" s="733">
        <f>B95*C95</f>
        <v>51</v>
      </c>
      <c r="E95" s="735">
        <f>SUM(D95:D96)</f>
        <v>17</v>
      </c>
      <c r="F95" s="749" t="s">
        <v>93</v>
      </c>
    </row>
    <row r="96" spans="1:6">
      <c r="A96" s="750" t="s">
        <v>99</v>
      </c>
      <c r="B96" s="733">
        <v>-2</v>
      </c>
      <c r="C96" s="733">
        <v>17</v>
      </c>
      <c r="D96" s="733">
        <f>B96*C96</f>
        <v>-34</v>
      </c>
      <c r="E96" s="740"/>
      <c r="F96" s="749"/>
    </row>
    <row r="97" spans="1:5">
      <c r="C97"/>
      <c r="D97"/>
      <c r="E97"/>
    </row>
    <row r="98" spans="1:5">
      <c r="C98"/>
      <c r="D98"/>
      <c r="E98"/>
    </row>
    <row r="102" spans="1:5">
      <c r="A102" s="13" t="s">
        <v>100</v>
      </c>
      <c r="B102" s="12" t="s">
        <v>101</v>
      </c>
      <c r="C102" s="603"/>
      <c r="D102" s="603"/>
    </row>
    <row r="103" spans="1:5">
      <c r="A103" s="13" t="s">
        <v>86</v>
      </c>
      <c r="B103" s="13" t="s">
        <v>102</v>
      </c>
      <c r="C103" s="603">
        <v>814</v>
      </c>
      <c r="D103" s="603">
        <f>C103+C104</f>
        <v>1822</v>
      </c>
      <c r="E103" s="77" t="s">
        <v>103</v>
      </c>
    </row>
    <row r="104" spans="1:5">
      <c r="A104" s="13" t="s">
        <v>87</v>
      </c>
      <c r="B104" s="13" t="s">
        <v>104</v>
      </c>
      <c r="C104" s="603">
        <v>1008</v>
      </c>
      <c r="D104" s="603"/>
      <c r="E104" s="77">
        <f>C105/D103*100</f>
        <v>76.7288693743139</v>
      </c>
    </row>
    <row r="105" spans="1:5">
      <c r="A105" s="603" t="s">
        <v>90</v>
      </c>
      <c r="B105" s="13" t="s">
        <v>105</v>
      </c>
      <c r="C105" s="603">
        <v>1398</v>
      </c>
      <c r="D105" s="603"/>
    </row>
    <row r="106" spans="1:5">
      <c r="A106" s="603"/>
      <c r="B106" s="13" t="s">
        <v>106</v>
      </c>
      <c r="C106" s="603"/>
      <c r="D106" s="603"/>
    </row>
    <row r="107" spans="1:5">
      <c r="A107" s="603"/>
      <c r="B107" s="13" t="s">
        <v>107</v>
      </c>
      <c r="C107" s="603"/>
      <c r="D107" s="603"/>
    </row>
    <row r="108" spans="1:5">
      <c r="A108" s="13" t="s">
        <v>37</v>
      </c>
      <c r="B108" s="13" t="s">
        <v>108</v>
      </c>
      <c r="C108" s="603">
        <v>10</v>
      </c>
      <c r="D108" s="603"/>
    </row>
  </sheetData>
  <autoFilter xmlns:etc="http://www.wps.cn/officeDocument/2017/etCustomData" ref="A2:J72" etc:filterBottomFollowUsedRange="0">
    <extLst/>
  </autoFilter>
  <mergeCells count="44">
    <mergeCell ref="A1:G1"/>
    <mergeCell ref="A3:G3"/>
    <mergeCell ref="A5:G5"/>
    <mergeCell ref="A7:G7"/>
    <mergeCell ref="A10:G10"/>
    <mergeCell ref="A12:G12"/>
    <mergeCell ref="A15:G15"/>
    <mergeCell ref="A17:G17"/>
    <mergeCell ref="A19:G19"/>
    <mergeCell ref="A23:F23"/>
    <mergeCell ref="A29:F29"/>
    <mergeCell ref="A31:G31"/>
    <mergeCell ref="A36:G36"/>
    <mergeCell ref="A41:G41"/>
    <mergeCell ref="B80:E80"/>
    <mergeCell ref="E87:F87"/>
    <mergeCell ref="A94:E94"/>
    <mergeCell ref="A8:A9"/>
    <mergeCell ref="A13:A14"/>
    <mergeCell ref="A81:A82"/>
    <mergeCell ref="A83:A84"/>
    <mergeCell ref="A85:A87"/>
    <mergeCell ref="A91:A92"/>
    <mergeCell ref="A105:A107"/>
    <mergeCell ref="C105:C107"/>
    <mergeCell ref="D103:D104"/>
    <mergeCell ref="E81:E82"/>
    <mergeCell ref="E85:E86"/>
    <mergeCell ref="E91:E93"/>
    <mergeCell ref="E95:E96"/>
    <mergeCell ref="F68:F72"/>
    <mergeCell ref="F85:F86"/>
    <mergeCell ref="F91:F93"/>
    <mergeCell ref="F95:F96"/>
    <mergeCell ref="G8:G9"/>
    <mergeCell ref="G13:G14"/>
    <mergeCell ref="G20:G24"/>
    <mergeCell ref="G26:G27"/>
    <mergeCell ref="G42:G45"/>
    <mergeCell ref="G54:G55"/>
    <mergeCell ref="G56:G57"/>
    <mergeCell ref="G59:G60"/>
    <mergeCell ref="G62:G63"/>
    <mergeCell ref="G64:G67"/>
  </mergeCells>
  <printOptions horizontalCentered="1"/>
  <pageMargins left="0" right="0.196527777777778" top="0.393055555555556" bottom="0.393055555555556" header="0.196527777777778" footer="0.5"/>
  <pageSetup paperSize="9" scale="78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T40"/>
  <sheetViews>
    <sheetView workbookViewId="0">
      <selection activeCell="M10" sqref="M10"/>
    </sheetView>
  </sheetViews>
  <sheetFormatPr defaultColWidth="9" defaultRowHeight="14.25"/>
  <cols>
    <col min="1" max="1" width="12.625" style="498"/>
    <col min="2" max="2" width="2.875" style="498" customWidth="1"/>
    <col min="3" max="3" width="0.875" style="498" customWidth="1"/>
    <col min="4" max="4" width="36.125" style="498" customWidth="1"/>
    <col min="5" max="5" width="9" style="498"/>
    <col min="6" max="6" width="17.375" style="498"/>
    <col min="7" max="8" width="17" style="498" customWidth="1"/>
    <col min="9" max="9" width="16.75" style="498" customWidth="1"/>
    <col min="10" max="10" width="11.25" style="498" customWidth="1"/>
    <col min="11" max="12" width="9" style="77"/>
  </cols>
  <sheetData>
    <row r="1" s="153" customFormat="1" ht="28" customHeight="1" spans="1:12">
      <c r="A1" s="154" t="s">
        <v>109</v>
      </c>
      <c r="B1" s="154"/>
      <c r="C1" s="154"/>
      <c r="D1" s="154"/>
      <c r="E1" s="154"/>
      <c r="F1" s="154"/>
      <c r="G1" s="154"/>
      <c r="H1" s="154"/>
      <c r="I1" s="154"/>
      <c r="J1" s="154"/>
    </row>
    <row r="2" s="588" customFormat="1" ht="34" customHeight="1" spans="1:12">
      <c r="A2" s="155" t="s">
        <v>110</v>
      </c>
      <c r="B2" s="155"/>
      <c r="C2" s="155"/>
      <c r="D2" s="155"/>
      <c r="E2" s="155"/>
      <c r="F2" s="155"/>
      <c r="G2" s="155"/>
      <c r="H2" s="155"/>
      <c r="I2" s="155"/>
      <c r="J2" s="155"/>
      <c r="K2" s="589"/>
      <c r="L2" s="589"/>
    </row>
    <row r="3" s="131" customFormat="1" ht="26" customHeight="1" spans="1:12">
      <c r="A3" s="590" t="s">
        <v>111</v>
      </c>
      <c r="B3" s="590"/>
      <c r="C3" s="590"/>
      <c r="D3" s="591" t="s">
        <v>112</v>
      </c>
      <c r="E3" s="591" t="s">
        <v>113</v>
      </c>
      <c r="F3" s="591" t="s">
        <v>3</v>
      </c>
      <c r="G3" s="591" t="s">
        <v>5</v>
      </c>
      <c r="H3" s="591" t="s">
        <v>114</v>
      </c>
      <c r="I3" s="591" t="s">
        <v>115</v>
      </c>
      <c r="J3" s="591" t="s">
        <v>116</v>
      </c>
      <c r="K3" s="243"/>
      <c r="L3" s="256"/>
    </row>
    <row r="4" s="131" customFormat="1" ht="24" customHeight="1" spans="1:12">
      <c r="A4" s="37">
        <v>46304</v>
      </c>
      <c r="B4" s="40"/>
      <c r="C4" s="40"/>
      <c r="D4" s="592" t="s">
        <v>117</v>
      </c>
      <c r="E4" s="40">
        <v>1</v>
      </c>
      <c r="F4" s="40">
        <v>20</v>
      </c>
      <c r="G4" s="593">
        <f t="shared" ref="G4:G14" si="0">E4*F4</f>
        <v>20</v>
      </c>
      <c r="H4" s="41">
        <v>10.8</v>
      </c>
      <c r="I4" s="41"/>
      <c r="J4" s="594"/>
      <c r="K4" s="243"/>
      <c r="L4" s="256" t="s">
        <v>118</v>
      </c>
    </row>
    <row r="5" s="131" customFormat="1" ht="24" customHeight="1" spans="1:12">
      <c r="A5" s="37">
        <v>46304</v>
      </c>
      <c r="B5" s="40"/>
      <c r="C5" s="40"/>
      <c r="D5" s="39" t="s">
        <v>119</v>
      </c>
      <c r="E5" s="40">
        <v>1</v>
      </c>
      <c r="F5" s="40">
        <v>20</v>
      </c>
      <c r="G5" s="593">
        <f t="shared" si="0"/>
        <v>20</v>
      </c>
      <c r="H5" s="41">
        <v>7.7</v>
      </c>
      <c r="I5" s="41"/>
      <c r="J5" s="595"/>
      <c r="K5" s="243"/>
      <c r="L5" s="256"/>
    </row>
    <row r="6" s="131" customFormat="1" ht="24" customHeight="1" spans="1:12">
      <c r="A6" s="37">
        <v>46304</v>
      </c>
      <c r="B6" s="40"/>
      <c r="C6" s="40"/>
      <c r="D6" s="227" t="s">
        <v>120</v>
      </c>
      <c r="E6" s="40">
        <v>1</v>
      </c>
      <c r="F6" s="40">
        <v>2.5</v>
      </c>
      <c r="G6" s="593">
        <f t="shared" si="0"/>
        <v>2.5</v>
      </c>
      <c r="H6" s="41">
        <v>17</v>
      </c>
      <c r="I6" s="41">
        <f t="shared" ref="I6:I9" si="1">G6*H6</f>
        <v>42.5</v>
      </c>
      <c r="J6" s="596"/>
      <c r="K6" s="243"/>
      <c r="L6" s="256"/>
    </row>
    <row r="7" s="131" customFormat="1" ht="24" customHeight="1" spans="1:12">
      <c r="A7" s="37">
        <v>46304</v>
      </c>
      <c r="B7" s="40"/>
      <c r="C7" s="40"/>
      <c r="D7" s="227" t="s">
        <v>121</v>
      </c>
      <c r="E7" s="40">
        <v>1</v>
      </c>
      <c r="F7" s="40">
        <v>7</v>
      </c>
      <c r="G7" s="593">
        <f t="shared" si="0"/>
        <v>7</v>
      </c>
      <c r="H7" s="41">
        <v>0.6</v>
      </c>
      <c r="I7" s="41">
        <f t="shared" si="1"/>
        <v>4.2</v>
      </c>
      <c r="J7" s="596"/>
      <c r="K7" s="243"/>
      <c r="L7" s="256"/>
    </row>
    <row r="8" s="131" customFormat="1" ht="24" customHeight="1" spans="1:12">
      <c r="A8" s="37">
        <v>46304</v>
      </c>
      <c r="B8" s="40"/>
      <c r="C8" s="40"/>
      <c r="D8" s="227" t="s">
        <v>122</v>
      </c>
      <c r="E8" s="40">
        <v>1</v>
      </c>
      <c r="F8" s="40">
        <v>28</v>
      </c>
      <c r="G8" s="593">
        <f t="shared" si="0"/>
        <v>28</v>
      </c>
      <c r="H8" s="41">
        <v>6.2</v>
      </c>
      <c r="I8" s="41">
        <f t="shared" si="1"/>
        <v>173.6</v>
      </c>
      <c r="J8" s="596"/>
      <c r="K8" s="243"/>
      <c r="L8" s="256"/>
    </row>
    <row r="9" s="131" customFormat="1" ht="24" customHeight="1" spans="1:12">
      <c r="A9" s="37">
        <v>46304</v>
      </c>
      <c r="B9" s="40"/>
      <c r="C9" s="40"/>
      <c r="D9" s="227" t="s">
        <v>123</v>
      </c>
      <c r="E9" s="40">
        <v>1</v>
      </c>
      <c r="F9" s="40">
        <v>30</v>
      </c>
      <c r="G9" s="593">
        <f t="shared" si="0"/>
        <v>30</v>
      </c>
      <c r="H9" s="41">
        <v>3</v>
      </c>
      <c r="I9" s="41">
        <f t="shared" si="1"/>
        <v>90</v>
      </c>
      <c r="J9" s="596"/>
      <c r="K9" s="243"/>
      <c r="L9" s="256"/>
    </row>
    <row r="10" s="131" customFormat="1" ht="24" customHeight="1" spans="1:12">
      <c r="A10" s="37">
        <v>46304</v>
      </c>
      <c r="B10" s="40"/>
      <c r="C10" s="40"/>
      <c r="D10" s="227" t="s">
        <v>124</v>
      </c>
      <c r="E10" s="40">
        <v>1</v>
      </c>
      <c r="F10" s="40">
        <v>3</v>
      </c>
      <c r="G10" s="593">
        <f t="shared" si="0"/>
        <v>3</v>
      </c>
      <c r="H10" s="41">
        <v>15</v>
      </c>
      <c r="I10" s="41"/>
      <c r="J10" s="596"/>
      <c r="L10" s="256"/>
    </row>
    <row r="11" s="131" customFormat="1" ht="24" customHeight="1" spans="1:12">
      <c r="A11" s="37">
        <v>46304</v>
      </c>
      <c r="B11" s="40"/>
      <c r="C11" s="40"/>
      <c r="D11" s="227" t="s">
        <v>125</v>
      </c>
      <c r="E11" s="40">
        <v>1</v>
      </c>
      <c r="F11" s="40">
        <v>9</v>
      </c>
      <c r="G11" s="593">
        <f t="shared" si="0"/>
        <v>9</v>
      </c>
      <c r="H11" s="41">
        <v>25</v>
      </c>
      <c r="I11" s="41">
        <f t="shared" ref="I11:I14" si="2">G11*H11</f>
        <v>225</v>
      </c>
      <c r="J11" s="596"/>
      <c r="L11" s="256"/>
    </row>
    <row r="12" s="131" customFormat="1" ht="24" customHeight="1" spans="1:12">
      <c r="A12" s="37">
        <v>46304</v>
      </c>
      <c r="B12" s="40"/>
      <c r="C12" s="40"/>
      <c r="D12" s="227" t="s">
        <v>126</v>
      </c>
      <c r="E12" s="40">
        <v>1</v>
      </c>
      <c r="F12" s="40">
        <v>11</v>
      </c>
      <c r="G12" s="593">
        <f t="shared" si="0"/>
        <v>11</v>
      </c>
      <c r="H12" s="41">
        <v>7</v>
      </c>
      <c r="I12" s="41">
        <f t="shared" si="2"/>
        <v>77</v>
      </c>
      <c r="J12" s="596"/>
      <c r="L12" s="256"/>
    </row>
    <row r="13" s="131" customFormat="1" ht="24" customHeight="1" spans="1:12">
      <c r="A13" s="37">
        <v>46304</v>
      </c>
      <c r="B13" s="40"/>
      <c r="C13" s="40"/>
      <c r="D13" s="227" t="s">
        <v>127</v>
      </c>
      <c r="E13" s="40">
        <v>1</v>
      </c>
      <c r="F13" s="40">
        <f>SUM(F4:F12)</f>
        <v>130.5</v>
      </c>
      <c r="G13" s="593">
        <f t="shared" si="0"/>
        <v>130.5</v>
      </c>
      <c r="H13" s="41">
        <v>2</v>
      </c>
      <c r="I13" s="41">
        <f t="shared" si="2"/>
        <v>261</v>
      </c>
      <c r="J13" s="596"/>
      <c r="L13" s="256"/>
    </row>
    <row r="14" s="131" customFormat="1" ht="24" customHeight="1" spans="1:12">
      <c r="A14" s="37">
        <v>46304</v>
      </c>
      <c r="B14" s="40"/>
      <c r="C14" s="40"/>
      <c r="D14" s="227" t="s">
        <v>128</v>
      </c>
      <c r="E14" s="40">
        <v>7</v>
      </c>
      <c r="F14" s="40">
        <v>1</v>
      </c>
      <c r="G14" s="593">
        <f t="shared" si="0"/>
        <v>7</v>
      </c>
      <c r="H14" s="41">
        <v>12.5</v>
      </c>
      <c r="I14" s="41">
        <f t="shared" si="2"/>
        <v>87.5</v>
      </c>
      <c r="J14" s="596"/>
      <c r="L14" s="256"/>
    </row>
    <row r="15" s="131" customFormat="1" ht="24" customHeight="1" spans="1:12">
      <c r="A15" s="37"/>
      <c r="B15" s="37"/>
      <c r="C15" s="37"/>
      <c r="D15" s="227"/>
      <c r="E15" s="40"/>
      <c r="F15" s="40"/>
      <c r="G15" s="40"/>
      <c r="H15" s="41"/>
      <c r="I15" s="41"/>
      <c r="J15" s="596"/>
      <c r="K15" s="134"/>
      <c r="L15" s="256"/>
    </row>
    <row r="16" s="131" customFormat="1" ht="24" customHeight="1" spans="1:12">
      <c r="A16" s="169" t="s">
        <v>129</v>
      </c>
      <c r="B16" s="169"/>
      <c r="C16" s="169"/>
      <c r="D16" s="170">
        <f>I16</f>
        <v>960.8</v>
      </c>
      <c r="E16" s="170"/>
      <c r="F16" s="170"/>
      <c r="G16" s="170"/>
      <c r="H16" s="170"/>
      <c r="I16" s="171">
        <f>SUM(I4:I15)</f>
        <v>960.8</v>
      </c>
      <c r="J16" s="597"/>
      <c r="K16" s="134"/>
      <c r="L16" s="256"/>
    </row>
    <row r="17" s="131" customFormat="1" ht="24" customHeight="1" spans="1:20">
      <c r="A17" s="173" t="s">
        <v>130</v>
      </c>
      <c r="B17" s="174" t="s">
        <v>131</v>
      </c>
      <c r="C17" s="174"/>
      <c r="D17" s="174"/>
      <c r="E17" s="174"/>
      <c r="F17" s="174"/>
      <c r="G17" s="174"/>
      <c r="H17" s="174"/>
      <c r="I17" s="174"/>
      <c r="J17" s="175"/>
      <c r="K17" s="134"/>
      <c r="L17" s="256"/>
    </row>
    <row r="18" s="131" customFormat="1" ht="24" customHeight="1" spans="1:20">
      <c r="A18" s="176"/>
      <c r="B18" s="177" t="s">
        <v>132</v>
      </c>
      <c r="C18" s="177"/>
      <c r="D18" s="177"/>
      <c r="E18" s="177"/>
      <c r="F18" s="177"/>
      <c r="G18" s="177"/>
      <c r="H18" s="177"/>
      <c r="I18" s="177"/>
      <c r="J18" s="178"/>
      <c r="K18" s="134"/>
      <c r="L18" s="256"/>
    </row>
    <row r="19" customFormat="1" ht="20" customHeight="1" spans="1:20">
      <c r="A19" s="176"/>
      <c r="B19" s="177"/>
      <c r="C19" s="177" t="s">
        <v>133</v>
      </c>
      <c r="D19" s="177"/>
      <c r="E19" s="177"/>
      <c r="F19" s="177"/>
      <c r="G19" s="177"/>
      <c r="H19" s="177"/>
      <c r="I19" s="177"/>
      <c r="J19" s="178"/>
    </row>
    <row r="20" customFormat="1" ht="20" customHeight="1" spans="1:20">
      <c r="A20" s="179"/>
      <c r="B20" s="180" t="s">
        <v>134</v>
      </c>
      <c r="C20" s="180"/>
      <c r="D20" s="180"/>
      <c r="E20" s="180"/>
      <c r="F20" s="180"/>
      <c r="G20" s="180"/>
      <c r="H20" s="180"/>
      <c r="I20" s="180"/>
      <c r="J20" s="181"/>
    </row>
    <row r="21" s="13" customFormat="1" ht="20" customHeight="1" spans="1:20">
      <c r="A21" s="182" t="s">
        <v>135</v>
      </c>
      <c r="B21" s="182"/>
      <c r="C21" s="182"/>
      <c r="D21" s="182"/>
      <c r="E21" s="182"/>
      <c r="F21" s="182"/>
      <c r="G21" s="182"/>
      <c r="H21" s="182"/>
      <c r="I21" s="182"/>
      <c r="J21" s="182"/>
      <c r="K21" s="598"/>
      <c r="L21" s="599"/>
      <c r="M21" s="600"/>
      <c r="N21" s="601"/>
      <c r="O21" s="602"/>
      <c r="P21" s="603"/>
      <c r="Q21" s="603"/>
      <c r="R21" s="602"/>
      <c r="S21" s="604"/>
      <c r="T21" s="601"/>
    </row>
    <row r="22" customFormat="1" ht="20" customHeight="1" spans="1:20">
      <c r="A22" s="182" t="s">
        <v>136</v>
      </c>
      <c r="B22" s="182"/>
      <c r="C22" s="182"/>
      <c r="D22" s="182"/>
      <c r="E22" s="182"/>
      <c r="F22" s="182"/>
      <c r="G22" s="182"/>
      <c r="H22" s="182"/>
      <c r="I22" s="182"/>
      <c r="J22" s="182"/>
    </row>
    <row r="23" customFormat="1" ht="20" customHeight="1" spans="1:20">
      <c r="A23" s="605"/>
      <c r="B23" s="406"/>
      <c r="C23" s="606"/>
      <c r="D23" s="607"/>
      <c r="E23" s="608"/>
      <c r="F23" s="240"/>
      <c r="G23" s="240"/>
      <c r="H23" s="608"/>
      <c r="I23" s="609"/>
      <c r="J23" s="607"/>
    </row>
    <row r="24" customFormat="1" ht="20" customHeight="1" spans="1:20">
      <c r="A24" s="610" t="s">
        <v>137</v>
      </c>
      <c r="B24" s="610"/>
      <c r="C24" s="610"/>
      <c r="D24" s="610"/>
      <c r="E24" s="610"/>
      <c r="F24" s="610"/>
      <c r="G24" s="610"/>
      <c r="H24" s="610"/>
      <c r="I24" s="610"/>
      <c r="J24" s="610"/>
    </row>
    <row r="25" ht="23.25" customHeight="1" spans="1:20">
      <c r="A25" s="611"/>
      <c r="B25" s="612"/>
      <c r="C25" s="612"/>
      <c r="D25" s="612"/>
      <c r="E25" s="612"/>
      <c r="F25" s="612"/>
      <c r="G25" s="612"/>
      <c r="H25" s="612"/>
      <c r="I25" s="612"/>
      <c r="J25" s="607"/>
      <c r="K25" s="608"/>
      <c r="L25" s="608"/>
    </row>
    <row r="26" ht="19" customHeight="1" spans="1:20">
      <c r="A26" s="613"/>
      <c r="B26" s="611"/>
      <c r="C26" s="611"/>
      <c r="D26" s="611"/>
      <c r="E26" s="611"/>
      <c r="F26" s="611"/>
      <c r="G26" s="611"/>
      <c r="H26" s="611"/>
      <c r="I26" s="611"/>
      <c r="J26" s="611"/>
      <c r="K26" s="614"/>
      <c r="L26" s="608"/>
    </row>
    <row r="27" s="498" customFormat="1" ht="20" customHeight="1" spans="1:20">
      <c r="A27" s="613"/>
      <c r="B27" s="611"/>
      <c r="C27" s="611"/>
      <c r="D27" s="611"/>
      <c r="E27" s="611"/>
      <c r="F27" s="611"/>
      <c r="G27" s="611"/>
      <c r="H27" s="611"/>
      <c r="I27" s="611"/>
      <c r="J27" s="611"/>
      <c r="K27" s="615"/>
      <c r="L27" s="607"/>
      <c r="P27"/>
    </row>
    <row r="28" spans="1:20">
      <c r="A28" s="613"/>
      <c r="B28" s="611"/>
      <c r="C28" s="611"/>
      <c r="D28" s="611"/>
      <c r="E28" s="611"/>
      <c r="F28" s="611"/>
      <c r="G28" s="611"/>
      <c r="H28" s="611"/>
      <c r="I28" s="611"/>
      <c r="J28" s="611"/>
      <c r="K28" s="616"/>
      <c r="L28" s="617"/>
    </row>
    <row r="29" spans="1:20">
      <c r="A29" s="613"/>
      <c r="B29" s="611"/>
      <c r="C29" s="611"/>
      <c r="D29" s="611"/>
      <c r="E29" s="611"/>
      <c r="F29" s="611"/>
      <c r="G29" s="611"/>
      <c r="H29" s="611"/>
      <c r="I29" s="611"/>
      <c r="J29" s="611"/>
      <c r="K29" s="616"/>
      <c r="L29" s="617"/>
    </row>
    <row r="30" spans="1:20">
      <c r="A30" s="613"/>
      <c r="B30" s="611"/>
      <c r="C30" s="611"/>
      <c r="D30" s="611"/>
      <c r="E30" s="611"/>
      <c r="F30" s="611"/>
      <c r="G30" s="611"/>
      <c r="H30" s="611"/>
      <c r="I30" s="611"/>
      <c r="J30" s="611"/>
      <c r="K30" s="616"/>
      <c r="L30" s="617"/>
    </row>
    <row r="31" spans="1:20">
      <c r="A31" s="613"/>
      <c r="B31" s="611"/>
      <c r="C31" s="611"/>
      <c r="D31" s="611"/>
      <c r="E31" s="611"/>
      <c r="F31" s="611"/>
      <c r="G31" s="611"/>
      <c r="H31" s="611"/>
      <c r="I31" s="611"/>
      <c r="J31" s="611"/>
      <c r="K31" s="616"/>
      <c r="L31" s="617"/>
    </row>
    <row r="32" spans="1:20">
      <c r="A32" s="613"/>
      <c r="B32" s="611"/>
      <c r="C32" s="611"/>
      <c r="D32" s="611"/>
      <c r="E32" s="611"/>
      <c r="F32" s="611"/>
      <c r="G32" s="611"/>
      <c r="H32" s="611"/>
      <c r="I32" s="611"/>
      <c r="J32" s="611"/>
      <c r="K32" s="616"/>
      <c r="L32" s="617"/>
    </row>
    <row r="33" spans="1:12">
      <c r="A33" s="613"/>
      <c r="B33" s="611"/>
      <c r="C33" s="611"/>
      <c r="D33" s="611"/>
      <c r="E33" s="611"/>
      <c r="F33" s="611"/>
      <c r="G33" s="611"/>
      <c r="H33" s="611"/>
      <c r="I33" s="611"/>
      <c r="J33" s="611"/>
      <c r="K33" s="616"/>
      <c r="L33" s="617"/>
    </row>
    <row r="34" spans="1:12">
      <c r="K34" s="616"/>
      <c r="L34" s="617"/>
    </row>
    <row r="35" spans="1:12">
      <c r="K35" s="616"/>
      <c r="L35" s="617"/>
    </row>
    <row r="36" spans="1:12">
      <c r="L36" s="617"/>
    </row>
    <row r="37" spans="1:12">
      <c r="L37" s="617"/>
    </row>
    <row r="38" spans="1:12">
      <c r="L38" s="617"/>
    </row>
    <row r="39" spans="1:12">
      <c r="L39" s="617"/>
    </row>
    <row r="40" spans="1:12">
      <c r="L40" s="617"/>
    </row>
  </sheetData>
  <mergeCells count="28">
    <mergeCell ref="A1:J1"/>
    <mergeCell ref="A2:J2"/>
    <mergeCell ref="K2:L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D16:H16"/>
    <mergeCell ref="B17:J17"/>
    <mergeCell ref="B18:J18"/>
    <mergeCell ref="C19:J19"/>
    <mergeCell ref="B20:J20"/>
    <mergeCell ref="A21:J21"/>
    <mergeCell ref="A22:J22"/>
    <mergeCell ref="A24:J24"/>
    <mergeCell ref="B25:I25"/>
    <mergeCell ref="A17:A20"/>
    <mergeCell ref="J4:J5"/>
  </mergeCells>
  <printOptions horizontalCentered="1"/>
  <pageMargins left="0.393055555555556" right="0.196527777777778" top="0.196527777777778" bottom="0.393055555555556" header="0.196527777777778" footer="0.393055555555556"/>
  <pageSetup paperSize="9" scale="65" orientation="portrait" horizontalDpi="600" verticalDpi="18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68"/>
  <sheetViews>
    <sheetView topLeftCell="A12" workbookViewId="0">
      <selection activeCell="A826" sqref="$A826:$XFD834"/>
    </sheetView>
  </sheetViews>
  <sheetFormatPr defaultColWidth="9" defaultRowHeight="14.25"/>
  <cols>
    <col min="1" max="1" width="12.25" customWidth="1"/>
    <col min="2" max="2" width="6.25" customWidth="1"/>
    <col min="3" max="3" width="29.125" customWidth="1"/>
    <col min="4" max="4" width="20.125" style="420" customWidth="1"/>
    <col min="5" max="5" width="19.25" customWidth="1"/>
    <col min="6" max="6" width="17.75" customWidth="1"/>
    <col min="7" max="7" width="7.125" customWidth="1"/>
    <col min="8" max="8" width="9.875"/>
    <col min="9" max="9" width="12.625"/>
    <col min="10" max="10" width="9.375"/>
  </cols>
  <sheetData>
    <row r="1" ht="25.5" spans="1:19">
      <c r="A1" s="3" t="s">
        <v>138</v>
      </c>
      <c r="B1" s="4"/>
      <c r="C1" s="4"/>
      <c r="D1" s="5"/>
      <c r="E1" s="3"/>
      <c r="F1" s="3"/>
      <c r="G1" s="3"/>
    </row>
    <row r="2" ht="27" customHeight="1" spans="1:19">
      <c r="A2" s="6" t="s">
        <v>139</v>
      </c>
      <c r="B2" s="7" t="s">
        <v>140</v>
      </c>
      <c r="C2" s="7" t="s">
        <v>141</v>
      </c>
      <c r="D2" s="8" t="s">
        <v>142</v>
      </c>
      <c r="E2" s="9" t="s">
        <v>143</v>
      </c>
      <c r="F2" s="16" t="s">
        <v>144</v>
      </c>
      <c r="G2" s="16"/>
      <c r="I2" s="12"/>
      <c r="J2" s="12" t="s">
        <v>145</v>
      </c>
      <c r="K2" s="13"/>
      <c r="L2" s="13"/>
      <c r="M2" s="13"/>
      <c r="N2" t="s">
        <v>146</v>
      </c>
    </row>
    <row r="3" spans="1:19">
      <c r="A3" s="6"/>
      <c r="B3" s="7"/>
      <c r="C3" s="7"/>
      <c r="D3" s="14">
        <f>SUM(D6:D29)</f>
        <v>57796.5</v>
      </c>
      <c r="E3" s="421">
        <f>SUM(E6:E29)</f>
        <v>58000</v>
      </c>
      <c r="F3" s="422">
        <f>D3-E3</f>
        <v>-203.5</v>
      </c>
      <c r="G3" s="422"/>
    </row>
    <row r="4" spans="1:19">
      <c r="A4" s="6"/>
      <c r="B4" s="7"/>
      <c r="C4" s="7"/>
      <c r="D4" s="14"/>
      <c r="E4" s="421"/>
      <c r="F4" s="422"/>
      <c r="G4" s="422"/>
    </row>
    <row r="5" ht="35" customHeight="1" spans="1:19">
      <c r="A5" s="6"/>
      <c r="B5" s="7"/>
      <c r="C5" s="7"/>
      <c r="D5" s="8" t="s">
        <v>147</v>
      </c>
      <c r="E5" s="9" t="s">
        <v>148</v>
      </c>
      <c r="F5" s="16" t="s">
        <v>149</v>
      </c>
      <c r="G5" s="9" t="s">
        <v>7</v>
      </c>
    </row>
    <row r="6" ht="25" customHeight="1" spans="1:19">
      <c r="A6" s="26" t="s">
        <v>150</v>
      </c>
      <c r="B6" s="27">
        <v>24</v>
      </c>
      <c r="C6" s="28" t="s">
        <v>151</v>
      </c>
      <c r="D6" s="29">
        <v>6062</v>
      </c>
      <c r="E6" s="30"/>
      <c r="F6" s="30">
        <f>D6-E6</f>
        <v>6062</v>
      </c>
      <c r="G6" s="206"/>
      <c r="H6" s="423" t="s">
        <v>152</v>
      </c>
      <c r="I6">
        <v>13219043529</v>
      </c>
    </row>
    <row r="7" ht="25" customHeight="1" spans="1:19">
      <c r="A7" s="26" t="s">
        <v>150</v>
      </c>
      <c r="B7" s="27">
        <v>25</v>
      </c>
      <c r="C7" s="28" t="s">
        <v>153</v>
      </c>
      <c r="D7" s="29">
        <v>4450</v>
      </c>
      <c r="E7" s="30"/>
      <c r="F7" s="30">
        <f t="shared" ref="F6:F17" si="0">F6+D7-E7</f>
        <v>10512</v>
      </c>
      <c r="G7" s="206"/>
      <c r="H7" s="423" t="s">
        <v>152</v>
      </c>
      <c r="J7">
        <v>85246802</v>
      </c>
    </row>
    <row r="8" ht="25" customHeight="1" spans="1:19">
      <c r="A8" s="26" t="s">
        <v>150</v>
      </c>
      <c r="B8" s="27">
        <v>26</v>
      </c>
      <c r="C8" s="28" t="s">
        <v>154</v>
      </c>
      <c r="D8" s="29">
        <v>149</v>
      </c>
      <c r="E8" s="30"/>
      <c r="F8" s="30">
        <f t="shared" si="0"/>
        <v>10661</v>
      </c>
      <c r="G8" s="206"/>
      <c r="H8" s="423"/>
    </row>
    <row r="9" ht="25" customHeight="1" spans="1:19">
      <c r="A9" s="26" t="s">
        <v>150</v>
      </c>
      <c r="B9" s="27">
        <v>27</v>
      </c>
      <c r="C9" s="28" t="s">
        <v>155</v>
      </c>
      <c r="D9" s="29">
        <v>1006</v>
      </c>
      <c r="E9" s="30"/>
      <c r="F9" s="30">
        <f t="shared" si="0"/>
        <v>11667</v>
      </c>
      <c r="G9" s="206"/>
      <c r="H9" s="423" t="s">
        <v>152</v>
      </c>
    </row>
    <row r="10" ht="25" customHeight="1" spans="1:19">
      <c r="A10" s="26" t="s">
        <v>156</v>
      </c>
      <c r="B10" s="27">
        <v>46</v>
      </c>
      <c r="C10" s="424" t="s">
        <v>157</v>
      </c>
      <c r="D10" s="29">
        <v>7356</v>
      </c>
      <c r="E10" s="30"/>
      <c r="F10" s="30">
        <f t="shared" si="0"/>
        <v>19023</v>
      </c>
      <c r="G10" s="206"/>
      <c r="H10" s="423" t="s">
        <v>152</v>
      </c>
    </row>
    <row r="11" ht="25" customHeight="1" spans="1:19">
      <c r="A11" s="26" t="s">
        <v>158</v>
      </c>
      <c r="B11" s="27">
        <v>53</v>
      </c>
      <c r="C11" s="28" t="s">
        <v>151</v>
      </c>
      <c r="D11" s="29">
        <v>2740</v>
      </c>
      <c r="E11" s="30"/>
      <c r="F11" s="30">
        <f t="shared" si="0"/>
        <v>21763</v>
      </c>
      <c r="G11" s="206"/>
      <c r="H11" s="423" t="s">
        <v>152</v>
      </c>
    </row>
    <row r="12" ht="25" customHeight="1" spans="1:19">
      <c r="A12" s="26" t="s">
        <v>158</v>
      </c>
      <c r="B12" s="27">
        <v>54</v>
      </c>
      <c r="C12" s="28" t="s">
        <v>153</v>
      </c>
      <c r="D12" s="29">
        <v>1326</v>
      </c>
      <c r="E12" s="30"/>
      <c r="F12" s="30">
        <f t="shared" si="0"/>
        <v>23089</v>
      </c>
      <c r="G12" s="206"/>
      <c r="H12" s="423" t="s">
        <v>152</v>
      </c>
    </row>
    <row r="13" ht="25" customHeight="1" spans="1:19">
      <c r="A13" s="26" t="s">
        <v>158</v>
      </c>
      <c r="B13" s="27">
        <v>55</v>
      </c>
      <c r="C13" s="28" t="s">
        <v>159</v>
      </c>
      <c r="D13" s="29">
        <v>5152</v>
      </c>
      <c r="E13" s="30"/>
      <c r="F13" s="30">
        <f t="shared" si="0"/>
        <v>28241</v>
      </c>
      <c r="G13" s="206"/>
      <c r="H13" s="423" t="s">
        <v>160</v>
      </c>
    </row>
    <row r="14" ht="25" customHeight="1" spans="1:19">
      <c r="A14" s="26" t="s">
        <v>161</v>
      </c>
      <c r="B14" s="27">
        <v>64</v>
      </c>
      <c r="C14" s="28" t="s">
        <v>151</v>
      </c>
      <c r="D14" s="29">
        <v>5204</v>
      </c>
      <c r="E14" s="30"/>
      <c r="F14" s="30">
        <f t="shared" si="0"/>
        <v>33445</v>
      </c>
      <c r="G14" s="206"/>
      <c r="L14" s="13" t="s">
        <v>162</v>
      </c>
      <c r="M14" s="13"/>
      <c r="N14" s="13"/>
      <c r="O14" s="13"/>
      <c r="P14" s="13"/>
      <c r="Q14" s="13"/>
      <c r="R14" s="13"/>
      <c r="S14" s="13"/>
    </row>
    <row r="15" ht="25" customHeight="1" spans="1:19">
      <c r="A15" s="26" t="s">
        <v>161</v>
      </c>
      <c r="B15" s="27">
        <v>65</v>
      </c>
      <c r="C15" s="28" t="s">
        <v>153</v>
      </c>
      <c r="D15" s="29">
        <v>2978.4</v>
      </c>
      <c r="E15" s="30"/>
      <c r="F15" s="30">
        <f t="shared" si="0"/>
        <v>36423.4</v>
      </c>
      <c r="G15" s="206"/>
    </row>
    <row r="16" ht="25" customHeight="1" spans="1:19">
      <c r="A16" s="26" t="s">
        <v>163</v>
      </c>
      <c r="B16" s="27"/>
      <c r="C16" s="28" t="s">
        <v>164</v>
      </c>
      <c r="D16" s="29"/>
      <c r="E16" s="30">
        <v>25000</v>
      </c>
      <c r="F16" s="30">
        <f t="shared" si="0"/>
        <v>11423.4</v>
      </c>
      <c r="G16" s="206"/>
    </row>
    <row r="17" ht="25" customHeight="1" spans="1:19">
      <c r="A17" s="26" t="s">
        <v>163</v>
      </c>
      <c r="B17" s="27"/>
      <c r="C17" s="28" t="s">
        <v>164</v>
      </c>
      <c r="D17" s="29"/>
      <c r="E17" s="30">
        <v>5000</v>
      </c>
      <c r="F17" s="30">
        <f t="shared" si="0"/>
        <v>6423.4</v>
      </c>
      <c r="G17" s="206"/>
    </row>
    <row r="18" ht="25" customHeight="1" spans="1:19">
      <c r="A18" s="26" t="s">
        <v>165</v>
      </c>
      <c r="B18" s="27">
        <v>15</v>
      </c>
      <c r="C18" s="28" t="s">
        <v>166</v>
      </c>
      <c r="D18" s="29">
        <v>7007</v>
      </c>
      <c r="E18" s="30"/>
      <c r="F18" s="30">
        <f t="shared" ref="F18:F33" si="1">F17+D18-E18</f>
        <v>13430.4</v>
      </c>
      <c r="G18" s="206" t="s">
        <v>167</v>
      </c>
    </row>
    <row r="19" ht="18.75" spans="1:19">
      <c r="A19" s="26" t="s">
        <v>165</v>
      </c>
      <c r="B19" s="27">
        <v>16</v>
      </c>
      <c r="C19" s="28" t="s">
        <v>168</v>
      </c>
      <c r="D19" s="29">
        <v>1534</v>
      </c>
      <c r="E19" s="30"/>
      <c r="F19" s="30">
        <f t="shared" si="1"/>
        <v>14964.4</v>
      </c>
      <c r="G19" s="206" t="s">
        <v>169</v>
      </c>
    </row>
    <row r="20" ht="18.75" spans="1:19">
      <c r="A20" s="26" t="s">
        <v>170</v>
      </c>
      <c r="B20" s="27">
        <v>17</v>
      </c>
      <c r="C20" s="28" t="s">
        <v>171</v>
      </c>
      <c r="D20" s="29">
        <v>1546.6</v>
      </c>
      <c r="E20" s="30"/>
      <c r="F20" s="30">
        <f t="shared" si="1"/>
        <v>16511</v>
      </c>
      <c r="G20" s="206" t="s">
        <v>172</v>
      </c>
      <c r="H20" s="77" t="s">
        <v>173</v>
      </c>
    </row>
    <row r="21" ht="18.75" spans="1:19">
      <c r="A21" s="26" t="s">
        <v>170</v>
      </c>
      <c r="B21" s="27">
        <v>18</v>
      </c>
      <c r="C21" s="28" t="s">
        <v>174</v>
      </c>
      <c r="D21" s="29">
        <v>3142.3</v>
      </c>
      <c r="E21" s="30"/>
      <c r="F21" s="30">
        <f t="shared" si="1"/>
        <v>19653.3</v>
      </c>
      <c r="G21" s="206" t="s">
        <v>175</v>
      </c>
      <c r="H21" s="77"/>
    </row>
    <row r="22" ht="18.75" spans="1:19">
      <c r="A22" s="26" t="s">
        <v>170</v>
      </c>
      <c r="B22" s="27">
        <v>19</v>
      </c>
      <c r="C22" s="28" t="s">
        <v>176</v>
      </c>
      <c r="D22" s="29">
        <v>1497</v>
      </c>
      <c r="E22" s="30"/>
      <c r="F22" s="30">
        <f t="shared" si="1"/>
        <v>21150.3</v>
      </c>
      <c r="G22" s="206" t="s">
        <v>177</v>
      </c>
      <c r="H22" s="77"/>
      <c r="I22">
        <f>SUM(D18:D28)</f>
        <v>21373.1</v>
      </c>
    </row>
    <row r="23" ht="18.75" spans="1:19">
      <c r="A23" s="26" t="s">
        <v>170</v>
      </c>
      <c r="B23" s="27">
        <v>20</v>
      </c>
      <c r="C23" s="28" t="s">
        <v>178</v>
      </c>
      <c r="D23" s="29">
        <v>941.7</v>
      </c>
      <c r="E23" s="30"/>
      <c r="F23" s="30">
        <f t="shared" si="1"/>
        <v>22092</v>
      </c>
      <c r="G23" s="206" t="s">
        <v>179</v>
      </c>
      <c r="H23" s="77"/>
    </row>
    <row r="24" ht="18.75" spans="1:19">
      <c r="A24" s="26" t="s">
        <v>170</v>
      </c>
      <c r="B24" s="27">
        <v>21</v>
      </c>
      <c r="C24" s="28" t="s">
        <v>180</v>
      </c>
      <c r="D24" s="29">
        <v>625.4</v>
      </c>
      <c r="E24" s="30"/>
      <c r="F24" s="30">
        <f t="shared" si="1"/>
        <v>22717.4</v>
      </c>
      <c r="G24" s="206" t="s">
        <v>181</v>
      </c>
      <c r="H24" s="77"/>
      <c r="I24" t="s">
        <v>182</v>
      </c>
    </row>
    <row r="25" ht="18.75" spans="1:19">
      <c r="A25" s="26" t="s">
        <v>170</v>
      </c>
      <c r="B25" s="27">
        <v>22</v>
      </c>
      <c r="C25" s="28" t="s">
        <v>183</v>
      </c>
      <c r="D25" s="29">
        <v>515.5</v>
      </c>
      <c r="E25" s="30"/>
      <c r="F25" s="30">
        <f t="shared" si="1"/>
        <v>23232.9</v>
      </c>
      <c r="G25" s="206" t="s">
        <v>184</v>
      </c>
    </row>
    <row r="26" ht="18.75" spans="1:19">
      <c r="A26" s="26" t="s">
        <v>185</v>
      </c>
      <c r="B26" s="27">
        <v>29</v>
      </c>
      <c r="C26" s="28" t="s">
        <v>174</v>
      </c>
      <c r="D26" s="29">
        <v>2171.6</v>
      </c>
      <c r="E26" s="30"/>
      <c r="F26" s="30">
        <f t="shared" si="1"/>
        <v>25404.5</v>
      </c>
      <c r="G26" s="206" t="s">
        <v>186</v>
      </c>
      <c r="H26" s="77" t="s">
        <v>187</v>
      </c>
    </row>
    <row r="27" ht="18.75" spans="1:19">
      <c r="A27" s="26" t="s">
        <v>185</v>
      </c>
      <c r="B27" s="27">
        <v>30</v>
      </c>
      <c r="C27" s="28" t="s">
        <v>176</v>
      </c>
      <c r="D27" s="29">
        <v>1774</v>
      </c>
      <c r="E27" s="30"/>
      <c r="F27" s="30">
        <f t="shared" si="1"/>
        <v>27178.5</v>
      </c>
      <c r="G27" s="206" t="s">
        <v>188</v>
      </c>
      <c r="H27" s="77"/>
    </row>
    <row r="28" ht="18.75" spans="1:19">
      <c r="A28" s="26" t="s">
        <v>185</v>
      </c>
      <c r="B28" s="27">
        <v>31</v>
      </c>
      <c r="C28" s="28" t="s">
        <v>171</v>
      </c>
      <c r="D28" s="29">
        <v>618</v>
      </c>
      <c r="E28" s="30"/>
      <c r="F28" s="30">
        <f t="shared" si="1"/>
        <v>27796.5</v>
      </c>
      <c r="G28" s="206" t="s">
        <v>181</v>
      </c>
      <c r="H28" s="77"/>
    </row>
    <row r="29" ht="18.75" spans="1:19">
      <c r="A29" s="26" t="s">
        <v>189</v>
      </c>
      <c r="B29" s="27"/>
      <c r="C29" s="28" t="s">
        <v>190</v>
      </c>
      <c r="D29" s="29"/>
      <c r="E29" s="30">
        <v>28000</v>
      </c>
      <c r="F29" s="30">
        <f t="shared" si="1"/>
        <v>-203.5</v>
      </c>
      <c r="G29" s="206"/>
    </row>
    <row r="30" ht="18.75" spans="1:19">
      <c r="A30" s="26"/>
      <c r="B30" s="27"/>
      <c r="C30" s="28"/>
      <c r="D30" s="29"/>
      <c r="E30" s="30"/>
      <c r="F30" s="30">
        <f t="shared" si="1"/>
        <v>-203.5</v>
      </c>
      <c r="G30" s="206"/>
    </row>
    <row r="31" ht="18.75" spans="1:19">
      <c r="A31" s="26"/>
      <c r="B31" s="27"/>
      <c r="C31" s="28"/>
      <c r="D31" s="29"/>
      <c r="E31" s="30"/>
      <c r="F31" s="30"/>
      <c r="G31" s="206"/>
    </row>
    <row r="32" ht="22.5" spans="1:19">
      <c r="A32" s="425" t="s">
        <v>191</v>
      </c>
      <c r="B32" s="426"/>
      <c r="C32" s="426"/>
      <c r="D32" s="427"/>
      <c r="E32" s="428"/>
      <c r="F32" s="428"/>
      <c r="G32" s="428"/>
      <c r="L32" s="13"/>
      <c r="M32" s="13"/>
      <c r="N32" s="13"/>
      <c r="O32" s="13"/>
      <c r="P32" s="13"/>
      <c r="Q32" s="13"/>
      <c r="R32" s="13"/>
      <c r="S32" s="13"/>
    </row>
    <row r="33" ht="27" customHeight="1" spans="1:14">
      <c r="A33" s="429" t="s">
        <v>139</v>
      </c>
      <c r="B33" s="430" t="s">
        <v>140</v>
      </c>
      <c r="C33" s="7" t="s">
        <v>141</v>
      </c>
      <c r="D33" s="431" t="s">
        <v>142</v>
      </c>
      <c r="E33" s="432" t="s">
        <v>143</v>
      </c>
      <c r="F33" s="433" t="s">
        <v>144</v>
      </c>
      <c r="G33" s="434"/>
      <c r="I33" s="12"/>
      <c r="J33" s="12" t="s">
        <v>145</v>
      </c>
      <c r="K33" s="13"/>
      <c r="L33" s="13"/>
      <c r="M33" s="13"/>
      <c r="N33" t="s">
        <v>146</v>
      </c>
    </row>
    <row r="34" spans="1:14">
      <c r="A34" s="435"/>
      <c r="B34" s="436"/>
      <c r="C34" s="7"/>
      <c r="D34" s="437">
        <f>SUM(D37:D57)</f>
        <v>51011.8</v>
      </c>
      <c r="E34" s="438">
        <f>SUM(E57:E57)</f>
        <v>0</v>
      </c>
      <c r="F34" s="439">
        <f>D34-E34</f>
        <v>51011.8</v>
      </c>
      <c r="G34" s="440"/>
    </row>
    <row r="35" spans="1:14">
      <c r="A35" s="435"/>
      <c r="B35" s="436"/>
      <c r="C35" s="7"/>
      <c r="D35" s="441"/>
      <c r="E35" s="442"/>
      <c r="F35" s="443"/>
      <c r="G35" s="444"/>
    </row>
    <row r="36" ht="35" customHeight="1" spans="1:14">
      <c r="A36" s="445"/>
      <c r="B36" s="446"/>
      <c r="C36" s="7"/>
      <c r="D36" s="431" t="s">
        <v>147</v>
      </c>
      <c r="E36" s="9" t="s">
        <v>148</v>
      </c>
      <c r="F36" s="16" t="s">
        <v>149</v>
      </c>
      <c r="G36" s="9" t="s">
        <v>7</v>
      </c>
    </row>
    <row r="37" ht="18" customHeight="1" spans="1:14">
      <c r="A37" s="447" t="s">
        <v>192</v>
      </c>
      <c r="B37" s="448"/>
      <c r="C37" s="449" t="s">
        <v>193</v>
      </c>
      <c r="D37" s="450">
        <v>556</v>
      </c>
      <c r="E37" s="208"/>
      <c r="F37" s="208">
        <f>D37-E37</f>
        <v>556</v>
      </c>
      <c r="G37" s="206"/>
    </row>
    <row r="38" ht="18" customHeight="1" spans="1:14">
      <c r="A38" s="447">
        <v>45571</v>
      </c>
      <c r="B38" s="448">
        <v>6</v>
      </c>
      <c r="C38" s="449" t="s">
        <v>194</v>
      </c>
      <c r="D38" s="450">
        <v>296</v>
      </c>
      <c r="E38" s="208"/>
      <c r="F38" s="208">
        <f t="shared" ref="F38:F46" si="2">F37+D38-E38</f>
        <v>852</v>
      </c>
      <c r="G38" s="206"/>
    </row>
    <row r="39" ht="18" customHeight="1" spans="1:14">
      <c r="A39" s="447">
        <v>45575</v>
      </c>
      <c r="B39" s="448">
        <v>21</v>
      </c>
      <c r="C39" s="449" t="s">
        <v>195</v>
      </c>
      <c r="D39" s="450">
        <v>1142</v>
      </c>
      <c r="E39" s="208"/>
      <c r="F39" s="208">
        <f t="shared" si="2"/>
        <v>1994</v>
      </c>
      <c r="G39" s="206"/>
    </row>
    <row r="40" ht="18" customHeight="1" spans="1:14">
      <c r="A40" s="447">
        <v>45580</v>
      </c>
      <c r="B40" s="448">
        <v>41</v>
      </c>
      <c r="C40" s="449" t="s">
        <v>196</v>
      </c>
      <c r="D40" s="450">
        <v>540</v>
      </c>
      <c r="E40" s="208"/>
      <c r="F40" s="208">
        <f t="shared" si="2"/>
        <v>2534</v>
      </c>
      <c r="G40" s="206"/>
    </row>
    <row r="41" ht="18" customHeight="1" spans="1:14">
      <c r="A41" s="447">
        <v>45589</v>
      </c>
      <c r="B41" s="448">
        <v>73</v>
      </c>
      <c r="C41" s="449" t="s">
        <v>197</v>
      </c>
      <c r="D41" s="450">
        <v>560</v>
      </c>
      <c r="E41" s="208"/>
      <c r="F41" s="208">
        <f t="shared" si="2"/>
        <v>3094</v>
      </c>
      <c r="G41" s="206"/>
      <c r="I41">
        <f>SUM(D37:D46)</f>
        <v>22082.5</v>
      </c>
    </row>
    <row r="42" ht="18" customHeight="1" spans="1:14">
      <c r="A42" s="447">
        <v>45600</v>
      </c>
      <c r="B42" s="448">
        <v>5</v>
      </c>
      <c r="C42" s="449" t="s">
        <v>159</v>
      </c>
      <c r="D42" s="450">
        <v>6783.1</v>
      </c>
      <c r="E42" s="208"/>
      <c r="F42" s="208">
        <f t="shared" si="2"/>
        <v>9877.1</v>
      </c>
      <c r="G42" s="206"/>
    </row>
    <row r="43" ht="18" customHeight="1" spans="1:14">
      <c r="A43" s="447">
        <v>45622</v>
      </c>
      <c r="B43" s="448">
        <v>82</v>
      </c>
      <c r="C43" s="449" t="s">
        <v>198</v>
      </c>
      <c r="D43" s="450">
        <v>51.8</v>
      </c>
      <c r="E43" s="208"/>
      <c r="F43" s="208">
        <f t="shared" si="2"/>
        <v>9928.9</v>
      </c>
      <c r="G43" s="206"/>
    </row>
    <row r="44" ht="18" customHeight="1" spans="1:14">
      <c r="A44" s="447">
        <v>45622</v>
      </c>
      <c r="B44" s="448">
        <v>83</v>
      </c>
      <c r="C44" s="449" t="s">
        <v>199</v>
      </c>
      <c r="D44" s="450">
        <v>4313.5</v>
      </c>
      <c r="E44" s="208"/>
      <c r="F44" s="208">
        <f t="shared" si="2"/>
        <v>14242.4</v>
      </c>
      <c r="G44" s="206"/>
    </row>
    <row r="45" ht="18" customHeight="1" spans="1:14">
      <c r="A45" s="447">
        <v>45622</v>
      </c>
      <c r="B45" s="448">
        <v>84</v>
      </c>
      <c r="C45" s="449" t="s">
        <v>200</v>
      </c>
      <c r="D45" s="450">
        <v>635</v>
      </c>
      <c r="E45" s="208"/>
      <c r="F45" s="208">
        <f t="shared" si="2"/>
        <v>14877.4</v>
      </c>
      <c r="G45" s="206"/>
    </row>
    <row r="46" ht="18" customHeight="1" spans="1:14">
      <c r="A46" s="447">
        <v>45638</v>
      </c>
      <c r="B46" s="448">
        <v>37</v>
      </c>
      <c r="C46" s="449" t="s">
        <v>201</v>
      </c>
      <c r="D46" s="450">
        <v>7205.1</v>
      </c>
      <c r="E46" s="208"/>
      <c r="F46" s="208">
        <f t="shared" si="2"/>
        <v>22082.5</v>
      </c>
      <c r="G46" s="206"/>
    </row>
    <row r="47" ht="18" customHeight="1" spans="1:14">
      <c r="A47" s="451">
        <v>45644</v>
      </c>
      <c r="B47" s="452"/>
      <c r="C47" s="453" t="s">
        <v>202</v>
      </c>
      <c r="D47" s="454"/>
      <c r="E47" s="205">
        <v>22082.5</v>
      </c>
      <c r="F47" s="208">
        <f t="shared" ref="F47:F57" si="3">F46+D47-E47</f>
        <v>0</v>
      </c>
      <c r="G47" s="206"/>
    </row>
    <row r="48" ht="18" customHeight="1" spans="1:14">
      <c r="A48" s="447">
        <v>45654</v>
      </c>
      <c r="B48" s="448" t="s">
        <v>203</v>
      </c>
      <c r="C48" s="449" t="s">
        <v>204</v>
      </c>
      <c r="D48" s="454">
        <v>688.3</v>
      </c>
      <c r="E48" s="205">
        <v>688.3</v>
      </c>
      <c r="F48" s="208">
        <f t="shared" si="3"/>
        <v>0</v>
      </c>
      <c r="G48" s="206"/>
    </row>
    <row r="49" ht="18" customHeight="1" spans="1:19">
      <c r="A49" s="447" t="s">
        <v>150</v>
      </c>
      <c r="B49" s="448">
        <v>24</v>
      </c>
      <c r="C49" s="449" t="s">
        <v>151</v>
      </c>
      <c r="D49" s="450">
        <v>6062</v>
      </c>
      <c r="E49" s="208"/>
      <c r="F49" s="208">
        <f t="shared" si="3"/>
        <v>6062</v>
      </c>
      <c r="G49" s="206" t="s">
        <v>152</v>
      </c>
      <c r="I49">
        <v>13219043529</v>
      </c>
      <c r="J49">
        <v>85246802</v>
      </c>
    </row>
    <row r="50" ht="18" customHeight="1" spans="1:19">
      <c r="A50" s="447" t="s">
        <v>150</v>
      </c>
      <c r="B50" s="448">
        <v>25</v>
      </c>
      <c r="C50" s="449" t="s">
        <v>153</v>
      </c>
      <c r="D50" s="450">
        <v>4450</v>
      </c>
      <c r="E50" s="208"/>
      <c r="F50" s="208">
        <f t="shared" si="3"/>
        <v>10512</v>
      </c>
      <c r="G50" s="206" t="s">
        <v>152</v>
      </c>
    </row>
    <row r="51" ht="18" customHeight="1" spans="1:19">
      <c r="A51" s="447" t="s">
        <v>150</v>
      </c>
      <c r="B51" s="448">
        <v>26</v>
      </c>
      <c r="C51" s="449" t="s">
        <v>154</v>
      </c>
      <c r="D51" s="450">
        <v>149</v>
      </c>
      <c r="E51" s="208"/>
      <c r="F51" s="208">
        <f t="shared" si="3"/>
        <v>10661</v>
      </c>
      <c r="G51" s="206"/>
    </row>
    <row r="52" ht="18" customHeight="1" spans="1:19">
      <c r="A52" s="447" t="s">
        <v>150</v>
      </c>
      <c r="B52" s="448">
        <v>27</v>
      </c>
      <c r="C52" s="449" t="s">
        <v>151</v>
      </c>
      <c r="D52" s="450">
        <v>1006</v>
      </c>
      <c r="E52" s="208"/>
      <c r="F52" s="208">
        <f t="shared" si="3"/>
        <v>11667</v>
      </c>
      <c r="G52" s="206" t="s">
        <v>152</v>
      </c>
    </row>
    <row r="53" ht="18" customHeight="1" spans="1:19">
      <c r="A53" s="447" t="s">
        <v>156</v>
      </c>
      <c r="B53" s="448">
        <v>46</v>
      </c>
      <c r="C53" s="453" t="s">
        <v>157</v>
      </c>
      <c r="D53" s="450">
        <v>7356</v>
      </c>
      <c r="E53" s="208"/>
      <c r="F53" s="208">
        <f t="shared" si="3"/>
        <v>19023</v>
      </c>
      <c r="G53" s="206" t="s">
        <v>152</v>
      </c>
    </row>
    <row r="54" ht="18" customHeight="1" spans="1:19">
      <c r="A54" s="447" t="s">
        <v>158</v>
      </c>
      <c r="B54" s="448">
        <v>53</v>
      </c>
      <c r="C54" s="449" t="s">
        <v>151</v>
      </c>
      <c r="D54" s="450">
        <v>2740</v>
      </c>
      <c r="E54" s="208"/>
      <c r="F54" s="208">
        <f t="shared" si="3"/>
        <v>21763</v>
      </c>
      <c r="G54" s="206" t="s">
        <v>152</v>
      </c>
    </row>
    <row r="55" ht="18" customHeight="1" spans="1:19">
      <c r="A55" s="447" t="s">
        <v>158</v>
      </c>
      <c r="B55" s="448">
        <v>54</v>
      </c>
      <c r="C55" s="449" t="s">
        <v>153</v>
      </c>
      <c r="D55" s="450">
        <v>1326</v>
      </c>
      <c r="E55" s="208"/>
      <c r="F55" s="208">
        <f t="shared" si="3"/>
        <v>23089</v>
      </c>
      <c r="G55" s="206" t="s">
        <v>152</v>
      </c>
    </row>
    <row r="56" ht="18" customHeight="1" spans="1:19">
      <c r="A56" s="447" t="s">
        <v>158</v>
      </c>
      <c r="B56" s="448">
        <v>55</v>
      </c>
      <c r="C56" s="449" t="s">
        <v>159</v>
      </c>
      <c r="D56" s="450">
        <v>5152</v>
      </c>
      <c r="E56" s="208"/>
      <c r="F56" s="208">
        <f t="shared" si="3"/>
        <v>28241</v>
      </c>
      <c r="G56" s="206" t="s">
        <v>160</v>
      </c>
      <c r="L56" s="13" t="s">
        <v>162</v>
      </c>
      <c r="M56" s="13"/>
      <c r="N56" s="13"/>
      <c r="O56" s="13"/>
      <c r="P56" s="13"/>
      <c r="Q56" s="13"/>
      <c r="R56" s="13"/>
      <c r="S56" s="13"/>
    </row>
    <row r="57" spans="1:19">
      <c r="A57" s="447"/>
      <c r="B57" s="448">
        <v>56</v>
      </c>
      <c r="C57" s="449"/>
      <c r="D57" s="450"/>
      <c r="E57" s="208"/>
      <c r="F57" s="208"/>
      <c r="G57" s="206"/>
      <c r="P57" s="13"/>
      <c r="Q57" s="13"/>
      <c r="R57" s="13"/>
      <c r="S57" s="13"/>
    </row>
    <row r="58" ht="22.5" spans="1:19">
      <c r="A58" s="425" t="s">
        <v>205</v>
      </c>
      <c r="B58" s="426"/>
      <c r="C58" s="426"/>
      <c r="D58" s="427"/>
      <c r="E58" s="428"/>
      <c r="F58" s="428"/>
      <c r="G58" s="428"/>
      <c r="L58" s="13"/>
      <c r="M58" s="13"/>
      <c r="N58" s="13"/>
      <c r="O58" s="13"/>
      <c r="P58" s="13"/>
      <c r="Q58" s="13"/>
      <c r="R58" s="13"/>
      <c r="S58" s="13"/>
    </row>
    <row r="59" spans="1:19">
      <c r="A59" s="429" t="s">
        <v>139</v>
      </c>
      <c r="B59" s="430" t="s">
        <v>140</v>
      </c>
      <c r="C59" s="7" t="s">
        <v>141</v>
      </c>
      <c r="D59" s="431" t="s">
        <v>142</v>
      </c>
      <c r="E59" s="432" t="s">
        <v>143</v>
      </c>
      <c r="F59" s="433" t="s">
        <v>144</v>
      </c>
      <c r="G59" s="434"/>
    </row>
    <row r="60" spans="1:19">
      <c r="A60" s="435"/>
      <c r="B60" s="436"/>
      <c r="C60" s="7"/>
      <c r="D60" s="437">
        <f>SUM(D63:D86)</f>
        <v>55430.78</v>
      </c>
      <c r="E60" s="438">
        <f>SUM(E64:E86)</f>
        <v>54874.4</v>
      </c>
      <c r="F60" s="439">
        <f>D60-E60</f>
        <v>556.380000000005</v>
      </c>
      <c r="G60" s="440"/>
    </row>
    <row r="61" spans="1:19">
      <c r="A61" s="435"/>
      <c r="B61" s="436"/>
      <c r="C61" s="7"/>
      <c r="D61" s="441"/>
      <c r="E61" s="442"/>
      <c r="F61" s="443"/>
      <c r="G61" s="444"/>
    </row>
    <row r="62" ht="35" customHeight="1" spans="1:19">
      <c r="A62" s="445"/>
      <c r="B62" s="446"/>
      <c r="C62" s="7"/>
      <c r="D62" s="431" t="s">
        <v>147</v>
      </c>
      <c r="E62" s="9" t="s">
        <v>148</v>
      </c>
      <c r="F62" s="16" t="s">
        <v>149</v>
      </c>
      <c r="G62" s="9" t="s">
        <v>7</v>
      </c>
    </row>
    <row r="63" ht="18" customHeight="1" spans="1:19">
      <c r="A63" s="447" t="s">
        <v>206</v>
      </c>
      <c r="B63" s="448"/>
      <c r="C63" s="449" t="s">
        <v>207</v>
      </c>
      <c r="D63" s="450">
        <v>28788.2</v>
      </c>
      <c r="E63" s="208"/>
      <c r="F63" s="208">
        <f>D63-E63</f>
        <v>28788.2</v>
      </c>
      <c r="G63" s="206"/>
    </row>
    <row r="64" spans="1:19">
      <c r="A64" s="455">
        <v>45540</v>
      </c>
      <c r="B64" s="456">
        <v>11</v>
      </c>
      <c r="C64" s="457" t="s">
        <v>24</v>
      </c>
      <c r="D64" s="458">
        <v>3449.4</v>
      </c>
      <c r="E64" s="25"/>
      <c r="F64" s="25">
        <f>F63+D64-E64</f>
        <v>32237.6</v>
      </c>
      <c r="G64" s="459"/>
      <c r="H64" t="s">
        <v>208</v>
      </c>
    </row>
    <row r="65" spans="1:10">
      <c r="A65" s="455">
        <v>45540</v>
      </c>
      <c r="B65" s="456">
        <v>12</v>
      </c>
      <c r="C65" s="457" t="s">
        <v>28</v>
      </c>
      <c r="D65" s="458">
        <v>3097.8</v>
      </c>
      <c r="E65" s="25"/>
      <c r="F65" s="25">
        <f>F64+D65-E65</f>
        <v>35335.4</v>
      </c>
      <c r="G65" s="459"/>
      <c r="H65" t="s">
        <v>209</v>
      </c>
    </row>
    <row r="66" spans="1:10">
      <c r="A66" s="455">
        <v>45540</v>
      </c>
      <c r="B66" s="456">
        <v>13</v>
      </c>
      <c r="C66" s="457" t="s">
        <v>17</v>
      </c>
      <c r="D66" s="458">
        <v>3190</v>
      </c>
      <c r="E66" s="25"/>
      <c r="F66" s="25">
        <f>F65+D66-E66</f>
        <v>38525.4</v>
      </c>
      <c r="G66" s="459"/>
      <c r="H66" t="s">
        <v>209</v>
      </c>
    </row>
    <row r="67" spans="1:10">
      <c r="A67" s="451">
        <v>45541</v>
      </c>
      <c r="B67" s="452"/>
      <c r="C67" s="460" t="s">
        <v>202</v>
      </c>
      <c r="D67" s="461"/>
      <c r="E67" s="462">
        <v>38525.4</v>
      </c>
      <c r="F67" s="25">
        <f>F66+D67-E67</f>
        <v>0</v>
      </c>
      <c r="G67" s="459"/>
    </row>
    <row r="68" spans="1:10">
      <c r="A68" s="455">
        <v>45540</v>
      </c>
      <c r="B68" s="456">
        <v>16</v>
      </c>
      <c r="C68" s="457" t="s">
        <v>210</v>
      </c>
      <c r="D68" s="458">
        <v>972</v>
      </c>
      <c r="E68" s="25"/>
      <c r="F68" s="463">
        <f t="shared" ref="F68:F75" si="4">F67+D68-E68</f>
        <v>972</v>
      </c>
      <c r="G68" s="459"/>
      <c r="H68" t="s">
        <v>211</v>
      </c>
    </row>
    <row r="69" spans="1:10">
      <c r="A69" s="455">
        <v>45541</v>
      </c>
      <c r="B69" s="456">
        <v>18</v>
      </c>
      <c r="C69" s="457" t="s">
        <v>212</v>
      </c>
      <c r="D69" s="458">
        <v>642.3</v>
      </c>
      <c r="E69" s="25"/>
      <c r="F69" s="463">
        <f t="shared" si="4"/>
        <v>1614.3</v>
      </c>
      <c r="G69" s="459"/>
      <c r="H69" t="s">
        <v>213</v>
      </c>
    </row>
    <row r="70" spans="1:10">
      <c r="A70" s="455">
        <v>45544</v>
      </c>
      <c r="B70" s="456">
        <v>27</v>
      </c>
      <c r="C70" s="457" t="s">
        <v>8</v>
      </c>
      <c r="D70" s="458">
        <v>95.28</v>
      </c>
      <c r="E70" s="25"/>
      <c r="F70" s="463">
        <f t="shared" si="4"/>
        <v>1709.58</v>
      </c>
      <c r="G70" s="464"/>
      <c r="H70" t="s">
        <v>214</v>
      </c>
    </row>
    <row r="71" s="102" customFormat="1" spans="1:10">
      <c r="A71" s="465" t="s">
        <v>215</v>
      </c>
      <c r="B71" s="466">
        <v>28</v>
      </c>
      <c r="C71" s="467" t="s">
        <v>216</v>
      </c>
      <c r="D71" s="468">
        <v>1839.6</v>
      </c>
      <c r="E71" s="469"/>
      <c r="F71" s="463">
        <f t="shared" si="4"/>
        <v>3549.18</v>
      </c>
      <c r="G71" s="464"/>
      <c r="H71" t="s">
        <v>217</v>
      </c>
      <c r="J71"/>
    </row>
    <row r="72" s="102" customFormat="1" spans="1:10">
      <c r="A72" s="465" t="s">
        <v>215</v>
      </c>
      <c r="B72" s="466">
        <v>29</v>
      </c>
      <c r="C72" s="467" t="s">
        <v>218</v>
      </c>
      <c r="D72" s="468">
        <v>4208.3</v>
      </c>
      <c r="E72" s="469"/>
      <c r="F72" s="463">
        <f t="shared" si="4"/>
        <v>7757.48</v>
      </c>
      <c r="G72" s="464"/>
      <c r="H72" t="s">
        <v>219</v>
      </c>
      <c r="J72"/>
    </row>
    <row r="73" s="102" customFormat="1" spans="1:10">
      <c r="A73" s="465" t="s">
        <v>215</v>
      </c>
      <c r="B73" s="466">
        <v>30</v>
      </c>
      <c r="C73" s="467" t="s">
        <v>220</v>
      </c>
      <c r="D73" s="468">
        <v>2074</v>
      </c>
      <c r="E73" s="469"/>
      <c r="F73" s="463">
        <f t="shared" si="4"/>
        <v>9831.48</v>
      </c>
      <c r="G73" s="464"/>
      <c r="H73" t="s">
        <v>221</v>
      </c>
      <c r="J73"/>
    </row>
    <row r="74" spans="1:10">
      <c r="A74" s="455">
        <v>45545</v>
      </c>
      <c r="B74" s="456">
        <v>32</v>
      </c>
      <c r="C74" s="457" t="s">
        <v>212</v>
      </c>
      <c r="D74" s="458">
        <v>1284.6</v>
      </c>
      <c r="E74" s="25"/>
      <c r="F74" s="463">
        <f t="shared" si="4"/>
        <v>11116.08</v>
      </c>
      <c r="G74" s="206"/>
      <c r="H74" t="s">
        <v>222</v>
      </c>
    </row>
    <row r="75" spans="1:10">
      <c r="A75" s="455">
        <v>45549</v>
      </c>
      <c r="B75" s="456">
        <v>44</v>
      </c>
      <c r="C75" s="457" t="s">
        <v>90</v>
      </c>
      <c r="D75" s="458">
        <v>486</v>
      </c>
      <c r="E75" s="25"/>
      <c r="F75" s="463">
        <f t="shared" si="4"/>
        <v>11602.08</v>
      </c>
      <c r="G75" s="206"/>
      <c r="H75" t="s">
        <v>223</v>
      </c>
    </row>
    <row r="76" spans="1:10">
      <c r="A76" s="455">
        <v>45556</v>
      </c>
      <c r="B76" s="456">
        <v>69</v>
      </c>
      <c r="C76" s="457" t="s">
        <v>62</v>
      </c>
      <c r="D76" s="458">
        <v>1210.8</v>
      </c>
      <c r="E76" s="25"/>
      <c r="F76" s="463">
        <f t="shared" ref="F68:F84" si="5">F75+D76-E76</f>
        <v>12812.88</v>
      </c>
      <c r="G76" s="206"/>
      <c r="H76" t="s">
        <v>224</v>
      </c>
    </row>
    <row r="77" spans="1:10">
      <c r="A77" s="455">
        <v>45560</v>
      </c>
      <c r="B77" s="456">
        <v>87</v>
      </c>
      <c r="C77" s="457" t="s">
        <v>225</v>
      </c>
      <c r="D77" s="458">
        <v>3536</v>
      </c>
      <c r="E77" s="25"/>
      <c r="F77" s="463">
        <f t="shared" si="5"/>
        <v>16348.88</v>
      </c>
      <c r="G77" s="206"/>
    </row>
    <row r="78" spans="1:10">
      <c r="A78" s="470">
        <v>45561</v>
      </c>
      <c r="B78" s="471"/>
      <c r="C78" s="472" t="s">
        <v>226</v>
      </c>
      <c r="D78" s="473"/>
      <c r="E78" s="474">
        <v>349</v>
      </c>
      <c r="F78" s="463">
        <f t="shared" si="5"/>
        <v>15999.88</v>
      </c>
      <c r="G78" s="206"/>
      <c r="H78" t="s">
        <v>227</v>
      </c>
    </row>
    <row r="79" spans="1:10">
      <c r="A79" s="455">
        <v>45562</v>
      </c>
      <c r="B79" s="456"/>
      <c r="C79" s="457" t="s">
        <v>202</v>
      </c>
      <c r="D79" s="458"/>
      <c r="E79" s="25">
        <v>16000</v>
      </c>
      <c r="F79" s="463">
        <f t="shared" si="5"/>
        <v>-0.1200000000008</v>
      </c>
      <c r="G79" s="206"/>
    </row>
    <row r="80" spans="1:10">
      <c r="A80" s="455">
        <v>45562</v>
      </c>
      <c r="B80" s="456">
        <v>92</v>
      </c>
      <c r="C80" s="457" t="s">
        <v>228</v>
      </c>
      <c r="D80" s="458">
        <v>360</v>
      </c>
      <c r="E80" s="25"/>
      <c r="F80" s="463">
        <f t="shared" si="5"/>
        <v>359.879999999999</v>
      </c>
      <c r="G80" s="206"/>
    </row>
    <row r="81" spans="1:8">
      <c r="A81" s="455">
        <v>45564</v>
      </c>
      <c r="B81" s="456" t="s">
        <v>229</v>
      </c>
      <c r="C81" s="457" t="s">
        <v>230</v>
      </c>
      <c r="D81" s="458">
        <v>196.5</v>
      </c>
      <c r="E81" s="25"/>
      <c r="F81" s="463">
        <f t="shared" si="5"/>
        <v>556.379999999999</v>
      </c>
      <c r="G81" s="206"/>
    </row>
    <row r="82" spans="1:8">
      <c r="A82" s="455"/>
      <c r="B82" s="456"/>
      <c r="C82" s="457"/>
      <c r="D82" s="458"/>
      <c r="E82" s="25"/>
      <c r="F82" s="463">
        <f t="shared" si="5"/>
        <v>556.379999999999</v>
      </c>
      <c r="G82" s="206"/>
    </row>
    <row r="83" spans="1:8">
      <c r="A83" s="455"/>
      <c r="B83" s="456"/>
      <c r="C83" s="457"/>
      <c r="D83" s="458"/>
      <c r="E83" s="25"/>
      <c r="F83" s="463">
        <f t="shared" si="5"/>
        <v>556.379999999999</v>
      </c>
      <c r="G83" s="206"/>
    </row>
    <row r="84" spans="1:8">
      <c r="A84" s="455"/>
      <c r="B84" s="456"/>
      <c r="C84" s="457"/>
      <c r="D84" s="458"/>
      <c r="E84" s="25"/>
      <c r="F84" s="463">
        <f t="shared" si="5"/>
        <v>556.379999999999</v>
      </c>
      <c r="G84" s="206"/>
    </row>
    <row r="86" ht="22.5" spans="1:8">
      <c r="A86" s="425" t="s">
        <v>231</v>
      </c>
      <c r="B86" s="426"/>
      <c r="C86" s="426"/>
      <c r="D86" s="427"/>
      <c r="E86" s="428"/>
      <c r="F86" s="428"/>
      <c r="G86" s="428"/>
    </row>
    <row r="87" spans="1:8">
      <c r="A87" s="429" t="s">
        <v>139</v>
      </c>
      <c r="B87" s="430" t="s">
        <v>140</v>
      </c>
      <c r="C87" s="7" t="s">
        <v>141</v>
      </c>
      <c r="D87" s="431" t="s">
        <v>142</v>
      </c>
      <c r="E87" s="432" t="s">
        <v>143</v>
      </c>
      <c r="F87" s="433" t="s">
        <v>144</v>
      </c>
      <c r="G87" s="434"/>
    </row>
    <row r="88" spans="1:8">
      <c r="A88" s="435"/>
      <c r="B88" s="436"/>
      <c r="C88" s="7"/>
      <c r="D88" s="437">
        <f>SUM(D91:D107)</f>
        <v>49254.7</v>
      </c>
      <c r="E88" s="438">
        <f>SUM(E92:E105)</f>
        <v>20466.5</v>
      </c>
      <c r="F88" s="439">
        <f>D88-E88</f>
        <v>28788.2</v>
      </c>
      <c r="G88" s="440"/>
    </row>
    <row r="89" spans="1:8">
      <c r="A89" s="435"/>
      <c r="B89" s="436"/>
      <c r="C89" s="7"/>
      <c r="D89" s="441"/>
      <c r="E89" s="442"/>
      <c r="F89" s="443"/>
      <c r="G89" s="444"/>
    </row>
    <row r="90" ht="35" customHeight="1" spans="1:8">
      <c r="A90" s="445"/>
      <c r="B90" s="446"/>
      <c r="C90" s="7"/>
      <c r="D90" s="431" t="s">
        <v>147</v>
      </c>
      <c r="E90" s="9" t="s">
        <v>148</v>
      </c>
      <c r="F90" s="16" t="s">
        <v>149</v>
      </c>
      <c r="G90" s="9" t="s">
        <v>7</v>
      </c>
    </row>
    <row r="91" ht="25" customHeight="1" spans="1:8">
      <c r="A91" s="475" t="s">
        <v>232</v>
      </c>
      <c r="B91" s="237"/>
      <c r="C91" s="449" t="s">
        <v>233</v>
      </c>
      <c r="D91" s="450">
        <v>892.5</v>
      </c>
      <c r="E91" s="208"/>
      <c r="F91" s="208">
        <f>D91-E91</f>
        <v>892.5</v>
      </c>
      <c r="G91" s="476"/>
    </row>
    <row r="92" ht="25" customHeight="1" spans="1:8">
      <c r="A92" s="477">
        <v>45511</v>
      </c>
      <c r="B92" s="216">
        <v>13</v>
      </c>
      <c r="C92" s="478" t="s">
        <v>24</v>
      </c>
      <c r="D92" s="479">
        <v>7334.3</v>
      </c>
      <c r="E92" s="9"/>
      <c r="F92" s="9">
        <f>F91+D92-E92</f>
        <v>8226.8</v>
      </c>
      <c r="G92" s="476"/>
      <c r="H92" s="476" t="s">
        <v>234</v>
      </c>
    </row>
    <row r="93" ht="25" customHeight="1" spans="1:8">
      <c r="A93" s="477">
        <v>45511</v>
      </c>
      <c r="B93" s="216">
        <v>14</v>
      </c>
      <c r="C93" s="478" t="s">
        <v>28</v>
      </c>
      <c r="D93" s="479">
        <v>6626.3</v>
      </c>
      <c r="E93" s="9"/>
      <c r="F93" s="9">
        <f>SUM(F92+D93-E93)</f>
        <v>14853.1</v>
      </c>
      <c r="G93" s="476"/>
      <c r="H93" s="476" t="s">
        <v>235</v>
      </c>
    </row>
    <row r="94" ht="25" customHeight="1" spans="1:8">
      <c r="A94" s="477">
        <v>45511</v>
      </c>
      <c r="B94" s="216">
        <v>15</v>
      </c>
      <c r="C94" s="478" t="s">
        <v>236</v>
      </c>
      <c r="D94" s="479">
        <v>5613.4</v>
      </c>
      <c r="E94" s="9"/>
      <c r="F94" s="9">
        <f>SUM(F93+D94-E94)</f>
        <v>20466.5</v>
      </c>
      <c r="G94" s="459"/>
      <c r="H94" s="476" t="s">
        <v>237</v>
      </c>
    </row>
    <row r="95" s="13" customFormat="1" ht="25" customHeight="1" spans="1:8">
      <c r="A95" s="480">
        <v>45513</v>
      </c>
      <c r="B95" s="202"/>
      <c r="C95" s="453" t="s">
        <v>238</v>
      </c>
      <c r="D95" s="454"/>
      <c r="E95" s="205">
        <v>20466.5</v>
      </c>
      <c r="F95" s="205">
        <f>SUM(F94+D95-E95)</f>
        <v>0</v>
      </c>
      <c r="G95" s="481"/>
    </row>
    <row r="96" ht="25" customHeight="1" spans="1:8">
      <c r="A96" s="477">
        <v>45514</v>
      </c>
      <c r="B96" s="216">
        <v>22</v>
      </c>
      <c r="C96" s="478" t="s">
        <v>8</v>
      </c>
      <c r="D96" s="479">
        <v>1080</v>
      </c>
      <c r="E96" s="9"/>
      <c r="F96" s="9">
        <f>SUM(F95+D96-E96)</f>
        <v>1080</v>
      </c>
      <c r="G96" s="459"/>
      <c r="H96" s="476" t="s">
        <v>239</v>
      </c>
    </row>
    <row r="97" ht="25" customHeight="1" spans="1:8">
      <c r="A97" s="477">
        <v>45516</v>
      </c>
      <c r="B97" s="216">
        <v>33</v>
      </c>
      <c r="C97" s="478" t="s">
        <v>240</v>
      </c>
      <c r="D97" s="479">
        <v>1349.7</v>
      </c>
      <c r="E97" s="9"/>
      <c r="F97" s="9">
        <f>SUM(F96+D97-E97)</f>
        <v>2429.7</v>
      </c>
      <c r="G97" s="459"/>
      <c r="H97" t="s">
        <v>241</v>
      </c>
    </row>
    <row r="98" ht="25" customHeight="1" spans="1:8">
      <c r="A98" s="477">
        <v>45517</v>
      </c>
      <c r="B98" s="216">
        <v>41</v>
      </c>
      <c r="C98" s="478" t="s">
        <v>236</v>
      </c>
      <c r="D98" s="479">
        <v>1893.1</v>
      </c>
      <c r="E98" s="9"/>
      <c r="F98" s="9">
        <f t="shared" ref="F98:F109" si="6">SUM(F97+D98-E98)</f>
        <v>4322.8</v>
      </c>
      <c r="G98" s="459"/>
      <c r="H98" t="s">
        <v>242</v>
      </c>
    </row>
    <row r="99" ht="25" customHeight="1" spans="1:8">
      <c r="A99" s="477">
        <v>45519</v>
      </c>
      <c r="B99" s="216">
        <v>46</v>
      </c>
      <c r="C99" s="478" t="s">
        <v>243</v>
      </c>
      <c r="D99" s="479">
        <v>2565</v>
      </c>
      <c r="E99" s="9"/>
      <c r="F99" s="9">
        <f t="shared" si="6"/>
        <v>6887.8</v>
      </c>
      <c r="G99" s="459"/>
      <c r="H99" t="s">
        <v>244</v>
      </c>
    </row>
    <row r="100" ht="25" customHeight="1" spans="1:8">
      <c r="A100" s="477">
        <v>45519</v>
      </c>
      <c r="B100" s="216">
        <v>48</v>
      </c>
      <c r="C100" s="478" t="s">
        <v>24</v>
      </c>
      <c r="D100" s="479">
        <v>2337.3</v>
      </c>
      <c r="E100" s="9"/>
      <c r="F100" s="9">
        <f t="shared" si="6"/>
        <v>9225.1</v>
      </c>
      <c r="G100" s="459"/>
      <c r="H100" s="476" t="s">
        <v>245</v>
      </c>
    </row>
    <row r="101" ht="25" customHeight="1" spans="1:8">
      <c r="A101" s="477">
        <v>45519</v>
      </c>
      <c r="B101" s="216">
        <v>49</v>
      </c>
      <c r="C101" s="478" t="s">
        <v>28</v>
      </c>
      <c r="D101" s="479">
        <v>2649.3</v>
      </c>
      <c r="E101" s="9"/>
      <c r="F101" s="9">
        <f t="shared" si="6"/>
        <v>11874.4</v>
      </c>
      <c r="G101" s="459"/>
      <c r="H101" s="476" t="s">
        <v>246</v>
      </c>
    </row>
    <row r="102" ht="25" customHeight="1" spans="1:8">
      <c r="A102" s="477">
        <v>45519</v>
      </c>
      <c r="B102" s="216">
        <v>50</v>
      </c>
      <c r="C102" s="478" t="s">
        <v>236</v>
      </c>
      <c r="D102" s="479">
        <v>1590.9</v>
      </c>
      <c r="E102" s="9"/>
      <c r="F102" s="9">
        <f t="shared" si="6"/>
        <v>13465.3</v>
      </c>
      <c r="G102" s="459"/>
      <c r="H102" t="s">
        <v>247</v>
      </c>
    </row>
    <row r="103" ht="25" customHeight="1" spans="1:8">
      <c r="A103" s="477">
        <v>45521</v>
      </c>
      <c r="B103" s="216">
        <v>55</v>
      </c>
      <c r="C103" s="478" t="s">
        <v>19</v>
      </c>
      <c r="D103" s="479">
        <v>260.3</v>
      </c>
      <c r="E103" s="9"/>
      <c r="F103" s="9">
        <f t="shared" si="6"/>
        <v>13725.6</v>
      </c>
      <c r="G103" s="459"/>
      <c r="H103" s="476" t="s">
        <v>248</v>
      </c>
    </row>
    <row r="104" ht="25" customHeight="1" spans="1:8">
      <c r="A104" s="477">
        <v>45525</v>
      </c>
      <c r="B104" s="216">
        <v>72</v>
      </c>
      <c r="C104" s="478" t="s">
        <v>249</v>
      </c>
      <c r="D104" s="479">
        <v>3223.3</v>
      </c>
      <c r="E104" s="9"/>
      <c r="F104" s="9">
        <f t="shared" si="6"/>
        <v>16948.9</v>
      </c>
      <c r="G104" s="459"/>
      <c r="H104" s="476" t="s">
        <v>250</v>
      </c>
    </row>
    <row r="105" ht="25" customHeight="1" spans="1:8">
      <c r="A105" s="477">
        <v>45530</v>
      </c>
      <c r="B105" s="216">
        <v>84</v>
      </c>
      <c r="C105" s="478" t="s">
        <v>251</v>
      </c>
      <c r="D105" s="479">
        <v>1767.8</v>
      </c>
      <c r="E105" s="9"/>
      <c r="F105" s="9">
        <f t="shared" si="6"/>
        <v>18716.7</v>
      </c>
      <c r="G105" s="459"/>
      <c r="H105" t="s">
        <v>252</v>
      </c>
    </row>
    <row r="106" ht="25" customHeight="1" spans="1:8">
      <c r="A106" s="477">
        <v>45530</v>
      </c>
      <c r="B106" s="216">
        <v>85</v>
      </c>
      <c r="C106" s="478" t="s">
        <v>24</v>
      </c>
      <c r="D106" s="479">
        <v>3449.4</v>
      </c>
      <c r="E106" s="9"/>
      <c r="F106" s="9">
        <f t="shared" si="6"/>
        <v>22166.1</v>
      </c>
      <c r="G106" s="459"/>
      <c r="H106" s="476" t="s">
        <v>208</v>
      </c>
    </row>
    <row r="107" ht="25" customHeight="1" spans="1:8">
      <c r="A107" s="477">
        <v>45530</v>
      </c>
      <c r="B107" s="216">
        <v>86</v>
      </c>
      <c r="C107" s="478" t="s">
        <v>253</v>
      </c>
      <c r="D107" s="479">
        <v>6622.1</v>
      </c>
      <c r="E107" s="9"/>
      <c r="F107" s="9">
        <f t="shared" si="6"/>
        <v>28788.2</v>
      </c>
      <c r="G107" s="459"/>
      <c r="H107" s="476" t="s">
        <v>254</v>
      </c>
    </row>
    <row r="108" ht="25" customHeight="1" spans="1:8">
      <c r="A108" s="482"/>
      <c r="B108" s="483"/>
      <c r="C108" s="483"/>
      <c r="D108" s="483"/>
      <c r="E108" s="483"/>
      <c r="F108" s="483"/>
      <c r="G108" s="484"/>
    </row>
    <row r="109" ht="25" customHeight="1" spans="1:8">
      <c r="A109" s="485" t="s">
        <v>255</v>
      </c>
      <c r="B109" s="485"/>
      <c r="C109" s="485"/>
      <c r="D109" s="485"/>
      <c r="E109" s="485"/>
      <c r="F109" s="486"/>
      <c r="G109" s="486"/>
      <c r="H109" s="487"/>
    </row>
    <row r="110" ht="25" customHeight="1" spans="1:8">
      <c r="A110" s="488">
        <v>45540</v>
      </c>
      <c r="B110" s="489">
        <v>11</v>
      </c>
      <c r="C110" s="490" t="s">
        <v>24</v>
      </c>
      <c r="D110" s="491">
        <v>3449.4</v>
      </c>
      <c r="E110" s="492"/>
      <c r="F110" s="492">
        <f t="shared" ref="F108:F122" si="7">SUM(F109+D110-E110)</f>
        <v>3449.4</v>
      </c>
      <c r="G110" s="493"/>
      <c r="H110" t="s">
        <v>208</v>
      </c>
    </row>
    <row r="111" ht="25" customHeight="1" spans="1:8">
      <c r="A111" s="477">
        <v>45540</v>
      </c>
      <c r="B111" s="216">
        <v>12</v>
      </c>
      <c r="C111" s="478" t="s">
        <v>28</v>
      </c>
      <c r="D111" s="479">
        <v>3097.84</v>
      </c>
      <c r="E111" s="9"/>
      <c r="F111" s="9">
        <f t="shared" si="7"/>
        <v>6547.24</v>
      </c>
      <c r="G111" s="459"/>
      <c r="H111" t="s">
        <v>209</v>
      </c>
    </row>
    <row r="112" ht="25" customHeight="1" spans="1:8">
      <c r="A112" s="477">
        <v>45540</v>
      </c>
      <c r="B112" s="216">
        <v>13</v>
      </c>
      <c r="C112" s="478" t="s">
        <v>17</v>
      </c>
      <c r="D112" s="479">
        <v>3190</v>
      </c>
      <c r="E112" s="9"/>
      <c r="F112" s="9">
        <f t="shared" si="7"/>
        <v>9737.24</v>
      </c>
      <c r="G112" s="459"/>
      <c r="H112" t="s">
        <v>209</v>
      </c>
    </row>
    <row r="113" ht="25" customHeight="1" spans="1:12">
      <c r="A113" s="480">
        <v>45541</v>
      </c>
      <c r="B113" s="202"/>
      <c r="C113" s="453" t="s">
        <v>202</v>
      </c>
      <c r="D113" s="454"/>
      <c r="E113" s="205">
        <v>38525</v>
      </c>
      <c r="F113" s="9">
        <f t="shared" si="7"/>
        <v>-28787.76</v>
      </c>
      <c r="G113" s="459"/>
      <c r="J113">
        <f>SUM(G96:G116)</f>
        <v>0</v>
      </c>
    </row>
    <row r="114" ht="25" customHeight="1" spans="1:12">
      <c r="A114" s="477">
        <v>45541</v>
      </c>
      <c r="B114" s="216"/>
      <c r="C114" s="478" t="s">
        <v>256</v>
      </c>
      <c r="D114" s="479"/>
      <c r="E114" s="9">
        <v>0.44</v>
      </c>
      <c r="F114" s="9">
        <f t="shared" si="7"/>
        <v>-28788.2</v>
      </c>
      <c r="G114" s="459"/>
    </row>
    <row r="115" ht="25" customHeight="1" spans="1:12">
      <c r="A115" s="477">
        <v>45540</v>
      </c>
      <c r="B115" s="216">
        <v>16</v>
      </c>
      <c r="C115" s="478" t="s">
        <v>210</v>
      </c>
      <c r="D115" s="479">
        <v>972</v>
      </c>
      <c r="E115" s="9"/>
      <c r="F115" s="9">
        <f t="shared" si="7"/>
        <v>-27816.2</v>
      </c>
      <c r="G115" s="459"/>
      <c r="H115" t="s">
        <v>211</v>
      </c>
    </row>
    <row r="116" ht="25" customHeight="1" spans="1:12">
      <c r="A116" s="480">
        <v>45541</v>
      </c>
      <c r="B116" s="202">
        <v>18</v>
      </c>
      <c r="C116" s="453" t="s">
        <v>212</v>
      </c>
      <c r="D116" s="454">
        <v>642.3</v>
      </c>
      <c r="E116" s="205"/>
      <c r="F116" s="205">
        <f t="shared" si="7"/>
        <v>-27173.9</v>
      </c>
      <c r="G116" s="494"/>
      <c r="H116" t="s">
        <v>257</v>
      </c>
      <c r="J116" s="13" t="s">
        <v>258</v>
      </c>
      <c r="K116" s="13"/>
      <c r="L116" s="13"/>
    </row>
    <row r="117" ht="25" customHeight="1" spans="1:12">
      <c r="A117" s="495">
        <v>45544</v>
      </c>
      <c r="B117" s="211">
        <v>27</v>
      </c>
      <c r="C117" s="496" t="s">
        <v>8</v>
      </c>
      <c r="D117" s="497">
        <v>95.28</v>
      </c>
      <c r="E117" s="214"/>
      <c r="F117" s="214">
        <f t="shared" si="7"/>
        <v>-27078.62</v>
      </c>
      <c r="G117" s="464"/>
      <c r="H117" t="s">
        <v>214</v>
      </c>
    </row>
    <row r="118" ht="25" customHeight="1" spans="1:12">
      <c r="A118" s="495" t="s">
        <v>215</v>
      </c>
      <c r="B118" s="211">
        <v>28</v>
      </c>
      <c r="C118" s="496" t="s">
        <v>216</v>
      </c>
      <c r="D118" s="497">
        <v>1839.6</v>
      </c>
      <c r="E118" s="214"/>
      <c r="F118" s="214">
        <f t="shared" si="7"/>
        <v>-25239.02</v>
      </c>
      <c r="G118" s="464"/>
      <c r="H118" t="s">
        <v>217</v>
      </c>
      <c r="I118" t="s">
        <v>259</v>
      </c>
    </row>
    <row r="119" ht="25" customHeight="1" spans="1:12">
      <c r="A119" s="495" t="s">
        <v>215</v>
      </c>
      <c r="B119" s="211">
        <v>29</v>
      </c>
      <c r="C119" s="496" t="s">
        <v>218</v>
      </c>
      <c r="D119" s="497">
        <v>4208.3</v>
      </c>
      <c r="E119" s="214"/>
      <c r="F119" s="214">
        <f t="shared" si="7"/>
        <v>-21030.72</v>
      </c>
      <c r="G119" s="464"/>
      <c r="H119" t="s">
        <v>219</v>
      </c>
    </row>
    <row r="120" ht="25" customHeight="1" spans="1:12">
      <c r="A120" s="495" t="s">
        <v>215</v>
      </c>
      <c r="B120" s="211">
        <v>30</v>
      </c>
      <c r="C120" s="496" t="s">
        <v>220</v>
      </c>
      <c r="D120" s="497">
        <v>2074</v>
      </c>
      <c r="E120" s="214"/>
      <c r="F120" s="214">
        <f t="shared" si="7"/>
        <v>-18956.72</v>
      </c>
      <c r="G120" s="464"/>
      <c r="H120" t="s">
        <v>221</v>
      </c>
    </row>
    <row r="121" ht="25" customHeight="1" spans="1:12">
      <c r="A121" s="495">
        <v>45545</v>
      </c>
      <c r="B121" s="211">
        <v>32</v>
      </c>
      <c r="C121" s="496" t="s">
        <v>212</v>
      </c>
      <c r="D121" s="497">
        <v>1284.6</v>
      </c>
      <c r="E121" s="214"/>
      <c r="F121" s="214">
        <f t="shared" si="7"/>
        <v>-17672.12</v>
      </c>
      <c r="G121" s="464"/>
      <c r="H121" t="s">
        <v>222</v>
      </c>
    </row>
    <row r="122" ht="25" customHeight="1" spans="1:12">
      <c r="A122" s="495">
        <v>45549</v>
      </c>
      <c r="B122" s="211">
        <v>44</v>
      </c>
      <c r="C122" s="496" t="s">
        <v>212</v>
      </c>
      <c r="D122" s="497">
        <v>486</v>
      </c>
      <c r="E122" s="214"/>
      <c r="F122" s="214">
        <f t="shared" si="7"/>
        <v>-17186.12</v>
      </c>
      <c r="G122" s="464"/>
      <c r="H122" t="s">
        <v>260</v>
      </c>
    </row>
    <row r="123" spans="1:12">
      <c r="C123" s="498"/>
    </row>
    <row r="124" spans="1:12">
      <c r="C124" s="498"/>
    </row>
    <row r="125" spans="1:12">
      <c r="C125" s="498"/>
    </row>
    <row r="126" spans="1:12">
      <c r="C126" s="498"/>
    </row>
    <row r="127" spans="1:12">
      <c r="C127" s="498"/>
    </row>
    <row r="128" spans="1:12">
      <c r="C128" s="498"/>
    </row>
    <row r="129" spans="1:7">
      <c r="C129" s="498"/>
    </row>
    <row r="130" spans="1:7">
      <c r="C130" s="498"/>
    </row>
    <row r="131" spans="1:7">
      <c r="C131" s="498"/>
    </row>
    <row r="132" spans="1:7">
      <c r="C132" s="498"/>
    </row>
    <row r="135" ht="28" customHeight="1" spans="1:7">
      <c r="A135" s="425" t="s">
        <v>261</v>
      </c>
      <c r="B135" s="426"/>
      <c r="C135" s="426"/>
      <c r="D135" s="427"/>
      <c r="E135" s="428"/>
      <c r="F135" s="428"/>
      <c r="G135" s="428"/>
    </row>
    <row r="136" ht="27" customHeight="1" spans="1:7">
      <c r="A136" s="429" t="s">
        <v>139</v>
      </c>
      <c r="B136" s="430" t="s">
        <v>140</v>
      </c>
      <c r="C136" s="7" t="s">
        <v>141</v>
      </c>
      <c r="D136" s="431" t="s">
        <v>142</v>
      </c>
      <c r="E136" s="432" t="s">
        <v>143</v>
      </c>
      <c r="F136" s="433" t="s">
        <v>144</v>
      </c>
      <c r="G136" s="434"/>
    </row>
    <row r="137" ht="18" customHeight="1" spans="1:7">
      <c r="A137" s="435"/>
      <c r="B137" s="436"/>
      <c r="C137" s="7"/>
      <c r="D137" s="437">
        <f>SUM(D140:D153)</f>
        <v>6460.5</v>
      </c>
      <c r="E137" s="438">
        <f>SUM(E140:E153)</f>
        <v>5568</v>
      </c>
      <c r="F137" s="439">
        <f>D137-E137</f>
        <v>892.5</v>
      </c>
      <c r="G137" s="440"/>
    </row>
    <row r="138" spans="1:7">
      <c r="A138" s="435"/>
      <c r="B138" s="436"/>
      <c r="C138" s="7"/>
      <c r="D138" s="441"/>
      <c r="E138" s="442"/>
      <c r="F138" s="443"/>
      <c r="G138" s="444"/>
    </row>
    <row r="139" ht="25" customHeight="1" spans="1:7">
      <c r="A139" s="445"/>
      <c r="B139" s="446"/>
      <c r="C139" s="7"/>
      <c r="D139" s="431" t="s">
        <v>147</v>
      </c>
      <c r="E139" s="9" t="s">
        <v>148</v>
      </c>
      <c r="F139" s="16" t="s">
        <v>149</v>
      </c>
      <c r="G139" s="9" t="s">
        <v>7</v>
      </c>
    </row>
    <row r="140" s="419" customFormat="1" ht="12" spans="1:7">
      <c r="A140" s="455">
        <v>45446</v>
      </c>
      <c r="B140" s="456">
        <v>16</v>
      </c>
      <c r="C140" s="499" t="s">
        <v>262</v>
      </c>
      <c r="D140" s="458">
        <v>101.8</v>
      </c>
      <c r="E140" s="25"/>
      <c r="F140" s="25">
        <f>SUM(D140-E140)</f>
        <v>101.8</v>
      </c>
      <c r="G140" s="206"/>
    </row>
    <row r="141" s="419" customFormat="1" ht="12" spans="1:7">
      <c r="A141" s="455">
        <v>45447</v>
      </c>
      <c r="B141" s="456">
        <v>17</v>
      </c>
      <c r="C141" s="499" t="s">
        <v>263</v>
      </c>
      <c r="D141" s="458">
        <v>1674.9</v>
      </c>
      <c r="E141" s="25"/>
      <c r="F141" s="25">
        <f>SUM(F140+D141-E141)</f>
        <v>1776.7</v>
      </c>
      <c r="G141" s="206"/>
    </row>
    <row r="142" s="419" customFormat="1" ht="12" spans="1:7">
      <c r="A142" s="455">
        <v>45447</v>
      </c>
      <c r="B142" s="456">
        <v>18</v>
      </c>
      <c r="C142" s="499" t="s">
        <v>264</v>
      </c>
      <c r="D142" s="458">
        <v>1033.5</v>
      </c>
      <c r="E142" s="25"/>
      <c r="F142" s="25">
        <f t="shared" ref="F142:F149" si="8">SUM(F141+D142-E142)</f>
        <v>2810.2</v>
      </c>
      <c r="G142" s="206"/>
    </row>
    <row r="143" s="419" customFormat="1" ht="12" spans="1:7">
      <c r="A143" s="451">
        <v>45449</v>
      </c>
      <c r="B143" s="452"/>
      <c r="C143" s="500" t="s">
        <v>202</v>
      </c>
      <c r="D143" s="461"/>
      <c r="E143" s="462">
        <v>2810.2</v>
      </c>
      <c r="F143" s="25">
        <f t="shared" si="8"/>
        <v>0</v>
      </c>
      <c r="G143" s="206"/>
    </row>
    <row r="144" s="419" customFormat="1" ht="12" spans="1:7">
      <c r="A144" s="455">
        <v>45454</v>
      </c>
      <c r="B144" s="456">
        <v>32</v>
      </c>
      <c r="C144" s="499" t="s">
        <v>265</v>
      </c>
      <c r="D144" s="458">
        <v>850</v>
      </c>
      <c r="E144" s="25"/>
      <c r="F144" s="25">
        <f t="shared" si="8"/>
        <v>850</v>
      </c>
      <c r="G144" s="206"/>
    </row>
    <row r="145" s="419" customFormat="1" ht="12" spans="1:7">
      <c r="A145" s="455">
        <v>45456</v>
      </c>
      <c r="B145" s="456"/>
      <c r="C145" s="500" t="s">
        <v>202</v>
      </c>
      <c r="D145" s="461"/>
      <c r="E145" s="462">
        <v>850</v>
      </c>
      <c r="F145" s="25">
        <f t="shared" si="8"/>
        <v>0</v>
      </c>
      <c r="G145" s="206"/>
    </row>
    <row r="146" s="419" customFormat="1" ht="12" spans="1:7">
      <c r="A146" s="455">
        <v>45457</v>
      </c>
      <c r="B146" s="456">
        <v>36</v>
      </c>
      <c r="C146" s="499" t="s">
        <v>266</v>
      </c>
      <c r="D146" s="458">
        <v>395.5</v>
      </c>
      <c r="E146" s="25"/>
      <c r="F146" s="25">
        <f t="shared" si="8"/>
        <v>395.5</v>
      </c>
      <c r="G146" s="206"/>
    </row>
    <row r="147" s="419" customFormat="1" ht="12" spans="1:7">
      <c r="A147" s="455">
        <v>45472</v>
      </c>
      <c r="B147" s="456">
        <v>88</v>
      </c>
      <c r="C147" s="499" t="s">
        <v>267</v>
      </c>
      <c r="D147" s="458">
        <v>60.3</v>
      </c>
      <c r="E147" s="25"/>
      <c r="F147" s="25">
        <f t="shared" si="8"/>
        <v>455.8</v>
      </c>
      <c r="G147" s="206"/>
    </row>
    <row r="148" s="419" customFormat="1" ht="12" spans="1:7">
      <c r="A148" s="455">
        <v>45478</v>
      </c>
      <c r="B148" s="456">
        <v>11</v>
      </c>
      <c r="C148" s="499" t="s">
        <v>268</v>
      </c>
      <c r="D148" s="461">
        <v>771</v>
      </c>
      <c r="E148" s="462"/>
      <c r="F148" s="25">
        <f t="shared" ref="F148:F157" si="9">SUM(F147+D148-E148)</f>
        <v>1226.8</v>
      </c>
      <c r="G148" s="206"/>
    </row>
    <row r="149" s="419" customFormat="1" ht="12" spans="1:7">
      <c r="A149" s="501">
        <v>45478</v>
      </c>
      <c r="B149" s="456">
        <v>12</v>
      </c>
      <c r="C149" s="502" t="s">
        <v>269</v>
      </c>
      <c r="D149" s="503">
        <v>681</v>
      </c>
      <c r="E149" s="504"/>
      <c r="F149" s="25">
        <f t="shared" si="9"/>
        <v>1907.8</v>
      </c>
      <c r="G149" s="206"/>
    </row>
    <row r="150" s="419" customFormat="1" ht="12" spans="1:7">
      <c r="A150" s="505">
        <v>45481</v>
      </c>
      <c r="B150" s="452"/>
      <c r="C150" s="506" t="s">
        <v>202</v>
      </c>
      <c r="D150" s="507"/>
      <c r="E150" s="508">
        <v>1907.8</v>
      </c>
      <c r="F150" s="25">
        <f t="shared" si="9"/>
        <v>0</v>
      </c>
      <c r="G150" s="206"/>
    </row>
    <row r="151" s="419" customFormat="1" ht="12" spans="1:7">
      <c r="A151" s="501">
        <v>45502</v>
      </c>
      <c r="B151" s="456">
        <v>90</v>
      </c>
      <c r="C151" s="502" t="s">
        <v>19</v>
      </c>
      <c r="D151" s="503">
        <v>42</v>
      </c>
      <c r="E151" s="504"/>
      <c r="F151" s="25">
        <f t="shared" si="9"/>
        <v>42</v>
      </c>
      <c r="G151" s="206"/>
    </row>
    <row r="152" s="419" customFormat="1" ht="12" spans="1:7">
      <c r="A152" s="455">
        <v>45504</v>
      </c>
      <c r="B152" s="456">
        <v>98</v>
      </c>
      <c r="C152" s="499" t="s">
        <v>263</v>
      </c>
      <c r="D152" s="458">
        <v>850.5</v>
      </c>
      <c r="E152" s="25"/>
      <c r="F152" s="25">
        <f t="shared" si="9"/>
        <v>892.5</v>
      </c>
      <c r="G152" s="206"/>
    </row>
    <row r="153" s="419" customFormat="1" ht="12" spans="1:7">
      <c r="A153" s="455"/>
      <c r="B153" s="456"/>
      <c r="C153" s="499"/>
      <c r="D153" s="458"/>
      <c r="E153" s="25"/>
      <c r="F153" s="25">
        <f t="shared" si="9"/>
        <v>892.5</v>
      </c>
      <c r="G153" s="206"/>
    </row>
    <row r="154" ht="18.75" spans="1:7">
      <c r="A154" s="509"/>
      <c r="B154" s="510"/>
      <c r="C154" s="510"/>
      <c r="D154" s="511"/>
      <c r="E154" s="510"/>
      <c r="F154" s="512"/>
      <c r="G154" s="513"/>
    </row>
    <row r="155" ht="18.75" spans="1:7">
      <c r="A155" s="514"/>
      <c r="B155" s="515"/>
      <c r="C155" s="515"/>
      <c r="D155" s="516"/>
      <c r="E155" s="515"/>
      <c r="F155" s="517"/>
      <c r="G155" s="513"/>
    </row>
    <row r="156" ht="22.5" spans="1:7">
      <c r="A156" s="518" t="s">
        <v>270</v>
      </c>
      <c r="B156" s="519"/>
      <c r="C156" s="520"/>
      <c r="D156" s="521"/>
      <c r="E156" s="522"/>
      <c r="F156" s="522"/>
    </row>
    <row r="157" ht="22.5" spans="1:7">
      <c r="A157" s="523"/>
      <c r="B157" s="524" t="s">
        <v>142</v>
      </c>
      <c r="C157" s="525"/>
      <c r="D157" s="526" t="s">
        <v>143</v>
      </c>
      <c r="E157" s="527" t="s">
        <v>144</v>
      </c>
      <c r="F157" s="528"/>
    </row>
    <row r="158" ht="22.5" spans="1:7">
      <c r="A158" s="529"/>
      <c r="B158" s="530">
        <f>SUM(C161:C212)</f>
        <v>48969.24</v>
      </c>
      <c r="C158" s="531"/>
      <c r="D158" s="437">
        <f>SUM(D161:D212)</f>
        <v>100333.93</v>
      </c>
      <c r="E158" s="532">
        <f>B158-D158</f>
        <v>-51364.69</v>
      </c>
      <c r="F158" s="528"/>
    </row>
    <row r="159" ht="22.5" spans="1:7">
      <c r="A159" s="529"/>
      <c r="B159" s="533"/>
      <c r="C159" s="534"/>
      <c r="D159" s="441"/>
      <c r="E159" s="535"/>
      <c r="F159" s="528"/>
    </row>
    <row r="160" ht="18.75" spans="1:7">
      <c r="A160" s="536" t="s">
        <v>1</v>
      </c>
      <c r="B160" s="537" t="s">
        <v>271</v>
      </c>
      <c r="C160" s="538" t="s">
        <v>147</v>
      </c>
      <c r="D160" s="539" t="s">
        <v>148</v>
      </c>
      <c r="E160" s="537" t="s">
        <v>272</v>
      </c>
      <c r="F160" s="540" t="s">
        <v>7</v>
      </c>
    </row>
    <row r="161" ht="18.75" spans="1:6">
      <c r="A161" s="541">
        <v>45422</v>
      </c>
      <c r="B161" s="18">
        <v>26</v>
      </c>
      <c r="C161" s="542">
        <v>113</v>
      </c>
      <c r="D161" s="539"/>
      <c r="E161" s="21">
        <f>SUM(C161-D161)</f>
        <v>113</v>
      </c>
      <c r="F161" s="513"/>
    </row>
    <row r="162" ht="18.75" spans="1:6">
      <c r="A162" s="541">
        <v>45422</v>
      </c>
      <c r="B162" s="18">
        <v>27</v>
      </c>
      <c r="C162" s="542">
        <v>76.2</v>
      </c>
      <c r="D162" s="539"/>
      <c r="E162" s="21">
        <f t="shared" ref="E162:E175" si="10">SUM(E161+C162-D162)</f>
        <v>189.2</v>
      </c>
      <c r="F162" s="513"/>
    </row>
    <row r="163" ht="18.75" spans="1:6">
      <c r="A163" s="541">
        <v>45422</v>
      </c>
      <c r="B163" s="18">
        <v>28</v>
      </c>
      <c r="C163" s="542">
        <v>1058</v>
      </c>
      <c r="D163" s="539"/>
      <c r="E163" s="21">
        <f t="shared" si="10"/>
        <v>1247.2</v>
      </c>
      <c r="F163" s="513"/>
    </row>
    <row r="164" ht="18.75" spans="1:6">
      <c r="A164" s="541">
        <v>45423</v>
      </c>
      <c r="B164" s="18">
        <v>29</v>
      </c>
      <c r="C164" s="542">
        <v>470.9</v>
      </c>
      <c r="D164" s="539"/>
      <c r="E164" s="21">
        <f t="shared" si="10"/>
        <v>1718.1</v>
      </c>
      <c r="F164" s="513"/>
    </row>
    <row r="165" ht="18.75" spans="1:6">
      <c r="A165" s="541">
        <v>45423</v>
      </c>
      <c r="B165" s="18">
        <v>30</v>
      </c>
      <c r="C165" s="542">
        <v>1656.9</v>
      </c>
      <c r="D165" s="539"/>
      <c r="E165" s="21">
        <f t="shared" si="10"/>
        <v>3375</v>
      </c>
      <c r="F165" s="513"/>
    </row>
    <row r="166" ht="18.75" spans="1:6">
      <c r="A166" s="541">
        <v>45423</v>
      </c>
      <c r="B166" s="18">
        <v>31</v>
      </c>
      <c r="C166" s="542">
        <v>324.3</v>
      </c>
      <c r="D166" s="539"/>
      <c r="E166" s="21">
        <f t="shared" si="10"/>
        <v>3699.3</v>
      </c>
      <c r="F166" s="513"/>
    </row>
    <row r="167" ht="18.75" spans="1:6">
      <c r="A167" s="541">
        <v>45423</v>
      </c>
      <c r="B167" s="18">
        <v>32</v>
      </c>
      <c r="C167" s="542">
        <v>513.5</v>
      </c>
      <c r="D167" s="539"/>
      <c r="E167" s="21">
        <f t="shared" si="10"/>
        <v>4212.8</v>
      </c>
      <c r="F167" s="513"/>
    </row>
    <row r="168" ht="18.75" spans="1:6">
      <c r="A168" s="541">
        <v>45423</v>
      </c>
      <c r="B168" s="18">
        <v>33</v>
      </c>
      <c r="C168" s="542">
        <v>2182.5</v>
      </c>
      <c r="D168" s="539"/>
      <c r="E168" s="21">
        <f t="shared" si="10"/>
        <v>6395.3</v>
      </c>
      <c r="F168" s="513"/>
    </row>
    <row r="169" ht="18.75" spans="1:6">
      <c r="A169" s="543">
        <v>45425</v>
      </c>
      <c r="B169" s="544" t="s">
        <v>273</v>
      </c>
      <c r="C169" s="545"/>
      <c r="D169" s="546">
        <v>6395.3</v>
      </c>
      <c r="E169" s="547">
        <f t="shared" si="10"/>
        <v>0</v>
      </c>
      <c r="F169" s="513"/>
    </row>
    <row r="170" ht="20.25" spans="1:6">
      <c r="A170" s="548">
        <v>45430</v>
      </c>
      <c r="B170" s="549">
        <v>58</v>
      </c>
      <c r="C170" s="550">
        <v>498.4</v>
      </c>
      <c r="D170" s="551"/>
      <c r="E170" s="421">
        <f t="shared" si="10"/>
        <v>498.4</v>
      </c>
      <c r="F170" s="552"/>
    </row>
    <row r="171" ht="20.25" spans="1:6">
      <c r="A171" s="548">
        <v>45430</v>
      </c>
      <c r="B171" s="549">
        <v>59</v>
      </c>
      <c r="C171" s="550">
        <v>529.2</v>
      </c>
      <c r="D171" s="551"/>
      <c r="E171" s="421">
        <f t="shared" si="10"/>
        <v>1027.6</v>
      </c>
      <c r="F171" s="552"/>
    </row>
    <row r="172" ht="20.25" spans="1:6">
      <c r="A172" s="548">
        <v>45430</v>
      </c>
      <c r="B172" s="549">
        <v>60</v>
      </c>
      <c r="C172" s="550">
        <v>497.3</v>
      </c>
      <c r="D172" s="551"/>
      <c r="E172" s="421">
        <f t="shared" si="10"/>
        <v>1524.9</v>
      </c>
      <c r="F172" s="552"/>
    </row>
    <row r="173" ht="20.25" spans="1:6">
      <c r="A173" s="553">
        <v>45432</v>
      </c>
      <c r="B173" s="549">
        <v>64</v>
      </c>
      <c r="C173" s="554">
        <v>73.9</v>
      </c>
      <c r="D173" s="14"/>
      <c r="E173" s="421">
        <f t="shared" si="10"/>
        <v>1598.8</v>
      </c>
      <c r="F173" s="552"/>
    </row>
    <row r="174" ht="20.25" spans="1:6">
      <c r="A174" s="553">
        <v>45437</v>
      </c>
      <c r="B174" s="549">
        <v>73</v>
      </c>
      <c r="C174" s="554">
        <v>349.7</v>
      </c>
      <c r="D174" s="14"/>
      <c r="E174" s="421">
        <f t="shared" si="10"/>
        <v>1948.5</v>
      </c>
      <c r="F174" s="552"/>
    </row>
    <row r="175" ht="20.25" spans="1:6">
      <c r="A175" s="555">
        <v>45437</v>
      </c>
      <c r="B175" s="556"/>
      <c r="C175" s="557"/>
      <c r="D175" s="15">
        <v>1948.5</v>
      </c>
      <c r="E175" s="558">
        <f t="shared" si="10"/>
        <v>0</v>
      </c>
      <c r="F175" s="552"/>
    </row>
    <row r="178" ht="28" customHeight="1" spans="1:6">
      <c r="A178" s="518" t="s">
        <v>274</v>
      </c>
      <c r="B178" s="519"/>
      <c r="C178" s="520"/>
      <c r="D178" s="521"/>
      <c r="E178" s="522"/>
      <c r="F178" s="522"/>
    </row>
    <row r="179" ht="22.5" spans="1:6">
      <c r="A179" s="523"/>
      <c r="B179" s="524" t="s">
        <v>275</v>
      </c>
      <c r="C179" s="525"/>
      <c r="D179" s="526" t="s">
        <v>276</v>
      </c>
      <c r="E179" s="527" t="s">
        <v>277</v>
      </c>
      <c r="F179" s="528"/>
    </row>
    <row r="180" ht="30" customHeight="1" spans="1:6">
      <c r="A180" s="529"/>
      <c r="B180" s="530">
        <f>SUM(C183:C201)</f>
        <v>25157.9</v>
      </c>
      <c r="C180" s="531"/>
      <c r="D180" s="437">
        <f>SUM(D183:D201)</f>
        <v>25157.9</v>
      </c>
      <c r="E180" s="532">
        <f>B180-D180</f>
        <v>0</v>
      </c>
      <c r="F180" s="528"/>
    </row>
    <row r="181" ht="22.5" spans="1:6">
      <c r="A181" s="529"/>
      <c r="B181" s="533"/>
      <c r="C181" s="534"/>
      <c r="D181" s="441"/>
      <c r="E181" s="535"/>
      <c r="F181" s="528"/>
    </row>
    <row r="182" ht="18.75" spans="1:6">
      <c r="A182" s="536" t="s">
        <v>1</v>
      </c>
      <c r="B182" s="537" t="s">
        <v>271</v>
      </c>
      <c r="C182" s="538" t="s">
        <v>147</v>
      </c>
      <c r="D182" s="539" t="s">
        <v>148</v>
      </c>
      <c r="E182" s="537" t="s">
        <v>272</v>
      </c>
      <c r="F182" s="540" t="s">
        <v>7</v>
      </c>
    </row>
    <row r="183" ht="18.75" spans="1:6">
      <c r="A183" s="541">
        <v>45390</v>
      </c>
      <c r="B183" s="18">
        <v>21</v>
      </c>
      <c r="C183" s="542">
        <v>3054.09</v>
      </c>
      <c r="D183" s="539"/>
      <c r="E183" s="21">
        <f>SUM(C183-D183)</f>
        <v>3054.09</v>
      </c>
      <c r="F183" s="513"/>
    </row>
    <row r="184" ht="18.75" spans="1:6">
      <c r="A184" s="541">
        <v>45390</v>
      </c>
      <c r="B184" s="18">
        <v>22</v>
      </c>
      <c r="C184" s="542">
        <v>159.72</v>
      </c>
      <c r="D184" s="539"/>
      <c r="E184" s="21">
        <f>SUM(E183+C184-D184)</f>
        <v>3213.81</v>
      </c>
      <c r="F184" s="513"/>
    </row>
    <row r="185" ht="18.75" spans="1:6">
      <c r="A185" s="541">
        <v>45390</v>
      </c>
      <c r="B185" s="18">
        <v>23</v>
      </c>
      <c r="C185" s="542">
        <v>1014.1</v>
      </c>
      <c r="D185" s="539"/>
      <c r="E185" s="21">
        <f t="shared" ref="E185:E225" si="11">SUM(E184+C185-D185)</f>
        <v>4227.91</v>
      </c>
      <c r="F185" s="513"/>
    </row>
    <row r="186" ht="18.75" spans="1:6">
      <c r="A186" s="541">
        <v>45391</v>
      </c>
      <c r="B186" s="18">
        <v>30</v>
      </c>
      <c r="C186" s="542">
        <v>4644</v>
      </c>
      <c r="D186" s="539"/>
      <c r="E186" s="21">
        <f t="shared" si="11"/>
        <v>8871.91</v>
      </c>
      <c r="F186" s="513"/>
    </row>
    <row r="187" ht="18.75" spans="1:6">
      <c r="A187" s="541">
        <v>45392</v>
      </c>
      <c r="B187" s="18">
        <v>32</v>
      </c>
      <c r="C187" s="542">
        <v>967.35</v>
      </c>
      <c r="D187" s="539"/>
      <c r="E187" s="21">
        <f t="shared" si="11"/>
        <v>9839.26</v>
      </c>
      <c r="F187" s="513"/>
    </row>
    <row r="188" ht="18.75" spans="1:6">
      <c r="A188" s="541">
        <v>45393</v>
      </c>
      <c r="B188" s="18">
        <v>38</v>
      </c>
      <c r="C188" s="542">
        <v>1780</v>
      </c>
      <c r="D188" s="539"/>
      <c r="E188" s="21">
        <f t="shared" si="11"/>
        <v>11619.26</v>
      </c>
      <c r="F188" s="513"/>
    </row>
    <row r="189" ht="18.75" spans="1:6">
      <c r="A189" s="543">
        <v>45394</v>
      </c>
      <c r="B189" s="544"/>
      <c r="C189" s="545"/>
      <c r="D189" s="546">
        <v>11619.26</v>
      </c>
      <c r="E189" s="547">
        <f t="shared" si="11"/>
        <v>0</v>
      </c>
      <c r="F189" s="513"/>
    </row>
    <row r="190" ht="18.75" spans="1:6">
      <c r="A190" s="541">
        <v>45398</v>
      </c>
      <c r="B190" s="18">
        <v>54</v>
      </c>
      <c r="C190" s="542">
        <v>1248.95</v>
      </c>
      <c r="D190" s="539"/>
      <c r="E190" s="21">
        <f t="shared" si="11"/>
        <v>1248.95</v>
      </c>
      <c r="F190" s="513"/>
    </row>
    <row r="191" ht="18.75" spans="1:6">
      <c r="A191" s="541">
        <v>45398</v>
      </c>
      <c r="B191" s="18">
        <v>55</v>
      </c>
      <c r="C191" s="542">
        <v>905.51</v>
      </c>
      <c r="D191" s="539"/>
      <c r="E191" s="21">
        <f t="shared" si="11"/>
        <v>2154.46</v>
      </c>
      <c r="F191" s="513"/>
    </row>
    <row r="192" ht="18.75" spans="1:6">
      <c r="A192" s="541">
        <v>45398</v>
      </c>
      <c r="B192" s="18">
        <v>56</v>
      </c>
      <c r="C192" s="542">
        <v>2685</v>
      </c>
      <c r="D192" s="539"/>
      <c r="E192" s="21">
        <f t="shared" si="11"/>
        <v>4839.46</v>
      </c>
      <c r="F192" s="513"/>
    </row>
    <row r="193" ht="18.75" spans="1:6">
      <c r="A193" s="541">
        <v>45400</v>
      </c>
      <c r="B193" s="18">
        <v>61</v>
      </c>
      <c r="C193" s="542">
        <v>3845</v>
      </c>
      <c r="D193" s="539"/>
      <c r="E193" s="21">
        <f t="shared" si="11"/>
        <v>8684.46</v>
      </c>
      <c r="F193" s="513"/>
    </row>
    <row r="194" ht="18.75" spans="1:6">
      <c r="A194" s="543">
        <v>45400</v>
      </c>
      <c r="B194" s="544"/>
      <c r="C194" s="545"/>
      <c r="D194" s="546">
        <v>8684.46</v>
      </c>
      <c r="E194" s="547">
        <f t="shared" si="11"/>
        <v>0</v>
      </c>
      <c r="F194" s="513"/>
    </row>
    <row r="195" ht="18.75" spans="1:6">
      <c r="A195" s="541">
        <v>45402</v>
      </c>
      <c r="B195" s="18">
        <v>72</v>
      </c>
      <c r="C195" s="542">
        <v>204.21</v>
      </c>
      <c r="D195" s="539"/>
      <c r="E195" s="21">
        <f t="shared" si="11"/>
        <v>204.21</v>
      </c>
      <c r="F195" s="513"/>
    </row>
    <row r="196" ht="18.75" spans="1:6">
      <c r="A196" s="541">
        <v>45411</v>
      </c>
      <c r="B196" s="18">
        <v>99</v>
      </c>
      <c r="C196" s="542">
        <v>99.74</v>
      </c>
      <c r="D196" s="539"/>
      <c r="E196" s="21">
        <f t="shared" si="11"/>
        <v>303.95</v>
      </c>
      <c r="F196" s="513"/>
    </row>
    <row r="197" ht="18.75" spans="1:6">
      <c r="A197" s="541">
        <v>45411</v>
      </c>
      <c r="B197" s="18">
        <v>100</v>
      </c>
      <c r="C197" s="542">
        <v>28.07</v>
      </c>
      <c r="D197" s="539"/>
      <c r="E197" s="21">
        <f t="shared" si="11"/>
        <v>332.02</v>
      </c>
      <c r="F197" s="513"/>
    </row>
    <row r="198" ht="18.75" spans="1:6">
      <c r="A198" s="541">
        <v>45411</v>
      </c>
      <c r="B198" s="18">
        <v>101</v>
      </c>
      <c r="C198" s="542">
        <v>149.61</v>
      </c>
      <c r="D198" s="539"/>
      <c r="E198" s="21">
        <f t="shared" si="11"/>
        <v>481.63</v>
      </c>
      <c r="F198" s="513"/>
    </row>
    <row r="199" ht="18.75" spans="1:6">
      <c r="A199" s="541">
        <v>45411</v>
      </c>
      <c r="B199" s="18">
        <v>102</v>
      </c>
      <c r="C199" s="542">
        <v>122.55</v>
      </c>
      <c r="D199" s="539"/>
      <c r="E199" s="21">
        <f t="shared" si="11"/>
        <v>604.18</v>
      </c>
      <c r="F199" s="513"/>
    </row>
    <row r="200" ht="18.75" spans="1:6">
      <c r="A200" s="541">
        <v>45412</v>
      </c>
      <c r="B200" s="18">
        <v>109</v>
      </c>
      <c r="C200" s="542">
        <v>4250</v>
      </c>
      <c r="D200" s="539"/>
      <c r="E200" s="21">
        <f t="shared" si="11"/>
        <v>4854.18</v>
      </c>
      <c r="F200" s="513"/>
    </row>
    <row r="201" ht="18.75" spans="1:6">
      <c r="A201" s="543">
        <v>45412</v>
      </c>
      <c r="B201" s="544"/>
      <c r="C201" s="545"/>
      <c r="D201" s="546">
        <v>4854.18</v>
      </c>
      <c r="E201" s="21">
        <f t="shared" si="11"/>
        <v>0</v>
      </c>
      <c r="F201" s="513"/>
    </row>
    <row r="202" ht="18.75" spans="1:6">
      <c r="A202" s="541"/>
      <c r="B202" s="18"/>
      <c r="C202" s="542"/>
      <c r="D202" s="539"/>
      <c r="E202" s="21"/>
      <c r="F202" s="513"/>
    </row>
    <row r="203" ht="28" customHeight="1" spans="1:6">
      <c r="A203" s="559" t="s">
        <v>278</v>
      </c>
      <c r="B203" s="560"/>
      <c r="C203" s="561"/>
      <c r="D203" s="562"/>
      <c r="E203" s="563"/>
      <c r="F203" s="563"/>
    </row>
    <row r="204" ht="22.5" spans="1:6">
      <c r="A204" s="523"/>
      <c r="B204" s="524" t="s">
        <v>279</v>
      </c>
      <c r="C204" s="525"/>
      <c r="D204" s="526" t="s">
        <v>280</v>
      </c>
      <c r="E204" s="527" t="s">
        <v>281</v>
      </c>
      <c r="F204" s="528"/>
    </row>
    <row r="205" ht="30" customHeight="1" spans="1:6">
      <c r="A205" s="529"/>
      <c r="B205" s="530">
        <f>SUM(C208:C225)</f>
        <v>41674.33</v>
      </c>
      <c r="C205" s="531"/>
      <c r="D205" s="437">
        <f>SUM(D208:D225)</f>
        <v>41674.33</v>
      </c>
      <c r="E205" s="564">
        <f>B205-D205</f>
        <v>0</v>
      </c>
      <c r="F205" s="528"/>
    </row>
    <row r="206" ht="22.5" spans="1:6">
      <c r="A206" s="529"/>
      <c r="B206" s="533"/>
      <c r="C206" s="534"/>
      <c r="D206" s="441"/>
      <c r="E206" s="565"/>
      <c r="F206" s="528"/>
    </row>
    <row r="207" ht="18.75" spans="1:6">
      <c r="A207" s="536" t="s">
        <v>1</v>
      </c>
      <c r="B207" s="537" t="s">
        <v>271</v>
      </c>
      <c r="C207" s="538" t="s">
        <v>282</v>
      </c>
      <c r="D207" s="539" t="s">
        <v>147</v>
      </c>
      <c r="E207" s="537" t="s">
        <v>283</v>
      </c>
      <c r="F207" s="540" t="s">
        <v>7</v>
      </c>
    </row>
    <row r="208" ht="18.75" spans="1:6">
      <c r="A208" s="541">
        <v>45357</v>
      </c>
      <c r="B208" s="18">
        <v>14</v>
      </c>
      <c r="C208" s="542">
        <v>655.3</v>
      </c>
      <c r="D208" s="539"/>
      <c r="E208" s="21">
        <f>SUM(C208-D208)</f>
        <v>655.3</v>
      </c>
      <c r="F208" s="513"/>
    </row>
    <row r="209" ht="23" customHeight="1" spans="1:6">
      <c r="A209" s="541">
        <v>45357</v>
      </c>
      <c r="B209" s="18">
        <v>15</v>
      </c>
      <c r="C209" s="542">
        <v>729.8</v>
      </c>
      <c r="D209" s="539"/>
      <c r="E209" s="21">
        <f t="shared" ref="E209:E216" si="12">SUM(E208+C209-D209)</f>
        <v>1385.1</v>
      </c>
      <c r="F209" s="513"/>
    </row>
    <row r="210" customFormat="1" ht="23" customHeight="1" spans="1:6">
      <c r="A210" s="541">
        <v>45359</v>
      </c>
      <c r="B210" s="18">
        <v>18</v>
      </c>
      <c r="C210" s="542">
        <v>10190.44</v>
      </c>
      <c r="D210" s="539"/>
      <c r="E210" s="21">
        <f t="shared" si="12"/>
        <v>11575.54</v>
      </c>
      <c r="F210" s="513"/>
    </row>
    <row r="211" customFormat="1" ht="23" customHeight="1" spans="1:6">
      <c r="A211" s="541">
        <v>45360</v>
      </c>
      <c r="B211" s="18">
        <v>23</v>
      </c>
      <c r="C211" s="542">
        <v>307</v>
      </c>
      <c r="D211" s="539"/>
      <c r="E211" s="21">
        <f t="shared" si="12"/>
        <v>11882.54</v>
      </c>
      <c r="F211" s="513"/>
    </row>
    <row r="212" customFormat="1" ht="23" customHeight="1" spans="1:6">
      <c r="A212" s="541">
        <v>45362</v>
      </c>
      <c r="B212" s="18">
        <v>31</v>
      </c>
      <c r="C212" s="542">
        <v>3585</v>
      </c>
      <c r="D212" s="539"/>
      <c r="E212" s="21">
        <f t="shared" si="12"/>
        <v>15467.54</v>
      </c>
      <c r="F212" s="513"/>
    </row>
    <row r="213" customFormat="1" ht="23" customHeight="1" spans="1:6">
      <c r="A213" s="543">
        <v>45362</v>
      </c>
      <c r="B213" s="544"/>
      <c r="C213" s="545"/>
      <c r="D213" s="546">
        <v>15467.54</v>
      </c>
      <c r="E213" s="547">
        <f t="shared" si="12"/>
        <v>0</v>
      </c>
      <c r="F213" s="513"/>
    </row>
    <row r="214" customFormat="1" ht="23" customHeight="1" spans="1:6">
      <c r="A214" s="541">
        <v>45365</v>
      </c>
      <c r="B214" s="18">
        <v>43</v>
      </c>
      <c r="C214" s="542">
        <v>435</v>
      </c>
      <c r="D214" s="546">
        <v>435</v>
      </c>
      <c r="E214" s="21">
        <f t="shared" si="12"/>
        <v>0</v>
      </c>
      <c r="F214" s="206" t="s">
        <v>284</v>
      </c>
    </row>
    <row r="215" customFormat="1" ht="23" customHeight="1" spans="1:6">
      <c r="A215" s="541">
        <v>45371</v>
      </c>
      <c r="B215" s="18">
        <v>58</v>
      </c>
      <c r="C215" s="566">
        <v>1720</v>
      </c>
      <c r="D215" s="539"/>
      <c r="E215" s="21">
        <f t="shared" si="12"/>
        <v>1720</v>
      </c>
      <c r="F215" s="513"/>
    </row>
    <row r="216" customFormat="1" ht="23" customHeight="1" spans="1:6">
      <c r="A216" s="541">
        <v>45377</v>
      </c>
      <c r="B216" s="18">
        <v>68</v>
      </c>
      <c r="C216" s="542">
        <v>6371.3</v>
      </c>
      <c r="D216" s="539"/>
      <c r="E216" s="21">
        <f t="shared" si="12"/>
        <v>8091.3</v>
      </c>
      <c r="F216" s="513"/>
    </row>
    <row r="217" customFormat="1" ht="23" customHeight="1" spans="1:6">
      <c r="A217" s="541">
        <v>45377</v>
      </c>
      <c r="B217" s="18">
        <v>69</v>
      </c>
      <c r="C217" s="542">
        <v>6994.6</v>
      </c>
      <c r="D217" s="539"/>
      <c r="E217" s="21">
        <f t="shared" ref="E217:E225" si="13">SUM(E216+C217-D217)</f>
        <v>15085.9</v>
      </c>
      <c r="F217" s="513"/>
    </row>
    <row r="218" customFormat="1" ht="23" customHeight="1" spans="1:6">
      <c r="A218" s="541">
        <v>45377</v>
      </c>
      <c r="B218" s="18">
        <v>70</v>
      </c>
      <c r="C218" s="542">
        <v>4695.54</v>
      </c>
      <c r="D218" s="539"/>
      <c r="E218" s="21">
        <f t="shared" si="13"/>
        <v>19781.44</v>
      </c>
      <c r="F218" s="513"/>
    </row>
    <row r="219" customFormat="1" ht="23" customHeight="1" spans="1:6">
      <c r="A219" s="541">
        <v>45377</v>
      </c>
      <c r="B219" s="18">
        <v>71</v>
      </c>
      <c r="C219" s="542">
        <v>1576.1</v>
      </c>
      <c r="D219" s="539"/>
      <c r="E219" s="21">
        <f t="shared" si="13"/>
        <v>21357.54</v>
      </c>
      <c r="F219" s="513"/>
    </row>
    <row r="220" customFormat="1" ht="23" customHeight="1" spans="1:6">
      <c r="A220" s="541">
        <v>45377</v>
      </c>
      <c r="B220" s="18">
        <v>72</v>
      </c>
      <c r="C220" s="542">
        <v>781.7</v>
      </c>
      <c r="D220" s="539"/>
      <c r="E220" s="21">
        <f t="shared" si="13"/>
        <v>22139.24</v>
      </c>
      <c r="F220" s="513"/>
    </row>
    <row r="221" customFormat="1" ht="23" customHeight="1" spans="1:6">
      <c r="A221" s="541">
        <v>45377</v>
      </c>
      <c r="B221" s="18">
        <v>73</v>
      </c>
      <c r="C221" s="542">
        <v>2317.12</v>
      </c>
      <c r="D221" s="539"/>
      <c r="E221" s="21">
        <f t="shared" si="13"/>
        <v>24456.36</v>
      </c>
      <c r="F221" s="513"/>
    </row>
    <row r="222" customFormat="1" ht="23" customHeight="1" spans="1:6">
      <c r="A222" s="541">
        <v>45377</v>
      </c>
      <c r="B222" s="18">
        <v>74</v>
      </c>
      <c r="C222" s="542">
        <v>854.89</v>
      </c>
      <c r="D222" s="539"/>
      <c r="E222" s="21">
        <f t="shared" si="13"/>
        <v>25311.25</v>
      </c>
      <c r="F222" s="513"/>
    </row>
    <row r="223" customFormat="1" ht="23" customHeight="1" spans="1:6">
      <c r="A223" s="541">
        <v>45377</v>
      </c>
      <c r="B223" s="18">
        <v>75</v>
      </c>
      <c r="C223" s="542">
        <v>460.54</v>
      </c>
      <c r="D223" s="539"/>
      <c r="E223" s="21">
        <f t="shared" si="13"/>
        <v>25771.79</v>
      </c>
      <c r="F223" s="513"/>
    </row>
    <row r="224" customFormat="1" ht="23" customHeight="1" spans="1:6">
      <c r="A224" s="541">
        <v>45378</v>
      </c>
      <c r="B224" s="18"/>
      <c r="C224" s="542"/>
      <c r="D224" s="539">
        <v>25771.79</v>
      </c>
      <c r="E224" s="21">
        <f t="shared" si="13"/>
        <v>0</v>
      </c>
      <c r="F224" s="513" t="s">
        <v>285</v>
      </c>
    </row>
    <row r="225" customFormat="1" ht="23" customHeight="1" spans="1:9">
      <c r="A225" s="541"/>
      <c r="B225" s="18"/>
      <c r="C225" s="545"/>
      <c r="D225" s="539"/>
      <c r="E225" s="21">
        <f t="shared" si="13"/>
        <v>0</v>
      </c>
      <c r="F225" s="513"/>
    </row>
    <row r="226" ht="23" customHeight="1" spans="1:9">
      <c r="A226" s="559" t="s">
        <v>286</v>
      </c>
      <c r="B226" s="560"/>
      <c r="C226" s="561"/>
      <c r="D226" s="562"/>
      <c r="E226" s="563"/>
      <c r="F226" s="563"/>
    </row>
    <row r="227" ht="23" customHeight="1" spans="1:9">
      <c r="A227" s="523"/>
      <c r="B227" s="524" t="s">
        <v>279</v>
      </c>
      <c r="C227" s="525"/>
      <c r="D227" s="526"/>
      <c r="E227" s="527" t="s">
        <v>281</v>
      </c>
      <c r="F227" s="528"/>
    </row>
    <row r="228" ht="23" customHeight="1" spans="1:9">
      <c r="A228" s="529"/>
      <c r="B228" s="567">
        <f>SUM(C231:C263)</f>
        <v>51033.7</v>
      </c>
      <c r="C228" s="568"/>
      <c r="D228" s="526"/>
      <c r="E228" s="564" t="e">
        <f>SUM(B228-#REF!)</f>
        <v>#REF!</v>
      </c>
      <c r="F228" s="528"/>
    </row>
    <row r="229" ht="23" customHeight="1" spans="1:9">
      <c r="A229" s="529"/>
      <c r="B229" s="569"/>
      <c r="C229" s="570"/>
      <c r="D229" s="526"/>
      <c r="E229" s="565"/>
      <c r="F229" s="528"/>
    </row>
    <row r="230" ht="23" customHeight="1" spans="1:9">
      <c r="A230" s="536" t="s">
        <v>1</v>
      </c>
      <c r="B230" s="537" t="s">
        <v>271</v>
      </c>
      <c r="C230" s="538" t="s">
        <v>282</v>
      </c>
      <c r="D230" s="571" t="s">
        <v>147</v>
      </c>
      <c r="E230" s="537" t="s">
        <v>283</v>
      </c>
      <c r="F230" s="540" t="s">
        <v>7</v>
      </c>
      <c r="G230" s="349" t="s">
        <v>287</v>
      </c>
      <c r="I230" s="349"/>
    </row>
    <row r="231" s="153" customFormat="1" ht="23" customHeight="1" spans="1:9">
      <c r="A231" s="541">
        <v>45167</v>
      </c>
      <c r="B231" s="18">
        <v>45</v>
      </c>
      <c r="C231" s="542">
        <v>2122</v>
      </c>
      <c r="D231" s="539"/>
      <c r="E231" s="21">
        <f>SUM(C231-D231)</f>
        <v>2122</v>
      </c>
      <c r="F231" s="513"/>
    </row>
    <row r="232" ht="23" customHeight="1" spans="1:9">
      <c r="A232" s="541">
        <v>45173</v>
      </c>
      <c r="B232" s="18">
        <v>8</v>
      </c>
      <c r="C232" s="545">
        <v>3625</v>
      </c>
      <c r="D232" s="539"/>
      <c r="E232" s="21">
        <f>SUM(E231+C232-D232)</f>
        <v>5747</v>
      </c>
      <c r="F232" s="513"/>
    </row>
    <row r="233" ht="23" customHeight="1" spans="1:9">
      <c r="A233" s="541">
        <v>45177</v>
      </c>
      <c r="B233" s="18">
        <v>17</v>
      </c>
      <c r="C233" s="542">
        <v>5443.4</v>
      </c>
      <c r="D233" s="539"/>
      <c r="E233" s="21">
        <f t="shared" ref="E233:E249" si="14">SUM(E232+C233-D233)</f>
        <v>11190.4</v>
      </c>
      <c r="F233" s="572"/>
    </row>
    <row r="234" ht="23" customHeight="1" spans="1:9">
      <c r="A234" s="541">
        <v>45177</v>
      </c>
      <c r="B234" s="18">
        <v>18</v>
      </c>
      <c r="C234" s="542">
        <v>4886.2</v>
      </c>
      <c r="D234" s="539"/>
      <c r="E234" s="21">
        <f t="shared" si="14"/>
        <v>16076.6</v>
      </c>
      <c r="F234" s="572"/>
    </row>
    <row r="235" ht="23" customHeight="1" spans="1:9">
      <c r="A235" s="541">
        <v>45177</v>
      </c>
      <c r="B235" s="18">
        <v>19</v>
      </c>
      <c r="C235" s="542">
        <v>4753</v>
      </c>
      <c r="D235" s="539"/>
      <c r="E235" s="21">
        <f t="shared" si="14"/>
        <v>20829.6</v>
      </c>
      <c r="F235" s="572"/>
    </row>
    <row r="236" ht="23" customHeight="1" spans="1:9">
      <c r="A236" s="541">
        <v>45177</v>
      </c>
      <c r="B236" s="18">
        <v>20</v>
      </c>
      <c r="C236" s="542">
        <v>3654</v>
      </c>
      <c r="D236" s="539"/>
      <c r="E236" s="21">
        <f t="shared" si="14"/>
        <v>24483.6</v>
      </c>
      <c r="F236" s="572"/>
    </row>
    <row r="237" ht="23" customHeight="1" spans="1:9">
      <c r="A237" s="541">
        <v>45195</v>
      </c>
      <c r="B237" s="18">
        <v>77</v>
      </c>
      <c r="C237" s="573">
        <v>580</v>
      </c>
      <c r="D237" s="539"/>
      <c r="E237" s="21">
        <f t="shared" si="14"/>
        <v>25063.6</v>
      </c>
      <c r="F237" s="572"/>
    </row>
    <row r="238" ht="18.75" spans="1:9">
      <c r="A238" s="574">
        <v>45173</v>
      </c>
      <c r="B238" s="544"/>
      <c r="C238" s="545"/>
      <c r="D238" s="546">
        <v>23625</v>
      </c>
      <c r="E238" s="21">
        <f t="shared" si="14"/>
        <v>1438.6</v>
      </c>
      <c r="F238" s="481" t="s">
        <v>288</v>
      </c>
    </row>
    <row r="239" ht="18.75" spans="1:9">
      <c r="A239" s="574">
        <v>45196</v>
      </c>
      <c r="B239" s="544"/>
      <c r="C239" s="545"/>
      <c r="D239" s="546">
        <v>1438.6</v>
      </c>
      <c r="E239" s="21">
        <f>E238-D239</f>
        <v>0</v>
      </c>
      <c r="F239" s="572"/>
    </row>
    <row r="240" ht="18.75" spans="1:9">
      <c r="A240" s="541">
        <v>45212</v>
      </c>
      <c r="B240" s="18">
        <v>21</v>
      </c>
      <c r="C240" s="542">
        <v>715</v>
      </c>
      <c r="D240" s="539"/>
      <c r="E240" s="21">
        <f>SUM(E239+C240-D240)</f>
        <v>715</v>
      </c>
      <c r="F240" s="572"/>
    </row>
    <row r="241" ht="18.75" spans="1:7">
      <c r="A241" s="541">
        <v>45223</v>
      </c>
      <c r="B241" s="18">
        <v>52</v>
      </c>
      <c r="C241" s="542">
        <v>4924.2</v>
      </c>
      <c r="D241" s="539"/>
      <c r="E241" s="21">
        <f>SUM(E240+C241-D241)</f>
        <v>5639.2</v>
      </c>
      <c r="F241" s="572"/>
    </row>
    <row r="242" ht="18.75" spans="1:7">
      <c r="A242" s="541">
        <v>45223</v>
      </c>
      <c r="B242" s="18">
        <v>53</v>
      </c>
      <c r="C242" s="542">
        <v>3955.3</v>
      </c>
      <c r="D242" s="539"/>
      <c r="E242" s="21">
        <f t="shared" si="14"/>
        <v>9594.5</v>
      </c>
      <c r="F242" s="572"/>
    </row>
    <row r="243" ht="18.75" spans="1:7">
      <c r="A243" s="541">
        <v>45225</v>
      </c>
      <c r="B243" s="18"/>
      <c r="C243" s="542"/>
      <c r="D243" s="539">
        <v>9594.5</v>
      </c>
      <c r="E243" s="21">
        <f t="shared" si="14"/>
        <v>0</v>
      </c>
      <c r="F243" s="572"/>
    </row>
    <row r="244" ht="18.75" spans="1:7">
      <c r="A244" s="541">
        <v>45226</v>
      </c>
      <c r="B244" s="18">
        <v>65</v>
      </c>
      <c r="C244" s="542">
        <v>2770</v>
      </c>
      <c r="D244" s="539"/>
      <c r="E244" s="575">
        <f t="shared" si="14"/>
        <v>2770</v>
      </c>
      <c r="F244" s="572"/>
    </row>
    <row r="245" ht="18.75" spans="1:7">
      <c r="A245" s="541">
        <v>45229</v>
      </c>
      <c r="B245" s="18">
        <v>73</v>
      </c>
      <c r="C245" s="542">
        <v>4283.2</v>
      </c>
      <c r="D245" s="539"/>
      <c r="E245" s="575">
        <f t="shared" si="14"/>
        <v>7053.2</v>
      </c>
      <c r="F245" s="572"/>
    </row>
    <row r="246" ht="18.75" spans="1:7">
      <c r="A246" s="541">
        <v>45229</v>
      </c>
      <c r="B246" s="18">
        <v>74</v>
      </c>
      <c r="C246" s="542">
        <v>2760.4</v>
      </c>
      <c r="D246" s="539"/>
      <c r="E246" s="575">
        <f t="shared" si="14"/>
        <v>9813.6</v>
      </c>
      <c r="F246" s="572"/>
    </row>
    <row r="247" ht="18.75" spans="1:7">
      <c r="A247" s="541">
        <v>45229</v>
      </c>
      <c r="B247" s="18">
        <v>75</v>
      </c>
      <c r="C247" s="542">
        <v>6343</v>
      </c>
      <c r="D247" s="539"/>
      <c r="E247" s="575">
        <f t="shared" si="14"/>
        <v>16156.6</v>
      </c>
      <c r="F247" s="572"/>
    </row>
    <row r="248" ht="18.75" spans="1:7">
      <c r="A248" s="541">
        <v>45229</v>
      </c>
      <c r="B248" s="18">
        <v>76</v>
      </c>
      <c r="C248" s="545">
        <v>219</v>
      </c>
      <c r="D248" s="539"/>
      <c r="E248" s="575">
        <f t="shared" si="14"/>
        <v>16375.6</v>
      </c>
      <c r="F248" s="576" t="s">
        <v>289</v>
      </c>
    </row>
    <row r="249" ht="18.75" spans="1:7">
      <c r="A249" s="574">
        <v>45230</v>
      </c>
      <c r="B249" s="544"/>
      <c r="C249" s="545"/>
      <c r="D249" s="546">
        <v>16376</v>
      </c>
      <c r="E249" s="575">
        <f t="shared" si="14"/>
        <v>-0.399999999999636</v>
      </c>
      <c r="F249" s="572"/>
    </row>
    <row r="250" ht="22.5" spans="1:7">
      <c r="A250" s="425" t="s">
        <v>290</v>
      </c>
      <c r="B250" s="426"/>
      <c r="C250" s="426"/>
      <c r="D250" s="427"/>
      <c r="E250" s="428"/>
      <c r="F250" s="428"/>
      <c r="G250" s="428"/>
    </row>
    <row r="251" spans="1:7">
      <c r="A251" s="429" t="s">
        <v>139</v>
      </c>
      <c r="B251" s="430" t="s">
        <v>140</v>
      </c>
      <c r="C251" s="7" t="s">
        <v>141</v>
      </c>
      <c r="D251" s="431" t="s">
        <v>142</v>
      </c>
      <c r="E251" s="432" t="s">
        <v>143</v>
      </c>
      <c r="F251" s="433" t="s">
        <v>144</v>
      </c>
      <c r="G251" s="434"/>
    </row>
    <row r="252" spans="1:7">
      <c r="A252" s="435"/>
      <c r="B252" s="436"/>
      <c r="C252" s="7"/>
      <c r="D252" s="437">
        <f>SUM(D255:D268)</f>
        <v>68062.25</v>
      </c>
      <c r="E252" s="437">
        <f>SUM(E255:E268)</f>
        <v>68062.25</v>
      </c>
      <c r="F252" s="439">
        <f>D252-E252</f>
        <v>0</v>
      </c>
      <c r="G252" s="440"/>
    </row>
    <row r="253" spans="1:7">
      <c r="A253" s="435"/>
      <c r="B253" s="436"/>
      <c r="C253" s="7"/>
      <c r="D253" s="441"/>
      <c r="E253" s="441"/>
      <c r="F253" s="443"/>
      <c r="G253" s="444"/>
    </row>
    <row r="254" spans="1:7">
      <c r="A254" s="445"/>
      <c r="B254" s="446"/>
      <c r="C254" s="7"/>
      <c r="D254" s="431" t="s">
        <v>147</v>
      </c>
      <c r="E254" s="9" t="s">
        <v>148</v>
      </c>
      <c r="F254" s="16" t="s">
        <v>149</v>
      </c>
      <c r="G254" s="9" t="s">
        <v>7</v>
      </c>
    </row>
    <row r="255" spans="1:7">
      <c r="A255" s="577">
        <v>45240</v>
      </c>
      <c r="B255" s="578">
        <v>24</v>
      </c>
      <c r="C255" s="579" t="s">
        <v>291</v>
      </c>
      <c r="D255" s="580">
        <v>217.5</v>
      </c>
      <c r="E255" s="581"/>
      <c r="F255" s="208">
        <f>D255-E255</f>
        <v>217.5</v>
      </c>
      <c r="G255" s="206"/>
    </row>
    <row r="256" spans="1:7">
      <c r="A256" s="577">
        <v>45240</v>
      </c>
      <c r="B256" s="578">
        <v>25</v>
      </c>
      <c r="C256" s="582" t="s">
        <v>292</v>
      </c>
      <c r="D256" s="583">
        <v>675</v>
      </c>
      <c r="E256" s="581"/>
      <c r="F256" s="208">
        <f t="shared" ref="F256:F268" si="15">F255+D256-E256</f>
        <v>892.5</v>
      </c>
      <c r="G256" s="206"/>
    </row>
    <row r="257" spans="1:7">
      <c r="A257" s="577">
        <v>45240</v>
      </c>
      <c r="B257" s="578">
        <v>26</v>
      </c>
      <c r="C257" s="582" t="s">
        <v>293</v>
      </c>
      <c r="D257" s="583">
        <v>6729.8</v>
      </c>
      <c r="E257" s="581"/>
      <c r="F257" s="208">
        <f t="shared" si="15"/>
        <v>7622.3</v>
      </c>
      <c r="G257" s="206"/>
    </row>
    <row r="258" spans="1:7">
      <c r="A258" s="577">
        <v>45246</v>
      </c>
      <c r="B258" s="578">
        <v>37</v>
      </c>
      <c r="C258" s="582" t="s">
        <v>294</v>
      </c>
      <c r="D258" s="583">
        <v>6862</v>
      </c>
      <c r="E258" s="581"/>
      <c r="F258" s="208">
        <f t="shared" si="15"/>
        <v>14484.3</v>
      </c>
      <c r="G258" s="206"/>
    </row>
    <row r="259" spans="1:7">
      <c r="A259" s="577">
        <v>45246</v>
      </c>
      <c r="B259" s="578">
        <v>38</v>
      </c>
      <c r="C259" s="582" t="s">
        <v>294</v>
      </c>
      <c r="D259" s="583">
        <v>13833.65</v>
      </c>
      <c r="E259" s="581"/>
      <c r="F259" s="208">
        <f t="shared" si="15"/>
        <v>28317.95</v>
      </c>
      <c r="G259" s="206"/>
    </row>
    <row r="260" spans="1:7">
      <c r="A260" s="577">
        <v>45246</v>
      </c>
      <c r="B260" s="578"/>
      <c r="C260" s="584" t="s">
        <v>190</v>
      </c>
      <c r="D260" s="585"/>
      <c r="E260" s="579">
        <v>17173</v>
      </c>
      <c r="F260" s="208">
        <f t="shared" si="15"/>
        <v>11144.95</v>
      </c>
      <c r="G260" s="206"/>
    </row>
    <row r="261" spans="1:7">
      <c r="A261" s="577">
        <v>45246</v>
      </c>
      <c r="B261" s="578"/>
      <c r="C261" s="579" t="s">
        <v>295</v>
      </c>
      <c r="D261" s="580"/>
      <c r="E261" s="579">
        <v>11144.4</v>
      </c>
      <c r="F261" s="208">
        <f t="shared" si="15"/>
        <v>0.549999999997453</v>
      </c>
      <c r="G261" s="206"/>
    </row>
    <row r="262" spans="1:7">
      <c r="A262" s="577">
        <v>45252</v>
      </c>
      <c r="B262" s="578">
        <v>54</v>
      </c>
      <c r="C262" s="582" t="s">
        <v>296</v>
      </c>
      <c r="D262" s="586">
        <v>7005.6</v>
      </c>
      <c r="E262" s="581"/>
      <c r="F262" s="208">
        <f t="shared" si="15"/>
        <v>7006.15</v>
      </c>
      <c r="G262" s="206"/>
    </row>
    <row r="263" spans="1:7">
      <c r="A263" s="577">
        <v>45254</v>
      </c>
      <c r="B263" s="578">
        <v>60</v>
      </c>
      <c r="C263" s="582" t="s">
        <v>297</v>
      </c>
      <c r="D263" s="586">
        <v>4848.2</v>
      </c>
      <c r="E263" s="587"/>
      <c r="F263" s="208">
        <f t="shared" si="15"/>
        <v>11854.35</v>
      </c>
      <c r="G263" s="206"/>
    </row>
    <row r="264" spans="1:7">
      <c r="A264" s="577">
        <v>45254</v>
      </c>
      <c r="B264" s="578">
        <v>61</v>
      </c>
      <c r="C264" s="582" t="s">
        <v>298</v>
      </c>
      <c r="D264" s="586">
        <v>1393.8</v>
      </c>
      <c r="E264" s="581"/>
      <c r="F264" s="208">
        <f t="shared" si="15"/>
        <v>13248.15</v>
      </c>
      <c r="G264" s="206"/>
    </row>
    <row r="265" spans="1:7">
      <c r="A265" s="577">
        <v>45254</v>
      </c>
      <c r="B265" s="578">
        <v>62</v>
      </c>
      <c r="C265" s="582" t="s">
        <v>294</v>
      </c>
      <c r="D265" s="586">
        <v>6685.9</v>
      </c>
      <c r="E265" s="582"/>
      <c r="F265" s="208">
        <f t="shared" si="15"/>
        <v>19934.05</v>
      </c>
      <c r="G265" s="206"/>
    </row>
    <row r="266" spans="1:7">
      <c r="A266" s="577">
        <v>45254</v>
      </c>
      <c r="B266" s="578">
        <v>63</v>
      </c>
      <c r="C266" s="582" t="s">
        <v>294</v>
      </c>
      <c r="D266" s="586">
        <v>12582.4</v>
      </c>
      <c r="E266" s="581"/>
      <c r="F266" s="208">
        <f t="shared" si="15"/>
        <v>32516.45</v>
      </c>
      <c r="G266" s="206"/>
    </row>
    <row r="267" spans="1:7">
      <c r="A267" s="577">
        <v>45254</v>
      </c>
      <c r="B267" s="578">
        <v>64</v>
      </c>
      <c r="C267" s="582" t="s">
        <v>299</v>
      </c>
      <c r="D267" s="586">
        <v>7228.4</v>
      </c>
      <c r="E267" s="581"/>
      <c r="F267" s="208">
        <f t="shared" si="15"/>
        <v>39744.85</v>
      </c>
      <c r="G267" s="206"/>
    </row>
    <row r="268" spans="1:7">
      <c r="A268" s="577">
        <v>45259</v>
      </c>
      <c r="B268" s="578"/>
      <c r="C268" s="582" t="s">
        <v>190</v>
      </c>
      <c r="D268" s="586"/>
      <c r="E268" s="581">
        <v>39744.85</v>
      </c>
      <c r="F268" s="208">
        <f t="shared" si="15"/>
        <v>0</v>
      </c>
      <c r="G268" s="206" t="s">
        <v>300</v>
      </c>
    </row>
  </sheetData>
  <autoFilter xmlns:etc="http://www.wps.cn/officeDocument/2017/etCustomData" ref="A91:L122" etc:filterBottomFollowUsedRange="0">
    <extLst/>
  </autoFilter>
  <mergeCells count="72">
    <mergeCell ref="A1:G1"/>
    <mergeCell ref="F2:G2"/>
    <mergeCell ref="A32:G32"/>
    <mergeCell ref="F33:G33"/>
    <mergeCell ref="A58:G58"/>
    <mergeCell ref="F59:G59"/>
    <mergeCell ref="A86:G86"/>
    <mergeCell ref="F87:G87"/>
    <mergeCell ref="A108:G108"/>
    <mergeCell ref="A109:G109"/>
    <mergeCell ref="A135:G135"/>
    <mergeCell ref="F136:G136"/>
    <mergeCell ref="A156:F156"/>
    <mergeCell ref="B157:C157"/>
    <mergeCell ref="A178:F178"/>
    <mergeCell ref="B179:C179"/>
    <mergeCell ref="A203:F203"/>
    <mergeCell ref="B204:C204"/>
    <mergeCell ref="A226:F226"/>
    <mergeCell ref="B227:C227"/>
    <mergeCell ref="A250:G250"/>
    <mergeCell ref="F251:G251"/>
    <mergeCell ref="A2:A5"/>
    <mergeCell ref="A33:A36"/>
    <mergeCell ref="A59:A62"/>
    <mergeCell ref="A87:A90"/>
    <mergeCell ref="A136:A139"/>
    <mergeCell ref="A251:A254"/>
    <mergeCell ref="B2:B5"/>
    <mergeCell ref="B33:B36"/>
    <mergeCell ref="B59:B62"/>
    <mergeCell ref="B87:B90"/>
    <mergeCell ref="B136:B139"/>
    <mergeCell ref="B251:B254"/>
    <mergeCell ref="C2:C5"/>
    <mergeCell ref="C33:C36"/>
    <mergeCell ref="C59:C62"/>
    <mergeCell ref="C87:C90"/>
    <mergeCell ref="C136:C139"/>
    <mergeCell ref="C251:C254"/>
    <mergeCell ref="D3:D4"/>
    <mergeCell ref="D34:D35"/>
    <mergeCell ref="D60:D61"/>
    <mergeCell ref="D88:D89"/>
    <mergeCell ref="D137:D138"/>
    <mergeCell ref="D158:D159"/>
    <mergeCell ref="D180:D181"/>
    <mergeCell ref="D205:D206"/>
    <mergeCell ref="D252:D253"/>
    <mergeCell ref="E3:E4"/>
    <mergeCell ref="E34:E35"/>
    <mergeCell ref="E60:E61"/>
    <mergeCell ref="E88:E89"/>
    <mergeCell ref="E137:E138"/>
    <mergeCell ref="E158:E159"/>
    <mergeCell ref="E180:E181"/>
    <mergeCell ref="E205:E206"/>
    <mergeCell ref="E228:E229"/>
    <mergeCell ref="E252:E253"/>
    <mergeCell ref="H20:H24"/>
    <mergeCell ref="H26:H28"/>
    <mergeCell ref="F3:G4"/>
    <mergeCell ref="B228:C229"/>
    <mergeCell ref="F34:G35"/>
    <mergeCell ref="F60:G61"/>
    <mergeCell ref="F88:G89"/>
    <mergeCell ref="F137:G138"/>
    <mergeCell ref="B205:C206"/>
    <mergeCell ref="B180:C181"/>
    <mergeCell ref="B158:C159"/>
    <mergeCell ref="A154:F155"/>
    <mergeCell ref="F252:G253"/>
  </mergeCells>
  <printOptions horizontalCentered="1"/>
  <pageMargins left="0.161111111111111" right="0.357638888888889" top="1" bottom="1" header="0.5" footer="0.5"/>
  <pageSetup paperSize="9" scale="85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34"/>
  <sheetViews>
    <sheetView topLeftCell="C1113" workbookViewId="0">
      <selection activeCell="J474" sqref="J474"/>
    </sheetView>
  </sheetViews>
  <sheetFormatPr defaultColWidth="9" defaultRowHeight="20.25"/>
  <cols>
    <col min="1" max="1" width="12.625" style="134"/>
    <col min="2" max="2" width="9.75" style="131" customWidth="1"/>
    <col min="3" max="3" width="12.625" style="131"/>
    <col min="4" max="4" width="2.875" style="131" customWidth="1"/>
    <col min="5" max="5" width="6" style="131" hidden="1" customWidth="1"/>
    <col min="6" max="6" width="43.25" style="131" customWidth="1"/>
    <col min="7" max="7" width="9" style="134"/>
    <col min="8" max="8" width="17.375" style="134"/>
    <col min="9" max="10" width="17" style="134" customWidth="1"/>
    <col min="11" max="11" width="16.75" style="134" customWidth="1"/>
    <col min="12" max="12" width="21.375" style="131" customWidth="1"/>
    <col min="13" max="13" width="20.25" style="131" customWidth="1"/>
    <col min="14" max="14" width="10.125" style="132" customWidth="1"/>
    <col min="15" max="15" width="11.75" customWidth="1"/>
    <col min="16" max="16" width="12.875" customWidth="1"/>
  </cols>
  <sheetData>
    <row r="1" s="13" customFormat="1" ht="15" customHeight="1" spans="1:14">
      <c r="A1" s="331" t="s">
        <v>301</v>
      </c>
      <c r="B1" s="273"/>
      <c r="C1" s="332" t="s">
        <v>301</v>
      </c>
      <c r="D1" s="272"/>
      <c r="E1" s="272"/>
      <c r="F1" s="152"/>
      <c r="G1" s="262"/>
      <c r="H1" s="262"/>
      <c r="I1" s="274"/>
      <c r="J1" s="275"/>
      <c r="K1" s="333" t="s">
        <v>302</v>
      </c>
      <c r="L1" s="334">
        <f>K11+K15+K20+K32+K42+K59+K70+K83+K95+K101+K106+K117+K129+K140+K151+K164+K169+K178+K187+K196+K207+K212+K229+K241+K249+K258+K268+K279+K284+K296+K306+K316+K327+K339+K350+K355+K359+K368+K378+K387</f>
        <v>14952.1156</v>
      </c>
      <c r="M1" s="335" t="s">
        <v>303</v>
      </c>
      <c r="N1" s="336">
        <f>SUM(K3:K390)</f>
        <v>73263.3805999999</v>
      </c>
    </row>
    <row r="2" s="13" customFormat="1" spans="1:14">
      <c r="A2" s="337" t="s">
        <v>1</v>
      </c>
      <c r="B2" s="337" t="s">
        <v>304</v>
      </c>
      <c r="C2" s="338" t="s">
        <v>305</v>
      </c>
      <c r="D2" s="338"/>
      <c r="E2" s="338"/>
      <c r="F2" s="338" t="s">
        <v>306</v>
      </c>
      <c r="G2" s="338" t="s">
        <v>113</v>
      </c>
      <c r="H2" s="338" t="s">
        <v>3</v>
      </c>
      <c r="I2" s="338" t="s">
        <v>5</v>
      </c>
      <c r="J2" s="338" t="s">
        <v>114</v>
      </c>
      <c r="K2" s="338" t="s">
        <v>115</v>
      </c>
      <c r="L2" s="338" t="s">
        <v>7</v>
      </c>
      <c r="M2" s="338" t="s">
        <v>303</v>
      </c>
      <c r="N2" s="276"/>
    </row>
    <row r="3" s="2" customFormat="1" spans="1:14">
      <c r="A3" s="126">
        <v>45357</v>
      </c>
      <c r="B3" s="127">
        <v>14</v>
      </c>
      <c r="C3" s="126">
        <v>45349</v>
      </c>
      <c r="D3" s="126"/>
      <c r="E3" s="126"/>
      <c r="F3" s="131" t="s">
        <v>307</v>
      </c>
      <c r="G3" s="134">
        <v>1</v>
      </c>
      <c r="H3" s="134">
        <v>40</v>
      </c>
      <c r="I3" s="136">
        <f t="shared" ref="I2:I13" si="0">G3*H3</f>
        <v>40</v>
      </c>
      <c r="J3" s="135"/>
      <c r="K3" s="135"/>
      <c r="L3" s="131"/>
      <c r="M3" s="131"/>
      <c r="N3" s="132"/>
    </row>
    <row r="4" s="2" customFormat="1" spans="1:14">
      <c r="A4" s="126">
        <v>45357</v>
      </c>
      <c r="B4" s="127">
        <v>14</v>
      </c>
      <c r="C4" s="126">
        <v>45349</v>
      </c>
      <c r="D4" s="126"/>
      <c r="E4" s="126"/>
      <c r="F4" s="131" t="s">
        <v>308</v>
      </c>
      <c r="G4" s="134">
        <v>1</v>
      </c>
      <c r="H4" s="134">
        <v>8</v>
      </c>
      <c r="I4" s="136">
        <f t="shared" si="0"/>
        <v>8</v>
      </c>
      <c r="J4" s="135">
        <v>12.6</v>
      </c>
      <c r="K4" s="135">
        <f t="shared" ref="K4:K12" si="1">I4*J4</f>
        <v>100.8</v>
      </c>
      <c r="L4" s="131"/>
      <c r="M4" s="131"/>
      <c r="N4" s="132"/>
    </row>
    <row r="5" s="2" customFormat="1" spans="1:14">
      <c r="A5" s="126">
        <v>45357</v>
      </c>
      <c r="B5" s="127">
        <v>14</v>
      </c>
      <c r="C5" s="126">
        <v>45349</v>
      </c>
      <c r="D5" s="126"/>
      <c r="E5" s="126"/>
      <c r="F5" s="131" t="s">
        <v>309</v>
      </c>
      <c r="G5" s="134">
        <v>1</v>
      </c>
      <c r="H5" s="134">
        <v>4</v>
      </c>
      <c r="I5" s="136">
        <f t="shared" si="0"/>
        <v>4</v>
      </c>
      <c r="J5" s="135">
        <v>18</v>
      </c>
      <c r="K5" s="135">
        <f t="shared" si="1"/>
        <v>72</v>
      </c>
      <c r="L5" s="131"/>
      <c r="M5" s="131"/>
      <c r="N5" s="132"/>
    </row>
    <row r="6" s="2" customFormat="1" spans="1:14">
      <c r="A6" s="126">
        <v>45357</v>
      </c>
      <c r="B6" s="127">
        <v>14</v>
      </c>
      <c r="C6" s="126">
        <v>45349</v>
      </c>
      <c r="D6" s="126"/>
      <c r="E6" s="126"/>
      <c r="F6" s="131" t="s">
        <v>120</v>
      </c>
      <c r="G6" s="134">
        <v>1</v>
      </c>
      <c r="H6" s="134">
        <v>1</v>
      </c>
      <c r="I6" s="136">
        <f t="shared" si="0"/>
        <v>1</v>
      </c>
      <c r="J6" s="135">
        <v>21</v>
      </c>
      <c r="K6" s="135">
        <f t="shared" si="1"/>
        <v>21</v>
      </c>
      <c r="L6" s="131"/>
      <c r="M6" s="131"/>
      <c r="N6" s="132"/>
    </row>
    <row r="7" s="2" customFormat="1" spans="1:14">
      <c r="A7" s="126">
        <v>45357</v>
      </c>
      <c r="B7" s="127">
        <v>14</v>
      </c>
      <c r="C7" s="126">
        <v>45349</v>
      </c>
      <c r="D7" s="126"/>
      <c r="E7" s="126"/>
      <c r="F7" s="131" t="s">
        <v>310</v>
      </c>
      <c r="G7" s="134">
        <v>1</v>
      </c>
      <c r="H7" s="134">
        <v>16</v>
      </c>
      <c r="I7" s="136">
        <f t="shared" si="0"/>
        <v>16</v>
      </c>
      <c r="J7" s="135">
        <v>0.6</v>
      </c>
      <c r="K7" s="135">
        <f t="shared" si="1"/>
        <v>9.6</v>
      </c>
      <c r="L7" s="131"/>
      <c r="M7" s="131"/>
      <c r="N7" s="132"/>
    </row>
    <row r="8" s="2" customFormat="1" spans="1:14">
      <c r="A8" s="126">
        <v>45357</v>
      </c>
      <c r="B8" s="127">
        <v>14</v>
      </c>
      <c r="C8" s="126">
        <v>45349</v>
      </c>
      <c r="D8" s="126"/>
      <c r="E8" s="126"/>
      <c r="F8" s="131" t="s">
        <v>311</v>
      </c>
      <c r="G8" s="134">
        <v>1</v>
      </c>
      <c r="H8" s="134">
        <v>8</v>
      </c>
      <c r="I8" s="136">
        <f t="shared" si="0"/>
        <v>8</v>
      </c>
      <c r="J8" s="135">
        <v>8</v>
      </c>
      <c r="K8" s="135">
        <f t="shared" si="1"/>
        <v>64</v>
      </c>
      <c r="L8" s="131"/>
      <c r="M8" s="131"/>
      <c r="N8" s="132"/>
    </row>
    <row r="9" s="2" customFormat="1" spans="1:14">
      <c r="A9" s="126">
        <v>45357</v>
      </c>
      <c r="B9" s="127">
        <v>14</v>
      </c>
      <c r="C9" s="126">
        <v>45349</v>
      </c>
      <c r="D9" s="126"/>
      <c r="E9" s="126"/>
      <c r="F9" s="131" t="s">
        <v>312</v>
      </c>
      <c r="G9" s="134">
        <v>1</v>
      </c>
      <c r="H9" s="134">
        <v>3</v>
      </c>
      <c r="I9" s="136">
        <f t="shared" si="0"/>
        <v>3</v>
      </c>
      <c r="J9" s="135">
        <v>3.6</v>
      </c>
      <c r="K9" s="135">
        <f t="shared" si="1"/>
        <v>10.8</v>
      </c>
      <c r="L9" s="131"/>
      <c r="M9" s="131"/>
      <c r="N9" s="132"/>
    </row>
    <row r="10" s="2" customFormat="1" spans="1:14">
      <c r="A10" s="126">
        <v>45357</v>
      </c>
      <c r="B10" s="127">
        <v>14</v>
      </c>
      <c r="C10" s="126">
        <v>45349</v>
      </c>
      <c r="D10" s="126"/>
      <c r="E10" s="126"/>
      <c r="F10" s="131" t="s">
        <v>313</v>
      </c>
      <c r="G10" s="134">
        <v>1</v>
      </c>
      <c r="H10" s="134">
        <v>3</v>
      </c>
      <c r="I10" s="136">
        <f t="shared" si="0"/>
        <v>3</v>
      </c>
      <c r="J10" s="135">
        <v>45</v>
      </c>
      <c r="K10" s="135">
        <f t="shared" si="1"/>
        <v>135</v>
      </c>
      <c r="L10" s="131"/>
      <c r="M10" s="131"/>
      <c r="N10" s="132"/>
    </row>
    <row r="11" s="2" customFormat="1" spans="1:14">
      <c r="A11" s="126">
        <v>45357</v>
      </c>
      <c r="B11" s="127">
        <v>14</v>
      </c>
      <c r="C11" s="126">
        <v>45349</v>
      </c>
      <c r="D11" s="126"/>
      <c r="E11" s="126"/>
      <c r="F11" s="254" t="s">
        <v>314</v>
      </c>
      <c r="G11" s="139">
        <v>1</v>
      </c>
      <c r="H11" s="139">
        <f>SUM(H3:H10)</f>
        <v>83</v>
      </c>
      <c r="I11" s="114">
        <f t="shared" si="0"/>
        <v>83</v>
      </c>
      <c r="J11" s="115">
        <v>2.3</v>
      </c>
      <c r="K11" s="115">
        <f t="shared" si="1"/>
        <v>190.9</v>
      </c>
      <c r="L11" s="131" t="s">
        <v>315</v>
      </c>
      <c r="M11" s="131"/>
      <c r="N11" s="132"/>
    </row>
    <row r="12" s="2" customFormat="1" spans="1:14">
      <c r="A12" s="126">
        <v>45357</v>
      </c>
      <c r="B12" s="127">
        <v>14</v>
      </c>
      <c r="C12" s="126">
        <v>45349</v>
      </c>
      <c r="D12" s="126"/>
      <c r="E12" s="126"/>
      <c r="F12" s="131" t="s">
        <v>316</v>
      </c>
      <c r="G12" s="134">
        <v>4</v>
      </c>
      <c r="H12" s="134">
        <v>1</v>
      </c>
      <c r="I12" s="136">
        <f t="shared" si="0"/>
        <v>4</v>
      </c>
      <c r="J12" s="135">
        <v>12.8</v>
      </c>
      <c r="K12" s="271">
        <f t="shared" si="1"/>
        <v>51.2</v>
      </c>
      <c r="L12" s="131">
        <f>SUM(K3:K12)</f>
        <v>655.3</v>
      </c>
      <c r="M12" s="131"/>
      <c r="N12" s="132"/>
    </row>
    <row r="13" s="1" customFormat="1" spans="1:14">
      <c r="A13" s="51">
        <v>45357</v>
      </c>
      <c r="B13" s="105">
        <v>15</v>
      </c>
      <c r="C13" s="51">
        <v>45349</v>
      </c>
      <c r="D13" s="51"/>
      <c r="E13" s="51"/>
      <c r="F13" s="110" t="s">
        <v>311</v>
      </c>
      <c r="G13" s="107">
        <v>1</v>
      </c>
      <c r="H13" s="107">
        <v>10</v>
      </c>
      <c r="I13" s="108">
        <f t="shared" si="0"/>
        <v>10</v>
      </c>
      <c r="J13" s="109">
        <v>8</v>
      </c>
      <c r="K13" s="135">
        <f t="shared" ref="K13:K21" si="2">I13*J13</f>
        <v>80</v>
      </c>
      <c r="L13" s="110"/>
      <c r="M13" s="110"/>
      <c r="N13" s="111"/>
    </row>
    <row r="14" s="1" customFormat="1" spans="1:14">
      <c r="A14" s="51">
        <v>45357</v>
      </c>
      <c r="B14" s="105">
        <v>15</v>
      </c>
      <c r="C14" s="51">
        <v>45349</v>
      </c>
      <c r="D14" s="51"/>
      <c r="E14" s="51"/>
      <c r="F14" s="110" t="s">
        <v>312</v>
      </c>
      <c r="G14" s="107">
        <v>1</v>
      </c>
      <c r="H14" s="107">
        <v>5</v>
      </c>
      <c r="I14" s="108">
        <f t="shared" ref="I14:I31" si="3">G14*H14</f>
        <v>5</v>
      </c>
      <c r="J14" s="109">
        <v>3.6</v>
      </c>
      <c r="K14" s="135">
        <f t="shared" si="2"/>
        <v>18</v>
      </c>
      <c r="L14" s="110"/>
      <c r="M14" s="110"/>
      <c r="N14" s="111"/>
    </row>
    <row r="15" s="1" customFormat="1" spans="1:14">
      <c r="A15" s="51">
        <v>45357</v>
      </c>
      <c r="B15" s="105">
        <v>15</v>
      </c>
      <c r="C15" s="51">
        <v>45349</v>
      </c>
      <c r="D15" s="51"/>
      <c r="E15" s="51"/>
      <c r="F15" s="254" t="s">
        <v>317</v>
      </c>
      <c r="G15" s="139">
        <v>1</v>
      </c>
      <c r="H15" s="139">
        <f>SUM(H13:H14)</f>
        <v>15</v>
      </c>
      <c r="I15" s="114">
        <f t="shared" si="3"/>
        <v>15</v>
      </c>
      <c r="J15" s="115">
        <v>0.7</v>
      </c>
      <c r="K15" s="115">
        <f t="shared" si="2"/>
        <v>10.5</v>
      </c>
      <c r="L15" s="110"/>
      <c r="M15" s="110"/>
      <c r="N15" s="111"/>
    </row>
    <row r="16" s="1" customFormat="1" spans="1:14">
      <c r="A16" s="51">
        <v>45357</v>
      </c>
      <c r="B16" s="105">
        <v>15</v>
      </c>
      <c r="C16" s="51">
        <v>45349</v>
      </c>
      <c r="D16" s="51"/>
      <c r="E16" s="51"/>
      <c r="F16" s="110" t="s">
        <v>316</v>
      </c>
      <c r="G16" s="107">
        <v>1</v>
      </c>
      <c r="H16" s="107">
        <v>1</v>
      </c>
      <c r="I16" s="108">
        <f t="shared" si="3"/>
        <v>1</v>
      </c>
      <c r="J16" s="109">
        <v>12</v>
      </c>
      <c r="K16" s="339">
        <f t="shared" si="2"/>
        <v>12</v>
      </c>
      <c r="L16" s="110"/>
      <c r="M16" s="110"/>
      <c r="N16" s="111"/>
    </row>
    <row r="17" s="1" customFormat="1" spans="1:14">
      <c r="A17" s="51">
        <v>45357</v>
      </c>
      <c r="B17" s="105">
        <v>15</v>
      </c>
      <c r="C17" s="126">
        <v>45357</v>
      </c>
      <c r="D17" s="126"/>
      <c r="E17" s="126"/>
      <c r="F17" s="110" t="s">
        <v>311</v>
      </c>
      <c r="G17" s="107">
        <v>6</v>
      </c>
      <c r="H17" s="107">
        <v>3</v>
      </c>
      <c r="I17" s="108">
        <f t="shared" si="3"/>
        <v>18</v>
      </c>
      <c r="J17" s="109">
        <v>8</v>
      </c>
      <c r="K17" s="135">
        <f t="shared" si="2"/>
        <v>144</v>
      </c>
      <c r="L17" s="110"/>
      <c r="M17" s="110"/>
      <c r="N17" s="111"/>
    </row>
    <row r="18" s="1" customFormat="1" spans="1:14">
      <c r="A18" s="51">
        <v>45357</v>
      </c>
      <c r="B18" s="105">
        <v>15</v>
      </c>
      <c r="C18" s="126">
        <v>45357</v>
      </c>
      <c r="D18" s="126"/>
      <c r="E18" s="126"/>
      <c r="F18" s="110" t="s">
        <v>312</v>
      </c>
      <c r="G18" s="107">
        <v>6</v>
      </c>
      <c r="H18" s="107">
        <v>4.5</v>
      </c>
      <c r="I18" s="108">
        <f t="shared" si="3"/>
        <v>27</v>
      </c>
      <c r="J18" s="109">
        <v>6.4</v>
      </c>
      <c r="K18" s="135">
        <f t="shared" si="2"/>
        <v>172.8</v>
      </c>
      <c r="L18" s="110"/>
      <c r="M18" s="110"/>
      <c r="N18" s="111"/>
    </row>
    <row r="19" s="1" customFormat="1" spans="1:14">
      <c r="A19" s="51">
        <v>45357</v>
      </c>
      <c r="B19" s="105">
        <v>15</v>
      </c>
      <c r="C19" s="126">
        <v>45357</v>
      </c>
      <c r="D19" s="126"/>
      <c r="E19" s="126"/>
      <c r="F19" s="110" t="s">
        <v>318</v>
      </c>
      <c r="G19" s="107">
        <v>6</v>
      </c>
      <c r="H19" s="107">
        <v>7.5</v>
      </c>
      <c r="I19" s="108">
        <f t="shared" si="3"/>
        <v>45</v>
      </c>
      <c r="J19" s="109">
        <v>3.5</v>
      </c>
      <c r="K19" s="135">
        <f t="shared" si="2"/>
        <v>157.5</v>
      </c>
      <c r="L19" s="110"/>
      <c r="M19" s="110"/>
      <c r="N19" s="111"/>
    </row>
    <row r="20" s="1" customFormat="1" spans="1:14">
      <c r="A20" s="51">
        <v>45357</v>
      </c>
      <c r="B20" s="105">
        <v>15</v>
      </c>
      <c r="C20" s="126">
        <v>45357</v>
      </c>
      <c r="D20" s="126"/>
      <c r="E20" s="126"/>
      <c r="F20" s="254" t="s">
        <v>317</v>
      </c>
      <c r="G20" s="139">
        <v>6</v>
      </c>
      <c r="H20" s="139">
        <f>SUM(H17:H19)</f>
        <v>15</v>
      </c>
      <c r="I20" s="114">
        <f t="shared" si="3"/>
        <v>90</v>
      </c>
      <c r="J20" s="115">
        <v>0.7</v>
      </c>
      <c r="K20" s="115">
        <f t="shared" si="2"/>
        <v>63</v>
      </c>
      <c r="L20" s="110" t="s">
        <v>319</v>
      </c>
      <c r="M20" s="110"/>
      <c r="N20" s="111"/>
    </row>
    <row r="21" s="1" customFormat="1" spans="1:14">
      <c r="A21" s="51">
        <v>45357</v>
      </c>
      <c r="B21" s="105">
        <v>15</v>
      </c>
      <c r="C21" s="51">
        <v>45357</v>
      </c>
      <c r="D21" s="51"/>
      <c r="E21" s="51"/>
      <c r="F21" s="110" t="s">
        <v>316</v>
      </c>
      <c r="G21" s="107">
        <v>6</v>
      </c>
      <c r="H21" s="107">
        <v>1</v>
      </c>
      <c r="I21" s="108">
        <f t="shared" si="3"/>
        <v>6</v>
      </c>
      <c r="J21" s="109">
        <v>12</v>
      </c>
      <c r="K21" s="271">
        <f t="shared" si="2"/>
        <v>72</v>
      </c>
      <c r="L21" s="110">
        <f>SUM(K13:K21)</f>
        <v>729.8</v>
      </c>
      <c r="M21" s="110"/>
      <c r="N21" s="111"/>
    </row>
    <row r="22" s="2" customFormat="1" spans="1:14">
      <c r="A22" s="126">
        <v>45359</v>
      </c>
      <c r="B22" s="127">
        <v>18</v>
      </c>
      <c r="C22" s="126">
        <v>45358</v>
      </c>
      <c r="D22" s="126"/>
      <c r="E22" s="126"/>
      <c r="F22" s="131" t="s">
        <v>307</v>
      </c>
      <c r="G22" s="134">
        <v>1</v>
      </c>
      <c r="H22" s="134">
        <v>299</v>
      </c>
      <c r="I22" s="136">
        <f t="shared" si="3"/>
        <v>299</v>
      </c>
      <c r="J22" s="135"/>
      <c r="K22" s="135"/>
      <c r="L22" s="131"/>
      <c r="M22" s="131"/>
      <c r="N22" s="132"/>
    </row>
    <row r="23" s="2" customFormat="1" spans="1:14">
      <c r="A23" s="126">
        <v>45359</v>
      </c>
      <c r="B23" s="127">
        <v>18</v>
      </c>
      <c r="C23" s="126">
        <v>45358</v>
      </c>
      <c r="D23" s="126"/>
      <c r="E23" s="126"/>
      <c r="F23" s="131" t="s">
        <v>308</v>
      </c>
      <c r="G23" s="134">
        <v>1</v>
      </c>
      <c r="H23" s="134">
        <v>46</v>
      </c>
      <c r="I23" s="136">
        <f t="shared" si="3"/>
        <v>46</v>
      </c>
      <c r="J23" s="135">
        <v>12.6</v>
      </c>
      <c r="K23" s="135">
        <f t="shared" ref="K23:K31" si="4">I23*J23</f>
        <v>579.6</v>
      </c>
      <c r="L23" s="131"/>
      <c r="M23" s="131"/>
      <c r="N23" s="132"/>
    </row>
    <row r="24" s="2" customFormat="1" spans="1:14">
      <c r="A24" s="126">
        <v>45359</v>
      </c>
      <c r="B24" s="127">
        <v>18</v>
      </c>
      <c r="C24" s="126">
        <v>45358</v>
      </c>
      <c r="D24" s="126"/>
      <c r="E24" s="126"/>
      <c r="F24" s="131" t="s">
        <v>309</v>
      </c>
      <c r="G24" s="134">
        <v>1</v>
      </c>
      <c r="H24" s="134">
        <v>87</v>
      </c>
      <c r="I24" s="136">
        <f t="shared" si="3"/>
        <v>87</v>
      </c>
      <c r="J24" s="135">
        <v>18</v>
      </c>
      <c r="K24" s="135">
        <f t="shared" si="4"/>
        <v>1566</v>
      </c>
      <c r="L24" s="131"/>
      <c r="M24" s="131"/>
      <c r="N24" s="132"/>
    </row>
    <row r="25" s="2" customFormat="1" spans="1:14">
      <c r="A25" s="126">
        <v>45359</v>
      </c>
      <c r="B25" s="127">
        <v>18</v>
      </c>
      <c r="C25" s="126">
        <v>45358</v>
      </c>
      <c r="D25" s="126"/>
      <c r="E25" s="126"/>
      <c r="F25" s="131" t="s">
        <v>120</v>
      </c>
      <c r="G25" s="134">
        <v>1</v>
      </c>
      <c r="H25" s="134">
        <v>16</v>
      </c>
      <c r="I25" s="136">
        <f t="shared" si="3"/>
        <v>16</v>
      </c>
      <c r="J25" s="135">
        <v>21</v>
      </c>
      <c r="K25" s="135">
        <f t="shared" si="4"/>
        <v>336</v>
      </c>
      <c r="L25" s="131"/>
      <c r="M25" s="131"/>
      <c r="N25" s="132"/>
    </row>
    <row r="26" s="2" customFormat="1" spans="1:14">
      <c r="A26" s="126">
        <v>45359</v>
      </c>
      <c r="B26" s="127">
        <v>18</v>
      </c>
      <c r="C26" s="126">
        <v>45358</v>
      </c>
      <c r="D26" s="126"/>
      <c r="E26" s="126"/>
      <c r="F26" s="131" t="s">
        <v>310</v>
      </c>
      <c r="G26" s="134">
        <v>1</v>
      </c>
      <c r="H26" s="134">
        <v>162</v>
      </c>
      <c r="I26" s="136">
        <f t="shared" si="3"/>
        <v>162</v>
      </c>
      <c r="J26" s="135">
        <v>0.6</v>
      </c>
      <c r="K26" s="135">
        <f t="shared" si="4"/>
        <v>97.2</v>
      </c>
      <c r="L26" s="131"/>
      <c r="M26" s="131"/>
      <c r="N26" s="132"/>
    </row>
    <row r="27" s="2" customFormat="1" spans="1:14">
      <c r="A27" s="126">
        <v>45359</v>
      </c>
      <c r="B27" s="127">
        <v>18</v>
      </c>
      <c r="C27" s="126">
        <v>45358</v>
      </c>
      <c r="D27" s="126"/>
      <c r="E27" s="126"/>
      <c r="F27" s="131" t="s">
        <v>311</v>
      </c>
      <c r="G27" s="134">
        <v>1</v>
      </c>
      <c r="H27" s="134">
        <v>281</v>
      </c>
      <c r="I27" s="136">
        <f t="shared" si="3"/>
        <v>281</v>
      </c>
      <c r="J27" s="135">
        <v>8</v>
      </c>
      <c r="K27" s="135">
        <f t="shared" si="4"/>
        <v>2248</v>
      </c>
      <c r="L27" s="131"/>
      <c r="M27" s="131"/>
      <c r="N27" s="132"/>
    </row>
    <row r="28" s="2" customFormat="1" spans="1:14">
      <c r="A28" s="126">
        <v>45359</v>
      </c>
      <c r="B28" s="127">
        <v>18</v>
      </c>
      <c r="C28" s="126">
        <v>45358</v>
      </c>
      <c r="D28" s="126"/>
      <c r="E28" s="126"/>
      <c r="F28" s="131" t="s">
        <v>312</v>
      </c>
      <c r="G28" s="134">
        <v>1</v>
      </c>
      <c r="H28" s="134">
        <v>184</v>
      </c>
      <c r="I28" s="136">
        <f t="shared" si="3"/>
        <v>184</v>
      </c>
      <c r="J28" s="135">
        <v>3.6</v>
      </c>
      <c r="K28" s="135">
        <f t="shared" si="4"/>
        <v>662.4</v>
      </c>
      <c r="L28" s="131"/>
      <c r="M28" s="131"/>
      <c r="N28" s="132"/>
    </row>
    <row r="29" s="2" customFormat="1" spans="1:14">
      <c r="A29" s="126">
        <v>45359</v>
      </c>
      <c r="B29" s="127">
        <v>18</v>
      </c>
      <c r="C29" s="126">
        <v>45358</v>
      </c>
      <c r="D29" s="126"/>
      <c r="E29" s="126"/>
      <c r="F29" s="131" t="s">
        <v>125</v>
      </c>
      <c r="G29" s="134">
        <v>1</v>
      </c>
      <c r="H29" s="134">
        <v>0.8</v>
      </c>
      <c r="I29" s="136">
        <f t="shared" ref="I29:I61" si="5">G29*H29</f>
        <v>0.8</v>
      </c>
      <c r="J29" s="135">
        <v>25</v>
      </c>
      <c r="K29" s="135">
        <f t="shared" si="4"/>
        <v>20</v>
      </c>
      <c r="L29" s="137" t="s">
        <v>320</v>
      </c>
      <c r="M29" s="131"/>
      <c r="N29" s="132"/>
    </row>
    <row r="30" s="2" customFormat="1" spans="1:14">
      <c r="A30" s="126">
        <v>45359</v>
      </c>
      <c r="B30" s="127">
        <v>18</v>
      </c>
      <c r="C30" s="126">
        <v>45358</v>
      </c>
      <c r="D30" s="126"/>
      <c r="E30" s="126"/>
      <c r="F30" s="131" t="s">
        <v>313</v>
      </c>
      <c r="G30" s="134">
        <v>1</v>
      </c>
      <c r="H30" s="134">
        <v>25</v>
      </c>
      <c r="I30" s="136">
        <f t="shared" si="5"/>
        <v>25</v>
      </c>
      <c r="J30" s="135">
        <v>45</v>
      </c>
      <c r="K30" s="135">
        <f t="shared" ref="K30:K50" si="6">I30*J30</f>
        <v>1125</v>
      </c>
      <c r="L30" s="131" t="s">
        <v>321</v>
      </c>
      <c r="M30" s="131" t="s">
        <v>322</v>
      </c>
      <c r="N30" s="132"/>
    </row>
    <row r="31" s="2" customFormat="1" spans="1:14">
      <c r="A31" s="126">
        <v>45359</v>
      </c>
      <c r="B31" s="127">
        <v>18</v>
      </c>
      <c r="C31" s="126">
        <v>45358</v>
      </c>
      <c r="D31" s="126"/>
      <c r="E31" s="126"/>
      <c r="F31" s="131" t="s">
        <v>323</v>
      </c>
      <c r="G31" s="134">
        <v>1</v>
      </c>
      <c r="H31" s="134">
        <v>12</v>
      </c>
      <c r="I31" s="136">
        <f t="shared" si="5"/>
        <v>12</v>
      </c>
      <c r="J31" s="135">
        <v>18</v>
      </c>
      <c r="K31" s="135">
        <f t="shared" si="6"/>
        <v>216</v>
      </c>
      <c r="L31" s="131" t="s">
        <v>324</v>
      </c>
      <c r="M31" s="131"/>
      <c r="N31" s="132"/>
    </row>
    <row r="32" s="2" customFormat="1" spans="1:14">
      <c r="A32" s="126">
        <v>45359</v>
      </c>
      <c r="B32" s="127">
        <v>18</v>
      </c>
      <c r="C32" s="126">
        <v>45358</v>
      </c>
      <c r="D32" s="126"/>
      <c r="E32" s="126"/>
      <c r="F32" s="254" t="s">
        <v>325</v>
      </c>
      <c r="G32" s="139">
        <v>1</v>
      </c>
      <c r="H32" s="139">
        <f>SUM(H22:H31)</f>
        <v>1112.8</v>
      </c>
      <c r="I32" s="114">
        <f t="shared" si="5"/>
        <v>1112.8</v>
      </c>
      <c r="J32" s="115">
        <v>2.3</v>
      </c>
      <c r="K32" s="115">
        <f t="shared" si="6"/>
        <v>2559.44</v>
      </c>
      <c r="L32" s="137" t="s">
        <v>326</v>
      </c>
      <c r="M32" s="131"/>
      <c r="N32" s="132"/>
    </row>
    <row r="33" s="2" customFormat="1" spans="1:14">
      <c r="A33" s="126">
        <v>45359</v>
      </c>
      <c r="B33" s="127">
        <v>18</v>
      </c>
      <c r="C33" s="126">
        <v>45358</v>
      </c>
      <c r="D33" s="126"/>
      <c r="E33" s="126"/>
      <c r="F33" s="131" t="s">
        <v>316</v>
      </c>
      <c r="G33" s="134">
        <v>61</v>
      </c>
      <c r="H33" s="134">
        <v>1</v>
      </c>
      <c r="I33" s="136">
        <f t="shared" si="5"/>
        <v>61</v>
      </c>
      <c r="J33" s="135">
        <v>12.8</v>
      </c>
      <c r="K33" s="271">
        <f t="shared" si="6"/>
        <v>780.8</v>
      </c>
      <c r="L33" s="131">
        <f>SUM(K22:K33)</f>
        <v>10190.44</v>
      </c>
      <c r="M33" s="131"/>
      <c r="N33" s="132"/>
    </row>
    <row r="34" s="1" customFormat="1" spans="1:14">
      <c r="A34" s="51">
        <v>45360</v>
      </c>
      <c r="B34" s="105">
        <v>23</v>
      </c>
      <c r="C34" s="51">
        <v>45360</v>
      </c>
      <c r="D34" s="51"/>
      <c r="E34" s="51"/>
      <c r="F34" s="110" t="s">
        <v>307</v>
      </c>
      <c r="G34" s="107">
        <v>1</v>
      </c>
      <c r="H34" s="107">
        <v>20</v>
      </c>
      <c r="I34" s="108">
        <f t="shared" si="5"/>
        <v>20</v>
      </c>
      <c r="J34" s="109"/>
      <c r="K34" s="109"/>
      <c r="L34" s="110"/>
      <c r="M34" s="110"/>
      <c r="N34" s="111"/>
    </row>
    <row r="35" s="1" customFormat="1" spans="1:14">
      <c r="A35" s="51">
        <v>45360</v>
      </c>
      <c r="B35" s="105">
        <v>23</v>
      </c>
      <c r="C35" s="51">
        <v>45360</v>
      </c>
      <c r="D35" s="51"/>
      <c r="E35" s="51"/>
      <c r="F35" s="110" t="s">
        <v>308</v>
      </c>
      <c r="G35" s="107">
        <v>1</v>
      </c>
      <c r="H35" s="107">
        <v>4</v>
      </c>
      <c r="I35" s="108">
        <f t="shared" si="5"/>
        <v>4</v>
      </c>
      <c r="J35" s="109">
        <v>12.6</v>
      </c>
      <c r="K35" s="109">
        <f t="shared" si="6"/>
        <v>50.4</v>
      </c>
      <c r="L35" s="110"/>
      <c r="M35" s="110"/>
      <c r="N35" s="111"/>
    </row>
    <row r="36" s="1" customFormat="1" spans="1:14">
      <c r="A36" s="51">
        <v>45360</v>
      </c>
      <c r="B36" s="105">
        <v>23</v>
      </c>
      <c r="C36" s="51">
        <v>45360</v>
      </c>
      <c r="D36" s="51"/>
      <c r="E36" s="51"/>
      <c r="F36" s="110" t="s">
        <v>309</v>
      </c>
      <c r="G36" s="107">
        <v>1</v>
      </c>
      <c r="H36" s="107">
        <v>2</v>
      </c>
      <c r="I36" s="108">
        <f t="shared" si="5"/>
        <v>2</v>
      </c>
      <c r="J36" s="109">
        <v>18</v>
      </c>
      <c r="K36" s="109">
        <f t="shared" si="6"/>
        <v>36</v>
      </c>
      <c r="L36" s="110"/>
      <c r="M36" s="110"/>
      <c r="N36" s="111"/>
    </row>
    <row r="37" s="1" customFormat="1" spans="1:14">
      <c r="A37" s="51">
        <v>45360</v>
      </c>
      <c r="B37" s="105">
        <v>23</v>
      </c>
      <c r="C37" s="51">
        <v>45360</v>
      </c>
      <c r="D37" s="51"/>
      <c r="E37" s="51"/>
      <c r="F37" s="110" t="s">
        <v>120</v>
      </c>
      <c r="G37" s="107">
        <v>1</v>
      </c>
      <c r="H37" s="107">
        <v>0.5</v>
      </c>
      <c r="I37" s="108">
        <f t="shared" si="5"/>
        <v>0.5</v>
      </c>
      <c r="J37" s="109">
        <v>21</v>
      </c>
      <c r="K37" s="109">
        <f t="shared" si="6"/>
        <v>10.5</v>
      </c>
      <c r="L37" s="110"/>
      <c r="M37" s="110"/>
      <c r="N37" s="111"/>
    </row>
    <row r="38" s="1" customFormat="1" spans="1:14">
      <c r="A38" s="51">
        <v>45360</v>
      </c>
      <c r="B38" s="105">
        <v>23</v>
      </c>
      <c r="C38" s="51">
        <v>45360</v>
      </c>
      <c r="D38" s="51"/>
      <c r="E38" s="51"/>
      <c r="F38" s="110" t="s">
        <v>310</v>
      </c>
      <c r="G38" s="107">
        <v>1</v>
      </c>
      <c r="H38" s="107">
        <v>9</v>
      </c>
      <c r="I38" s="108">
        <f t="shared" si="5"/>
        <v>9</v>
      </c>
      <c r="J38" s="109">
        <v>0.6</v>
      </c>
      <c r="K38" s="109">
        <f t="shared" si="6"/>
        <v>5.4</v>
      </c>
      <c r="L38" s="110"/>
      <c r="M38" s="110"/>
      <c r="N38" s="111"/>
    </row>
    <row r="39" s="1" customFormat="1" spans="1:14">
      <c r="A39" s="51">
        <v>45360</v>
      </c>
      <c r="B39" s="105">
        <v>23</v>
      </c>
      <c r="C39" s="51">
        <v>45360</v>
      </c>
      <c r="D39" s="51"/>
      <c r="E39" s="51"/>
      <c r="F39" s="110" t="s">
        <v>311</v>
      </c>
      <c r="G39" s="107">
        <v>1</v>
      </c>
      <c r="H39" s="107">
        <v>2</v>
      </c>
      <c r="I39" s="108">
        <f t="shared" si="5"/>
        <v>2</v>
      </c>
      <c r="J39" s="109">
        <v>8</v>
      </c>
      <c r="K39" s="109">
        <f t="shared" si="6"/>
        <v>16</v>
      </c>
      <c r="L39" s="110"/>
      <c r="M39" s="110"/>
      <c r="N39" s="111"/>
    </row>
    <row r="40" s="1" customFormat="1" spans="1:14">
      <c r="A40" s="51">
        <v>45360</v>
      </c>
      <c r="B40" s="105">
        <v>23</v>
      </c>
      <c r="C40" s="51">
        <v>45360</v>
      </c>
      <c r="D40" s="51"/>
      <c r="E40" s="51"/>
      <c r="F40" s="110" t="s">
        <v>312</v>
      </c>
      <c r="G40" s="107">
        <v>1</v>
      </c>
      <c r="H40" s="107">
        <v>1</v>
      </c>
      <c r="I40" s="108">
        <f t="shared" si="5"/>
        <v>1</v>
      </c>
      <c r="J40" s="109">
        <v>3.6</v>
      </c>
      <c r="K40" s="109">
        <f t="shared" si="6"/>
        <v>3.6</v>
      </c>
      <c r="L40" s="110"/>
      <c r="M40" s="110"/>
      <c r="N40" s="111"/>
    </row>
    <row r="41" s="1" customFormat="1" spans="1:14">
      <c r="A41" s="51">
        <v>45360</v>
      </c>
      <c r="B41" s="105">
        <v>23</v>
      </c>
      <c r="C41" s="51">
        <v>45360</v>
      </c>
      <c r="D41" s="51"/>
      <c r="E41" s="51"/>
      <c r="F41" s="110" t="s">
        <v>313</v>
      </c>
      <c r="G41" s="107">
        <v>1</v>
      </c>
      <c r="H41" s="107">
        <v>1.5</v>
      </c>
      <c r="I41" s="108">
        <f t="shared" si="5"/>
        <v>1.5</v>
      </c>
      <c r="J41" s="109">
        <v>45</v>
      </c>
      <c r="K41" s="109">
        <f t="shared" si="6"/>
        <v>67.5</v>
      </c>
      <c r="L41" s="110"/>
      <c r="M41" s="110"/>
      <c r="N41" s="111"/>
    </row>
    <row r="42" s="1" customFormat="1" spans="1:14">
      <c r="A42" s="51">
        <v>45360</v>
      </c>
      <c r="B42" s="105">
        <v>23</v>
      </c>
      <c r="C42" s="51">
        <v>45360</v>
      </c>
      <c r="D42" s="51"/>
      <c r="E42" s="51"/>
      <c r="F42" s="254" t="s">
        <v>314</v>
      </c>
      <c r="G42" s="139">
        <v>1</v>
      </c>
      <c r="H42" s="139">
        <f>SUM(H34:H41)</f>
        <v>40</v>
      </c>
      <c r="I42" s="114">
        <f t="shared" si="5"/>
        <v>40</v>
      </c>
      <c r="J42" s="115">
        <v>2.3</v>
      </c>
      <c r="K42" s="115">
        <f t="shared" si="6"/>
        <v>92</v>
      </c>
      <c r="L42" s="110" t="s">
        <v>315</v>
      </c>
      <c r="M42" s="110"/>
      <c r="N42" s="111"/>
    </row>
    <row r="43" s="1" customFormat="1" ht="18" customHeight="1" spans="1:14">
      <c r="A43" s="51">
        <v>45360</v>
      </c>
      <c r="B43" s="105">
        <v>23</v>
      </c>
      <c r="C43" s="51">
        <v>45360</v>
      </c>
      <c r="D43" s="51"/>
      <c r="E43" s="51"/>
      <c r="F43" s="110" t="s">
        <v>316</v>
      </c>
      <c r="G43" s="107">
        <v>2</v>
      </c>
      <c r="H43" s="107">
        <v>1</v>
      </c>
      <c r="I43" s="108">
        <f t="shared" si="5"/>
        <v>2</v>
      </c>
      <c r="J43" s="109">
        <v>12.8</v>
      </c>
      <c r="K43" s="271">
        <f t="shared" si="6"/>
        <v>25.6</v>
      </c>
      <c r="L43" s="110">
        <f>SUM(K34:K43)</f>
        <v>307</v>
      </c>
      <c r="M43" s="110"/>
      <c r="N43" s="111"/>
    </row>
    <row r="44" s="2" customFormat="1" spans="1:14">
      <c r="A44" s="126">
        <v>45362</v>
      </c>
      <c r="B44" s="127">
        <v>31</v>
      </c>
      <c r="C44" s="126">
        <v>45362</v>
      </c>
      <c r="D44" s="126"/>
      <c r="E44" s="126"/>
      <c r="F44" s="131" t="s">
        <v>327</v>
      </c>
      <c r="G44" s="134">
        <v>9</v>
      </c>
      <c r="H44" s="134">
        <v>20</v>
      </c>
      <c r="I44" s="136">
        <f t="shared" si="5"/>
        <v>180</v>
      </c>
      <c r="J44" s="135">
        <v>14.5</v>
      </c>
      <c r="K44" s="135">
        <f t="shared" si="6"/>
        <v>2610</v>
      </c>
      <c r="L44" s="131" t="s">
        <v>328</v>
      </c>
      <c r="M44" s="131"/>
      <c r="N44" s="132"/>
    </row>
    <row r="45" s="2" customFormat="1" spans="1:14">
      <c r="A45" s="126">
        <v>45362</v>
      </c>
      <c r="B45" s="127">
        <v>31</v>
      </c>
      <c r="C45" s="126">
        <v>45362</v>
      </c>
      <c r="D45" s="126"/>
      <c r="E45" s="126"/>
      <c r="F45" s="131" t="s">
        <v>329</v>
      </c>
      <c r="G45" s="134">
        <v>5</v>
      </c>
      <c r="H45" s="134">
        <v>10</v>
      </c>
      <c r="I45" s="136">
        <f t="shared" si="5"/>
        <v>50</v>
      </c>
      <c r="J45" s="135">
        <v>14.5</v>
      </c>
      <c r="K45" s="135">
        <f t="shared" si="6"/>
        <v>725</v>
      </c>
      <c r="L45" s="131"/>
      <c r="M45" s="131"/>
      <c r="N45" s="132"/>
    </row>
    <row r="46" s="2" customFormat="1" spans="1:14">
      <c r="A46" s="126">
        <v>45362</v>
      </c>
      <c r="B46" s="127">
        <v>31</v>
      </c>
      <c r="C46" s="126">
        <v>45362</v>
      </c>
      <c r="D46" s="126"/>
      <c r="E46" s="126"/>
      <c r="F46" s="137" t="s">
        <v>330</v>
      </c>
      <c r="G46" s="134">
        <v>1</v>
      </c>
      <c r="H46" s="134">
        <v>20</v>
      </c>
      <c r="I46" s="136">
        <f t="shared" si="5"/>
        <v>20</v>
      </c>
      <c r="J46" s="135">
        <v>14.5</v>
      </c>
      <c r="K46" s="135">
        <f t="shared" si="6"/>
        <v>290</v>
      </c>
      <c r="L46" s="340" t="s">
        <v>331</v>
      </c>
      <c r="M46" s="131"/>
      <c r="N46" s="132"/>
    </row>
    <row r="47" s="2" customFormat="1" spans="1:14">
      <c r="A47" s="126">
        <v>45362</v>
      </c>
      <c r="B47" s="127">
        <v>31</v>
      </c>
      <c r="C47" s="126">
        <v>45362</v>
      </c>
      <c r="D47" s="126"/>
      <c r="E47" s="126"/>
      <c r="F47" s="131" t="s">
        <v>332</v>
      </c>
      <c r="G47" s="134">
        <v>-5</v>
      </c>
      <c r="H47" s="134">
        <v>1</v>
      </c>
      <c r="I47" s="136">
        <f t="shared" si="5"/>
        <v>-5</v>
      </c>
      <c r="J47" s="135">
        <v>8</v>
      </c>
      <c r="K47" s="135">
        <f t="shared" si="6"/>
        <v>-40</v>
      </c>
      <c r="L47" s="118">
        <f>SUM(K44:K47)</f>
        <v>3585</v>
      </c>
      <c r="M47" s="131"/>
      <c r="N47" s="132"/>
    </row>
    <row r="48" s="1" customFormat="1" spans="1:14">
      <c r="A48" s="51">
        <v>45365</v>
      </c>
      <c r="B48" s="105">
        <v>43</v>
      </c>
      <c r="C48" s="51">
        <v>45365</v>
      </c>
      <c r="D48" s="51"/>
      <c r="E48" s="51"/>
      <c r="F48" s="110" t="s">
        <v>333</v>
      </c>
      <c r="G48" s="107">
        <v>3</v>
      </c>
      <c r="H48" s="107">
        <v>10</v>
      </c>
      <c r="I48" s="108">
        <f t="shared" si="5"/>
        <v>30</v>
      </c>
      <c r="J48" s="109">
        <v>14.5</v>
      </c>
      <c r="K48" s="109">
        <f t="shared" si="6"/>
        <v>435</v>
      </c>
      <c r="L48" s="110"/>
      <c r="M48" s="110" t="s">
        <v>334</v>
      </c>
      <c r="N48" s="111"/>
    </row>
    <row r="49" s="327" customFormat="1" spans="1:14">
      <c r="A49" s="341">
        <v>45371</v>
      </c>
      <c r="B49" s="342">
        <v>58</v>
      </c>
      <c r="C49" s="341">
        <v>45371</v>
      </c>
      <c r="D49" s="341"/>
      <c r="E49" s="341"/>
      <c r="F49" s="343" t="s">
        <v>335</v>
      </c>
      <c r="G49" s="344">
        <v>5</v>
      </c>
      <c r="H49" s="344">
        <v>20</v>
      </c>
      <c r="I49" s="345">
        <f t="shared" si="5"/>
        <v>100</v>
      </c>
      <c r="J49" s="346">
        <v>14.5</v>
      </c>
      <c r="K49" s="346">
        <f t="shared" si="6"/>
        <v>1450</v>
      </c>
      <c r="L49" s="137" t="s">
        <v>336</v>
      </c>
      <c r="M49" s="343"/>
      <c r="N49" s="347"/>
    </row>
    <row r="50" s="327" customFormat="1" spans="1:14">
      <c r="A50" s="341">
        <v>45371</v>
      </c>
      <c r="B50" s="342">
        <v>58</v>
      </c>
      <c r="C50" s="341">
        <v>45371</v>
      </c>
      <c r="D50" s="341"/>
      <c r="E50" s="341"/>
      <c r="F50" s="343" t="s">
        <v>337</v>
      </c>
      <c r="G50" s="344">
        <v>2</v>
      </c>
      <c r="H50" s="344">
        <v>15</v>
      </c>
      <c r="I50" s="345">
        <f t="shared" si="5"/>
        <v>30</v>
      </c>
      <c r="J50" s="346">
        <v>9</v>
      </c>
      <c r="K50" s="346">
        <f t="shared" si="6"/>
        <v>270</v>
      </c>
      <c r="L50" s="118">
        <f>SUM(K49:K50)</f>
        <v>1720</v>
      </c>
      <c r="M50" s="343" t="s">
        <v>338</v>
      </c>
      <c r="N50" s="347"/>
    </row>
    <row r="51" s="1" customFormat="1" spans="1:14">
      <c r="A51" s="51">
        <v>45377</v>
      </c>
      <c r="B51" s="105">
        <v>68</v>
      </c>
      <c r="C51" s="51">
        <v>45374</v>
      </c>
      <c r="D51" s="51"/>
      <c r="E51" s="51"/>
      <c r="F51" s="110" t="s">
        <v>307</v>
      </c>
      <c r="G51" s="107">
        <v>1</v>
      </c>
      <c r="H51" s="107">
        <v>193</v>
      </c>
      <c r="I51" s="108">
        <f t="shared" si="5"/>
        <v>193</v>
      </c>
      <c r="J51" s="109"/>
      <c r="K51" s="109"/>
      <c r="L51" s="110"/>
      <c r="M51" s="110"/>
      <c r="N51" s="111"/>
    </row>
    <row r="52" s="1" customFormat="1" spans="1:14">
      <c r="A52" s="51">
        <v>45377</v>
      </c>
      <c r="B52" s="105">
        <v>68</v>
      </c>
      <c r="C52" s="51">
        <v>45374</v>
      </c>
      <c r="D52" s="51"/>
      <c r="E52" s="51"/>
      <c r="F52" s="110" t="s">
        <v>308</v>
      </c>
      <c r="G52" s="107">
        <v>1</v>
      </c>
      <c r="H52" s="107">
        <v>35</v>
      </c>
      <c r="I52" s="108">
        <f t="shared" si="5"/>
        <v>35</v>
      </c>
      <c r="J52" s="109"/>
      <c r="K52" s="109"/>
      <c r="L52" s="110"/>
      <c r="M52" s="110"/>
      <c r="N52" s="111"/>
    </row>
    <row r="53" s="1" customFormat="1" spans="1:14">
      <c r="A53" s="51">
        <v>45377</v>
      </c>
      <c r="B53" s="105">
        <v>68</v>
      </c>
      <c r="C53" s="51">
        <v>45374</v>
      </c>
      <c r="D53" s="51"/>
      <c r="E53" s="51"/>
      <c r="F53" s="110" t="s">
        <v>120</v>
      </c>
      <c r="G53" s="107">
        <v>1</v>
      </c>
      <c r="H53" s="107">
        <v>12</v>
      </c>
      <c r="I53" s="108">
        <f t="shared" si="5"/>
        <v>12</v>
      </c>
      <c r="J53" s="109">
        <v>21</v>
      </c>
      <c r="K53" s="109">
        <f>I53*J53</f>
        <v>252</v>
      </c>
      <c r="L53" s="110"/>
      <c r="M53" s="110"/>
      <c r="N53" s="111"/>
    </row>
    <row r="54" s="1" customFormat="1" spans="1:14">
      <c r="A54" s="51">
        <v>45377</v>
      </c>
      <c r="B54" s="105">
        <v>68</v>
      </c>
      <c r="C54" s="51">
        <v>45374</v>
      </c>
      <c r="D54" s="51"/>
      <c r="E54" s="51"/>
      <c r="F54" s="110" t="s">
        <v>339</v>
      </c>
      <c r="G54" s="107">
        <v>1</v>
      </c>
      <c r="H54" s="107">
        <v>100</v>
      </c>
      <c r="I54" s="108">
        <f t="shared" si="5"/>
        <v>100</v>
      </c>
      <c r="J54" s="109">
        <v>0.2</v>
      </c>
      <c r="K54" s="109">
        <f t="shared" ref="K54:K60" si="7">I54*J54</f>
        <v>20</v>
      </c>
      <c r="L54" s="110"/>
      <c r="M54" s="110"/>
      <c r="N54" s="111"/>
    </row>
    <row r="55" s="1" customFormat="1" spans="1:14">
      <c r="A55" s="51">
        <v>45377</v>
      </c>
      <c r="B55" s="105">
        <v>68</v>
      </c>
      <c r="C55" s="51">
        <v>45374</v>
      </c>
      <c r="D55" s="51"/>
      <c r="E55" s="51"/>
      <c r="F55" s="110" t="s">
        <v>311</v>
      </c>
      <c r="G55" s="107">
        <v>1</v>
      </c>
      <c r="H55" s="107">
        <v>190</v>
      </c>
      <c r="I55" s="108">
        <f t="shared" si="5"/>
        <v>190</v>
      </c>
      <c r="J55" s="109">
        <v>8.1</v>
      </c>
      <c r="K55" s="109">
        <f t="shared" si="7"/>
        <v>1539</v>
      </c>
      <c r="L55" s="110">
        <v>12.58</v>
      </c>
      <c r="M55" s="110"/>
      <c r="N55" s="111"/>
    </row>
    <row r="56" s="1" customFormat="1" spans="1:14">
      <c r="A56" s="51">
        <v>45377</v>
      </c>
      <c r="B56" s="105">
        <v>68</v>
      </c>
      <c r="C56" s="51">
        <v>45374</v>
      </c>
      <c r="D56" s="51"/>
      <c r="E56" s="51"/>
      <c r="F56" s="110" t="s">
        <v>312</v>
      </c>
      <c r="G56" s="107">
        <v>1</v>
      </c>
      <c r="H56" s="107">
        <v>122</v>
      </c>
      <c r="I56" s="108">
        <f t="shared" si="5"/>
        <v>122</v>
      </c>
      <c r="J56" s="109">
        <v>3.4</v>
      </c>
      <c r="K56" s="109">
        <f t="shared" si="7"/>
        <v>414.8</v>
      </c>
      <c r="L56" s="110"/>
      <c r="M56" s="110"/>
      <c r="N56" s="111"/>
    </row>
    <row r="57" s="1" customFormat="1" spans="1:14">
      <c r="A57" s="51">
        <v>45377</v>
      </c>
      <c r="B57" s="105">
        <v>68</v>
      </c>
      <c r="C57" s="51">
        <v>45374</v>
      </c>
      <c r="D57" s="51"/>
      <c r="E57" s="51"/>
      <c r="F57" s="110" t="s">
        <v>340</v>
      </c>
      <c r="G57" s="107">
        <v>1</v>
      </c>
      <c r="H57" s="107">
        <v>75</v>
      </c>
      <c r="I57" s="108">
        <f t="shared" si="5"/>
        <v>75</v>
      </c>
      <c r="J57" s="109">
        <v>25.5</v>
      </c>
      <c r="K57" s="275"/>
      <c r="L57" s="110"/>
      <c r="M57" s="110"/>
      <c r="N57" s="111"/>
    </row>
    <row r="58" s="1" customFormat="1" spans="1:14">
      <c r="A58" s="51">
        <v>45377</v>
      </c>
      <c r="B58" s="105">
        <v>68</v>
      </c>
      <c r="C58" s="51">
        <v>45374</v>
      </c>
      <c r="D58" s="51"/>
      <c r="E58" s="51"/>
      <c r="F58" s="110" t="s">
        <v>309</v>
      </c>
      <c r="G58" s="107">
        <v>1</v>
      </c>
      <c r="H58" s="107">
        <v>3</v>
      </c>
      <c r="I58" s="108">
        <f t="shared" si="5"/>
        <v>3</v>
      </c>
      <c r="J58" s="109">
        <v>18</v>
      </c>
      <c r="K58" s="109">
        <f t="shared" si="7"/>
        <v>54</v>
      </c>
      <c r="L58" s="131" t="s">
        <v>341</v>
      </c>
      <c r="M58" s="110"/>
      <c r="N58" s="111"/>
    </row>
    <row r="59" s="1" customFormat="1" spans="1:14">
      <c r="A59" s="51">
        <v>45377</v>
      </c>
      <c r="B59" s="105">
        <v>68</v>
      </c>
      <c r="C59" s="51">
        <v>45374</v>
      </c>
      <c r="D59" s="51"/>
      <c r="E59" s="51"/>
      <c r="F59" s="254" t="s">
        <v>342</v>
      </c>
      <c r="G59" s="139">
        <v>1</v>
      </c>
      <c r="H59" s="139">
        <f>SUM(H51:H58)</f>
        <v>730</v>
      </c>
      <c r="I59" s="114">
        <f t="shared" si="5"/>
        <v>730</v>
      </c>
      <c r="J59" s="115">
        <v>2.3</v>
      </c>
      <c r="K59" s="115">
        <f t="shared" si="7"/>
        <v>1679</v>
      </c>
      <c r="L59" s="110" t="s">
        <v>343</v>
      </c>
      <c r="M59" s="110" t="s">
        <v>344</v>
      </c>
      <c r="N59" s="111"/>
    </row>
    <row r="60" s="1" customFormat="1" spans="1:14">
      <c r="A60" s="51">
        <v>45377</v>
      </c>
      <c r="B60" s="105">
        <v>68</v>
      </c>
      <c r="C60" s="51">
        <v>45374</v>
      </c>
      <c r="D60" s="51"/>
      <c r="E60" s="51"/>
      <c r="F60" s="110" t="s">
        <v>316</v>
      </c>
      <c r="G60" s="107">
        <v>40</v>
      </c>
      <c r="H60" s="107">
        <v>1</v>
      </c>
      <c r="I60" s="108">
        <f t="shared" si="5"/>
        <v>40</v>
      </c>
      <c r="J60" s="109">
        <v>12.5</v>
      </c>
      <c r="K60" s="271">
        <f t="shared" si="7"/>
        <v>500</v>
      </c>
      <c r="L60" s="110">
        <f>SUM(K51:K60)</f>
        <v>4458.8</v>
      </c>
      <c r="M60" s="110"/>
      <c r="N60" s="111"/>
    </row>
    <row r="61" s="2" customFormat="1" spans="1:14">
      <c r="A61" s="126">
        <v>45377</v>
      </c>
      <c r="B61" s="127">
        <v>69</v>
      </c>
      <c r="C61" s="126">
        <v>45376</v>
      </c>
      <c r="D61" s="126"/>
      <c r="E61" s="126"/>
      <c r="F61" s="131" t="s">
        <v>307</v>
      </c>
      <c r="G61" s="134">
        <v>1</v>
      </c>
      <c r="H61" s="134">
        <v>294</v>
      </c>
      <c r="I61" s="136">
        <f t="shared" si="5"/>
        <v>294</v>
      </c>
      <c r="J61" s="135">
        <v>12.5</v>
      </c>
      <c r="K61" s="135"/>
      <c r="L61" s="131"/>
      <c r="M61" s="131"/>
      <c r="N61" s="132"/>
    </row>
    <row r="62" s="2" customFormat="1" spans="1:14">
      <c r="A62" s="126">
        <v>45377</v>
      </c>
      <c r="B62" s="127">
        <v>69</v>
      </c>
      <c r="C62" s="126">
        <v>45376</v>
      </c>
      <c r="D62" s="126"/>
      <c r="E62" s="126"/>
      <c r="F62" s="131" t="s">
        <v>308</v>
      </c>
      <c r="G62" s="134">
        <v>1</v>
      </c>
      <c r="H62" s="134">
        <v>48</v>
      </c>
      <c r="I62" s="136">
        <f t="shared" ref="I62:I71" si="8">G62*H62</f>
        <v>48</v>
      </c>
      <c r="J62" s="135">
        <v>13</v>
      </c>
      <c r="K62" s="135"/>
      <c r="L62" s="131"/>
      <c r="M62" s="131"/>
      <c r="N62" s="132"/>
    </row>
    <row r="63" s="2" customFormat="1" spans="1:14">
      <c r="A63" s="126">
        <v>45377</v>
      </c>
      <c r="B63" s="127">
        <v>69</v>
      </c>
      <c r="C63" s="126">
        <v>45376</v>
      </c>
      <c r="D63" s="126"/>
      <c r="E63" s="126"/>
      <c r="F63" s="131" t="s">
        <v>120</v>
      </c>
      <c r="G63" s="134">
        <v>1</v>
      </c>
      <c r="H63" s="134">
        <v>17</v>
      </c>
      <c r="I63" s="136">
        <f t="shared" si="8"/>
        <v>17</v>
      </c>
      <c r="J63" s="135">
        <v>21</v>
      </c>
      <c r="K63" s="135">
        <f t="shared" ref="K63:K71" si="9">I63*J63</f>
        <v>357</v>
      </c>
      <c r="L63" s="131"/>
      <c r="M63" s="131"/>
      <c r="N63" s="132"/>
    </row>
    <row r="64" s="2" customFormat="1" spans="1:14">
      <c r="A64" s="126">
        <v>45377</v>
      </c>
      <c r="B64" s="127">
        <v>69</v>
      </c>
      <c r="C64" s="126">
        <v>45376</v>
      </c>
      <c r="D64" s="126"/>
      <c r="E64" s="126"/>
      <c r="F64" s="131" t="s">
        <v>345</v>
      </c>
      <c r="G64" s="134">
        <v>1</v>
      </c>
      <c r="H64" s="134">
        <v>145</v>
      </c>
      <c r="I64" s="136">
        <f t="shared" si="8"/>
        <v>145</v>
      </c>
      <c r="J64" s="135">
        <v>0.2</v>
      </c>
      <c r="K64" s="135">
        <f t="shared" si="9"/>
        <v>29</v>
      </c>
      <c r="M64" s="131"/>
      <c r="N64" s="132"/>
    </row>
    <row r="65" s="2" customFormat="1" spans="1:14">
      <c r="A65" s="126">
        <v>45377</v>
      </c>
      <c r="B65" s="127">
        <v>69</v>
      </c>
      <c r="C65" s="126">
        <v>45376</v>
      </c>
      <c r="D65" s="126"/>
      <c r="E65" s="126"/>
      <c r="F65" s="131" t="s">
        <v>311</v>
      </c>
      <c r="G65" s="134">
        <v>1</v>
      </c>
      <c r="H65" s="134">
        <v>267</v>
      </c>
      <c r="I65" s="136">
        <f t="shared" si="8"/>
        <v>267</v>
      </c>
      <c r="J65" s="135">
        <v>8.1</v>
      </c>
      <c r="K65" s="135">
        <f t="shared" si="9"/>
        <v>2162.7</v>
      </c>
      <c r="L65" s="131"/>
      <c r="M65" s="131"/>
      <c r="N65" s="132"/>
    </row>
    <row r="66" s="2" customFormat="1" spans="1:14">
      <c r="A66" s="126">
        <v>45377</v>
      </c>
      <c r="B66" s="127">
        <v>69</v>
      </c>
      <c r="C66" s="126">
        <v>45376</v>
      </c>
      <c r="D66" s="126"/>
      <c r="E66" s="126"/>
      <c r="F66" s="131" t="s">
        <v>312</v>
      </c>
      <c r="G66" s="134">
        <v>1</v>
      </c>
      <c r="H66" s="134">
        <v>170</v>
      </c>
      <c r="I66" s="136">
        <f t="shared" si="8"/>
        <v>170</v>
      </c>
      <c r="J66" s="135">
        <v>3.4</v>
      </c>
      <c r="K66" s="135">
        <f t="shared" si="9"/>
        <v>578</v>
      </c>
      <c r="L66" s="131"/>
      <c r="M66" s="131"/>
      <c r="N66" s="132"/>
    </row>
    <row r="67" s="2" customFormat="1" spans="1:14">
      <c r="A67" s="126">
        <v>45377</v>
      </c>
      <c r="B67" s="127">
        <v>69</v>
      </c>
      <c r="C67" s="126">
        <v>45376</v>
      </c>
      <c r="D67" s="126"/>
      <c r="E67" s="126"/>
      <c r="F67" s="131" t="s">
        <v>125</v>
      </c>
      <c r="G67" s="134">
        <v>1</v>
      </c>
      <c r="H67" s="134">
        <v>2</v>
      </c>
      <c r="I67" s="136">
        <f t="shared" si="8"/>
        <v>2</v>
      </c>
      <c r="J67" s="135">
        <v>25</v>
      </c>
      <c r="K67" s="135">
        <f t="shared" si="9"/>
        <v>50</v>
      </c>
      <c r="L67" s="131"/>
      <c r="M67" s="131"/>
      <c r="N67" s="132"/>
    </row>
    <row r="68" s="2" customFormat="1" spans="1:14">
      <c r="A68" s="126">
        <v>45377</v>
      </c>
      <c r="B68" s="127">
        <v>69</v>
      </c>
      <c r="C68" s="126">
        <v>45376</v>
      </c>
      <c r="D68" s="126"/>
      <c r="E68" s="126"/>
      <c r="F68" s="131" t="s">
        <v>313</v>
      </c>
      <c r="G68" s="134">
        <v>1</v>
      </c>
      <c r="H68" s="134">
        <v>6</v>
      </c>
      <c r="I68" s="136">
        <f t="shared" si="8"/>
        <v>6</v>
      </c>
      <c r="J68" s="135">
        <v>45</v>
      </c>
      <c r="K68" s="135">
        <f t="shared" si="9"/>
        <v>270</v>
      </c>
      <c r="L68" s="131" t="s">
        <v>321</v>
      </c>
      <c r="M68" s="131"/>
      <c r="N68" s="132"/>
    </row>
    <row r="69" s="2" customFormat="1" spans="1:14">
      <c r="A69" s="126">
        <v>45377</v>
      </c>
      <c r="B69" s="127">
        <v>69</v>
      </c>
      <c r="C69" s="126">
        <v>45376</v>
      </c>
      <c r="D69" s="126"/>
      <c r="E69" s="126"/>
      <c r="F69" s="133" t="s">
        <v>309</v>
      </c>
      <c r="G69" s="134">
        <v>1</v>
      </c>
      <c r="H69" s="134">
        <v>34</v>
      </c>
      <c r="I69" s="136">
        <f t="shared" si="8"/>
        <v>34</v>
      </c>
      <c r="J69" s="135">
        <v>18</v>
      </c>
      <c r="K69" s="135">
        <f t="shared" si="9"/>
        <v>612</v>
      </c>
      <c r="L69" s="131" t="s">
        <v>346</v>
      </c>
      <c r="M69" s="131" t="s">
        <v>347</v>
      </c>
      <c r="N69" s="132"/>
    </row>
    <row r="70" s="2" customFormat="1" spans="1:14">
      <c r="A70" s="126">
        <v>45377</v>
      </c>
      <c r="B70" s="127">
        <v>69</v>
      </c>
      <c r="C70" s="126">
        <v>45376</v>
      </c>
      <c r="D70" s="126"/>
      <c r="E70" s="126"/>
      <c r="F70" s="254" t="s">
        <v>348</v>
      </c>
      <c r="G70" s="134">
        <v>1</v>
      </c>
      <c r="H70" s="139">
        <f>SUM(H61:H69)</f>
        <v>983</v>
      </c>
      <c r="I70" s="136">
        <f t="shared" si="8"/>
        <v>983</v>
      </c>
      <c r="J70" s="135">
        <v>2.3</v>
      </c>
      <c r="K70" s="115">
        <f t="shared" si="9"/>
        <v>2260.9</v>
      </c>
      <c r="L70" s="348" t="s">
        <v>349</v>
      </c>
      <c r="N70" s="132"/>
    </row>
    <row r="71" s="2" customFormat="1" spans="1:14">
      <c r="A71" s="126">
        <v>45377</v>
      </c>
      <c r="B71" s="127">
        <v>69</v>
      </c>
      <c r="C71" s="126">
        <v>45376</v>
      </c>
      <c r="D71" s="126"/>
      <c r="E71" s="126"/>
      <c r="F71" s="254" t="s">
        <v>350</v>
      </c>
      <c r="G71" s="134">
        <v>1</v>
      </c>
      <c r="H71" s="134">
        <v>108</v>
      </c>
      <c r="I71" s="136">
        <f t="shared" si="8"/>
        <v>108</v>
      </c>
      <c r="J71" s="135"/>
      <c r="K71" s="135"/>
      <c r="L71" s="348"/>
      <c r="N71" s="132"/>
    </row>
    <row r="72" s="2" customFormat="1" spans="1:14">
      <c r="A72" s="126">
        <v>45377</v>
      </c>
      <c r="B72" s="127">
        <v>69</v>
      </c>
      <c r="C72" s="126">
        <v>45376</v>
      </c>
      <c r="D72" s="126"/>
      <c r="E72" s="126"/>
      <c r="F72" s="131" t="s">
        <v>316</v>
      </c>
      <c r="G72" s="134">
        <v>54</v>
      </c>
      <c r="H72" s="134">
        <v>1</v>
      </c>
      <c r="I72" s="136">
        <f t="shared" ref="I72:I85" si="10">G72*H72</f>
        <v>54</v>
      </c>
      <c r="J72" s="135">
        <v>12.5</v>
      </c>
      <c r="K72" s="271">
        <f>I72*J72</f>
        <v>675</v>
      </c>
      <c r="L72" s="131">
        <f>SUM(K61:K72)</f>
        <v>6994.6</v>
      </c>
      <c r="M72" s="131"/>
      <c r="N72" s="132"/>
    </row>
    <row r="73" s="1" customFormat="1" spans="1:14">
      <c r="A73" s="51">
        <v>45377</v>
      </c>
      <c r="B73" s="105">
        <v>70</v>
      </c>
      <c r="C73" s="51">
        <v>45376</v>
      </c>
      <c r="D73" s="51"/>
      <c r="E73" s="51"/>
      <c r="F73" s="110" t="s">
        <v>307</v>
      </c>
      <c r="G73" s="107">
        <v>1</v>
      </c>
      <c r="H73" s="107">
        <v>211</v>
      </c>
      <c r="I73" s="108">
        <f t="shared" si="10"/>
        <v>211</v>
      </c>
      <c r="J73" s="109">
        <v>12.5</v>
      </c>
      <c r="K73" s="109"/>
      <c r="L73" s="110"/>
      <c r="M73" s="110"/>
      <c r="N73" s="111"/>
    </row>
    <row r="74" s="1" customFormat="1" spans="1:14">
      <c r="A74" s="51">
        <v>45377</v>
      </c>
      <c r="B74" s="105">
        <v>70</v>
      </c>
      <c r="C74" s="51">
        <v>45376</v>
      </c>
      <c r="D74" s="51"/>
      <c r="E74" s="51"/>
      <c r="F74" s="110" t="s">
        <v>308</v>
      </c>
      <c r="G74" s="107">
        <v>1</v>
      </c>
      <c r="H74" s="107">
        <v>32</v>
      </c>
      <c r="I74" s="108">
        <f t="shared" si="10"/>
        <v>32</v>
      </c>
      <c r="J74" s="109">
        <v>13</v>
      </c>
      <c r="K74" s="109"/>
      <c r="L74" s="110"/>
      <c r="M74" s="110"/>
      <c r="N74" s="111"/>
    </row>
    <row r="75" s="1" customFormat="1" spans="1:14">
      <c r="A75" s="51">
        <v>45377</v>
      </c>
      <c r="B75" s="105">
        <v>70</v>
      </c>
      <c r="C75" s="51">
        <v>45376</v>
      </c>
      <c r="D75" s="51"/>
      <c r="E75" s="51"/>
      <c r="F75" s="110" t="s">
        <v>120</v>
      </c>
      <c r="G75" s="107">
        <v>1</v>
      </c>
      <c r="H75" s="107">
        <v>12</v>
      </c>
      <c r="I75" s="108">
        <f t="shared" si="10"/>
        <v>12</v>
      </c>
      <c r="J75" s="109">
        <v>21</v>
      </c>
      <c r="K75" s="109">
        <f t="shared" ref="K75:K83" si="11">I75*J75</f>
        <v>252</v>
      </c>
      <c r="L75" s="110"/>
      <c r="M75" s="110"/>
      <c r="N75" s="111"/>
    </row>
    <row r="76" s="1" customFormat="1" spans="1:14">
      <c r="A76" s="51">
        <v>45377</v>
      </c>
      <c r="B76" s="105">
        <v>70</v>
      </c>
      <c r="C76" s="51">
        <v>45376</v>
      </c>
      <c r="D76" s="51"/>
      <c r="E76" s="51"/>
      <c r="F76" s="110" t="s">
        <v>339</v>
      </c>
      <c r="G76" s="107">
        <v>1</v>
      </c>
      <c r="H76" s="107">
        <v>96</v>
      </c>
      <c r="I76" s="108">
        <f t="shared" si="10"/>
        <v>96</v>
      </c>
      <c r="J76" s="109">
        <v>0.2</v>
      </c>
      <c r="K76" s="109">
        <f t="shared" si="11"/>
        <v>19.2</v>
      </c>
      <c r="L76" s="110"/>
      <c r="M76" s="110"/>
      <c r="N76" s="111"/>
    </row>
    <row r="77" s="1" customFormat="1" spans="1:14">
      <c r="A77" s="51">
        <v>45377</v>
      </c>
      <c r="B77" s="105">
        <v>70</v>
      </c>
      <c r="C77" s="51">
        <v>45376</v>
      </c>
      <c r="D77" s="51"/>
      <c r="E77" s="51"/>
      <c r="F77" s="110" t="s">
        <v>311</v>
      </c>
      <c r="G77" s="107">
        <v>1</v>
      </c>
      <c r="H77" s="107">
        <v>172</v>
      </c>
      <c r="I77" s="108">
        <f t="shared" si="10"/>
        <v>172</v>
      </c>
      <c r="J77" s="109">
        <v>8.1</v>
      </c>
      <c r="K77" s="109">
        <f t="shared" si="11"/>
        <v>1393.2</v>
      </c>
      <c r="L77" s="110"/>
      <c r="M77" s="110"/>
      <c r="N77" s="111"/>
    </row>
    <row r="78" s="1" customFormat="1" spans="1:14">
      <c r="A78" s="51">
        <v>45377</v>
      </c>
      <c r="B78" s="105">
        <v>70</v>
      </c>
      <c r="C78" s="51">
        <v>45376</v>
      </c>
      <c r="D78" s="51"/>
      <c r="E78" s="51"/>
      <c r="F78" s="110" t="s">
        <v>312</v>
      </c>
      <c r="G78" s="107">
        <v>1</v>
      </c>
      <c r="H78" s="107">
        <v>110</v>
      </c>
      <c r="I78" s="108">
        <f t="shared" si="10"/>
        <v>110</v>
      </c>
      <c r="J78" s="109">
        <v>3.4</v>
      </c>
      <c r="K78" s="109">
        <f t="shared" si="11"/>
        <v>374</v>
      </c>
      <c r="L78" s="110"/>
      <c r="M78" s="110"/>
      <c r="N78" s="111"/>
    </row>
    <row r="79" s="1" customFormat="1" spans="1:14">
      <c r="A79" s="51">
        <v>45377</v>
      </c>
      <c r="B79" s="105">
        <v>70</v>
      </c>
      <c r="C79" s="51">
        <v>45376</v>
      </c>
      <c r="D79" s="51"/>
      <c r="E79" s="51"/>
      <c r="F79" s="110" t="s">
        <v>125</v>
      </c>
      <c r="G79" s="107">
        <v>1</v>
      </c>
      <c r="H79" s="107">
        <v>4</v>
      </c>
      <c r="I79" s="108">
        <f t="shared" si="10"/>
        <v>4</v>
      </c>
      <c r="J79" s="109">
        <v>25</v>
      </c>
      <c r="K79" s="109">
        <f t="shared" si="11"/>
        <v>100</v>
      </c>
      <c r="L79" s="110"/>
      <c r="M79" s="110"/>
      <c r="N79" s="111"/>
    </row>
    <row r="80" s="1" customFormat="1" spans="1:14">
      <c r="A80" s="51">
        <v>45377</v>
      </c>
      <c r="B80" s="105">
        <v>70</v>
      </c>
      <c r="C80" s="51">
        <v>45376</v>
      </c>
      <c r="D80" s="51"/>
      <c r="E80" s="51"/>
      <c r="F80" s="110" t="s">
        <v>313</v>
      </c>
      <c r="G80" s="107">
        <v>1</v>
      </c>
      <c r="H80" s="107">
        <v>0.7</v>
      </c>
      <c r="I80" s="108">
        <f t="shared" si="10"/>
        <v>0.7</v>
      </c>
      <c r="J80" s="109">
        <v>45</v>
      </c>
      <c r="K80" s="109">
        <f t="shared" si="11"/>
        <v>31.5</v>
      </c>
      <c r="L80" s="110"/>
      <c r="M80" s="110"/>
      <c r="N80" s="111"/>
    </row>
    <row r="81" s="1" customFormat="1" spans="1:14">
      <c r="A81" s="51">
        <v>45377</v>
      </c>
      <c r="B81" s="105">
        <v>70</v>
      </c>
      <c r="C81" s="51">
        <v>45376</v>
      </c>
      <c r="D81" s="51"/>
      <c r="E81" s="51"/>
      <c r="F81" s="110" t="s">
        <v>351</v>
      </c>
      <c r="G81" s="107">
        <v>1</v>
      </c>
      <c r="H81" s="107">
        <v>2.6</v>
      </c>
      <c r="I81" s="108">
        <f t="shared" si="10"/>
        <v>2.6</v>
      </c>
      <c r="J81" s="109">
        <v>25</v>
      </c>
      <c r="K81" s="109">
        <f t="shared" si="11"/>
        <v>65</v>
      </c>
      <c r="L81" s="110" t="s">
        <v>321</v>
      </c>
      <c r="M81" s="110"/>
      <c r="N81" s="111"/>
    </row>
    <row r="82" s="1" customFormat="1" spans="1:14">
      <c r="A82" s="51">
        <v>45377</v>
      </c>
      <c r="B82" s="105">
        <v>70</v>
      </c>
      <c r="C82" s="51">
        <v>45376</v>
      </c>
      <c r="D82" s="51"/>
      <c r="E82" s="51"/>
      <c r="F82" s="110" t="s">
        <v>309</v>
      </c>
      <c r="G82" s="107">
        <v>1</v>
      </c>
      <c r="H82" s="107">
        <v>26.5</v>
      </c>
      <c r="I82" s="108">
        <f t="shared" si="10"/>
        <v>26.5</v>
      </c>
      <c r="J82" s="109">
        <v>18</v>
      </c>
      <c r="K82" s="109">
        <f t="shared" si="11"/>
        <v>477</v>
      </c>
      <c r="L82" s="110" t="s">
        <v>346</v>
      </c>
      <c r="M82" s="110"/>
      <c r="N82" s="111">
        <f>SUM(K73:K85)</f>
        <v>4695.54</v>
      </c>
    </row>
    <row r="83" s="1" customFormat="1" spans="1:14">
      <c r="A83" s="51">
        <v>45377</v>
      </c>
      <c r="B83" s="105">
        <v>70</v>
      </c>
      <c r="C83" s="51">
        <v>45376</v>
      </c>
      <c r="D83" s="51"/>
      <c r="E83" s="51"/>
      <c r="F83" s="254" t="s">
        <v>352</v>
      </c>
      <c r="G83" s="107">
        <v>1</v>
      </c>
      <c r="H83" s="139">
        <f>SUM(H73:H82)</f>
        <v>666.8</v>
      </c>
      <c r="I83" s="108">
        <f t="shared" si="10"/>
        <v>666.8</v>
      </c>
      <c r="J83" s="109">
        <v>2.3</v>
      </c>
      <c r="K83" s="115">
        <f t="shared" si="11"/>
        <v>1533.64</v>
      </c>
      <c r="L83" s="110" t="s">
        <v>353</v>
      </c>
      <c r="M83" s="110" t="s">
        <v>347</v>
      </c>
      <c r="N83" s="111"/>
    </row>
    <row r="84" s="1" customFormat="1" spans="1:14">
      <c r="A84" s="51">
        <v>45377</v>
      </c>
      <c r="B84" s="105">
        <v>70</v>
      </c>
      <c r="C84" s="51">
        <v>45376</v>
      </c>
      <c r="D84" s="51"/>
      <c r="E84" s="51"/>
      <c r="F84" s="110" t="s">
        <v>354</v>
      </c>
      <c r="G84" s="107">
        <v>1</v>
      </c>
      <c r="H84" s="107">
        <v>60</v>
      </c>
      <c r="I84" s="108">
        <f t="shared" si="10"/>
        <v>60</v>
      </c>
      <c r="J84" s="109"/>
      <c r="K84" s="109"/>
      <c r="L84" s="110"/>
      <c r="M84" s="110"/>
      <c r="N84" s="111"/>
    </row>
    <row r="85" s="2" customFormat="1" spans="1:14">
      <c r="A85" s="51">
        <v>45377</v>
      </c>
      <c r="B85" s="105">
        <v>70</v>
      </c>
      <c r="C85" s="51">
        <v>45376</v>
      </c>
      <c r="D85" s="51"/>
      <c r="E85" s="51"/>
      <c r="F85" s="110" t="s">
        <v>316</v>
      </c>
      <c r="G85" s="107">
        <v>36</v>
      </c>
      <c r="H85" s="107">
        <v>1</v>
      </c>
      <c r="I85" s="108">
        <f t="shared" si="10"/>
        <v>36</v>
      </c>
      <c r="J85" s="109">
        <v>12.5</v>
      </c>
      <c r="K85" s="271">
        <f>I85*J85</f>
        <v>450</v>
      </c>
      <c r="L85" s="131">
        <f>SUM(K73:K85)</f>
        <v>4695.54</v>
      </c>
      <c r="M85" s="131"/>
      <c r="N85" s="132"/>
    </row>
    <row r="86" s="2" customFormat="1" spans="1:14">
      <c r="A86" s="126">
        <v>45377</v>
      </c>
      <c r="B86" s="127">
        <v>71</v>
      </c>
      <c r="C86" s="126">
        <v>45376</v>
      </c>
      <c r="D86" s="126"/>
      <c r="E86" s="126"/>
      <c r="F86" s="131" t="s">
        <v>355</v>
      </c>
      <c r="G86" s="134">
        <v>1</v>
      </c>
      <c r="H86" s="134">
        <v>99</v>
      </c>
      <c r="I86" s="136">
        <f t="shared" ref="I85:I98" si="12">G86*H86</f>
        <v>99</v>
      </c>
      <c r="J86" s="135"/>
      <c r="K86" s="135"/>
      <c r="L86" s="131"/>
      <c r="M86" s="131"/>
      <c r="N86" s="132"/>
    </row>
    <row r="87" s="2" customFormat="1" spans="1:14">
      <c r="A87" s="126">
        <v>45377</v>
      </c>
      <c r="B87" s="127">
        <v>71</v>
      </c>
      <c r="C87" s="126">
        <v>45376</v>
      </c>
      <c r="D87" s="126"/>
      <c r="E87" s="126"/>
      <c r="F87" s="131" t="s">
        <v>120</v>
      </c>
      <c r="G87" s="134">
        <v>1</v>
      </c>
      <c r="H87" s="134">
        <v>2.5</v>
      </c>
      <c r="I87" s="136">
        <f t="shared" si="12"/>
        <v>2.5</v>
      </c>
      <c r="J87" s="135">
        <v>21</v>
      </c>
      <c r="K87" s="135">
        <f>I87*J87</f>
        <v>52.5</v>
      </c>
      <c r="L87" s="131"/>
      <c r="M87" s="131"/>
      <c r="N87" s="132"/>
    </row>
    <row r="88" s="2" customFormat="1" spans="1:14">
      <c r="A88" s="126">
        <v>45377</v>
      </c>
      <c r="B88" s="127">
        <v>71</v>
      </c>
      <c r="C88" s="126">
        <v>45376</v>
      </c>
      <c r="D88" s="126"/>
      <c r="E88" s="126"/>
      <c r="F88" s="131" t="s">
        <v>339</v>
      </c>
      <c r="G88" s="134">
        <v>1</v>
      </c>
      <c r="H88" s="134">
        <v>60</v>
      </c>
      <c r="I88" s="136">
        <f t="shared" si="12"/>
        <v>60</v>
      </c>
      <c r="J88" s="135">
        <v>0.2</v>
      </c>
      <c r="K88" s="135">
        <f>I88*J88</f>
        <v>12</v>
      </c>
      <c r="L88" s="131"/>
      <c r="M88" s="131"/>
      <c r="N88" s="132"/>
    </row>
    <row r="89" s="2" customFormat="1" spans="1:14">
      <c r="A89" s="126">
        <v>45377</v>
      </c>
      <c r="B89" s="127">
        <v>71</v>
      </c>
      <c r="C89" s="126">
        <v>45376</v>
      </c>
      <c r="D89" s="126"/>
      <c r="E89" s="126"/>
      <c r="F89" s="131" t="s">
        <v>311</v>
      </c>
      <c r="G89" s="134">
        <v>1</v>
      </c>
      <c r="H89" s="134">
        <v>15</v>
      </c>
      <c r="I89" s="136">
        <f t="shared" si="12"/>
        <v>15</v>
      </c>
      <c r="J89" s="135">
        <v>8.1</v>
      </c>
      <c r="K89" s="135">
        <f>I89*J89</f>
        <v>121.5</v>
      </c>
      <c r="L89" s="132"/>
      <c r="M89" s="131"/>
      <c r="N89" s="132"/>
    </row>
    <row r="90" s="2" customFormat="1" spans="1:14">
      <c r="A90" s="126">
        <v>45377</v>
      </c>
      <c r="B90" s="127">
        <v>71</v>
      </c>
      <c r="C90" s="126">
        <v>45376</v>
      </c>
      <c r="D90" s="126"/>
      <c r="E90" s="126"/>
      <c r="F90" s="131" t="s">
        <v>312</v>
      </c>
      <c r="G90" s="134">
        <v>1</v>
      </c>
      <c r="H90" s="134">
        <v>11</v>
      </c>
      <c r="I90" s="136">
        <f t="shared" si="12"/>
        <v>11</v>
      </c>
      <c r="J90" s="135">
        <v>3.4</v>
      </c>
      <c r="K90" s="135">
        <f>I90*J90</f>
        <v>37.4</v>
      </c>
      <c r="L90" s="132"/>
      <c r="M90" s="131"/>
      <c r="N90" s="132"/>
    </row>
    <row r="91" s="2" customFormat="1" spans="1:14">
      <c r="A91" s="126">
        <v>45377</v>
      </c>
      <c r="B91" s="127">
        <v>71</v>
      </c>
      <c r="C91" s="126">
        <v>45376</v>
      </c>
      <c r="D91" s="126"/>
      <c r="E91" s="126"/>
      <c r="F91" s="133" t="s">
        <v>309</v>
      </c>
      <c r="G91" s="134">
        <v>1</v>
      </c>
      <c r="H91" s="134">
        <v>33</v>
      </c>
      <c r="I91" s="136">
        <f t="shared" si="12"/>
        <v>33</v>
      </c>
      <c r="J91" s="135">
        <v>18</v>
      </c>
      <c r="K91" s="135">
        <f>I91*J91</f>
        <v>594</v>
      </c>
      <c r="L91" s="132" t="s">
        <v>356</v>
      </c>
      <c r="M91" s="131"/>
      <c r="N91" s="132"/>
    </row>
    <row r="92" s="2" customFormat="1" spans="1:14">
      <c r="A92" s="126">
        <v>45377</v>
      </c>
      <c r="B92" s="127">
        <v>71</v>
      </c>
      <c r="C92" s="126">
        <v>45376</v>
      </c>
      <c r="D92" s="126"/>
      <c r="E92" s="126"/>
      <c r="F92" s="131" t="s">
        <v>357</v>
      </c>
      <c r="G92" s="134">
        <v>1</v>
      </c>
      <c r="H92" s="134">
        <v>23</v>
      </c>
      <c r="I92" s="136">
        <f t="shared" si="12"/>
        <v>23</v>
      </c>
      <c r="J92" s="135"/>
      <c r="K92" s="135"/>
      <c r="L92" s="349" t="s">
        <v>358</v>
      </c>
      <c r="M92" s="350"/>
      <c r="N92" s="132"/>
    </row>
    <row r="93" s="2" customFormat="1" spans="1:14">
      <c r="A93" s="126">
        <v>45377</v>
      </c>
      <c r="B93" s="127">
        <v>71</v>
      </c>
      <c r="C93" s="126">
        <v>45376</v>
      </c>
      <c r="D93" s="126"/>
      <c r="E93" s="126"/>
      <c r="F93" s="131" t="s">
        <v>359</v>
      </c>
      <c r="G93" s="134">
        <v>1</v>
      </c>
      <c r="H93" s="134">
        <v>1</v>
      </c>
      <c r="I93" s="136">
        <f t="shared" si="12"/>
        <v>1</v>
      </c>
      <c r="J93" s="135"/>
      <c r="K93" s="135"/>
      <c r="L93" s="350" t="s">
        <v>360</v>
      </c>
      <c r="M93" s="350"/>
      <c r="N93" s="132"/>
    </row>
    <row r="94" s="2" customFormat="1" spans="1:14">
      <c r="A94" s="126">
        <v>45377</v>
      </c>
      <c r="B94" s="127">
        <v>71</v>
      </c>
      <c r="C94" s="126">
        <v>45376</v>
      </c>
      <c r="D94" s="126"/>
      <c r="E94" s="126"/>
      <c r="F94" s="131" t="s">
        <v>361</v>
      </c>
      <c r="G94" s="134">
        <v>1</v>
      </c>
      <c r="H94" s="134">
        <v>0.02</v>
      </c>
      <c r="I94" s="136">
        <f t="shared" si="12"/>
        <v>0.02</v>
      </c>
      <c r="J94" s="135"/>
      <c r="K94" s="135"/>
      <c r="L94" s="131"/>
      <c r="M94" s="131"/>
      <c r="N94" s="132"/>
    </row>
    <row r="95" s="2" customFormat="1" spans="1:14">
      <c r="A95" s="126">
        <v>45377</v>
      </c>
      <c r="B95" s="127">
        <v>71</v>
      </c>
      <c r="C95" s="126">
        <v>45376</v>
      </c>
      <c r="D95" s="126"/>
      <c r="E95" s="126"/>
      <c r="F95" s="254" t="s">
        <v>362</v>
      </c>
      <c r="G95" s="139">
        <v>1</v>
      </c>
      <c r="H95" s="139">
        <f>SUM(H86:H94)</f>
        <v>244.52</v>
      </c>
      <c r="I95" s="114">
        <f t="shared" si="12"/>
        <v>244.52</v>
      </c>
      <c r="J95" s="115">
        <v>2.3</v>
      </c>
      <c r="K95" s="115">
        <f>I95*J95</f>
        <v>562.396</v>
      </c>
      <c r="L95" s="348" t="s">
        <v>363</v>
      </c>
      <c r="M95" s="351" t="s">
        <v>364</v>
      </c>
      <c r="N95" s="132"/>
    </row>
    <row r="96" s="2" customFormat="1" spans="1:14">
      <c r="A96" s="126">
        <v>45377</v>
      </c>
      <c r="B96" s="127">
        <v>71</v>
      </c>
      <c r="C96" s="141">
        <v>45376</v>
      </c>
      <c r="D96" s="141"/>
      <c r="E96" s="141"/>
      <c r="F96" s="118" t="s">
        <v>365</v>
      </c>
      <c r="G96" s="134">
        <v>1</v>
      </c>
      <c r="H96" s="134">
        <v>20</v>
      </c>
      <c r="I96" s="136">
        <f t="shared" si="12"/>
        <v>20</v>
      </c>
      <c r="J96" s="135"/>
      <c r="K96" s="135"/>
      <c r="L96" s="348" t="s">
        <v>366</v>
      </c>
      <c r="M96" s="351" t="s">
        <v>367</v>
      </c>
      <c r="N96" s="132"/>
    </row>
    <row r="97" s="2" customFormat="1" spans="1:14">
      <c r="A97" s="126">
        <v>45377</v>
      </c>
      <c r="B97" s="127">
        <v>71</v>
      </c>
      <c r="C97" s="126">
        <v>45376</v>
      </c>
      <c r="D97" s="126"/>
      <c r="E97" s="126"/>
      <c r="F97" s="131" t="s">
        <v>316</v>
      </c>
      <c r="G97" s="134">
        <v>13</v>
      </c>
      <c r="H97" s="134">
        <v>1</v>
      </c>
      <c r="I97" s="136">
        <f t="shared" si="12"/>
        <v>13</v>
      </c>
      <c r="J97" s="135">
        <v>12.5</v>
      </c>
      <c r="K97" s="271">
        <f>I97*J97</f>
        <v>162.5</v>
      </c>
      <c r="L97" s="131">
        <f>SUM(K86:K98)</f>
        <v>1576.096</v>
      </c>
      <c r="M97" s="352"/>
      <c r="N97" s="132"/>
    </row>
    <row r="98" s="2" customFormat="1" spans="1:14">
      <c r="A98" s="126">
        <v>45377</v>
      </c>
      <c r="B98" s="127">
        <v>71</v>
      </c>
      <c r="C98" s="126">
        <v>45376</v>
      </c>
      <c r="D98" s="126"/>
      <c r="E98" s="126"/>
      <c r="F98" s="131" t="s">
        <v>368</v>
      </c>
      <c r="G98" s="134">
        <v>13</v>
      </c>
      <c r="H98" s="134">
        <v>1</v>
      </c>
      <c r="I98" s="136">
        <f t="shared" si="12"/>
        <v>13</v>
      </c>
      <c r="J98" s="135">
        <v>2.6</v>
      </c>
      <c r="K98" s="271">
        <f>I98*J98</f>
        <v>33.8</v>
      </c>
      <c r="L98" s="131"/>
      <c r="M98" s="352"/>
      <c r="N98" s="132"/>
    </row>
    <row r="99" s="1" customFormat="1" spans="1:14">
      <c r="A99" s="51">
        <v>45377</v>
      </c>
      <c r="B99" s="105">
        <v>72</v>
      </c>
      <c r="C99" s="51">
        <v>45376</v>
      </c>
      <c r="D99" s="51"/>
      <c r="E99" s="51"/>
      <c r="F99" s="110" t="s">
        <v>312</v>
      </c>
      <c r="G99" s="107">
        <v>1</v>
      </c>
      <c r="H99" s="107">
        <v>84</v>
      </c>
      <c r="I99" s="108">
        <f t="shared" ref="I99:I126" si="13">G99*H99</f>
        <v>84</v>
      </c>
      <c r="J99" s="109">
        <v>3.4</v>
      </c>
      <c r="K99" s="109">
        <f t="shared" ref="K99:K108" si="14">I99*J99</f>
        <v>285.6</v>
      </c>
      <c r="L99" s="110"/>
      <c r="M99" s="353"/>
      <c r="N99" s="111"/>
    </row>
    <row r="100" s="1" customFormat="1" spans="1:14">
      <c r="A100" s="51">
        <v>45377</v>
      </c>
      <c r="B100" s="105">
        <v>72</v>
      </c>
      <c r="C100" s="51">
        <v>45376</v>
      </c>
      <c r="D100" s="51"/>
      <c r="E100" s="51"/>
      <c r="F100" s="110" t="s">
        <v>311</v>
      </c>
      <c r="G100" s="107">
        <v>1</v>
      </c>
      <c r="H100" s="107">
        <v>21</v>
      </c>
      <c r="I100" s="108">
        <f t="shared" si="13"/>
        <v>21</v>
      </c>
      <c r="J100" s="109">
        <v>8.1</v>
      </c>
      <c r="K100" s="109">
        <f t="shared" si="14"/>
        <v>170.1</v>
      </c>
      <c r="L100" s="110" t="s">
        <v>369</v>
      </c>
      <c r="M100" s="353"/>
      <c r="N100" s="111"/>
    </row>
    <row r="101" s="1" customFormat="1" spans="1:14">
      <c r="A101" s="51">
        <v>45377</v>
      </c>
      <c r="B101" s="105">
        <v>72</v>
      </c>
      <c r="C101" s="51">
        <v>45376</v>
      </c>
      <c r="D101" s="51"/>
      <c r="E101" s="51"/>
      <c r="F101" s="254" t="s">
        <v>370</v>
      </c>
      <c r="G101" s="107">
        <v>1</v>
      </c>
      <c r="H101" s="139">
        <f>SUM(H99:H100)</f>
        <v>105</v>
      </c>
      <c r="I101" s="108">
        <f t="shared" si="13"/>
        <v>105</v>
      </c>
      <c r="J101" s="109">
        <v>0.7</v>
      </c>
      <c r="K101" s="115">
        <f t="shared" si="14"/>
        <v>73.5</v>
      </c>
      <c r="L101" s="110"/>
      <c r="M101" s="351" t="s">
        <v>371</v>
      </c>
      <c r="N101" s="111"/>
    </row>
    <row r="102" s="1" customFormat="1" spans="1:14">
      <c r="A102" s="51">
        <v>45377</v>
      </c>
      <c r="B102" s="105">
        <v>72</v>
      </c>
      <c r="C102" s="51">
        <v>45376</v>
      </c>
      <c r="D102" s="51"/>
      <c r="E102" s="51"/>
      <c r="F102" s="110" t="s">
        <v>372</v>
      </c>
      <c r="G102" s="107">
        <v>7</v>
      </c>
      <c r="H102" s="107">
        <v>1</v>
      </c>
      <c r="I102" s="108">
        <f t="shared" si="13"/>
        <v>7</v>
      </c>
      <c r="J102" s="109">
        <v>12.2</v>
      </c>
      <c r="K102" s="271">
        <f t="shared" si="14"/>
        <v>85.4</v>
      </c>
      <c r="L102" s="110"/>
      <c r="M102" s="353"/>
      <c r="N102" s="111"/>
    </row>
    <row r="103" s="1" customFormat="1" spans="1:14">
      <c r="A103" s="51">
        <v>45377</v>
      </c>
      <c r="B103" s="105">
        <v>72</v>
      </c>
      <c r="C103" s="51">
        <v>45376</v>
      </c>
      <c r="D103" s="51"/>
      <c r="E103" s="51"/>
      <c r="F103" s="110" t="s">
        <v>368</v>
      </c>
      <c r="G103" s="107">
        <v>7</v>
      </c>
      <c r="H103" s="107">
        <v>1</v>
      </c>
      <c r="I103" s="108">
        <f t="shared" si="13"/>
        <v>7</v>
      </c>
      <c r="J103" s="109">
        <v>2.6</v>
      </c>
      <c r="K103" s="271">
        <f t="shared" si="14"/>
        <v>18.2</v>
      </c>
      <c r="L103" s="110"/>
      <c r="M103" s="353"/>
      <c r="N103" s="111"/>
    </row>
    <row r="104" s="2" customFormat="1" spans="1:14">
      <c r="A104" s="51">
        <v>45377</v>
      </c>
      <c r="B104" s="105">
        <v>72</v>
      </c>
      <c r="C104" s="51">
        <v>45376</v>
      </c>
      <c r="D104" s="51"/>
      <c r="E104" s="51"/>
      <c r="F104" s="110" t="s">
        <v>318</v>
      </c>
      <c r="G104" s="107">
        <v>1</v>
      </c>
      <c r="H104" s="107">
        <v>15</v>
      </c>
      <c r="I104" s="108">
        <f t="shared" si="13"/>
        <v>15</v>
      </c>
      <c r="J104" s="109">
        <v>3.5</v>
      </c>
      <c r="K104" s="109">
        <f t="shared" si="14"/>
        <v>52.5</v>
      </c>
      <c r="L104" s="110"/>
      <c r="M104" s="352"/>
      <c r="N104" s="132"/>
    </row>
    <row r="105" s="2" customFormat="1" spans="1:14">
      <c r="A105" s="51">
        <v>45377</v>
      </c>
      <c r="B105" s="105">
        <v>72</v>
      </c>
      <c r="C105" s="51">
        <v>45376</v>
      </c>
      <c r="D105" s="51"/>
      <c r="E105" s="51"/>
      <c r="F105" s="110" t="s">
        <v>312</v>
      </c>
      <c r="G105" s="107">
        <v>1</v>
      </c>
      <c r="H105" s="107">
        <v>15</v>
      </c>
      <c r="I105" s="108">
        <f t="shared" si="13"/>
        <v>15</v>
      </c>
      <c r="J105" s="109">
        <v>3.4</v>
      </c>
      <c r="K105" s="109">
        <f t="shared" si="14"/>
        <v>51</v>
      </c>
      <c r="L105" s="110" t="s">
        <v>373</v>
      </c>
      <c r="M105" s="352"/>
      <c r="N105" s="132"/>
    </row>
    <row r="106" s="2" customFormat="1" spans="1:14">
      <c r="A106" s="51">
        <v>45377</v>
      </c>
      <c r="B106" s="105">
        <v>72</v>
      </c>
      <c r="C106" s="51">
        <v>45376</v>
      </c>
      <c r="D106" s="51"/>
      <c r="E106" s="51"/>
      <c r="F106" s="254" t="s">
        <v>374</v>
      </c>
      <c r="G106" s="107">
        <v>1</v>
      </c>
      <c r="H106" s="107">
        <f>SUM(H104:H105)</f>
        <v>30</v>
      </c>
      <c r="I106" s="108">
        <f t="shared" si="13"/>
        <v>30</v>
      </c>
      <c r="J106" s="109">
        <v>0.7</v>
      </c>
      <c r="K106" s="115">
        <f t="shared" si="14"/>
        <v>21</v>
      </c>
      <c r="L106" s="110"/>
      <c r="M106" s="351" t="s">
        <v>375</v>
      </c>
      <c r="N106" s="132"/>
    </row>
    <row r="107" s="2" customFormat="1" spans="1:14">
      <c r="A107" s="51">
        <v>45377</v>
      </c>
      <c r="B107" s="105">
        <v>72</v>
      </c>
      <c r="C107" s="51">
        <v>45376</v>
      </c>
      <c r="D107" s="51"/>
      <c r="E107" s="51"/>
      <c r="F107" s="110" t="s">
        <v>316</v>
      </c>
      <c r="G107" s="107">
        <v>2</v>
      </c>
      <c r="H107" s="107">
        <v>1</v>
      </c>
      <c r="I107" s="108">
        <f t="shared" si="13"/>
        <v>2</v>
      </c>
      <c r="J107" s="109">
        <v>12.2</v>
      </c>
      <c r="K107" s="271">
        <f t="shared" si="14"/>
        <v>24.4</v>
      </c>
      <c r="L107" s="110">
        <f>SUM(K99:K107)</f>
        <v>781.7</v>
      </c>
      <c r="M107" s="131"/>
      <c r="N107" s="132"/>
    </row>
    <row r="108" s="2" customFormat="1" spans="1:14">
      <c r="A108" s="126">
        <v>45377</v>
      </c>
      <c r="B108" s="127">
        <v>73</v>
      </c>
      <c r="C108" s="126">
        <v>45377</v>
      </c>
      <c r="D108" s="126"/>
      <c r="E108" s="126"/>
      <c r="F108" s="131" t="s">
        <v>307</v>
      </c>
      <c r="G108" s="134">
        <v>1</v>
      </c>
      <c r="H108" s="134">
        <v>71</v>
      </c>
      <c r="I108" s="136">
        <f t="shared" si="13"/>
        <v>71</v>
      </c>
      <c r="J108" s="135"/>
      <c r="K108" s="135"/>
      <c r="L108" s="131"/>
      <c r="M108" s="131"/>
      <c r="N108" s="132"/>
    </row>
    <row r="109" s="2" customFormat="1" spans="1:14">
      <c r="A109" s="126">
        <v>45377</v>
      </c>
      <c r="B109" s="127">
        <v>73</v>
      </c>
      <c r="C109" s="126">
        <v>45377</v>
      </c>
      <c r="D109" s="126"/>
      <c r="E109" s="126"/>
      <c r="F109" s="131" t="s">
        <v>308</v>
      </c>
      <c r="G109" s="134">
        <v>1</v>
      </c>
      <c r="H109" s="134">
        <v>14</v>
      </c>
      <c r="I109" s="136">
        <f t="shared" si="13"/>
        <v>14</v>
      </c>
      <c r="J109" s="135"/>
      <c r="K109" s="135"/>
      <c r="L109" s="131"/>
      <c r="M109" s="131"/>
      <c r="N109" s="132"/>
    </row>
    <row r="110" s="2" customFormat="1" spans="1:14">
      <c r="A110" s="126">
        <v>45377</v>
      </c>
      <c r="B110" s="127">
        <v>73</v>
      </c>
      <c r="C110" s="126">
        <v>45377</v>
      </c>
      <c r="D110" s="126"/>
      <c r="E110" s="126"/>
      <c r="F110" s="131" t="s">
        <v>120</v>
      </c>
      <c r="G110" s="134">
        <v>1</v>
      </c>
      <c r="H110" s="134">
        <v>5.4</v>
      </c>
      <c r="I110" s="136">
        <f t="shared" si="13"/>
        <v>5.4</v>
      </c>
      <c r="J110" s="135">
        <v>21</v>
      </c>
      <c r="K110" s="135">
        <f t="shared" ref="K110:K118" si="15">I110*J110</f>
        <v>113.4</v>
      </c>
      <c r="L110" s="131"/>
      <c r="M110" s="131"/>
      <c r="N110" s="132"/>
    </row>
    <row r="111" s="2" customFormat="1" spans="1:14">
      <c r="A111" s="126">
        <v>45377</v>
      </c>
      <c r="B111" s="127">
        <v>73</v>
      </c>
      <c r="C111" s="126">
        <v>45377</v>
      </c>
      <c r="D111" s="126"/>
      <c r="E111" s="126"/>
      <c r="F111" s="131" t="s">
        <v>339</v>
      </c>
      <c r="G111" s="134">
        <v>1</v>
      </c>
      <c r="H111" s="134">
        <v>42</v>
      </c>
      <c r="I111" s="136">
        <f t="shared" si="13"/>
        <v>42</v>
      </c>
      <c r="J111" s="135">
        <v>0.2</v>
      </c>
      <c r="K111" s="135">
        <f t="shared" si="15"/>
        <v>8.4</v>
      </c>
      <c r="L111" s="131"/>
      <c r="M111" s="131"/>
      <c r="N111" s="132"/>
    </row>
    <row r="112" s="2" customFormat="1" spans="1:14">
      <c r="A112" s="126">
        <v>45377</v>
      </c>
      <c r="B112" s="127">
        <v>73</v>
      </c>
      <c r="C112" s="126">
        <v>45377</v>
      </c>
      <c r="D112" s="126"/>
      <c r="E112" s="126"/>
      <c r="F112" s="131" t="s">
        <v>311</v>
      </c>
      <c r="G112" s="134">
        <v>1</v>
      </c>
      <c r="H112" s="134">
        <v>73</v>
      </c>
      <c r="I112" s="136">
        <f t="shared" si="13"/>
        <v>73</v>
      </c>
      <c r="J112" s="135">
        <v>8.1</v>
      </c>
      <c r="K112" s="135">
        <f t="shared" si="15"/>
        <v>591.3</v>
      </c>
      <c r="L112" s="131"/>
      <c r="M112" s="131"/>
      <c r="N112" s="132"/>
    </row>
    <row r="113" s="2" customFormat="1" spans="1:15">
      <c r="A113" s="126">
        <v>45377</v>
      </c>
      <c r="B113" s="127">
        <v>73</v>
      </c>
      <c r="C113" s="126">
        <v>45377</v>
      </c>
      <c r="D113" s="126"/>
      <c r="E113" s="126"/>
      <c r="F113" s="131" t="s">
        <v>312</v>
      </c>
      <c r="G113" s="134">
        <v>1</v>
      </c>
      <c r="H113" s="134">
        <v>45</v>
      </c>
      <c r="I113" s="136">
        <f t="shared" si="13"/>
        <v>45</v>
      </c>
      <c r="J113" s="135">
        <v>3.4</v>
      </c>
      <c r="K113" s="135">
        <f t="shared" si="15"/>
        <v>153</v>
      </c>
      <c r="L113" s="348"/>
      <c r="M113" s="348"/>
      <c r="N113" s="132"/>
    </row>
    <row r="114" s="2" customFormat="1" spans="1:15">
      <c r="A114" s="126">
        <v>45377</v>
      </c>
      <c r="B114" s="127">
        <v>73</v>
      </c>
      <c r="C114" s="126">
        <v>45377</v>
      </c>
      <c r="D114" s="126"/>
      <c r="E114" s="126"/>
      <c r="F114" s="131" t="s">
        <v>351</v>
      </c>
      <c r="G114" s="134">
        <v>1</v>
      </c>
      <c r="H114" s="134">
        <v>5.5</v>
      </c>
      <c r="I114" s="136">
        <f t="shared" si="13"/>
        <v>5.5</v>
      </c>
      <c r="J114" s="135">
        <v>25</v>
      </c>
      <c r="K114" s="135">
        <f t="shared" si="15"/>
        <v>137.5</v>
      </c>
      <c r="L114" s="348" t="s">
        <v>376</v>
      </c>
      <c r="M114" s="348"/>
      <c r="N114" s="132"/>
    </row>
    <row r="115" s="2" customFormat="1" spans="1:15">
      <c r="A115" s="126">
        <v>45377</v>
      </c>
      <c r="B115" s="127">
        <v>73</v>
      </c>
      <c r="C115" s="126">
        <v>45377</v>
      </c>
      <c r="D115" s="126"/>
      <c r="E115" s="126"/>
      <c r="F115" s="131" t="s">
        <v>313</v>
      </c>
      <c r="G115" s="134">
        <v>1</v>
      </c>
      <c r="H115" s="134">
        <v>7.5</v>
      </c>
      <c r="I115" s="136">
        <f t="shared" si="13"/>
        <v>7.5</v>
      </c>
      <c r="J115" s="135">
        <v>45</v>
      </c>
      <c r="K115" s="135">
        <f t="shared" si="15"/>
        <v>337.5</v>
      </c>
      <c r="L115" s="348"/>
      <c r="M115" s="348"/>
      <c r="N115" s="132"/>
    </row>
    <row r="116" s="2" customFormat="1" spans="1:15">
      <c r="A116" s="126">
        <v>45377</v>
      </c>
      <c r="B116" s="127">
        <v>73</v>
      </c>
      <c r="C116" s="126">
        <v>45377</v>
      </c>
      <c r="D116" s="126"/>
      <c r="E116" s="126"/>
      <c r="F116" s="133" t="s">
        <v>309</v>
      </c>
      <c r="G116" s="134">
        <v>1</v>
      </c>
      <c r="H116" s="134">
        <v>9</v>
      </c>
      <c r="I116" s="136">
        <f t="shared" si="13"/>
        <v>9</v>
      </c>
      <c r="J116" s="135">
        <v>18</v>
      </c>
      <c r="K116" s="135">
        <f t="shared" si="15"/>
        <v>162</v>
      </c>
      <c r="L116" s="348" t="s">
        <v>377</v>
      </c>
      <c r="M116" s="348"/>
      <c r="N116" s="132"/>
    </row>
    <row r="117" s="2" customFormat="1" spans="1:15">
      <c r="A117" s="126">
        <v>45377</v>
      </c>
      <c r="B117" s="127">
        <v>73</v>
      </c>
      <c r="C117" s="126">
        <v>45377</v>
      </c>
      <c r="D117" s="126"/>
      <c r="E117" s="126"/>
      <c r="F117" s="254" t="s">
        <v>378</v>
      </c>
      <c r="G117" s="139">
        <v>1</v>
      </c>
      <c r="H117" s="139">
        <f>SUM(H108:H116)</f>
        <v>272.4</v>
      </c>
      <c r="I117" s="114">
        <f t="shared" si="13"/>
        <v>272.4</v>
      </c>
      <c r="J117" s="135">
        <v>2.3</v>
      </c>
      <c r="K117" s="115">
        <f t="shared" si="15"/>
        <v>626.52</v>
      </c>
      <c r="L117" s="131" t="s">
        <v>379</v>
      </c>
      <c r="M117" s="131" t="s">
        <v>380</v>
      </c>
      <c r="N117" s="132"/>
    </row>
    <row r="118" s="2" customFormat="1" spans="1:15">
      <c r="A118" s="126">
        <v>45377</v>
      </c>
      <c r="B118" s="127">
        <v>73</v>
      </c>
      <c r="C118" s="126">
        <v>45377</v>
      </c>
      <c r="D118" s="126"/>
      <c r="E118" s="126"/>
      <c r="F118" s="131" t="s">
        <v>316</v>
      </c>
      <c r="G118" s="134">
        <v>15</v>
      </c>
      <c r="H118" s="134">
        <v>1</v>
      </c>
      <c r="I118" s="136">
        <f t="shared" si="13"/>
        <v>15</v>
      </c>
      <c r="J118" s="135">
        <v>12.5</v>
      </c>
      <c r="K118" s="271">
        <f t="shared" si="15"/>
        <v>187.5</v>
      </c>
      <c r="L118" s="131">
        <f>SUM(K108:K118)</f>
        <v>2317.12</v>
      </c>
      <c r="M118" s="131"/>
      <c r="N118" s="132"/>
    </row>
    <row r="119" s="1" customFormat="1" spans="1:15">
      <c r="A119" s="51">
        <v>45377</v>
      </c>
      <c r="B119" s="105">
        <v>74</v>
      </c>
      <c r="C119" s="51">
        <v>45377</v>
      </c>
      <c r="D119" s="51"/>
      <c r="E119" s="51"/>
      <c r="F119" s="110" t="s">
        <v>307</v>
      </c>
      <c r="G119" s="107">
        <v>1</v>
      </c>
      <c r="H119" s="107">
        <v>25.7</v>
      </c>
      <c r="I119" s="108">
        <f t="shared" si="13"/>
        <v>25.7</v>
      </c>
      <c r="J119" s="109"/>
      <c r="K119" s="109"/>
      <c r="L119" s="110"/>
      <c r="M119" s="110"/>
      <c r="N119" s="111"/>
    </row>
    <row r="120" s="1" customFormat="1" spans="1:15">
      <c r="A120" s="51">
        <v>45377</v>
      </c>
      <c r="B120" s="105">
        <v>74</v>
      </c>
      <c r="C120" s="51">
        <v>45377</v>
      </c>
      <c r="D120" s="51"/>
      <c r="E120" s="51"/>
      <c r="F120" s="110" t="s">
        <v>308</v>
      </c>
      <c r="G120" s="107">
        <v>1</v>
      </c>
      <c r="H120" s="107">
        <v>4</v>
      </c>
      <c r="I120" s="108">
        <f t="shared" si="13"/>
        <v>4</v>
      </c>
      <c r="J120" s="109"/>
      <c r="K120" s="109"/>
      <c r="L120" s="110"/>
      <c r="M120" s="110"/>
      <c r="N120" s="111"/>
    </row>
    <row r="121" s="1" customFormat="1" spans="1:15">
      <c r="A121" s="51">
        <v>45377</v>
      </c>
      <c r="B121" s="105">
        <v>74</v>
      </c>
      <c r="C121" s="51">
        <v>45377</v>
      </c>
      <c r="D121" s="51"/>
      <c r="E121" s="51"/>
      <c r="F121" s="110" t="s">
        <v>120</v>
      </c>
      <c r="G121" s="107">
        <v>1</v>
      </c>
      <c r="H121" s="107">
        <v>1.6</v>
      </c>
      <c r="I121" s="108">
        <f t="shared" si="13"/>
        <v>1.6</v>
      </c>
      <c r="J121" s="109">
        <v>21</v>
      </c>
      <c r="K121" s="109">
        <f>I121*J121</f>
        <v>33.6</v>
      </c>
      <c r="L121" s="110"/>
      <c r="M121" s="110"/>
      <c r="N121" s="111"/>
    </row>
    <row r="122" s="1" customFormat="1" spans="1:15">
      <c r="A122" s="51">
        <v>45377</v>
      </c>
      <c r="B122" s="105">
        <v>74</v>
      </c>
      <c r="C122" s="51">
        <v>45377</v>
      </c>
      <c r="D122" s="51"/>
      <c r="E122" s="51"/>
      <c r="F122" s="110" t="s">
        <v>339</v>
      </c>
      <c r="G122" s="107">
        <v>1</v>
      </c>
      <c r="H122" s="107">
        <v>12</v>
      </c>
      <c r="I122" s="108">
        <f t="shared" si="13"/>
        <v>12</v>
      </c>
      <c r="J122" s="109">
        <v>0.2</v>
      </c>
      <c r="K122" s="109">
        <f t="shared" ref="K122:K130" si="16">I122*J122</f>
        <v>2.4</v>
      </c>
      <c r="L122" s="110"/>
      <c r="M122" s="110"/>
      <c r="N122" s="111"/>
    </row>
    <row r="123" s="1" customFormat="1" spans="1:15">
      <c r="A123" s="51">
        <v>45377</v>
      </c>
      <c r="B123" s="105">
        <v>74</v>
      </c>
      <c r="C123" s="51">
        <v>45377</v>
      </c>
      <c r="D123" s="51"/>
      <c r="E123" s="51"/>
      <c r="F123" s="110" t="s">
        <v>311</v>
      </c>
      <c r="G123" s="107">
        <v>1</v>
      </c>
      <c r="H123" s="107">
        <v>21</v>
      </c>
      <c r="I123" s="108">
        <f t="shared" si="13"/>
        <v>21</v>
      </c>
      <c r="J123" s="109">
        <v>8.1</v>
      </c>
      <c r="K123" s="109">
        <f t="shared" si="16"/>
        <v>170.1</v>
      </c>
      <c r="L123" s="110"/>
      <c r="M123" s="110"/>
      <c r="N123" s="111"/>
    </row>
    <row r="124" s="1" customFormat="1" spans="1:15">
      <c r="A124" s="51">
        <v>45377</v>
      </c>
      <c r="B124" s="105">
        <v>74</v>
      </c>
      <c r="C124" s="51">
        <v>45377</v>
      </c>
      <c r="D124" s="51"/>
      <c r="E124" s="51"/>
      <c r="F124" s="110" t="s">
        <v>312</v>
      </c>
      <c r="G124" s="107">
        <v>1</v>
      </c>
      <c r="H124" s="107">
        <v>13</v>
      </c>
      <c r="I124" s="108">
        <f t="shared" si="13"/>
        <v>13</v>
      </c>
      <c r="J124" s="109">
        <v>3.4</v>
      </c>
      <c r="K124" s="109">
        <f t="shared" si="16"/>
        <v>44.2</v>
      </c>
      <c r="L124" s="354"/>
      <c r="M124" s="354"/>
      <c r="N124" s="111"/>
    </row>
    <row r="125" s="1" customFormat="1" spans="1:15">
      <c r="A125" s="51">
        <v>45377</v>
      </c>
      <c r="B125" s="105">
        <v>74</v>
      </c>
      <c r="C125" s="51">
        <v>45377</v>
      </c>
      <c r="D125" s="51"/>
      <c r="E125" s="51"/>
      <c r="F125" s="110" t="s">
        <v>351</v>
      </c>
      <c r="G125" s="107">
        <v>1</v>
      </c>
      <c r="H125" s="107">
        <v>2</v>
      </c>
      <c r="I125" s="108">
        <f t="shared" si="13"/>
        <v>2</v>
      </c>
      <c r="J125" s="109">
        <v>25</v>
      </c>
      <c r="K125" s="109">
        <f t="shared" si="16"/>
        <v>50</v>
      </c>
      <c r="L125" s="354" t="s">
        <v>381</v>
      </c>
      <c r="M125" s="354"/>
      <c r="N125" s="111"/>
    </row>
    <row r="126" s="1" customFormat="1" spans="1:15">
      <c r="A126" s="51">
        <v>45377</v>
      </c>
      <c r="B126" s="105">
        <v>74</v>
      </c>
      <c r="C126" s="51">
        <v>45377</v>
      </c>
      <c r="D126" s="51"/>
      <c r="E126" s="51"/>
      <c r="F126" s="110" t="s">
        <v>125</v>
      </c>
      <c r="G126" s="107">
        <v>1</v>
      </c>
      <c r="H126" s="107">
        <v>2.5</v>
      </c>
      <c r="I126" s="108">
        <f t="shared" si="13"/>
        <v>2.5</v>
      </c>
      <c r="J126" s="109">
        <v>25</v>
      </c>
      <c r="K126" s="109">
        <f t="shared" si="16"/>
        <v>62.5</v>
      </c>
      <c r="L126" s="354"/>
      <c r="M126" s="354"/>
      <c r="N126" s="111"/>
    </row>
    <row r="127" s="1" customFormat="1" spans="1:15">
      <c r="A127" s="51">
        <v>45377</v>
      </c>
      <c r="B127" s="105">
        <v>74</v>
      </c>
      <c r="C127" s="51">
        <v>45377</v>
      </c>
      <c r="D127" s="51"/>
      <c r="E127" s="51"/>
      <c r="F127" s="110" t="s">
        <v>313</v>
      </c>
      <c r="G127" s="107">
        <v>1</v>
      </c>
      <c r="H127" s="107">
        <v>1.8</v>
      </c>
      <c r="I127" s="108">
        <f t="shared" ref="I127:I180" si="17">G127*H127</f>
        <v>1.8</v>
      </c>
      <c r="J127" s="109">
        <v>45</v>
      </c>
      <c r="K127" s="109">
        <f t="shared" si="16"/>
        <v>81</v>
      </c>
      <c r="L127" s="354"/>
      <c r="M127" s="354"/>
      <c r="N127" s="111"/>
      <c r="O127" s="355"/>
    </row>
    <row r="128" s="1" customFormat="1" spans="1:15">
      <c r="A128" s="51">
        <v>45377</v>
      </c>
      <c r="B128" s="105">
        <v>74</v>
      </c>
      <c r="C128" s="51">
        <v>45377</v>
      </c>
      <c r="D128" s="51"/>
      <c r="E128" s="51"/>
      <c r="F128" s="110" t="s">
        <v>309</v>
      </c>
      <c r="G128" s="107">
        <v>1</v>
      </c>
      <c r="H128" s="107">
        <v>7.7</v>
      </c>
      <c r="I128" s="108">
        <f t="shared" si="17"/>
        <v>7.7</v>
      </c>
      <c r="J128" s="109">
        <v>18</v>
      </c>
      <c r="K128" s="109">
        <f t="shared" si="16"/>
        <v>138.6</v>
      </c>
      <c r="L128" s="354" t="s">
        <v>346</v>
      </c>
      <c r="M128" s="354"/>
      <c r="N128" s="111"/>
    </row>
    <row r="129" s="1" customFormat="1" spans="1:14">
      <c r="A129" s="51">
        <v>45377</v>
      </c>
      <c r="B129" s="105">
        <v>74</v>
      </c>
      <c r="C129" s="51">
        <v>45377</v>
      </c>
      <c r="D129" s="51"/>
      <c r="E129" s="51"/>
      <c r="F129" s="254" t="s">
        <v>382</v>
      </c>
      <c r="G129" s="139">
        <v>1</v>
      </c>
      <c r="H129" s="139">
        <f>SUM(H119:H128)</f>
        <v>91.3</v>
      </c>
      <c r="I129" s="114">
        <f t="shared" si="17"/>
        <v>91.3</v>
      </c>
      <c r="J129" s="109">
        <v>2.3</v>
      </c>
      <c r="K129" s="115">
        <f t="shared" si="16"/>
        <v>209.99</v>
      </c>
      <c r="L129" s="110" t="s">
        <v>383</v>
      </c>
      <c r="M129" s="110" t="s">
        <v>380</v>
      </c>
      <c r="N129" s="111"/>
    </row>
    <row r="130" s="1" customFormat="1" spans="1:14">
      <c r="A130" s="51">
        <v>45377</v>
      </c>
      <c r="B130" s="105">
        <v>74</v>
      </c>
      <c r="C130" s="51">
        <v>45377</v>
      </c>
      <c r="D130" s="51"/>
      <c r="E130" s="51"/>
      <c r="F130" s="110" t="s">
        <v>316</v>
      </c>
      <c r="G130" s="107">
        <v>5</v>
      </c>
      <c r="H130" s="107">
        <v>1</v>
      </c>
      <c r="I130" s="108">
        <f t="shared" si="17"/>
        <v>5</v>
      </c>
      <c r="J130" s="109">
        <v>12.5</v>
      </c>
      <c r="K130" s="271">
        <f t="shared" si="16"/>
        <v>62.5</v>
      </c>
      <c r="L130" s="110">
        <f>SUM(K119:K130)</f>
        <v>854.89</v>
      </c>
      <c r="M130" s="110"/>
      <c r="N130" s="111"/>
    </row>
    <row r="131" s="2" customFormat="1" spans="1:14">
      <c r="A131" s="126">
        <v>45377</v>
      </c>
      <c r="B131" s="127">
        <v>75</v>
      </c>
      <c r="C131" s="126">
        <v>45377</v>
      </c>
      <c r="D131" s="126"/>
      <c r="E131" s="126"/>
      <c r="F131" s="131" t="s">
        <v>307</v>
      </c>
      <c r="G131" s="134">
        <v>1</v>
      </c>
      <c r="H131" s="134">
        <v>7.5</v>
      </c>
      <c r="I131" s="136">
        <f t="shared" si="17"/>
        <v>7.5</v>
      </c>
      <c r="J131" s="135"/>
      <c r="K131" s="135"/>
      <c r="L131" s="131"/>
      <c r="M131" s="131"/>
      <c r="N131" s="132"/>
    </row>
    <row r="132" s="2" customFormat="1" spans="1:14">
      <c r="A132" s="126">
        <v>45377</v>
      </c>
      <c r="B132" s="127">
        <v>75</v>
      </c>
      <c r="C132" s="126">
        <v>45377</v>
      </c>
      <c r="D132" s="126"/>
      <c r="E132" s="126"/>
      <c r="F132" s="131" t="s">
        <v>308</v>
      </c>
      <c r="G132" s="134">
        <v>1</v>
      </c>
      <c r="H132" s="134">
        <v>2</v>
      </c>
      <c r="I132" s="136">
        <f t="shared" si="17"/>
        <v>2</v>
      </c>
      <c r="J132" s="135"/>
      <c r="K132" s="135"/>
      <c r="L132" s="131"/>
      <c r="M132" s="131"/>
      <c r="N132" s="132"/>
    </row>
    <row r="133" s="2" customFormat="1" spans="1:14">
      <c r="A133" s="126">
        <v>45377</v>
      </c>
      <c r="B133" s="127">
        <v>75</v>
      </c>
      <c r="C133" s="126">
        <v>45377</v>
      </c>
      <c r="D133" s="126"/>
      <c r="E133" s="126"/>
      <c r="F133" s="131" t="s">
        <v>120</v>
      </c>
      <c r="G133" s="134">
        <v>1</v>
      </c>
      <c r="H133" s="134">
        <v>1</v>
      </c>
      <c r="I133" s="136">
        <f t="shared" si="17"/>
        <v>1</v>
      </c>
      <c r="J133" s="135">
        <v>21</v>
      </c>
      <c r="K133" s="135">
        <f t="shared" ref="K133:K141" si="18">I133*J133</f>
        <v>21</v>
      </c>
      <c r="L133" s="131"/>
      <c r="M133" s="131"/>
      <c r="N133" s="132"/>
    </row>
    <row r="134" s="2" customFormat="1" spans="1:14">
      <c r="A134" s="126">
        <v>45377</v>
      </c>
      <c r="B134" s="127">
        <v>75</v>
      </c>
      <c r="C134" s="126">
        <v>45377</v>
      </c>
      <c r="D134" s="126"/>
      <c r="E134" s="126"/>
      <c r="F134" s="131" t="s">
        <v>339</v>
      </c>
      <c r="G134" s="134">
        <v>1</v>
      </c>
      <c r="H134" s="134">
        <v>6</v>
      </c>
      <c r="I134" s="136">
        <f t="shared" si="17"/>
        <v>6</v>
      </c>
      <c r="J134" s="135">
        <v>0.2</v>
      </c>
      <c r="K134" s="135">
        <f t="shared" si="18"/>
        <v>1.2</v>
      </c>
      <c r="L134" s="131"/>
      <c r="M134" s="131"/>
      <c r="N134" s="132"/>
    </row>
    <row r="135" s="2" customFormat="1" spans="1:14">
      <c r="A135" s="126">
        <v>45377</v>
      </c>
      <c r="B135" s="127">
        <v>75</v>
      </c>
      <c r="C135" s="126">
        <v>45377</v>
      </c>
      <c r="D135" s="126"/>
      <c r="E135" s="126"/>
      <c r="F135" s="131" t="s">
        <v>311</v>
      </c>
      <c r="G135" s="134">
        <v>1</v>
      </c>
      <c r="H135" s="134">
        <v>8</v>
      </c>
      <c r="I135" s="136">
        <f t="shared" si="17"/>
        <v>8</v>
      </c>
      <c r="J135" s="135">
        <v>8.1</v>
      </c>
      <c r="K135" s="135">
        <f t="shared" si="18"/>
        <v>64.8</v>
      </c>
      <c r="L135" s="131"/>
      <c r="M135" s="131"/>
      <c r="N135" s="132"/>
    </row>
    <row r="136" s="2" customFormat="1" spans="1:14">
      <c r="A136" s="126">
        <v>45377</v>
      </c>
      <c r="B136" s="127">
        <v>75</v>
      </c>
      <c r="C136" s="126">
        <v>45377</v>
      </c>
      <c r="D136" s="126"/>
      <c r="E136" s="126"/>
      <c r="F136" s="131" t="s">
        <v>312</v>
      </c>
      <c r="G136" s="134">
        <v>1</v>
      </c>
      <c r="H136" s="134">
        <v>6</v>
      </c>
      <c r="I136" s="136">
        <f t="shared" si="17"/>
        <v>6</v>
      </c>
      <c r="J136" s="135">
        <v>3.4</v>
      </c>
      <c r="K136" s="135">
        <f t="shared" si="18"/>
        <v>20.4</v>
      </c>
      <c r="L136" s="131"/>
      <c r="M136" s="131"/>
      <c r="N136" s="132"/>
    </row>
    <row r="137" s="2" customFormat="1" spans="1:14">
      <c r="A137" s="126">
        <v>45377</v>
      </c>
      <c r="B137" s="127">
        <v>75</v>
      </c>
      <c r="C137" s="126">
        <v>45377</v>
      </c>
      <c r="D137" s="126"/>
      <c r="E137" s="126"/>
      <c r="F137" s="131" t="s">
        <v>351</v>
      </c>
      <c r="G137" s="134">
        <v>1</v>
      </c>
      <c r="H137" s="134">
        <v>2</v>
      </c>
      <c r="I137" s="136">
        <f t="shared" si="17"/>
        <v>2</v>
      </c>
      <c r="J137" s="135">
        <v>25</v>
      </c>
      <c r="K137" s="135">
        <f t="shared" si="18"/>
        <v>50</v>
      </c>
      <c r="L137" s="348" t="s">
        <v>384</v>
      </c>
      <c r="M137" s="348"/>
      <c r="N137" s="132"/>
    </row>
    <row r="138" s="2" customFormat="1" spans="1:14">
      <c r="A138" s="126">
        <v>45377</v>
      </c>
      <c r="B138" s="127">
        <v>75</v>
      </c>
      <c r="C138" s="126">
        <v>45377</v>
      </c>
      <c r="D138" s="126"/>
      <c r="E138" s="126"/>
      <c r="F138" s="131" t="s">
        <v>385</v>
      </c>
      <c r="G138" s="134">
        <v>1</v>
      </c>
      <c r="H138" s="134">
        <v>0.8</v>
      </c>
      <c r="I138" s="136">
        <f t="shared" si="17"/>
        <v>0.8</v>
      </c>
      <c r="J138" s="135">
        <v>45</v>
      </c>
      <c r="K138" s="135">
        <f t="shared" si="18"/>
        <v>36</v>
      </c>
      <c r="L138" s="348"/>
      <c r="M138" s="348"/>
      <c r="N138" s="132"/>
    </row>
    <row r="139" s="2" customFormat="1" spans="1:14">
      <c r="A139" s="126">
        <v>45377</v>
      </c>
      <c r="B139" s="127">
        <v>75</v>
      </c>
      <c r="C139" s="126">
        <v>45377</v>
      </c>
      <c r="D139" s="126"/>
      <c r="E139" s="126"/>
      <c r="F139" s="131" t="s">
        <v>386</v>
      </c>
      <c r="G139" s="134">
        <v>1</v>
      </c>
      <c r="H139" s="134">
        <v>3.5</v>
      </c>
      <c r="I139" s="136">
        <f t="shared" si="17"/>
        <v>3.5</v>
      </c>
      <c r="J139" s="135">
        <v>45</v>
      </c>
      <c r="K139" s="135">
        <f t="shared" si="18"/>
        <v>157.5</v>
      </c>
      <c r="L139" s="348" t="s">
        <v>377</v>
      </c>
      <c r="M139" s="348"/>
      <c r="N139" s="132"/>
    </row>
    <row r="140" s="2" customFormat="1" spans="1:14">
      <c r="A140" s="126">
        <v>45377</v>
      </c>
      <c r="B140" s="127">
        <v>75</v>
      </c>
      <c r="C140" s="126">
        <v>45377</v>
      </c>
      <c r="D140" s="126"/>
      <c r="E140" s="126"/>
      <c r="F140" s="254" t="s">
        <v>387</v>
      </c>
      <c r="G140" s="139">
        <v>1</v>
      </c>
      <c r="H140" s="139">
        <f>SUM(H131:H139)</f>
        <v>36.8</v>
      </c>
      <c r="I140" s="114">
        <f t="shared" si="17"/>
        <v>36.8</v>
      </c>
      <c r="J140" s="135">
        <v>2.3</v>
      </c>
      <c r="K140" s="115">
        <f t="shared" si="18"/>
        <v>84.64</v>
      </c>
      <c r="L140" s="131" t="s">
        <v>388</v>
      </c>
      <c r="M140" s="131" t="s">
        <v>380</v>
      </c>
      <c r="N140" s="132"/>
    </row>
    <row r="141" s="2" customFormat="1" spans="1:14">
      <c r="A141" s="126">
        <v>45377</v>
      </c>
      <c r="B141" s="127">
        <v>75</v>
      </c>
      <c r="C141" s="126">
        <v>45377</v>
      </c>
      <c r="D141" s="126"/>
      <c r="E141" s="126"/>
      <c r="F141" s="131" t="s">
        <v>316</v>
      </c>
      <c r="G141" s="134">
        <v>2</v>
      </c>
      <c r="H141" s="134">
        <v>1</v>
      </c>
      <c r="I141" s="136">
        <f t="shared" si="17"/>
        <v>2</v>
      </c>
      <c r="J141" s="135">
        <v>12.5</v>
      </c>
      <c r="K141" s="271">
        <f t="shared" si="18"/>
        <v>25</v>
      </c>
      <c r="L141" s="131">
        <f>SUM(K131:K141)</f>
        <v>460.54</v>
      </c>
      <c r="M141" s="131"/>
      <c r="N141" s="132"/>
    </row>
    <row r="142" s="1" customFormat="1" spans="1:14">
      <c r="A142" s="51">
        <v>45390</v>
      </c>
      <c r="B142" s="105">
        <v>21</v>
      </c>
      <c r="C142" s="51">
        <v>45390</v>
      </c>
      <c r="D142" s="51"/>
      <c r="E142" s="51"/>
      <c r="F142" s="137" t="s">
        <v>389</v>
      </c>
      <c r="G142" s="107">
        <v>1</v>
      </c>
      <c r="H142" s="262">
        <v>172</v>
      </c>
      <c r="I142" s="108">
        <f t="shared" si="17"/>
        <v>172</v>
      </c>
      <c r="J142" s="109"/>
      <c r="K142" s="109"/>
      <c r="L142" s="110"/>
      <c r="M142" s="110"/>
      <c r="N142" s="111"/>
    </row>
    <row r="143" s="1" customFormat="1" spans="1:14">
      <c r="A143" s="51">
        <v>45390</v>
      </c>
      <c r="B143" s="105">
        <v>21</v>
      </c>
      <c r="C143" s="51">
        <v>45390</v>
      </c>
      <c r="D143" s="51"/>
      <c r="E143" s="51"/>
      <c r="F143" s="110" t="s">
        <v>120</v>
      </c>
      <c r="G143" s="107">
        <v>1</v>
      </c>
      <c r="H143" s="107">
        <v>5</v>
      </c>
      <c r="I143" s="108">
        <f t="shared" si="17"/>
        <v>5</v>
      </c>
      <c r="J143" s="109">
        <v>21</v>
      </c>
      <c r="K143" s="109">
        <f t="shared" ref="K143:K147" si="19">I143*J143</f>
        <v>105</v>
      </c>
      <c r="L143" s="110"/>
      <c r="M143" s="110"/>
      <c r="N143" s="111"/>
    </row>
    <row r="144" s="1" customFormat="1" spans="1:14">
      <c r="A144" s="51">
        <v>45390</v>
      </c>
      <c r="B144" s="105">
        <v>21</v>
      </c>
      <c r="C144" s="51">
        <v>45390</v>
      </c>
      <c r="D144" s="51"/>
      <c r="E144" s="51"/>
      <c r="F144" s="110" t="s">
        <v>339</v>
      </c>
      <c r="G144" s="107">
        <v>1</v>
      </c>
      <c r="H144" s="107">
        <v>100</v>
      </c>
      <c r="I144" s="108">
        <f t="shared" si="17"/>
        <v>100</v>
      </c>
      <c r="J144" s="109">
        <v>0.2</v>
      </c>
      <c r="K144" s="109">
        <f t="shared" si="19"/>
        <v>20</v>
      </c>
      <c r="L144" s="110"/>
      <c r="M144" s="110"/>
      <c r="N144" s="111"/>
    </row>
    <row r="145" s="1" customFormat="1" spans="1:14">
      <c r="A145" s="51">
        <v>45390</v>
      </c>
      <c r="B145" s="105">
        <v>21</v>
      </c>
      <c r="C145" s="51">
        <v>45390</v>
      </c>
      <c r="D145" s="51"/>
      <c r="E145" s="51"/>
      <c r="F145" s="110" t="s">
        <v>311</v>
      </c>
      <c r="G145" s="107">
        <v>1</v>
      </c>
      <c r="H145" s="107">
        <v>28</v>
      </c>
      <c r="I145" s="108">
        <f t="shared" si="17"/>
        <v>28</v>
      </c>
      <c r="J145" s="109">
        <v>8.7</v>
      </c>
      <c r="K145" s="109">
        <f t="shared" si="19"/>
        <v>243.6</v>
      </c>
      <c r="L145" s="111"/>
      <c r="M145" s="110"/>
      <c r="N145" s="111"/>
    </row>
    <row r="146" s="1" customFormat="1" spans="1:14">
      <c r="A146" s="51">
        <v>45390</v>
      </c>
      <c r="B146" s="105">
        <v>21</v>
      </c>
      <c r="C146" s="51">
        <v>45390</v>
      </c>
      <c r="D146" s="51"/>
      <c r="E146" s="51"/>
      <c r="F146" s="110" t="s">
        <v>312</v>
      </c>
      <c r="G146" s="107">
        <v>1</v>
      </c>
      <c r="H146" s="107">
        <v>20</v>
      </c>
      <c r="I146" s="108">
        <f t="shared" si="17"/>
        <v>20</v>
      </c>
      <c r="J146" s="109">
        <v>3.6</v>
      </c>
      <c r="K146" s="109">
        <f t="shared" si="19"/>
        <v>72</v>
      </c>
      <c r="L146" s="111"/>
      <c r="M146" s="110"/>
      <c r="N146" s="111"/>
    </row>
    <row r="147" s="1" customFormat="1" spans="1:14">
      <c r="A147" s="51">
        <v>45390</v>
      </c>
      <c r="B147" s="105">
        <v>21</v>
      </c>
      <c r="C147" s="51">
        <v>45390</v>
      </c>
      <c r="D147" s="51"/>
      <c r="E147" s="51"/>
      <c r="F147" s="110" t="s">
        <v>309</v>
      </c>
      <c r="G147" s="107">
        <v>1</v>
      </c>
      <c r="H147" s="107">
        <v>70</v>
      </c>
      <c r="I147" s="108">
        <f t="shared" si="17"/>
        <v>70</v>
      </c>
      <c r="J147" s="109">
        <v>18</v>
      </c>
      <c r="K147" s="109">
        <f t="shared" si="19"/>
        <v>1260</v>
      </c>
      <c r="L147" s="111" t="s">
        <v>356</v>
      </c>
      <c r="M147" s="110"/>
      <c r="N147" s="111"/>
    </row>
    <row r="148" s="1" customFormat="1" spans="1:14">
      <c r="A148" s="51">
        <v>45390</v>
      </c>
      <c r="B148" s="105">
        <v>21</v>
      </c>
      <c r="C148" s="51">
        <v>45390</v>
      </c>
      <c r="D148" s="51"/>
      <c r="E148" s="51"/>
      <c r="F148" s="110" t="s">
        <v>390</v>
      </c>
      <c r="G148" s="107">
        <v>1</v>
      </c>
      <c r="H148" s="107">
        <v>47</v>
      </c>
      <c r="I148" s="108">
        <f t="shared" si="17"/>
        <v>47</v>
      </c>
      <c r="J148" s="109"/>
      <c r="K148" s="109"/>
      <c r="L148" s="1" t="s">
        <v>358</v>
      </c>
      <c r="M148" s="354"/>
      <c r="N148" s="111"/>
    </row>
    <row r="149" s="1" customFormat="1" spans="1:14">
      <c r="A149" s="51">
        <v>45390</v>
      </c>
      <c r="B149" s="105">
        <v>21</v>
      </c>
      <c r="C149" s="51">
        <v>45390</v>
      </c>
      <c r="D149" s="51"/>
      <c r="E149" s="51"/>
      <c r="F149" s="110" t="s">
        <v>359</v>
      </c>
      <c r="G149" s="107">
        <v>1</v>
      </c>
      <c r="H149" s="107">
        <v>2</v>
      </c>
      <c r="I149" s="108">
        <f t="shared" si="17"/>
        <v>2</v>
      </c>
      <c r="J149" s="109"/>
      <c r="K149" s="109"/>
      <c r="L149" s="354" t="s">
        <v>360</v>
      </c>
      <c r="M149" s="354"/>
      <c r="N149" s="111"/>
    </row>
    <row r="150" s="1" customFormat="1" spans="1:14">
      <c r="A150" s="51">
        <v>45390</v>
      </c>
      <c r="B150" s="105">
        <v>21</v>
      </c>
      <c r="C150" s="51">
        <v>45390</v>
      </c>
      <c r="D150" s="51"/>
      <c r="E150" s="51"/>
      <c r="F150" s="110" t="s">
        <v>361</v>
      </c>
      <c r="G150" s="107">
        <v>1</v>
      </c>
      <c r="H150" s="107">
        <v>0.04</v>
      </c>
      <c r="I150" s="108">
        <f t="shared" si="17"/>
        <v>0.04</v>
      </c>
      <c r="J150" s="109"/>
      <c r="K150" s="109"/>
      <c r="L150" s="110">
        <f>SUM(K142:K151)</f>
        <v>2721.892</v>
      </c>
      <c r="M150" s="110"/>
      <c r="N150" s="111"/>
    </row>
    <row r="151" s="1" customFormat="1" spans="1:14">
      <c r="A151" s="51">
        <v>45390</v>
      </c>
      <c r="B151" s="105">
        <v>21</v>
      </c>
      <c r="C151" s="51">
        <v>45390</v>
      </c>
      <c r="D151" s="51"/>
      <c r="E151" s="51"/>
      <c r="F151" s="254" t="s">
        <v>362</v>
      </c>
      <c r="G151" s="139">
        <v>1</v>
      </c>
      <c r="H151" s="139">
        <f>SUM(H142:H150)</f>
        <v>444.04</v>
      </c>
      <c r="I151" s="114">
        <f t="shared" si="17"/>
        <v>444.04</v>
      </c>
      <c r="J151" s="115">
        <v>2.3</v>
      </c>
      <c r="K151" s="109">
        <f>I151*J151</f>
        <v>1021.292</v>
      </c>
      <c r="L151" s="354" t="s">
        <v>391</v>
      </c>
      <c r="M151" s="353" t="s">
        <v>364</v>
      </c>
      <c r="N151" s="111"/>
    </row>
    <row r="152" s="1" customFormat="1" spans="1:14">
      <c r="A152" s="51">
        <v>45390</v>
      </c>
      <c r="B152" s="105">
        <v>21</v>
      </c>
      <c r="C152" s="51">
        <v>45390</v>
      </c>
      <c r="D152" s="51"/>
      <c r="E152" s="51"/>
      <c r="F152" s="110" t="s">
        <v>316</v>
      </c>
      <c r="G152" s="107">
        <v>22</v>
      </c>
      <c r="H152" s="107">
        <v>1</v>
      </c>
      <c r="I152" s="108">
        <f t="shared" si="17"/>
        <v>22</v>
      </c>
      <c r="J152" s="109">
        <v>12.5</v>
      </c>
      <c r="K152" s="109">
        <f>I152*J152</f>
        <v>275</v>
      </c>
      <c r="L152" s="110"/>
      <c r="M152" s="353"/>
      <c r="N152" s="111"/>
    </row>
    <row r="153" s="1" customFormat="1" spans="1:14">
      <c r="A153" s="51">
        <v>45390</v>
      </c>
      <c r="B153" s="105">
        <v>21</v>
      </c>
      <c r="C153" s="51">
        <v>45390</v>
      </c>
      <c r="D153" s="51"/>
      <c r="E153" s="51"/>
      <c r="F153" s="110" t="s">
        <v>368</v>
      </c>
      <c r="G153" s="107">
        <v>22</v>
      </c>
      <c r="H153" s="107">
        <v>1</v>
      </c>
      <c r="I153" s="108">
        <f t="shared" si="17"/>
        <v>22</v>
      </c>
      <c r="J153" s="109">
        <v>2.6</v>
      </c>
      <c r="K153" s="109">
        <f>I153*J153</f>
        <v>57.2</v>
      </c>
      <c r="L153" s="110">
        <f>SUM(K142:K153)</f>
        <v>3054.092</v>
      </c>
      <c r="M153" s="353"/>
      <c r="N153" s="111"/>
    </row>
    <row r="154" s="2" customFormat="1" spans="1:14">
      <c r="A154" s="126">
        <v>45390</v>
      </c>
      <c r="B154" s="127">
        <v>22</v>
      </c>
      <c r="C154" s="126">
        <v>45390</v>
      </c>
      <c r="D154" s="126"/>
      <c r="E154" s="126"/>
      <c r="F154" s="137" t="s">
        <v>389</v>
      </c>
      <c r="G154" s="134">
        <v>1</v>
      </c>
      <c r="H154" s="262">
        <v>6</v>
      </c>
      <c r="I154" s="136">
        <f t="shared" si="17"/>
        <v>6</v>
      </c>
      <c r="J154" s="135"/>
      <c r="K154" s="135"/>
      <c r="L154" s="131"/>
      <c r="M154" s="131"/>
      <c r="N154" s="132"/>
    </row>
    <row r="155" s="2" customFormat="1" spans="1:14">
      <c r="A155" s="126">
        <v>45390</v>
      </c>
      <c r="B155" s="127">
        <v>22</v>
      </c>
      <c r="C155" s="126">
        <v>45390</v>
      </c>
      <c r="D155" s="126"/>
      <c r="E155" s="126"/>
      <c r="F155" s="131" t="s">
        <v>120</v>
      </c>
      <c r="G155" s="134">
        <v>1</v>
      </c>
      <c r="H155" s="134">
        <v>0.2</v>
      </c>
      <c r="I155" s="136">
        <f t="shared" si="17"/>
        <v>0.2</v>
      </c>
      <c r="J155" s="135">
        <v>21</v>
      </c>
      <c r="K155" s="135">
        <f>I155*J155</f>
        <v>4.2</v>
      </c>
      <c r="L155" s="131"/>
      <c r="M155" s="131"/>
      <c r="N155" s="132"/>
    </row>
    <row r="156" s="2" customFormat="1" spans="1:14">
      <c r="A156" s="126">
        <v>45390</v>
      </c>
      <c r="B156" s="127">
        <v>22</v>
      </c>
      <c r="C156" s="126">
        <v>45390</v>
      </c>
      <c r="D156" s="126"/>
      <c r="E156" s="126"/>
      <c r="F156" s="131" t="s">
        <v>339</v>
      </c>
      <c r="G156" s="134">
        <v>1</v>
      </c>
      <c r="H156" s="134">
        <v>1</v>
      </c>
      <c r="I156" s="136">
        <f t="shared" si="17"/>
        <v>1</v>
      </c>
      <c r="J156" s="135">
        <v>0.2</v>
      </c>
      <c r="K156" s="135">
        <f>I156*J156</f>
        <v>0.2</v>
      </c>
      <c r="L156" s="131"/>
      <c r="M156" s="131"/>
      <c r="N156" s="132"/>
    </row>
    <row r="157" s="2" customFormat="1" spans="1:14">
      <c r="A157" s="126">
        <v>45390</v>
      </c>
      <c r="B157" s="127">
        <v>22</v>
      </c>
      <c r="C157" s="126">
        <v>45390</v>
      </c>
      <c r="D157" s="126"/>
      <c r="E157" s="126"/>
      <c r="F157" s="131" t="s">
        <v>340</v>
      </c>
      <c r="G157" s="134">
        <v>1</v>
      </c>
      <c r="H157" s="134">
        <v>3</v>
      </c>
      <c r="I157" s="136">
        <f t="shared" si="17"/>
        <v>3</v>
      </c>
      <c r="J157" s="135">
        <v>25.5</v>
      </c>
      <c r="K157" s="135">
        <f>I157*J157</f>
        <v>76.5</v>
      </c>
      <c r="L157" s="131"/>
      <c r="M157" s="131"/>
      <c r="N157" s="132"/>
    </row>
    <row r="158" s="2" customFormat="1" spans="1:14">
      <c r="A158" s="126">
        <v>45390</v>
      </c>
      <c r="B158" s="127">
        <v>22</v>
      </c>
      <c r="C158" s="126">
        <v>45390</v>
      </c>
      <c r="D158" s="126"/>
      <c r="E158" s="126"/>
      <c r="F158" s="131" t="s">
        <v>311</v>
      </c>
      <c r="G158" s="134">
        <v>1</v>
      </c>
      <c r="H158" s="134">
        <v>1.5</v>
      </c>
      <c r="I158" s="136">
        <f t="shared" si="17"/>
        <v>1.5</v>
      </c>
      <c r="J158" s="135">
        <v>8.7</v>
      </c>
      <c r="K158" s="135">
        <f>I158*J158</f>
        <v>13.05</v>
      </c>
      <c r="L158" s="132"/>
      <c r="M158" s="131"/>
      <c r="N158" s="132"/>
    </row>
    <row r="159" s="2" customFormat="1" spans="1:14">
      <c r="A159" s="126">
        <v>45390</v>
      </c>
      <c r="B159" s="127">
        <v>22</v>
      </c>
      <c r="C159" s="126">
        <v>45390</v>
      </c>
      <c r="D159" s="126"/>
      <c r="E159" s="126"/>
      <c r="F159" s="131" t="s">
        <v>312</v>
      </c>
      <c r="G159" s="134">
        <v>1</v>
      </c>
      <c r="H159" s="134">
        <v>1</v>
      </c>
      <c r="I159" s="136">
        <f t="shared" si="17"/>
        <v>1</v>
      </c>
      <c r="J159" s="135">
        <v>3.6</v>
      </c>
      <c r="K159" s="135">
        <f>I159*J159</f>
        <v>3.6</v>
      </c>
      <c r="L159" s="132"/>
      <c r="M159" s="131"/>
      <c r="N159" s="132"/>
    </row>
    <row r="160" s="2" customFormat="1" spans="1:14">
      <c r="A160" s="126">
        <v>45390</v>
      </c>
      <c r="B160" s="127">
        <v>22</v>
      </c>
      <c r="C160" s="126">
        <v>45390</v>
      </c>
      <c r="D160" s="126"/>
      <c r="E160" s="126"/>
      <c r="F160" s="131" t="s">
        <v>390</v>
      </c>
      <c r="G160" s="134">
        <v>1</v>
      </c>
      <c r="H160" s="134">
        <v>1.5</v>
      </c>
      <c r="I160" s="136">
        <f t="shared" si="17"/>
        <v>1.5</v>
      </c>
      <c r="J160" s="135"/>
      <c r="K160" s="135"/>
      <c r="L160" s="2" t="s">
        <v>358</v>
      </c>
      <c r="M160" s="348"/>
      <c r="N160" s="132"/>
    </row>
    <row r="161" s="2" customFormat="1" spans="1:14">
      <c r="A161" s="126">
        <v>45390</v>
      </c>
      <c r="B161" s="127">
        <v>22</v>
      </c>
      <c r="C161" s="126">
        <v>45390</v>
      </c>
      <c r="D161" s="126"/>
      <c r="E161" s="126"/>
      <c r="F161" s="131" t="s">
        <v>359</v>
      </c>
      <c r="G161" s="134">
        <v>1</v>
      </c>
      <c r="H161" s="134">
        <v>0.09</v>
      </c>
      <c r="I161" s="136">
        <f t="shared" si="17"/>
        <v>0.09</v>
      </c>
      <c r="J161" s="135"/>
      <c r="K161" s="135"/>
      <c r="L161" s="348" t="s">
        <v>360</v>
      </c>
      <c r="M161" s="348"/>
      <c r="N161" s="132"/>
    </row>
    <row r="162" s="2" customFormat="1" spans="1:14">
      <c r="A162" s="126">
        <v>45390</v>
      </c>
      <c r="B162" s="127">
        <v>22</v>
      </c>
      <c r="C162" s="126">
        <v>45390</v>
      </c>
      <c r="D162" s="126"/>
      <c r="E162" s="126"/>
      <c r="F162" s="131" t="s">
        <v>361</v>
      </c>
      <c r="G162" s="134">
        <v>1</v>
      </c>
      <c r="H162" s="134">
        <v>0.002</v>
      </c>
      <c r="I162" s="136">
        <f t="shared" si="17"/>
        <v>0.002</v>
      </c>
      <c r="J162" s="135"/>
      <c r="K162" s="135"/>
      <c r="L162" s="131"/>
      <c r="M162" s="131"/>
      <c r="N162" s="132"/>
    </row>
    <row r="163" s="2" customFormat="1" spans="1:14">
      <c r="A163" s="126">
        <v>45390</v>
      </c>
      <c r="B163" s="127">
        <v>22</v>
      </c>
      <c r="C163" s="126">
        <v>45390</v>
      </c>
      <c r="D163" s="126"/>
      <c r="E163" s="126"/>
      <c r="F163" s="131" t="s">
        <v>392</v>
      </c>
      <c r="G163" s="134">
        <v>1</v>
      </c>
      <c r="H163" s="134">
        <v>6</v>
      </c>
      <c r="I163" s="136">
        <f t="shared" si="17"/>
        <v>6</v>
      </c>
      <c r="J163" s="135"/>
      <c r="K163" s="135"/>
      <c r="L163" s="131"/>
      <c r="M163" s="131"/>
      <c r="N163" s="132"/>
    </row>
    <row r="164" s="2" customFormat="1" spans="1:14">
      <c r="A164" s="126">
        <v>45390</v>
      </c>
      <c r="B164" s="127">
        <v>22</v>
      </c>
      <c r="C164" s="126">
        <v>45390</v>
      </c>
      <c r="D164" s="126"/>
      <c r="E164" s="126"/>
      <c r="F164" s="254" t="s">
        <v>393</v>
      </c>
      <c r="G164" s="139">
        <v>1</v>
      </c>
      <c r="H164" s="139">
        <f>SUM(H154:H163)</f>
        <v>20.292</v>
      </c>
      <c r="I164" s="114">
        <f t="shared" si="17"/>
        <v>20.292</v>
      </c>
      <c r="J164" s="115">
        <v>2.3</v>
      </c>
      <c r="K164" s="115">
        <f>I164*J164</f>
        <v>46.6716</v>
      </c>
      <c r="L164" s="348" t="s">
        <v>366</v>
      </c>
      <c r="M164" s="352" t="s">
        <v>367</v>
      </c>
      <c r="N164" s="132"/>
    </row>
    <row r="165" s="2" customFormat="1" spans="1:14">
      <c r="A165" s="126">
        <v>45390</v>
      </c>
      <c r="B165" s="127">
        <v>22</v>
      </c>
      <c r="C165" s="126">
        <v>45390</v>
      </c>
      <c r="D165" s="126"/>
      <c r="E165" s="126"/>
      <c r="F165" s="131" t="s">
        <v>316</v>
      </c>
      <c r="G165" s="134">
        <v>1</v>
      </c>
      <c r="H165" s="134">
        <v>1</v>
      </c>
      <c r="I165" s="136">
        <f t="shared" si="17"/>
        <v>1</v>
      </c>
      <c r="J165" s="135">
        <v>12.5</v>
      </c>
      <c r="K165" s="135">
        <f>I165*J165</f>
        <v>12.5</v>
      </c>
      <c r="L165" s="356">
        <f>SUM(K154:K166)</f>
        <v>159.7216</v>
      </c>
      <c r="M165" s="352"/>
      <c r="N165" s="132"/>
    </row>
    <row r="166" s="2" customFormat="1" spans="1:14">
      <c r="A166" s="126">
        <v>45390</v>
      </c>
      <c r="B166" s="127">
        <v>22</v>
      </c>
      <c r="C166" s="126">
        <v>45390</v>
      </c>
      <c r="D166" s="126"/>
      <c r="E166" s="126"/>
      <c r="F166" s="131" t="s">
        <v>368</v>
      </c>
      <c r="G166" s="134">
        <v>1</v>
      </c>
      <c r="H166" s="134">
        <v>1</v>
      </c>
      <c r="I166" s="136">
        <f t="shared" si="17"/>
        <v>1</v>
      </c>
      <c r="J166" s="135">
        <v>2.6</v>
      </c>
      <c r="K166" s="135">
        <v>3</v>
      </c>
      <c r="L166" s="131"/>
      <c r="M166" s="352"/>
      <c r="N166" s="132"/>
    </row>
    <row r="167" s="1" customFormat="1" spans="1:14">
      <c r="A167" s="51">
        <v>45390</v>
      </c>
      <c r="B167" s="105">
        <v>23</v>
      </c>
      <c r="C167" s="51">
        <v>45390</v>
      </c>
      <c r="D167" s="51"/>
      <c r="E167" s="51"/>
      <c r="F167" s="110" t="s">
        <v>312</v>
      </c>
      <c r="G167" s="107">
        <v>1</v>
      </c>
      <c r="H167" s="107">
        <v>143</v>
      </c>
      <c r="I167" s="108">
        <f t="shared" si="17"/>
        <v>143</v>
      </c>
      <c r="J167" s="109">
        <v>3.6</v>
      </c>
      <c r="K167" s="109">
        <f>I167*J167</f>
        <v>514.8</v>
      </c>
      <c r="L167" s="110"/>
      <c r="M167" s="353"/>
      <c r="N167" s="111"/>
    </row>
    <row r="168" s="1" customFormat="1" spans="1:14">
      <c r="A168" s="51">
        <v>45390</v>
      </c>
      <c r="B168" s="105">
        <v>23</v>
      </c>
      <c r="C168" s="51">
        <v>45390</v>
      </c>
      <c r="D168" s="51"/>
      <c r="E168" s="51"/>
      <c r="F168" s="110" t="s">
        <v>311</v>
      </c>
      <c r="G168" s="107">
        <v>1</v>
      </c>
      <c r="H168" s="107">
        <v>22</v>
      </c>
      <c r="I168" s="108">
        <f t="shared" si="17"/>
        <v>22</v>
      </c>
      <c r="J168" s="109">
        <v>8.7</v>
      </c>
      <c r="K168" s="109">
        <f>I168*J168</f>
        <v>191.4</v>
      </c>
      <c r="L168" s="110" t="s">
        <v>394</v>
      </c>
      <c r="M168" s="353" t="s">
        <v>395</v>
      </c>
      <c r="N168" s="111"/>
    </row>
    <row r="169" s="1" customFormat="1" spans="1:14">
      <c r="A169" s="51">
        <v>45390</v>
      </c>
      <c r="B169" s="105">
        <v>23</v>
      </c>
      <c r="C169" s="51">
        <v>45390</v>
      </c>
      <c r="D169" s="51"/>
      <c r="E169" s="51"/>
      <c r="F169" s="254" t="s">
        <v>396</v>
      </c>
      <c r="G169" s="139">
        <v>1</v>
      </c>
      <c r="H169" s="139">
        <f>SUM(H167:H168)</f>
        <v>165</v>
      </c>
      <c r="I169" s="114">
        <f t="shared" si="17"/>
        <v>165</v>
      </c>
      <c r="J169" s="115">
        <v>0.7</v>
      </c>
      <c r="K169" s="115">
        <f>I169*J169</f>
        <v>115.5</v>
      </c>
      <c r="L169" s="110"/>
      <c r="M169" s="353" t="s">
        <v>371</v>
      </c>
      <c r="N169" s="111"/>
    </row>
    <row r="170" s="1" customFormat="1" spans="1:14">
      <c r="A170" s="51">
        <v>45390</v>
      </c>
      <c r="B170" s="105">
        <v>23</v>
      </c>
      <c r="C170" s="51">
        <v>45390</v>
      </c>
      <c r="D170" s="51"/>
      <c r="E170" s="51"/>
      <c r="F170" s="110" t="s">
        <v>372</v>
      </c>
      <c r="G170" s="107">
        <v>13</v>
      </c>
      <c r="H170" s="107">
        <v>1</v>
      </c>
      <c r="I170" s="108">
        <f t="shared" si="17"/>
        <v>13</v>
      </c>
      <c r="J170" s="109">
        <v>12.2</v>
      </c>
      <c r="K170" s="109">
        <f>I170*J170</f>
        <v>158.6</v>
      </c>
      <c r="L170" s="110"/>
      <c r="M170" s="353"/>
      <c r="N170" s="111"/>
    </row>
    <row r="171" s="1" customFormat="1" spans="1:14">
      <c r="A171" s="51">
        <v>45390</v>
      </c>
      <c r="B171" s="105">
        <v>23</v>
      </c>
      <c r="C171" s="51">
        <v>45390</v>
      </c>
      <c r="D171" s="51"/>
      <c r="E171" s="51"/>
      <c r="F171" s="110" t="s">
        <v>368</v>
      </c>
      <c r="G171" s="107">
        <v>13</v>
      </c>
      <c r="H171" s="107">
        <v>1</v>
      </c>
      <c r="I171" s="108">
        <f t="shared" si="17"/>
        <v>13</v>
      </c>
      <c r="J171" s="109">
        <v>2.6</v>
      </c>
      <c r="K171" s="109">
        <f>I171*J171</f>
        <v>33.8</v>
      </c>
      <c r="L171" s="110">
        <f>SUM(K167:K171)</f>
        <v>1014.1</v>
      </c>
      <c r="M171" s="353"/>
      <c r="N171" s="111"/>
    </row>
    <row r="172" s="243" customFormat="1" spans="1:14">
      <c r="A172" s="263">
        <v>45391</v>
      </c>
      <c r="B172" s="127">
        <v>30</v>
      </c>
      <c r="C172" s="258">
        <v>45391</v>
      </c>
      <c r="D172" s="136"/>
      <c r="E172" s="136"/>
      <c r="F172" s="133" t="s">
        <v>397</v>
      </c>
      <c r="G172" s="136">
        <v>1</v>
      </c>
      <c r="H172" s="357">
        <v>190</v>
      </c>
      <c r="I172" s="136">
        <f t="shared" si="17"/>
        <v>190</v>
      </c>
      <c r="J172" s="135">
        <v>12.5</v>
      </c>
      <c r="K172" s="135"/>
      <c r="L172" s="242"/>
      <c r="M172" s="136"/>
    </row>
    <row r="173" s="243" customFormat="1" spans="1:14">
      <c r="A173" s="263">
        <v>45391</v>
      </c>
      <c r="B173" s="127">
        <v>30</v>
      </c>
      <c r="C173" s="258">
        <v>45391</v>
      </c>
      <c r="D173" s="136"/>
      <c r="E173" s="136"/>
      <c r="F173" s="133" t="s">
        <v>309</v>
      </c>
      <c r="G173" s="136">
        <v>1</v>
      </c>
      <c r="H173" s="357">
        <v>60</v>
      </c>
      <c r="I173" s="136">
        <f t="shared" si="17"/>
        <v>60</v>
      </c>
      <c r="J173" s="135">
        <v>18</v>
      </c>
      <c r="K173" s="135">
        <f>I173*J173</f>
        <v>1080</v>
      </c>
      <c r="L173" s="242"/>
      <c r="M173" s="136"/>
    </row>
    <row r="174" s="243" customFormat="1" spans="1:14">
      <c r="A174" s="263">
        <v>45391</v>
      </c>
      <c r="B174" s="127">
        <v>30</v>
      </c>
      <c r="C174" s="258">
        <v>45391</v>
      </c>
      <c r="D174" s="136"/>
      <c r="E174" s="136"/>
      <c r="F174" s="133" t="s">
        <v>398</v>
      </c>
      <c r="G174" s="136">
        <v>1</v>
      </c>
      <c r="H174" s="357">
        <v>13</v>
      </c>
      <c r="I174" s="136">
        <f t="shared" si="17"/>
        <v>13</v>
      </c>
      <c r="J174" s="135">
        <v>21</v>
      </c>
      <c r="K174" s="135">
        <f t="shared" ref="K174:K179" si="20">I174*J174</f>
        <v>273</v>
      </c>
      <c r="L174" s="242"/>
      <c r="M174" s="136"/>
    </row>
    <row r="175" s="243" customFormat="1" spans="1:14">
      <c r="A175" s="263">
        <v>45391</v>
      </c>
      <c r="B175" s="127">
        <v>30</v>
      </c>
      <c r="C175" s="258">
        <v>45391</v>
      </c>
      <c r="D175" s="136"/>
      <c r="E175" s="136"/>
      <c r="F175" s="133" t="s">
        <v>339</v>
      </c>
      <c r="G175" s="136">
        <v>1</v>
      </c>
      <c r="H175" s="357">
        <v>95</v>
      </c>
      <c r="I175" s="136">
        <f t="shared" si="17"/>
        <v>95</v>
      </c>
      <c r="J175" s="135">
        <v>0.2</v>
      </c>
      <c r="K175" s="135">
        <f t="shared" si="20"/>
        <v>19</v>
      </c>
      <c r="L175" s="242"/>
      <c r="M175" s="136"/>
    </row>
    <row r="176" s="243" customFormat="1" spans="1:14">
      <c r="A176" s="263">
        <v>45391</v>
      </c>
      <c r="B176" s="127">
        <v>30</v>
      </c>
      <c r="C176" s="258">
        <v>45391</v>
      </c>
      <c r="D176" s="136"/>
      <c r="E176" s="136"/>
      <c r="F176" s="133" t="s">
        <v>399</v>
      </c>
      <c r="G176" s="136">
        <v>1</v>
      </c>
      <c r="H176" s="357">
        <v>122</v>
      </c>
      <c r="I176" s="136">
        <f t="shared" si="17"/>
        <v>122</v>
      </c>
      <c r="J176" s="135">
        <v>8.7</v>
      </c>
      <c r="K176" s="135">
        <f t="shared" si="20"/>
        <v>1061.4</v>
      </c>
      <c r="L176" s="242"/>
      <c r="M176" s="136"/>
    </row>
    <row r="177" s="243" customFormat="1" spans="1:14">
      <c r="A177" s="263">
        <v>45391</v>
      </c>
      <c r="B177" s="127">
        <v>30</v>
      </c>
      <c r="C177" s="258">
        <v>45391</v>
      </c>
      <c r="D177" s="136"/>
      <c r="E177" s="136"/>
      <c r="F177" s="133" t="s">
        <v>312</v>
      </c>
      <c r="G177" s="136">
        <v>1</v>
      </c>
      <c r="H177" s="357">
        <v>124</v>
      </c>
      <c r="I177" s="136">
        <f t="shared" si="17"/>
        <v>124</v>
      </c>
      <c r="J177" s="135">
        <v>3.6</v>
      </c>
      <c r="K177" s="135">
        <f t="shared" si="20"/>
        <v>446.4</v>
      </c>
      <c r="L177" s="348" t="s">
        <v>400</v>
      </c>
      <c r="M177" s="136"/>
    </row>
    <row r="178" s="243" customFormat="1" spans="1:14">
      <c r="A178" s="263">
        <v>45391</v>
      </c>
      <c r="B178" s="127">
        <v>30</v>
      </c>
      <c r="C178" s="258">
        <v>45391</v>
      </c>
      <c r="D178" s="136"/>
      <c r="E178" s="136"/>
      <c r="F178" s="133" t="s">
        <v>401</v>
      </c>
      <c r="G178" s="136">
        <v>1</v>
      </c>
      <c r="H178" s="139">
        <f>SUM(H172:H177)</f>
        <v>604</v>
      </c>
      <c r="I178" s="114">
        <f t="shared" ref="I178:I215" si="21">G178*H178</f>
        <v>604</v>
      </c>
      <c r="J178" s="115">
        <v>2.3</v>
      </c>
      <c r="K178" s="115">
        <f t="shared" si="20"/>
        <v>1389.2</v>
      </c>
      <c r="L178" s="242" t="s">
        <v>402</v>
      </c>
      <c r="M178" s="136"/>
    </row>
    <row r="179" s="243" customFormat="1" spans="1:14">
      <c r="A179" s="263">
        <v>45391</v>
      </c>
      <c r="B179" s="127">
        <v>30</v>
      </c>
      <c r="C179" s="258">
        <v>45391</v>
      </c>
      <c r="D179" s="136"/>
      <c r="E179" s="136"/>
      <c r="F179" s="131" t="s">
        <v>403</v>
      </c>
      <c r="G179" s="358">
        <v>30</v>
      </c>
      <c r="H179" s="136">
        <v>1</v>
      </c>
      <c r="I179" s="358">
        <f t="shared" si="21"/>
        <v>30</v>
      </c>
      <c r="J179" s="135">
        <v>12.5</v>
      </c>
      <c r="K179" s="130">
        <f t="shared" si="20"/>
        <v>375</v>
      </c>
      <c r="L179" s="278">
        <f>SUM(K172:K179)</f>
        <v>4644</v>
      </c>
      <c r="M179" s="279"/>
    </row>
    <row r="180" s="245" customFormat="1" spans="1:14">
      <c r="A180" s="284">
        <v>45392</v>
      </c>
      <c r="B180" s="105">
        <v>32</v>
      </c>
      <c r="C180" s="285">
        <v>45392</v>
      </c>
      <c r="D180" s="108"/>
      <c r="E180" s="108"/>
      <c r="F180" s="106" t="s">
        <v>404</v>
      </c>
      <c r="G180" s="108">
        <v>1</v>
      </c>
      <c r="H180" s="359">
        <v>63</v>
      </c>
      <c r="I180" s="108">
        <f t="shared" si="21"/>
        <v>63</v>
      </c>
      <c r="J180" s="109">
        <v>12.5</v>
      </c>
      <c r="K180" s="109"/>
      <c r="L180" s="246"/>
      <c r="M180" s="108"/>
      <c r="N180" s="111"/>
    </row>
    <row r="181" s="245" customFormat="1" spans="1:14">
      <c r="A181" s="284">
        <v>45392</v>
      </c>
      <c r="B181" s="105">
        <v>32</v>
      </c>
      <c r="C181" s="285">
        <v>45392</v>
      </c>
      <c r="D181" s="108"/>
      <c r="E181" s="108"/>
      <c r="F181" s="106" t="s">
        <v>405</v>
      </c>
      <c r="G181" s="108">
        <v>1</v>
      </c>
      <c r="H181" s="359">
        <v>0.8</v>
      </c>
      <c r="I181" s="108">
        <f t="shared" si="21"/>
        <v>0.8</v>
      </c>
      <c r="J181" s="109">
        <v>40</v>
      </c>
      <c r="K181" s="109">
        <f t="shared" ref="K181:K191" si="22">I181*J181</f>
        <v>32</v>
      </c>
      <c r="L181" s="246"/>
      <c r="M181" s="108"/>
      <c r="N181" s="111"/>
    </row>
    <row r="182" s="245" customFormat="1" spans="1:14">
      <c r="A182" s="284">
        <v>45392</v>
      </c>
      <c r="B182" s="105">
        <v>32</v>
      </c>
      <c r="C182" s="285">
        <v>45392</v>
      </c>
      <c r="D182" s="108"/>
      <c r="E182" s="108"/>
      <c r="F182" s="106" t="s">
        <v>311</v>
      </c>
      <c r="G182" s="108">
        <v>1</v>
      </c>
      <c r="H182" s="359">
        <v>43</v>
      </c>
      <c r="I182" s="108">
        <f t="shared" si="21"/>
        <v>43</v>
      </c>
      <c r="J182" s="109">
        <v>8.7</v>
      </c>
      <c r="K182" s="109">
        <f t="shared" si="22"/>
        <v>374.1</v>
      </c>
      <c r="L182" s="246"/>
      <c r="M182" s="108"/>
      <c r="N182" s="111"/>
    </row>
    <row r="183" s="245" customFormat="1" spans="1:14">
      <c r="A183" s="284">
        <v>45392</v>
      </c>
      <c r="B183" s="105">
        <v>32</v>
      </c>
      <c r="C183" s="285">
        <v>45392</v>
      </c>
      <c r="D183" s="108"/>
      <c r="E183" s="108"/>
      <c r="F183" s="106" t="s">
        <v>406</v>
      </c>
      <c r="G183" s="108">
        <v>1</v>
      </c>
      <c r="H183" s="359">
        <v>10</v>
      </c>
      <c r="I183" s="108">
        <f t="shared" si="21"/>
        <v>10</v>
      </c>
      <c r="J183" s="109">
        <v>8.5</v>
      </c>
      <c r="K183" s="109">
        <f t="shared" si="22"/>
        <v>85</v>
      </c>
      <c r="L183" s="246"/>
      <c r="M183" s="108"/>
      <c r="N183" s="111"/>
    </row>
    <row r="184" s="245" customFormat="1" spans="1:14">
      <c r="A184" s="284">
        <v>45392</v>
      </c>
      <c r="B184" s="105">
        <v>32</v>
      </c>
      <c r="C184" s="285">
        <v>45392</v>
      </c>
      <c r="D184" s="108"/>
      <c r="E184" s="108"/>
      <c r="F184" s="106" t="s">
        <v>312</v>
      </c>
      <c r="G184" s="108">
        <v>1</v>
      </c>
      <c r="H184" s="359">
        <v>32</v>
      </c>
      <c r="I184" s="108">
        <f t="shared" si="21"/>
        <v>32</v>
      </c>
      <c r="J184" s="109">
        <v>3.6</v>
      </c>
      <c r="K184" s="109">
        <f t="shared" si="22"/>
        <v>115.2</v>
      </c>
      <c r="L184" s="246"/>
      <c r="M184" s="108"/>
      <c r="N184" s="111"/>
    </row>
    <row r="185" s="245" customFormat="1" spans="1:14">
      <c r="A185" s="284">
        <v>45392</v>
      </c>
      <c r="B185" s="105">
        <v>32</v>
      </c>
      <c r="C185" s="285">
        <v>45392</v>
      </c>
      <c r="D185" s="108"/>
      <c r="E185" s="108"/>
      <c r="F185" s="106" t="s">
        <v>407</v>
      </c>
      <c r="G185" s="108">
        <v>1</v>
      </c>
      <c r="H185" s="359">
        <v>5.3</v>
      </c>
      <c r="I185" s="108">
        <f t="shared" si="21"/>
        <v>5.3</v>
      </c>
      <c r="J185" s="109">
        <v>11.5</v>
      </c>
      <c r="K185" s="109">
        <f t="shared" si="22"/>
        <v>60.95</v>
      </c>
      <c r="L185" s="354" t="s">
        <v>408</v>
      </c>
      <c r="M185" s="108"/>
      <c r="N185" s="111"/>
    </row>
    <row r="186" s="245" customFormat="1" spans="1:14">
      <c r="A186" s="284">
        <v>45392</v>
      </c>
      <c r="B186" s="105">
        <v>32</v>
      </c>
      <c r="C186" s="285">
        <v>45392</v>
      </c>
      <c r="D186" s="108"/>
      <c r="E186" s="108"/>
      <c r="F186" s="106" t="s">
        <v>409</v>
      </c>
      <c r="G186" s="108">
        <v>1</v>
      </c>
      <c r="H186" s="360">
        <v>10</v>
      </c>
      <c r="I186" s="108">
        <f t="shared" si="21"/>
        <v>10</v>
      </c>
      <c r="J186" s="109">
        <v>3.6</v>
      </c>
      <c r="K186" s="109">
        <f t="shared" si="22"/>
        <v>36</v>
      </c>
      <c r="L186" s="354"/>
      <c r="M186" s="108"/>
      <c r="N186" s="111"/>
    </row>
    <row r="187" s="245" customFormat="1" spans="1:14">
      <c r="A187" s="284">
        <v>45392</v>
      </c>
      <c r="B187" s="105">
        <v>32</v>
      </c>
      <c r="C187" s="285">
        <v>45392</v>
      </c>
      <c r="D187" s="108"/>
      <c r="E187" s="108"/>
      <c r="F187" s="361" t="s">
        <v>410</v>
      </c>
      <c r="G187" s="114">
        <v>1</v>
      </c>
      <c r="H187" s="139">
        <f>SUM(H180:H186)</f>
        <v>164.1</v>
      </c>
      <c r="I187" s="114">
        <f t="shared" si="21"/>
        <v>164.1</v>
      </c>
      <c r="J187" s="115">
        <v>1</v>
      </c>
      <c r="K187" s="115">
        <f t="shared" si="22"/>
        <v>164.1</v>
      </c>
      <c r="L187" s="246" t="s">
        <v>411</v>
      </c>
      <c r="M187" s="108"/>
      <c r="N187" s="111" t="s">
        <v>412</v>
      </c>
    </row>
    <row r="188" s="245" customFormat="1" spans="1:14">
      <c r="A188" s="284">
        <v>45392</v>
      </c>
      <c r="B188" s="105">
        <v>32</v>
      </c>
      <c r="C188" s="285">
        <v>45392</v>
      </c>
      <c r="D188" s="108"/>
      <c r="E188" s="108"/>
      <c r="F188" s="110" t="s">
        <v>403</v>
      </c>
      <c r="G188" s="362">
        <v>8</v>
      </c>
      <c r="H188" s="108">
        <v>1</v>
      </c>
      <c r="I188" s="362">
        <f t="shared" si="21"/>
        <v>8</v>
      </c>
      <c r="J188" s="109">
        <v>12.5</v>
      </c>
      <c r="K188" s="130">
        <f t="shared" si="22"/>
        <v>100</v>
      </c>
      <c r="L188" s="288">
        <f>SUM(K180:K188)</f>
        <v>967.35</v>
      </c>
      <c r="M188" s="291"/>
      <c r="N188" s="111"/>
    </row>
    <row r="189" s="13" customFormat="1" spans="1:14">
      <c r="A189" s="363">
        <v>45393</v>
      </c>
      <c r="B189" s="273">
        <v>38</v>
      </c>
      <c r="C189" s="320">
        <v>45392</v>
      </c>
      <c r="D189" s="274"/>
      <c r="E189" s="274"/>
      <c r="F189" s="137" t="s">
        <v>413</v>
      </c>
      <c r="G189" s="262">
        <v>1</v>
      </c>
      <c r="H189" s="262">
        <v>200</v>
      </c>
      <c r="I189" s="274">
        <f t="shared" si="21"/>
        <v>200</v>
      </c>
      <c r="J189" s="275">
        <v>8.9</v>
      </c>
      <c r="K189" s="275">
        <f t="shared" si="22"/>
        <v>1780</v>
      </c>
      <c r="L189" s="137"/>
      <c r="M189" s="364"/>
      <c r="N189" s="276"/>
    </row>
    <row r="190" s="245" customFormat="1" spans="1:14">
      <c r="A190" s="284">
        <v>45398</v>
      </c>
      <c r="B190" s="105">
        <v>54</v>
      </c>
      <c r="C190" s="285">
        <v>45397</v>
      </c>
      <c r="D190" s="108"/>
      <c r="E190" s="108"/>
      <c r="F190" s="106">
        <v>9122</v>
      </c>
      <c r="G190" s="108">
        <v>1</v>
      </c>
      <c r="H190" s="359">
        <v>51</v>
      </c>
      <c r="I190" s="108">
        <f t="shared" si="21"/>
        <v>51</v>
      </c>
      <c r="J190" s="109">
        <v>12.5</v>
      </c>
      <c r="K190" s="109"/>
      <c r="L190" s="246"/>
      <c r="M190" s="108"/>
    </row>
    <row r="191" s="245" customFormat="1" spans="1:14">
      <c r="A191" s="284">
        <v>45398</v>
      </c>
      <c r="B191" s="105">
        <v>54</v>
      </c>
      <c r="C191" s="285">
        <v>45397</v>
      </c>
      <c r="D191" s="108"/>
      <c r="E191" s="108"/>
      <c r="F191" s="106" t="s">
        <v>309</v>
      </c>
      <c r="G191" s="108">
        <v>1</v>
      </c>
      <c r="H191" s="359">
        <v>16</v>
      </c>
      <c r="I191" s="108">
        <f t="shared" si="21"/>
        <v>16</v>
      </c>
      <c r="J191" s="109">
        <v>18</v>
      </c>
      <c r="K191" s="109">
        <f t="shared" ref="K191:K197" si="23">I191*J191</f>
        <v>288</v>
      </c>
      <c r="L191" s="246"/>
      <c r="M191" s="108"/>
    </row>
    <row r="192" s="245" customFormat="1" spans="1:14">
      <c r="A192" s="284">
        <v>45398</v>
      </c>
      <c r="B192" s="105">
        <v>54</v>
      </c>
      <c r="C192" s="285">
        <v>45397</v>
      </c>
      <c r="D192" s="108"/>
      <c r="E192" s="108"/>
      <c r="F192" s="106" t="s">
        <v>398</v>
      </c>
      <c r="G192" s="108">
        <v>1</v>
      </c>
      <c r="H192" s="359">
        <v>3.5</v>
      </c>
      <c r="I192" s="108">
        <f t="shared" si="21"/>
        <v>3.5</v>
      </c>
      <c r="J192" s="109">
        <v>21</v>
      </c>
      <c r="K192" s="109">
        <f t="shared" si="23"/>
        <v>73.5</v>
      </c>
      <c r="L192" s="246"/>
      <c r="M192" s="108"/>
    </row>
    <row r="193" s="245" customFormat="1" spans="1:13">
      <c r="A193" s="284">
        <v>45398</v>
      </c>
      <c r="B193" s="105">
        <v>54</v>
      </c>
      <c r="C193" s="285">
        <v>45397</v>
      </c>
      <c r="D193" s="108"/>
      <c r="E193" s="108"/>
      <c r="F193" s="106" t="s">
        <v>339</v>
      </c>
      <c r="G193" s="108">
        <v>1</v>
      </c>
      <c r="H193" s="359">
        <v>25</v>
      </c>
      <c r="I193" s="108">
        <f t="shared" si="21"/>
        <v>25</v>
      </c>
      <c r="J193" s="109">
        <v>0.2</v>
      </c>
      <c r="K193" s="109">
        <f t="shared" si="23"/>
        <v>5</v>
      </c>
      <c r="L193" s="246"/>
      <c r="M193" s="108"/>
    </row>
    <row r="194" s="245" customFormat="1" spans="1:13">
      <c r="A194" s="284">
        <v>45398</v>
      </c>
      <c r="B194" s="105">
        <v>54</v>
      </c>
      <c r="C194" s="285">
        <v>45397</v>
      </c>
      <c r="D194" s="108"/>
      <c r="E194" s="108"/>
      <c r="F194" s="106" t="s">
        <v>399</v>
      </c>
      <c r="G194" s="108">
        <v>1</v>
      </c>
      <c r="H194" s="359">
        <v>34</v>
      </c>
      <c r="I194" s="108">
        <f t="shared" si="21"/>
        <v>34</v>
      </c>
      <c r="J194" s="109">
        <v>8.7</v>
      </c>
      <c r="K194" s="109">
        <f t="shared" si="23"/>
        <v>295.8</v>
      </c>
      <c r="L194" s="246"/>
      <c r="M194" s="108"/>
    </row>
    <row r="195" s="245" customFormat="1" spans="1:13">
      <c r="A195" s="284">
        <v>45398</v>
      </c>
      <c r="B195" s="105">
        <v>54</v>
      </c>
      <c r="C195" s="285">
        <v>45397</v>
      </c>
      <c r="D195" s="108"/>
      <c r="E195" s="108"/>
      <c r="F195" s="106" t="s">
        <v>312</v>
      </c>
      <c r="G195" s="108">
        <v>1</v>
      </c>
      <c r="H195" s="359">
        <v>32</v>
      </c>
      <c r="I195" s="108">
        <f t="shared" si="21"/>
        <v>32</v>
      </c>
      <c r="J195" s="109">
        <v>3.6</v>
      </c>
      <c r="K195" s="109">
        <f t="shared" si="23"/>
        <v>115.2</v>
      </c>
      <c r="L195" s="354" t="s">
        <v>400</v>
      </c>
      <c r="M195" s="108"/>
    </row>
    <row r="196" s="245" customFormat="1" spans="1:13">
      <c r="A196" s="284">
        <v>45398</v>
      </c>
      <c r="B196" s="105">
        <v>54</v>
      </c>
      <c r="C196" s="285">
        <v>45397</v>
      </c>
      <c r="D196" s="108"/>
      <c r="E196" s="108"/>
      <c r="F196" s="138" t="s">
        <v>414</v>
      </c>
      <c r="G196" s="114">
        <v>1</v>
      </c>
      <c r="H196" s="139">
        <f>SUM(H190:H195)</f>
        <v>161.5</v>
      </c>
      <c r="I196" s="114">
        <f t="shared" si="21"/>
        <v>161.5</v>
      </c>
      <c r="J196" s="115">
        <v>2.3</v>
      </c>
      <c r="K196" s="115">
        <f t="shared" si="23"/>
        <v>371.45</v>
      </c>
      <c r="L196" s="249" t="s">
        <v>415</v>
      </c>
      <c r="M196" s="108"/>
    </row>
    <row r="197" s="245" customFormat="1" spans="1:13">
      <c r="A197" s="284">
        <v>45398</v>
      </c>
      <c r="B197" s="105">
        <v>54</v>
      </c>
      <c r="C197" s="285">
        <v>45397</v>
      </c>
      <c r="D197" s="108"/>
      <c r="E197" s="108"/>
      <c r="F197" s="110" t="s">
        <v>403</v>
      </c>
      <c r="G197" s="362">
        <v>8</v>
      </c>
      <c r="H197" s="108">
        <v>1</v>
      </c>
      <c r="I197" s="362">
        <f t="shared" si="21"/>
        <v>8</v>
      </c>
      <c r="J197" s="109">
        <v>12.5</v>
      </c>
      <c r="K197" s="109">
        <f t="shared" si="23"/>
        <v>100</v>
      </c>
      <c r="L197" s="288">
        <f>SUM(K190:K197)</f>
        <v>1248.95</v>
      </c>
      <c r="M197" s="291"/>
    </row>
    <row r="198" s="243" customFormat="1" spans="1:13">
      <c r="A198" s="263">
        <v>45398</v>
      </c>
      <c r="B198" s="127">
        <v>55</v>
      </c>
      <c r="C198" s="258">
        <v>45397</v>
      </c>
      <c r="D198" s="136"/>
      <c r="E198" s="136"/>
      <c r="F198" s="131" t="s">
        <v>416</v>
      </c>
      <c r="G198" s="136">
        <v>1</v>
      </c>
      <c r="H198" s="136">
        <v>36</v>
      </c>
      <c r="I198" s="136">
        <f t="shared" si="21"/>
        <v>36</v>
      </c>
      <c r="J198" s="135"/>
      <c r="K198" s="135"/>
      <c r="L198" s="278"/>
      <c r="M198" s="279"/>
    </row>
    <row r="199" s="243" customFormat="1" spans="1:13">
      <c r="A199" s="263">
        <v>45398</v>
      </c>
      <c r="B199" s="127">
        <v>55</v>
      </c>
      <c r="C199" s="258">
        <v>45397</v>
      </c>
      <c r="D199" s="136"/>
      <c r="E199" s="136"/>
      <c r="F199" s="133" t="s">
        <v>398</v>
      </c>
      <c r="G199" s="136">
        <v>1</v>
      </c>
      <c r="H199" s="136">
        <v>1.2</v>
      </c>
      <c r="I199" s="136">
        <f t="shared" si="21"/>
        <v>1.2</v>
      </c>
      <c r="J199" s="135">
        <v>21</v>
      </c>
      <c r="K199" s="135">
        <f t="shared" ref="K199:K215" si="24">I199*J199</f>
        <v>25.2</v>
      </c>
      <c r="L199" s="278"/>
      <c r="M199" s="279"/>
    </row>
    <row r="200" s="243" customFormat="1" spans="1:13">
      <c r="A200" s="263">
        <v>45398</v>
      </c>
      <c r="B200" s="127">
        <v>55</v>
      </c>
      <c r="C200" s="258">
        <v>45397</v>
      </c>
      <c r="D200" s="136"/>
      <c r="E200" s="136"/>
      <c r="F200" s="131" t="s">
        <v>310</v>
      </c>
      <c r="G200" s="136">
        <v>1</v>
      </c>
      <c r="H200" s="136">
        <v>6</v>
      </c>
      <c r="I200" s="136">
        <f t="shared" si="21"/>
        <v>6</v>
      </c>
      <c r="J200" s="135">
        <v>0.6</v>
      </c>
      <c r="K200" s="135">
        <f t="shared" si="24"/>
        <v>3.6</v>
      </c>
      <c r="L200" s="278"/>
      <c r="M200" s="279"/>
    </row>
    <row r="201" s="243" customFormat="1" spans="1:13">
      <c r="A201" s="263">
        <v>45398</v>
      </c>
      <c r="B201" s="127">
        <v>55</v>
      </c>
      <c r="C201" s="258">
        <v>45397</v>
      </c>
      <c r="D201" s="136"/>
      <c r="E201" s="136"/>
      <c r="F201" s="131" t="s">
        <v>311</v>
      </c>
      <c r="G201" s="136">
        <v>1</v>
      </c>
      <c r="H201" s="136">
        <v>4</v>
      </c>
      <c r="I201" s="136">
        <f t="shared" si="21"/>
        <v>4</v>
      </c>
      <c r="J201" s="135">
        <v>8.7</v>
      </c>
      <c r="K201" s="135">
        <f t="shared" si="24"/>
        <v>34.8</v>
      </c>
      <c r="L201" s="278"/>
      <c r="M201" s="279"/>
    </row>
    <row r="202" s="243" customFormat="1" spans="1:13">
      <c r="A202" s="263">
        <v>45398</v>
      </c>
      <c r="B202" s="127">
        <v>55</v>
      </c>
      <c r="C202" s="258">
        <v>45397</v>
      </c>
      <c r="D202" s="136"/>
      <c r="E202" s="136"/>
      <c r="F202" s="131" t="s">
        <v>312</v>
      </c>
      <c r="G202" s="136">
        <v>1</v>
      </c>
      <c r="H202" s="136">
        <v>4</v>
      </c>
      <c r="I202" s="136">
        <f t="shared" si="21"/>
        <v>4</v>
      </c>
      <c r="J202" s="135">
        <v>3.6</v>
      </c>
      <c r="K202" s="135">
        <f t="shared" si="24"/>
        <v>14.4</v>
      </c>
      <c r="L202" s="278"/>
      <c r="M202" s="279"/>
    </row>
    <row r="203" s="243" customFormat="1" spans="1:13">
      <c r="A203" s="263">
        <v>45398</v>
      </c>
      <c r="B203" s="127">
        <v>55</v>
      </c>
      <c r="C203" s="258">
        <v>45397</v>
      </c>
      <c r="D203" s="136"/>
      <c r="E203" s="136"/>
      <c r="F203" s="131" t="s">
        <v>417</v>
      </c>
      <c r="G203" s="136">
        <v>1</v>
      </c>
      <c r="H203" s="136">
        <v>4</v>
      </c>
      <c r="I203" s="136">
        <f t="shared" si="21"/>
        <v>4</v>
      </c>
      <c r="J203" s="135">
        <v>18</v>
      </c>
      <c r="K203" s="135">
        <f t="shared" si="24"/>
        <v>72</v>
      </c>
      <c r="L203" s="278"/>
      <c r="M203" s="279"/>
    </row>
    <row r="204" s="243" customFormat="1" spans="1:13">
      <c r="A204" s="263">
        <v>45398</v>
      </c>
      <c r="B204" s="127">
        <v>55</v>
      </c>
      <c r="C204" s="258">
        <v>45397</v>
      </c>
      <c r="D204" s="136"/>
      <c r="E204" s="136"/>
      <c r="F204" s="131" t="s">
        <v>418</v>
      </c>
      <c r="G204" s="136">
        <v>1</v>
      </c>
      <c r="H204" s="136">
        <v>0.5</v>
      </c>
      <c r="I204" s="136">
        <f t="shared" si="21"/>
        <v>0.5</v>
      </c>
      <c r="J204" s="135">
        <v>45</v>
      </c>
      <c r="K204" s="135">
        <f t="shared" si="24"/>
        <v>22.5</v>
      </c>
      <c r="L204" s="278"/>
      <c r="M204" s="279"/>
    </row>
    <row r="205" s="243" customFormat="1" spans="1:13">
      <c r="A205" s="263">
        <v>45398</v>
      </c>
      <c r="B205" s="127">
        <v>55</v>
      </c>
      <c r="C205" s="258">
        <v>45397</v>
      </c>
      <c r="D205" s="136"/>
      <c r="E205" s="136"/>
      <c r="F205" s="131" t="s">
        <v>419</v>
      </c>
      <c r="G205" s="136">
        <v>1</v>
      </c>
      <c r="H205" s="136">
        <v>1</v>
      </c>
      <c r="I205" s="136">
        <f t="shared" si="21"/>
        <v>1</v>
      </c>
      <c r="J205" s="135">
        <v>40</v>
      </c>
      <c r="K205" s="135">
        <f t="shared" si="24"/>
        <v>40</v>
      </c>
      <c r="L205" s="278"/>
      <c r="M205" s="279"/>
    </row>
    <row r="206" s="243" customFormat="1" spans="1:13">
      <c r="A206" s="263">
        <v>45398</v>
      </c>
      <c r="B206" s="127">
        <v>55</v>
      </c>
      <c r="C206" s="258">
        <v>45397</v>
      </c>
      <c r="D206" s="136"/>
      <c r="E206" s="136"/>
      <c r="F206" s="131" t="s">
        <v>420</v>
      </c>
      <c r="G206" s="136">
        <v>1</v>
      </c>
      <c r="H206" s="136">
        <v>4</v>
      </c>
      <c r="I206" s="136">
        <f t="shared" si="21"/>
        <v>4</v>
      </c>
      <c r="J206" s="135">
        <v>25</v>
      </c>
      <c r="K206" s="135">
        <f t="shared" si="24"/>
        <v>100</v>
      </c>
      <c r="L206" s="278"/>
      <c r="M206" s="279"/>
    </row>
    <row r="207" s="243" customFormat="1" spans="1:13">
      <c r="A207" s="263">
        <v>45398</v>
      </c>
      <c r="B207" s="127">
        <v>55</v>
      </c>
      <c r="C207" s="258" t="s">
        <v>421</v>
      </c>
      <c r="D207" s="136"/>
      <c r="E207" s="136"/>
      <c r="F207" s="349" t="s">
        <v>422</v>
      </c>
      <c r="G207" s="114">
        <v>1</v>
      </c>
      <c r="H207" s="114">
        <f>SUM(H198:H206)</f>
        <v>60.7</v>
      </c>
      <c r="I207" s="114">
        <f t="shared" si="21"/>
        <v>60.7</v>
      </c>
      <c r="J207" s="115">
        <v>2.3</v>
      </c>
      <c r="K207" s="115">
        <f t="shared" si="24"/>
        <v>139.61</v>
      </c>
      <c r="L207" s="278"/>
      <c r="M207" s="279"/>
    </row>
    <row r="208" s="243" customFormat="1" spans="1:13">
      <c r="A208" s="263">
        <v>45398</v>
      </c>
      <c r="B208" s="127">
        <v>55</v>
      </c>
      <c r="C208" s="258">
        <v>45397</v>
      </c>
      <c r="D208" s="136"/>
      <c r="E208" s="136"/>
      <c r="F208" s="365" t="s">
        <v>423</v>
      </c>
      <c r="G208" s="136">
        <v>3</v>
      </c>
      <c r="H208" s="136">
        <v>1</v>
      </c>
      <c r="I208" s="136">
        <f t="shared" si="21"/>
        <v>3</v>
      </c>
      <c r="J208" s="135">
        <v>12.5</v>
      </c>
      <c r="K208" s="135">
        <f t="shared" si="24"/>
        <v>37.5</v>
      </c>
      <c r="L208" s="278"/>
      <c r="M208" s="279"/>
    </row>
    <row r="209" s="243" customFormat="1" spans="1:14">
      <c r="A209" s="263">
        <v>45398</v>
      </c>
      <c r="B209" s="127">
        <v>55</v>
      </c>
      <c r="C209" s="258">
        <v>45397</v>
      </c>
      <c r="D209" s="136"/>
      <c r="E209" s="136"/>
      <c r="F209" s="366" t="s">
        <v>424</v>
      </c>
      <c r="G209" s="108">
        <v>3</v>
      </c>
      <c r="H209" s="108">
        <v>4</v>
      </c>
      <c r="I209" s="108">
        <f t="shared" si="21"/>
        <v>12</v>
      </c>
      <c r="J209" s="109">
        <v>15.5</v>
      </c>
      <c r="K209" s="109">
        <f t="shared" si="24"/>
        <v>186</v>
      </c>
      <c r="L209" s="278"/>
      <c r="M209" s="279"/>
    </row>
    <row r="210" s="243" customFormat="1" spans="1:14">
      <c r="A210" s="263">
        <v>45398</v>
      </c>
      <c r="B210" s="127">
        <v>55</v>
      </c>
      <c r="C210" s="258">
        <v>45397</v>
      </c>
      <c r="D210" s="136"/>
      <c r="E210" s="136"/>
      <c r="F210" s="365" t="s">
        <v>311</v>
      </c>
      <c r="G210" s="136">
        <v>1</v>
      </c>
      <c r="H210" s="136">
        <v>15</v>
      </c>
      <c r="I210" s="136">
        <f t="shared" si="21"/>
        <v>15</v>
      </c>
      <c r="J210" s="135">
        <v>8.7</v>
      </c>
      <c r="K210" s="135">
        <f t="shared" si="24"/>
        <v>130.5</v>
      </c>
      <c r="L210" s="278"/>
      <c r="M210" s="279"/>
    </row>
    <row r="211" s="243" customFormat="1" spans="1:14">
      <c r="A211" s="263">
        <v>45398</v>
      </c>
      <c r="B211" s="127">
        <v>55</v>
      </c>
      <c r="C211" s="258">
        <v>45397</v>
      </c>
      <c r="D211" s="136"/>
      <c r="E211" s="136"/>
      <c r="F211" s="365" t="s">
        <v>312</v>
      </c>
      <c r="G211" s="136">
        <v>1</v>
      </c>
      <c r="H211" s="136">
        <v>15</v>
      </c>
      <c r="I211" s="136">
        <f t="shared" si="21"/>
        <v>15</v>
      </c>
      <c r="J211" s="135">
        <v>3.6</v>
      </c>
      <c r="K211" s="135">
        <f t="shared" si="24"/>
        <v>54</v>
      </c>
      <c r="L211" s="278" t="s">
        <v>425</v>
      </c>
      <c r="M211" s="279"/>
    </row>
    <row r="212" s="243" customFormat="1" spans="1:14">
      <c r="A212" s="263">
        <v>45398</v>
      </c>
      <c r="B212" s="127">
        <v>55</v>
      </c>
      <c r="C212" s="258">
        <v>45397</v>
      </c>
      <c r="D212" s="136"/>
      <c r="E212" s="136"/>
      <c r="F212" s="367" t="s">
        <v>426</v>
      </c>
      <c r="G212" s="114">
        <v>2</v>
      </c>
      <c r="H212" s="114">
        <v>15</v>
      </c>
      <c r="I212" s="114">
        <f t="shared" si="21"/>
        <v>30</v>
      </c>
      <c r="J212" s="115">
        <v>0.7</v>
      </c>
      <c r="K212" s="115">
        <f t="shared" si="24"/>
        <v>21</v>
      </c>
      <c r="L212" s="278"/>
      <c r="M212" s="279"/>
    </row>
    <row r="213" s="243" customFormat="1" spans="1:14">
      <c r="A213" s="263">
        <v>45398</v>
      </c>
      <c r="B213" s="127">
        <v>55</v>
      </c>
      <c r="C213" s="258">
        <v>45397</v>
      </c>
      <c r="D213" s="136"/>
      <c r="E213" s="136"/>
      <c r="F213" s="365" t="s">
        <v>316</v>
      </c>
      <c r="G213" s="136">
        <v>2</v>
      </c>
      <c r="H213" s="136">
        <v>1</v>
      </c>
      <c r="I213" s="136">
        <f t="shared" si="21"/>
        <v>2</v>
      </c>
      <c r="J213" s="135">
        <v>12.2</v>
      </c>
      <c r="K213" s="135">
        <f t="shared" si="24"/>
        <v>24.4</v>
      </c>
      <c r="L213" s="278">
        <f>SUM(K198:K213)</f>
        <v>905.51</v>
      </c>
      <c r="M213" s="279"/>
    </row>
    <row r="214" s="1" customFormat="1" spans="1:14">
      <c r="A214" s="51">
        <v>45398</v>
      </c>
      <c r="B214" s="105">
        <v>56</v>
      </c>
      <c r="C214" s="51">
        <v>45398</v>
      </c>
      <c r="D214" s="51"/>
      <c r="E214" s="51"/>
      <c r="F214" s="110" t="s">
        <v>335</v>
      </c>
      <c r="G214" s="107">
        <v>6</v>
      </c>
      <c r="H214" s="107">
        <v>20</v>
      </c>
      <c r="I214" s="108">
        <f t="shared" si="21"/>
        <v>120</v>
      </c>
      <c r="J214" s="109">
        <v>14.5</v>
      </c>
      <c r="K214" s="109">
        <f t="shared" si="24"/>
        <v>1740</v>
      </c>
      <c r="L214" s="110" t="s">
        <v>427</v>
      </c>
      <c r="M214" s="278" t="s">
        <v>425</v>
      </c>
      <c r="N214" s="111"/>
    </row>
    <row r="215" s="1" customFormat="1" spans="1:14">
      <c r="A215" s="51">
        <v>45398</v>
      </c>
      <c r="B215" s="105">
        <v>56</v>
      </c>
      <c r="C215" s="51">
        <v>45398</v>
      </c>
      <c r="D215" s="51"/>
      <c r="E215" s="51"/>
      <c r="F215" s="110" t="s">
        <v>337</v>
      </c>
      <c r="G215" s="107">
        <v>7</v>
      </c>
      <c r="H215" s="107">
        <v>15</v>
      </c>
      <c r="I215" s="108">
        <f t="shared" si="21"/>
        <v>105</v>
      </c>
      <c r="J215" s="109">
        <v>9</v>
      </c>
      <c r="K215" s="109">
        <f t="shared" si="24"/>
        <v>945</v>
      </c>
      <c r="L215" s="110">
        <f>SUM(K214:K215)</f>
        <v>2685</v>
      </c>
      <c r="M215" s="110" t="s">
        <v>338</v>
      </c>
      <c r="N215" s="111"/>
    </row>
    <row r="216" s="2" customFormat="1" ht="24" customHeight="1" spans="1:14">
      <c r="A216" s="263"/>
      <c r="B216" s="127"/>
      <c r="C216" s="320">
        <v>45398</v>
      </c>
      <c r="D216" s="274"/>
      <c r="E216" s="274"/>
      <c r="F216" s="137" t="s">
        <v>428</v>
      </c>
      <c r="G216" s="262"/>
      <c r="H216" s="262"/>
      <c r="I216" s="136"/>
      <c r="J216" s="135"/>
      <c r="K216" s="135"/>
      <c r="L216" s="131"/>
      <c r="M216" s="352"/>
      <c r="N216" s="132"/>
    </row>
    <row r="217" s="1" customFormat="1" spans="1:14">
      <c r="A217" s="51">
        <v>45400</v>
      </c>
      <c r="B217" s="105">
        <v>61</v>
      </c>
      <c r="C217" s="51">
        <v>45399</v>
      </c>
      <c r="D217" s="51"/>
      <c r="E217" s="51"/>
      <c r="F217" s="110" t="s">
        <v>335</v>
      </c>
      <c r="G217" s="107">
        <v>10</v>
      </c>
      <c r="H217" s="107">
        <v>20</v>
      </c>
      <c r="I217" s="108">
        <f>G217*H217</f>
        <v>200</v>
      </c>
      <c r="J217" s="109">
        <v>14.5</v>
      </c>
      <c r="K217" s="109">
        <f t="shared" ref="K217:K230" si="25">I217*J217</f>
        <v>2900</v>
      </c>
      <c r="L217" s="110" t="s">
        <v>427</v>
      </c>
      <c r="M217" s="278" t="s">
        <v>425</v>
      </c>
      <c r="N217" s="111"/>
    </row>
    <row r="218" s="1" customFormat="1" spans="1:14">
      <c r="A218" s="51">
        <v>45400</v>
      </c>
      <c r="B218" s="105">
        <v>61</v>
      </c>
      <c r="C218" s="51">
        <v>45399</v>
      </c>
      <c r="D218" s="51"/>
      <c r="E218" s="51"/>
      <c r="F218" s="110" t="s">
        <v>337</v>
      </c>
      <c r="G218" s="107">
        <v>7</v>
      </c>
      <c r="H218" s="107">
        <v>15</v>
      </c>
      <c r="I218" s="108">
        <f>G218*H218</f>
        <v>105</v>
      </c>
      <c r="J218" s="109">
        <v>9</v>
      </c>
      <c r="K218" s="109">
        <f t="shared" si="25"/>
        <v>945</v>
      </c>
      <c r="L218" s="110">
        <f>SUM(K217:K218)</f>
        <v>3845</v>
      </c>
      <c r="M218" s="110" t="s">
        <v>338</v>
      </c>
      <c r="N218" s="111"/>
    </row>
    <row r="219" s="243" customFormat="1" spans="1:14">
      <c r="A219" s="263">
        <v>45402</v>
      </c>
      <c r="B219" s="127">
        <v>72</v>
      </c>
      <c r="C219" s="258">
        <v>45402</v>
      </c>
      <c r="D219" s="136"/>
      <c r="E219" s="136"/>
      <c r="F219" s="131" t="s">
        <v>429</v>
      </c>
      <c r="G219" s="136">
        <v>1</v>
      </c>
      <c r="H219" s="136">
        <v>6</v>
      </c>
      <c r="I219" s="136">
        <f>G219*H219</f>
        <v>6</v>
      </c>
      <c r="J219" s="135">
        <v>15</v>
      </c>
      <c r="K219" s="135">
        <f t="shared" si="25"/>
        <v>90</v>
      </c>
      <c r="L219" s="278"/>
      <c r="M219" s="279"/>
    </row>
    <row r="220" s="243" customFormat="1" spans="1:14">
      <c r="A220" s="263">
        <v>45402</v>
      </c>
      <c r="B220" s="127">
        <v>72</v>
      </c>
      <c r="C220" s="258">
        <v>45402</v>
      </c>
      <c r="D220" s="136"/>
      <c r="E220" s="136"/>
      <c r="F220" s="133" t="s">
        <v>430</v>
      </c>
      <c r="G220" s="136">
        <v>1</v>
      </c>
      <c r="H220" s="136">
        <v>0.2</v>
      </c>
      <c r="I220" s="136">
        <f>G220*H220</f>
        <v>0.2</v>
      </c>
      <c r="J220" s="135">
        <v>26</v>
      </c>
      <c r="K220" s="135">
        <f t="shared" si="25"/>
        <v>5.2</v>
      </c>
      <c r="L220" s="278"/>
      <c r="M220" s="279"/>
    </row>
    <row r="221" s="243" customFormat="1" spans="1:14">
      <c r="A221" s="263">
        <v>45402</v>
      </c>
      <c r="B221" s="127">
        <v>72</v>
      </c>
      <c r="C221" s="258">
        <v>45402</v>
      </c>
      <c r="D221" s="136"/>
      <c r="E221" s="136"/>
      <c r="F221" s="131" t="s">
        <v>310</v>
      </c>
      <c r="G221" s="136">
        <v>1</v>
      </c>
      <c r="H221" s="136">
        <v>2</v>
      </c>
      <c r="I221" s="136">
        <f>G221*H221</f>
        <v>2</v>
      </c>
      <c r="J221" s="135">
        <v>0.6</v>
      </c>
      <c r="K221" s="135">
        <f t="shared" si="25"/>
        <v>1.2</v>
      </c>
      <c r="L221" s="278"/>
      <c r="M221" s="279"/>
    </row>
    <row r="222" s="243" customFormat="1" spans="1:14">
      <c r="A222" s="263">
        <v>45402</v>
      </c>
      <c r="B222" s="127">
        <v>72</v>
      </c>
      <c r="C222" s="258">
        <v>45402</v>
      </c>
      <c r="D222" s="136"/>
      <c r="E222" s="136"/>
      <c r="F222" s="131" t="s">
        <v>431</v>
      </c>
      <c r="G222" s="136">
        <v>1</v>
      </c>
      <c r="H222" s="136">
        <v>0.5</v>
      </c>
      <c r="I222" s="136">
        <f t="shared" ref="I222:I228" si="26">G222*H222</f>
        <v>0.5</v>
      </c>
      <c r="J222" s="135">
        <v>3.5</v>
      </c>
      <c r="K222" s="135">
        <f t="shared" si="25"/>
        <v>1.75</v>
      </c>
      <c r="L222" s="278"/>
      <c r="M222" s="279"/>
    </row>
    <row r="223" s="243" customFormat="1" spans="1:14">
      <c r="A223" s="263">
        <v>45402</v>
      </c>
      <c r="B223" s="127">
        <v>72</v>
      </c>
      <c r="C223" s="258">
        <v>45402</v>
      </c>
      <c r="D223" s="136"/>
      <c r="E223" s="136"/>
      <c r="F223" s="131" t="s">
        <v>432</v>
      </c>
      <c r="G223" s="136">
        <v>1</v>
      </c>
      <c r="H223" s="136">
        <v>2</v>
      </c>
      <c r="I223" s="136">
        <f t="shared" si="26"/>
        <v>2</v>
      </c>
      <c r="J223" s="135">
        <v>25</v>
      </c>
      <c r="K223" s="135">
        <f t="shared" si="25"/>
        <v>50</v>
      </c>
      <c r="L223" s="278"/>
      <c r="M223" s="279"/>
    </row>
    <row r="224" s="243" customFormat="1" spans="1:14">
      <c r="A224" s="263">
        <v>45402</v>
      </c>
      <c r="B224" s="127">
        <v>72</v>
      </c>
      <c r="C224" s="258">
        <v>45402</v>
      </c>
      <c r="D224" s="136"/>
      <c r="E224" s="136"/>
      <c r="F224" s="131" t="s">
        <v>433</v>
      </c>
      <c r="G224" s="136">
        <v>1</v>
      </c>
      <c r="H224" s="136">
        <v>0.12</v>
      </c>
      <c r="I224" s="136">
        <f t="shared" si="26"/>
        <v>0.12</v>
      </c>
      <c r="J224" s="135">
        <v>14.5</v>
      </c>
      <c r="K224" s="135">
        <f t="shared" si="25"/>
        <v>1.74</v>
      </c>
      <c r="L224" s="278"/>
      <c r="M224" s="279"/>
    </row>
    <row r="225" s="243" customFormat="1" spans="1:14">
      <c r="A225" s="263">
        <v>45402</v>
      </c>
      <c r="B225" s="127">
        <v>72</v>
      </c>
      <c r="C225" s="258">
        <v>45402</v>
      </c>
      <c r="D225" s="136"/>
      <c r="E225" s="136"/>
      <c r="F225" s="131" t="s">
        <v>434</v>
      </c>
      <c r="G225" s="136">
        <v>1</v>
      </c>
      <c r="H225" s="136">
        <v>1</v>
      </c>
      <c r="I225" s="136">
        <f t="shared" si="26"/>
        <v>1</v>
      </c>
      <c r="J225" s="135">
        <v>9</v>
      </c>
      <c r="K225" s="135">
        <f t="shared" si="25"/>
        <v>9</v>
      </c>
      <c r="L225" s="278"/>
      <c r="M225" s="279"/>
    </row>
    <row r="226" s="243" customFormat="1" spans="1:14">
      <c r="A226" s="263">
        <v>45402</v>
      </c>
      <c r="B226" s="127">
        <v>72</v>
      </c>
      <c r="C226" s="258">
        <v>45402</v>
      </c>
      <c r="D226" s="136"/>
      <c r="E226" s="136"/>
      <c r="F226" s="131" t="s">
        <v>122</v>
      </c>
      <c r="G226" s="136">
        <v>1</v>
      </c>
      <c r="H226" s="136">
        <v>0.3</v>
      </c>
      <c r="I226" s="136">
        <f t="shared" si="26"/>
        <v>0.3</v>
      </c>
      <c r="J226" s="135">
        <v>8.8</v>
      </c>
      <c r="K226" s="135">
        <f t="shared" si="25"/>
        <v>2.64</v>
      </c>
      <c r="L226" s="278"/>
      <c r="M226" s="279"/>
    </row>
    <row r="227" s="243" customFormat="1" spans="1:14">
      <c r="A227" s="263">
        <v>45402</v>
      </c>
      <c r="B227" s="127">
        <v>72</v>
      </c>
      <c r="C227" s="258">
        <v>45402</v>
      </c>
      <c r="D227" s="136"/>
      <c r="E227" s="136"/>
      <c r="F227" s="133">
        <v>2038</v>
      </c>
      <c r="G227" s="136">
        <v>1</v>
      </c>
      <c r="H227" s="136">
        <v>0.02</v>
      </c>
      <c r="I227" s="136">
        <f t="shared" si="26"/>
        <v>0.02</v>
      </c>
      <c r="J227" s="135">
        <v>55</v>
      </c>
      <c r="K227" s="135">
        <f t="shared" si="25"/>
        <v>1.1</v>
      </c>
      <c r="L227" s="278"/>
      <c r="M227" s="279"/>
      <c r="N227" s="132"/>
    </row>
    <row r="228" s="243" customFormat="1" spans="1:14">
      <c r="A228" s="263">
        <v>45402</v>
      </c>
      <c r="B228" s="127">
        <v>72</v>
      </c>
      <c r="C228" s="258">
        <v>45402</v>
      </c>
      <c r="D228" s="136"/>
      <c r="E228" s="136"/>
      <c r="F228" s="133">
        <v>3033</v>
      </c>
      <c r="G228" s="136">
        <v>1</v>
      </c>
      <c r="H228" s="136">
        <v>0.02</v>
      </c>
      <c r="I228" s="136">
        <f t="shared" si="26"/>
        <v>0.02</v>
      </c>
      <c r="J228" s="135">
        <v>60</v>
      </c>
      <c r="K228" s="135">
        <f t="shared" si="25"/>
        <v>1.2</v>
      </c>
      <c r="L228" s="278"/>
      <c r="M228" s="279"/>
      <c r="N228" s="132"/>
    </row>
    <row r="229" s="243" customFormat="1" spans="1:14">
      <c r="A229" s="263">
        <v>45402</v>
      </c>
      <c r="B229" s="127">
        <v>72</v>
      </c>
      <c r="C229" s="258">
        <v>45402</v>
      </c>
      <c r="D229" s="136"/>
      <c r="E229" s="136"/>
      <c r="F229" s="254" t="s">
        <v>435</v>
      </c>
      <c r="G229" s="114">
        <v>1</v>
      </c>
      <c r="H229" s="114">
        <f>SUM(H219:H226)</f>
        <v>12.12</v>
      </c>
      <c r="I229" s="114">
        <f t="shared" ref="I229:I254" si="27">G229*H229</f>
        <v>12.12</v>
      </c>
      <c r="J229" s="115">
        <v>2.3</v>
      </c>
      <c r="K229" s="115">
        <f t="shared" si="25"/>
        <v>27.876</v>
      </c>
      <c r="L229" s="278"/>
      <c r="M229" s="279"/>
    </row>
    <row r="230" s="248" customFormat="1" spans="1:14">
      <c r="A230" s="368">
        <v>45402</v>
      </c>
      <c r="B230" s="142">
        <v>72</v>
      </c>
      <c r="C230" s="315">
        <v>45402</v>
      </c>
      <c r="D230" s="140"/>
      <c r="E230" s="140"/>
      <c r="F230" s="102" t="s">
        <v>423</v>
      </c>
      <c r="G230" s="140">
        <v>1</v>
      </c>
      <c r="H230" s="140">
        <v>1</v>
      </c>
      <c r="I230" s="140">
        <f t="shared" si="27"/>
        <v>1</v>
      </c>
      <c r="J230" s="130">
        <v>12.5</v>
      </c>
      <c r="K230" s="130">
        <f t="shared" si="25"/>
        <v>12.5</v>
      </c>
      <c r="L230" s="369">
        <f>SUM(K219:K230)</f>
        <v>204.206</v>
      </c>
      <c r="M230" s="370"/>
      <c r="N230" s="151"/>
    </row>
    <row r="231" s="245" customFormat="1" spans="1:14">
      <c r="A231" s="284">
        <v>45411</v>
      </c>
      <c r="B231" s="105">
        <v>99</v>
      </c>
      <c r="C231" s="285">
        <v>45406</v>
      </c>
      <c r="D231" s="108"/>
      <c r="E231" s="108"/>
      <c r="F231" s="110" t="s">
        <v>308</v>
      </c>
      <c r="G231" s="108">
        <v>1</v>
      </c>
      <c r="H231" s="108">
        <v>5</v>
      </c>
      <c r="I231" s="108">
        <f t="shared" si="27"/>
        <v>5</v>
      </c>
      <c r="J231" s="109"/>
      <c r="K231" s="109"/>
      <c r="L231" s="288"/>
      <c r="M231" s="291"/>
      <c r="N231" s="111"/>
    </row>
    <row r="232" s="245" customFormat="1" spans="1:14">
      <c r="A232" s="284">
        <v>45411</v>
      </c>
      <c r="B232" s="105">
        <v>99</v>
      </c>
      <c r="C232" s="285">
        <v>45406</v>
      </c>
      <c r="D232" s="108"/>
      <c r="E232" s="108"/>
      <c r="F232" s="106" t="s">
        <v>430</v>
      </c>
      <c r="G232" s="108">
        <v>1</v>
      </c>
      <c r="H232" s="108">
        <v>0.2</v>
      </c>
      <c r="I232" s="108">
        <f t="shared" si="27"/>
        <v>0.2</v>
      </c>
      <c r="J232" s="109">
        <v>26</v>
      </c>
      <c r="K232" s="109">
        <f>I232*J232</f>
        <v>5.2</v>
      </c>
      <c r="L232" s="288"/>
      <c r="M232" s="291"/>
      <c r="N232" s="111"/>
    </row>
    <row r="233" s="245" customFormat="1" spans="1:14">
      <c r="A233" s="284">
        <v>45411</v>
      </c>
      <c r="B233" s="105">
        <v>99</v>
      </c>
      <c r="C233" s="285">
        <v>45406</v>
      </c>
      <c r="D233" s="108"/>
      <c r="E233" s="108"/>
      <c r="F233" s="110" t="s">
        <v>310</v>
      </c>
      <c r="G233" s="108">
        <v>1</v>
      </c>
      <c r="H233" s="108">
        <v>1.7</v>
      </c>
      <c r="I233" s="108">
        <f t="shared" si="27"/>
        <v>1.7</v>
      </c>
      <c r="J233" s="109">
        <v>0.6</v>
      </c>
      <c r="K233" s="109">
        <f t="shared" ref="K233:K242" si="28">I233*J233</f>
        <v>1.02</v>
      </c>
      <c r="L233" s="288"/>
      <c r="M233" s="291"/>
      <c r="N233" s="111"/>
    </row>
    <row r="234" s="245" customFormat="1" spans="1:14">
      <c r="A234" s="284">
        <v>45411</v>
      </c>
      <c r="B234" s="105">
        <v>99</v>
      </c>
      <c r="C234" s="285">
        <v>45406</v>
      </c>
      <c r="D234" s="108"/>
      <c r="E234" s="108"/>
      <c r="F234" s="110" t="s">
        <v>431</v>
      </c>
      <c r="G234" s="108">
        <v>1</v>
      </c>
      <c r="H234" s="108">
        <v>0.5</v>
      </c>
      <c r="I234" s="108">
        <f t="shared" si="27"/>
        <v>0.5</v>
      </c>
      <c r="J234" s="109">
        <v>3.5</v>
      </c>
      <c r="K234" s="109">
        <f t="shared" si="28"/>
        <v>1.75</v>
      </c>
      <c r="L234" s="288"/>
      <c r="M234" s="291"/>
      <c r="N234" s="111"/>
    </row>
    <row r="235" s="245" customFormat="1" spans="1:14">
      <c r="A235" s="284">
        <v>45411</v>
      </c>
      <c r="B235" s="105">
        <v>99</v>
      </c>
      <c r="C235" s="285">
        <v>45406</v>
      </c>
      <c r="D235" s="108"/>
      <c r="E235" s="108"/>
      <c r="F235" s="110" t="s">
        <v>432</v>
      </c>
      <c r="G235" s="108">
        <v>1</v>
      </c>
      <c r="H235" s="108">
        <v>1.7</v>
      </c>
      <c r="I235" s="108">
        <f t="shared" si="27"/>
        <v>1.7</v>
      </c>
      <c r="J235" s="109">
        <v>25</v>
      </c>
      <c r="K235" s="109">
        <f t="shared" si="28"/>
        <v>42.5</v>
      </c>
      <c r="L235" s="288"/>
      <c r="M235" s="291"/>
      <c r="N235" s="111"/>
    </row>
    <row r="236" s="245" customFormat="1" spans="1:14">
      <c r="A236" s="284">
        <v>45411</v>
      </c>
      <c r="B236" s="105">
        <v>99</v>
      </c>
      <c r="C236" s="285">
        <v>45406</v>
      </c>
      <c r="D236" s="108"/>
      <c r="E236" s="108"/>
      <c r="F236" s="110" t="s">
        <v>433</v>
      </c>
      <c r="G236" s="108">
        <v>1</v>
      </c>
      <c r="H236" s="108">
        <v>0.1</v>
      </c>
      <c r="I236" s="108">
        <f t="shared" si="27"/>
        <v>0.1</v>
      </c>
      <c r="J236" s="109">
        <v>14.5</v>
      </c>
      <c r="K236" s="109">
        <f t="shared" si="28"/>
        <v>1.45</v>
      </c>
      <c r="L236" s="288"/>
      <c r="M236" s="291"/>
      <c r="N236" s="111"/>
    </row>
    <row r="237" s="245" customFormat="1" spans="1:14">
      <c r="A237" s="284">
        <v>45411</v>
      </c>
      <c r="B237" s="105">
        <v>99</v>
      </c>
      <c r="C237" s="285">
        <v>45406</v>
      </c>
      <c r="D237" s="108"/>
      <c r="E237" s="108"/>
      <c r="F237" s="110" t="s">
        <v>434</v>
      </c>
      <c r="G237" s="108">
        <v>1</v>
      </c>
      <c r="H237" s="108">
        <v>0.8</v>
      </c>
      <c r="I237" s="108">
        <f t="shared" si="27"/>
        <v>0.8</v>
      </c>
      <c r="J237" s="109">
        <v>9</v>
      </c>
      <c r="K237" s="109">
        <f t="shared" si="28"/>
        <v>7.2</v>
      </c>
      <c r="L237" s="288"/>
      <c r="M237" s="291"/>
      <c r="N237" s="111"/>
    </row>
    <row r="238" s="245" customFormat="1" spans="1:14">
      <c r="A238" s="284">
        <v>45411</v>
      </c>
      <c r="B238" s="105">
        <v>99</v>
      </c>
      <c r="C238" s="285">
        <v>45406</v>
      </c>
      <c r="D238" s="108"/>
      <c r="E238" s="108"/>
      <c r="F238" s="110" t="s">
        <v>122</v>
      </c>
      <c r="G238" s="108">
        <v>1</v>
      </c>
      <c r="H238" s="108">
        <v>0.3</v>
      </c>
      <c r="I238" s="108">
        <f t="shared" si="27"/>
        <v>0.3</v>
      </c>
      <c r="J238" s="109">
        <v>8.8</v>
      </c>
      <c r="K238" s="109">
        <f t="shared" si="28"/>
        <v>2.64</v>
      </c>
      <c r="L238" s="288"/>
      <c r="M238" s="291"/>
      <c r="N238" s="111"/>
    </row>
    <row r="239" s="245" customFormat="1" spans="1:14">
      <c r="A239" s="284">
        <v>45411</v>
      </c>
      <c r="B239" s="105">
        <v>99</v>
      </c>
      <c r="C239" s="285">
        <v>45406</v>
      </c>
      <c r="D239" s="108"/>
      <c r="E239" s="108"/>
      <c r="F239" s="106">
        <v>2038</v>
      </c>
      <c r="G239" s="108">
        <v>1</v>
      </c>
      <c r="H239" s="108">
        <v>0.015</v>
      </c>
      <c r="I239" s="108">
        <f t="shared" si="27"/>
        <v>0.015</v>
      </c>
      <c r="J239" s="109">
        <v>55</v>
      </c>
      <c r="K239" s="109">
        <f t="shared" si="28"/>
        <v>0.825</v>
      </c>
      <c r="L239" s="288"/>
      <c r="M239" s="291"/>
      <c r="N239" s="111"/>
    </row>
    <row r="240" s="245" customFormat="1" spans="1:14">
      <c r="A240" s="284">
        <v>45411</v>
      </c>
      <c r="B240" s="105">
        <v>99</v>
      </c>
      <c r="C240" s="285">
        <v>45406</v>
      </c>
      <c r="D240" s="108"/>
      <c r="E240" s="108"/>
      <c r="F240" s="106">
        <v>3033</v>
      </c>
      <c r="G240" s="108">
        <v>1</v>
      </c>
      <c r="H240" s="108">
        <v>0.015</v>
      </c>
      <c r="I240" s="108">
        <f t="shared" si="27"/>
        <v>0.015</v>
      </c>
      <c r="J240" s="109">
        <v>60</v>
      </c>
      <c r="K240" s="109">
        <f t="shared" si="28"/>
        <v>0.9</v>
      </c>
      <c r="L240" s="288"/>
      <c r="M240" s="291"/>
      <c r="N240" s="111"/>
    </row>
    <row r="241" s="245" customFormat="1" spans="1:14">
      <c r="A241" s="284">
        <v>45411</v>
      </c>
      <c r="B241" s="105">
        <v>99</v>
      </c>
      <c r="C241" s="285">
        <v>45406</v>
      </c>
      <c r="D241" s="108"/>
      <c r="E241" s="108"/>
      <c r="F241" s="254" t="s">
        <v>435</v>
      </c>
      <c r="G241" s="114">
        <v>1</v>
      </c>
      <c r="H241" s="114">
        <f>SUM(H231:H240)</f>
        <v>10.33</v>
      </c>
      <c r="I241" s="114">
        <f t="shared" si="27"/>
        <v>10.33</v>
      </c>
      <c r="J241" s="115">
        <v>2.3</v>
      </c>
      <c r="K241" s="115">
        <f t="shared" si="28"/>
        <v>23.759</v>
      </c>
      <c r="L241" s="288"/>
      <c r="M241" s="291"/>
      <c r="N241" s="111"/>
    </row>
    <row r="242" s="245" customFormat="1" spans="1:14">
      <c r="A242" s="284">
        <v>45411</v>
      </c>
      <c r="B242" s="105">
        <v>99</v>
      </c>
      <c r="C242" s="285">
        <v>45406</v>
      </c>
      <c r="D242" s="108"/>
      <c r="E242" s="108"/>
      <c r="F242" s="1" t="s">
        <v>423</v>
      </c>
      <c r="G242" s="108">
        <v>1</v>
      </c>
      <c r="H242" s="108">
        <v>1</v>
      </c>
      <c r="I242" s="108">
        <f t="shared" si="27"/>
        <v>1</v>
      </c>
      <c r="J242" s="109">
        <v>12.5</v>
      </c>
      <c r="K242" s="109">
        <f t="shared" si="28"/>
        <v>12.5</v>
      </c>
      <c r="L242" s="371">
        <f>SUM(K231:K242)</f>
        <v>99.744</v>
      </c>
      <c r="M242" s="291"/>
      <c r="N242" s="111"/>
    </row>
    <row r="243" s="243" customFormat="1" spans="1:14">
      <c r="A243" s="263">
        <v>45411</v>
      </c>
      <c r="B243" s="127">
        <v>100</v>
      </c>
      <c r="C243" s="258">
        <v>45406</v>
      </c>
      <c r="D243" s="136"/>
      <c r="E243" s="136"/>
      <c r="F243" s="133" t="s">
        <v>308</v>
      </c>
      <c r="G243" s="136">
        <v>1</v>
      </c>
      <c r="H243" s="136">
        <v>3.5</v>
      </c>
      <c r="I243" s="136">
        <f t="shared" si="27"/>
        <v>3.5</v>
      </c>
      <c r="J243" s="135"/>
      <c r="K243" s="135"/>
      <c r="L243" s="264"/>
      <c r="M243" s="264"/>
      <c r="N243" s="131"/>
    </row>
    <row r="244" s="243" customFormat="1" spans="1:14">
      <c r="A244" s="263">
        <v>45411</v>
      </c>
      <c r="B244" s="127">
        <v>100</v>
      </c>
      <c r="C244" s="258">
        <v>45406</v>
      </c>
      <c r="D244" s="136"/>
      <c r="E244" s="136"/>
      <c r="F244" s="133" t="s">
        <v>434</v>
      </c>
      <c r="G244" s="136">
        <v>1</v>
      </c>
      <c r="H244" s="136">
        <v>0.7</v>
      </c>
      <c r="I244" s="136">
        <f t="shared" si="27"/>
        <v>0.7</v>
      </c>
      <c r="J244" s="135">
        <v>9</v>
      </c>
      <c r="K244" s="135">
        <f t="shared" ref="K244:K249" si="29">I244*J244</f>
        <v>6.3</v>
      </c>
      <c r="L244" s="264"/>
      <c r="M244" s="264"/>
      <c r="N244" s="131"/>
    </row>
    <row r="245" s="243" customFormat="1" spans="1:14">
      <c r="A245" s="263">
        <v>45411</v>
      </c>
      <c r="B245" s="127">
        <v>100</v>
      </c>
      <c r="C245" s="258">
        <v>45406</v>
      </c>
      <c r="D245" s="136"/>
      <c r="E245" s="136"/>
      <c r="F245" s="131" t="s">
        <v>122</v>
      </c>
      <c r="G245" s="136">
        <v>1</v>
      </c>
      <c r="H245" s="136">
        <v>0.8</v>
      </c>
      <c r="I245" s="136">
        <f t="shared" si="27"/>
        <v>0.8</v>
      </c>
      <c r="J245" s="135">
        <v>8.8</v>
      </c>
      <c r="K245" s="135">
        <f t="shared" si="29"/>
        <v>7.04</v>
      </c>
      <c r="L245" s="264"/>
      <c r="M245" s="264"/>
      <c r="N245" s="131"/>
    </row>
    <row r="246" s="243" customFormat="1" spans="1:14">
      <c r="A246" s="263">
        <v>45411</v>
      </c>
      <c r="B246" s="127">
        <v>100</v>
      </c>
      <c r="C246" s="258">
        <v>45406</v>
      </c>
      <c r="D246" s="136"/>
      <c r="E246" s="136"/>
      <c r="F246" s="133">
        <v>2038</v>
      </c>
      <c r="G246" s="136">
        <v>1</v>
      </c>
      <c r="H246" s="136">
        <v>0.01</v>
      </c>
      <c r="I246" s="136">
        <f t="shared" si="27"/>
        <v>0.01</v>
      </c>
      <c r="J246" s="135">
        <v>55</v>
      </c>
      <c r="K246" s="135">
        <f t="shared" si="29"/>
        <v>0.55</v>
      </c>
      <c r="L246" s="264"/>
      <c r="M246" s="264"/>
      <c r="N246" s="131"/>
    </row>
    <row r="247" s="243" customFormat="1" spans="1:14">
      <c r="A247" s="263">
        <v>45411</v>
      </c>
      <c r="B247" s="127">
        <v>100</v>
      </c>
      <c r="C247" s="258">
        <v>45406</v>
      </c>
      <c r="D247" s="136"/>
      <c r="E247" s="136"/>
      <c r="F247" s="133">
        <v>3033</v>
      </c>
      <c r="G247" s="136">
        <v>1</v>
      </c>
      <c r="H247" s="136">
        <v>0.01</v>
      </c>
      <c r="I247" s="136">
        <f t="shared" si="27"/>
        <v>0.01</v>
      </c>
      <c r="J247" s="135">
        <v>60</v>
      </c>
      <c r="K247" s="135">
        <f t="shared" si="29"/>
        <v>0.6</v>
      </c>
      <c r="L247" s="264"/>
      <c r="M247" s="264"/>
      <c r="N247" s="131"/>
    </row>
    <row r="248" s="243" customFormat="1" spans="1:14">
      <c r="A248" s="263">
        <v>45411</v>
      </c>
      <c r="B248" s="127">
        <v>100</v>
      </c>
      <c r="C248" s="258">
        <v>45406</v>
      </c>
      <c r="D248" s="136"/>
      <c r="E248" s="136"/>
      <c r="F248" s="131" t="s">
        <v>436</v>
      </c>
      <c r="G248" s="136">
        <v>1</v>
      </c>
      <c r="H248" s="136">
        <v>0.1</v>
      </c>
      <c r="I248" s="136">
        <f t="shared" si="27"/>
        <v>0.1</v>
      </c>
      <c r="J248" s="135">
        <v>18</v>
      </c>
      <c r="K248" s="135">
        <f t="shared" si="29"/>
        <v>1.8</v>
      </c>
      <c r="L248" s="264"/>
      <c r="M248" s="264"/>
      <c r="N248" s="131"/>
    </row>
    <row r="249" s="243" customFormat="1" spans="1:14">
      <c r="A249" s="263">
        <v>45411</v>
      </c>
      <c r="B249" s="127">
        <v>100</v>
      </c>
      <c r="C249" s="258">
        <v>45406</v>
      </c>
      <c r="D249" s="136"/>
      <c r="E249" s="136"/>
      <c r="F249" s="254" t="s">
        <v>437</v>
      </c>
      <c r="G249" s="114">
        <v>1</v>
      </c>
      <c r="H249" s="114">
        <f>SUM(H243:H248)</f>
        <v>5.12</v>
      </c>
      <c r="I249" s="114">
        <f t="shared" si="27"/>
        <v>5.12</v>
      </c>
      <c r="J249" s="115">
        <v>2.3</v>
      </c>
      <c r="K249" s="115">
        <f t="shared" si="29"/>
        <v>11.776</v>
      </c>
      <c r="L249" s="264"/>
      <c r="M249" s="264"/>
      <c r="N249" s="131"/>
    </row>
    <row r="250" s="243" customFormat="1" spans="1:14">
      <c r="A250" s="263">
        <v>45411</v>
      </c>
      <c r="B250" s="127">
        <v>100</v>
      </c>
      <c r="C250" s="258">
        <v>45406</v>
      </c>
      <c r="D250" s="136"/>
      <c r="E250" s="136"/>
      <c r="F250" s="131" t="s">
        <v>438</v>
      </c>
      <c r="G250" s="136">
        <v>1</v>
      </c>
      <c r="H250" s="136">
        <v>1</v>
      </c>
      <c r="I250" s="136">
        <f t="shared" si="27"/>
        <v>1</v>
      </c>
      <c r="J250" s="135"/>
      <c r="K250" s="135"/>
      <c r="L250" s="277">
        <f>SUM(K243:K250)</f>
        <v>28.066</v>
      </c>
      <c r="M250" s="264"/>
      <c r="N250" s="131"/>
    </row>
    <row r="251" s="245" customFormat="1" spans="1:14">
      <c r="A251" s="284">
        <v>45411</v>
      </c>
      <c r="B251" s="105">
        <v>101</v>
      </c>
      <c r="C251" s="285">
        <v>45406</v>
      </c>
      <c r="D251" s="108"/>
      <c r="E251" s="108"/>
      <c r="F251" s="106" t="s">
        <v>308</v>
      </c>
      <c r="G251" s="108">
        <v>1</v>
      </c>
      <c r="H251" s="108">
        <v>8.1</v>
      </c>
      <c r="I251" s="108">
        <f t="shared" si="27"/>
        <v>8.1</v>
      </c>
      <c r="J251" s="109"/>
      <c r="K251" s="109"/>
      <c r="L251" s="288"/>
      <c r="M251" s="291"/>
      <c r="N251" s="111"/>
    </row>
    <row r="252" s="245" customFormat="1" spans="1:14">
      <c r="A252" s="284">
        <v>45411</v>
      </c>
      <c r="B252" s="105">
        <v>101</v>
      </c>
      <c r="C252" s="285">
        <v>45406</v>
      </c>
      <c r="D252" s="108"/>
      <c r="E252" s="108"/>
      <c r="F252" s="106" t="s">
        <v>430</v>
      </c>
      <c r="G252" s="108">
        <v>1</v>
      </c>
      <c r="H252" s="108">
        <v>0.3</v>
      </c>
      <c r="I252" s="108">
        <f t="shared" si="27"/>
        <v>0.3</v>
      </c>
      <c r="J252" s="109">
        <v>26</v>
      </c>
      <c r="K252" s="109">
        <f>I252*J252</f>
        <v>7.8</v>
      </c>
      <c r="L252" s="280" t="s">
        <v>439</v>
      </c>
      <c r="M252" s="291"/>
      <c r="N252" s="111"/>
    </row>
    <row r="253" s="245" customFormat="1" spans="1:14">
      <c r="A253" s="284">
        <v>45411</v>
      </c>
      <c r="B253" s="105">
        <v>101</v>
      </c>
      <c r="C253" s="285">
        <v>45406</v>
      </c>
      <c r="D253" s="108"/>
      <c r="E253" s="108"/>
      <c r="F253" s="106" t="s">
        <v>434</v>
      </c>
      <c r="G253" s="108">
        <v>1</v>
      </c>
      <c r="H253" s="108">
        <v>1.7</v>
      </c>
      <c r="I253" s="108">
        <f t="shared" ref="I253:I292" si="30">G253*H253</f>
        <v>1.7</v>
      </c>
      <c r="J253" s="109">
        <v>9</v>
      </c>
      <c r="K253" s="109">
        <f t="shared" ref="K253:K259" si="31">I253*J253</f>
        <v>15.3</v>
      </c>
      <c r="L253" s="288"/>
      <c r="M253" s="291"/>
      <c r="N253" s="111"/>
    </row>
    <row r="254" s="245" customFormat="1" spans="1:14">
      <c r="A254" s="284">
        <v>45411</v>
      </c>
      <c r="B254" s="105">
        <v>101</v>
      </c>
      <c r="C254" s="285">
        <v>45406</v>
      </c>
      <c r="D254" s="108"/>
      <c r="E254" s="108"/>
      <c r="F254" s="110" t="s">
        <v>122</v>
      </c>
      <c r="G254" s="108">
        <v>1</v>
      </c>
      <c r="H254" s="108">
        <v>1.9</v>
      </c>
      <c r="I254" s="108">
        <f t="shared" si="30"/>
        <v>1.9</v>
      </c>
      <c r="J254" s="109">
        <v>8.8</v>
      </c>
      <c r="K254" s="109">
        <f t="shared" si="31"/>
        <v>16.72</v>
      </c>
      <c r="L254" s="288"/>
      <c r="M254" s="291"/>
      <c r="N254" s="111"/>
    </row>
    <row r="255" s="245" customFormat="1" spans="1:14">
      <c r="A255" s="284">
        <v>45411</v>
      </c>
      <c r="B255" s="105">
        <v>101</v>
      </c>
      <c r="C255" s="285">
        <v>45406</v>
      </c>
      <c r="D255" s="108"/>
      <c r="E255" s="108"/>
      <c r="F255" s="106">
        <v>2038</v>
      </c>
      <c r="G255" s="108">
        <v>1</v>
      </c>
      <c r="H255" s="108">
        <v>0.02</v>
      </c>
      <c r="I255" s="108">
        <f t="shared" si="30"/>
        <v>0.02</v>
      </c>
      <c r="J255" s="109">
        <v>55</v>
      </c>
      <c r="K255" s="109">
        <f t="shared" si="31"/>
        <v>1.1</v>
      </c>
      <c r="L255" s="288"/>
      <c r="M255" s="291"/>
      <c r="N255" s="111"/>
    </row>
    <row r="256" s="245" customFormat="1" spans="1:14">
      <c r="A256" s="284">
        <v>45411</v>
      </c>
      <c r="B256" s="105">
        <v>101</v>
      </c>
      <c r="C256" s="285">
        <v>45406</v>
      </c>
      <c r="D256" s="108"/>
      <c r="E256" s="108"/>
      <c r="F256" s="106">
        <v>3033</v>
      </c>
      <c r="G256" s="108">
        <v>1</v>
      </c>
      <c r="H256" s="108">
        <v>0.02</v>
      </c>
      <c r="I256" s="108">
        <f t="shared" si="30"/>
        <v>0.02</v>
      </c>
      <c r="J256" s="109">
        <v>60</v>
      </c>
      <c r="K256" s="109">
        <f t="shared" si="31"/>
        <v>1.2</v>
      </c>
      <c r="L256" s="288"/>
      <c r="M256" s="291"/>
      <c r="N256" s="111"/>
    </row>
    <row r="257" s="245" customFormat="1" spans="1:14">
      <c r="A257" s="284">
        <v>45411</v>
      </c>
      <c r="B257" s="105">
        <v>101</v>
      </c>
      <c r="C257" s="285">
        <v>45406</v>
      </c>
      <c r="D257" s="108"/>
      <c r="E257" s="108"/>
      <c r="F257" s="137" t="s">
        <v>440</v>
      </c>
      <c r="G257" s="108">
        <v>1</v>
      </c>
      <c r="H257" s="108">
        <v>1</v>
      </c>
      <c r="I257" s="108">
        <f t="shared" si="30"/>
        <v>1</v>
      </c>
      <c r="J257" s="109">
        <v>65</v>
      </c>
      <c r="K257" s="109">
        <f t="shared" si="31"/>
        <v>65</v>
      </c>
      <c r="L257" s="289" t="s">
        <v>441</v>
      </c>
      <c r="M257" s="291"/>
      <c r="N257" s="111"/>
    </row>
    <row r="258" s="245" customFormat="1" spans="1:14">
      <c r="A258" s="284">
        <v>45411</v>
      </c>
      <c r="B258" s="105">
        <v>101</v>
      </c>
      <c r="C258" s="285">
        <v>45406</v>
      </c>
      <c r="D258" s="108"/>
      <c r="E258" s="108"/>
      <c r="F258" s="254" t="s">
        <v>442</v>
      </c>
      <c r="G258" s="114">
        <v>1</v>
      </c>
      <c r="H258" s="114">
        <f>SUM(H251:H257)</f>
        <v>13.04</v>
      </c>
      <c r="I258" s="114">
        <f t="shared" si="30"/>
        <v>13.04</v>
      </c>
      <c r="J258" s="115">
        <v>2.3</v>
      </c>
      <c r="K258" s="115">
        <f t="shared" si="31"/>
        <v>29.992</v>
      </c>
      <c r="L258" s="288"/>
      <c r="M258" s="291"/>
      <c r="N258" s="111"/>
    </row>
    <row r="259" s="245" customFormat="1" spans="1:14">
      <c r="A259" s="284">
        <v>45411</v>
      </c>
      <c r="B259" s="105">
        <v>101</v>
      </c>
      <c r="C259" s="285">
        <v>45406</v>
      </c>
      <c r="D259" s="108"/>
      <c r="E259" s="108"/>
      <c r="F259" s="1" t="s">
        <v>443</v>
      </c>
      <c r="G259" s="108">
        <v>1</v>
      </c>
      <c r="H259" s="108">
        <v>1</v>
      </c>
      <c r="I259" s="108">
        <f t="shared" si="30"/>
        <v>1</v>
      </c>
      <c r="J259" s="109">
        <v>12.5</v>
      </c>
      <c r="K259" s="109">
        <f t="shared" si="31"/>
        <v>12.5</v>
      </c>
      <c r="L259" s="371">
        <f>SUM(K251:K259)</f>
        <v>149.612</v>
      </c>
      <c r="M259" s="291"/>
      <c r="N259" s="111"/>
    </row>
    <row r="260" s="243" customFormat="1" spans="1:14">
      <c r="A260" s="263">
        <v>45411</v>
      </c>
      <c r="B260" s="127">
        <v>102</v>
      </c>
      <c r="C260" s="258">
        <v>45409</v>
      </c>
      <c r="D260" s="136"/>
      <c r="E260" s="136"/>
      <c r="F260" s="133" t="s">
        <v>308</v>
      </c>
      <c r="G260" s="136">
        <v>1</v>
      </c>
      <c r="H260" s="136">
        <v>6</v>
      </c>
      <c r="I260" s="136">
        <f t="shared" si="30"/>
        <v>6</v>
      </c>
      <c r="J260" s="135"/>
      <c r="K260" s="135"/>
      <c r="L260" s="278"/>
      <c r="M260" s="279"/>
      <c r="N260" s="132"/>
    </row>
    <row r="261" s="243" customFormat="1" spans="1:14">
      <c r="A261" s="263">
        <v>45411</v>
      </c>
      <c r="B261" s="127">
        <v>102</v>
      </c>
      <c r="C261" s="258">
        <v>45409</v>
      </c>
      <c r="D261" s="136"/>
      <c r="E261" s="136"/>
      <c r="F261" s="133" t="s">
        <v>430</v>
      </c>
      <c r="G261" s="136">
        <v>1</v>
      </c>
      <c r="H261" s="136">
        <v>0.3</v>
      </c>
      <c r="I261" s="136">
        <f t="shared" si="30"/>
        <v>0.3</v>
      </c>
      <c r="J261" s="135">
        <v>26</v>
      </c>
      <c r="K261" s="135">
        <f t="shared" ref="K261:K266" si="32">I261*J261</f>
        <v>7.8</v>
      </c>
      <c r="L261" s="280" t="s">
        <v>439</v>
      </c>
      <c r="M261" s="279"/>
      <c r="N261" s="132"/>
    </row>
    <row r="262" s="243" customFormat="1" spans="1:14">
      <c r="A262" s="263">
        <v>45411</v>
      </c>
      <c r="B262" s="127">
        <v>102</v>
      </c>
      <c r="C262" s="258">
        <v>45409</v>
      </c>
      <c r="D262" s="136"/>
      <c r="E262" s="136"/>
      <c r="F262" s="133" t="s">
        <v>434</v>
      </c>
      <c r="G262" s="136">
        <v>1</v>
      </c>
      <c r="H262" s="136">
        <v>1.3</v>
      </c>
      <c r="I262" s="136">
        <f t="shared" si="30"/>
        <v>1.3</v>
      </c>
      <c r="J262" s="135">
        <v>9</v>
      </c>
      <c r="K262" s="135">
        <f t="shared" si="32"/>
        <v>11.7</v>
      </c>
      <c r="L262" s="278"/>
      <c r="M262" s="279"/>
      <c r="N262" s="132"/>
    </row>
    <row r="263" s="243" customFormat="1" spans="1:14">
      <c r="A263" s="263">
        <v>45411</v>
      </c>
      <c r="B263" s="127">
        <v>102</v>
      </c>
      <c r="C263" s="258">
        <v>45409</v>
      </c>
      <c r="D263" s="136"/>
      <c r="E263" s="136"/>
      <c r="F263" s="131" t="s">
        <v>122</v>
      </c>
      <c r="G263" s="136">
        <v>1</v>
      </c>
      <c r="H263" s="136">
        <v>1.5</v>
      </c>
      <c r="I263" s="136">
        <f t="shared" si="30"/>
        <v>1.5</v>
      </c>
      <c r="J263" s="135">
        <v>8.8</v>
      </c>
      <c r="K263" s="135">
        <f t="shared" si="32"/>
        <v>13.2</v>
      </c>
      <c r="L263" s="278"/>
      <c r="M263" s="279"/>
      <c r="N263" s="132"/>
    </row>
    <row r="264" s="243" customFormat="1" spans="1:14">
      <c r="A264" s="263">
        <v>45411</v>
      </c>
      <c r="B264" s="127">
        <v>102</v>
      </c>
      <c r="C264" s="258">
        <v>45409</v>
      </c>
      <c r="D264" s="136"/>
      <c r="E264" s="136"/>
      <c r="F264" s="133">
        <v>2038</v>
      </c>
      <c r="G264" s="136">
        <v>1</v>
      </c>
      <c r="H264" s="136">
        <v>0.02</v>
      </c>
      <c r="I264" s="136">
        <f t="shared" si="30"/>
        <v>0.02</v>
      </c>
      <c r="J264" s="135">
        <v>55</v>
      </c>
      <c r="K264" s="135">
        <f t="shared" si="32"/>
        <v>1.1</v>
      </c>
      <c r="L264" s="278"/>
      <c r="M264" s="279"/>
      <c r="N264" s="132"/>
    </row>
    <row r="265" s="243" customFormat="1" spans="1:14">
      <c r="A265" s="263">
        <v>45411</v>
      </c>
      <c r="B265" s="127">
        <v>102</v>
      </c>
      <c r="C265" s="258">
        <v>45409</v>
      </c>
      <c r="D265" s="136"/>
      <c r="E265" s="136"/>
      <c r="F265" s="133">
        <v>3033</v>
      </c>
      <c r="G265" s="136">
        <v>1</v>
      </c>
      <c r="H265" s="136">
        <v>0.02</v>
      </c>
      <c r="I265" s="136">
        <f t="shared" si="30"/>
        <v>0.02</v>
      </c>
      <c r="J265" s="135">
        <v>60</v>
      </c>
      <c r="K265" s="135">
        <f t="shared" si="32"/>
        <v>1.2</v>
      </c>
      <c r="L265" s="278"/>
      <c r="M265" s="279"/>
      <c r="N265" s="132"/>
    </row>
    <row r="266" s="243" customFormat="1" spans="1:14">
      <c r="A266" s="263">
        <v>45411</v>
      </c>
      <c r="B266" s="127">
        <v>102</v>
      </c>
      <c r="C266" s="258">
        <v>45409</v>
      </c>
      <c r="D266" s="136"/>
      <c r="E266" s="136"/>
      <c r="F266" s="137" t="s">
        <v>440</v>
      </c>
      <c r="G266" s="136">
        <v>1</v>
      </c>
      <c r="H266" s="136">
        <v>0.8</v>
      </c>
      <c r="I266" s="136">
        <f t="shared" si="30"/>
        <v>0.8</v>
      </c>
      <c r="J266" s="135">
        <v>65</v>
      </c>
      <c r="K266" s="135">
        <f t="shared" si="32"/>
        <v>52</v>
      </c>
      <c r="L266" s="289" t="s">
        <v>441</v>
      </c>
      <c r="M266" s="279"/>
      <c r="N266" s="132"/>
    </row>
    <row r="267" s="243" customFormat="1" spans="1:14">
      <c r="A267" s="263">
        <v>45411</v>
      </c>
      <c r="B267" s="127">
        <v>102</v>
      </c>
      <c r="C267" s="258">
        <v>45409</v>
      </c>
      <c r="D267" s="136"/>
      <c r="E267" s="136"/>
      <c r="F267" s="131" t="s">
        <v>444</v>
      </c>
      <c r="G267" s="136">
        <v>1</v>
      </c>
      <c r="H267" s="136">
        <v>0.08</v>
      </c>
      <c r="I267" s="136">
        <f t="shared" si="30"/>
        <v>0.08</v>
      </c>
      <c r="J267" s="135"/>
      <c r="K267" s="135"/>
      <c r="L267" s="278"/>
      <c r="M267" s="279"/>
      <c r="N267" s="132"/>
    </row>
    <row r="268" s="243" customFormat="1" spans="1:14">
      <c r="A268" s="263">
        <v>45411</v>
      </c>
      <c r="B268" s="127">
        <v>102</v>
      </c>
      <c r="C268" s="258">
        <v>45409</v>
      </c>
      <c r="D268" s="136"/>
      <c r="E268" s="136"/>
      <c r="F268" s="254" t="s">
        <v>442</v>
      </c>
      <c r="G268" s="114">
        <v>1</v>
      </c>
      <c r="H268" s="114">
        <f>SUM(H260:H267)</f>
        <v>10.02</v>
      </c>
      <c r="I268" s="114">
        <f t="shared" si="30"/>
        <v>10.02</v>
      </c>
      <c r="J268" s="115">
        <v>2.3</v>
      </c>
      <c r="K268" s="115">
        <f t="shared" ref="K268:K276" si="33">I268*J268</f>
        <v>23.046</v>
      </c>
      <c r="L268" s="278"/>
      <c r="M268" s="279"/>
      <c r="N268" s="132"/>
    </row>
    <row r="269" s="243" customFormat="1" spans="1:14">
      <c r="A269" s="263">
        <v>45411</v>
      </c>
      <c r="B269" s="127">
        <v>102</v>
      </c>
      <c r="C269" s="258">
        <v>45409</v>
      </c>
      <c r="D269" s="136"/>
      <c r="E269" s="136"/>
      <c r="F269" s="131" t="s">
        <v>438</v>
      </c>
      <c r="G269" s="136">
        <v>1</v>
      </c>
      <c r="H269" s="136">
        <v>1</v>
      </c>
      <c r="I269" s="136">
        <f t="shared" si="30"/>
        <v>1</v>
      </c>
      <c r="J269" s="135">
        <v>12.5</v>
      </c>
      <c r="K269" s="135">
        <f t="shared" si="33"/>
        <v>12.5</v>
      </c>
      <c r="L269" s="372">
        <f>SUM(K260:K269)</f>
        <v>122.546</v>
      </c>
      <c r="M269" s="279"/>
      <c r="N269" s="132"/>
    </row>
    <row r="270" s="1" customFormat="1" spans="1:14">
      <c r="A270" s="51">
        <v>45412</v>
      </c>
      <c r="B270" s="105">
        <v>109</v>
      </c>
      <c r="C270" s="51">
        <v>45412</v>
      </c>
      <c r="D270" s="51"/>
      <c r="E270" s="51"/>
      <c r="F270" s="110" t="s">
        <v>335</v>
      </c>
      <c r="G270" s="107">
        <v>10</v>
      </c>
      <c r="H270" s="107">
        <v>20</v>
      </c>
      <c r="I270" s="108">
        <f t="shared" si="30"/>
        <v>200</v>
      </c>
      <c r="J270" s="109">
        <v>14.5</v>
      </c>
      <c r="K270" s="109">
        <f t="shared" si="33"/>
        <v>2900</v>
      </c>
      <c r="L270" s="110" t="s">
        <v>427</v>
      </c>
      <c r="M270" s="278" t="s">
        <v>425</v>
      </c>
      <c r="N270" s="111"/>
    </row>
    <row r="271" s="1" customFormat="1" spans="1:14">
      <c r="A271" s="51">
        <v>45412</v>
      </c>
      <c r="B271" s="105">
        <v>109</v>
      </c>
      <c r="C271" s="51">
        <v>45412</v>
      </c>
      <c r="D271" s="51"/>
      <c r="E271" s="51"/>
      <c r="F271" s="110" t="s">
        <v>337</v>
      </c>
      <c r="G271" s="107">
        <v>10</v>
      </c>
      <c r="H271" s="107">
        <v>15</v>
      </c>
      <c r="I271" s="108">
        <f t="shared" si="30"/>
        <v>150</v>
      </c>
      <c r="J271" s="109">
        <v>9</v>
      </c>
      <c r="K271" s="109">
        <f t="shared" si="33"/>
        <v>1350</v>
      </c>
      <c r="L271" s="110">
        <f>SUM(K270:K271)</f>
        <v>4250</v>
      </c>
      <c r="M271" s="110" t="s">
        <v>338</v>
      </c>
      <c r="N271" s="111"/>
    </row>
    <row r="272" s="243" customFormat="1" spans="1:14">
      <c r="A272" s="263">
        <v>45422</v>
      </c>
      <c r="B272" s="127">
        <v>26</v>
      </c>
      <c r="C272" s="258">
        <v>45417</v>
      </c>
      <c r="D272" s="136"/>
      <c r="E272" s="136"/>
      <c r="F272" s="131" t="s">
        <v>308</v>
      </c>
      <c r="G272" s="136">
        <v>1</v>
      </c>
      <c r="H272" s="136">
        <v>6</v>
      </c>
      <c r="I272" s="136">
        <f t="shared" si="30"/>
        <v>6</v>
      </c>
      <c r="J272" s="135"/>
      <c r="K272" s="135"/>
      <c r="L272" s="278"/>
      <c r="M272" s="279"/>
      <c r="N272" s="132"/>
    </row>
    <row r="273" s="243" customFormat="1" spans="1:14">
      <c r="A273" s="263">
        <v>45422</v>
      </c>
      <c r="B273" s="127">
        <v>26</v>
      </c>
      <c r="C273" s="258">
        <v>45417</v>
      </c>
      <c r="D273" s="136"/>
      <c r="E273" s="136"/>
      <c r="F273" s="133" t="s">
        <v>120</v>
      </c>
      <c r="G273" s="136">
        <v>1</v>
      </c>
      <c r="H273" s="136">
        <v>0.12</v>
      </c>
      <c r="I273" s="136">
        <f t="shared" si="30"/>
        <v>0.12</v>
      </c>
      <c r="J273" s="135">
        <v>21</v>
      </c>
      <c r="K273" s="135">
        <f t="shared" ref="K273:K284" si="34">I273*J273</f>
        <v>2.52</v>
      </c>
      <c r="L273" s="278"/>
      <c r="M273" s="279"/>
      <c r="N273" s="132"/>
    </row>
    <row r="274" s="243" customFormat="1" spans="1:14">
      <c r="A274" s="263">
        <v>45422</v>
      </c>
      <c r="B274" s="127">
        <v>26</v>
      </c>
      <c r="C274" s="258">
        <v>45417</v>
      </c>
      <c r="D274" s="136"/>
      <c r="E274" s="136"/>
      <c r="F274" s="131" t="s">
        <v>310</v>
      </c>
      <c r="G274" s="136">
        <v>1</v>
      </c>
      <c r="H274" s="136">
        <v>2</v>
      </c>
      <c r="I274" s="136">
        <f t="shared" si="30"/>
        <v>2</v>
      </c>
      <c r="J274" s="135">
        <v>0.6</v>
      </c>
      <c r="K274" s="135">
        <f t="shared" si="34"/>
        <v>1.2</v>
      </c>
      <c r="L274" s="278"/>
      <c r="M274" s="279"/>
      <c r="N274" s="132"/>
    </row>
    <row r="275" s="243" customFormat="1" spans="1:14">
      <c r="A275" s="263">
        <v>45422</v>
      </c>
      <c r="B275" s="127">
        <v>26</v>
      </c>
      <c r="C275" s="258">
        <v>45417</v>
      </c>
      <c r="D275" s="136"/>
      <c r="E275" s="136"/>
      <c r="F275" s="131" t="s">
        <v>432</v>
      </c>
      <c r="G275" s="136">
        <v>1</v>
      </c>
      <c r="H275" s="136">
        <v>0.5</v>
      </c>
      <c r="I275" s="136">
        <f t="shared" si="30"/>
        <v>0.5</v>
      </c>
      <c r="J275" s="135">
        <v>25</v>
      </c>
      <c r="K275" s="135">
        <f t="shared" si="34"/>
        <v>12.5</v>
      </c>
      <c r="L275" s="278"/>
      <c r="M275" s="279"/>
      <c r="N275" s="132"/>
    </row>
    <row r="276" s="243" customFormat="1" spans="1:14">
      <c r="A276" s="263">
        <v>45422</v>
      </c>
      <c r="B276" s="127">
        <v>26</v>
      </c>
      <c r="C276" s="258">
        <v>45417</v>
      </c>
      <c r="D276" s="136"/>
      <c r="E276" s="136"/>
      <c r="F276" s="131" t="s">
        <v>323</v>
      </c>
      <c r="G276" s="136">
        <v>1</v>
      </c>
      <c r="H276" s="136">
        <v>2</v>
      </c>
      <c r="I276" s="136">
        <f t="shared" si="30"/>
        <v>2</v>
      </c>
      <c r="J276" s="135">
        <v>18</v>
      </c>
      <c r="K276" s="135">
        <f t="shared" si="34"/>
        <v>36</v>
      </c>
      <c r="L276" s="278"/>
      <c r="M276" s="279"/>
      <c r="N276" s="132"/>
    </row>
    <row r="277" s="243" customFormat="1" spans="1:14">
      <c r="A277" s="263">
        <v>45422</v>
      </c>
      <c r="B277" s="127">
        <v>26</v>
      </c>
      <c r="C277" s="258">
        <v>45417</v>
      </c>
      <c r="D277" s="136"/>
      <c r="E277" s="136"/>
      <c r="F277" s="131" t="s">
        <v>434</v>
      </c>
      <c r="G277" s="136">
        <v>1</v>
      </c>
      <c r="H277" s="136">
        <v>1</v>
      </c>
      <c r="I277" s="136">
        <f t="shared" si="30"/>
        <v>1</v>
      </c>
      <c r="J277" s="135">
        <v>9</v>
      </c>
      <c r="K277" s="135">
        <f t="shared" si="34"/>
        <v>9</v>
      </c>
      <c r="L277" s="278"/>
      <c r="M277" s="279"/>
      <c r="N277" s="132"/>
    </row>
    <row r="278" s="243" customFormat="1" spans="1:14">
      <c r="A278" s="263">
        <v>45422</v>
      </c>
      <c r="B278" s="127">
        <v>26</v>
      </c>
      <c r="C278" s="258">
        <v>45417</v>
      </c>
      <c r="D278" s="136"/>
      <c r="E278" s="136"/>
      <c r="F278" s="131" t="s">
        <v>122</v>
      </c>
      <c r="G278" s="136">
        <v>1</v>
      </c>
      <c r="H278" s="136">
        <v>0.5</v>
      </c>
      <c r="I278" s="136">
        <f t="shared" si="30"/>
        <v>0.5</v>
      </c>
      <c r="J278" s="135">
        <v>8.8</v>
      </c>
      <c r="K278" s="135">
        <f t="shared" si="34"/>
        <v>4.4</v>
      </c>
      <c r="L278" s="278"/>
      <c r="M278" s="279"/>
      <c r="N278" s="132"/>
    </row>
    <row r="279" s="243" customFormat="1" spans="1:14">
      <c r="A279" s="263">
        <v>45422</v>
      </c>
      <c r="B279" s="127">
        <v>26</v>
      </c>
      <c r="C279" s="258">
        <v>45417</v>
      </c>
      <c r="D279" s="136"/>
      <c r="E279" s="136"/>
      <c r="F279" s="254" t="s">
        <v>445</v>
      </c>
      <c r="G279" s="114">
        <v>1</v>
      </c>
      <c r="H279" s="114">
        <f>SUM(H272:H278)</f>
        <v>12.12</v>
      </c>
      <c r="I279" s="114">
        <f t="shared" si="30"/>
        <v>12.12</v>
      </c>
      <c r="J279" s="115">
        <v>2.3</v>
      </c>
      <c r="K279" s="115">
        <f t="shared" si="34"/>
        <v>27.876</v>
      </c>
      <c r="L279" s="278"/>
      <c r="M279" s="279"/>
      <c r="N279" s="132"/>
    </row>
    <row r="280" s="243" customFormat="1" spans="1:14">
      <c r="A280" s="263">
        <v>45422</v>
      </c>
      <c r="B280" s="127">
        <v>26</v>
      </c>
      <c r="C280" s="258">
        <v>45417</v>
      </c>
      <c r="D280" s="136"/>
      <c r="E280" s="136"/>
      <c r="F280" s="2" t="s">
        <v>446</v>
      </c>
      <c r="G280" s="136">
        <v>2</v>
      </c>
      <c r="H280" s="136">
        <v>1</v>
      </c>
      <c r="I280" s="136">
        <f t="shared" si="30"/>
        <v>2</v>
      </c>
      <c r="J280" s="135">
        <v>7</v>
      </c>
      <c r="K280" s="135">
        <f t="shared" si="34"/>
        <v>14</v>
      </c>
      <c r="L280" s="372">
        <f>SUM(K272:K281)</f>
        <v>112.996</v>
      </c>
      <c r="M280" s="279"/>
      <c r="N280" s="132"/>
    </row>
    <row r="281" spans="1:14">
      <c r="A281" s="263">
        <v>45422</v>
      </c>
      <c r="B281" s="127">
        <v>26</v>
      </c>
      <c r="C281" s="258">
        <v>45417</v>
      </c>
      <c r="D281" s="136"/>
      <c r="E281" s="136"/>
      <c r="F281" s="2" t="s">
        <v>447</v>
      </c>
      <c r="G281" s="134">
        <v>1</v>
      </c>
      <c r="H281" s="134">
        <v>1</v>
      </c>
      <c r="I281" s="136">
        <f t="shared" si="30"/>
        <v>1</v>
      </c>
      <c r="J281" s="134">
        <v>5.5</v>
      </c>
      <c r="K281" s="135">
        <f t="shared" si="34"/>
        <v>5.5</v>
      </c>
    </row>
    <row r="282" s="245" customFormat="1" spans="1:14">
      <c r="A282" s="284">
        <v>45422</v>
      </c>
      <c r="B282" s="105">
        <v>27</v>
      </c>
      <c r="C282" s="285">
        <v>45417</v>
      </c>
      <c r="D282" s="108"/>
      <c r="E282" s="108"/>
      <c r="F282" s="110" t="s">
        <v>434</v>
      </c>
      <c r="G282" s="108">
        <v>1</v>
      </c>
      <c r="H282" s="108">
        <v>1</v>
      </c>
      <c r="I282" s="108">
        <f t="shared" si="30"/>
        <v>1</v>
      </c>
      <c r="J282" s="109">
        <v>9</v>
      </c>
      <c r="K282" s="109">
        <f t="shared" si="34"/>
        <v>9</v>
      </c>
      <c r="L282" s="288"/>
      <c r="M282" s="291"/>
      <c r="N282" s="111"/>
    </row>
    <row r="283" s="245" customFormat="1" spans="1:14">
      <c r="A283" s="284">
        <v>45422</v>
      </c>
      <c r="B283" s="105">
        <v>27</v>
      </c>
      <c r="C283" s="285">
        <v>45417</v>
      </c>
      <c r="D283" s="108"/>
      <c r="E283" s="108"/>
      <c r="F283" s="110" t="s">
        <v>122</v>
      </c>
      <c r="G283" s="108">
        <v>1</v>
      </c>
      <c r="H283" s="108">
        <v>7</v>
      </c>
      <c r="I283" s="108">
        <f t="shared" si="30"/>
        <v>7</v>
      </c>
      <c r="J283" s="109">
        <v>8.8</v>
      </c>
      <c r="K283" s="109">
        <f t="shared" si="34"/>
        <v>61.6</v>
      </c>
      <c r="L283" s="288"/>
      <c r="M283" s="291"/>
      <c r="N283" s="111"/>
    </row>
    <row r="284" s="1" customFormat="1" spans="1:14">
      <c r="A284" s="284">
        <v>45422</v>
      </c>
      <c r="B284" s="105">
        <v>27</v>
      </c>
      <c r="C284" s="285">
        <v>45417</v>
      </c>
      <c r="D284" s="108"/>
      <c r="E284" s="108"/>
      <c r="F284" s="1" t="s">
        <v>317</v>
      </c>
      <c r="G284" s="107">
        <v>1</v>
      </c>
      <c r="H284" s="107">
        <f>SUM(H282:H283)</f>
        <v>8</v>
      </c>
      <c r="I284" s="108">
        <f t="shared" si="30"/>
        <v>8</v>
      </c>
      <c r="J284" s="107">
        <v>0.7</v>
      </c>
      <c r="K284" s="109">
        <f t="shared" si="34"/>
        <v>5.6</v>
      </c>
      <c r="L284" s="110"/>
      <c r="M284" s="110"/>
      <c r="N284" s="111"/>
    </row>
    <row r="285" s="1" customFormat="1" spans="1:14">
      <c r="A285" s="284">
        <v>45422</v>
      </c>
      <c r="B285" s="105">
        <v>27</v>
      </c>
      <c r="C285" s="285">
        <v>45417</v>
      </c>
      <c r="D285" s="108"/>
      <c r="E285" s="108"/>
      <c r="F285" s="1" t="s">
        <v>448</v>
      </c>
      <c r="G285" s="107">
        <v>1</v>
      </c>
      <c r="H285" s="107">
        <v>1</v>
      </c>
      <c r="I285" s="108">
        <f t="shared" si="30"/>
        <v>1</v>
      </c>
      <c r="J285" s="107"/>
      <c r="K285" s="109"/>
      <c r="L285" s="110">
        <f>SUM(K282:K285)</f>
        <v>76.2</v>
      </c>
      <c r="M285" s="110"/>
      <c r="N285" s="111"/>
    </row>
    <row r="286" s="13" customFormat="1" spans="1:14">
      <c r="A286" s="373" t="s">
        <v>449</v>
      </c>
      <c r="B286" s="373"/>
      <c r="C286" s="272">
        <v>45419</v>
      </c>
      <c r="D286" s="272"/>
      <c r="E286" s="272"/>
      <c r="F286" s="137" t="s">
        <v>450</v>
      </c>
      <c r="G286" s="262">
        <v>1</v>
      </c>
      <c r="H286" s="262">
        <v>5</v>
      </c>
      <c r="I286" s="274">
        <f t="shared" si="30"/>
        <v>5</v>
      </c>
      <c r="J286" s="275"/>
      <c r="K286" s="275"/>
      <c r="L286" s="137"/>
      <c r="M286" s="137"/>
      <c r="N286" s="276"/>
    </row>
    <row r="287" s="13" customFormat="1" spans="1:14">
      <c r="A287" s="373" t="s">
        <v>449</v>
      </c>
      <c r="B287" s="373"/>
      <c r="C287" s="272">
        <v>45419</v>
      </c>
      <c r="D287" s="272"/>
      <c r="E287" s="272"/>
      <c r="F287" s="137" t="s">
        <v>451</v>
      </c>
      <c r="G287" s="262">
        <v>1</v>
      </c>
      <c r="H287" s="262">
        <v>2.5</v>
      </c>
      <c r="I287" s="274">
        <f t="shared" si="30"/>
        <v>2.5</v>
      </c>
      <c r="J287" s="275"/>
      <c r="K287" s="275"/>
      <c r="L287" s="137"/>
      <c r="M287" s="137"/>
      <c r="N287" s="276"/>
    </row>
    <row r="288" s="13" customFormat="1" spans="1:14">
      <c r="A288" s="373" t="s">
        <v>449</v>
      </c>
      <c r="B288" s="373"/>
      <c r="C288" s="272">
        <v>45419</v>
      </c>
      <c r="D288" s="272"/>
      <c r="E288" s="272"/>
      <c r="F288" s="137" t="s">
        <v>452</v>
      </c>
      <c r="G288" s="262">
        <v>1</v>
      </c>
      <c r="H288" s="262">
        <v>3</v>
      </c>
      <c r="I288" s="274">
        <f t="shared" si="30"/>
        <v>3</v>
      </c>
      <c r="J288" s="275"/>
      <c r="K288" s="275"/>
      <c r="L288" s="137"/>
      <c r="M288" s="137"/>
      <c r="N288" s="276"/>
    </row>
    <row r="289" s="245" customFormat="1" spans="1:14">
      <c r="A289" s="284">
        <v>45422</v>
      </c>
      <c r="B289" s="105">
        <v>28</v>
      </c>
      <c r="C289" s="285">
        <v>45422</v>
      </c>
      <c r="D289" s="108"/>
      <c r="E289" s="108"/>
      <c r="F289" s="131" t="s">
        <v>308</v>
      </c>
      <c r="G289" s="108">
        <v>1</v>
      </c>
      <c r="H289" s="108">
        <v>36</v>
      </c>
      <c r="I289" s="108">
        <f t="shared" si="30"/>
        <v>36</v>
      </c>
      <c r="J289" s="109">
        <v>12.6</v>
      </c>
      <c r="K289" s="109">
        <f>I289*J289</f>
        <v>453.6</v>
      </c>
      <c r="L289" s="289" t="s">
        <v>453</v>
      </c>
      <c r="M289" s="291"/>
      <c r="N289" s="111"/>
    </row>
    <row r="290" s="245" customFormat="1" spans="1:14">
      <c r="A290" s="284">
        <v>45422</v>
      </c>
      <c r="B290" s="105">
        <v>28</v>
      </c>
      <c r="C290" s="285">
        <v>45422</v>
      </c>
      <c r="D290" s="108"/>
      <c r="E290" s="108"/>
      <c r="F290" s="106" t="s">
        <v>430</v>
      </c>
      <c r="G290" s="108">
        <v>1</v>
      </c>
      <c r="H290" s="108">
        <v>1.8</v>
      </c>
      <c r="I290" s="108">
        <f t="shared" si="30"/>
        <v>1.8</v>
      </c>
      <c r="J290" s="109">
        <v>26</v>
      </c>
      <c r="K290" s="109">
        <f t="shared" ref="K290:K298" si="35">I290*J290</f>
        <v>46.8</v>
      </c>
      <c r="L290" s="374" t="s">
        <v>439</v>
      </c>
      <c r="M290" s="291"/>
      <c r="N290" s="111"/>
    </row>
    <row r="291" s="245" customFormat="1" spans="1:14">
      <c r="A291" s="284">
        <v>45422</v>
      </c>
      <c r="B291" s="105">
        <v>28</v>
      </c>
      <c r="C291" s="285">
        <v>45422</v>
      </c>
      <c r="D291" s="108"/>
      <c r="E291" s="108"/>
      <c r="F291" s="106" t="s">
        <v>434</v>
      </c>
      <c r="G291" s="108">
        <v>1</v>
      </c>
      <c r="H291" s="108">
        <v>7.8</v>
      </c>
      <c r="I291" s="108">
        <f t="shared" si="30"/>
        <v>7.8</v>
      </c>
      <c r="J291" s="109">
        <v>9</v>
      </c>
      <c r="K291" s="109">
        <f t="shared" si="35"/>
        <v>70.2</v>
      </c>
      <c r="L291" s="288"/>
      <c r="M291" s="291"/>
      <c r="N291" s="111"/>
    </row>
    <row r="292" s="245" customFormat="1" spans="1:14">
      <c r="A292" s="284">
        <v>45422</v>
      </c>
      <c r="B292" s="105">
        <v>28</v>
      </c>
      <c r="C292" s="285">
        <v>45422</v>
      </c>
      <c r="D292" s="108"/>
      <c r="E292" s="108"/>
      <c r="F292" s="110" t="s">
        <v>122</v>
      </c>
      <c r="G292" s="108">
        <v>1</v>
      </c>
      <c r="H292" s="108">
        <v>10</v>
      </c>
      <c r="I292" s="108">
        <f t="shared" si="30"/>
        <v>10</v>
      </c>
      <c r="J292" s="109">
        <v>8.8</v>
      </c>
      <c r="K292" s="109">
        <f t="shared" si="35"/>
        <v>88</v>
      </c>
      <c r="L292" s="288"/>
      <c r="M292" s="291"/>
      <c r="N292" s="111"/>
    </row>
    <row r="293" s="245" customFormat="1" spans="1:14">
      <c r="A293" s="284">
        <v>45422</v>
      </c>
      <c r="B293" s="105">
        <v>28</v>
      </c>
      <c r="C293" s="285">
        <v>45422</v>
      </c>
      <c r="D293" s="108"/>
      <c r="E293" s="108"/>
      <c r="F293" s="106">
        <v>2038</v>
      </c>
      <c r="G293" s="108">
        <v>1</v>
      </c>
      <c r="H293" s="108">
        <v>0.12</v>
      </c>
      <c r="I293" s="108">
        <f t="shared" ref="I293:I315" si="36">G293*H293</f>
        <v>0.12</v>
      </c>
      <c r="J293" s="109">
        <v>55</v>
      </c>
      <c r="K293" s="109">
        <f t="shared" si="35"/>
        <v>6.6</v>
      </c>
      <c r="L293" s="288"/>
      <c r="M293" s="291"/>
      <c r="N293" s="111"/>
    </row>
    <row r="294" s="245" customFormat="1" spans="1:14">
      <c r="A294" s="284">
        <v>45422</v>
      </c>
      <c r="B294" s="105">
        <v>28</v>
      </c>
      <c r="C294" s="285">
        <v>45422</v>
      </c>
      <c r="D294" s="108"/>
      <c r="E294" s="108"/>
      <c r="F294" s="106">
        <v>3033</v>
      </c>
      <c r="G294" s="108">
        <v>1</v>
      </c>
      <c r="H294" s="108">
        <v>0.12</v>
      </c>
      <c r="I294" s="108">
        <f t="shared" si="36"/>
        <v>0.12</v>
      </c>
      <c r="J294" s="109">
        <v>60</v>
      </c>
      <c r="K294" s="109">
        <f t="shared" si="35"/>
        <v>7.2</v>
      </c>
      <c r="L294" s="288"/>
      <c r="M294" s="291"/>
      <c r="N294" s="111"/>
    </row>
    <row r="295" s="245" customFormat="1" spans="1:14">
      <c r="A295" s="284">
        <v>45422</v>
      </c>
      <c r="B295" s="105">
        <v>28</v>
      </c>
      <c r="C295" s="285">
        <v>45422</v>
      </c>
      <c r="D295" s="108"/>
      <c r="E295" s="108"/>
      <c r="F295" s="137" t="s">
        <v>454</v>
      </c>
      <c r="G295" s="108">
        <v>1</v>
      </c>
      <c r="H295" s="108">
        <v>4.2</v>
      </c>
      <c r="I295" s="108">
        <f t="shared" si="36"/>
        <v>4.2</v>
      </c>
      <c r="J295" s="109">
        <v>50</v>
      </c>
      <c r="K295" s="109">
        <f t="shared" si="35"/>
        <v>210</v>
      </c>
      <c r="L295" s="288" t="s">
        <v>455</v>
      </c>
      <c r="M295" s="375"/>
      <c r="N295" s="111"/>
    </row>
    <row r="296" s="245" customFormat="1" spans="1:14">
      <c r="A296" s="284">
        <v>45422</v>
      </c>
      <c r="B296" s="105">
        <v>28</v>
      </c>
      <c r="C296" s="285">
        <v>45422</v>
      </c>
      <c r="D296" s="108"/>
      <c r="E296" s="108"/>
      <c r="F296" s="254" t="s">
        <v>456</v>
      </c>
      <c r="G296" s="114">
        <v>1</v>
      </c>
      <c r="H296" s="114">
        <f>SUM(H289:H295)</f>
        <v>60.04</v>
      </c>
      <c r="I296" s="114">
        <f t="shared" si="36"/>
        <v>60.04</v>
      </c>
      <c r="J296" s="115">
        <v>2.3</v>
      </c>
      <c r="K296" s="115">
        <f t="shared" si="35"/>
        <v>138.092</v>
      </c>
      <c r="L296" s="288"/>
      <c r="M296" s="291"/>
      <c r="N296" s="111"/>
    </row>
    <row r="297" s="245" customFormat="1" spans="1:14">
      <c r="A297" s="284">
        <v>45422</v>
      </c>
      <c r="B297" s="105">
        <v>28</v>
      </c>
      <c r="C297" s="285">
        <v>45422</v>
      </c>
      <c r="D297" s="108"/>
      <c r="E297" s="108"/>
      <c r="F297" s="110" t="s">
        <v>457</v>
      </c>
      <c r="G297" s="108">
        <v>3</v>
      </c>
      <c r="H297" s="108">
        <v>1</v>
      </c>
      <c r="I297" s="108">
        <f t="shared" si="36"/>
        <v>3</v>
      </c>
      <c r="J297" s="109">
        <v>12.5</v>
      </c>
      <c r="K297" s="109">
        <f t="shared" si="35"/>
        <v>37.5</v>
      </c>
      <c r="L297" s="376">
        <f>SUM(K289:K297)</f>
        <v>1057.992</v>
      </c>
      <c r="M297" s="291"/>
      <c r="N297" s="111"/>
    </row>
    <row r="298" s="243" customFormat="1" spans="1:14">
      <c r="A298" s="263">
        <v>45423</v>
      </c>
      <c r="B298" s="127">
        <v>29</v>
      </c>
      <c r="C298" s="258">
        <v>45423</v>
      </c>
      <c r="D298" s="136"/>
      <c r="E298" s="136"/>
      <c r="F298" s="131" t="s">
        <v>308</v>
      </c>
      <c r="G298" s="136">
        <v>1</v>
      </c>
      <c r="H298" s="136">
        <v>16</v>
      </c>
      <c r="I298" s="136">
        <f t="shared" si="36"/>
        <v>16</v>
      </c>
      <c r="J298" s="135">
        <v>12.6</v>
      </c>
      <c r="K298" s="135">
        <f t="shared" si="35"/>
        <v>201.6</v>
      </c>
      <c r="L298" s="278"/>
      <c r="M298" s="279"/>
      <c r="N298" s="132"/>
    </row>
    <row r="299" s="243" customFormat="1" spans="1:14">
      <c r="A299" s="263">
        <v>45423</v>
      </c>
      <c r="B299" s="127">
        <v>29</v>
      </c>
      <c r="C299" s="258">
        <v>45423</v>
      </c>
      <c r="D299" s="136"/>
      <c r="E299" s="136"/>
      <c r="F299" s="133" t="s">
        <v>120</v>
      </c>
      <c r="G299" s="136">
        <v>1</v>
      </c>
      <c r="H299" s="136">
        <v>0.3</v>
      </c>
      <c r="I299" s="136">
        <f t="shared" si="36"/>
        <v>0.3</v>
      </c>
      <c r="J299" s="135">
        <v>21</v>
      </c>
      <c r="K299" s="135">
        <f t="shared" ref="K299:K309" si="37">I299*J299</f>
        <v>6.3</v>
      </c>
      <c r="L299" s="278"/>
      <c r="M299" s="279"/>
      <c r="N299" s="132"/>
    </row>
    <row r="300" s="243" customFormat="1" spans="1:14">
      <c r="A300" s="263">
        <v>45423</v>
      </c>
      <c r="B300" s="127">
        <v>29</v>
      </c>
      <c r="C300" s="258">
        <v>45423</v>
      </c>
      <c r="D300" s="136"/>
      <c r="E300" s="136"/>
      <c r="F300" s="131" t="s">
        <v>310</v>
      </c>
      <c r="G300" s="136">
        <v>1</v>
      </c>
      <c r="H300" s="136">
        <v>4</v>
      </c>
      <c r="I300" s="136">
        <f t="shared" si="36"/>
        <v>4</v>
      </c>
      <c r="J300" s="135">
        <v>0.6</v>
      </c>
      <c r="K300" s="135">
        <f t="shared" si="37"/>
        <v>2.4</v>
      </c>
      <c r="L300" s="278"/>
      <c r="M300" s="279"/>
      <c r="N300" s="132"/>
    </row>
    <row r="301" s="243" customFormat="1" spans="1:14">
      <c r="A301" s="263">
        <v>45423</v>
      </c>
      <c r="B301" s="127">
        <v>29</v>
      </c>
      <c r="C301" s="258">
        <v>45423</v>
      </c>
      <c r="D301" s="136"/>
      <c r="E301" s="136"/>
      <c r="F301" s="131" t="s">
        <v>458</v>
      </c>
      <c r="G301" s="136">
        <v>1</v>
      </c>
      <c r="H301" s="136">
        <v>2.3</v>
      </c>
      <c r="I301" s="136">
        <f t="shared" si="36"/>
        <v>2.3</v>
      </c>
      <c r="J301" s="135">
        <v>25</v>
      </c>
      <c r="K301" s="135">
        <f t="shared" si="37"/>
        <v>57.5</v>
      </c>
      <c r="L301" s="278" t="s">
        <v>459</v>
      </c>
      <c r="M301" s="279"/>
      <c r="N301" s="132"/>
    </row>
    <row r="302" s="243" customFormat="1" spans="1:14">
      <c r="A302" s="263">
        <v>45423</v>
      </c>
      <c r="B302" s="127">
        <v>29</v>
      </c>
      <c r="C302" s="258">
        <v>45423</v>
      </c>
      <c r="D302" s="136"/>
      <c r="E302" s="136"/>
      <c r="F302" s="131" t="s">
        <v>323</v>
      </c>
      <c r="G302" s="136">
        <v>1</v>
      </c>
      <c r="H302" s="136">
        <v>4</v>
      </c>
      <c r="I302" s="136">
        <f t="shared" si="36"/>
        <v>4</v>
      </c>
      <c r="J302" s="135">
        <v>18</v>
      </c>
      <c r="K302" s="135">
        <f t="shared" si="37"/>
        <v>72</v>
      </c>
      <c r="L302" s="289" t="s">
        <v>460</v>
      </c>
      <c r="M302" s="279"/>
      <c r="N302" s="132"/>
    </row>
    <row r="303" s="243" customFormat="1" spans="1:14">
      <c r="A303" s="263">
        <v>45423</v>
      </c>
      <c r="B303" s="127">
        <v>29</v>
      </c>
      <c r="C303" s="258">
        <v>45423</v>
      </c>
      <c r="D303" s="136"/>
      <c r="E303" s="136"/>
      <c r="F303" s="131" t="s">
        <v>434</v>
      </c>
      <c r="G303" s="136">
        <v>1</v>
      </c>
      <c r="H303" s="136">
        <v>2.5</v>
      </c>
      <c r="I303" s="136">
        <f t="shared" si="36"/>
        <v>2.5</v>
      </c>
      <c r="J303" s="135">
        <v>9</v>
      </c>
      <c r="K303" s="135">
        <f t="shared" si="37"/>
        <v>22.5</v>
      </c>
      <c r="L303" s="289" t="s">
        <v>461</v>
      </c>
      <c r="M303" s="279"/>
      <c r="N303" s="132"/>
    </row>
    <row r="304" s="243" customFormat="1" spans="1:14">
      <c r="A304" s="263">
        <v>45423</v>
      </c>
      <c r="B304" s="127">
        <v>29</v>
      </c>
      <c r="C304" s="258">
        <v>45423</v>
      </c>
      <c r="D304" s="136"/>
      <c r="E304" s="136"/>
      <c r="F304" s="131" t="s">
        <v>122</v>
      </c>
      <c r="G304" s="136">
        <v>1</v>
      </c>
      <c r="H304" s="136">
        <v>1.5</v>
      </c>
      <c r="I304" s="136">
        <f t="shared" si="36"/>
        <v>1.5</v>
      </c>
      <c r="J304" s="135">
        <v>8.8</v>
      </c>
      <c r="K304" s="135">
        <f t="shared" si="37"/>
        <v>13.2</v>
      </c>
      <c r="L304" s="278"/>
      <c r="M304" s="279"/>
      <c r="N304" s="132"/>
    </row>
    <row r="305" s="243" customFormat="1" spans="1:14">
      <c r="A305" s="263">
        <v>45423</v>
      </c>
      <c r="B305" s="127">
        <v>29</v>
      </c>
      <c r="C305" s="258">
        <v>45423</v>
      </c>
      <c r="D305" s="136"/>
      <c r="E305" s="136"/>
      <c r="F305" s="254" t="s">
        <v>445</v>
      </c>
      <c r="G305" s="114">
        <v>1</v>
      </c>
      <c r="H305" s="114">
        <f>SUM(H298:H304)</f>
        <v>30.6</v>
      </c>
      <c r="I305" s="114">
        <f t="shared" si="36"/>
        <v>30.6</v>
      </c>
      <c r="J305" s="115">
        <v>2.3</v>
      </c>
      <c r="K305" s="115">
        <f t="shared" si="37"/>
        <v>70.38</v>
      </c>
      <c r="L305" s="278"/>
      <c r="M305" s="279"/>
      <c r="N305" s="132"/>
    </row>
    <row r="306" s="243" customFormat="1" spans="1:14">
      <c r="A306" s="263">
        <v>45423</v>
      </c>
      <c r="B306" s="127">
        <v>29</v>
      </c>
      <c r="C306" s="258">
        <v>45423</v>
      </c>
      <c r="D306" s="136"/>
      <c r="E306" s="136"/>
      <c r="F306" s="2" t="s">
        <v>462</v>
      </c>
      <c r="G306" s="136">
        <v>2</v>
      </c>
      <c r="H306" s="136">
        <v>1</v>
      </c>
      <c r="I306" s="136">
        <f t="shared" si="36"/>
        <v>2</v>
      </c>
      <c r="J306" s="135">
        <v>12.5</v>
      </c>
      <c r="K306" s="135">
        <f t="shared" si="37"/>
        <v>25</v>
      </c>
      <c r="L306" s="372">
        <f>SUM(K298:K306)</f>
        <v>470.88</v>
      </c>
      <c r="M306" s="279"/>
      <c r="N306" s="132"/>
    </row>
    <row r="307" s="1" customFormat="1" spans="1:14">
      <c r="A307" s="51">
        <v>45423</v>
      </c>
      <c r="B307" s="105">
        <v>30</v>
      </c>
      <c r="C307" s="51">
        <v>45423</v>
      </c>
      <c r="D307" s="51"/>
      <c r="E307" s="51"/>
      <c r="F307" s="110" t="s">
        <v>463</v>
      </c>
      <c r="G307" s="107">
        <v>1</v>
      </c>
      <c r="H307" s="107">
        <v>40</v>
      </c>
      <c r="I307" s="108">
        <f t="shared" si="36"/>
        <v>40</v>
      </c>
      <c r="J307" s="109">
        <v>9.8</v>
      </c>
      <c r="K307" s="109">
        <f t="shared" si="37"/>
        <v>392</v>
      </c>
      <c r="L307" s="110"/>
      <c r="M307" s="110"/>
      <c r="N307" s="111"/>
    </row>
    <row r="308" s="1" customFormat="1" spans="1:14">
      <c r="A308" s="51">
        <v>45423</v>
      </c>
      <c r="B308" s="105">
        <v>30</v>
      </c>
      <c r="C308" s="51">
        <v>45423</v>
      </c>
      <c r="D308" s="51"/>
      <c r="E308" s="51"/>
      <c r="F308" s="110" t="s">
        <v>120</v>
      </c>
      <c r="G308" s="107">
        <v>1</v>
      </c>
      <c r="H308" s="107">
        <v>2</v>
      </c>
      <c r="I308" s="108">
        <f t="shared" si="36"/>
        <v>2</v>
      </c>
      <c r="J308" s="109">
        <v>21</v>
      </c>
      <c r="K308" s="109">
        <f t="shared" si="37"/>
        <v>42</v>
      </c>
      <c r="L308" s="110"/>
      <c r="M308" s="110"/>
      <c r="N308" s="111"/>
    </row>
    <row r="309" s="1" customFormat="1" spans="1:14">
      <c r="A309" s="51">
        <v>45423</v>
      </c>
      <c r="B309" s="105">
        <v>30</v>
      </c>
      <c r="C309" s="51">
        <v>45423</v>
      </c>
      <c r="D309" s="51"/>
      <c r="E309" s="51"/>
      <c r="F309" s="110" t="s">
        <v>339</v>
      </c>
      <c r="G309" s="107">
        <v>1</v>
      </c>
      <c r="H309" s="107">
        <v>77</v>
      </c>
      <c r="I309" s="108">
        <f t="shared" si="36"/>
        <v>77</v>
      </c>
      <c r="J309" s="109">
        <v>0.2</v>
      </c>
      <c r="K309" s="109">
        <f t="shared" si="37"/>
        <v>15.4</v>
      </c>
      <c r="L309" s="110"/>
      <c r="M309" s="110"/>
      <c r="N309" s="111"/>
    </row>
    <row r="310" s="1" customFormat="1" spans="1:14">
      <c r="A310" s="51">
        <v>45423</v>
      </c>
      <c r="B310" s="105">
        <v>30</v>
      </c>
      <c r="C310" s="51">
        <v>45423</v>
      </c>
      <c r="D310" s="51"/>
      <c r="E310" s="51"/>
      <c r="F310" s="110" t="s">
        <v>311</v>
      </c>
      <c r="G310" s="107">
        <v>1</v>
      </c>
      <c r="H310" s="107">
        <v>18</v>
      </c>
      <c r="I310" s="108">
        <f t="shared" si="36"/>
        <v>18</v>
      </c>
      <c r="J310" s="109">
        <v>8.8</v>
      </c>
      <c r="K310" s="109">
        <f t="shared" ref="K310:K316" si="38">I310*J310</f>
        <v>158.4</v>
      </c>
      <c r="L310" s="110"/>
      <c r="M310" s="110"/>
      <c r="N310" s="111"/>
    </row>
    <row r="311" s="1" customFormat="1" spans="1:14">
      <c r="A311" s="51">
        <v>45423</v>
      </c>
      <c r="B311" s="105">
        <v>30</v>
      </c>
      <c r="C311" s="51">
        <v>45423</v>
      </c>
      <c r="D311" s="51"/>
      <c r="E311" s="51"/>
      <c r="F311" s="110" t="s">
        <v>312</v>
      </c>
      <c r="G311" s="107">
        <v>1</v>
      </c>
      <c r="H311" s="107">
        <v>16</v>
      </c>
      <c r="I311" s="108">
        <f t="shared" si="36"/>
        <v>16</v>
      </c>
      <c r="J311" s="109">
        <v>3.6</v>
      </c>
      <c r="K311" s="109">
        <f t="shared" si="38"/>
        <v>57.6</v>
      </c>
      <c r="L311" s="137" t="s">
        <v>464</v>
      </c>
      <c r="M311" s="110"/>
      <c r="N311" s="111"/>
    </row>
    <row r="312" s="1" customFormat="1" spans="1:14">
      <c r="A312" s="51">
        <v>45423</v>
      </c>
      <c r="B312" s="105">
        <v>30</v>
      </c>
      <c r="C312" s="51">
        <v>45423</v>
      </c>
      <c r="D312" s="51"/>
      <c r="E312" s="51"/>
      <c r="F312" s="110" t="s">
        <v>432</v>
      </c>
      <c r="G312" s="107">
        <v>1</v>
      </c>
      <c r="H312" s="107">
        <v>6</v>
      </c>
      <c r="I312" s="108">
        <f t="shared" si="36"/>
        <v>6</v>
      </c>
      <c r="J312" s="109">
        <v>25</v>
      </c>
      <c r="K312" s="109">
        <f t="shared" si="38"/>
        <v>150</v>
      </c>
      <c r="L312" s="110"/>
      <c r="M312" s="110"/>
      <c r="N312" s="111"/>
    </row>
    <row r="313" s="1" customFormat="1" spans="1:14">
      <c r="A313" s="51">
        <v>45423</v>
      </c>
      <c r="B313" s="105">
        <v>30</v>
      </c>
      <c r="C313" s="51">
        <v>45423</v>
      </c>
      <c r="D313" s="51"/>
      <c r="E313" s="51"/>
      <c r="F313" s="110" t="s">
        <v>313</v>
      </c>
      <c r="G313" s="107">
        <v>1</v>
      </c>
      <c r="H313" s="107">
        <v>0.5</v>
      </c>
      <c r="I313" s="108">
        <f t="shared" si="36"/>
        <v>0.5</v>
      </c>
      <c r="J313" s="109">
        <v>45</v>
      </c>
      <c r="K313" s="109">
        <f t="shared" si="38"/>
        <v>22.5</v>
      </c>
      <c r="L313" s="110"/>
      <c r="M313" s="110"/>
      <c r="N313" s="111"/>
    </row>
    <row r="314" s="1" customFormat="1" spans="1:14">
      <c r="A314" s="51">
        <v>45423</v>
      </c>
      <c r="B314" s="105">
        <v>30</v>
      </c>
      <c r="C314" s="51">
        <v>45423</v>
      </c>
      <c r="D314" s="51"/>
      <c r="E314" s="51"/>
      <c r="F314" s="110" t="s">
        <v>351</v>
      </c>
      <c r="G314" s="107">
        <v>1</v>
      </c>
      <c r="H314" s="107">
        <v>1</v>
      </c>
      <c r="I314" s="108">
        <f t="shared" ref="I314:I321" si="39">G314*H314</f>
        <v>1</v>
      </c>
      <c r="J314" s="109">
        <v>25</v>
      </c>
      <c r="K314" s="109">
        <f t="shared" si="38"/>
        <v>25</v>
      </c>
      <c r="L314" s="254" t="s">
        <v>465</v>
      </c>
      <c r="M314" s="110"/>
      <c r="N314" s="111"/>
    </row>
    <row r="315" s="1" customFormat="1" spans="1:14">
      <c r="A315" s="51">
        <v>45423</v>
      </c>
      <c r="B315" s="105">
        <v>30</v>
      </c>
      <c r="C315" s="51">
        <v>45423</v>
      </c>
      <c r="D315" s="51"/>
      <c r="E315" s="51"/>
      <c r="F315" s="110" t="s">
        <v>466</v>
      </c>
      <c r="G315" s="107">
        <v>1</v>
      </c>
      <c r="H315" s="107">
        <v>16</v>
      </c>
      <c r="I315" s="108">
        <f t="shared" si="39"/>
        <v>16</v>
      </c>
      <c r="J315" s="109">
        <v>18</v>
      </c>
      <c r="K315" s="109">
        <f t="shared" si="38"/>
        <v>288</v>
      </c>
      <c r="L315" s="254" t="s">
        <v>467</v>
      </c>
      <c r="M315" s="110"/>
      <c r="N315" s="111"/>
    </row>
    <row r="316" s="1" customFormat="1" spans="1:14">
      <c r="A316" s="51">
        <v>45423</v>
      </c>
      <c r="B316" s="105">
        <v>30</v>
      </c>
      <c r="C316" s="51">
        <v>45423</v>
      </c>
      <c r="D316" s="51"/>
      <c r="E316" s="51"/>
      <c r="F316" s="254" t="s">
        <v>468</v>
      </c>
      <c r="G316" s="139">
        <v>1</v>
      </c>
      <c r="H316" s="139">
        <f>SUM(H307:H315)</f>
        <v>176.5</v>
      </c>
      <c r="I316" s="114">
        <f t="shared" si="39"/>
        <v>176.5</v>
      </c>
      <c r="J316" s="115">
        <v>2.3</v>
      </c>
      <c r="K316" s="115">
        <f t="shared" si="38"/>
        <v>405.95</v>
      </c>
      <c r="L316" s="110" t="s">
        <v>469</v>
      </c>
      <c r="M316" s="110" t="s">
        <v>470</v>
      </c>
      <c r="N316" s="111"/>
    </row>
    <row r="317" s="1" customFormat="1" spans="1:14">
      <c r="A317" s="51">
        <v>45423</v>
      </c>
      <c r="B317" s="105">
        <v>30</v>
      </c>
      <c r="C317" s="51">
        <v>45423</v>
      </c>
      <c r="D317" s="51"/>
      <c r="E317" s="51"/>
      <c r="F317" s="110" t="s">
        <v>471</v>
      </c>
      <c r="G317" s="107">
        <v>1</v>
      </c>
      <c r="H317" s="107">
        <v>21</v>
      </c>
      <c r="I317" s="108">
        <f t="shared" si="39"/>
        <v>21</v>
      </c>
      <c r="J317" s="109"/>
      <c r="K317" s="109"/>
      <c r="L317" s="110"/>
      <c r="M317" s="110"/>
      <c r="N317" s="111"/>
    </row>
    <row r="318" s="2" customFormat="1" spans="1:14">
      <c r="A318" s="51">
        <v>45423</v>
      </c>
      <c r="B318" s="105">
        <v>30</v>
      </c>
      <c r="C318" s="51">
        <v>45423</v>
      </c>
      <c r="D318" s="51"/>
      <c r="E318" s="51"/>
      <c r="F318" s="110" t="s">
        <v>316</v>
      </c>
      <c r="G318" s="107">
        <v>8</v>
      </c>
      <c r="H318" s="107">
        <v>1</v>
      </c>
      <c r="I318" s="108">
        <f t="shared" si="39"/>
        <v>8</v>
      </c>
      <c r="J318" s="109">
        <v>12.5</v>
      </c>
      <c r="K318" s="271">
        <f t="shared" ref="K318:K321" si="40">I318*J318</f>
        <v>100</v>
      </c>
      <c r="L318" s="131">
        <f>SUM(K307:K318)</f>
        <v>1656.85</v>
      </c>
      <c r="M318" s="131"/>
      <c r="N318" s="132"/>
    </row>
    <row r="319" s="2" customFormat="1" spans="1:14">
      <c r="A319" s="126">
        <v>45423</v>
      </c>
      <c r="B319" s="127">
        <v>31</v>
      </c>
      <c r="C319" s="126">
        <v>45419</v>
      </c>
      <c r="D319" s="126"/>
      <c r="E319" s="126"/>
      <c r="F319" s="131" t="s">
        <v>450</v>
      </c>
      <c r="G319" s="134">
        <v>1</v>
      </c>
      <c r="H319" s="134">
        <v>5</v>
      </c>
      <c r="I319" s="136">
        <f t="shared" si="39"/>
        <v>5</v>
      </c>
      <c r="J319" s="135">
        <v>16.5</v>
      </c>
      <c r="K319" s="135">
        <f t="shared" si="40"/>
        <v>82.5</v>
      </c>
      <c r="L319" s="131"/>
      <c r="M319" s="131"/>
      <c r="N319" s="132"/>
    </row>
    <row r="320" s="2" customFormat="1" spans="1:14">
      <c r="A320" s="126">
        <v>45423</v>
      </c>
      <c r="B320" s="127">
        <v>31</v>
      </c>
      <c r="C320" s="126">
        <v>45419</v>
      </c>
      <c r="D320" s="126"/>
      <c r="E320" s="126"/>
      <c r="F320" s="131" t="s">
        <v>451</v>
      </c>
      <c r="G320" s="134">
        <v>1</v>
      </c>
      <c r="H320" s="134">
        <v>2.5</v>
      </c>
      <c r="I320" s="136">
        <f t="shared" si="39"/>
        <v>2.5</v>
      </c>
      <c r="J320" s="135">
        <v>16.5</v>
      </c>
      <c r="K320" s="135">
        <f t="shared" si="40"/>
        <v>41.25</v>
      </c>
      <c r="L320" s="131"/>
      <c r="M320" s="131"/>
      <c r="N320" s="132"/>
    </row>
    <row r="321" s="2" customFormat="1" spans="1:14">
      <c r="A321" s="126">
        <v>45423</v>
      </c>
      <c r="B321" s="127">
        <v>31</v>
      </c>
      <c r="C321" s="126">
        <v>45419</v>
      </c>
      <c r="D321" s="126"/>
      <c r="E321" s="126"/>
      <c r="F321" s="131" t="s">
        <v>452</v>
      </c>
      <c r="G321" s="134">
        <v>1</v>
      </c>
      <c r="H321" s="134">
        <v>3</v>
      </c>
      <c r="I321" s="136">
        <f t="shared" si="39"/>
        <v>3</v>
      </c>
      <c r="J321" s="135">
        <v>10</v>
      </c>
      <c r="K321" s="135">
        <f t="shared" si="40"/>
        <v>30</v>
      </c>
      <c r="L321" s="131"/>
      <c r="M321" s="131" t="s">
        <v>472</v>
      </c>
      <c r="N321" s="132"/>
    </row>
    <row r="322" s="2" customFormat="1" spans="1:14">
      <c r="A322" s="126">
        <v>45423</v>
      </c>
      <c r="B322" s="127">
        <v>31</v>
      </c>
      <c r="C322" s="126">
        <v>45423</v>
      </c>
      <c r="D322" s="126"/>
      <c r="E322" s="126"/>
      <c r="F322" s="131" t="s">
        <v>473</v>
      </c>
      <c r="G322" s="134">
        <v>1</v>
      </c>
      <c r="H322" s="134">
        <v>13</v>
      </c>
      <c r="I322" s="136">
        <f t="shared" ref="I322:I386" si="41">G322*H322</f>
        <v>13</v>
      </c>
      <c r="J322" s="135"/>
      <c r="K322" s="135"/>
      <c r="L322" s="131"/>
      <c r="M322" s="131"/>
      <c r="N322" s="132"/>
    </row>
    <row r="323" s="2" customFormat="1" spans="1:14">
      <c r="A323" s="126">
        <v>45423</v>
      </c>
      <c r="B323" s="127">
        <v>31</v>
      </c>
      <c r="C323" s="126">
        <v>45423</v>
      </c>
      <c r="D323" s="126"/>
      <c r="E323" s="126"/>
      <c r="F323" s="131" t="s">
        <v>424</v>
      </c>
      <c r="G323" s="134">
        <v>1</v>
      </c>
      <c r="H323" s="134">
        <v>11</v>
      </c>
      <c r="I323" s="136">
        <f t="shared" si="41"/>
        <v>11</v>
      </c>
      <c r="J323" s="135">
        <v>14.5</v>
      </c>
      <c r="K323" s="275">
        <f t="shared" ref="K323:K328" si="42">I323*J323</f>
        <v>159.5</v>
      </c>
      <c r="L323" s="137" t="s">
        <v>464</v>
      </c>
      <c r="M323" s="131"/>
      <c r="N323" s="132"/>
    </row>
    <row r="324" s="2" customFormat="1" spans="1:14">
      <c r="A324" s="126">
        <v>45423</v>
      </c>
      <c r="B324" s="127">
        <v>31</v>
      </c>
      <c r="C324" s="126">
        <v>45423</v>
      </c>
      <c r="D324" s="126"/>
      <c r="E324" s="126"/>
      <c r="F324" s="131" t="s">
        <v>474</v>
      </c>
      <c r="G324" s="134">
        <v>2</v>
      </c>
      <c r="H324" s="134">
        <v>1</v>
      </c>
      <c r="I324" s="136">
        <f t="shared" si="41"/>
        <v>2</v>
      </c>
      <c r="J324" s="135">
        <v>5.5</v>
      </c>
      <c r="K324" s="135">
        <f t="shared" si="42"/>
        <v>11</v>
      </c>
      <c r="L324" s="131">
        <f>SUM(K319:K324)</f>
        <v>324.25</v>
      </c>
      <c r="M324" s="131"/>
      <c r="N324" s="132"/>
    </row>
    <row r="325" s="245" customFormat="1" spans="1:14">
      <c r="A325" s="284">
        <v>45423</v>
      </c>
      <c r="B325" s="105">
        <v>32</v>
      </c>
      <c r="C325" s="285">
        <v>45423</v>
      </c>
      <c r="D325" s="108"/>
      <c r="E325" s="108"/>
      <c r="F325" s="110" t="s">
        <v>123</v>
      </c>
      <c r="G325" s="108">
        <v>1</v>
      </c>
      <c r="H325" s="108">
        <v>50</v>
      </c>
      <c r="I325" s="108">
        <f t="shared" si="41"/>
        <v>50</v>
      </c>
      <c r="J325" s="109">
        <v>3.6</v>
      </c>
      <c r="K325" s="109">
        <f t="shared" si="42"/>
        <v>180</v>
      </c>
      <c r="L325" s="288"/>
      <c r="M325" s="291"/>
      <c r="N325" s="111"/>
    </row>
    <row r="326" s="245" customFormat="1" spans="1:14">
      <c r="A326" s="284">
        <v>45423</v>
      </c>
      <c r="B326" s="105">
        <v>32</v>
      </c>
      <c r="C326" s="285">
        <v>45423</v>
      </c>
      <c r="D326" s="108"/>
      <c r="E326" s="108"/>
      <c r="F326" s="110" t="s">
        <v>122</v>
      </c>
      <c r="G326" s="108">
        <v>1</v>
      </c>
      <c r="H326" s="108">
        <v>25</v>
      </c>
      <c r="I326" s="108">
        <f t="shared" si="41"/>
        <v>25</v>
      </c>
      <c r="J326" s="109">
        <v>8.8</v>
      </c>
      <c r="K326" s="109">
        <f t="shared" si="42"/>
        <v>220</v>
      </c>
      <c r="L326" s="137" t="s">
        <v>464</v>
      </c>
      <c r="M326" s="291"/>
      <c r="N326" s="111"/>
    </row>
    <row r="327" s="1" customFormat="1" spans="1:14">
      <c r="A327" s="284">
        <v>45423</v>
      </c>
      <c r="B327" s="105">
        <v>32</v>
      </c>
      <c r="C327" s="285">
        <v>45423</v>
      </c>
      <c r="D327" s="108"/>
      <c r="E327" s="108"/>
      <c r="F327" s="13" t="s">
        <v>475</v>
      </c>
      <c r="G327" s="262">
        <v>1</v>
      </c>
      <c r="H327" s="262">
        <f>SUM(H325:H326)</f>
        <v>75</v>
      </c>
      <c r="I327" s="274">
        <f t="shared" si="41"/>
        <v>75</v>
      </c>
      <c r="J327" s="262">
        <v>0.7</v>
      </c>
      <c r="K327" s="275">
        <f t="shared" si="42"/>
        <v>52.5</v>
      </c>
      <c r="L327" s="110"/>
      <c r="M327" s="110" t="s">
        <v>476</v>
      </c>
      <c r="N327" s="111"/>
    </row>
    <row r="328" s="1" customFormat="1" spans="1:14">
      <c r="A328" s="284">
        <v>45423</v>
      </c>
      <c r="B328" s="105">
        <v>32</v>
      </c>
      <c r="C328" s="285">
        <v>45423</v>
      </c>
      <c r="D328" s="108"/>
      <c r="E328" s="108"/>
      <c r="F328" s="110" t="s">
        <v>477</v>
      </c>
      <c r="G328" s="107">
        <v>5</v>
      </c>
      <c r="H328" s="107">
        <v>1</v>
      </c>
      <c r="I328" s="108">
        <f t="shared" si="41"/>
        <v>5</v>
      </c>
      <c r="J328" s="107">
        <v>12.2</v>
      </c>
      <c r="K328" s="109">
        <f t="shared" si="42"/>
        <v>61</v>
      </c>
      <c r="L328" s="110">
        <f>SUM(K325:K328)</f>
        <v>513.5</v>
      </c>
      <c r="M328" s="110"/>
      <c r="N328" s="111"/>
    </row>
    <row r="329" s="2" customFormat="1" spans="1:14">
      <c r="A329" s="126">
        <v>45423</v>
      </c>
      <c r="B329" s="127">
        <v>33</v>
      </c>
      <c r="C329" s="126">
        <v>45423</v>
      </c>
      <c r="D329" s="126"/>
      <c r="E329" s="126"/>
      <c r="F329" s="131" t="s">
        <v>307</v>
      </c>
      <c r="G329" s="134">
        <v>1</v>
      </c>
      <c r="H329" s="134">
        <v>70</v>
      </c>
      <c r="I329" s="136">
        <f t="shared" si="41"/>
        <v>70</v>
      </c>
      <c r="J329" s="135"/>
      <c r="K329" s="135"/>
      <c r="L329" s="131"/>
      <c r="M329" s="131"/>
      <c r="N329" s="132"/>
    </row>
    <row r="330" s="2" customFormat="1" spans="1:14">
      <c r="A330" s="126">
        <v>45423</v>
      </c>
      <c r="B330" s="127">
        <v>33</v>
      </c>
      <c r="C330" s="126">
        <v>45423</v>
      </c>
      <c r="D330" s="126"/>
      <c r="E330" s="126"/>
      <c r="F330" s="131" t="s">
        <v>308</v>
      </c>
      <c r="G330" s="134">
        <v>1</v>
      </c>
      <c r="H330" s="134">
        <v>12</v>
      </c>
      <c r="I330" s="136">
        <f t="shared" si="41"/>
        <v>12</v>
      </c>
      <c r="J330" s="135">
        <v>12.6</v>
      </c>
      <c r="K330" s="135">
        <f>I330*J330</f>
        <v>151.2</v>
      </c>
      <c r="L330" s="131"/>
      <c r="M330" s="131"/>
      <c r="N330" s="132"/>
    </row>
    <row r="331" s="2" customFormat="1" spans="1:14">
      <c r="A331" s="126">
        <v>45423</v>
      </c>
      <c r="B331" s="127">
        <v>33</v>
      </c>
      <c r="C331" s="126">
        <v>45423</v>
      </c>
      <c r="D331" s="126"/>
      <c r="E331" s="126"/>
      <c r="F331" s="131" t="s">
        <v>120</v>
      </c>
      <c r="G331" s="134">
        <v>1</v>
      </c>
      <c r="H331" s="134">
        <v>4.5</v>
      </c>
      <c r="I331" s="136">
        <f t="shared" si="41"/>
        <v>4.5</v>
      </c>
      <c r="J331" s="135">
        <v>21</v>
      </c>
      <c r="K331" s="135">
        <f t="shared" ref="K331:K340" si="43">I331*J331</f>
        <v>94.5</v>
      </c>
      <c r="L331" s="131"/>
      <c r="M331" s="131"/>
      <c r="N331" s="132"/>
    </row>
    <row r="332" s="2" customFormat="1" spans="1:14">
      <c r="A332" s="126">
        <v>45423</v>
      </c>
      <c r="B332" s="127">
        <v>33</v>
      </c>
      <c r="C332" s="126">
        <v>45423</v>
      </c>
      <c r="D332" s="126"/>
      <c r="E332" s="126"/>
      <c r="F332" s="131" t="s">
        <v>339</v>
      </c>
      <c r="G332" s="134">
        <v>1</v>
      </c>
      <c r="H332" s="134">
        <v>40</v>
      </c>
      <c r="I332" s="136">
        <f t="shared" si="41"/>
        <v>40</v>
      </c>
      <c r="J332" s="135">
        <v>0.2</v>
      </c>
      <c r="K332" s="135">
        <f t="shared" si="43"/>
        <v>8</v>
      </c>
      <c r="L332" s="131"/>
      <c r="M332" s="131"/>
      <c r="N332" s="132"/>
    </row>
    <row r="333" s="2" customFormat="1" spans="1:14">
      <c r="A333" s="126">
        <v>45423</v>
      </c>
      <c r="B333" s="127">
        <v>33</v>
      </c>
      <c r="C333" s="126">
        <v>45423</v>
      </c>
      <c r="D333" s="126"/>
      <c r="E333" s="126"/>
      <c r="F333" s="131" t="s">
        <v>311</v>
      </c>
      <c r="G333" s="134">
        <v>1</v>
      </c>
      <c r="H333" s="134">
        <v>60</v>
      </c>
      <c r="I333" s="136">
        <f t="shared" si="41"/>
        <v>60</v>
      </c>
      <c r="J333" s="135">
        <v>8.8</v>
      </c>
      <c r="K333" s="135">
        <f t="shared" si="43"/>
        <v>528</v>
      </c>
      <c r="L333" s="131"/>
      <c r="M333" s="131"/>
      <c r="N333" s="132"/>
    </row>
    <row r="334" s="2" customFormat="1" spans="1:14">
      <c r="A334" s="126">
        <v>45423</v>
      </c>
      <c r="B334" s="127">
        <v>33</v>
      </c>
      <c r="C334" s="126">
        <v>45423</v>
      </c>
      <c r="D334" s="126"/>
      <c r="E334" s="126"/>
      <c r="F334" s="131" t="s">
        <v>312</v>
      </c>
      <c r="G334" s="134">
        <v>1</v>
      </c>
      <c r="H334" s="134">
        <v>49</v>
      </c>
      <c r="I334" s="136">
        <f t="shared" si="41"/>
        <v>49</v>
      </c>
      <c r="J334" s="135">
        <v>3.6</v>
      </c>
      <c r="K334" s="135">
        <f t="shared" si="43"/>
        <v>176.4</v>
      </c>
      <c r="L334" s="348"/>
      <c r="M334" s="348"/>
      <c r="N334" s="132"/>
    </row>
    <row r="335" s="2" customFormat="1" spans="1:14">
      <c r="A335" s="126">
        <v>45423</v>
      </c>
      <c r="B335" s="127">
        <v>33</v>
      </c>
      <c r="C335" s="126">
        <v>45423</v>
      </c>
      <c r="D335" s="126"/>
      <c r="E335" s="126"/>
      <c r="F335" s="131" t="s">
        <v>432</v>
      </c>
      <c r="G335" s="134">
        <v>1</v>
      </c>
      <c r="H335" s="134">
        <v>0.5</v>
      </c>
      <c r="I335" s="136">
        <f t="shared" si="41"/>
        <v>0.5</v>
      </c>
      <c r="J335" s="135">
        <v>25</v>
      </c>
      <c r="K335" s="135">
        <f t="shared" si="43"/>
        <v>12.5</v>
      </c>
      <c r="L335" s="348" t="s">
        <v>478</v>
      </c>
      <c r="M335" s="348"/>
      <c r="N335" s="132"/>
    </row>
    <row r="336" s="2" customFormat="1" spans="1:14">
      <c r="A336" s="126">
        <v>45423</v>
      </c>
      <c r="B336" s="127">
        <v>33</v>
      </c>
      <c r="C336" s="126">
        <v>45423</v>
      </c>
      <c r="D336" s="126"/>
      <c r="E336" s="126"/>
      <c r="F336" s="131" t="s">
        <v>125</v>
      </c>
      <c r="G336" s="134">
        <v>1</v>
      </c>
      <c r="H336" s="134">
        <v>2</v>
      </c>
      <c r="I336" s="136">
        <f t="shared" si="41"/>
        <v>2</v>
      </c>
      <c r="J336" s="135">
        <v>25</v>
      </c>
      <c r="K336" s="135">
        <f t="shared" si="43"/>
        <v>50</v>
      </c>
      <c r="L336" s="348"/>
      <c r="M336" s="348"/>
      <c r="N336" s="132"/>
    </row>
    <row r="337" s="2" customFormat="1" spans="1:14">
      <c r="A337" s="126">
        <v>45423</v>
      </c>
      <c r="B337" s="127">
        <v>33</v>
      </c>
      <c r="C337" s="126">
        <v>45423</v>
      </c>
      <c r="D337" s="126"/>
      <c r="E337" s="126"/>
      <c r="F337" s="131" t="s">
        <v>313</v>
      </c>
      <c r="G337" s="134">
        <v>1</v>
      </c>
      <c r="H337" s="134">
        <v>5</v>
      </c>
      <c r="I337" s="136">
        <f t="shared" si="41"/>
        <v>5</v>
      </c>
      <c r="J337" s="135">
        <v>45</v>
      </c>
      <c r="K337" s="135">
        <f t="shared" si="43"/>
        <v>225</v>
      </c>
      <c r="L337" s="348"/>
      <c r="M337" s="348"/>
      <c r="N337" s="132"/>
    </row>
    <row r="338" s="2" customFormat="1" spans="1:14">
      <c r="A338" s="126">
        <v>45423</v>
      </c>
      <c r="B338" s="127">
        <v>33</v>
      </c>
      <c r="C338" s="126">
        <v>45423</v>
      </c>
      <c r="D338" s="126"/>
      <c r="E338" s="126"/>
      <c r="F338" s="131" t="s">
        <v>309</v>
      </c>
      <c r="G338" s="134">
        <v>1</v>
      </c>
      <c r="H338" s="134">
        <v>10</v>
      </c>
      <c r="I338" s="136">
        <f t="shared" si="41"/>
        <v>10</v>
      </c>
      <c r="J338" s="135">
        <v>18</v>
      </c>
      <c r="K338" s="135">
        <f t="shared" si="43"/>
        <v>180</v>
      </c>
      <c r="L338" s="348" t="s">
        <v>346</v>
      </c>
      <c r="M338" s="348"/>
      <c r="N338" s="132"/>
    </row>
    <row r="339" s="2" customFormat="1" spans="1:14">
      <c r="A339" s="126">
        <v>45423</v>
      </c>
      <c r="B339" s="127">
        <v>33</v>
      </c>
      <c r="C339" s="126">
        <v>45423</v>
      </c>
      <c r="D339" s="126"/>
      <c r="E339" s="126"/>
      <c r="F339" s="137" t="s">
        <v>479</v>
      </c>
      <c r="G339" s="262">
        <v>1</v>
      </c>
      <c r="H339" s="262">
        <f>SUM(H329:H338)</f>
        <v>253</v>
      </c>
      <c r="I339" s="274">
        <f t="shared" si="41"/>
        <v>253</v>
      </c>
      <c r="J339" s="275">
        <v>2.3</v>
      </c>
      <c r="K339" s="275">
        <f t="shared" si="43"/>
        <v>581.9</v>
      </c>
      <c r="L339" s="131" t="s">
        <v>480</v>
      </c>
      <c r="M339" s="131"/>
      <c r="N339" s="132"/>
    </row>
    <row r="340" s="2" customFormat="1" spans="1:14">
      <c r="A340" s="126">
        <v>45423</v>
      </c>
      <c r="B340" s="127">
        <v>33</v>
      </c>
      <c r="C340" s="126">
        <v>45423</v>
      </c>
      <c r="D340" s="126"/>
      <c r="E340" s="126"/>
      <c r="F340" s="131" t="s">
        <v>316</v>
      </c>
      <c r="G340" s="134">
        <v>14</v>
      </c>
      <c r="H340" s="134">
        <v>1</v>
      </c>
      <c r="I340" s="136">
        <f t="shared" si="41"/>
        <v>14</v>
      </c>
      <c r="J340" s="135">
        <v>12.5</v>
      </c>
      <c r="K340" s="135">
        <f t="shared" si="43"/>
        <v>175</v>
      </c>
      <c r="L340" s="131">
        <f>SUM(K329:K340)</f>
        <v>2182.5</v>
      </c>
      <c r="M340" s="131"/>
      <c r="N340" s="132"/>
    </row>
    <row r="341" s="1" customFormat="1" spans="1:14">
      <c r="A341" s="51">
        <v>45430</v>
      </c>
      <c r="B341" s="105">
        <v>58</v>
      </c>
      <c r="C341" s="51">
        <v>45427</v>
      </c>
      <c r="D341" s="51"/>
      <c r="E341" s="51"/>
      <c r="F341" s="110" t="s">
        <v>481</v>
      </c>
      <c r="G341" s="107">
        <v>1</v>
      </c>
      <c r="H341" s="107">
        <v>35</v>
      </c>
      <c r="I341" s="108">
        <f t="shared" si="41"/>
        <v>35</v>
      </c>
      <c r="J341" s="109"/>
      <c r="K341" s="109"/>
      <c r="L341" s="110"/>
      <c r="M341" s="110"/>
      <c r="N341" s="111"/>
    </row>
    <row r="342" s="1" customFormat="1" spans="1:14">
      <c r="A342" s="51">
        <v>45430</v>
      </c>
      <c r="B342" s="105">
        <v>58</v>
      </c>
      <c r="C342" s="51">
        <v>45427</v>
      </c>
      <c r="D342" s="51"/>
      <c r="E342" s="51"/>
      <c r="F342" s="110" t="s">
        <v>120</v>
      </c>
      <c r="G342" s="107">
        <v>1</v>
      </c>
      <c r="H342" s="107">
        <v>0.8</v>
      </c>
      <c r="I342" s="108">
        <f t="shared" si="41"/>
        <v>0.8</v>
      </c>
      <c r="J342" s="109">
        <v>21</v>
      </c>
      <c r="K342" s="109">
        <f>I342*J342</f>
        <v>16.8</v>
      </c>
      <c r="L342" s="110"/>
      <c r="M342" s="110"/>
      <c r="N342" s="111"/>
    </row>
    <row r="343" s="1" customFormat="1" spans="1:14">
      <c r="A343" s="51">
        <v>45430</v>
      </c>
      <c r="B343" s="105">
        <v>58</v>
      </c>
      <c r="C343" s="51">
        <v>45427</v>
      </c>
      <c r="D343" s="51"/>
      <c r="E343" s="51"/>
      <c r="F343" s="110" t="s">
        <v>339</v>
      </c>
      <c r="G343" s="107">
        <v>1</v>
      </c>
      <c r="H343" s="107">
        <v>14</v>
      </c>
      <c r="I343" s="108">
        <f t="shared" si="41"/>
        <v>14</v>
      </c>
      <c r="J343" s="109">
        <v>0.2</v>
      </c>
      <c r="K343" s="109">
        <f t="shared" ref="K343:K348" si="44">I343*J343</f>
        <v>2.8</v>
      </c>
      <c r="L343" s="110"/>
      <c r="M343" s="110"/>
      <c r="N343" s="111"/>
    </row>
    <row r="344" s="1" customFormat="1" spans="1:14">
      <c r="A344" s="51">
        <v>45430</v>
      </c>
      <c r="B344" s="105">
        <v>58</v>
      </c>
      <c r="C344" s="51">
        <v>45427</v>
      </c>
      <c r="D344" s="51"/>
      <c r="E344" s="51"/>
      <c r="F344" s="110" t="s">
        <v>311</v>
      </c>
      <c r="G344" s="107">
        <v>1</v>
      </c>
      <c r="H344" s="107">
        <v>3</v>
      </c>
      <c r="I344" s="108">
        <f t="shared" si="41"/>
        <v>3</v>
      </c>
      <c r="J344" s="109">
        <v>8.8</v>
      </c>
      <c r="K344" s="109">
        <f t="shared" si="44"/>
        <v>26.4</v>
      </c>
      <c r="L344" s="110"/>
      <c r="M344" s="110"/>
      <c r="N344" s="111"/>
    </row>
    <row r="345" s="1" customFormat="1" spans="1:14">
      <c r="A345" s="51">
        <v>45430</v>
      </c>
      <c r="B345" s="105">
        <v>58</v>
      </c>
      <c r="C345" s="51">
        <v>45427</v>
      </c>
      <c r="D345" s="51"/>
      <c r="E345" s="51"/>
      <c r="F345" s="110" t="s">
        <v>312</v>
      </c>
      <c r="G345" s="107">
        <v>1</v>
      </c>
      <c r="H345" s="107">
        <v>2</v>
      </c>
      <c r="I345" s="108">
        <f t="shared" si="41"/>
        <v>2</v>
      </c>
      <c r="J345" s="109">
        <v>3.6</v>
      </c>
      <c r="K345" s="109">
        <f t="shared" si="44"/>
        <v>7.2</v>
      </c>
      <c r="L345" s="377" t="s">
        <v>482</v>
      </c>
      <c r="M345" s="354"/>
      <c r="N345" s="111"/>
    </row>
    <row r="346" s="1" customFormat="1" spans="1:14">
      <c r="A346" s="51">
        <v>45430</v>
      </c>
      <c r="B346" s="105">
        <v>58</v>
      </c>
      <c r="C346" s="51">
        <v>45427</v>
      </c>
      <c r="D346" s="51"/>
      <c r="E346" s="51"/>
      <c r="F346" s="110" t="s">
        <v>432</v>
      </c>
      <c r="G346" s="107">
        <v>1</v>
      </c>
      <c r="H346" s="107">
        <v>3</v>
      </c>
      <c r="I346" s="108">
        <f t="shared" si="41"/>
        <v>3</v>
      </c>
      <c r="J346" s="109">
        <v>25</v>
      </c>
      <c r="K346" s="109">
        <f t="shared" si="44"/>
        <v>75</v>
      </c>
      <c r="L346" s="354" t="s">
        <v>483</v>
      </c>
      <c r="M346" s="354"/>
      <c r="N346" s="111"/>
    </row>
    <row r="347" s="1" customFormat="1" spans="1:14">
      <c r="A347" s="51">
        <v>45430</v>
      </c>
      <c r="B347" s="105">
        <v>58</v>
      </c>
      <c r="C347" s="51">
        <v>45427</v>
      </c>
      <c r="D347" s="51"/>
      <c r="E347" s="51"/>
      <c r="F347" s="110" t="s">
        <v>484</v>
      </c>
      <c r="G347" s="107">
        <v>1</v>
      </c>
      <c r="H347" s="107">
        <v>3</v>
      </c>
      <c r="I347" s="108">
        <f t="shared" si="41"/>
        <v>3</v>
      </c>
      <c r="J347" s="109">
        <v>45</v>
      </c>
      <c r="K347" s="109">
        <f t="shared" si="44"/>
        <v>135</v>
      </c>
      <c r="L347" s="354"/>
      <c r="M347" s="354"/>
      <c r="N347" s="111"/>
    </row>
    <row r="348" s="1" customFormat="1" spans="1:14">
      <c r="A348" s="51">
        <v>45430</v>
      </c>
      <c r="B348" s="105">
        <v>58</v>
      </c>
      <c r="C348" s="51">
        <v>45427</v>
      </c>
      <c r="D348" s="51"/>
      <c r="E348" s="51"/>
      <c r="F348" s="110" t="s">
        <v>351</v>
      </c>
      <c r="G348" s="107">
        <v>1</v>
      </c>
      <c r="H348" s="107">
        <v>1</v>
      </c>
      <c r="I348" s="108">
        <f t="shared" si="41"/>
        <v>1</v>
      </c>
      <c r="J348" s="109">
        <v>25</v>
      </c>
      <c r="K348" s="109">
        <f t="shared" si="44"/>
        <v>25</v>
      </c>
      <c r="L348" s="354"/>
      <c r="M348" s="354"/>
      <c r="N348" s="111"/>
    </row>
    <row r="349" s="1" customFormat="1" spans="1:14">
      <c r="A349" s="51">
        <v>45430</v>
      </c>
      <c r="B349" s="105">
        <v>58</v>
      </c>
      <c r="C349" s="51">
        <v>45427</v>
      </c>
      <c r="D349" s="51"/>
      <c r="E349" s="51"/>
      <c r="F349" s="110" t="s">
        <v>359</v>
      </c>
      <c r="G349" s="107">
        <v>1</v>
      </c>
      <c r="H349" s="107">
        <v>0.25</v>
      </c>
      <c r="I349" s="108">
        <f t="shared" si="41"/>
        <v>0.25</v>
      </c>
      <c r="J349" s="109"/>
      <c r="K349" s="109"/>
      <c r="L349" s="340" t="s">
        <v>485</v>
      </c>
      <c r="M349" s="340"/>
      <c r="N349" s="276"/>
    </row>
    <row r="350" s="1" customFormat="1" spans="1:14">
      <c r="A350" s="51">
        <v>45430</v>
      </c>
      <c r="B350" s="105">
        <v>58</v>
      </c>
      <c r="C350" s="51">
        <v>45427</v>
      </c>
      <c r="D350" s="51"/>
      <c r="E350" s="51"/>
      <c r="F350" s="254" t="s">
        <v>486</v>
      </c>
      <c r="G350" s="139">
        <v>1</v>
      </c>
      <c r="H350" s="139">
        <f>SUM(H341:H349)</f>
        <v>62.05</v>
      </c>
      <c r="I350" s="114">
        <f t="shared" si="41"/>
        <v>62.05</v>
      </c>
      <c r="J350" s="115">
        <v>2.3</v>
      </c>
      <c r="K350" s="109">
        <f>I350*J350</f>
        <v>142.715</v>
      </c>
      <c r="L350" s="137" t="s">
        <v>487</v>
      </c>
      <c r="M350" s="137"/>
      <c r="N350" s="276"/>
    </row>
    <row r="351" s="1" customFormat="1" spans="1:14">
      <c r="A351" s="51">
        <v>45430</v>
      </c>
      <c r="B351" s="105">
        <v>58</v>
      </c>
      <c r="C351" s="51">
        <v>45427</v>
      </c>
      <c r="D351" s="51"/>
      <c r="E351" s="51"/>
      <c r="F351" s="110" t="s">
        <v>316</v>
      </c>
      <c r="G351" s="107">
        <v>3</v>
      </c>
      <c r="H351" s="107">
        <v>1</v>
      </c>
      <c r="I351" s="108">
        <f t="shared" si="41"/>
        <v>3</v>
      </c>
      <c r="J351" s="109">
        <v>12.5</v>
      </c>
      <c r="K351" s="109">
        <f>I351*J351</f>
        <v>37.5</v>
      </c>
      <c r="L351" s="137">
        <f>SUM(K341:K352)</f>
        <v>498.415</v>
      </c>
      <c r="M351" s="137"/>
      <c r="N351" s="276"/>
    </row>
    <row r="352" s="1" customFormat="1" spans="1:14">
      <c r="A352" s="51">
        <v>45430</v>
      </c>
      <c r="B352" s="105">
        <v>58</v>
      </c>
      <c r="C352" s="51">
        <v>45427</v>
      </c>
      <c r="D352" s="51"/>
      <c r="E352" s="51"/>
      <c r="F352" s="137" t="s">
        <v>368</v>
      </c>
      <c r="G352" s="107">
        <v>11</v>
      </c>
      <c r="H352" s="107">
        <v>1</v>
      </c>
      <c r="I352" s="108">
        <v>1</v>
      </c>
      <c r="J352" s="109">
        <v>30</v>
      </c>
      <c r="K352" s="109">
        <f>I352*J352</f>
        <v>30</v>
      </c>
      <c r="L352" s="137"/>
      <c r="M352" s="137"/>
      <c r="N352" s="276"/>
    </row>
    <row r="353" s="2" customFormat="1" spans="1:14">
      <c r="A353" s="126">
        <v>45430</v>
      </c>
      <c r="B353" s="127">
        <v>59</v>
      </c>
      <c r="C353" s="126">
        <v>45427</v>
      </c>
      <c r="D353" s="126"/>
      <c r="E353" s="126"/>
      <c r="F353" s="131" t="s">
        <v>488</v>
      </c>
      <c r="G353" s="134">
        <v>1</v>
      </c>
      <c r="H353" s="134">
        <v>76</v>
      </c>
      <c r="I353" s="136">
        <f t="shared" si="41"/>
        <v>76</v>
      </c>
      <c r="J353" s="135"/>
      <c r="K353" s="115"/>
      <c r="L353" s="377" t="s">
        <v>482</v>
      </c>
      <c r="M353" s="137"/>
      <c r="N353" s="276"/>
    </row>
    <row r="354" s="2" customFormat="1" spans="1:14">
      <c r="A354" s="126">
        <v>45430</v>
      </c>
      <c r="B354" s="127">
        <v>59</v>
      </c>
      <c r="C354" s="126">
        <v>45427</v>
      </c>
      <c r="D354" s="126"/>
      <c r="E354" s="126"/>
      <c r="F354" s="131" t="s">
        <v>122</v>
      </c>
      <c r="G354" s="134">
        <v>1</v>
      </c>
      <c r="H354" s="134">
        <v>4</v>
      </c>
      <c r="I354" s="136">
        <f t="shared" si="41"/>
        <v>4</v>
      </c>
      <c r="J354" s="135">
        <v>8.8</v>
      </c>
      <c r="K354" s="135">
        <f>I354*J354</f>
        <v>35.2</v>
      </c>
      <c r="L354" s="340" t="s">
        <v>489</v>
      </c>
      <c r="M354" s="137"/>
      <c r="N354" s="276"/>
    </row>
    <row r="355" s="2" customFormat="1" spans="1:14">
      <c r="A355" s="126">
        <v>45430</v>
      </c>
      <c r="B355" s="127">
        <v>59</v>
      </c>
      <c r="C355" s="126">
        <v>45427</v>
      </c>
      <c r="D355" s="126"/>
      <c r="E355" s="126"/>
      <c r="F355" s="254" t="s">
        <v>490</v>
      </c>
      <c r="G355" s="139">
        <v>1</v>
      </c>
      <c r="H355" s="139">
        <f>SUM(H353:H354)</f>
        <v>80</v>
      </c>
      <c r="I355" s="114">
        <f t="shared" si="41"/>
        <v>80</v>
      </c>
      <c r="J355" s="115">
        <v>1</v>
      </c>
      <c r="K355" s="115">
        <f>I355*J355</f>
        <v>80</v>
      </c>
      <c r="L355" s="137" t="s">
        <v>491</v>
      </c>
      <c r="M355" s="137"/>
      <c r="N355" s="276"/>
    </row>
    <row r="356" s="2" customFormat="1" spans="1:14">
      <c r="A356" s="126">
        <v>45430</v>
      </c>
      <c r="B356" s="127">
        <v>59</v>
      </c>
      <c r="C356" s="126">
        <v>45427</v>
      </c>
      <c r="D356" s="126"/>
      <c r="E356" s="126"/>
      <c r="F356" s="110" t="s">
        <v>492</v>
      </c>
      <c r="G356" s="107">
        <v>4</v>
      </c>
      <c r="H356" s="107">
        <v>1</v>
      </c>
      <c r="I356" s="108">
        <f t="shared" si="41"/>
        <v>4</v>
      </c>
      <c r="J356" s="109"/>
      <c r="K356" s="135"/>
      <c r="L356" s="131"/>
      <c r="M356" s="131"/>
      <c r="N356" s="132"/>
    </row>
    <row r="357" s="2" customFormat="1" spans="1:14">
      <c r="A357" s="126">
        <v>45430</v>
      </c>
      <c r="B357" s="127">
        <v>59</v>
      </c>
      <c r="C357" s="126">
        <v>45427</v>
      </c>
      <c r="D357" s="126"/>
      <c r="E357" s="126"/>
      <c r="F357" s="131" t="s">
        <v>122</v>
      </c>
      <c r="G357" s="134">
        <v>1</v>
      </c>
      <c r="H357" s="134">
        <v>14</v>
      </c>
      <c r="I357" s="136">
        <f t="shared" si="41"/>
        <v>14</v>
      </c>
      <c r="J357" s="135">
        <v>8.8</v>
      </c>
      <c r="K357" s="135">
        <f>I357*J357</f>
        <v>123.2</v>
      </c>
      <c r="L357" s="131"/>
      <c r="M357" s="131"/>
      <c r="N357" s="132"/>
    </row>
    <row r="358" s="2" customFormat="1" spans="1:14">
      <c r="A358" s="126">
        <v>45430</v>
      </c>
      <c r="B358" s="127">
        <v>59</v>
      </c>
      <c r="C358" s="126">
        <v>45427</v>
      </c>
      <c r="D358" s="126"/>
      <c r="E358" s="126"/>
      <c r="F358" s="131" t="s">
        <v>123</v>
      </c>
      <c r="G358" s="134">
        <v>1</v>
      </c>
      <c r="H358" s="134">
        <v>54</v>
      </c>
      <c r="I358" s="136">
        <f t="shared" si="41"/>
        <v>54</v>
      </c>
      <c r="J358" s="135">
        <v>3.6</v>
      </c>
      <c r="K358" s="135">
        <f>I358*J358</f>
        <v>194.4</v>
      </c>
      <c r="L358" s="131"/>
      <c r="M358" s="131"/>
      <c r="N358" s="132"/>
    </row>
    <row r="359" s="2" customFormat="1" spans="1:14">
      <c r="A359" s="126">
        <v>45430</v>
      </c>
      <c r="B359" s="127">
        <v>59</v>
      </c>
      <c r="C359" s="126">
        <v>45427</v>
      </c>
      <c r="D359" s="126"/>
      <c r="E359" s="126"/>
      <c r="F359" s="254" t="s">
        <v>493</v>
      </c>
      <c r="G359" s="139">
        <v>1</v>
      </c>
      <c r="H359" s="139">
        <f>SUM(H357:H358)</f>
        <v>68</v>
      </c>
      <c r="I359" s="114">
        <f t="shared" si="41"/>
        <v>68</v>
      </c>
      <c r="J359" s="115">
        <v>0.7</v>
      </c>
      <c r="K359" s="115">
        <f>I359*J359</f>
        <v>47.6</v>
      </c>
      <c r="L359" s="348" t="s">
        <v>494</v>
      </c>
      <c r="M359" s="131"/>
      <c r="N359" s="132"/>
    </row>
    <row r="360" s="2" customFormat="1" spans="1:14">
      <c r="A360" s="126">
        <v>45430</v>
      </c>
      <c r="B360" s="127">
        <v>59</v>
      </c>
      <c r="C360" s="126">
        <v>45427</v>
      </c>
      <c r="D360" s="126"/>
      <c r="E360" s="126"/>
      <c r="F360" s="131" t="s">
        <v>372</v>
      </c>
      <c r="G360" s="134">
        <v>4</v>
      </c>
      <c r="H360" s="134">
        <v>1</v>
      </c>
      <c r="I360" s="136">
        <f t="shared" si="41"/>
        <v>4</v>
      </c>
      <c r="J360" s="135">
        <v>12.2</v>
      </c>
      <c r="K360" s="135">
        <f>I360*J360</f>
        <v>48.8</v>
      </c>
      <c r="L360" s="378">
        <f>SUM(K353:K360)</f>
        <v>529.2</v>
      </c>
      <c r="M360" s="131" t="s">
        <v>495</v>
      </c>
      <c r="N360" s="132"/>
    </row>
    <row r="361" s="245" customFormat="1" spans="1:14">
      <c r="A361" s="284">
        <v>45430</v>
      </c>
      <c r="B361" s="105">
        <v>60</v>
      </c>
      <c r="C361" s="285">
        <v>45427</v>
      </c>
      <c r="D361" s="108"/>
      <c r="E361" s="108"/>
      <c r="F361" s="110" t="s">
        <v>308</v>
      </c>
      <c r="G361" s="108">
        <v>1</v>
      </c>
      <c r="H361" s="108">
        <v>12</v>
      </c>
      <c r="I361" s="108">
        <f t="shared" si="41"/>
        <v>12</v>
      </c>
      <c r="J361" s="109">
        <v>12.6</v>
      </c>
      <c r="K361" s="109">
        <f>I361*J361</f>
        <v>151.2</v>
      </c>
      <c r="L361" s="289" t="s">
        <v>453</v>
      </c>
      <c r="M361" s="291"/>
      <c r="N361" s="111"/>
    </row>
    <row r="362" s="245" customFormat="1" spans="1:14">
      <c r="A362" s="284">
        <v>45430</v>
      </c>
      <c r="B362" s="105">
        <v>60</v>
      </c>
      <c r="C362" s="285">
        <v>45427</v>
      </c>
      <c r="D362" s="108"/>
      <c r="E362" s="108"/>
      <c r="F362" s="106" t="s">
        <v>430</v>
      </c>
      <c r="G362" s="108">
        <v>1</v>
      </c>
      <c r="H362" s="108">
        <v>0.6</v>
      </c>
      <c r="I362" s="108">
        <f t="shared" si="41"/>
        <v>0.6</v>
      </c>
      <c r="J362" s="109">
        <v>26</v>
      </c>
      <c r="K362" s="109">
        <f t="shared" ref="K362:K371" si="45">I362*J362</f>
        <v>15.6</v>
      </c>
      <c r="L362" s="374" t="s">
        <v>439</v>
      </c>
      <c r="M362" s="291"/>
      <c r="N362" s="111"/>
    </row>
    <row r="363" s="245" customFormat="1" spans="1:14">
      <c r="A363" s="284">
        <v>45430</v>
      </c>
      <c r="B363" s="105">
        <v>60</v>
      </c>
      <c r="C363" s="285">
        <v>45427</v>
      </c>
      <c r="D363" s="108"/>
      <c r="E363" s="108"/>
      <c r="F363" s="106" t="s">
        <v>434</v>
      </c>
      <c r="G363" s="108">
        <v>1</v>
      </c>
      <c r="H363" s="108">
        <v>2.6</v>
      </c>
      <c r="I363" s="108">
        <f t="shared" si="41"/>
        <v>2.6</v>
      </c>
      <c r="J363" s="109">
        <v>9</v>
      </c>
      <c r="K363" s="109">
        <f t="shared" si="45"/>
        <v>23.4</v>
      </c>
      <c r="L363" s="288"/>
      <c r="M363" s="291"/>
      <c r="N363" s="111"/>
    </row>
    <row r="364" s="245" customFormat="1" spans="1:14">
      <c r="A364" s="284">
        <v>45430</v>
      </c>
      <c r="B364" s="105">
        <v>60</v>
      </c>
      <c r="C364" s="285">
        <v>45427</v>
      </c>
      <c r="D364" s="108"/>
      <c r="E364" s="108"/>
      <c r="F364" s="110" t="s">
        <v>122</v>
      </c>
      <c r="G364" s="108">
        <v>1</v>
      </c>
      <c r="H364" s="108">
        <v>3.3</v>
      </c>
      <c r="I364" s="108">
        <f t="shared" si="41"/>
        <v>3.3</v>
      </c>
      <c r="J364" s="109">
        <v>8.8</v>
      </c>
      <c r="K364" s="109">
        <f t="shared" si="45"/>
        <v>29.04</v>
      </c>
      <c r="L364" s="288"/>
      <c r="M364" s="291"/>
      <c r="N364" s="111"/>
    </row>
    <row r="365" s="245" customFormat="1" spans="1:14">
      <c r="A365" s="284">
        <v>45430</v>
      </c>
      <c r="B365" s="105">
        <v>60</v>
      </c>
      <c r="C365" s="285">
        <v>45427</v>
      </c>
      <c r="D365" s="108"/>
      <c r="E365" s="108"/>
      <c r="F365" s="106">
        <v>2038</v>
      </c>
      <c r="G365" s="108">
        <v>1</v>
      </c>
      <c r="H365" s="108">
        <v>0.04</v>
      </c>
      <c r="I365" s="108">
        <f t="shared" si="41"/>
        <v>0.04</v>
      </c>
      <c r="J365" s="109">
        <v>55</v>
      </c>
      <c r="K365" s="109">
        <f t="shared" si="45"/>
        <v>2.2</v>
      </c>
      <c r="L365" s="288"/>
      <c r="M365" s="291"/>
      <c r="N365" s="111"/>
    </row>
    <row r="366" s="245" customFormat="1" spans="1:14">
      <c r="A366" s="284">
        <v>45430</v>
      </c>
      <c r="B366" s="105">
        <v>60</v>
      </c>
      <c r="C366" s="285">
        <v>45427</v>
      </c>
      <c r="D366" s="108"/>
      <c r="E366" s="108"/>
      <c r="F366" s="106">
        <v>3033</v>
      </c>
      <c r="G366" s="108">
        <v>1</v>
      </c>
      <c r="H366" s="108">
        <v>0.04</v>
      </c>
      <c r="I366" s="108">
        <f t="shared" si="41"/>
        <v>0.04</v>
      </c>
      <c r="J366" s="109">
        <v>60</v>
      </c>
      <c r="K366" s="109">
        <f t="shared" si="45"/>
        <v>2.4</v>
      </c>
      <c r="L366" s="288"/>
      <c r="M366" s="291"/>
      <c r="N366" s="111"/>
    </row>
    <row r="367" s="245" customFormat="1" spans="1:14">
      <c r="A367" s="284">
        <v>45430</v>
      </c>
      <c r="B367" s="105">
        <v>60</v>
      </c>
      <c r="C367" s="285">
        <v>45427</v>
      </c>
      <c r="D367" s="108"/>
      <c r="E367" s="108"/>
      <c r="F367" s="137" t="s">
        <v>454</v>
      </c>
      <c r="G367" s="108">
        <v>1</v>
      </c>
      <c r="H367" s="108">
        <v>1.4</v>
      </c>
      <c r="I367" s="108">
        <f t="shared" si="41"/>
        <v>1.4</v>
      </c>
      <c r="J367" s="109">
        <v>50</v>
      </c>
      <c r="K367" s="109">
        <f t="shared" si="45"/>
        <v>70</v>
      </c>
      <c r="L367" s="289" t="s">
        <v>455</v>
      </c>
      <c r="M367" s="291"/>
      <c r="N367" s="111"/>
    </row>
    <row r="368" s="245" customFormat="1" spans="1:14">
      <c r="A368" s="284">
        <v>45430</v>
      </c>
      <c r="B368" s="105">
        <v>60</v>
      </c>
      <c r="C368" s="285">
        <v>45427</v>
      </c>
      <c r="D368" s="108"/>
      <c r="E368" s="108"/>
      <c r="F368" s="254" t="s">
        <v>456</v>
      </c>
      <c r="G368" s="114">
        <v>1</v>
      </c>
      <c r="H368" s="281">
        <f>SUM(H361:H367)</f>
        <v>19.98</v>
      </c>
      <c r="I368" s="281">
        <f t="shared" si="41"/>
        <v>19.98</v>
      </c>
      <c r="J368" s="115">
        <v>2.3</v>
      </c>
      <c r="K368" s="115">
        <f t="shared" si="45"/>
        <v>45.954</v>
      </c>
      <c r="L368" s="288"/>
      <c r="M368" s="291"/>
      <c r="N368" s="111"/>
    </row>
    <row r="369" s="245" customFormat="1" spans="1:14">
      <c r="A369" s="284">
        <v>45430</v>
      </c>
      <c r="B369" s="105">
        <v>60</v>
      </c>
      <c r="C369" s="285">
        <v>45427</v>
      </c>
      <c r="D369" s="108"/>
      <c r="E369" s="108"/>
      <c r="F369" s="110" t="s">
        <v>457</v>
      </c>
      <c r="G369" s="108">
        <v>1</v>
      </c>
      <c r="H369" s="108">
        <v>1</v>
      </c>
      <c r="I369" s="108">
        <f t="shared" si="41"/>
        <v>1</v>
      </c>
      <c r="J369" s="109">
        <v>12.5</v>
      </c>
      <c r="K369" s="109">
        <f t="shared" si="45"/>
        <v>12.5</v>
      </c>
      <c r="L369" s="376">
        <f>SUM(K361:K369)</f>
        <v>352.294</v>
      </c>
      <c r="M369" s="291"/>
      <c r="N369" s="111"/>
    </row>
    <row r="370" s="245" customFormat="1" spans="1:14">
      <c r="A370" s="284">
        <v>45430</v>
      </c>
      <c r="B370" s="105">
        <v>60</v>
      </c>
      <c r="C370" s="285">
        <v>45427</v>
      </c>
      <c r="D370" s="108"/>
      <c r="E370" s="108"/>
      <c r="F370" s="118" t="s">
        <v>496</v>
      </c>
      <c r="G370" s="140">
        <v>1</v>
      </c>
      <c r="H370" s="140">
        <v>10</v>
      </c>
      <c r="I370" s="140">
        <f t="shared" si="41"/>
        <v>10</v>
      </c>
      <c r="J370" s="130">
        <v>14.5</v>
      </c>
      <c r="K370" s="130">
        <f t="shared" si="45"/>
        <v>145</v>
      </c>
      <c r="L370" s="287">
        <f>SUM(K361:K370)</f>
        <v>497.294</v>
      </c>
      <c r="M370" s="291"/>
      <c r="N370" s="111"/>
    </row>
    <row r="371" s="243" customFormat="1" spans="1:14">
      <c r="A371" s="263">
        <v>45432</v>
      </c>
      <c r="B371" s="127">
        <v>64</v>
      </c>
      <c r="C371" s="258">
        <v>45432</v>
      </c>
      <c r="D371" s="136"/>
      <c r="E371" s="136"/>
      <c r="F371" s="131" t="s">
        <v>308</v>
      </c>
      <c r="G371" s="136">
        <v>1</v>
      </c>
      <c r="H371" s="136">
        <v>2.4</v>
      </c>
      <c r="I371" s="136">
        <f t="shared" si="41"/>
        <v>2.4</v>
      </c>
      <c r="J371" s="135">
        <v>12.6</v>
      </c>
      <c r="K371" s="135">
        <f t="shared" si="45"/>
        <v>30.24</v>
      </c>
      <c r="L371" s="278" t="s">
        <v>453</v>
      </c>
      <c r="M371" s="279"/>
      <c r="N371" s="132"/>
    </row>
    <row r="372" s="243" customFormat="1" spans="1:14">
      <c r="A372" s="263">
        <v>45432</v>
      </c>
      <c r="B372" s="127">
        <v>64</v>
      </c>
      <c r="C372" s="258">
        <v>45432</v>
      </c>
      <c r="D372" s="136"/>
      <c r="E372" s="136"/>
      <c r="F372" s="133" t="s">
        <v>430</v>
      </c>
      <c r="G372" s="136">
        <v>1</v>
      </c>
      <c r="H372" s="136">
        <v>0.12</v>
      </c>
      <c r="I372" s="136">
        <f t="shared" si="41"/>
        <v>0.12</v>
      </c>
      <c r="J372" s="135">
        <v>26</v>
      </c>
      <c r="K372" s="135">
        <f t="shared" ref="K372:K380" si="46">I372*J372</f>
        <v>3.12</v>
      </c>
      <c r="L372" s="280" t="s">
        <v>439</v>
      </c>
      <c r="M372" s="279"/>
      <c r="N372" s="132"/>
    </row>
    <row r="373" s="243" customFormat="1" spans="1:14">
      <c r="A373" s="263">
        <v>45432</v>
      </c>
      <c r="B373" s="127">
        <v>64</v>
      </c>
      <c r="C373" s="258">
        <v>45432</v>
      </c>
      <c r="D373" s="136"/>
      <c r="E373" s="136"/>
      <c r="F373" s="133" t="s">
        <v>434</v>
      </c>
      <c r="G373" s="136">
        <v>1</v>
      </c>
      <c r="H373" s="136">
        <v>0.5</v>
      </c>
      <c r="I373" s="136">
        <f t="shared" si="41"/>
        <v>0.5</v>
      </c>
      <c r="J373" s="135">
        <v>9</v>
      </c>
      <c r="K373" s="135">
        <f t="shared" si="46"/>
        <v>4.5</v>
      </c>
      <c r="L373" s="278"/>
      <c r="M373" s="279"/>
      <c r="N373" s="132"/>
    </row>
    <row r="374" s="243" customFormat="1" spans="1:14">
      <c r="A374" s="263">
        <v>45432</v>
      </c>
      <c r="B374" s="127">
        <v>64</v>
      </c>
      <c r="C374" s="258">
        <v>45432</v>
      </c>
      <c r="D374" s="136"/>
      <c r="E374" s="136"/>
      <c r="F374" s="131" t="s">
        <v>122</v>
      </c>
      <c r="G374" s="136">
        <v>1</v>
      </c>
      <c r="H374" s="136">
        <v>0.7</v>
      </c>
      <c r="I374" s="136">
        <f t="shared" si="41"/>
        <v>0.7</v>
      </c>
      <c r="J374" s="135">
        <v>8.8</v>
      </c>
      <c r="K374" s="135">
        <f t="shared" si="46"/>
        <v>6.16</v>
      </c>
      <c r="L374" s="278"/>
      <c r="M374" s="279"/>
      <c r="N374" s="132"/>
    </row>
    <row r="375" s="243" customFormat="1" spans="1:14">
      <c r="A375" s="263">
        <v>45432</v>
      </c>
      <c r="B375" s="127">
        <v>64</v>
      </c>
      <c r="C375" s="258">
        <v>45432</v>
      </c>
      <c r="D375" s="136"/>
      <c r="E375" s="136"/>
      <c r="F375" s="133">
        <v>2038</v>
      </c>
      <c r="G375" s="136">
        <v>1</v>
      </c>
      <c r="H375" s="136">
        <v>0.01</v>
      </c>
      <c r="I375" s="136">
        <f t="shared" si="41"/>
        <v>0.01</v>
      </c>
      <c r="J375" s="135">
        <v>55</v>
      </c>
      <c r="K375" s="135">
        <f t="shared" si="46"/>
        <v>0.55</v>
      </c>
      <c r="L375" s="278"/>
      <c r="M375" s="279"/>
      <c r="N375" s="132"/>
    </row>
    <row r="376" s="243" customFormat="1" spans="1:14">
      <c r="A376" s="263">
        <v>45432</v>
      </c>
      <c r="B376" s="127">
        <v>64</v>
      </c>
      <c r="C376" s="258">
        <v>45432</v>
      </c>
      <c r="D376" s="136"/>
      <c r="E376" s="136"/>
      <c r="F376" s="133">
        <v>3033</v>
      </c>
      <c r="G376" s="136">
        <v>1</v>
      </c>
      <c r="H376" s="136">
        <v>0.01</v>
      </c>
      <c r="I376" s="136">
        <f t="shared" si="41"/>
        <v>0.01</v>
      </c>
      <c r="J376" s="135">
        <v>60</v>
      </c>
      <c r="K376" s="135">
        <f t="shared" si="46"/>
        <v>0.6</v>
      </c>
      <c r="L376" s="278"/>
      <c r="M376" s="279"/>
      <c r="N376" s="132"/>
    </row>
    <row r="377" s="243" customFormat="1" spans="1:14">
      <c r="A377" s="263">
        <v>45432</v>
      </c>
      <c r="B377" s="127">
        <v>64</v>
      </c>
      <c r="C377" s="258">
        <v>45432</v>
      </c>
      <c r="D377" s="136"/>
      <c r="E377" s="136"/>
      <c r="F377" s="131" t="s">
        <v>454</v>
      </c>
      <c r="G377" s="136">
        <v>1</v>
      </c>
      <c r="H377" s="136">
        <v>0.28</v>
      </c>
      <c r="I377" s="136">
        <f t="shared" si="41"/>
        <v>0.28</v>
      </c>
      <c r="J377" s="135">
        <v>50</v>
      </c>
      <c r="K377" s="135">
        <f t="shared" si="46"/>
        <v>14</v>
      </c>
      <c r="L377" s="278" t="s">
        <v>455</v>
      </c>
      <c r="M377" s="279"/>
      <c r="N377" s="132"/>
    </row>
    <row r="378" s="243" customFormat="1" spans="1:14">
      <c r="A378" s="263">
        <v>45432</v>
      </c>
      <c r="B378" s="127">
        <v>64</v>
      </c>
      <c r="C378" s="258">
        <v>45432</v>
      </c>
      <c r="D378" s="136"/>
      <c r="E378" s="136"/>
      <c r="F378" s="131" t="s">
        <v>456</v>
      </c>
      <c r="G378" s="136">
        <v>1</v>
      </c>
      <c r="H378" s="282">
        <f>SUM(H371:H377)</f>
        <v>4.02</v>
      </c>
      <c r="I378" s="282">
        <f t="shared" si="41"/>
        <v>4.02</v>
      </c>
      <c r="J378" s="135">
        <v>2.3</v>
      </c>
      <c r="K378" s="135">
        <f t="shared" si="46"/>
        <v>9.246</v>
      </c>
      <c r="L378" s="278"/>
      <c r="M378" s="279"/>
      <c r="N378" s="132"/>
    </row>
    <row r="379" s="243" customFormat="1" spans="1:14">
      <c r="A379" s="263">
        <v>45432</v>
      </c>
      <c r="B379" s="127">
        <v>64</v>
      </c>
      <c r="C379" s="258">
        <v>45432</v>
      </c>
      <c r="D379" s="136"/>
      <c r="E379" s="136"/>
      <c r="F379" s="131" t="s">
        <v>457</v>
      </c>
      <c r="G379" s="136">
        <v>1</v>
      </c>
      <c r="H379" s="136">
        <v>1</v>
      </c>
      <c r="I379" s="136">
        <f t="shared" si="41"/>
        <v>1</v>
      </c>
      <c r="J379" s="135">
        <v>5.5</v>
      </c>
      <c r="K379" s="135">
        <f t="shared" si="46"/>
        <v>5.5</v>
      </c>
      <c r="L379" s="283">
        <f>SUM(K371:K379)</f>
        <v>73.916</v>
      </c>
      <c r="M379" s="279"/>
      <c r="N379" s="132"/>
    </row>
    <row r="380" s="245" customFormat="1" spans="1:14">
      <c r="A380" s="284">
        <v>45437</v>
      </c>
      <c r="B380" s="105">
        <v>73</v>
      </c>
      <c r="C380" s="285">
        <v>45436</v>
      </c>
      <c r="D380" s="108"/>
      <c r="E380" s="108"/>
      <c r="F380" s="110" t="s">
        <v>308</v>
      </c>
      <c r="G380" s="108">
        <v>1</v>
      </c>
      <c r="H380" s="108">
        <v>9.6</v>
      </c>
      <c r="I380" s="108">
        <f t="shared" si="41"/>
        <v>9.6</v>
      </c>
      <c r="J380" s="109">
        <v>12.6</v>
      </c>
      <c r="K380" s="109">
        <f t="shared" si="46"/>
        <v>120.96</v>
      </c>
      <c r="L380" s="288" t="s">
        <v>453</v>
      </c>
      <c r="M380" s="291"/>
      <c r="N380" s="111"/>
    </row>
    <row r="381" s="245" customFormat="1" spans="1:14">
      <c r="A381" s="284">
        <v>45437</v>
      </c>
      <c r="B381" s="105">
        <v>73</v>
      </c>
      <c r="C381" s="285">
        <v>45436</v>
      </c>
      <c r="D381" s="108"/>
      <c r="E381" s="108"/>
      <c r="F381" s="106" t="s">
        <v>430</v>
      </c>
      <c r="G381" s="108">
        <v>1</v>
      </c>
      <c r="H381" s="108">
        <v>0.48</v>
      </c>
      <c r="I381" s="108">
        <f t="shared" si="41"/>
        <v>0.48</v>
      </c>
      <c r="J381" s="109">
        <v>26</v>
      </c>
      <c r="K381" s="109">
        <f t="shared" ref="K381:K399" si="47">I381*J381</f>
        <v>12.48</v>
      </c>
      <c r="L381" s="374" t="s">
        <v>439</v>
      </c>
      <c r="M381" s="291"/>
      <c r="N381" s="111"/>
    </row>
    <row r="382" s="245" customFormat="1" spans="1:14">
      <c r="A382" s="284">
        <v>45437</v>
      </c>
      <c r="B382" s="105">
        <v>73</v>
      </c>
      <c r="C382" s="285">
        <v>45436</v>
      </c>
      <c r="D382" s="108"/>
      <c r="E382" s="108"/>
      <c r="F382" s="106" t="s">
        <v>434</v>
      </c>
      <c r="G382" s="108">
        <v>1</v>
      </c>
      <c r="H382" s="108">
        <v>2</v>
      </c>
      <c r="I382" s="108">
        <f t="shared" si="41"/>
        <v>2</v>
      </c>
      <c r="J382" s="109">
        <v>9</v>
      </c>
      <c r="K382" s="109">
        <f t="shared" si="47"/>
        <v>18</v>
      </c>
      <c r="L382" s="288"/>
      <c r="M382" s="291"/>
      <c r="N382" s="111"/>
    </row>
    <row r="383" s="245" customFormat="1" spans="1:14">
      <c r="A383" s="284">
        <v>45437</v>
      </c>
      <c r="B383" s="105">
        <v>73</v>
      </c>
      <c r="C383" s="285">
        <v>45436</v>
      </c>
      <c r="D383" s="108"/>
      <c r="E383" s="108"/>
      <c r="F383" s="110" t="s">
        <v>122</v>
      </c>
      <c r="G383" s="108">
        <v>1</v>
      </c>
      <c r="H383" s="108">
        <v>2.8</v>
      </c>
      <c r="I383" s="108">
        <f t="shared" si="41"/>
        <v>2.8</v>
      </c>
      <c r="J383" s="109">
        <v>8.8</v>
      </c>
      <c r="K383" s="109">
        <f t="shared" si="47"/>
        <v>24.64</v>
      </c>
      <c r="L383" s="288"/>
      <c r="M383" s="291"/>
      <c r="N383" s="111"/>
    </row>
    <row r="384" s="245" customFormat="1" spans="1:14">
      <c r="A384" s="284">
        <v>45437</v>
      </c>
      <c r="B384" s="105">
        <v>73</v>
      </c>
      <c r="C384" s="285">
        <v>45436</v>
      </c>
      <c r="D384" s="108"/>
      <c r="E384" s="108"/>
      <c r="F384" s="106">
        <v>2038</v>
      </c>
      <c r="G384" s="108">
        <v>1</v>
      </c>
      <c r="H384" s="108">
        <v>0.04</v>
      </c>
      <c r="I384" s="108">
        <f t="shared" si="41"/>
        <v>0.04</v>
      </c>
      <c r="J384" s="109">
        <v>55</v>
      </c>
      <c r="K384" s="109">
        <f t="shared" si="47"/>
        <v>2.2</v>
      </c>
      <c r="L384" s="288"/>
      <c r="M384" s="291"/>
      <c r="N384" s="111"/>
    </row>
    <row r="385" s="245" customFormat="1" spans="1:17">
      <c r="A385" s="284">
        <v>45437</v>
      </c>
      <c r="B385" s="105">
        <v>73</v>
      </c>
      <c r="C385" s="285">
        <v>45436</v>
      </c>
      <c r="D385" s="108"/>
      <c r="E385" s="108"/>
      <c r="F385" s="106">
        <v>3033</v>
      </c>
      <c r="G385" s="108">
        <v>1</v>
      </c>
      <c r="H385" s="108">
        <v>0.04</v>
      </c>
      <c r="I385" s="108">
        <f t="shared" si="41"/>
        <v>0.04</v>
      </c>
      <c r="J385" s="109">
        <v>60</v>
      </c>
      <c r="K385" s="109">
        <f t="shared" si="47"/>
        <v>2.4</v>
      </c>
      <c r="L385" s="288"/>
      <c r="M385" s="291"/>
      <c r="N385" s="111"/>
    </row>
    <row r="386" s="245" customFormat="1" spans="1:17">
      <c r="A386" s="284">
        <v>45437</v>
      </c>
      <c r="B386" s="105">
        <v>73</v>
      </c>
      <c r="C386" s="285">
        <v>45436</v>
      </c>
      <c r="D386" s="108"/>
      <c r="E386" s="108"/>
      <c r="F386" s="110" t="s">
        <v>454</v>
      </c>
      <c r="G386" s="108">
        <v>1</v>
      </c>
      <c r="H386" s="108">
        <v>1.12</v>
      </c>
      <c r="I386" s="108">
        <f t="shared" si="41"/>
        <v>1.12</v>
      </c>
      <c r="J386" s="109">
        <v>50</v>
      </c>
      <c r="K386" s="109">
        <f t="shared" si="47"/>
        <v>56</v>
      </c>
      <c r="L386" s="288" t="s">
        <v>455</v>
      </c>
      <c r="M386" s="291"/>
      <c r="N386" s="111"/>
    </row>
    <row r="387" s="245" customFormat="1" spans="1:17">
      <c r="A387" s="284">
        <v>45437</v>
      </c>
      <c r="B387" s="105">
        <v>73</v>
      </c>
      <c r="C387" s="285">
        <v>45436</v>
      </c>
      <c r="D387" s="108"/>
      <c r="E387" s="108"/>
      <c r="F387" s="110" t="s">
        <v>456</v>
      </c>
      <c r="G387" s="108">
        <v>1</v>
      </c>
      <c r="H387" s="290">
        <f>SUM(H380:H386)</f>
        <v>16.08</v>
      </c>
      <c r="I387" s="290">
        <f>G387*H387</f>
        <v>16.08</v>
      </c>
      <c r="J387" s="109">
        <v>2.3</v>
      </c>
      <c r="K387" s="109">
        <f t="shared" si="47"/>
        <v>36.984</v>
      </c>
      <c r="L387" s="288"/>
      <c r="M387" s="291"/>
      <c r="N387" s="111"/>
    </row>
    <row r="388" s="245" customFormat="1" spans="1:17">
      <c r="A388" s="284">
        <v>45437</v>
      </c>
      <c r="B388" s="105">
        <v>73</v>
      </c>
      <c r="C388" s="285">
        <v>45436</v>
      </c>
      <c r="D388" s="108"/>
      <c r="E388" s="108"/>
      <c r="F388" s="110" t="s">
        <v>457</v>
      </c>
      <c r="G388" s="108">
        <v>1</v>
      </c>
      <c r="H388" s="108">
        <v>1</v>
      </c>
      <c r="I388" s="108">
        <f>G388*H388</f>
        <v>1</v>
      </c>
      <c r="J388" s="109">
        <v>12.5</v>
      </c>
      <c r="K388" s="109">
        <f t="shared" si="47"/>
        <v>12.5</v>
      </c>
      <c r="L388" s="376"/>
      <c r="M388" s="291"/>
      <c r="N388" s="111"/>
    </row>
    <row r="389" s="245" customFormat="1" spans="1:17">
      <c r="A389" s="284">
        <v>45437</v>
      </c>
      <c r="B389" s="105">
        <v>73</v>
      </c>
      <c r="C389" s="285">
        <v>45436</v>
      </c>
      <c r="D389" s="108"/>
      <c r="E389" s="108"/>
      <c r="F389" s="118" t="s">
        <v>496</v>
      </c>
      <c r="G389" s="140">
        <v>1</v>
      </c>
      <c r="H389" s="140">
        <v>4</v>
      </c>
      <c r="I389" s="140">
        <f>G389*H389</f>
        <v>4</v>
      </c>
      <c r="J389" s="130">
        <v>14.5</v>
      </c>
      <c r="K389" s="130">
        <f t="shared" si="47"/>
        <v>58</v>
      </c>
      <c r="L389" s="287"/>
      <c r="M389" s="291"/>
      <c r="N389" s="111"/>
    </row>
    <row r="390" s="245" customFormat="1" spans="1:17">
      <c r="A390" s="284">
        <v>45437</v>
      </c>
      <c r="B390" s="105">
        <v>73</v>
      </c>
      <c r="C390" s="285">
        <v>45436</v>
      </c>
      <c r="D390" s="108"/>
      <c r="E390" s="108"/>
      <c r="F390" s="110" t="s">
        <v>497</v>
      </c>
      <c r="G390" s="108">
        <v>1</v>
      </c>
      <c r="H390" s="108">
        <v>1</v>
      </c>
      <c r="I390" s="108">
        <f>G390*H390</f>
        <v>1</v>
      </c>
      <c r="J390" s="109">
        <v>5.5</v>
      </c>
      <c r="K390" s="109">
        <f t="shared" si="47"/>
        <v>5.5</v>
      </c>
      <c r="L390" s="287">
        <f>SUM(K380:K390)</f>
        <v>349.664</v>
      </c>
      <c r="M390" s="291"/>
      <c r="N390" s="111"/>
    </row>
    <row r="391" s="328" customFormat="1" ht="21" customHeight="1" spans="1:17">
      <c r="A391" s="379" t="s">
        <v>498</v>
      </c>
      <c r="B391" s="379"/>
      <c r="C391" s="379"/>
      <c r="D391" s="379"/>
      <c r="E391" s="379"/>
      <c r="F391" s="379"/>
      <c r="G391" s="379"/>
      <c r="H391" s="379"/>
      <c r="I391" s="379"/>
      <c r="J391" s="380" t="s">
        <v>499</v>
      </c>
      <c r="K391" s="381">
        <f>SUM(K394:K491)</f>
        <v>6505.11</v>
      </c>
      <c r="L391" s="328" t="s">
        <v>500</v>
      </c>
      <c r="M391" s="382">
        <f>K391-M392-O391-O392-P392</f>
        <v>3796.28</v>
      </c>
      <c r="N391" s="383" t="s">
        <v>302</v>
      </c>
      <c r="O391" s="382">
        <f>K401+K412+K419+K427+K437+K449+K458+K461+K471+K489</f>
        <v>911.83</v>
      </c>
      <c r="P391" s="383" t="s">
        <v>501</v>
      </c>
      <c r="Q391" s="382"/>
    </row>
    <row r="392" s="328" customFormat="1" ht="15" customHeight="1" spans="1:17">
      <c r="A392" s="379"/>
      <c r="B392" s="379"/>
      <c r="C392" s="379"/>
      <c r="D392" s="379"/>
      <c r="E392" s="379"/>
      <c r="F392" s="379"/>
      <c r="G392" s="379"/>
      <c r="H392" s="379"/>
      <c r="I392" s="379"/>
      <c r="J392" s="379"/>
      <c r="K392" s="379"/>
      <c r="L392" s="328" t="s">
        <v>502</v>
      </c>
      <c r="M392" s="382">
        <f>K402+K416+K420+K438+K451+K452+K462+K430+K472+K464+K450</f>
        <v>264</v>
      </c>
      <c r="N392" s="383" t="s">
        <v>503</v>
      </c>
      <c r="O392" s="382">
        <f>K415+K422+K423+K424+K429+K453</f>
        <v>1488</v>
      </c>
      <c r="P392" s="328">
        <f>K421+K491</f>
        <v>45</v>
      </c>
    </row>
    <row r="393" s="329" customFormat="1" ht="23" customHeight="1" spans="1:17">
      <c r="A393" s="384" t="s">
        <v>1</v>
      </c>
      <c r="B393" s="384" t="s">
        <v>304</v>
      </c>
      <c r="C393" s="385" t="s">
        <v>305</v>
      </c>
      <c r="D393" s="385"/>
      <c r="E393" s="385"/>
      <c r="F393" s="385" t="s">
        <v>306</v>
      </c>
      <c r="G393" s="385" t="s">
        <v>113</v>
      </c>
      <c r="H393" s="385" t="s">
        <v>3</v>
      </c>
      <c r="I393" s="385" t="s">
        <v>5</v>
      </c>
      <c r="J393" s="385" t="s">
        <v>114</v>
      </c>
      <c r="K393" s="385" t="s">
        <v>115</v>
      </c>
      <c r="L393" s="385" t="s">
        <v>7</v>
      </c>
      <c r="M393" s="385" t="s">
        <v>303</v>
      </c>
      <c r="N393" s="386" t="s">
        <v>504</v>
      </c>
      <c r="O393" s="387">
        <f>M391+M392+O391+O392+P392</f>
        <v>6505.11</v>
      </c>
    </row>
    <row r="394" s="261" customFormat="1" spans="1:17">
      <c r="A394" s="263">
        <v>45449</v>
      </c>
      <c r="B394" s="127">
        <v>16</v>
      </c>
      <c r="C394" s="258">
        <v>45446</v>
      </c>
      <c r="D394" s="136"/>
      <c r="E394" s="136"/>
      <c r="F394" s="131" t="s">
        <v>308</v>
      </c>
      <c r="G394" s="136">
        <v>1</v>
      </c>
      <c r="H394" s="136">
        <v>3</v>
      </c>
      <c r="I394" s="136">
        <f t="shared" ref="I394:I414" si="48">G394*H394</f>
        <v>3</v>
      </c>
      <c r="J394" s="135">
        <v>12.6</v>
      </c>
      <c r="K394" s="135">
        <f>I394*J394</f>
        <v>37.8</v>
      </c>
      <c r="L394" s="278" t="s">
        <v>453</v>
      </c>
      <c r="M394" s="375"/>
      <c r="N394" s="276"/>
    </row>
    <row r="395" s="261" customFormat="1" spans="1:17">
      <c r="A395" s="263">
        <v>45449</v>
      </c>
      <c r="B395" s="127">
        <v>16</v>
      </c>
      <c r="C395" s="258">
        <v>45446</v>
      </c>
      <c r="D395" s="136"/>
      <c r="E395" s="136"/>
      <c r="F395" s="133" t="s">
        <v>430</v>
      </c>
      <c r="G395" s="136">
        <v>1</v>
      </c>
      <c r="H395" s="136">
        <v>0.15</v>
      </c>
      <c r="I395" s="136">
        <f t="shared" si="48"/>
        <v>0.15</v>
      </c>
      <c r="J395" s="135">
        <v>26</v>
      </c>
      <c r="K395" s="135">
        <f t="shared" ref="K395:K412" si="49">I395*J395</f>
        <v>3.9</v>
      </c>
      <c r="L395" s="280" t="s">
        <v>439</v>
      </c>
      <c r="M395" s="375"/>
      <c r="N395" s="276"/>
    </row>
    <row r="396" s="261" customFormat="1" spans="1:17">
      <c r="A396" s="263">
        <v>45449</v>
      </c>
      <c r="B396" s="127">
        <v>16</v>
      </c>
      <c r="C396" s="258">
        <v>45446</v>
      </c>
      <c r="D396" s="136"/>
      <c r="E396" s="136"/>
      <c r="F396" s="133" t="s">
        <v>434</v>
      </c>
      <c r="G396" s="136">
        <v>1</v>
      </c>
      <c r="H396" s="136">
        <v>0.6</v>
      </c>
      <c r="I396" s="136">
        <f t="shared" si="48"/>
        <v>0.6</v>
      </c>
      <c r="J396" s="135">
        <v>8.8</v>
      </c>
      <c r="K396" s="135">
        <f t="shared" si="49"/>
        <v>5.28</v>
      </c>
      <c r="L396" s="278"/>
      <c r="M396" s="375"/>
      <c r="N396" s="276"/>
    </row>
    <row r="397" s="261" customFormat="1" spans="1:17">
      <c r="A397" s="263">
        <v>45449</v>
      </c>
      <c r="B397" s="127">
        <v>16</v>
      </c>
      <c r="C397" s="258">
        <v>45446</v>
      </c>
      <c r="D397" s="136"/>
      <c r="E397" s="136"/>
      <c r="F397" s="131" t="s">
        <v>122</v>
      </c>
      <c r="G397" s="136">
        <v>1</v>
      </c>
      <c r="H397" s="136">
        <v>0.8</v>
      </c>
      <c r="I397" s="136">
        <f t="shared" si="48"/>
        <v>0.8</v>
      </c>
      <c r="J397" s="135">
        <v>8.8</v>
      </c>
      <c r="K397" s="135">
        <f t="shared" si="49"/>
        <v>7.04</v>
      </c>
      <c r="L397" s="278"/>
      <c r="M397" s="375"/>
      <c r="N397" s="276"/>
    </row>
    <row r="398" s="261" customFormat="1" spans="1:17">
      <c r="A398" s="263">
        <v>45449</v>
      </c>
      <c r="B398" s="127">
        <v>16</v>
      </c>
      <c r="C398" s="258">
        <v>45446</v>
      </c>
      <c r="D398" s="136"/>
      <c r="E398" s="136"/>
      <c r="F398" s="133">
        <v>2038</v>
      </c>
      <c r="G398" s="136">
        <v>1</v>
      </c>
      <c r="H398" s="136">
        <v>0.1</v>
      </c>
      <c r="I398" s="136">
        <f t="shared" si="48"/>
        <v>0.1</v>
      </c>
      <c r="J398" s="135">
        <v>55</v>
      </c>
      <c r="K398" s="135">
        <f t="shared" si="49"/>
        <v>5.5</v>
      </c>
      <c r="L398" s="278"/>
      <c r="M398" s="375"/>
      <c r="N398" s="276"/>
    </row>
    <row r="399" s="261" customFormat="1" spans="1:17">
      <c r="A399" s="263">
        <v>45449</v>
      </c>
      <c r="B399" s="127">
        <v>16</v>
      </c>
      <c r="C399" s="258">
        <v>45446</v>
      </c>
      <c r="D399" s="136"/>
      <c r="E399" s="136"/>
      <c r="F399" s="133">
        <v>3033</v>
      </c>
      <c r="G399" s="136">
        <v>1</v>
      </c>
      <c r="H399" s="136">
        <v>0.1</v>
      </c>
      <c r="I399" s="136">
        <f t="shared" si="48"/>
        <v>0.1</v>
      </c>
      <c r="J399" s="135">
        <v>60</v>
      </c>
      <c r="K399" s="135">
        <f t="shared" si="49"/>
        <v>6</v>
      </c>
      <c r="L399" s="278"/>
      <c r="M399" s="375"/>
      <c r="N399" s="276"/>
    </row>
    <row r="400" s="261" customFormat="1" spans="1:17">
      <c r="A400" s="263">
        <v>45449</v>
      </c>
      <c r="B400" s="127">
        <v>16</v>
      </c>
      <c r="C400" s="258">
        <v>45446</v>
      </c>
      <c r="D400" s="136"/>
      <c r="E400" s="136"/>
      <c r="F400" s="131" t="s">
        <v>454</v>
      </c>
      <c r="G400" s="136">
        <v>1</v>
      </c>
      <c r="H400" s="136">
        <v>0.35</v>
      </c>
      <c r="I400" s="136">
        <f t="shared" si="48"/>
        <v>0.35</v>
      </c>
      <c r="J400" s="135">
        <v>50</v>
      </c>
      <c r="K400" s="135">
        <f t="shared" si="49"/>
        <v>17.5</v>
      </c>
      <c r="L400" s="278" t="s">
        <v>455</v>
      </c>
      <c r="M400" s="375"/>
      <c r="N400" s="276"/>
    </row>
    <row r="401" s="261" customFormat="1" spans="1:14">
      <c r="A401" s="263">
        <v>45449</v>
      </c>
      <c r="B401" s="127">
        <v>16</v>
      </c>
      <c r="C401" s="258">
        <v>45446</v>
      </c>
      <c r="D401" s="136"/>
      <c r="E401" s="136"/>
      <c r="F401" s="131" t="s">
        <v>456</v>
      </c>
      <c r="G401" s="114">
        <v>1</v>
      </c>
      <c r="H401" s="281">
        <f>SUM(H394:H400)</f>
        <v>5.1</v>
      </c>
      <c r="I401" s="281">
        <f t="shared" si="48"/>
        <v>5.1</v>
      </c>
      <c r="J401" s="115">
        <v>2.3</v>
      </c>
      <c r="K401" s="115">
        <f t="shared" si="49"/>
        <v>11.73</v>
      </c>
      <c r="L401" s="278">
        <f>SUM(K394:K402)</f>
        <v>101.75</v>
      </c>
      <c r="M401" s="375"/>
      <c r="N401" s="276"/>
    </row>
    <row r="402" s="261" customFormat="1" spans="1:14">
      <c r="A402" s="263">
        <v>45449</v>
      </c>
      <c r="B402" s="127">
        <v>16</v>
      </c>
      <c r="C402" s="258">
        <v>45446</v>
      </c>
      <c r="D402" s="136"/>
      <c r="E402" s="136"/>
      <c r="F402" s="131" t="s">
        <v>505</v>
      </c>
      <c r="G402" s="136">
        <v>1</v>
      </c>
      <c r="H402" s="136">
        <v>1</v>
      </c>
      <c r="I402" s="136">
        <f t="shared" si="48"/>
        <v>1</v>
      </c>
      <c r="J402" s="135">
        <v>7</v>
      </c>
      <c r="K402" s="135">
        <f t="shared" si="49"/>
        <v>7</v>
      </c>
      <c r="L402" s="278"/>
      <c r="M402" s="375"/>
      <c r="N402" s="276"/>
    </row>
    <row r="403" s="1" customFormat="1" spans="1:14">
      <c r="A403" s="51">
        <v>45449</v>
      </c>
      <c r="B403" s="105">
        <v>17</v>
      </c>
      <c r="C403" s="51">
        <v>45447</v>
      </c>
      <c r="D403" s="51"/>
      <c r="E403" s="51"/>
      <c r="F403" s="110" t="s">
        <v>463</v>
      </c>
      <c r="G403" s="107">
        <v>1</v>
      </c>
      <c r="H403" s="107">
        <v>43</v>
      </c>
      <c r="I403" s="108">
        <f t="shared" si="48"/>
        <v>43</v>
      </c>
      <c r="J403" s="109">
        <v>9.8</v>
      </c>
      <c r="K403" s="109">
        <f t="shared" si="49"/>
        <v>421.4</v>
      </c>
      <c r="L403" s="110"/>
      <c r="M403" s="110"/>
      <c r="N403" s="111"/>
    </row>
    <row r="404" s="1" customFormat="1" spans="1:14">
      <c r="A404" s="51">
        <v>45449</v>
      </c>
      <c r="B404" s="105">
        <v>17</v>
      </c>
      <c r="C404" s="51">
        <v>45447</v>
      </c>
      <c r="D404" s="51"/>
      <c r="E404" s="51"/>
      <c r="F404" s="110" t="s">
        <v>120</v>
      </c>
      <c r="G404" s="107">
        <v>1</v>
      </c>
      <c r="H404" s="107">
        <v>2</v>
      </c>
      <c r="I404" s="108">
        <f t="shared" si="48"/>
        <v>2</v>
      </c>
      <c r="J404" s="109">
        <v>21</v>
      </c>
      <c r="K404" s="109">
        <f t="shared" ref="K404:K411" si="50">I404*J404</f>
        <v>42</v>
      </c>
      <c r="L404" s="110"/>
      <c r="M404" s="110"/>
      <c r="N404" s="111"/>
    </row>
    <row r="405" s="1" customFormat="1" spans="1:14">
      <c r="A405" s="51">
        <v>45449</v>
      </c>
      <c r="B405" s="105">
        <v>17</v>
      </c>
      <c r="C405" s="51">
        <v>45447</v>
      </c>
      <c r="D405" s="51"/>
      <c r="E405" s="51"/>
      <c r="F405" s="110" t="s">
        <v>339</v>
      </c>
      <c r="G405" s="107">
        <v>1</v>
      </c>
      <c r="H405" s="107">
        <v>83</v>
      </c>
      <c r="I405" s="108">
        <f t="shared" si="48"/>
        <v>83</v>
      </c>
      <c r="J405" s="109">
        <v>0.2</v>
      </c>
      <c r="K405" s="109">
        <f t="shared" si="50"/>
        <v>16.6</v>
      </c>
      <c r="L405" s="110"/>
      <c r="M405" s="110"/>
      <c r="N405" s="111"/>
    </row>
    <row r="406" s="1" customFormat="1" spans="1:14">
      <c r="A406" s="51">
        <v>45449</v>
      </c>
      <c r="B406" s="105">
        <v>17</v>
      </c>
      <c r="C406" s="51">
        <v>45447</v>
      </c>
      <c r="D406" s="51"/>
      <c r="E406" s="51"/>
      <c r="F406" s="110" t="s">
        <v>311</v>
      </c>
      <c r="G406" s="107">
        <v>1</v>
      </c>
      <c r="H406" s="107">
        <v>20</v>
      </c>
      <c r="I406" s="108">
        <f t="shared" si="48"/>
        <v>20</v>
      </c>
      <c r="J406" s="109">
        <v>8.8</v>
      </c>
      <c r="K406" s="109">
        <f t="shared" si="50"/>
        <v>176</v>
      </c>
      <c r="L406" s="110"/>
      <c r="M406" s="110"/>
      <c r="N406" s="111"/>
    </row>
    <row r="407" s="1" customFormat="1" spans="1:14">
      <c r="A407" s="51">
        <v>45449</v>
      </c>
      <c r="B407" s="105">
        <v>17</v>
      </c>
      <c r="C407" s="51">
        <v>45447</v>
      </c>
      <c r="D407" s="51"/>
      <c r="E407" s="51"/>
      <c r="F407" s="110" t="s">
        <v>312</v>
      </c>
      <c r="G407" s="107">
        <v>1</v>
      </c>
      <c r="H407" s="107">
        <v>17</v>
      </c>
      <c r="I407" s="108">
        <f t="shared" si="48"/>
        <v>17</v>
      </c>
      <c r="J407" s="109">
        <v>3.6</v>
      </c>
      <c r="K407" s="109">
        <f t="shared" si="50"/>
        <v>61.2</v>
      </c>
      <c r="L407" s="137" t="s">
        <v>464</v>
      </c>
      <c r="M407" s="110"/>
      <c r="N407" s="111"/>
    </row>
    <row r="408" s="1" customFormat="1" spans="1:14">
      <c r="A408" s="51">
        <v>45449</v>
      </c>
      <c r="B408" s="105">
        <v>17</v>
      </c>
      <c r="C408" s="51">
        <v>45447</v>
      </c>
      <c r="D408" s="51"/>
      <c r="E408" s="51"/>
      <c r="F408" s="110" t="s">
        <v>432</v>
      </c>
      <c r="G408" s="107">
        <v>1</v>
      </c>
      <c r="H408" s="107">
        <v>6.5</v>
      </c>
      <c r="I408" s="108">
        <f t="shared" si="48"/>
        <v>6.5</v>
      </c>
      <c r="J408" s="109">
        <v>25</v>
      </c>
      <c r="K408" s="109">
        <f t="shared" si="50"/>
        <v>162.5</v>
      </c>
      <c r="L408" s="137" t="s">
        <v>506</v>
      </c>
      <c r="M408" s="110"/>
      <c r="N408" s="111"/>
    </row>
    <row r="409" s="1" customFormat="1" spans="1:14">
      <c r="A409" s="51">
        <v>45449</v>
      </c>
      <c r="B409" s="105">
        <v>17</v>
      </c>
      <c r="C409" s="51">
        <v>45447</v>
      </c>
      <c r="D409" s="51"/>
      <c r="E409" s="51"/>
      <c r="F409" s="110" t="s">
        <v>313</v>
      </c>
      <c r="G409" s="107">
        <v>1</v>
      </c>
      <c r="H409" s="107">
        <v>0.6</v>
      </c>
      <c r="I409" s="108">
        <f t="shared" si="48"/>
        <v>0.6</v>
      </c>
      <c r="J409" s="109">
        <v>45</v>
      </c>
      <c r="K409" s="109">
        <f t="shared" si="50"/>
        <v>27</v>
      </c>
      <c r="L409" s="110"/>
      <c r="M409" s="110"/>
      <c r="N409" s="111"/>
    </row>
    <row r="410" s="1" customFormat="1" spans="1:14">
      <c r="A410" s="51">
        <v>45449</v>
      </c>
      <c r="B410" s="105">
        <v>17</v>
      </c>
      <c r="C410" s="51">
        <v>45447</v>
      </c>
      <c r="D410" s="51"/>
      <c r="E410" s="51"/>
      <c r="F410" s="110" t="s">
        <v>351</v>
      </c>
      <c r="G410" s="107">
        <v>1</v>
      </c>
      <c r="H410" s="107">
        <v>1</v>
      </c>
      <c r="I410" s="108">
        <f t="shared" si="48"/>
        <v>1</v>
      </c>
      <c r="J410" s="109">
        <v>25</v>
      </c>
      <c r="K410" s="109">
        <f t="shared" si="50"/>
        <v>25</v>
      </c>
      <c r="L410" s="254" t="s">
        <v>507</v>
      </c>
      <c r="M410" s="110"/>
      <c r="N410" s="111"/>
    </row>
    <row r="411" s="1" customFormat="1" spans="1:14">
      <c r="A411" s="51">
        <v>45449</v>
      </c>
      <c r="B411" s="105">
        <v>17</v>
      </c>
      <c r="C411" s="51">
        <v>45447</v>
      </c>
      <c r="D411" s="51"/>
      <c r="E411" s="51"/>
      <c r="F411" s="110" t="s">
        <v>466</v>
      </c>
      <c r="G411" s="107">
        <v>1</v>
      </c>
      <c r="H411" s="107">
        <v>17</v>
      </c>
      <c r="I411" s="108">
        <f t="shared" si="48"/>
        <v>17</v>
      </c>
      <c r="J411" s="109">
        <v>18</v>
      </c>
      <c r="K411" s="109">
        <f t="shared" si="50"/>
        <v>306</v>
      </c>
      <c r="L411" s="254" t="s">
        <v>467</v>
      </c>
      <c r="M411" s="110"/>
      <c r="N411" s="111"/>
    </row>
    <row r="412" s="1" customFormat="1" spans="1:14">
      <c r="A412" s="51">
        <v>45449</v>
      </c>
      <c r="B412" s="105">
        <v>17</v>
      </c>
      <c r="C412" s="51">
        <v>45447</v>
      </c>
      <c r="D412" s="51"/>
      <c r="E412" s="51"/>
      <c r="F412" s="254" t="s">
        <v>468</v>
      </c>
      <c r="G412" s="139">
        <v>1</v>
      </c>
      <c r="H412" s="139">
        <f>SUM(H403:H411)</f>
        <v>190.1</v>
      </c>
      <c r="I412" s="114">
        <f t="shared" si="48"/>
        <v>190.1</v>
      </c>
      <c r="J412" s="115">
        <v>2.3</v>
      </c>
      <c r="K412" s="115">
        <f t="shared" si="49"/>
        <v>437.23</v>
      </c>
      <c r="L412" s="118" t="s">
        <v>469</v>
      </c>
      <c r="M412" s="110" t="s">
        <v>508</v>
      </c>
      <c r="N412" s="111"/>
    </row>
    <row r="413" s="1" customFormat="1" spans="1:14">
      <c r="A413" s="51">
        <v>45449</v>
      </c>
      <c r="B413" s="105">
        <v>17</v>
      </c>
      <c r="C413" s="51">
        <v>45447</v>
      </c>
      <c r="D413" s="51"/>
      <c r="E413" s="51"/>
      <c r="F413" s="137" t="s">
        <v>471</v>
      </c>
      <c r="G413" s="107">
        <v>1</v>
      </c>
      <c r="H413" s="107">
        <v>21</v>
      </c>
      <c r="I413" s="108">
        <f t="shared" si="48"/>
        <v>21</v>
      </c>
      <c r="J413" s="109"/>
      <c r="K413" s="109"/>
      <c r="L413" s="110"/>
      <c r="M413" s="110"/>
      <c r="N413" s="111"/>
    </row>
    <row r="414" s="1" customFormat="1" spans="1:14">
      <c r="A414" s="51">
        <v>45449</v>
      </c>
      <c r="B414" s="105">
        <v>17</v>
      </c>
      <c r="C414" s="51">
        <v>45447</v>
      </c>
      <c r="D414" s="51"/>
      <c r="E414" s="51"/>
      <c r="F414" s="137" t="s">
        <v>509</v>
      </c>
      <c r="G414" s="107">
        <v>10</v>
      </c>
      <c r="H414" s="107">
        <v>1</v>
      </c>
      <c r="I414" s="108">
        <f t="shared" si="48"/>
        <v>10</v>
      </c>
      <c r="J414" s="109"/>
      <c r="K414" s="109"/>
      <c r="L414" s="110">
        <f>SUM(K403:K412)</f>
        <v>1674.93</v>
      </c>
      <c r="M414" s="110"/>
      <c r="N414" s="111"/>
    </row>
    <row r="415" s="2" customFormat="1" spans="1:14">
      <c r="A415" s="126">
        <v>45449</v>
      </c>
      <c r="B415" s="127">
        <v>18</v>
      </c>
      <c r="C415" s="126">
        <v>45447</v>
      </c>
      <c r="D415" s="126"/>
      <c r="E415" s="126"/>
      <c r="F415" s="131" t="s">
        <v>424</v>
      </c>
      <c r="G415" s="134">
        <v>10</v>
      </c>
      <c r="H415" s="134">
        <v>3</v>
      </c>
      <c r="I415" s="136">
        <f t="shared" ref="I415:I472" si="51">G415*H415</f>
        <v>30</v>
      </c>
      <c r="J415" s="135">
        <v>14.5</v>
      </c>
      <c r="K415" s="135">
        <f t="shared" ref="K415:K427" si="52">I415*J415</f>
        <v>435</v>
      </c>
      <c r="L415" s="388" t="s">
        <v>510</v>
      </c>
      <c r="M415" s="131"/>
      <c r="N415" s="137" t="s">
        <v>464</v>
      </c>
    </row>
    <row r="416" s="2" customFormat="1" spans="1:14">
      <c r="A416" s="126">
        <v>45449</v>
      </c>
      <c r="B416" s="127">
        <v>18</v>
      </c>
      <c r="C416" s="126">
        <v>45447</v>
      </c>
      <c r="D416" s="126"/>
      <c r="E416" s="126"/>
      <c r="F416" s="131" t="s">
        <v>474</v>
      </c>
      <c r="G416" s="134">
        <v>10</v>
      </c>
      <c r="H416" s="134">
        <v>1</v>
      </c>
      <c r="I416" s="136">
        <f t="shared" si="51"/>
        <v>10</v>
      </c>
      <c r="J416" s="135">
        <v>5.5</v>
      </c>
      <c r="K416" s="135">
        <f t="shared" si="52"/>
        <v>55</v>
      </c>
      <c r="L416" s="137" t="s">
        <v>506</v>
      </c>
      <c r="M416" s="131"/>
      <c r="N416" s="132"/>
    </row>
    <row r="417" s="243" customFormat="1" spans="1:14">
      <c r="A417" s="126">
        <v>45449</v>
      </c>
      <c r="B417" s="127">
        <v>18</v>
      </c>
      <c r="C417" s="126">
        <v>45447</v>
      </c>
      <c r="D417" s="126"/>
      <c r="E417" s="126"/>
      <c r="F417" s="131" t="s">
        <v>123</v>
      </c>
      <c r="G417" s="136">
        <v>1</v>
      </c>
      <c r="H417" s="136">
        <v>50</v>
      </c>
      <c r="I417" s="136">
        <f t="shared" si="51"/>
        <v>50</v>
      </c>
      <c r="J417" s="135">
        <v>3.6</v>
      </c>
      <c r="K417" s="135">
        <f t="shared" si="52"/>
        <v>180</v>
      </c>
      <c r="L417" s="235" t="s">
        <v>511</v>
      </c>
      <c r="M417" s="279"/>
      <c r="N417" s="132"/>
    </row>
    <row r="418" s="243" customFormat="1" spans="1:14">
      <c r="A418" s="126">
        <v>45449</v>
      </c>
      <c r="B418" s="127">
        <v>18</v>
      </c>
      <c r="C418" s="126">
        <v>45447</v>
      </c>
      <c r="D418" s="126"/>
      <c r="E418" s="126"/>
      <c r="F418" s="131" t="s">
        <v>122</v>
      </c>
      <c r="G418" s="136">
        <v>1</v>
      </c>
      <c r="H418" s="136">
        <v>25</v>
      </c>
      <c r="I418" s="136">
        <f t="shared" si="51"/>
        <v>25</v>
      </c>
      <c r="J418" s="135">
        <v>8.8</v>
      </c>
      <c r="K418" s="135">
        <f t="shared" si="52"/>
        <v>220</v>
      </c>
      <c r="L418" s="278"/>
      <c r="M418" s="279"/>
      <c r="N418" s="132"/>
    </row>
    <row r="419" s="2" customFormat="1" spans="1:14">
      <c r="A419" s="126">
        <v>45449</v>
      </c>
      <c r="B419" s="127">
        <v>18</v>
      </c>
      <c r="C419" s="126">
        <v>45447</v>
      </c>
      <c r="D419" s="126"/>
      <c r="E419" s="126"/>
      <c r="F419" s="349" t="s">
        <v>475</v>
      </c>
      <c r="G419" s="139">
        <v>1</v>
      </c>
      <c r="H419" s="139">
        <f>SUM(H417:H418)</f>
        <v>75</v>
      </c>
      <c r="I419" s="114">
        <f t="shared" si="51"/>
        <v>75</v>
      </c>
      <c r="J419" s="139">
        <v>0.7</v>
      </c>
      <c r="K419" s="115">
        <f t="shared" si="52"/>
        <v>52.5</v>
      </c>
      <c r="L419" s="137" t="s">
        <v>464</v>
      </c>
      <c r="M419" s="131"/>
      <c r="N419" s="132"/>
    </row>
    <row r="420" s="2" customFormat="1" spans="1:14">
      <c r="A420" s="126">
        <v>45449</v>
      </c>
      <c r="B420" s="127">
        <v>18</v>
      </c>
      <c r="C420" s="126">
        <v>45447</v>
      </c>
      <c r="D420" s="126"/>
      <c r="E420" s="126"/>
      <c r="F420" s="131" t="s">
        <v>477</v>
      </c>
      <c r="G420" s="134">
        <v>5</v>
      </c>
      <c r="H420" s="134">
        <v>1</v>
      </c>
      <c r="I420" s="136">
        <f t="shared" si="51"/>
        <v>5</v>
      </c>
      <c r="J420" s="134">
        <v>12.2</v>
      </c>
      <c r="K420" s="135">
        <f t="shared" si="52"/>
        <v>61</v>
      </c>
      <c r="L420" s="137" t="s">
        <v>506</v>
      </c>
      <c r="M420" s="131"/>
      <c r="N420" s="132"/>
    </row>
    <row r="421" s="2" customFormat="1" spans="1:14">
      <c r="A421" s="126">
        <v>45449</v>
      </c>
      <c r="B421" s="127">
        <v>18</v>
      </c>
      <c r="C421" s="126">
        <v>45447</v>
      </c>
      <c r="D421" s="126"/>
      <c r="E421" s="126"/>
      <c r="F421" s="131" t="s">
        <v>512</v>
      </c>
      <c r="G421" s="134">
        <v>25</v>
      </c>
      <c r="H421" s="134">
        <v>1</v>
      </c>
      <c r="I421" s="136">
        <f t="shared" si="51"/>
        <v>25</v>
      </c>
      <c r="J421" s="135">
        <v>1.2</v>
      </c>
      <c r="K421" s="135">
        <f t="shared" si="52"/>
        <v>30</v>
      </c>
      <c r="L421" s="131">
        <f>SUM(K415:K421)</f>
        <v>1033.5</v>
      </c>
      <c r="M421" s="131"/>
      <c r="N421" s="132"/>
    </row>
    <row r="422" s="1" customFormat="1" spans="1:14">
      <c r="A422" s="51">
        <v>45455</v>
      </c>
      <c r="B422" s="105">
        <v>32</v>
      </c>
      <c r="C422" s="51">
        <v>45454</v>
      </c>
      <c r="D422" s="51"/>
      <c r="E422" s="51"/>
      <c r="F422" s="110" t="s">
        <v>513</v>
      </c>
      <c r="G422" s="107">
        <v>1</v>
      </c>
      <c r="H422" s="107">
        <v>22</v>
      </c>
      <c r="I422" s="108">
        <f t="shared" si="51"/>
        <v>22</v>
      </c>
      <c r="J422" s="109">
        <v>12.5</v>
      </c>
      <c r="K422" s="109">
        <f t="shared" si="52"/>
        <v>275</v>
      </c>
      <c r="L422" s="255" t="s">
        <v>514</v>
      </c>
      <c r="M422" s="110"/>
      <c r="N422" s="110"/>
    </row>
    <row r="423" s="1" customFormat="1" spans="1:14">
      <c r="A423" s="51">
        <v>45455</v>
      </c>
      <c r="B423" s="105">
        <v>32</v>
      </c>
      <c r="C423" s="51">
        <v>45454</v>
      </c>
      <c r="D423" s="51"/>
      <c r="E423" s="51"/>
      <c r="F423" s="110" t="s">
        <v>515</v>
      </c>
      <c r="G423" s="107">
        <v>1</v>
      </c>
      <c r="H423" s="107">
        <v>20</v>
      </c>
      <c r="I423" s="108">
        <f t="shared" si="51"/>
        <v>20</v>
      </c>
      <c r="J423" s="109">
        <v>14.5</v>
      </c>
      <c r="K423" s="109">
        <f t="shared" si="52"/>
        <v>290</v>
      </c>
      <c r="L423" s="255" t="s">
        <v>516</v>
      </c>
      <c r="M423" s="110"/>
      <c r="N423" s="110"/>
    </row>
    <row r="424" s="1" customFormat="1" spans="1:14">
      <c r="A424" s="51">
        <v>45455</v>
      </c>
      <c r="B424" s="105">
        <v>32</v>
      </c>
      <c r="C424" s="51">
        <v>45454</v>
      </c>
      <c r="D424" s="51"/>
      <c r="E424" s="51"/>
      <c r="F424" s="110" t="s">
        <v>517</v>
      </c>
      <c r="G424" s="107">
        <v>2</v>
      </c>
      <c r="H424" s="107">
        <v>15</v>
      </c>
      <c r="I424" s="108">
        <f t="shared" si="51"/>
        <v>30</v>
      </c>
      <c r="J424" s="109">
        <v>9.5</v>
      </c>
      <c r="K424" s="109">
        <f t="shared" si="52"/>
        <v>285</v>
      </c>
      <c r="L424" s="255" t="s">
        <v>518</v>
      </c>
      <c r="M424" s="110"/>
      <c r="N424" s="110"/>
    </row>
    <row r="425" s="330" customFormat="1" spans="1:14">
      <c r="A425" s="389">
        <v>45457</v>
      </c>
      <c r="B425" s="390">
        <v>36</v>
      </c>
      <c r="C425" s="391">
        <v>45456</v>
      </c>
      <c r="D425" s="122"/>
      <c r="E425" s="122"/>
      <c r="F425" s="268" t="s">
        <v>434</v>
      </c>
      <c r="G425" s="122">
        <v>1</v>
      </c>
      <c r="H425" s="122">
        <v>6</v>
      </c>
      <c r="I425" s="122">
        <f t="shared" si="51"/>
        <v>6</v>
      </c>
      <c r="J425" s="123">
        <v>8.8</v>
      </c>
      <c r="K425" s="123">
        <f t="shared" si="52"/>
        <v>52.8</v>
      </c>
      <c r="L425" s="392"/>
      <c r="M425" s="393"/>
      <c r="N425" s="269"/>
    </row>
    <row r="426" s="330" customFormat="1" spans="1:14">
      <c r="A426" s="389">
        <v>45457</v>
      </c>
      <c r="B426" s="390">
        <v>36</v>
      </c>
      <c r="C426" s="391">
        <v>45456</v>
      </c>
      <c r="D426" s="122"/>
      <c r="E426" s="122"/>
      <c r="F426" s="268" t="s">
        <v>122</v>
      </c>
      <c r="G426" s="122">
        <v>1</v>
      </c>
      <c r="H426" s="122">
        <v>24</v>
      </c>
      <c r="I426" s="122">
        <f t="shared" si="51"/>
        <v>24</v>
      </c>
      <c r="J426" s="123">
        <v>8.8</v>
      </c>
      <c r="K426" s="123">
        <f t="shared" si="52"/>
        <v>211.2</v>
      </c>
      <c r="L426" s="392" t="s">
        <v>519</v>
      </c>
      <c r="M426" s="393"/>
      <c r="N426" s="269"/>
    </row>
    <row r="427" s="244" customFormat="1" spans="1:14">
      <c r="A427" s="389">
        <v>45457</v>
      </c>
      <c r="B427" s="390">
        <v>36</v>
      </c>
      <c r="C427" s="391">
        <v>45456</v>
      </c>
      <c r="D427" s="122"/>
      <c r="E427" s="122"/>
      <c r="F427" s="349" t="s">
        <v>317</v>
      </c>
      <c r="G427" s="139">
        <v>1</v>
      </c>
      <c r="H427" s="139">
        <f>SUM(H425:H426)</f>
        <v>30</v>
      </c>
      <c r="I427" s="114">
        <f t="shared" si="51"/>
        <v>30</v>
      </c>
      <c r="J427" s="139">
        <v>0.7</v>
      </c>
      <c r="K427" s="115">
        <f t="shared" si="52"/>
        <v>21</v>
      </c>
      <c r="L427" s="268"/>
      <c r="M427" s="268"/>
      <c r="N427" s="269"/>
    </row>
    <row r="428" s="244" customFormat="1" spans="1:14">
      <c r="A428" s="389">
        <v>45457</v>
      </c>
      <c r="B428" s="390">
        <v>36</v>
      </c>
      <c r="C428" s="391">
        <v>45456</v>
      </c>
      <c r="D428" s="122"/>
      <c r="E428" s="122"/>
      <c r="F428" s="244" t="s">
        <v>520</v>
      </c>
      <c r="G428" s="121">
        <v>2</v>
      </c>
      <c r="H428" s="121">
        <v>1</v>
      </c>
      <c r="I428" s="122">
        <f t="shared" si="51"/>
        <v>2</v>
      </c>
      <c r="J428" s="121"/>
      <c r="K428" s="123"/>
      <c r="L428" s="268"/>
      <c r="M428" s="268"/>
      <c r="N428" s="269"/>
    </row>
    <row r="429" s="248" customFormat="1" spans="1:14">
      <c r="A429" s="368">
        <v>45457</v>
      </c>
      <c r="B429" s="142">
        <v>36</v>
      </c>
      <c r="C429" s="315">
        <v>45456</v>
      </c>
      <c r="D429" s="140"/>
      <c r="E429" s="140"/>
      <c r="F429" s="118" t="s">
        <v>14</v>
      </c>
      <c r="G429" s="140">
        <v>1</v>
      </c>
      <c r="H429" s="140">
        <v>7</v>
      </c>
      <c r="I429" s="140">
        <f t="shared" si="51"/>
        <v>7</v>
      </c>
      <c r="J429" s="130">
        <v>14.5</v>
      </c>
      <c r="K429" s="130">
        <f t="shared" ref="K429:K439" si="53">I429*J429</f>
        <v>101.5</v>
      </c>
      <c r="L429" s="317" t="s">
        <v>521</v>
      </c>
      <c r="M429" s="370"/>
      <c r="N429" s="151" t="s">
        <v>522</v>
      </c>
    </row>
    <row r="430" s="243" customFormat="1" spans="1:14">
      <c r="A430" s="263">
        <v>45457</v>
      </c>
      <c r="B430" s="127">
        <v>36</v>
      </c>
      <c r="C430" s="258">
        <v>45456</v>
      </c>
      <c r="D430" s="136"/>
      <c r="E430" s="136"/>
      <c r="F430" s="131" t="s">
        <v>523</v>
      </c>
      <c r="G430" s="136">
        <v>1</v>
      </c>
      <c r="H430" s="136">
        <v>1</v>
      </c>
      <c r="I430" s="136">
        <f t="shared" si="51"/>
        <v>1</v>
      </c>
      <c r="J430" s="135">
        <v>9</v>
      </c>
      <c r="K430" s="135">
        <f t="shared" si="53"/>
        <v>9</v>
      </c>
      <c r="L430" s="283">
        <f>SUM(K425:K430)</f>
        <v>395.5</v>
      </c>
      <c r="M430" s="279"/>
      <c r="N430" s="132"/>
    </row>
    <row r="431" s="245" customFormat="1" spans="1:14">
      <c r="A431" s="284">
        <v>45472</v>
      </c>
      <c r="B431" s="105">
        <v>88</v>
      </c>
      <c r="C431" s="285">
        <v>45472</v>
      </c>
      <c r="D431" s="108"/>
      <c r="E431" s="108"/>
      <c r="F431" s="110" t="s">
        <v>307</v>
      </c>
      <c r="G431" s="108">
        <v>1</v>
      </c>
      <c r="H431" s="108">
        <v>6</v>
      </c>
      <c r="I431" s="108">
        <f t="shared" si="51"/>
        <v>6</v>
      </c>
      <c r="J431" s="109">
        <v>12.3</v>
      </c>
      <c r="K431" s="109"/>
      <c r="L431" s="288" t="s">
        <v>453</v>
      </c>
      <c r="M431" s="291"/>
      <c r="N431" s="111"/>
    </row>
    <row r="432" s="245" customFormat="1" spans="1:14">
      <c r="A432" s="284">
        <v>45472</v>
      </c>
      <c r="B432" s="105">
        <v>88</v>
      </c>
      <c r="C432" s="285">
        <v>45472</v>
      </c>
      <c r="D432" s="108"/>
      <c r="E432" s="108"/>
      <c r="F432" s="106" t="s">
        <v>120</v>
      </c>
      <c r="G432" s="108">
        <v>1</v>
      </c>
      <c r="H432" s="108">
        <v>0.2</v>
      </c>
      <c r="I432" s="108">
        <f t="shared" si="51"/>
        <v>0.2</v>
      </c>
      <c r="J432" s="109">
        <v>21</v>
      </c>
      <c r="K432" s="109">
        <f t="shared" si="53"/>
        <v>4.2</v>
      </c>
      <c r="L432" s="374"/>
      <c r="M432" s="291"/>
      <c r="N432" s="111"/>
    </row>
    <row r="433" s="245" customFormat="1" spans="1:14">
      <c r="A433" s="284">
        <v>45472</v>
      </c>
      <c r="B433" s="105">
        <v>88</v>
      </c>
      <c r="C433" s="285">
        <v>45472</v>
      </c>
      <c r="D433" s="108"/>
      <c r="E433" s="108"/>
      <c r="F433" s="106" t="s">
        <v>309</v>
      </c>
      <c r="G433" s="108">
        <v>1</v>
      </c>
      <c r="H433" s="108">
        <v>0.6</v>
      </c>
      <c r="I433" s="108">
        <f t="shared" si="51"/>
        <v>0.6</v>
      </c>
      <c r="J433" s="109">
        <v>18</v>
      </c>
      <c r="K433" s="109">
        <f t="shared" si="53"/>
        <v>10.8</v>
      </c>
      <c r="L433" s="288"/>
      <c r="M433" s="291"/>
      <c r="N433" s="111"/>
    </row>
    <row r="434" s="245" customFormat="1" spans="1:14">
      <c r="A434" s="284">
        <v>45472</v>
      </c>
      <c r="B434" s="105">
        <v>88</v>
      </c>
      <c r="C434" s="285">
        <v>45472</v>
      </c>
      <c r="D434" s="108"/>
      <c r="E434" s="108"/>
      <c r="F434" s="110" t="s">
        <v>310</v>
      </c>
      <c r="G434" s="108">
        <v>1</v>
      </c>
      <c r="H434" s="108">
        <v>2</v>
      </c>
      <c r="I434" s="108">
        <f t="shared" si="51"/>
        <v>2</v>
      </c>
      <c r="J434" s="109">
        <v>0.6</v>
      </c>
      <c r="K434" s="109">
        <f t="shared" si="53"/>
        <v>1.2</v>
      </c>
      <c r="L434" s="288"/>
      <c r="M434" s="291"/>
      <c r="N434" s="111"/>
    </row>
    <row r="435" s="245" customFormat="1" spans="1:14">
      <c r="A435" s="284">
        <v>45472</v>
      </c>
      <c r="B435" s="105">
        <v>88</v>
      </c>
      <c r="C435" s="285">
        <v>45472</v>
      </c>
      <c r="D435" s="108"/>
      <c r="E435" s="108"/>
      <c r="F435" s="106" t="s">
        <v>432</v>
      </c>
      <c r="G435" s="108">
        <v>1</v>
      </c>
      <c r="H435" s="108">
        <v>0.2</v>
      </c>
      <c r="I435" s="108">
        <f t="shared" si="51"/>
        <v>0.2</v>
      </c>
      <c r="J435" s="109">
        <v>25</v>
      </c>
      <c r="K435" s="109">
        <f t="shared" si="53"/>
        <v>5</v>
      </c>
      <c r="L435" s="288"/>
      <c r="M435" s="291"/>
      <c r="N435" s="111"/>
    </row>
    <row r="436" s="245" customFormat="1" spans="1:14">
      <c r="A436" s="284">
        <v>45472</v>
      </c>
      <c r="B436" s="105">
        <v>88</v>
      </c>
      <c r="C436" s="285">
        <v>45472</v>
      </c>
      <c r="D436" s="108"/>
      <c r="E436" s="108"/>
      <c r="F436" s="106" t="s">
        <v>123</v>
      </c>
      <c r="G436" s="108">
        <v>1</v>
      </c>
      <c r="H436" s="108">
        <v>1</v>
      </c>
      <c r="I436" s="108">
        <f t="shared" si="51"/>
        <v>1</v>
      </c>
      <c r="J436" s="109">
        <v>3.6</v>
      </c>
      <c r="K436" s="109">
        <f t="shared" si="53"/>
        <v>3.6</v>
      </c>
      <c r="L436" s="288"/>
      <c r="M436" s="291"/>
      <c r="N436" s="111"/>
    </row>
    <row r="437" s="245" customFormat="1" spans="1:14">
      <c r="A437" s="284">
        <v>45472</v>
      </c>
      <c r="B437" s="105">
        <v>88</v>
      </c>
      <c r="C437" s="285">
        <v>45472</v>
      </c>
      <c r="D437" s="108"/>
      <c r="E437" s="108"/>
      <c r="F437" s="254" t="s">
        <v>524</v>
      </c>
      <c r="G437" s="114">
        <v>1</v>
      </c>
      <c r="H437" s="281">
        <f>SUM(H431:H436)</f>
        <v>10</v>
      </c>
      <c r="I437" s="281">
        <f t="shared" si="51"/>
        <v>10</v>
      </c>
      <c r="J437" s="115">
        <v>2.3</v>
      </c>
      <c r="K437" s="115">
        <f t="shared" si="53"/>
        <v>23</v>
      </c>
      <c r="L437" s="288"/>
      <c r="M437" s="291"/>
      <c r="N437" s="111"/>
    </row>
    <row r="438" s="245" customFormat="1" spans="1:14">
      <c r="A438" s="284">
        <v>45472</v>
      </c>
      <c r="B438" s="105">
        <v>88</v>
      </c>
      <c r="C438" s="285">
        <v>45472</v>
      </c>
      <c r="D438" s="108"/>
      <c r="E438" s="108"/>
      <c r="F438" s="110" t="s">
        <v>525</v>
      </c>
      <c r="G438" s="108">
        <v>1</v>
      </c>
      <c r="H438" s="108">
        <v>1</v>
      </c>
      <c r="I438" s="108">
        <f t="shared" si="51"/>
        <v>1</v>
      </c>
      <c r="J438" s="109">
        <v>12.5</v>
      </c>
      <c r="K438" s="109">
        <f t="shared" si="53"/>
        <v>12.5</v>
      </c>
      <c r="L438" s="287">
        <f>SUM(K431:K438)</f>
        <v>60.3</v>
      </c>
      <c r="M438" s="291"/>
      <c r="N438" s="111"/>
    </row>
    <row r="439" s="243" customFormat="1" spans="1:14">
      <c r="A439" s="263">
        <v>45478</v>
      </c>
      <c r="B439" s="127">
        <v>11</v>
      </c>
      <c r="C439" s="258">
        <v>45474</v>
      </c>
      <c r="D439" s="136"/>
      <c r="E439" s="136"/>
      <c r="F439" s="131" t="s">
        <v>416</v>
      </c>
      <c r="G439" s="136">
        <v>1</v>
      </c>
      <c r="H439" s="136">
        <v>22</v>
      </c>
      <c r="I439" s="136">
        <f t="shared" si="51"/>
        <v>22</v>
      </c>
      <c r="J439" s="135">
        <v>12.6</v>
      </c>
      <c r="K439" s="135">
        <f t="shared" si="53"/>
        <v>277.2</v>
      </c>
      <c r="L439" s="278" t="s">
        <v>453</v>
      </c>
      <c r="M439" s="279"/>
    </row>
    <row r="440" s="243" customFormat="1" spans="1:14">
      <c r="A440" s="263">
        <v>45475</v>
      </c>
      <c r="B440" s="127">
        <v>11</v>
      </c>
      <c r="C440" s="258">
        <v>45474</v>
      </c>
      <c r="D440" s="136"/>
      <c r="E440" s="136"/>
      <c r="F440" s="133" t="s">
        <v>398</v>
      </c>
      <c r="G440" s="136">
        <v>1</v>
      </c>
      <c r="H440" s="136">
        <v>0.8</v>
      </c>
      <c r="I440" s="136">
        <f t="shared" si="51"/>
        <v>0.8</v>
      </c>
      <c r="J440" s="135">
        <v>21</v>
      </c>
      <c r="K440" s="135">
        <f t="shared" ref="K440:K472" si="54">I440*J440</f>
        <v>16.8</v>
      </c>
      <c r="L440" s="278"/>
      <c r="M440" s="279"/>
    </row>
    <row r="441" s="243" customFormat="1" spans="1:14">
      <c r="A441" s="263">
        <v>45475</v>
      </c>
      <c r="B441" s="127">
        <v>11</v>
      </c>
      <c r="C441" s="258">
        <v>45474</v>
      </c>
      <c r="D441" s="136"/>
      <c r="E441" s="136"/>
      <c r="F441" s="131" t="s">
        <v>310</v>
      </c>
      <c r="G441" s="136">
        <v>1</v>
      </c>
      <c r="H441" s="136">
        <v>2.3</v>
      </c>
      <c r="I441" s="136">
        <f t="shared" si="51"/>
        <v>2.3</v>
      </c>
      <c r="J441" s="135">
        <v>0.6</v>
      </c>
      <c r="K441" s="135">
        <f t="shared" si="54"/>
        <v>1.38</v>
      </c>
      <c r="L441" s="278"/>
      <c r="M441" s="279"/>
    </row>
    <row r="442" s="243" customFormat="1" spans="1:14">
      <c r="A442" s="263">
        <v>45475</v>
      </c>
      <c r="B442" s="127">
        <v>11</v>
      </c>
      <c r="C442" s="258">
        <v>45474</v>
      </c>
      <c r="D442" s="136"/>
      <c r="E442" s="136"/>
      <c r="F442" s="131" t="s">
        <v>311</v>
      </c>
      <c r="G442" s="136">
        <v>1</v>
      </c>
      <c r="H442" s="136">
        <v>2.5</v>
      </c>
      <c r="I442" s="136">
        <f t="shared" si="51"/>
        <v>2.5</v>
      </c>
      <c r="J442" s="135">
        <v>8.8</v>
      </c>
      <c r="K442" s="135">
        <f t="shared" si="54"/>
        <v>22</v>
      </c>
      <c r="L442" s="278"/>
      <c r="M442" s="279"/>
    </row>
    <row r="443" s="243" customFormat="1" spans="1:14">
      <c r="A443" s="263">
        <v>45475</v>
      </c>
      <c r="B443" s="127">
        <v>11</v>
      </c>
      <c r="C443" s="258">
        <v>45474</v>
      </c>
      <c r="D443" s="136"/>
      <c r="E443" s="136"/>
      <c r="F443" s="131" t="s">
        <v>312</v>
      </c>
      <c r="G443" s="136">
        <v>1</v>
      </c>
      <c r="H443" s="136">
        <v>2</v>
      </c>
      <c r="I443" s="136">
        <f t="shared" si="51"/>
        <v>2</v>
      </c>
      <c r="J443" s="135">
        <v>3.8</v>
      </c>
      <c r="K443" s="135">
        <f t="shared" si="54"/>
        <v>7.6</v>
      </c>
      <c r="L443" s="278"/>
      <c r="M443" s="279"/>
    </row>
    <row r="444" s="243" customFormat="1" spans="1:14">
      <c r="A444" s="263">
        <v>45475</v>
      </c>
      <c r="B444" s="127">
        <v>11</v>
      </c>
      <c r="C444" s="258">
        <v>45474</v>
      </c>
      <c r="D444" s="136"/>
      <c r="E444" s="136"/>
      <c r="F444" s="131" t="s">
        <v>417</v>
      </c>
      <c r="G444" s="136">
        <v>1</v>
      </c>
      <c r="H444" s="136">
        <v>2</v>
      </c>
      <c r="I444" s="136">
        <f t="shared" si="51"/>
        <v>2</v>
      </c>
      <c r="J444" s="135">
        <v>18</v>
      </c>
      <c r="K444" s="135">
        <f t="shared" si="54"/>
        <v>36</v>
      </c>
      <c r="L444" s="310" t="s">
        <v>526</v>
      </c>
      <c r="M444" s="279"/>
    </row>
    <row r="445" s="243" customFormat="1" spans="1:14">
      <c r="A445" s="263">
        <v>45475</v>
      </c>
      <c r="B445" s="127">
        <v>11</v>
      </c>
      <c r="C445" s="258">
        <v>45474</v>
      </c>
      <c r="D445" s="136"/>
      <c r="E445" s="136"/>
      <c r="F445" s="131" t="s">
        <v>527</v>
      </c>
      <c r="G445" s="136">
        <v>1</v>
      </c>
      <c r="H445" s="136">
        <v>1.5</v>
      </c>
      <c r="I445" s="136">
        <f t="shared" si="51"/>
        <v>1.5</v>
      </c>
      <c r="J445" s="135">
        <v>45</v>
      </c>
      <c r="K445" s="135">
        <f t="shared" si="54"/>
        <v>67.5</v>
      </c>
      <c r="L445" s="310" t="s">
        <v>528</v>
      </c>
      <c r="M445" s="279"/>
    </row>
    <row r="446" s="243" customFormat="1" spans="1:14">
      <c r="A446" s="263">
        <v>45475</v>
      </c>
      <c r="B446" s="127">
        <v>11</v>
      </c>
      <c r="C446" s="258">
        <v>45474</v>
      </c>
      <c r="D446" s="136"/>
      <c r="E446" s="136"/>
      <c r="F446" s="131" t="s">
        <v>529</v>
      </c>
      <c r="G446" s="136">
        <v>1</v>
      </c>
      <c r="H446" s="136">
        <v>1.4</v>
      </c>
      <c r="I446" s="136">
        <f t="shared" si="51"/>
        <v>1.4</v>
      </c>
      <c r="J446" s="135">
        <v>25</v>
      </c>
      <c r="K446" s="135">
        <f t="shared" si="54"/>
        <v>35</v>
      </c>
      <c r="L446" s="310" t="s">
        <v>530</v>
      </c>
      <c r="M446" s="279"/>
    </row>
    <row r="447" s="243" customFormat="1" spans="1:14">
      <c r="A447" s="263">
        <v>45475</v>
      </c>
      <c r="B447" s="127">
        <v>11</v>
      </c>
      <c r="C447" s="258">
        <v>45474</v>
      </c>
      <c r="D447" s="136"/>
      <c r="E447" s="136"/>
      <c r="F447" s="131" t="s">
        <v>531</v>
      </c>
      <c r="G447" s="136">
        <v>1</v>
      </c>
      <c r="H447" s="136">
        <v>1.8</v>
      </c>
      <c r="I447" s="136">
        <f t="shared" si="51"/>
        <v>1.8</v>
      </c>
      <c r="J447" s="135">
        <v>45</v>
      </c>
      <c r="K447" s="135">
        <f t="shared" si="54"/>
        <v>81</v>
      </c>
      <c r="L447" s="310" t="s">
        <v>532</v>
      </c>
      <c r="M447" s="279"/>
    </row>
    <row r="448" s="243" customFormat="1" spans="1:14">
      <c r="A448" s="263">
        <v>45475</v>
      </c>
      <c r="B448" s="127">
        <v>11</v>
      </c>
      <c r="C448" s="258">
        <v>45474</v>
      </c>
      <c r="D448" s="136"/>
      <c r="E448" s="136"/>
      <c r="F448" s="131" t="s">
        <v>533</v>
      </c>
      <c r="G448" s="136">
        <v>1</v>
      </c>
      <c r="H448" s="136">
        <v>0.2</v>
      </c>
      <c r="I448" s="136">
        <f t="shared" si="51"/>
        <v>0.2</v>
      </c>
      <c r="J448" s="135">
        <v>25</v>
      </c>
      <c r="K448" s="135">
        <f t="shared" si="54"/>
        <v>5</v>
      </c>
      <c r="L448" s="310" t="s">
        <v>534</v>
      </c>
      <c r="M448" s="279"/>
    </row>
    <row r="449" s="243" customFormat="1" spans="1:14">
      <c r="A449" s="263">
        <v>45475</v>
      </c>
      <c r="B449" s="127">
        <v>11</v>
      </c>
      <c r="C449" s="258">
        <v>45474</v>
      </c>
      <c r="D449" s="136"/>
      <c r="E449" s="136"/>
      <c r="F449" s="349" t="s">
        <v>535</v>
      </c>
      <c r="G449" s="114">
        <v>1</v>
      </c>
      <c r="H449" s="114">
        <f>SUM(H439:H448)</f>
        <v>36.5</v>
      </c>
      <c r="I449" s="114">
        <f t="shared" si="51"/>
        <v>36.5</v>
      </c>
      <c r="J449" s="115">
        <v>2.3</v>
      </c>
      <c r="K449" s="135">
        <f t="shared" si="54"/>
        <v>83.95</v>
      </c>
      <c r="L449" s="278"/>
      <c r="M449" s="279"/>
    </row>
    <row r="450" s="243" customFormat="1" spans="1:14">
      <c r="A450" s="263">
        <v>45475</v>
      </c>
      <c r="B450" s="127">
        <v>11</v>
      </c>
      <c r="C450" s="258">
        <v>45474</v>
      </c>
      <c r="D450" s="136"/>
      <c r="E450" s="136"/>
      <c r="F450" s="365" t="s">
        <v>423</v>
      </c>
      <c r="G450" s="136">
        <v>1</v>
      </c>
      <c r="H450" s="136">
        <v>1</v>
      </c>
      <c r="I450" s="136">
        <f t="shared" si="51"/>
        <v>1</v>
      </c>
      <c r="J450" s="135">
        <v>12.5</v>
      </c>
      <c r="K450" s="135">
        <f t="shared" si="54"/>
        <v>12.5</v>
      </c>
      <c r="L450" s="278"/>
      <c r="M450" s="279"/>
    </row>
    <row r="451" s="243" customFormat="1" spans="1:14">
      <c r="A451" s="263">
        <v>45475</v>
      </c>
      <c r="B451" s="127">
        <v>11</v>
      </c>
      <c r="C451" s="258">
        <v>45474</v>
      </c>
      <c r="D451" s="136"/>
      <c r="E451" s="136"/>
      <c r="F451" s="365" t="s">
        <v>536</v>
      </c>
      <c r="G451" s="136">
        <v>1</v>
      </c>
      <c r="H451" s="136">
        <v>1</v>
      </c>
      <c r="I451" s="136">
        <f t="shared" si="51"/>
        <v>1</v>
      </c>
      <c r="J451" s="135">
        <v>2.5</v>
      </c>
      <c r="K451" s="135">
        <f t="shared" si="54"/>
        <v>2.5</v>
      </c>
      <c r="L451" s="278"/>
      <c r="M451" s="279"/>
    </row>
    <row r="452" s="243" customFormat="1" spans="1:14">
      <c r="A452" s="263">
        <v>45475</v>
      </c>
      <c r="B452" s="127">
        <v>11</v>
      </c>
      <c r="C452" s="258">
        <v>45474</v>
      </c>
      <c r="D452" s="136"/>
      <c r="E452" s="136"/>
      <c r="F452" s="365" t="s">
        <v>537</v>
      </c>
      <c r="G452" s="136">
        <v>3</v>
      </c>
      <c r="H452" s="136">
        <v>1</v>
      </c>
      <c r="I452" s="136">
        <f t="shared" si="51"/>
        <v>3</v>
      </c>
      <c r="J452" s="135">
        <v>7</v>
      </c>
      <c r="K452" s="135">
        <f t="shared" si="54"/>
        <v>21</v>
      </c>
      <c r="L452" s="278"/>
      <c r="M452" s="279"/>
    </row>
    <row r="453" s="243" customFormat="1" spans="1:14">
      <c r="A453" s="263">
        <v>45475</v>
      </c>
      <c r="B453" s="127">
        <v>11</v>
      </c>
      <c r="C453" s="258">
        <v>45474</v>
      </c>
      <c r="D453" s="136"/>
      <c r="E453" s="136"/>
      <c r="F453" s="394" t="s">
        <v>424</v>
      </c>
      <c r="G453" s="136">
        <v>1</v>
      </c>
      <c r="H453" s="136">
        <v>7</v>
      </c>
      <c r="I453" s="136">
        <f t="shared" si="51"/>
        <v>7</v>
      </c>
      <c r="J453" s="135">
        <v>14.5</v>
      </c>
      <c r="K453" s="135">
        <f t="shared" si="54"/>
        <v>101.5</v>
      </c>
      <c r="L453" s="278">
        <f>SUM(K439:K453)</f>
        <v>770.93</v>
      </c>
      <c r="M453" s="279" t="s">
        <v>538</v>
      </c>
      <c r="N453" s="259"/>
    </row>
    <row r="454" s="248" customFormat="1" spans="1:14">
      <c r="A454" s="368">
        <v>45478</v>
      </c>
      <c r="B454" s="142" t="s">
        <v>539</v>
      </c>
      <c r="C454" s="315">
        <v>45475</v>
      </c>
      <c r="D454" s="140"/>
      <c r="E454" s="140"/>
      <c r="F454" s="248" t="s">
        <v>540</v>
      </c>
      <c r="G454" s="140">
        <v>1</v>
      </c>
      <c r="H454" s="140">
        <v>5</v>
      </c>
      <c r="I454" s="140">
        <f t="shared" si="51"/>
        <v>5</v>
      </c>
      <c r="J454" s="130">
        <v>8.8</v>
      </c>
      <c r="K454" s="130">
        <f t="shared" si="54"/>
        <v>44</v>
      </c>
      <c r="L454" s="395" t="s">
        <v>541</v>
      </c>
      <c r="M454" s="395"/>
      <c r="N454" s="151"/>
    </row>
    <row r="455" s="245" customFormat="1" spans="1:14">
      <c r="A455" s="284">
        <v>45478</v>
      </c>
      <c r="B455" s="105" t="s">
        <v>539</v>
      </c>
      <c r="C455" s="285">
        <v>45478</v>
      </c>
      <c r="D455" s="108"/>
      <c r="E455" s="108"/>
      <c r="F455" s="245" t="s">
        <v>122</v>
      </c>
      <c r="G455" s="108">
        <v>1</v>
      </c>
      <c r="H455" s="108">
        <v>24</v>
      </c>
      <c r="I455" s="108">
        <f t="shared" si="51"/>
        <v>24</v>
      </c>
      <c r="J455" s="109">
        <v>8.8</v>
      </c>
      <c r="K455" s="109">
        <f t="shared" si="54"/>
        <v>211.2</v>
      </c>
      <c r="L455" s="286"/>
      <c r="M455" s="286"/>
    </row>
    <row r="456" s="245" customFormat="1" spans="1:14">
      <c r="A456" s="284">
        <v>45478</v>
      </c>
      <c r="B456" s="105" t="s">
        <v>539</v>
      </c>
      <c r="C456" s="285">
        <v>45478</v>
      </c>
      <c r="D456" s="108"/>
      <c r="E456" s="108"/>
      <c r="F456" s="245" t="s">
        <v>434</v>
      </c>
      <c r="G456" s="108">
        <v>1</v>
      </c>
      <c r="H456" s="108">
        <v>8</v>
      </c>
      <c r="I456" s="108">
        <f t="shared" si="51"/>
        <v>8</v>
      </c>
      <c r="J456" s="109">
        <v>8.8</v>
      </c>
      <c r="K456" s="109">
        <f t="shared" si="54"/>
        <v>70.4</v>
      </c>
      <c r="L456" s="286"/>
      <c r="M456" s="286"/>
    </row>
    <row r="457" s="245" customFormat="1" spans="1:14">
      <c r="A457" s="284">
        <v>45478</v>
      </c>
      <c r="B457" s="105" t="s">
        <v>539</v>
      </c>
      <c r="C457" s="285">
        <v>45478</v>
      </c>
      <c r="D457" s="108"/>
      <c r="E457" s="108"/>
      <c r="F457" s="245" t="s">
        <v>123</v>
      </c>
      <c r="G457" s="108">
        <v>1</v>
      </c>
      <c r="H457" s="108">
        <v>28</v>
      </c>
      <c r="I457" s="108">
        <f t="shared" si="51"/>
        <v>28</v>
      </c>
      <c r="J457" s="109">
        <v>3.8</v>
      </c>
      <c r="K457" s="109">
        <f t="shared" si="54"/>
        <v>106.4</v>
      </c>
      <c r="L457" s="286"/>
      <c r="M457" s="286"/>
    </row>
    <row r="458" s="245" customFormat="1" spans="1:14">
      <c r="A458" s="284">
        <v>45478</v>
      </c>
      <c r="B458" s="105" t="s">
        <v>539</v>
      </c>
      <c r="C458" s="285">
        <v>45478</v>
      </c>
      <c r="D458" s="108"/>
      <c r="E458" s="108"/>
      <c r="F458" s="247" t="s">
        <v>542</v>
      </c>
      <c r="G458" s="114">
        <v>1</v>
      </c>
      <c r="H458" s="114">
        <f>SUM(H455:H457)</f>
        <v>60</v>
      </c>
      <c r="I458" s="114">
        <f t="shared" si="51"/>
        <v>60</v>
      </c>
      <c r="J458" s="115">
        <v>0.7</v>
      </c>
      <c r="K458" s="115">
        <f t="shared" si="54"/>
        <v>42</v>
      </c>
      <c r="L458" s="286"/>
      <c r="M458" s="286">
        <f>SUM(K455:K458)</f>
        <v>430</v>
      </c>
    </row>
    <row r="459" s="245" customFormat="1" spans="1:14">
      <c r="A459" s="284">
        <v>45478</v>
      </c>
      <c r="B459" s="105" t="s">
        <v>539</v>
      </c>
      <c r="C459" s="285">
        <v>45478</v>
      </c>
      <c r="D459" s="108"/>
      <c r="E459" s="108"/>
      <c r="F459" s="243" t="s">
        <v>123</v>
      </c>
      <c r="G459" s="136">
        <v>1</v>
      </c>
      <c r="H459" s="136">
        <v>15</v>
      </c>
      <c r="I459" s="136">
        <f t="shared" si="51"/>
        <v>15</v>
      </c>
      <c r="J459" s="135">
        <v>3.8</v>
      </c>
      <c r="K459" s="135">
        <f t="shared" si="54"/>
        <v>57</v>
      </c>
      <c r="L459" s="286"/>
      <c r="M459" s="286"/>
    </row>
    <row r="460" s="245" customFormat="1" spans="1:14">
      <c r="A460" s="284">
        <v>45478</v>
      </c>
      <c r="B460" s="105" t="s">
        <v>539</v>
      </c>
      <c r="C460" s="285">
        <v>45478</v>
      </c>
      <c r="D460" s="108"/>
      <c r="E460" s="108"/>
      <c r="F460" s="243" t="s">
        <v>543</v>
      </c>
      <c r="G460" s="136">
        <v>1</v>
      </c>
      <c r="H460" s="136">
        <v>15</v>
      </c>
      <c r="I460" s="136">
        <f t="shared" si="51"/>
        <v>15</v>
      </c>
      <c r="J460" s="135">
        <v>3.8</v>
      </c>
      <c r="K460" s="135">
        <f t="shared" si="54"/>
        <v>57</v>
      </c>
      <c r="L460" s="286"/>
      <c r="M460" s="286"/>
    </row>
    <row r="461" s="245" customFormat="1" spans="1:14">
      <c r="A461" s="284">
        <v>45478</v>
      </c>
      <c r="B461" s="105" t="s">
        <v>539</v>
      </c>
      <c r="C461" s="285">
        <v>45478</v>
      </c>
      <c r="D461" s="108"/>
      <c r="E461" s="108"/>
      <c r="F461" s="247" t="s">
        <v>544</v>
      </c>
      <c r="G461" s="114">
        <v>1</v>
      </c>
      <c r="H461" s="114">
        <f>SUM(H459:H460)</f>
        <v>30</v>
      </c>
      <c r="I461" s="114">
        <f t="shared" si="51"/>
        <v>30</v>
      </c>
      <c r="J461" s="115">
        <v>0.7</v>
      </c>
      <c r="K461" s="115">
        <f t="shared" si="54"/>
        <v>21</v>
      </c>
      <c r="L461" s="286"/>
      <c r="M461" s="286"/>
    </row>
    <row r="462" s="245" customFormat="1" spans="1:14">
      <c r="A462" s="284">
        <v>45478</v>
      </c>
      <c r="B462" s="105" t="s">
        <v>539</v>
      </c>
      <c r="C462" s="285">
        <v>45478</v>
      </c>
      <c r="D462" s="108"/>
      <c r="E462" s="108"/>
      <c r="F462" s="243" t="s">
        <v>545</v>
      </c>
      <c r="G462" s="136">
        <v>6</v>
      </c>
      <c r="H462" s="136">
        <v>1</v>
      </c>
      <c r="I462" s="136">
        <f t="shared" si="51"/>
        <v>6</v>
      </c>
      <c r="J462" s="135">
        <v>12</v>
      </c>
      <c r="K462" s="135">
        <f t="shared" si="54"/>
        <v>72</v>
      </c>
      <c r="L462" s="286">
        <f>SUM(K454:K462)</f>
        <v>681</v>
      </c>
      <c r="M462" s="286"/>
    </row>
    <row r="463" s="261" customFormat="1" spans="1:14">
      <c r="A463" s="363">
        <v>45481</v>
      </c>
      <c r="B463" s="273">
        <v>24</v>
      </c>
      <c r="C463" s="320">
        <v>45480</v>
      </c>
      <c r="D463" s="274"/>
      <c r="E463" s="274"/>
      <c r="F463" s="396" t="s">
        <v>546</v>
      </c>
      <c r="G463" s="397">
        <v>1</v>
      </c>
      <c r="H463" s="274">
        <v>3</v>
      </c>
      <c r="I463" s="274">
        <f t="shared" si="51"/>
        <v>3</v>
      </c>
      <c r="J463" s="275">
        <v>13</v>
      </c>
      <c r="K463" s="275">
        <f t="shared" si="54"/>
        <v>39</v>
      </c>
      <c r="L463" s="274" t="s">
        <v>547</v>
      </c>
      <c r="M463" s="275"/>
      <c r="N463" s="275"/>
    </row>
    <row r="464" s="261" customFormat="1" spans="1:14">
      <c r="A464" s="363">
        <v>45481</v>
      </c>
      <c r="B464" s="273">
        <v>24</v>
      </c>
      <c r="C464" s="320">
        <v>45480</v>
      </c>
      <c r="D464" s="274"/>
      <c r="E464" s="274"/>
      <c r="F464" s="396" t="s">
        <v>548</v>
      </c>
      <c r="G464" s="397">
        <v>1</v>
      </c>
      <c r="H464" s="274">
        <v>1</v>
      </c>
      <c r="I464" s="274">
        <f t="shared" si="51"/>
        <v>1</v>
      </c>
      <c r="J464" s="275">
        <v>6</v>
      </c>
      <c r="K464" s="275">
        <f t="shared" si="54"/>
        <v>6</v>
      </c>
      <c r="L464" s="274" t="s">
        <v>547</v>
      </c>
      <c r="M464" s="275"/>
      <c r="N464" s="275"/>
    </row>
    <row r="465" s="245" customFormat="1" spans="1:14">
      <c r="A465" s="284">
        <v>45502</v>
      </c>
      <c r="B465" s="105">
        <v>90</v>
      </c>
      <c r="C465" s="285">
        <v>45500</v>
      </c>
      <c r="D465" s="108"/>
      <c r="E465" s="108"/>
      <c r="F465" s="286">
        <v>9122</v>
      </c>
      <c r="G465" s="108">
        <v>1</v>
      </c>
      <c r="H465" s="108">
        <v>1.8</v>
      </c>
      <c r="I465" s="108">
        <f t="shared" si="51"/>
        <v>1.8</v>
      </c>
      <c r="J465" s="109"/>
      <c r="K465" s="109"/>
      <c r="L465" s="108"/>
      <c r="M465" s="109"/>
      <c r="N465" s="109"/>
    </row>
    <row r="466" s="245" customFormat="1" spans="1:14">
      <c r="A466" s="284">
        <v>45502</v>
      </c>
      <c r="B466" s="105">
        <v>90</v>
      </c>
      <c r="C466" s="285">
        <v>45500</v>
      </c>
      <c r="D466" s="108"/>
      <c r="E466" s="108"/>
      <c r="F466" s="286" t="s">
        <v>120</v>
      </c>
      <c r="G466" s="108">
        <v>1</v>
      </c>
      <c r="H466" s="108">
        <v>0.1</v>
      </c>
      <c r="I466" s="108">
        <f t="shared" si="51"/>
        <v>0.1</v>
      </c>
      <c r="J466" s="109">
        <v>21</v>
      </c>
      <c r="K466" s="109">
        <f t="shared" si="54"/>
        <v>2.1</v>
      </c>
      <c r="L466" s="108"/>
      <c r="M466" s="109"/>
      <c r="N466" s="109"/>
    </row>
    <row r="467" s="245" customFormat="1" spans="1:14">
      <c r="A467" s="284">
        <v>45502</v>
      </c>
      <c r="B467" s="105">
        <v>90</v>
      </c>
      <c r="C467" s="285">
        <v>45500</v>
      </c>
      <c r="D467" s="108"/>
      <c r="E467" s="108"/>
      <c r="F467" s="286" t="s">
        <v>309</v>
      </c>
      <c r="G467" s="108">
        <v>1</v>
      </c>
      <c r="H467" s="108">
        <v>0.5</v>
      </c>
      <c r="I467" s="108">
        <f t="shared" si="51"/>
        <v>0.5</v>
      </c>
      <c r="J467" s="109">
        <v>18</v>
      </c>
      <c r="K467" s="109">
        <f t="shared" si="54"/>
        <v>9</v>
      </c>
      <c r="L467" s="108"/>
      <c r="M467" s="109"/>
      <c r="N467" s="109"/>
    </row>
    <row r="468" s="245" customFormat="1" spans="1:14">
      <c r="A468" s="284">
        <v>45502</v>
      </c>
      <c r="B468" s="105">
        <v>90</v>
      </c>
      <c r="C468" s="285">
        <v>45500</v>
      </c>
      <c r="D468" s="108"/>
      <c r="E468" s="108"/>
      <c r="F468" s="286" t="s">
        <v>549</v>
      </c>
      <c r="G468" s="108">
        <v>1</v>
      </c>
      <c r="H468" s="108">
        <v>0.5</v>
      </c>
      <c r="I468" s="108">
        <f t="shared" si="51"/>
        <v>0.5</v>
      </c>
      <c r="J468" s="109">
        <v>0.6</v>
      </c>
      <c r="K468" s="109">
        <f t="shared" si="54"/>
        <v>0.3</v>
      </c>
      <c r="L468" s="108"/>
      <c r="M468" s="109"/>
      <c r="N468" s="109"/>
    </row>
    <row r="469" s="245" customFormat="1" spans="1:14">
      <c r="A469" s="284">
        <v>45502</v>
      </c>
      <c r="B469" s="105">
        <v>90</v>
      </c>
      <c r="C469" s="285">
        <v>45500</v>
      </c>
      <c r="D469" s="108"/>
      <c r="E469" s="108"/>
      <c r="F469" s="286" t="s">
        <v>122</v>
      </c>
      <c r="G469" s="108">
        <v>1</v>
      </c>
      <c r="H469" s="108">
        <v>1.1</v>
      </c>
      <c r="I469" s="108">
        <f t="shared" si="51"/>
        <v>1.1</v>
      </c>
      <c r="J469" s="109">
        <v>8.8</v>
      </c>
      <c r="K469" s="109">
        <f t="shared" si="54"/>
        <v>9.68</v>
      </c>
      <c r="L469" s="108"/>
      <c r="M469" s="109"/>
      <c r="N469" s="109"/>
    </row>
    <row r="470" s="245" customFormat="1" spans="1:14">
      <c r="A470" s="284">
        <v>45502</v>
      </c>
      <c r="B470" s="105">
        <v>90</v>
      </c>
      <c r="C470" s="285">
        <v>45500</v>
      </c>
      <c r="D470" s="108"/>
      <c r="E470" s="108"/>
      <c r="F470" s="286" t="s">
        <v>123</v>
      </c>
      <c r="G470" s="108">
        <v>1</v>
      </c>
      <c r="H470" s="108">
        <v>1</v>
      </c>
      <c r="I470" s="108">
        <f t="shared" si="51"/>
        <v>1</v>
      </c>
      <c r="J470" s="109">
        <v>3.6</v>
      </c>
      <c r="K470" s="109">
        <f t="shared" si="54"/>
        <v>3.6</v>
      </c>
      <c r="L470" s="108"/>
      <c r="M470" s="109"/>
      <c r="N470" s="109"/>
    </row>
    <row r="471" s="245" customFormat="1" spans="1:14">
      <c r="A471" s="284">
        <v>45502</v>
      </c>
      <c r="B471" s="105">
        <v>90</v>
      </c>
      <c r="C471" s="285">
        <v>45500</v>
      </c>
      <c r="D471" s="108"/>
      <c r="E471" s="108"/>
      <c r="F471" s="398" t="s">
        <v>401</v>
      </c>
      <c r="G471" s="114">
        <v>1</v>
      </c>
      <c r="H471" s="114">
        <f>SUM(H465:H470)</f>
        <v>5</v>
      </c>
      <c r="I471" s="114">
        <f t="shared" si="51"/>
        <v>5</v>
      </c>
      <c r="J471" s="115">
        <v>2.3</v>
      </c>
      <c r="K471" s="115">
        <f t="shared" si="54"/>
        <v>11.5</v>
      </c>
      <c r="L471" s="108"/>
      <c r="M471" s="109"/>
      <c r="N471" s="109"/>
    </row>
    <row r="472" s="245" customFormat="1" spans="1:14">
      <c r="A472" s="284">
        <v>45502</v>
      </c>
      <c r="B472" s="105">
        <v>90</v>
      </c>
      <c r="C472" s="285">
        <v>45500</v>
      </c>
      <c r="D472" s="108"/>
      <c r="E472" s="108"/>
      <c r="F472" s="286" t="s">
        <v>550</v>
      </c>
      <c r="G472" s="108">
        <v>1</v>
      </c>
      <c r="H472" s="108">
        <v>1</v>
      </c>
      <c r="I472" s="108">
        <f t="shared" si="51"/>
        <v>1</v>
      </c>
      <c r="J472" s="109">
        <v>5.5</v>
      </c>
      <c r="K472" s="109">
        <f t="shared" si="54"/>
        <v>5.5</v>
      </c>
      <c r="L472" s="108">
        <f>SUM(K465:K472)</f>
        <v>41.68</v>
      </c>
      <c r="M472" s="109"/>
      <c r="N472" s="109"/>
    </row>
    <row r="473" s="261" customFormat="1" spans="1:14">
      <c r="A473" s="363">
        <v>45499</v>
      </c>
      <c r="B473" s="273" t="s">
        <v>551</v>
      </c>
      <c r="C473" s="320" t="s">
        <v>552</v>
      </c>
      <c r="D473" s="274"/>
      <c r="E473" s="274"/>
      <c r="F473" s="396" t="s">
        <v>553</v>
      </c>
      <c r="G473" s="397"/>
      <c r="H473" s="274"/>
      <c r="I473" s="274"/>
      <c r="J473" s="275"/>
      <c r="K473" s="275"/>
      <c r="L473" s="274"/>
      <c r="M473" s="275"/>
      <c r="N473" s="275"/>
    </row>
    <row r="474" s="261" customFormat="1" spans="1:14">
      <c r="A474" s="363">
        <v>45499</v>
      </c>
      <c r="B474" s="273" t="s">
        <v>551</v>
      </c>
      <c r="C474" s="320" t="s">
        <v>554</v>
      </c>
      <c r="D474" s="274"/>
      <c r="E474" s="274"/>
      <c r="F474" s="396" t="s">
        <v>555</v>
      </c>
      <c r="G474" s="397"/>
      <c r="H474" s="274"/>
      <c r="I474" s="274"/>
      <c r="J474" s="275"/>
      <c r="K474" s="275"/>
      <c r="L474" s="274"/>
      <c r="M474" s="275"/>
      <c r="N474" s="275"/>
    </row>
    <row r="475" s="261" customFormat="1" spans="1:14">
      <c r="A475" s="363">
        <v>45499</v>
      </c>
      <c r="B475" s="273" t="s">
        <v>551</v>
      </c>
      <c r="C475" s="320" t="s">
        <v>556</v>
      </c>
      <c r="D475" s="274"/>
      <c r="E475" s="274"/>
      <c r="F475" s="396" t="s">
        <v>557</v>
      </c>
      <c r="G475" s="397"/>
      <c r="H475" s="274"/>
      <c r="I475" s="274"/>
      <c r="J475" s="275"/>
      <c r="K475" s="275"/>
      <c r="L475" s="274"/>
      <c r="M475" s="275"/>
      <c r="N475" s="275"/>
    </row>
    <row r="476" s="245" customFormat="1" spans="1:14">
      <c r="A476" s="284">
        <v>45502</v>
      </c>
      <c r="B476" s="105" t="s">
        <v>551</v>
      </c>
      <c r="C476" s="285" t="s">
        <v>558</v>
      </c>
      <c r="D476" s="108"/>
      <c r="E476" s="108"/>
      <c r="F476" s="286" t="s">
        <v>559</v>
      </c>
      <c r="G476" s="399"/>
      <c r="H476" s="108"/>
      <c r="I476" s="108"/>
      <c r="J476" s="109"/>
      <c r="K476" s="109"/>
      <c r="L476" s="108"/>
      <c r="M476" s="109"/>
      <c r="N476" s="109"/>
    </row>
    <row r="477" s="245" customFormat="1" spans="1:14">
      <c r="A477" s="284">
        <v>45502</v>
      </c>
      <c r="B477" s="105" t="s">
        <v>551</v>
      </c>
      <c r="C477" s="285" t="s">
        <v>560</v>
      </c>
      <c r="D477" s="108"/>
      <c r="E477" s="108"/>
      <c r="F477" s="286" t="s">
        <v>561</v>
      </c>
      <c r="G477" s="399"/>
      <c r="H477" s="108"/>
      <c r="I477" s="108"/>
      <c r="J477" s="109"/>
      <c r="K477" s="109"/>
      <c r="L477" s="108"/>
      <c r="M477" s="109"/>
      <c r="N477" s="109"/>
    </row>
    <row r="478" s="245" customFormat="1" spans="1:14">
      <c r="A478" s="284">
        <v>45502</v>
      </c>
      <c r="B478" s="105" t="s">
        <v>551</v>
      </c>
      <c r="C478" s="285" t="s">
        <v>554</v>
      </c>
      <c r="D478" s="108"/>
      <c r="E478" s="108"/>
      <c r="F478" s="286" t="s">
        <v>562</v>
      </c>
      <c r="G478" s="399"/>
      <c r="H478" s="108"/>
      <c r="I478" s="108"/>
      <c r="J478" s="109"/>
      <c r="K478" s="109"/>
      <c r="L478" s="108"/>
      <c r="M478" s="109"/>
      <c r="N478" s="109"/>
    </row>
    <row r="479" s="2" customFormat="1" spans="1:14">
      <c r="A479" s="126">
        <v>45504</v>
      </c>
      <c r="B479" s="127">
        <v>98</v>
      </c>
      <c r="C479" s="126">
        <v>45503</v>
      </c>
      <c r="D479" s="126"/>
      <c r="E479" s="126"/>
      <c r="F479" s="131" t="s">
        <v>463</v>
      </c>
      <c r="G479" s="134">
        <v>1</v>
      </c>
      <c r="H479" s="134">
        <v>19</v>
      </c>
      <c r="I479" s="136">
        <f t="shared" ref="I479:I491" si="55">G479*H479</f>
        <v>19</v>
      </c>
      <c r="J479" s="135">
        <v>9.8</v>
      </c>
      <c r="K479" s="135">
        <f>I479*J479</f>
        <v>186.2</v>
      </c>
      <c r="L479" s="131"/>
      <c r="M479" s="348" t="s">
        <v>563</v>
      </c>
      <c r="N479" s="132"/>
    </row>
    <row r="480" s="2" customFormat="1" spans="1:14">
      <c r="A480" s="126">
        <v>45504</v>
      </c>
      <c r="B480" s="127">
        <v>98</v>
      </c>
      <c r="C480" s="126">
        <v>45503</v>
      </c>
      <c r="D480" s="126"/>
      <c r="E480" s="126"/>
      <c r="F480" s="131" t="s">
        <v>564</v>
      </c>
      <c r="G480" s="134">
        <v>1</v>
      </c>
      <c r="H480" s="134">
        <v>6</v>
      </c>
      <c r="I480" s="136">
        <f t="shared" si="55"/>
        <v>6</v>
      </c>
      <c r="J480" s="135">
        <v>11.5</v>
      </c>
      <c r="K480" s="135">
        <f>I480*J480</f>
        <v>69</v>
      </c>
      <c r="L480" s="131"/>
      <c r="M480" s="348" t="s">
        <v>563</v>
      </c>
      <c r="N480" s="132"/>
    </row>
    <row r="481" s="2" customFormat="1" spans="1:17">
      <c r="A481" s="126">
        <v>45504</v>
      </c>
      <c r="B481" s="127">
        <v>98</v>
      </c>
      <c r="C481" s="126">
        <v>45503</v>
      </c>
      <c r="D481" s="126"/>
      <c r="E481" s="126"/>
      <c r="F481" s="131" t="s">
        <v>120</v>
      </c>
      <c r="G481" s="134">
        <v>1</v>
      </c>
      <c r="H481" s="134">
        <v>0.9</v>
      </c>
      <c r="I481" s="136">
        <f t="shared" si="55"/>
        <v>0.9</v>
      </c>
      <c r="J481" s="135">
        <v>21</v>
      </c>
      <c r="K481" s="135">
        <f t="shared" ref="K481:K489" si="56">I481*J481</f>
        <v>18.9</v>
      </c>
      <c r="L481" s="131"/>
      <c r="M481" s="131"/>
      <c r="N481" s="132"/>
    </row>
    <row r="482" s="2" customFormat="1" spans="1:17">
      <c r="A482" s="126">
        <v>45504</v>
      </c>
      <c r="B482" s="127">
        <v>98</v>
      </c>
      <c r="C482" s="126">
        <v>45503</v>
      </c>
      <c r="D482" s="126"/>
      <c r="E482" s="126"/>
      <c r="F482" s="131" t="s">
        <v>310</v>
      </c>
      <c r="G482" s="134">
        <v>1</v>
      </c>
      <c r="H482" s="134">
        <v>37</v>
      </c>
      <c r="I482" s="136">
        <f t="shared" si="55"/>
        <v>37</v>
      </c>
      <c r="J482" s="135">
        <v>0.6</v>
      </c>
      <c r="K482" s="135">
        <f t="shared" si="56"/>
        <v>22.2</v>
      </c>
      <c r="L482" s="131"/>
      <c r="M482" s="131"/>
      <c r="N482" s="132"/>
    </row>
    <row r="483" s="2" customFormat="1" spans="1:17">
      <c r="A483" s="126">
        <v>45504</v>
      </c>
      <c r="B483" s="127">
        <v>98</v>
      </c>
      <c r="C483" s="126">
        <v>45503</v>
      </c>
      <c r="D483" s="126"/>
      <c r="E483" s="126"/>
      <c r="F483" s="131" t="s">
        <v>311</v>
      </c>
      <c r="G483" s="134">
        <v>1</v>
      </c>
      <c r="H483" s="134">
        <v>8.5</v>
      </c>
      <c r="I483" s="136">
        <f t="shared" si="55"/>
        <v>8.5</v>
      </c>
      <c r="J483" s="135">
        <v>8.8</v>
      </c>
      <c r="K483" s="135">
        <f t="shared" si="56"/>
        <v>74.8</v>
      </c>
      <c r="L483" s="131"/>
      <c r="M483" s="131"/>
      <c r="N483" s="132"/>
    </row>
    <row r="484" s="2" customFormat="1" spans="1:17">
      <c r="A484" s="126">
        <v>45504</v>
      </c>
      <c r="B484" s="127">
        <v>98</v>
      </c>
      <c r="C484" s="126">
        <v>45503</v>
      </c>
      <c r="D484" s="126"/>
      <c r="E484" s="126"/>
      <c r="F484" s="131" t="s">
        <v>312</v>
      </c>
      <c r="G484" s="134">
        <v>1</v>
      </c>
      <c r="H484" s="134">
        <v>8</v>
      </c>
      <c r="I484" s="136">
        <f t="shared" si="55"/>
        <v>8</v>
      </c>
      <c r="J484" s="135">
        <v>3.6</v>
      </c>
      <c r="K484" s="135">
        <f t="shared" si="56"/>
        <v>28.8</v>
      </c>
      <c r="L484" s="131" t="s">
        <v>464</v>
      </c>
      <c r="M484" s="131"/>
      <c r="N484" s="132"/>
    </row>
    <row r="485" s="2" customFormat="1" spans="1:17">
      <c r="A485" s="126">
        <v>45504</v>
      </c>
      <c r="B485" s="127">
        <v>98</v>
      </c>
      <c r="C485" s="126">
        <v>45503</v>
      </c>
      <c r="D485" s="126"/>
      <c r="E485" s="126"/>
      <c r="F485" s="131" t="s">
        <v>432</v>
      </c>
      <c r="G485" s="134">
        <v>1</v>
      </c>
      <c r="H485" s="134">
        <v>2.8</v>
      </c>
      <c r="I485" s="136">
        <f t="shared" si="55"/>
        <v>2.8</v>
      </c>
      <c r="J485" s="135">
        <v>25</v>
      </c>
      <c r="K485" s="135">
        <f t="shared" si="56"/>
        <v>70</v>
      </c>
      <c r="L485" s="131" t="s">
        <v>506</v>
      </c>
      <c r="M485" s="131"/>
      <c r="N485" s="132"/>
    </row>
    <row r="486" s="2" customFormat="1" spans="1:17">
      <c r="A486" s="126">
        <v>45504</v>
      </c>
      <c r="B486" s="127">
        <v>98</v>
      </c>
      <c r="C486" s="126">
        <v>45503</v>
      </c>
      <c r="D486" s="126"/>
      <c r="E486" s="126"/>
      <c r="F486" s="131" t="s">
        <v>313</v>
      </c>
      <c r="G486" s="134">
        <v>1</v>
      </c>
      <c r="H486" s="134">
        <v>0.26</v>
      </c>
      <c r="I486" s="136">
        <f t="shared" si="55"/>
        <v>0.26</v>
      </c>
      <c r="J486" s="135">
        <v>45</v>
      </c>
      <c r="K486" s="135">
        <f t="shared" si="56"/>
        <v>11.7</v>
      </c>
      <c r="L486" s="131"/>
      <c r="M486" s="131"/>
      <c r="N486" s="132"/>
    </row>
    <row r="487" s="2" customFormat="1" spans="1:17">
      <c r="A487" s="126">
        <v>45504</v>
      </c>
      <c r="B487" s="127">
        <v>98</v>
      </c>
      <c r="C487" s="126">
        <v>45503</v>
      </c>
      <c r="D487" s="126"/>
      <c r="E487" s="126"/>
      <c r="F487" s="131" t="s">
        <v>351</v>
      </c>
      <c r="G487" s="134">
        <v>1</v>
      </c>
      <c r="H487" s="134">
        <v>0.44</v>
      </c>
      <c r="I487" s="136">
        <f t="shared" si="55"/>
        <v>0.44</v>
      </c>
      <c r="J487" s="135">
        <v>25</v>
      </c>
      <c r="K487" s="135">
        <f t="shared" si="56"/>
        <v>11</v>
      </c>
      <c r="L487" s="131" t="s">
        <v>565</v>
      </c>
      <c r="M487" s="131"/>
      <c r="N487" s="132"/>
    </row>
    <row r="488" s="2" customFormat="1" spans="1:17">
      <c r="A488" s="126">
        <v>45504</v>
      </c>
      <c r="B488" s="127">
        <v>98</v>
      </c>
      <c r="C488" s="126">
        <v>45503</v>
      </c>
      <c r="D488" s="126"/>
      <c r="E488" s="126"/>
      <c r="F488" s="131" t="s">
        <v>466</v>
      </c>
      <c r="G488" s="134">
        <v>1</v>
      </c>
      <c r="H488" s="134">
        <v>7.5</v>
      </c>
      <c r="I488" s="136">
        <f t="shared" si="55"/>
        <v>7.5</v>
      </c>
      <c r="J488" s="135">
        <v>18</v>
      </c>
      <c r="K488" s="135">
        <f t="shared" si="56"/>
        <v>135</v>
      </c>
      <c r="L488" s="131" t="s">
        <v>467</v>
      </c>
      <c r="M488" s="131"/>
      <c r="N488" s="132"/>
    </row>
    <row r="489" s="2" customFormat="1" spans="1:17">
      <c r="A489" s="126">
        <v>45504</v>
      </c>
      <c r="B489" s="127">
        <v>98</v>
      </c>
      <c r="C489" s="126">
        <v>45503</v>
      </c>
      <c r="D489" s="126"/>
      <c r="E489" s="126"/>
      <c r="F489" s="254" t="s">
        <v>468</v>
      </c>
      <c r="G489" s="134">
        <v>1</v>
      </c>
      <c r="H489" s="139">
        <f>SUM(H479:H488)</f>
        <v>90.4</v>
      </c>
      <c r="I489" s="114">
        <f t="shared" si="55"/>
        <v>90.4</v>
      </c>
      <c r="J489" s="115">
        <v>2.3</v>
      </c>
      <c r="K489" s="115">
        <f t="shared" si="56"/>
        <v>207.92</v>
      </c>
      <c r="L489" s="131" t="s">
        <v>469</v>
      </c>
      <c r="M489" s="131" t="s">
        <v>566</v>
      </c>
      <c r="N489" s="132"/>
    </row>
    <row r="490" s="2" customFormat="1" spans="1:17">
      <c r="A490" s="126">
        <v>45504</v>
      </c>
      <c r="B490" s="127">
        <v>98</v>
      </c>
      <c r="C490" s="126">
        <v>45503</v>
      </c>
      <c r="D490" s="126"/>
      <c r="E490" s="126"/>
      <c r="F490" s="131" t="s">
        <v>567</v>
      </c>
      <c r="G490" s="134">
        <v>10</v>
      </c>
      <c r="H490" s="134">
        <v>1</v>
      </c>
      <c r="I490" s="136">
        <f t="shared" si="55"/>
        <v>10</v>
      </c>
      <c r="J490" s="135"/>
      <c r="K490" s="135"/>
      <c r="L490" s="131"/>
      <c r="M490" s="131"/>
      <c r="N490" s="132"/>
    </row>
    <row r="491" s="2" customFormat="1" spans="1:17">
      <c r="A491" s="126">
        <v>45504</v>
      </c>
      <c r="B491" s="127">
        <v>98</v>
      </c>
      <c r="C491" s="126">
        <v>45503</v>
      </c>
      <c r="D491" s="126"/>
      <c r="E491" s="126"/>
      <c r="F491" s="131" t="s">
        <v>568</v>
      </c>
      <c r="G491" s="134">
        <v>1</v>
      </c>
      <c r="H491" s="134">
        <v>1</v>
      </c>
      <c r="I491" s="136">
        <f t="shared" si="55"/>
        <v>1</v>
      </c>
      <c r="J491" s="135">
        <v>15</v>
      </c>
      <c r="K491" s="135">
        <f>I491*J491</f>
        <v>15</v>
      </c>
      <c r="L491" s="131">
        <f>SUM(K479:K491)</f>
        <v>850.52</v>
      </c>
      <c r="M491" s="131"/>
      <c r="N491" s="132"/>
    </row>
    <row r="492" s="328" customFormat="1" ht="21" customHeight="1" spans="1:17">
      <c r="A492" s="379" t="s">
        <v>569</v>
      </c>
      <c r="B492" s="379"/>
      <c r="C492" s="379"/>
      <c r="D492" s="379"/>
      <c r="E492" s="379"/>
      <c r="F492" s="379"/>
      <c r="G492" s="379"/>
      <c r="H492" s="379"/>
      <c r="I492" s="379"/>
      <c r="J492" s="380" t="s">
        <v>499</v>
      </c>
      <c r="K492" s="381">
        <f>SUM(K495:K618)</f>
        <v>48362.12</v>
      </c>
      <c r="L492" s="328" t="s">
        <v>500</v>
      </c>
      <c r="M492" s="382">
        <f>K492-M493-O492-O493-P493</f>
        <v>35852.7</v>
      </c>
      <c r="N492" s="383" t="s">
        <v>302</v>
      </c>
      <c r="O492" s="382">
        <f>K503+K516+K521+K530+K535+K540+K555+K567+K572+K582+K590</f>
        <v>5133.22</v>
      </c>
      <c r="P492" s="383" t="s">
        <v>501</v>
      </c>
      <c r="Q492" s="382"/>
    </row>
    <row r="493" s="328" customFormat="1" ht="15" customHeight="1" spans="1:17">
      <c r="A493" s="379"/>
      <c r="B493" s="379"/>
      <c r="C493" s="379"/>
      <c r="D493" s="379"/>
      <c r="E493" s="379"/>
      <c r="F493" s="379"/>
      <c r="G493" s="379"/>
      <c r="H493" s="379"/>
      <c r="I493" s="379"/>
      <c r="J493" s="379"/>
      <c r="K493" s="379"/>
      <c r="L493" s="328" t="s">
        <v>502</v>
      </c>
      <c r="M493" s="382">
        <f>K504+K517+K522+K531+K536+K546+K556+K568+K583+K591</f>
        <v>1270.2</v>
      </c>
      <c r="N493" s="383" t="s">
        <v>503</v>
      </c>
      <c r="O493" s="382">
        <f>K523+K542+K543+K544+K545</f>
        <v>6106</v>
      </c>
    </row>
    <row r="494" s="329" customFormat="1" ht="23" customHeight="1" spans="1:17">
      <c r="A494" s="384" t="s">
        <v>1</v>
      </c>
      <c r="B494" s="384" t="s">
        <v>304</v>
      </c>
      <c r="C494" s="385" t="s">
        <v>305</v>
      </c>
      <c r="D494" s="385"/>
      <c r="E494" s="385"/>
      <c r="F494" s="385" t="s">
        <v>306</v>
      </c>
      <c r="G494" s="385" t="s">
        <v>113</v>
      </c>
      <c r="H494" s="385" t="s">
        <v>3</v>
      </c>
      <c r="I494" s="385" t="s">
        <v>5</v>
      </c>
      <c r="J494" s="385" t="s">
        <v>114</v>
      </c>
      <c r="K494" s="385" t="s">
        <v>115</v>
      </c>
      <c r="L494" s="385" t="s">
        <v>7</v>
      </c>
      <c r="M494" s="385" t="s">
        <v>303</v>
      </c>
      <c r="N494" s="386" t="s">
        <v>504</v>
      </c>
      <c r="O494" s="387">
        <f>M492+M493+O492+O493+P493</f>
        <v>48362.12</v>
      </c>
    </row>
    <row r="495" s="245" customFormat="1" spans="1:17">
      <c r="A495" s="284">
        <v>45511</v>
      </c>
      <c r="B495" s="105">
        <v>13</v>
      </c>
      <c r="C495" s="285">
        <v>45510</v>
      </c>
      <c r="D495" s="108"/>
      <c r="E495" s="108"/>
      <c r="F495" s="110" t="s">
        <v>308</v>
      </c>
      <c r="G495" s="108">
        <v>1</v>
      </c>
      <c r="H495" s="108">
        <v>267</v>
      </c>
      <c r="I495" s="108">
        <f t="shared" ref="I495:I523" si="57">G495*H495</f>
        <v>267</v>
      </c>
      <c r="J495" s="109">
        <v>12.6</v>
      </c>
      <c r="K495" s="109">
        <f t="shared" ref="K495:K501" si="58">I495*J495</f>
        <v>3364.2</v>
      </c>
      <c r="L495" s="288"/>
      <c r="M495" s="291"/>
      <c r="N495" s="111"/>
    </row>
    <row r="496" s="245" customFormat="1" spans="1:17">
      <c r="A496" s="284">
        <v>45511</v>
      </c>
      <c r="B496" s="105">
        <v>13</v>
      </c>
      <c r="C496" s="285">
        <v>45510</v>
      </c>
      <c r="D496" s="108"/>
      <c r="E496" s="108"/>
      <c r="F496" s="106" t="s">
        <v>120</v>
      </c>
      <c r="G496" s="108">
        <v>1</v>
      </c>
      <c r="H496" s="108">
        <v>6</v>
      </c>
      <c r="I496" s="108">
        <f t="shared" si="57"/>
        <v>6</v>
      </c>
      <c r="J496" s="109">
        <v>21</v>
      </c>
      <c r="K496" s="109">
        <f t="shared" si="58"/>
        <v>126</v>
      </c>
      <c r="L496" s="288"/>
      <c r="M496" s="291"/>
      <c r="N496" s="111"/>
    </row>
    <row r="497" s="245" customFormat="1" spans="1:14">
      <c r="A497" s="284">
        <v>45511</v>
      </c>
      <c r="B497" s="105">
        <v>13</v>
      </c>
      <c r="C497" s="285">
        <v>45510</v>
      </c>
      <c r="D497" s="108"/>
      <c r="E497" s="108"/>
      <c r="F497" s="110" t="s">
        <v>310</v>
      </c>
      <c r="G497" s="108">
        <v>1</v>
      </c>
      <c r="H497" s="108">
        <v>75</v>
      </c>
      <c r="I497" s="108">
        <f t="shared" si="57"/>
        <v>75</v>
      </c>
      <c r="J497" s="109">
        <v>0.6</v>
      </c>
      <c r="K497" s="109">
        <f t="shared" si="58"/>
        <v>45</v>
      </c>
      <c r="L497" s="288"/>
      <c r="M497" s="291"/>
      <c r="N497" s="111"/>
    </row>
    <row r="498" s="245" customFormat="1" spans="1:14">
      <c r="A498" s="284">
        <v>45511</v>
      </c>
      <c r="B498" s="105">
        <v>13</v>
      </c>
      <c r="C498" s="285">
        <v>45510</v>
      </c>
      <c r="D498" s="108"/>
      <c r="E498" s="108"/>
      <c r="F498" s="110" t="s">
        <v>570</v>
      </c>
      <c r="G498" s="108">
        <v>1</v>
      </c>
      <c r="H498" s="108">
        <v>2</v>
      </c>
      <c r="I498" s="108">
        <f t="shared" si="57"/>
        <v>2</v>
      </c>
      <c r="J498" s="109">
        <v>25</v>
      </c>
      <c r="K498" s="109">
        <f t="shared" si="58"/>
        <v>50</v>
      </c>
      <c r="L498" s="288" t="s">
        <v>459</v>
      </c>
      <c r="M498" s="291"/>
      <c r="N498" s="111"/>
    </row>
    <row r="499" s="245" customFormat="1" spans="1:14">
      <c r="A499" s="284">
        <v>45511</v>
      </c>
      <c r="B499" s="105">
        <v>13</v>
      </c>
      <c r="C499" s="285">
        <v>45510</v>
      </c>
      <c r="D499" s="108"/>
      <c r="E499" s="108"/>
      <c r="F499" s="110" t="s">
        <v>323</v>
      </c>
      <c r="G499" s="108">
        <v>1</v>
      </c>
      <c r="H499" s="108">
        <v>96</v>
      </c>
      <c r="I499" s="108">
        <f t="shared" si="57"/>
        <v>96</v>
      </c>
      <c r="J499" s="109">
        <v>18</v>
      </c>
      <c r="K499" s="109">
        <f t="shared" si="58"/>
        <v>1728</v>
      </c>
      <c r="L499" s="288" t="s">
        <v>571</v>
      </c>
      <c r="M499" s="291"/>
      <c r="N499" s="111"/>
    </row>
    <row r="500" s="245" customFormat="1" spans="1:14">
      <c r="A500" s="284">
        <v>45511</v>
      </c>
      <c r="B500" s="105">
        <v>13</v>
      </c>
      <c r="C500" s="285">
        <v>45510</v>
      </c>
      <c r="D500" s="108"/>
      <c r="E500" s="108"/>
      <c r="F500" s="110" t="s">
        <v>406</v>
      </c>
      <c r="G500" s="108">
        <v>1</v>
      </c>
      <c r="H500" s="108">
        <v>42</v>
      </c>
      <c r="I500" s="108">
        <f t="shared" si="57"/>
        <v>42</v>
      </c>
      <c r="J500" s="109">
        <v>8.5</v>
      </c>
      <c r="K500" s="109">
        <f t="shared" si="58"/>
        <v>357</v>
      </c>
      <c r="L500" s="289" t="s">
        <v>572</v>
      </c>
      <c r="M500" s="291"/>
      <c r="N500" s="111"/>
    </row>
    <row r="501" s="245" customFormat="1" spans="1:14">
      <c r="A501" s="284">
        <v>45511</v>
      </c>
      <c r="B501" s="105">
        <v>13</v>
      </c>
      <c r="C501" s="285">
        <v>45510</v>
      </c>
      <c r="D501" s="108"/>
      <c r="E501" s="108"/>
      <c r="F501" s="110" t="s">
        <v>311</v>
      </c>
      <c r="G501" s="108">
        <v>1</v>
      </c>
      <c r="H501" s="108">
        <v>25</v>
      </c>
      <c r="I501" s="108">
        <f t="shared" si="57"/>
        <v>25</v>
      </c>
      <c r="J501" s="109">
        <v>8.5</v>
      </c>
      <c r="K501" s="109">
        <f t="shared" si="58"/>
        <v>212.5</v>
      </c>
      <c r="L501" s="288"/>
      <c r="M501" s="291"/>
      <c r="N501" s="111"/>
    </row>
    <row r="502" s="245" customFormat="1" spans="1:14">
      <c r="A502" s="284">
        <v>45511</v>
      </c>
      <c r="B502" s="105">
        <v>13</v>
      </c>
      <c r="C502" s="285">
        <v>45510</v>
      </c>
      <c r="D502" s="108"/>
      <c r="E502" s="108"/>
      <c r="F502" s="110" t="s">
        <v>573</v>
      </c>
      <c r="G502" s="108">
        <v>1</v>
      </c>
      <c r="H502" s="108">
        <v>4</v>
      </c>
      <c r="I502" s="108">
        <f t="shared" si="57"/>
        <v>4</v>
      </c>
      <c r="J502" s="109"/>
      <c r="K502" s="109"/>
      <c r="L502" s="288"/>
      <c r="M502" s="291"/>
      <c r="N502" s="111"/>
    </row>
    <row r="503" s="245" customFormat="1" spans="1:14">
      <c r="A503" s="284">
        <v>45511</v>
      </c>
      <c r="B503" s="105">
        <v>13</v>
      </c>
      <c r="C503" s="285">
        <v>45510</v>
      </c>
      <c r="D503" s="108"/>
      <c r="E503" s="108"/>
      <c r="F503" s="254" t="s">
        <v>574</v>
      </c>
      <c r="G503" s="114">
        <v>1</v>
      </c>
      <c r="H503" s="114">
        <f>SUM(H495:H502)</f>
        <v>517</v>
      </c>
      <c r="I503" s="114">
        <f t="shared" si="57"/>
        <v>517</v>
      </c>
      <c r="J503" s="115">
        <v>2.3</v>
      </c>
      <c r="K503" s="115">
        <f>I503*J503</f>
        <v>1189.1</v>
      </c>
      <c r="L503" s="288"/>
      <c r="M503" s="291"/>
      <c r="N503" s="111"/>
    </row>
    <row r="504" s="245" customFormat="1" spans="1:14">
      <c r="A504" s="284">
        <v>45511</v>
      </c>
      <c r="B504" s="105">
        <v>13</v>
      </c>
      <c r="C504" s="285">
        <v>45510</v>
      </c>
      <c r="D504" s="108"/>
      <c r="E504" s="108"/>
      <c r="F504" s="110" t="s">
        <v>462</v>
      </c>
      <c r="G504" s="108">
        <v>21</v>
      </c>
      <c r="H504" s="108">
        <v>1</v>
      </c>
      <c r="I504" s="108">
        <f t="shared" si="57"/>
        <v>21</v>
      </c>
      <c r="J504" s="109">
        <v>12.5</v>
      </c>
      <c r="K504" s="109">
        <f>I504*J504</f>
        <v>262.5</v>
      </c>
      <c r="L504" s="277">
        <f>SUM(K495:K504)</f>
        <v>7334.3</v>
      </c>
      <c r="M504" s="286"/>
      <c r="N504" s="110"/>
    </row>
    <row r="505" s="243" customFormat="1" ht="18" customHeight="1" spans="1:14">
      <c r="A505" s="263">
        <v>45511</v>
      </c>
      <c r="B505" s="127">
        <v>14</v>
      </c>
      <c r="C505" s="258">
        <v>45510</v>
      </c>
      <c r="D505" s="136"/>
      <c r="E505" s="136"/>
      <c r="F505" s="131" t="s">
        <v>308</v>
      </c>
      <c r="G505" s="136">
        <v>1</v>
      </c>
      <c r="H505" s="136">
        <v>267</v>
      </c>
      <c r="I505" s="136">
        <f t="shared" si="57"/>
        <v>267</v>
      </c>
      <c r="J505" s="135">
        <v>12.6</v>
      </c>
      <c r="K505" s="135">
        <f>I505*J505</f>
        <v>3364.2</v>
      </c>
      <c r="L505" s="278"/>
      <c r="M505" s="279"/>
      <c r="N505" s="132"/>
    </row>
    <row r="506" s="243" customFormat="1" spans="1:14">
      <c r="A506" s="263">
        <v>45511</v>
      </c>
      <c r="B506" s="127">
        <v>14</v>
      </c>
      <c r="C506" s="258">
        <v>45510</v>
      </c>
      <c r="D506" s="136"/>
      <c r="E506" s="136"/>
      <c r="F506" s="133" t="s">
        <v>120</v>
      </c>
      <c r="G506" s="136">
        <v>1</v>
      </c>
      <c r="H506" s="136">
        <v>6</v>
      </c>
      <c r="I506" s="136">
        <f t="shared" si="57"/>
        <v>6</v>
      </c>
      <c r="J506" s="135">
        <v>21</v>
      </c>
      <c r="K506" s="135">
        <f t="shared" ref="K506:K513" si="59">I506*J506</f>
        <v>126</v>
      </c>
      <c r="L506" s="278"/>
      <c r="M506" s="279"/>
      <c r="N506" s="132"/>
    </row>
    <row r="507" s="243" customFormat="1" spans="1:14">
      <c r="A507" s="263">
        <v>45511</v>
      </c>
      <c r="B507" s="127">
        <v>14</v>
      </c>
      <c r="C507" s="258">
        <v>45510</v>
      </c>
      <c r="D507" s="136"/>
      <c r="E507" s="136"/>
      <c r="F507" s="131" t="s">
        <v>310</v>
      </c>
      <c r="G507" s="136">
        <v>1</v>
      </c>
      <c r="H507" s="136">
        <v>75</v>
      </c>
      <c r="I507" s="136">
        <f t="shared" si="57"/>
        <v>75</v>
      </c>
      <c r="J507" s="135">
        <v>0.6</v>
      </c>
      <c r="K507" s="135">
        <f t="shared" si="59"/>
        <v>45</v>
      </c>
      <c r="L507" s="278"/>
      <c r="M507" s="279"/>
      <c r="N507" s="132"/>
    </row>
    <row r="508" s="243" customFormat="1" spans="1:14">
      <c r="A508" s="263">
        <v>45511</v>
      </c>
      <c r="B508" s="127">
        <v>14</v>
      </c>
      <c r="C508" s="258">
        <v>45510</v>
      </c>
      <c r="D508" s="136"/>
      <c r="E508" s="136"/>
      <c r="F508" s="131" t="s">
        <v>570</v>
      </c>
      <c r="G508" s="136">
        <v>1</v>
      </c>
      <c r="H508" s="136">
        <v>9</v>
      </c>
      <c r="I508" s="136">
        <f t="shared" si="57"/>
        <v>9</v>
      </c>
      <c r="J508" s="135">
        <v>25</v>
      </c>
      <c r="K508" s="135">
        <f t="shared" si="59"/>
        <v>225</v>
      </c>
      <c r="L508" s="278" t="s">
        <v>459</v>
      </c>
      <c r="M508" s="279"/>
      <c r="N508" s="132"/>
    </row>
    <row r="509" s="243" customFormat="1" spans="1:14">
      <c r="A509" s="263">
        <v>45511</v>
      </c>
      <c r="B509" s="127">
        <v>14</v>
      </c>
      <c r="C509" s="258">
        <v>45510</v>
      </c>
      <c r="D509" s="136"/>
      <c r="E509" s="136"/>
      <c r="F509" s="131" t="s">
        <v>323</v>
      </c>
      <c r="G509" s="136">
        <v>1</v>
      </c>
      <c r="H509" s="136">
        <v>49</v>
      </c>
      <c r="I509" s="136">
        <f t="shared" si="57"/>
        <v>49</v>
      </c>
      <c r="J509" s="135">
        <v>18</v>
      </c>
      <c r="K509" s="135">
        <f t="shared" si="59"/>
        <v>882</v>
      </c>
      <c r="L509" s="278"/>
      <c r="M509" s="279"/>
      <c r="N509" s="132"/>
    </row>
    <row r="510" s="243" customFormat="1" spans="1:14">
      <c r="A510" s="263">
        <v>45511</v>
      </c>
      <c r="B510" s="127">
        <v>14</v>
      </c>
      <c r="C510" s="258">
        <v>45510</v>
      </c>
      <c r="D510" s="136"/>
      <c r="E510" s="136"/>
      <c r="F510" s="131" t="s">
        <v>575</v>
      </c>
      <c r="G510" s="136">
        <v>1</v>
      </c>
      <c r="H510" s="136">
        <v>1.5</v>
      </c>
      <c r="I510" s="136">
        <f t="shared" si="57"/>
        <v>1.5</v>
      </c>
      <c r="J510" s="135">
        <v>25</v>
      </c>
      <c r="K510" s="135">
        <f t="shared" si="59"/>
        <v>37.5</v>
      </c>
      <c r="L510" s="278"/>
      <c r="M510" s="279"/>
      <c r="N510" s="132"/>
    </row>
    <row r="511" s="243" customFormat="1" spans="1:14">
      <c r="A511" s="263">
        <v>45511</v>
      </c>
      <c r="B511" s="127">
        <v>14</v>
      </c>
      <c r="C511" s="258">
        <v>45510</v>
      </c>
      <c r="D511" s="136"/>
      <c r="E511" s="136"/>
      <c r="F511" s="131" t="s">
        <v>576</v>
      </c>
      <c r="G511" s="136">
        <v>1</v>
      </c>
      <c r="H511" s="136">
        <v>2.5</v>
      </c>
      <c r="I511" s="136">
        <f t="shared" si="57"/>
        <v>2.5</v>
      </c>
      <c r="J511" s="135">
        <v>25</v>
      </c>
      <c r="K511" s="135">
        <f t="shared" si="59"/>
        <v>62.5</v>
      </c>
      <c r="L511" s="289" t="s">
        <v>577</v>
      </c>
      <c r="M511" s="279"/>
      <c r="N511" s="132"/>
    </row>
    <row r="512" s="243" customFormat="1" spans="1:14">
      <c r="A512" s="263">
        <v>45511</v>
      </c>
      <c r="B512" s="127">
        <v>14</v>
      </c>
      <c r="C512" s="258">
        <v>45510</v>
      </c>
      <c r="D512" s="136"/>
      <c r="E512" s="136"/>
      <c r="F512" s="131" t="s">
        <v>406</v>
      </c>
      <c r="G512" s="136">
        <v>1</v>
      </c>
      <c r="H512" s="136">
        <v>42</v>
      </c>
      <c r="I512" s="136">
        <f t="shared" si="57"/>
        <v>42</v>
      </c>
      <c r="J512" s="135">
        <v>8.5</v>
      </c>
      <c r="K512" s="135">
        <f t="shared" si="59"/>
        <v>357</v>
      </c>
      <c r="L512" s="278" t="s">
        <v>578</v>
      </c>
      <c r="M512" s="279"/>
      <c r="N512" s="132"/>
    </row>
    <row r="513" s="243" customFormat="1" spans="1:16">
      <c r="A513" s="263">
        <v>45511</v>
      </c>
      <c r="B513" s="127">
        <v>14</v>
      </c>
      <c r="C513" s="258">
        <v>45510</v>
      </c>
      <c r="D513" s="136"/>
      <c r="E513" s="136"/>
      <c r="F513" s="131" t="s">
        <v>311</v>
      </c>
      <c r="G513" s="136">
        <v>1</v>
      </c>
      <c r="H513" s="136">
        <v>17</v>
      </c>
      <c r="I513" s="136">
        <f t="shared" si="57"/>
        <v>17</v>
      </c>
      <c r="J513" s="135">
        <v>8.5</v>
      </c>
      <c r="K513" s="135">
        <f t="shared" si="59"/>
        <v>144.5</v>
      </c>
      <c r="L513" s="278"/>
      <c r="M513" s="279"/>
      <c r="N513" s="132"/>
    </row>
    <row r="514" s="243" customFormat="1" spans="1:16">
      <c r="A514" s="263">
        <v>45511</v>
      </c>
      <c r="B514" s="127">
        <v>14</v>
      </c>
      <c r="C514" s="258">
        <v>45510</v>
      </c>
      <c r="D514" s="136"/>
      <c r="E514" s="136"/>
      <c r="F514" s="110" t="s">
        <v>579</v>
      </c>
      <c r="G514" s="108">
        <v>1</v>
      </c>
      <c r="H514" s="108">
        <v>8</v>
      </c>
      <c r="I514" s="136">
        <f t="shared" si="57"/>
        <v>8</v>
      </c>
      <c r="J514" s="135"/>
      <c r="K514" s="135"/>
      <c r="L514" s="278"/>
      <c r="M514" s="279"/>
      <c r="N514" s="132"/>
    </row>
    <row r="515" s="243" customFormat="1" spans="1:16">
      <c r="A515" s="263">
        <v>45511</v>
      </c>
      <c r="B515" s="127">
        <v>14</v>
      </c>
      <c r="C515" s="258">
        <v>45510</v>
      </c>
      <c r="D515" s="136"/>
      <c r="E515" s="136"/>
      <c r="F515" s="110" t="s">
        <v>580</v>
      </c>
      <c r="G515" s="108">
        <v>1</v>
      </c>
      <c r="H515" s="108">
        <v>10</v>
      </c>
      <c r="I515" s="136">
        <f t="shared" si="57"/>
        <v>10</v>
      </c>
      <c r="J515" s="135"/>
      <c r="K515" s="135"/>
      <c r="L515" s="278"/>
      <c r="M515" s="279"/>
      <c r="N515" s="132"/>
    </row>
    <row r="516" s="243" customFormat="1" spans="1:16">
      <c r="A516" s="263">
        <v>45511</v>
      </c>
      <c r="B516" s="127">
        <v>14</v>
      </c>
      <c r="C516" s="258">
        <v>45510</v>
      </c>
      <c r="D516" s="136"/>
      <c r="E516" s="136"/>
      <c r="F516" s="254" t="s">
        <v>581</v>
      </c>
      <c r="G516" s="114">
        <v>1</v>
      </c>
      <c r="H516" s="114">
        <f>SUM(H505:H515)</f>
        <v>487</v>
      </c>
      <c r="I516" s="114">
        <f t="shared" si="57"/>
        <v>487</v>
      </c>
      <c r="J516" s="115">
        <v>2.3</v>
      </c>
      <c r="K516" s="115">
        <f t="shared" ref="K516:K523" si="60">I516*J516</f>
        <v>1120.1</v>
      </c>
      <c r="L516" s="280"/>
      <c r="M516" s="279"/>
      <c r="N516" s="132"/>
    </row>
    <row r="517" s="243" customFormat="1" spans="1:16">
      <c r="A517" s="263">
        <v>45511</v>
      </c>
      <c r="B517" s="127">
        <v>14</v>
      </c>
      <c r="C517" s="258">
        <v>45510</v>
      </c>
      <c r="D517" s="136"/>
      <c r="E517" s="136"/>
      <c r="F517" s="131" t="s">
        <v>462</v>
      </c>
      <c r="G517" s="136">
        <v>21</v>
      </c>
      <c r="H517" s="136">
        <v>1</v>
      </c>
      <c r="I517" s="136">
        <f t="shared" si="57"/>
        <v>21</v>
      </c>
      <c r="J517" s="135">
        <v>12.5</v>
      </c>
      <c r="K517" s="135">
        <f t="shared" si="60"/>
        <v>262.5</v>
      </c>
      <c r="L517" s="266">
        <f>SUM(K505:K517)</f>
        <v>6626.3</v>
      </c>
      <c r="M517" s="264"/>
      <c r="N517" s="131"/>
    </row>
    <row r="518" s="245" customFormat="1" spans="1:16">
      <c r="A518" s="284">
        <v>45511</v>
      </c>
      <c r="B518" s="105">
        <v>15</v>
      </c>
      <c r="C518" s="285">
        <v>45510</v>
      </c>
      <c r="D518" s="108"/>
      <c r="E518" s="108"/>
      <c r="F518" s="110" t="s">
        <v>312</v>
      </c>
      <c r="G518" s="108">
        <v>1</v>
      </c>
      <c r="H518" s="108">
        <v>154</v>
      </c>
      <c r="I518" s="108">
        <f t="shared" si="57"/>
        <v>154</v>
      </c>
      <c r="J518" s="109">
        <v>3.6</v>
      </c>
      <c r="K518" s="109">
        <f t="shared" si="60"/>
        <v>554.4</v>
      </c>
      <c r="L518" s="288"/>
      <c r="M518" s="291"/>
      <c r="N518" s="111"/>
    </row>
    <row r="519" s="245" customFormat="1" spans="1:16">
      <c r="A519" s="284">
        <v>45511</v>
      </c>
      <c r="B519" s="105">
        <v>15</v>
      </c>
      <c r="C519" s="285">
        <v>45510</v>
      </c>
      <c r="D519" s="108"/>
      <c r="E519" s="108"/>
      <c r="F519" s="110" t="s">
        <v>311</v>
      </c>
      <c r="G519" s="108">
        <v>1</v>
      </c>
      <c r="H519" s="108">
        <v>171</v>
      </c>
      <c r="I519" s="108">
        <f t="shared" si="57"/>
        <v>171</v>
      </c>
      <c r="J519" s="109">
        <v>8.5</v>
      </c>
      <c r="K519" s="109">
        <f t="shared" si="60"/>
        <v>1453.5</v>
      </c>
      <c r="L519" s="288" t="s">
        <v>519</v>
      </c>
      <c r="M519" s="291"/>
      <c r="N519" s="400" t="s">
        <v>582</v>
      </c>
      <c r="O519" s="245" t="s">
        <v>583</v>
      </c>
    </row>
    <row r="520" s="110" customFormat="1" spans="1:16">
      <c r="A520" s="284">
        <v>45511</v>
      </c>
      <c r="B520" s="105">
        <v>15</v>
      </c>
      <c r="C520" s="285">
        <v>45510</v>
      </c>
      <c r="D520" s="108"/>
      <c r="E520" s="108"/>
      <c r="F520" s="110" t="s">
        <v>584</v>
      </c>
      <c r="G520" s="107">
        <v>1</v>
      </c>
      <c r="H520" s="107">
        <v>17</v>
      </c>
      <c r="I520" s="108">
        <f t="shared" si="57"/>
        <v>17</v>
      </c>
      <c r="J520" s="401">
        <v>14.5</v>
      </c>
      <c r="K520" s="109">
        <f t="shared" si="60"/>
        <v>246.5</v>
      </c>
      <c r="L520" s="402"/>
      <c r="M520" s="403"/>
      <c r="N520" s="111"/>
    </row>
    <row r="521" s="1" customFormat="1" spans="1:16">
      <c r="A521" s="284">
        <v>45511</v>
      </c>
      <c r="B521" s="105">
        <v>15</v>
      </c>
      <c r="C521" s="285">
        <v>45510</v>
      </c>
      <c r="D521" s="108"/>
      <c r="E521" s="108"/>
      <c r="F521" s="1" t="s">
        <v>585</v>
      </c>
      <c r="G521" s="107">
        <v>1</v>
      </c>
      <c r="H521" s="107">
        <f>SUM(H518:H520)</f>
        <v>342</v>
      </c>
      <c r="I521" s="114">
        <f t="shared" si="57"/>
        <v>342</v>
      </c>
      <c r="J521" s="139">
        <v>0.7</v>
      </c>
      <c r="K521" s="115">
        <f t="shared" si="60"/>
        <v>239.4</v>
      </c>
      <c r="L521" s="110"/>
      <c r="M521" s="110"/>
      <c r="N521" s="111"/>
    </row>
    <row r="522" s="1" customFormat="1" spans="1:16">
      <c r="A522" s="284">
        <v>45511</v>
      </c>
      <c r="B522" s="105">
        <v>15</v>
      </c>
      <c r="C522" s="285">
        <v>45510</v>
      </c>
      <c r="D522" s="108"/>
      <c r="E522" s="108"/>
      <c r="F522" s="110" t="s">
        <v>462</v>
      </c>
      <c r="G522" s="107">
        <v>18</v>
      </c>
      <c r="H522" s="107">
        <v>1</v>
      </c>
      <c r="I522" s="108">
        <f t="shared" si="57"/>
        <v>18</v>
      </c>
      <c r="J522" s="107">
        <v>12.2</v>
      </c>
      <c r="K522" s="109">
        <f t="shared" si="60"/>
        <v>219.6</v>
      </c>
      <c r="L522" s="110">
        <f>SUM(K518:K522)</f>
        <v>2713.4</v>
      </c>
      <c r="M522" s="110"/>
      <c r="N522" s="111"/>
    </row>
    <row r="523" s="245" customFormat="1" spans="1:16">
      <c r="A523" s="284">
        <v>45457</v>
      </c>
      <c r="B523" s="105">
        <v>36</v>
      </c>
      <c r="C523" s="285">
        <v>45510</v>
      </c>
      <c r="D523" s="108"/>
      <c r="E523" s="108"/>
      <c r="F523" s="118" t="s">
        <v>586</v>
      </c>
      <c r="G523" s="140">
        <v>10</v>
      </c>
      <c r="H523" s="140">
        <v>20</v>
      </c>
      <c r="I523" s="140">
        <f t="shared" si="57"/>
        <v>200</v>
      </c>
      <c r="J523" s="130">
        <v>14.5</v>
      </c>
      <c r="K523" s="130">
        <f t="shared" si="60"/>
        <v>2900</v>
      </c>
      <c r="L523" s="288" t="s">
        <v>521</v>
      </c>
      <c r="M523" s="291"/>
      <c r="N523" s="111" t="s">
        <v>522</v>
      </c>
      <c r="O523" s="245">
        <f>SUM(K523)</f>
        <v>2900</v>
      </c>
      <c r="P523" s="245" t="s">
        <v>587</v>
      </c>
    </row>
    <row r="524" s="245" customFormat="1" spans="1:16">
      <c r="A524" s="284"/>
      <c r="B524" s="105"/>
      <c r="C524" s="285"/>
      <c r="D524" s="108"/>
      <c r="E524" s="108"/>
      <c r="F524" s="118"/>
      <c r="G524" s="140"/>
      <c r="H524" s="140"/>
      <c r="I524" s="140"/>
      <c r="J524" s="130"/>
      <c r="K524" s="130"/>
      <c r="L524" s="288"/>
      <c r="M524" s="291"/>
      <c r="N524" s="111"/>
    </row>
    <row r="525" s="243" customFormat="1" spans="1:16">
      <c r="A525" s="263">
        <v>45514</v>
      </c>
      <c r="B525" s="127">
        <v>22</v>
      </c>
      <c r="C525" s="258">
        <v>45513</v>
      </c>
      <c r="D525" s="136"/>
      <c r="E525" s="136"/>
      <c r="F525" s="264">
        <v>9122</v>
      </c>
      <c r="G525" s="136">
        <v>1</v>
      </c>
      <c r="H525" s="136">
        <v>37</v>
      </c>
      <c r="I525" s="136">
        <f t="shared" ref="I525:I545" si="61">G525*H525</f>
        <v>37</v>
      </c>
      <c r="J525" s="135"/>
      <c r="K525" s="135"/>
      <c r="L525" s="136"/>
      <c r="M525" s="135"/>
      <c r="N525" s="135"/>
    </row>
    <row r="526" s="243" customFormat="1" spans="1:16">
      <c r="A526" s="263">
        <v>45514</v>
      </c>
      <c r="B526" s="127">
        <v>22</v>
      </c>
      <c r="C526" s="258">
        <v>45513</v>
      </c>
      <c r="D526" s="136"/>
      <c r="E526" s="136"/>
      <c r="F526" s="264" t="s">
        <v>120</v>
      </c>
      <c r="G526" s="136">
        <v>1</v>
      </c>
      <c r="H526" s="136">
        <v>3</v>
      </c>
      <c r="I526" s="136">
        <f t="shared" si="61"/>
        <v>3</v>
      </c>
      <c r="J526" s="135">
        <v>21</v>
      </c>
      <c r="K526" s="135">
        <f t="shared" ref="K526:K542" si="62">I526*J526</f>
        <v>63</v>
      </c>
      <c r="L526" s="136"/>
      <c r="M526" s="135"/>
      <c r="N526" s="135"/>
    </row>
    <row r="527" s="243" customFormat="1" spans="1:16">
      <c r="A527" s="263">
        <v>45514</v>
      </c>
      <c r="B527" s="127">
        <v>22</v>
      </c>
      <c r="C527" s="258">
        <v>45513</v>
      </c>
      <c r="D527" s="136"/>
      <c r="E527" s="136"/>
      <c r="F527" s="264" t="s">
        <v>309</v>
      </c>
      <c r="G527" s="136">
        <v>1</v>
      </c>
      <c r="H527" s="136">
        <v>20</v>
      </c>
      <c r="I527" s="136">
        <f t="shared" si="61"/>
        <v>20</v>
      </c>
      <c r="J527" s="135">
        <v>18</v>
      </c>
      <c r="K527" s="135">
        <f t="shared" si="62"/>
        <v>360</v>
      </c>
      <c r="L527" s="136"/>
      <c r="M527" s="135"/>
      <c r="N527" s="135"/>
    </row>
    <row r="528" s="243" customFormat="1" spans="1:16">
      <c r="A528" s="263">
        <v>45514</v>
      </c>
      <c r="B528" s="127">
        <v>22</v>
      </c>
      <c r="C528" s="258">
        <v>45513</v>
      </c>
      <c r="D528" s="136"/>
      <c r="E528" s="136"/>
      <c r="F528" s="264" t="s">
        <v>549</v>
      </c>
      <c r="G528" s="136">
        <v>1</v>
      </c>
      <c r="H528" s="136">
        <v>60</v>
      </c>
      <c r="I528" s="136">
        <f t="shared" si="61"/>
        <v>60</v>
      </c>
      <c r="J528" s="135">
        <v>0.6</v>
      </c>
      <c r="K528" s="135">
        <f t="shared" si="62"/>
        <v>36</v>
      </c>
      <c r="L528" s="136"/>
      <c r="M528" s="135"/>
      <c r="N528" s="135"/>
    </row>
    <row r="529" s="243" customFormat="1" spans="1:16">
      <c r="A529" s="263">
        <v>45514</v>
      </c>
      <c r="B529" s="127">
        <v>22</v>
      </c>
      <c r="C529" s="258">
        <v>45513</v>
      </c>
      <c r="D529" s="136"/>
      <c r="E529" s="136"/>
      <c r="F529" s="264" t="s">
        <v>122</v>
      </c>
      <c r="G529" s="136">
        <v>1</v>
      </c>
      <c r="H529" s="136">
        <v>25</v>
      </c>
      <c r="I529" s="136">
        <f t="shared" si="61"/>
        <v>25</v>
      </c>
      <c r="J529" s="135">
        <v>8.5</v>
      </c>
      <c r="K529" s="135">
        <f t="shared" si="62"/>
        <v>212.5</v>
      </c>
      <c r="L529" s="136" t="s">
        <v>588</v>
      </c>
      <c r="M529" s="135"/>
      <c r="N529" s="266" t="s">
        <v>589</v>
      </c>
    </row>
    <row r="530" s="243" customFormat="1" spans="1:16">
      <c r="A530" s="263">
        <v>45514</v>
      </c>
      <c r="B530" s="127">
        <v>22</v>
      </c>
      <c r="C530" s="258">
        <v>45513</v>
      </c>
      <c r="D530" s="136"/>
      <c r="E530" s="136"/>
      <c r="F530" s="398" t="s">
        <v>590</v>
      </c>
      <c r="G530" s="114">
        <v>1</v>
      </c>
      <c r="H530" s="114">
        <f>SUM(H525:H529)</f>
        <v>145</v>
      </c>
      <c r="I530" s="114">
        <f t="shared" si="61"/>
        <v>145</v>
      </c>
      <c r="J530" s="115">
        <v>2.3</v>
      </c>
      <c r="K530" s="115">
        <f t="shared" si="62"/>
        <v>333.5</v>
      </c>
      <c r="L530" s="136"/>
      <c r="M530" s="135"/>
      <c r="N530" s="135"/>
    </row>
    <row r="531" s="243" customFormat="1" spans="1:16">
      <c r="A531" s="263">
        <v>45514</v>
      </c>
      <c r="B531" s="127">
        <v>22</v>
      </c>
      <c r="C531" s="258">
        <v>45513</v>
      </c>
      <c r="D531" s="136"/>
      <c r="E531" s="136"/>
      <c r="F531" s="264" t="s">
        <v>591</v>
      </c>
      <c r="G531" s="136">
        <v>6</v>
      </c>
      <c r="H531" s="136">
        <v>1</v>
      </c>
      <c r="I531" s="136">
        <f t="shared" si="61"/>
        <v>6</v>
      </c>
      <c r="J531" s="135">
        <v>12.5</v>
      </c>
      <c r="K531" s="135">
        <f t="shared" si="62"/>
        <v>75</v>
      </c>
      <c r="L531" s="136">
        <f>SUM(K525:K531)</f>
        <v>1080</v>
      </c>
      <c r="M531" s="135"/>
      <c r="N531" s="135"/>
    </row>
    <row r="532" s="245" customFormat="1" spans="1:16">
      <c r="A532" s="284">
        <v>45516</v>
      </c>
      <c r="B532" s="105">
        <v>33</v>
      </c>
      <c r="C532" s="285">
        <v>45516</v>
      </c>
      <c r="D532" s="108"/>
      <c r="E532" s="108"/>
      <c r="F532" s="110" t="s">
        <v>312</v>
      </c>
      <c r="G532" s="108">
        <v>1</v>
      </c>
      <c r="H532" s="108">
        <v>81</v>
      </c>
      <c r="I532" s="108">
        <f t="shared" si="61"/>
        <v>81</v>
      </c>
      <c r="J532" s="109">
        <v>3.6</v>
      </c>
      <c r="K532" s="109">
        <f t="shared" si="62"/>
        <v>291.6</v>
      </c>
      <c r="L532" s="288"/>
      <c r="M532" s="291"/>
      <c r="N532" s="111"/>
    </row>
    <row r="533" s="245" customFormat="1" spans="1:16">
      <c r="A533" s="284">
        <v>45516</v>
      </c>
      <c r="B533" s="105">
        <v>33</v>
      </c>
      <c r="C533" s="285">
        <v>45516</v>
      </c>
      <c r="D533" s="108"/>
      <c r="E533" s="108"/>
      <c r="F533" s="110" t="s">
        <v>311</v>
      </c>
      <c r="G533" s="108">
        <v>1</v>
      </c>
      <c r="H533" s="108">
        <v>90</v>
      </c>
      <c r="I533" s="108">
        <f t="shared" si="61"/>
        <v>90</v>
      </c>
      <c r="J533" s="109">
        <v>8.5</v>
      </c>
      <c r="K533" s="109">
        <f t="shared" si="62"/>
        <v>765</v>
      </c>
      <c r="L533" s="288" t="s">
        <v>519</v>
      </c>
      <c r="M533" s="291"/>
      <c r="N533" s="404" t="s">
        <v>592</v>
      </c>
    </row>
    <row r="534" s="110" customFormat="1" spans="1:16">
      <c r="A534" s="284">
        <v>45516</v>
      </c>
      <c r="B534" s="105">
        <v>33</v>
      </c>
      <c r="C534" s="285">
        <v>45516</v>
      </c>
      <c r="D534" s="108"/>
      <c r="E534" s="108"/>
      <c r="F534" s="110" t="s">
        <v>584</v>
      </c>
      <c r="G534" s="107">
        <v>1</v>
      </c>
      <c r="H534" s="107">
        <v>9</v>
      </c>
      <c r="I534" s="108">
        <f t="shared" si="61"/>
        <v>9</v>
      </c>
      <c r="J534" s="401">
        <v>14.5</v>
      </c>
      <c r="K534" s="109">
        <f t="shared" si="62"/>
        <v>130.5</v>
      </c>
      <c r="L534" s="402"/>
      <c r="M534" s="403"/>
      <c r="N534" s="111"/>
    </row>
    <row r="535" s="1" customFormat="1" spans="1:16">
      <c r="A535" s="284">
        <v>45516</v>
      </c>
      <c r="B535" s="105">
        <v>33</v>
      </c>
      <c r="C535" s="285">
        <v>45516</v>
      </c>
      <c r="D535" s="108"/>
      <c r="E535" s="108"/>
      <c r="F535" s="1" t="s">
        <v>585</v>
      </c>
      <c r="G535" s="107">
        <v>1</v>
      </c>
      <c r="H535" s="107">
        <f>SUM(H532:H534)</f>
        <v>180</v>
      </c>
      <c r="I535" s="114">
        <f t="shared" si="61"/>
        <v>180</v>
      </c>
      <c r="J535" s="139">
        <v>0.7</v>
      </c>
      <c r="K535" s="115">
        <f t="shared" si="62"/>
        <v>126</v>
      </c>
      <c r="L535" s="110" t="s">
        <v>593</v>
      </c>
      <c r="M535" s="110"/>
      <c r="N535" s="111"/>
    </row>
    <row r="536" s="1" customFormat="1" spans="1:16">
      <c r="A536" s="284">
        <v>45516</v>
      </c>
      <c r="B536" s="105">
        <v>33</v>
      </c>
      <c r="C536" s="285">
        <v>45516</v>
      </c>
      <c r="D536" s="108"/>
      <c r="E536" s="108"/>
      <c r="F536" s="110" t="s">
        <v>594</v>
      </c>
      <c r="G536" s="107">
        <v>3</v>
      </c>
      <c r="H536" s="107">
        <v>1</v>
      </c>
      <c r="I536" s="108">
        <f t="shared" si="61"/>
        <v>3</v>
      </c>
      <c r="J536" s="107">
        <v>12.2</v>
      </c>
      <c r="K536" s="109">
        <f t="shared" si="62"/>
        <v>36.6</v>
      </c>
      <c r="L536" s="110">
        <f>SUM(K532:K536)</f>
        <v>1349.7</v>
      </c>
      <c r="M536" s="110"/>
      <c r="N536" s="111"/>
    </row>
    <row r="537" s="243" customFormat="1" spans="1:16">
      <c r="A537" s="263">
        <v>8</v>
      </c>
      <c r="B537" s="127">
        <v>41</v>
      </c>
      <c r="C537" s="258">
        <v>45517</v>
      </c>
      <c r="D537" s="136"/>
      <c r="E537" s="136"/>
      <c r="F537" s="131" t="s">
        <v>312</v>
      </c>
      <c r="G537" s="136">
        <v>1</v>
      </c>
      <c r="H537" s="136">
        <v>81</v>
      </c>
      <c r="I537" s="136">
        <f t="shared" si="61"/>
        <v>81</v>
      </c>
      <c r="J537" s="135">
        <v>3.6</v>
      </c>
      <c r="K537" s="135">
        <f t="shared" si="62"/>
        <v>291.6</v>
      </c>
      <c r="L537" s="278"/>
      <c r="M537" s="279"/>
      <c r="N537" s="132"/>
    </row>
    <row r="538" s="243" customFormat="1" spans="1:16">
      <c r="A538" s="263">
        <v>45517</v>
      </c>
      <c r="B538" s="127">
        <v>41</v>
      </c>
      <c r="C538" s="258">
        <v>45517</v>
      </c>
      <c r="D538" s="136"/>
      <c r="E538" s="136"/>
      <c r="F538" s="131" t="s">
        <v>311</v>
      </c>
      <c r="G538" s="136">
        <v>1</v>
      </c>
      <c r="H538" s="136">
        <v>90</v>
      </c>
      <c r="I538" s="136">
        <f t="shared" si="61"/>
        <v>90</v>
      </c>
      <c r="J538" s="135">
        <v>8.5</v>
      </c>
      <c r="K538" s="135">
        <f t="shared" si="62"/>
        <v>765</v>
      </c>
      <c r="L538" s="278" t="s">
        <v>519</v>
      </c>
      <c r="M538" s="279"/>
      <c r="N538" s="146" t="s">
        <v>592</v>
      </c>
    </row>
    <row r="539" s="131" customFormat="1" spans="1:16">
      <c r="A539" s="263">
        <v>45517</v>
      </c>
      <c r="B539" s="127">
        <v>41</v>
      </c>
      <c r="C539" s="258">
        <v>45517</v>
      </c>
      <c r="D539" s="136"/>
      <c r="E539" s="136"/>
      <c r="F539" s="131" t="s">
        <v>584</v>
      </c>
      <c r="G539" s="134">
        <v>1</v>
      </c>
      <c r="H539" s="134">
        <v>9</v>
      </c>
      <c r="I539" s="136">
        <f t="shared" si="61"/>
        <v>9</v>
      </c>
      <c r="J539" s="405">
        <v>14.5</v>
      </c>
      <c r="K539" s="135">
        <f t="shared" si="62"/>
        <v>130.5</v>
      </c>
      <c r="L539" s="406"/>
      <c r="M539" s="407"/>
      <c r="N539" s="132"/>
    </row>
    <row r="540" s="2" customFormat="1" spans="1:16">
      <c r="A540" s="263">
        <v>45517</v>
      </c>
      <c r="B540" s="127">
        <v>41</v>
      </c>
      <c r="C540" s="258">
        <v>45517</v>
      </c>
      <c r="D540" s="136"/>
      <c r="E540" s="136"/>
      <c r="F540" s="2" t="s">
        <v>585</v>
      </c>
      <c r="G540" s="134">
        <v>1</v>
      </c>
      <c r="H540" s="134">
        <f>SUM(H537:H539)</f>
        <v>180</v>
      </c>
      <c r="I540" s="136">
        <f t="shared" si="61"/>
        <v>180</v>
      </c>
      <c r="J540" s="134">
        <v>0.7</v>
      </c>
      <c r="K540" s="135">
        <f t="shared" si="62"/>
        <v>126</v>
      </c>
      <c r="L540" s="131" t="s">
        <v>593</v>
      </c>
      <c r="M540" s="131"/>
      <c r="N540" s="132"/>
    </row>
    <row r="541" s="2" customFormat="1" spans="1:16">
      <c r="A541" s="263">
        <v>45517</v>
      </c>
      <c r="B541" s="127">
        <v>41</v>
      </c>
      <c r="C541" s="258">
        <v>45517</v>
      </c>
      <c r="D541" s="136"/>
      <c r="E541" s="136"/>
      <c r="F541" s="131" t="s">
        <v>595</v>
      </c>
      <c r="G541" s="134">
        <v>10</v>
      </c>
      <c r="H541" s="134">
        <v>1</v>
      </c>
      <c r="I541" s="136">
        <f t="shared" si="61"/>
        <v>10</v>
      </c>
      <c r="J541" s="134"/>
      <c r="K541" s="135"/>
      <c r="L541" s="131"/>
      <c r="M541" s="131"/>
      <c r="N541" s="132"/>
    </row>
    <row r="542" s="243" customFormat="1" spans="1:16">
      <c r="A542" s="263">
        <v>45517</v>
      </c>
      <c r="B542" s="127">
        <v>41</v>
      </c>
      <c r="C542" s="258">
        <v>45517</v>
      </c>
      <c r="D542" s="136"/>
      <c r="E542" s="136"/>
      <c r="F542" s="118" t="s">
        <v>586</v>
      </c>
      <c r="G542" s="140">
        <v>2</v>
      </c>
      <c r="H542" s="140">
        <v>20</v>
      </c>
      <c r="I542" s="140">
        <f t="shared" si="61"/>
        <v>40</v>
      </c>
      <c r="J542" s="130">
        <v>14.5</v>
      </c>
      <c r="K542" s="130">
        <f t="shared" ref="K542:K545" si="63">I542*J542</f>
        <v>580</v>
      </c>
      <c r="L542" s="243">
        <f>SUM(K537:K542)</f>
        <v>1893.1</v>
      </c>
      <c r="M542" s="278" t="s">
        <v>596</v>
      </c>
      <c r="N542" s="132"/>
      <c r="O542" s="243">
        <f>SUM(K542)</f>
        <v>580</v>
      </c>
      <c r="P542" s="243" t="s">
        <v>587</v>
      </c>
    </row>
    <row r="543" s="1" customFormat="1" spans="1:16">
      <c r="A543" s="51">
        <v>45519</v>
      </c>
      <c r="B543" s="105">
        <v>46</v>
      </c>
      <c r="C543" s="51">
        <v>45518</v>
      </c>
      <c r="D543" s="51"/>
      <c r="E543" s="51"/>
      <c r="F543" s="110" t="s">
        <v>335</v>
      </c>
      <c r="G543" s="107">
        <v>4</v>
      </c>
      <c r="H543" s="107">
        <v>22</v>
      </c>
      <c r="I543" s="108">
        <f t="shared" si="61"/>
        <v>88</v>
      </c>
      <c r="J543" s="109">
        <v>14.5</v>
      </c>
      <c r="K543" s="109">
        <f t="shared" si="63"/>
        <v>1276</v>
      </c>
      <c r="L543" s="110" t="s">
        <v>427</v>
      </c>
      <c r="M543" s="278" t="s">
        <v>597</v>
      </c>
      <c r="N543" s="111"/>
    </row>
    <row r="544" s="1" customFormat="1" spans="1:16">
      <c r="A544" s="51">
        <v>45519</v>
      </c>
      <c r="B544" s="105">
        <v>46</v>
      </c>
      <c r="C544" s="51">
        <v>45518</v>
      </c>
      <c r="D544" s="51"/>
      <c r="E544" s="51"/>
      <c r="F544" s="110" t="s">
        <v>337</v>
      </c>
      <c r="G544" s="262">
        <v>5</v>
      </c>
      <c r="H544" s="262">
        <v>15</v>
      </c>
      <c r="I544" s="274">
        <f t="shared" si="61"/>
        <v>75</v>
      </c>
      <c r="J544" s="275">
        <v>9</v>
      </c>
      <c r="K544" s="275">
        <f t="shared" si="63"/>
        <v>675</v>
      </c>
      <c r="L544" s="340" t="s">
        <v>598</v>
      </c>
      <c r="M544" s="110" t="s">
        <v>338</v>
      </c>
      <c r="N544" s="111"/>
    </row>
    <row r="545" s="1" customFormat="1" spans="1:14">
      <c r="A545" s="51">
        <v>45519</v>
      </c>
      <c r="B545" s="105">
        <v>46</v>
      </c>
      <c r="C545" s="51">
        <v>45519</v>
      </c>
      <c r="D545" s="51"/>
      <c r="E545" s="51"/>
      <c r="F545" s="110" t="s">
        <v>337</v>
      </c>
      <c r="G545" s="107">
        <v>5</v>
      </c>
      <c r="H545" s="107">
        <v>15</v>
      </c>
      <c r="I545" s="108">
        <f t="shared" si="61"/>
        <v>75</v>
      </c>
      <c r="J545" s="109">
        <v>9</v>
      </c>
      <c r="K545" s="109">
        <f t="shared" si="63"/>
        <v>675</v>
      </c>
      <c r="L545" s="354"/>
      <c r="M545" s="110" t="s">
        <v>338</v>
      </c>
      <c r="N545" s="111"/>
    </row>
    <row r="546" s="261" customFormat="1" spans="1:14">
      <c r="A546" s="51">
        <v>45519</v>
      </c>
      <c r="B546" s="105">
        <v>46</v>
      </c>
      <c r="C546" s="285">
        <v>45519</v>
      </c>
      <c r="D546" s="108"/>
      <c r="E546" s="108"/>
      <c r="F546" s="286" t="s">
        <v>599</v>
      </c>
      <c r="G546" s="408">
        <v>-5</v>
      </c>
      <c r="H546" s="108">
        <v>1</v>
      </c>
      <c r="I546" s="108">
        <f t="shared" ref="I546:I569" si="64">G546*H546</f>
        <v>-5</v>
      </c>
      <c r="J546" s="109">
        <v>12.2</v>
      </c>
      <c r="K546" s="109">
        <f t="shared" ref="K546:K553" si="65">I546*J546</f>
        <v>-61</v>
      </c>
      <c r="L546" s="274">
        <f>SUM(K543:K546)</f>
        <v>2565</v>
      </c>
      <c r="M546" s="275"/>
      <c r="N546" s="275"/>
    </row>
    <row r="547" s="243" customFormat="1" spans="1:14">
      <c r="A547" s="263">
        <v>45519</v>
      </c>
      <c r="B547" s="127">
        <v>48</v>
      </c>
      <c r="C547" s="258">
        <v>45519</v>
      </c>
      <c r="D547" s="136"/>
      <c r="E547" s="136"/>
      <c r="F547" s="131" t="s">
        <v>308</v>
      </c>
      <c r="G547" s="136">
        <v>1</v>
      </c>
      <c r="H547" s="136">
        <v>85</v>
      </c>
      <c r="I547" s="136">
        <f t="shared" si="64"/>
        <v>85</v>
      </c>
      <c r="J547" s="135">
        <v>12.6</v>
      </c>
      <c r="K547" s="135">
        <f t="shared" si="65"/>
        <v>1071</v>
      </c>
      <c r="L547" s="278"/>
      <c r="M547" s="279"/>
      <c r="N547" s="132"/>
    </row>
    <row r="548" s="243" customFormat="1" spans="1:14">
      <c r="A548" s="263">
        <v>45519</v>
      </c>
      <c r="B548" s="127">
        <v>48</v>
      </c>
      <c r="C548" s="258">
        <v>45519</v>
      </c>
      <c r="D548" s="136"/>
      <c r="E548" s="136"/>
      <c r="F548" s="133" t="s">
        <v>120</v>
      </c>
      <c r="G548" s="136">
        <v>1</v>
      </c>
      <c r="H548" s="136">
        <v>2</v>
      </c>
      <c r="I548" s="136">
        <f t="shared" si="64"/>
        <v>2</v>
      </c>
      <c r="J548" s="135">
        <v>21</v>
      </c>
      <c r="K548" s="135">
        <f t="shared" si="65"/>
        <v>42</v>
      </c>
      <c r="L548" s="278"/>
      <c r="M548" s="279"/>
      <c r="N548" s="132"/>
    </row>
    <row r="549" s="243" customFormat="1" spans="1:14">
      <c r="A549" s="263">
        <v>45519</v>
      </c>
      <c r="B549" s="127">
        <v>48</v>
      </c>
      <c r="C549" s="258">
        <v>45519</v>
      </c>
      <c r="D549" s="136"/>
      <c r="E549" s="136"/>
      <c r="F549" s="131" t="s">
        <v>310</v>
      </c>
      <c r="G549" s="136">
        <v>1</v>
      </c>
      <c r="H549" s="136">
        <v>24</v>
      </c>
      <c r="I549" s="136">
        <f t="shared" si="64"/>
        <v>24</v>
      </c>
      <c r="J549" s="135">
        <v>0.6</v>
      </c>
      <c r="K549" s="135">
        <f t="shared" si="65"/>
        <v>14.4</v>
      </c>
      <c r="L549" s="278"/>
      <c r="M549" s="279"/>
      <c r="N549" s="132"/>
    </row>
    <row r="550" s="243" customFormat="1" spans="1:14">
      <c r="A550" s="263">
        <v>45519</v>
      </c>
      <c r="B550" s="127">
        <v>48</v>
      </c>
      <c r="C550" s="258">
        <v>45519</v>
      </c>
      <c r="D550" s="136"/>
      <c r="E550" s="136"/>
      <c r="F550" s="131" t="s">
        <v>570</v>
      </c>
      <c r="G550" s="136">
        <v>1</v>
      </c>
      <c r="H550" s="136">
        <v>0.6</v>
      </c>
      <c r="I550" s="136">
        <f t="shared" si="64"/>
        <v>0.6</v>
      </c>
      <c r="J550" s="135">
        <v>25</v>
      </c>
      <c r="K550" s="135">
        <f t="shared" si="65"/>
        <v>15</v>
      </c>
      <c r="L550" s="278" t="s">
        <v>459</v>
      </c>
      <c r="M550" s="279"/>
      <c r="N550" s="132"/>
    </row>
    <row r="551" s="243" customFormat="1" spans="1:14">
      <c r="A551" s="263">
        <v>45519</v>
      </c>
      <c r="B551" s="127">
        <v>48</v>
      </c>
      <c r="C551" s="258">
        <v>45519</v>
      </c>
      <c r="D551" s="136"/>
      <c r="E551" s="136"/>
      <c r="F551" s="131" t="s">
        <v>323</v>
      </c>
      <c r="G551" s="136">
        <v>1</v>
      </c>
      <c r="H551" s="136">
        <v>30</v>
      </c>
      <c r="I551" s="136">
        <f t="shared" si="64"/>
        <v>30</v>
      </c>
      <c r="J551" s="135">
        <v>18</v>
      </c>
      <c r="K551" s="135">
        <f t="shared" si="65"/>
        <v>540</v>
      </c>
      <c r="L551" s="278" t="s">
        <v>600</v>
      </c>
      <c r="M551" s="279"/>
      <c r="N551" s="132"/>
    </row>
    <row r="552" s="243" customFormat="1" spans="1:14">
      <c r="A552" s="263">
        <v>45519</v>
      </c>
      <c r="B552" s="127">
        <v>48</v>
      </c>
      <c r="C552" s="258">
        <v>45519</v>
      </c>
      <c r="D552" s="136"/>
      <c r="E552" s="136"/>
      <c r="F552" s="131" t="s">
        <v>406</v>
      </c>
      <c r="G552" s="136">
        <v>1</v>
      </c>
      <c r="H552" s="136">
        <v>13</v>
      </c>
      <c r="I552" s="136">
        <f t="shared" si="64"/>
        <v>13</v>
      </c>
      <c r="J552" s="135">
        <v>8.5</v>
      </c>
      <c r="K552" s="135">
        <f t="shared" si="65"/>
        <v>110.5</v>
      </c>
      <c r="L552" s="289" t="s">
        <v>601</v>
      </c>
      <c r="M552" s="279"/>
      <c r="N552" s="132"/>
    </row>
    <row r="553" s="243" customFormat="1" spans="1:14">
      <c r="A553" s="263">
        <v>45519</v>
      </c>
      <c r="B553" s="127">
        <v>48</v>
      </c>
      <c r="C553" s="258">
        <v>45519</v>
      </c>
      <c r="D553" s="136"/>
      <c r="E553" s="136"/>
      <c r="F553" s="131" t="s">
        <v>311</v>
      </c>
      <c r="G553" s="136">
        <v>1</v>
      </c>
      <c r="H553" s="136">
        <v>8</v>
      </c>
      <c r="I553" s="136">
        <f t="shared" si="64"/>
        <v>8</v>
      </c>
      <c r="J553" s="135">
        <v>8.5</v>
      </c>
      <c r="K553" s="135">
        <f t="shared" si="65"/>
        <v>68</v>
      </c>
      <c r="L553" s="278"/>
      <c r="M553" s="279"/>
      <c r="N553" s="132"/>
    </row>
    <row r="554" s="243" customFormat="1" spans="1:14">
      <c r="A554" s="263">
        <v>45519</v>
      </c>
      <c r="B554" s="127">
        <v>48</v>
      </c>
      <c r="C554" s="258">
        <v>45519</v>
      </c>
      <c r="D554" s="136"/>
      <c r="E554" s="136"/>
      <c r="F554" s="131" t="s">
        <v>573</v>
      </c>
      <c r="G554" s="136">
        <v>1</v>
      </c>
      <c r="H554" s="136">
        <v>6.5</v>
      </c>
      <c r="I554" s="136">
        <f t="shared" si="64"/>
        <v>6.5</v>
      </c>
      <c r="J554" s="135"/>
      <c r="K554" s="135"/>
      <c r="L554" s="278" t="s">
        <v>602</v>
      </c>
      <c r="M554" s="279"/>
      <c r="N554" s="132"/>
    </row>
    <row r="555" s="243" customFormat="1" spans="1:14">
      <c r="A555" s="263">
        <v>45519</v>
      </c>
      <c r="B555" s="127">
        <v>48</v>
      </c>
      <c r="C555" s="258">
        <v>45519</v>
      </c>
      <c r="D555" s="136"/>
      <c r="E555" s="136"/>
      <c r="F555" s="131" t="s">
        <v>603</v>
      </c>
      <c r="G555" s="136">
        <v>1</v>
      </c>
      <c r="H555" s="136">
        <f>SUM(H547:H554)</f>
        <v>169.1</v>
      </c>
      <c r="I555" s="136">
        <f t="shared" si="64"/>
        <v>169.1</v>
      </c>
      <c r="J555" s="135">
        <v>2.3</v>
      </c>
      <c r="K555" s="135">
        <f t="shared" ref="K555:K565" si="66">I555*J555</f>
        <v>388.93</v>
      </c>
      <c r="L555" s="278"/>
      <c r="M555" s="279"/>
      <c r="N555" s="132"/>
    </row>
    <row r="556" s="243" customFormat="1" spans="1:14">
      <c r="A556" s="263">
        <v>45519</v>
      </c>
      <c r="B556" s="127">
        <v>48</v>
      </c>
      <c r="C556" s="258">
        <v>45519</v>
      </c>
      <c r="D556" s="136"/>
      <c r="E556" s="136"/>
      <c r="F556" s="131" t="s">
        <v>462</v>
      </c>
      <c r="G556" s="136">
        <v>7</v>
      </c>
      <c r="H556" s="136">
        <v>1</v>
      </c>
      <c r="I556" s="136">
        <f t="shared" si="64"/>
        <v>7</v>
      </c>
      <c r="J556" s="135">
        <v>12.5</v>
      </c>
      <c r="K556" s="135">
        <f t="shared" si="66"/>
        <v>87.5</v>
      </c>
      <c r="L556" s="266">
        <f>SUM(K547:K556)</f>
        <v>2337.33</v>
      </c>
      <c r="M556" s="264"/>
      <c r="N556" s="131"/>
    </row>
    <row r="557" s="245" customFormat="1" ht="18" customHeight="1" spans="1:14">
      <c r="A557" s="284">
        <v>45519</v>
      </c>
      <c r="B557" s="105">
        <v>49</v>
      </c>
      <c r="C557" s="285">
        <v>45519</v>
      </c>
      <c r="D557" s="108"/>
      <c r="E557" s="108"/>
      <c r="F557" s="110" t="s">
        <v>308</v>
      </c>
      <c r="G557" s="108">
        <v>1</v>
      </c>
      <c r="H557" s="108">
        <v>105</v>
      </c>
      <c r="I557" s="108">
        <f t="shared" si="64"/>
        <v>105</v>
      </c>
      <c r="J557" s="109">
        <v>12.6</v>
      </c>
      <c r="K557" s="109">
        <f t="shared" si="66"/>
        <v>1323</v>
      </c>
      <c r="L557" s="288"/>
      <c r="M557" s="291"/>
      <c r="N557" s="111"/>
    </row>
    <row r="558" s="245" customFormat="1" spans="1:14">
      <c r="A558" s="284">
        <v>45519</v>
      </c>
      <c r="B558" s="105">
        <v>49</v>
      </c>
      <c r="C558" s="285">
        <v>45519</v>
      </c>
      <c r="D558" s="108"/>
      <c r="E558" s="108"/>
      <c r="F558" s="106" t="s">
        <v>120</v>
      </c>
      <c r="G558" s="108">
        <v>1</v>
      </c>
      <c r="H558" s="108">
        <v>3</v>
      </c>
      <c r="I558" s="108">
        <f t="shared" si="64"/>
        <v>3</v>
      </c>
      <c r="J558" s="109">
        <v>21</v>
      </c>
      <c r="K558" s="109">
        <f t="shared" si="66"/>
        <v>63</v>
      </c>
      <c r="L558" s="288"/>
      <c r="M558" s="291"/>
      <c r="N558" s="111"/>
    </row>
    <row r="559" s="245" customFormat="1" spans="1:14">
      <c r="A559" s="284">
        <v>45519</v>
      </c>
      <c r="B559" s="105">
        <v>49</v>
      </c>
      <c r="C559" s="285">
        <v>45519</v>
      </c>
      <c r="D559" s="108"/>
      <c r="E559" s="108"/>
      <c r="F559" s="110" t="s">
        <v>310</v>
      </c>
      <c r="G559" s="108">
        <v>1</v>
      </c>
      <c r="H559" s="108">
        <v>30</v>
      </c>
      <c r="I559" s="108">
        <f t="shared" si="64"/>
        <v>30</v>
      </c>
      <c r="J559" s="109">
        <v>0.6</v>
      </c>
      <c r="K559" s="109">
        <f t="shared" si="66"/>
        <v>18</v>
      </c>
      <c r="L559" s="288"/>
      <c r="M559" s="291"/>
      <c r="N559" s="111"/>
    </row>
    <row r="560" s="245" customFormat="1" spans="1:14">
      <c r="A560" s="284">
        <v>45519</v>
      </c>
      <c r="B560" s="105">
        <v>49</v>
      </c>
      <c r="C560" s="285">
        <v>45519</v>
      </c>
      <c r="D560" s="108"/>
      <c r="E560" s="108"/>
      <c r="F560" s="110" t="s">
        <v>570</v>
      </c>
      <c r="G560" s="108">
        <v>1</v>
      </c>
      <c r="H560" s="108">
        <v>3.5</v>
      </c>
      <c r="I560" s="108">
        <f t="shared" si="64"/>
        <v>3.5</v>
      </c>
      <c r="J560" s="109">
        <v>25</v>
      </c>
      <c r="K560" s="109">
        <f t="shared" si="66"/>
        <v>87.5</v>
      </c>
      <c r="L560" s="288" t="s">
        <v>459</v>
      </c>
      <c r="M560" s="291"/>
      <c r="N560" s="111"/>
    </row>
    <row r="561" s="245" customFormat="1" spans="1:16">
      <c r="A561" s="284">
        <v>45519</v>
      </c>
      <c r="B561" s="105">
        <v>49</v>
      </c>
      <c r="C561" s="285">
        <v>45519</v>
      </c>
      <c r="D561" s="108"/>
      <c r="E561" s="108"/>
      <c r="F561" s="110" t="s">
        <v>323</v>
      </c>
      <c r="G561" s="108">
        <v>1</v>
      </c>
      <c r="H561" s="108">
        <v>19</v>
      </c>
      <c r="I561" s="108">
        <f t="shared" si="64"/>
        <v>19</v>
      </c>
      <c r="J561" s="109">
        <v>18</v>
      </c>
      <c r="K561" s="109">
        <f t="shared" si="66"/>
        <v>342</v>
      </c>
      <c r="L561" s="288"/>
      <c r="M561" s="291"/>
      <c r="N561" s="111"/>
    </row>
    <row r="562" s="245" customFormat="1" spans="1:16">
      <c r="A562" s="284">
        <v>45519</v>
      </c>
      <c r="B562" s="105">
        <v>49</v>
      </c>
      <c r="C562" s="285">
        <v>45519</v>
      </c>
      <c r="D562" s="108"/>
      <c r="E562" s="108"/>
      <c r="F562" s="110" t="s">
        <v>575</v>
      </c>
      <c r="G562" s="108">
        <v>1</v>
      </c>
      <c r="H562" s="108">
        <v>0.6</v>
      </c>
      <c r="I562" s="108">
        <f t="shared" si="64"/>
        <v>0.6</v>
      </c>
      <c r="J562" s="109">
        <v>25</v>
      </c>
      <c r="K562" s="109">
        <f t="shared" si="66"/>
        <v>15</v>
      </c>
      <c r="L562" s="288"/>
      <c r="M562" s="291"/>
      <c r="N562" s="111"/>
    </row>
    <row r="563" s="245" customFormat="1" spans="1:16">
      <c r="A563" s="284">
        <v>45519</v>
      </c>
      <c r="B563" s="105">
        <v>49</v>
      </c>
      <c r="C563" s="285">
        <v>45519</v>
      </c>
      <c r="D563" s="108"/>
      <c r="E563" s="108"/>
      <c r="F563" s="110" t="s">
        <v>576</v>
      </c>
      <c r="G563" s="108">
        <v>1</v>
      </c>
      <c r="H563" s="108">
        <v>1</v>
      </c>
      <c r="I563" s="108">
        <f t="shared" si="64"/>
        <v>1</v>
      </c>
      <c r="J563" s="109">
        <v>25</v>
      </c>
      <c r="K563" s="109">
        <f t="shared" si="66"/>
        <v>25</v>
      </c>
      <c r="L563" s="288"/>
      <c r="M563" s="291"/>
      <c r="N563" s="111"/>
    </row>
    <row r="564" s="245" customFormat="1" spans="1:16">
      <c r="A564" s="284">
        <v>45519</v>
      </c>
      <c r="B564" s="105">
        <v>49</v>
      </c>
      <c r="C564" s="285">
        <v>45519</v>
      </c>
      <c r="D564" s="108"/>
      <c r="E564" s="108"/>
      <c r="F564" s="110" t="s">
        <v>406</v>
      </c>
      <c r="G564" s="108">
        <v>1</v>
      </c>
      <c r="H564" s="108">
        <v>17</v>
      </c>
      <c r="I564" s="108">
        <f t="shared" si="64"/>
        <v>17</v>
      </c>
      <c r="J564" s="109">
        <v>8.5</v>
      </c>
      <c r="K564" s="109">
        <f t="shared" si="66"/>
        <v>144.5</v>
      </c>
      <c r="L564" s="288" t="s">
        <v>604</v>
      </c>
      <c r="M564" s="291"/>
      <c r="N564" s="111"/>
    </row>
    <row r="565" s="245" customFormat="1" spans="1:16">
      <c r="A565" s="284">
        <v>45519</v>
      </c>
      <c r="B565" s="105">
        <v>49</v>
      </c>
      <c r="C565" s="285">
        <v>45519</v>
      </c>
      <c r="D565" s="108"/>
      <c r="E565" s="108"/>
      <c r="F565" s="110" t="s">
        <v>311</v>
      </c>
      <c r="G565" s="108">
        <v>1</v>
      </c>
      <c r="H565" s="108">
        <v>6.7</v>
      </c>
      <c r="I565" s="108">
        <f t="shared" si="64"/>
        <v>6.7</v>
      </c>
      <c r="J565" s="109">
        <v>8.5</v>
      </c>
      <c r="K565" s="109">
        <f t="shared" si="66"/>
        <v>56.95</v>
      </c>
      <c r="L565" s="288"/>
      <c r="M565" s="291"/>
      <c r="N565" s="111"/>
    </row>
    <row r="566" s="245" customFormat="1" spans="1:16">
      <c r="A566" s="284">
        <v>45519</v>
      </c>
      <c r="B566" s="105">
        <v>49</v>
      </c>
      <c r="C566" s="285">
        <v>45519</v>
      </c>
      <c r="D566" s="108"/>
      <c r="E566" s="108"/>
      <c r="F566" s="110" t="s">
        <v>580</v>
      </c>
      <c r="G566" s="108">
        <v>1</v>
      </c>
      <c r="H566" s="108">
        <v>15</v>
      </c>
      <c r="I566" s="108">
        <f t="shared" si="64"/>
        <v>15</v>
      </c>
      <c r="J566" s="109"/>
      <c r="K566" s="109"/>
      <c r="L566" s="288"/>
      <c r="M566" s="291"/>
      <c r="N566" s="111"/>
    </row>
    <row r="567" s="245" customFormat="1" spans="1:16">
      <c r="A567" s="284">
        <v>45519</v>
      </c>
      <c r="B567" s="105">
        <v>49</v>
      </c>
      <c r="C567" s="285">
        <v>45519</v>
      </c>
      <c r="D567" s="108"/>
      <c r="E567" s="108"/>
      <c r="F567" s="110" t="s">
        <v>605</v>
      </c>
      <c r="G567" s="108">
        <v>1</v>
      </c>
      <c r="H567" s="108">
        <f>SUM(H557:H566)</f>
        <v>200.8</v>
      </c>
      <c r="I567" s="108">
        <f t="shared" si="64"/>
        <v>200.8</v>
      </c>
      <c r="J567" s="109">
        <v>2.3</v>
      </c>
      <c r="K567" s="109">
        <f t="shared" ref="K567:K572" si="67">I567*J567</f>
        <v>461.84</v>
      </c>
      <c r="L567" s="374"/>
      <c r="M567" s="291"/>
      <c r="N567" s="111"/>
    </row>
    <row r="568" s="245" customFormat="1" spans="1:16">
      <c r="A568" s="284">
        <v>45519</v>
      </c>
      <c r="B568" s="105">
        <v>49</v>
      </c>
      <c r="C568" s="285">
        <v>45519</v>
      </c>
      <c r="D568" s="108"/>
      <c r="E568" s="108"/>
      <c r="F568" s="110" t="s">
        <v>462</v>
      </c>
      <c r="G568" s="108">
        <v>9</v>
      </c>
      <c r="H568" s="108">
        <v>1</v>
      </c>
      <c r="I568" s="108">
        <f t="shared" si="64"/>
        <v>9</v>
      </c>
      <c r="J568" s="109">
        <v>12.5</v>
      </c>
      <c r="K568" s="109">
        <f t="shared" si="67"/>
        <v>112.5</v>
      </c>
      <c r="L568" s="277">
        <f>SUM(K557:K568)</f>
        <v>2649.29</v>
      </c>
      <c r="M568" s="286"/>
      <c r="N568" s="110"/>
    </row>
    <row r="569" s="243" customFormat="1" spans="1:16">
      <c r="A569" s="263">
        <v>45519</v>
      </c>
      <c r="B569" s="127">
        <v>50</v>
      </c>
      <c r="C569" s="258">
        <v>45519</v>
      </c>
      <c r="D569" s="136"/>
      <c r="E569" s="136"/>
      <c r="F569" s="131" t="s">
        <v>312</v>
      </c>
      <c r="G569" s="136">
        <v>1</v>
      </c>
      <c r="H569" s="136">
        <v>81</v>
      </c>
      <c r="I569" s="136">
        <f t="shared" ref="I569:I575" si="68">G569*H569</f>
        <v>81</v>
      </c>
      <c r="J569" s="135">
        <v>3.6</v>
      </c>
      <c r="K569" s="135">
        <f t="shared" si="67"/>
        <v>291.6</v>
      </c>
      <c r="L569" s="278"/>
      <c r="M569" s="409"/>
      <c r="N569" s="409"/>
      <c r="O569" s="409"/>
    </row>
    <row r="570" s="243" customFormat="1" spans="1:16">
      <c r="A570" s="263">
        <v>45519</v>
      </c>
      <c r="B570" s="127">
        <v>50</v>
      </c>
      <c r="C570" s="258">
        <v>45519</v>
      </c>
      <c r="D570" s="136"/>
      <c r="E570" s="136"/>
      <c r="F570" s="131" t="s">
        <v>311</v>
      </c>
      <c r="G570" s="136">
        <v>1</v>
      </c>
      <c r="H570" s="136">
        <v>90</v>
      </c>
      <c r="I570" s="136">
        <f t="shared" si="68"/>
        <v>90</v>
      </c>
      <c r="J570" s="135">
        <v>8.5</v>
      </c>
      <c r="K570" s="135">
        <f t="shared" si="67"/>
        <v>765</v>
      </c>
      <c r="L570" s="278" t="s">
        <v>519</v>
      </c>
      <c r="M570" s="279"/>
      <c r="N570" s="146" t="s">
        <v>592</v>
      </c>
    </row>
    <row r="571" s="131" customFormat="1" spans="1:16">
      <c r="A571" s="263">
        <v>45519</v>
      </c>
      <c r="B571" s="127">
        <v>50</v>
      </c>
      <c r="C571" s="258">
        <v>45519</v>
      </c>
      <c r="D571" s="136"/>
      <c r="E571" s="136"/>
      <c r="F571" s="131" t="s">
        <v>584</v>
      </c>
      <c r="G571" s="134">
        <v>1</v>
      </c>
      <c r="H571" s="134">
        <v>9</v>
      </c>
      <c r="I571" s="136">
        <f t="shared" si="68"/>
        <v>9</v>
      </c>
      <c r="J571" s="405">
        <v>14.5</v>
      </c>
      <c r="K571" s="135">
        <f t="shared" si="67"/>
        <v>130.5</v>
      </c>
      <c r="L571" s="406"/>
      <c r="M571" s="407"/>
      <c r="N571" s="132"/>
    </row>
    <row r="572" s="2" customFormat="1" spans="1:16">
      <c r="A572" s="263">
        <v>45519</v>
      </c>
      <c r="B572" s="127">
        <v>50</v>
      </c>
      <c r="C572" s="258">
        <v>45519</v>
      </c>
      <c r="D572" s="136"/>
      <c r="E572" s="136"/>
      <c r="F572" s="131" t="s">
        <v>606</v>
      </c>
      <c r="G572" s="134">
        <v>1</v>
      </c>
      <c r="H572" s="134">
        <f>SUM(H569:H571)</f>
        <v>180</v>
      </c>
      <c r="I572" s="136">
        <f t="shared" si="68"/>
        <v>180</v>
      </c>
      <c r="J572" s="134">
        <v>0.7</v>
      </c>
      <c r="K572" s="135">
        <f t="shared" si="67"/>
        <v>126</v>
      </c>
      <c r="L572" s="137" t="s">
        <v>607</v>
      </c>
      <c r="M572" s="137"/>
      <c r="N572" s="276"/>
    </row>
    <row r="573" s="2" customFormat="1" spans="1:16">
      <c r="A573" s="263">
        <v>45519</v>
      </c>
      <c r="B573" s="127">
        <v>50</v>
      </c>
      <c r="C573" s="258">
        <v>45519</v>
      </c>
      <c r="D573" s="136"/>
      <c r="E573" s="136"/>
      <c r="F573" s="131" t="s">
        <v>595</v>
      </c>
      <c r="G573" s="134">
        <v>10</v>
      </c>
      <c r="H573" s="134">
        <v>1</v>
      </c>
      <c r="I573" s="136">
        <f t="shared" si="68"/>
        <v>10</v>
      </c>
      <c r="J573" s="134"/>
      <c r="K573" s="135"/>
      <c r="L573" s="137"/>
      <c r="M573" s="137"/>
      <c r="N573" s="276"/>
    </row>
    <row r="574" s="243" customFormat="1" spans="1:16">
      <c r="A574" s="263">
        <v>45519</v>
      </c>
      <c r="B574" s="127">
        <v>50</v>
      </c>
      <c r="C574" s="258">
        <v>45519</v>
      </c>
      <c r="D574" s="136"/>
      <c r="E574" s="136"/>
      <c r="F574" s="118" t="s">
        <v>586</v>
      </c>
      <c r="G574" s="136">
        <v>1</v>
      </c>
      <c r="H574" s="136">
        <v>20</v>
      </c>
      <c r="I574" s="136">
        <f t="shared" si="68"/>
        <v>20</v>
      </c>
      <c r="J574" s="135">
        <v>14.5</v>
      </c>
      <c r="K574" s="135">
        <f>I574*J574</f>
        <v>290</v>
      </c>
      <c r="M574" s="278" t="s">
        <v>596</v>
      </c>
      <c r="N574" s="132"/>
      <c r="O574" s="243">
        <f>SUM(K574)</f>
        <v>290</v>
      </c>
      <c r="P574" s="243" t="s">
        <v>587</v>
      </c>
    </row>
    <row r="575" s="137" customFormat="1" spans="1:16">
      <c r="A575" s="263">
        <v>45519</v>
      </c>
      <c r="B575" s="127">
        <v>50</v>
      </c>
      <c r="C575" s="258">
        <v>45519</v>
      </c>
      <c r="D575" s="136"/>
      <c r="E575" s="136"/>
      <c r="F575" s="118" t="s">
        <v>599</v>
      </c>
      <c r="G575" s="134">
        <v>-1</v>
      </c>
      <c r="H575" s="134">
        <v>1</v>
      </c>
      <c r="I575" s="136">
        <f t="shared" si="68"/>
        <v>-1</v>
      </c>
      <c r="J575" s="134">
        <v>12.2</v>
      </c>
      <c r="K575" s="135">
        <f>I575*J575</f>
        <v>-12.2</v>
      </c>
      <c r="L575" s="137">
        <f>SUM(K569:K575)</f>
        <v>1590.9</v>
      </c>
      <c r="N575" s="276"/>
    </row>
    <row r="576" s="245" customFormat="1" spans="1:16">
      <c r="A576" s="284">
        <v>45521</v>
      </c>
      <c r="B576" s="105">
        <v>55</v>
      </c>
      <c r="C576" s="285">
        <v>45521</v>
      </c>
      <c r="D576" s="108"/>
      <c r="E576" s="108"/>
      <c r="F576" s="110" t="s">
        <v>404</v>
      </c>
      <c r="G576" s="108">
        <v>1</v>
      </c>
      <c r="H576" s="108">
        <v>12</v>
      </c>
      <c r="I576" s="108">
        <f t="shared" ref="I576:I618" si="69">G576*H576</f>
        <v>12</v>
      </c>
      <c r="J576" s="109">
        <v>12.5</v>
      </c>
      <c r="K576" s="109"/>
      <c r="L576" s="286"/>
      <c r="M576" s="286"/>
      <c r="N576" s="110"/>
    </row>
    <row r="577" s="245" customFormat="1" spans="1:15">
      <c r="A577" s="284">
        <v>45521</v>
      </c>
      <c r="B577" s="105">
        <v>55</v>
      </c>
      <c r="C577" s="285">
        <v>45521</v>
      </c>
      <c r="D577" s="108"/>
      <c r="E577" s="108"/>
      <c r="F577" s="110" t="s">
        <v>120</v>
      </c>
      <c r="G577" s="108">
        <v>1</v>
      </c>
      <c r="H577" s="108">
        <v>0.5</v>
      </c>
      <c r="I577" s="108">
        <f t="shared" si="69"/>
        <v>0.5</v>
      </c>
      <c r="J577" s="109">
        <v>21</v>
      </c>
      <c r="K577" s="109">
        <f t="shared" ref="K576:K583" si="70">I577*J577</f>
        <v>10.5</v>
      </c>
      <c r="L577" s="286"/>
      <c r="M577" s="286"/>
      <c r="N577" s="404" t="s">
        <v>592</v>
      </c>
    </row>
    <row r="578" s="110" customFormat="1" spans="1:15">
      <c r="A578" s="284">
        <v>45521</v>
      </c>
      <c r="B578" s="105">
        <v>55</v>
      </c>
      <c r="C578" s="285">
        <v>45521</v>
      </c>
      <c r="D578" s="108"/>
      <c r="E578" s="108"/>
      <c r="F578" s="110" t="s">
        <v>309</v>
      </c>
      <c r="G578" s="107">
        <v>1</v>
      </c>
      <c r="H578" s="107">
        <v>5</v>
      </c>
      <c r="I578" s="108">
        <f t="shared" si="69"/>
        <v>5</v>
      </c>
      <c r="J578" s="401">
        <v>18</v>
      </c>
      <c r="K578" s="109">
        <f t="shared" si="70"/>
        <v>90</v>
      </c>
      <c r="L578" s="106"/>
      <c r="M578" s="106"/>
    </row>
    <row r="579" s="110" customFormat="1" spans="1:15">
      <c r="A579" s="284">
        <v>45521</v>
      </c>
      <c r="B579" s="105">
        <v>55</v>
      </c>
      <c r="C579" s="285">
        <v>45521</v>
      </c>
      <c r="D579" s="108"/>
      <c r="E579" s="108"/>
      <c r="F579" s="110" t="s">
        <v>310</v>
      </c>
      <c r="G579" s="107">
        <v>1</v>
      </c>
      <c r="H579" s="107">
        <v>17</v>
      </c>
      <c r="I579" s="108">
        <f t="shared" si="69"/>
        <v>17</v>
      </c>
      <c r="J579" s="107">
        <v>0.6</v>
      </c>
      <c r="K579" s="109">
        <f t="shared" si="70"/>
        <v>10.2</v>
      </c>
    </row>
    <row r="580" s="110" customFormat="1" spans="1:15">
      <c r="A580" s="284">
        <v>45521</v>
      </c>
      <c r="B580" s="105">
        <v>55</v>
      </c>
      <c r="C580" s="285">
        <v>45521</v>
      </c>
      <c r="D580" s="108"/>
      <c r="E580" s="108"/>
      <c r="F580" s="110" t="s">
        <v>122</v>
      </c>
      <c r="G580" s="107">
        <v>1</v>
      </c>
      <c r="H580" s="107">
        <v>2</v>
      </c>
      <c r="I580" s="108">
        <f t="shared" si="69"/>
        <v>2</v>
      </c>
      <c r="J580" s="107">
        <v>8.5</v>
      </c>
      <c r="K580" s="109">
        <f t="shared" si="70"/>
        <v>17</v>
      </c>
      <c r="L580" s="110" t="s">
        <v>608</v>
      </c>
    </row>
    <row r="581" s="110" customFormat="1" spans="1:15">
      <c r="A581" s="284">
        <v>45521</v>
      </c>
      <c r="B581" s="105">
        <v>55</v>
      </c>
      <c r="C581" s="285">
        <v>45521</v>
      </c>
      <c r="D581" s="108"/>
      <c r="E581" s="108"/>
      <c r="F581" s="110" t="s">
        <v>123</v>
      </c>
      <c r="G581" s="107">
        <v>1</v>
      </c>
      <c r="H581" s="107">
        <v>4</v>
      </c>
      <c r="I581" s="108">
        <f t="shared" si="69"/>
        <v>4</v>
      </c>
      <c r="J581" s="107">
        <v>3.6</v>
      </c>
      <c r="K581" s="109">
        <f t="shared" si="70"/>
        <v>14.4</v>
      </c>
      <c r="L581" s="110" t="s">
        <v>609</v>
      </c>
    </row>
    <row r="582" s="110" customFormat="1" spans="1:15">
      <c r="A582" s="284">
        <v>45521</v>
      </c>
      <c r="B582" s="105">
        <v>55</v>
      </c>
      <c r="C582" s="285">
        <v>45521</v>
      </c>
      <c r="D582" s="108"/>
      <c r="E582" s="108"/>
      <c r="F582" s="110" t="s">
        <v>610</v>
      </c>
      <c r="G582" s="107">
        <v>1</v>
      </c>
      <c r="H582" s="107">
        <f>SUM(H576:H581)</f>
        <v>40.5</v>
      </c>
      <c r="I582" s="108">
        <f t="shared" si="69"/>
        <v>40.5</v>
      </c>
      <c r="J582" s="107">
        <v>2.3</v>
      </c>
      <c r="K582" s="109">
        <f t="shared" si="70"/>
        <v>93.15</v>
      </c>
    </row>
    <row r="583" s="110" customFormat="1" spans="1:15">
      <c r="A583" s="284">
        <v>45521</v>
      </c>
      <c r="B583" s="105">
        <v>55</v>
      </c>
      <c r="C583" s="285">
        <v>45521</v>
      </c>
      <c r="D583" s="108"/>
      <c r="E583" s="108"/>
      <c r="F583" s="110" t="s">
        <v>462</v>
      </c>
      <c r="G583" s="107">
        <v>2</v>
      </c>
      <c r="H583" s="107">
        <v>1</v>
      </c>
      <c r="I583" s="108">
        <f t="shared" si="69"/>
        <v>2</v>
      </c>
      <c r="J583" s="107">
        <v>12.5</v>
      </c>
      <c r="K583" s="109">
        <f t="shared" si="70"/>
        <v>25</v>
      </c>
      <c r="L583" s="110">
        <f>SUM(K576:K583)</f>
        <v>260.25</v>
      </c>
    </row>
    <row r="584" s="243" customFormat="1" spans="1:15">
      <c r="A584" s="263">
        <v>45525</v>
      </c>
      <c r="B584" s="127">
        <v>72</v>
      </c>
      <c r="C584" s="258">
        <v>45525</v>
      </c>
      <c r="D584" s="136"/>
      <c r="E584" s="136"/>
      <c r="F584" s="131" t="s">
        <v>404</v>
      </c>
      <c r="G584" s="136">
        <v>1</v>
      </c>
      <c r="H584" s="136">
        <v>121</v>
      </c>
      <c r="I584" s="136">
        <f t="shared" si="69"/>
        <v>121</v>
      </c>
      <c r="J584" s="135"/>
      <c r="K584" s="135"/>
      <c r="L584" s="264"/>
      <c r="M584" s="264"/>
      <c r="N584" s="131"/>
    </row>
    <row r="585" s="243" customFormat="1" spans="1:15">
      <c r="A585" s="263">
        <v>45525</v>
      </c>
      <c r="B585" s="127">
        <v>72</v>
      </c>
      <c r="C585" s="258">
        <v>45525</v>
      </c>
      <c r="D585" s="136"/>
      <c r="E585" s="136"/>
      <c r="F585" s="131" t="s">
        <v>120</v>
      </c>
      <c r="G585" s="136">
        <v>1</v>
      </c>
      <c r="H585" s="136">
        <v>9</v>
      </c>
      <c r="I585" s="136">
        <f t="shared" si="69"/>
        <v>9</v>
      </c>
      <c r="J585" s="135">
        <v>21</v>
      </c>
      <c r="K585" s="135">
        <f t="shared" ref="K585:K595" si="71">I585*J585</f>
        <v>189</v>
      </c>
      <c r="L585" s="396" t="s">
        <v>611</v>
      </c>
      <c r="M585" s="264"/>
      <c r="N585" s="146" t="s">
        <v>592</v>
      </c>
    </row>
    <row r="586" s="131" customFormat="1" spans="1:15">
      <c r="A586" s="263">
        <v>45525</v>
      </c>
      <c r="B586" s="127">
        <v>72</v>
      </c>
      <c r="C586" s="258">
        <v>45525</v>
      </c>
      <c r="D586" s="136"/>
      <c r="E586" s="136"/>
      <c r="F586" s="131" t="s">
        <v>309</v>
      </c>
      <c r="G586" s="134">
        <v>1</v>
      </c>
      <c r="H586" s="134">
        <v>45</v>
      </c>
      <c r="I586" s="136">
        <f t="shared" si="69"/>
        <v>45</v>
      </c>
      <c r="J586" s="405">
        <v>18</v>
      </c>
      <c r="K586" s="135">
        <f t="shared" si="71"/>
        <v>810</v>
      </c>
      <c r="L586" s="152" t="s">
        <v>612</v>
      </c>
      <c r="M586" s="133"/>
    </row>
    <row r="587" s="131" customFormat="1" spans="1:15">
      <c r="A587" s="263">
        <v>45525</v>
      </c>
      <c r="B587" s="127">
        <v>72</v>
      </c>
      <c r="C587" s="258">
        <v>45525</v>
      </c>
      <c r="D587" s="136"/>
      <c r="E587" s="136"/>
      <c r="F587" s="131" t="s">
        <v>310</v>
      </c>
      <c r="G587" s="134">
        <v>1</v>
      </c>
      <c r="H587" s="134">
        <v>62</v>
      </c>
      <c r="I587" s="136">
        <f t="shared" si="69"/>
        <v>62</v>
      </c>
      <c r="J587" s="134">
        <v>0.6</v>
      </c>
      <c r="K587" s="135">
        <f t="shared" si="71"/>
        <v>37.2</v>
      </c>
      <c r="L587" s="137" t="s">
        <v>613</v>
      </c>
    </row>
    <row r="588" s="131" customFormat="1" spans="1:15">
      <c r="A588" s="263">
        <v>45525</v>
      </c>
      <c r="B588" s="127">
        <v>72</v>
      </c>
      <c r="C588" s="258">
        <v>45525</v>
      </c>
      <c r="D588" s="136"/>
      <c r="E588" s="136"/>
      <c r="F588" s="131" t="s">
        <v>311</v>
      </c>
      <c r="G588" s="134">
        <v>1</v>
      </c>
      <c r="H588" s="134">
        <v>83</v>
      </c>
      <c r="I588" s="136">
        <f t="shared" si="69"/>
        <v>83</v>
      </c>
      <c r="J588" s="134">
        <v>8.5</v>
      </c>
      <c r="K588" s="135">
        <f t="shared" si="71"/>
        <v>705.5</v>
      </c>
    </row>
    <row r="589" s="131" customFormat="1" spans="1:15">
      <c r="A589" s="263">
        <v>45525</v>
      </c>
      <c r="B589" s="127">
        <v>72</v>
      </c>
      <c r="C589" s="258">
        <v>45525</v>
      </c>
      <c r="D589" s="136"/>
      <c r="E589" s="136"/>
      <c r="F589" s="131" t="s">
        <v>312</v>
      </c>
      <c r="G589" s="134">
        <v>1</v>
      </c>
      <c r="H589" s="134">
        <v>84</v>
      </c>
      <c r="I589" s="136">
        <f t="shared" si="69"/>
        <v>84</v>
      </c>
      <c r="J589" s="134">
        <v>3.6</v>
      </c>
      <c r="K589" s="135">
        <f t="shared" si="71"/>
        <v>302.4</v>
      </c>
      <c r="L589" s="131" t="s">
        <v>614</v>
      </c>
    </row>
    <row r="590" s="131" customFormat="1" spans="1:15">
      <c r="A590" s="263">
        <v>45525</v>
      </c>
      <c r="B590" s="127">
        <v>72</v>
      </c>
      <c r="C590" s="258">
        <v>45525</v>
      </c>
      <c r="D590" s="136"/>
      <c r="E590" s="136"/>
      <c r="F590" s="131" t="s">
        <v>615</v>
      </c>
      <c r="G590" s="134">
        <v>1</v>
      </c>
      <c r="H590" s="134">
        <f>SUM(H584:H589)</f>
        <v>404</v>
      </c>
      <c r="I590" s="136">
        <f t="shared" si="69"/>
        <v>404</v>
      </c>
      <c r="J590" s="134">
        <v>2.3</v>
      </c>
      <c r="K590" s="135">
        <f t="shared" si="71"/>
        <v>929.2</v>
      </c>
    </row>
    <row r="591" s="131" customFormat="1" ht="21" customHeight="1" spans="1:15">
      <c r="A591" s="263">
        <v>45525</v>
      </c>
      <c r="B591" s="127">
        <v>72</v>
      </c>
      <c r="C591" s="258">
        <v>45525</v>
      </c>
      <c r="D591" s="136"/>
      <c r="E591" s="136"/>
      <c r="F591" s="131" t="s">
        <v>462</v>
      </c>
      <c r="G591" s="134">
        <v>20</v>
      </c>
      <c r="H591" s="134">
        <v>1</v>
      </c>
      <c r="I591" s="136">
        <f t="shared" si="69"/>
        <v>20</v>
      </c>
      <c r="J591" s="134">
        <v>12.5</v>
      </c>
      <c r="K591" s="135">
        <f t="shared" si="71"/>
        <v>250</v>
      </c>
      <c r="L591" s="131">
        <f>SUM(K584:K591)</f>
        <v>3223.3</v>
      </c>
    </row>
    <row r="592" s="245" customFormat="1" spans="1:15">
      <c r="A592" s="284">
        <v>45530</v>
      </c>
      <c r="B592" s="105">
        <v>84</v>
      </c>
      <c r="C592" s="285">
        <v>45528</v>
      </c>
      <c r="D592" s="108"/>
      <c r="E592" s="108"/>
      <c r="F592" s="110" t="s">
        <v>312</v>
      </c>
      <c r="G592" s="108">
        <v>1</v>
      </c>
      <c r="H592" s="108">
        <v>40.5</v>
      </c>
      <c r="I592" s="108">
        <f t="shared" si="69"/>
        <v>40.5</v>
      </c>
      <c r="J592" s="109">
        <v>3.6</v>
      </c>
      <c r="K592" s="109">
        <f t="shared" si="71"/>
        <v>145.8</v>
      </c>
      <c r="L592" s="288"/>
      <c r="M592" s="410"/>
      <c r="N592" s="410"/>
      <c r="O592" s="410"/>
    </row>
    <row r="593" s="245" customFormat="1" spans="1:16">
      <c r="A593" s="284">
        <v>45530</v>
      </c>
      <c r="B593" s="105">
        <v>84</v>
      </c>
      <c r="C593" s="285">
        <v>45528</v>
      </c>
      <c r="D593" s="108"/>
      <c r="E593" s="108"/>
      <c r="F593" s="110" t="s">
        <v>311</v>
      </c>
      <c r="G593" s="108">
        <v>1</v>
      </c>
      <c r="H593" s="108">
        <v>45</v>
      </c>
      <c r="I593" s="108">
        <f t="shared" si="69"/>
        <v>45</v>
      </c>
      <c r="J593" s="109">
        <v>8.5</v>
      </c>
      <c r="K593" s="109">
        <f t="shared" si="71"/>
        <v>382.5</v>
      </c>
      <c r="L593" s="288" t="s">
        <v>519</v>
      </c>
      <c r="M593" s="291"/>
      <c r="N593" s="404" t="s">
        <v>592</v>
      </c>
    </row>
    <row r="594" s="110" customFormat="1" spans="1:16">
      <c r="A594" s="284">
        <v>45530</v>
      </c>
      <c r="B594" s="105">
        <v>84</v>
      </c>
      <c r="C594" s="285">
        <v>45528</v>
      </c>
      <c r="D594" s="108"/>
      <c r="E594" s="108"/>
      <c r="F594" s="110" t="s">
        <v>584</v>
      </c>
      <c r="G594" s="107">
        <v>1</v>
      </c>
      <c r="H594" s="107">
        <v>4.5</v>
      </c>
      <c r="I594" s="108">
        <f t="shared" si="69"/>
        <v>4.5</v>
      </c>
      <c r="J594" s="401">
        <v>14.5</v>
      </c>
      <c r="K594" s="109">
        <f t="shared" si="71"/>
        <v>65.25</v>
      </c>
      <c r="L594" s="402"/>
      <c r="M594" s="403"/>
      <c r="N594" s="111"/>
    </row>
    <row r="595" s="1" customFormat="1" spans="1:16">
      <c r="A595" s="284">
        <v>45530</v>
      </c>
      <c r="B595" s="105">
        <v>84</v>
      </c>
      <c r="C595" s="285">
        <v>45528</v>
      </c>
      <c r="D595" s="108"/>
      <c r="E595" s="108"/>
      <c r="F595" s="1" t="s">
        <v>585</v>
      </c>
      <c r="G595" s="107">
        <v>1</v>
      </c>
      <c r="H595" s="107">
        <f>SUM(H592:H594)</f>
        <v>90</v>
      </c>
      <c r="I595" s="108">
        <f t="shared" si="69"/>
        <v>90</v>
      </c>
      <c r="J595" s="107">
        <v>0.7</v>
      </c>
      <c r="K595" s="109">
        <f t="shared" si="71"/>
        <v>63</v>
      </c>
      <c r="L595" s="110"/>
      <c r="M595" s="110"/>
      <c r="N595" s="111"/>
    </row>
    <row r="596" s="1" customFormat="1" spans="1:16">
      <c r="A596" s="284">
        <v>45530</v>
      </c>
      <c r="B596" s="105">
        <v>84</v>
      </c>
      <c r="C596" s="285">
        <v>45528</v>
      </c>
      <c r="D596" s="108"/>
      <c r="E596" s="108"/>
      <c r="F596" s="110" t="s">
        <v>595</v>
      </c>
      <c r="G596" s="107">
        <v>5</v>
      </c>
      <c r="H596" s="107">
        <v>1</v>
      </c>
      <c r="I596" s="108">
        <f t="shared" si="69"/>
        <v>5</v>
      </c>
      <c r="J596" s="107"/>
      <c r="K596" s="109"/>
      <c r="L596" s="110"/>
      <c r="M596" s="110"/>
      <c r="N596" s="111"/>
    </row>
    <row r="597" s="245" customFormat="1" spans="1:16">
      <c r="A597" s="284">
        <v>45530</v>
      </c>
      <c r="B597" s="105">
        <v>84</v>
      </c>
      <c r="C597" s="285">
        <v>45528</v>
      </c>
      <c r="D597" s="108"/>
      <c r="E597" s="108"/>
      <c r="F597" s="118" t="s">
        <v>586</v>
      </c>
      <c r="G597" s="108">
        <v>4</v>
      </c>
      <c r="H597" s="108">
        <v>20</v>
      </c>
      <c r="I597" s="108">
        <f t="shared" si="69"/>
        <v>80</v>
      </c>
      <c r="J597" s="109">
        <v>14.5</v>
      </c>
      <c r="K597" s="130">
        <f>I597*J597</f>
        <v>1160</v>
      </c>
      <c r="L597" s="110"/>
      <c r="M597" s="288" t="s">
        <v>596</v>
      </c>
      <c r="N597" s="111"/>
      <c r="O597" s="245">
        <f>SUM(K597)</f>
        <v>1160</v>
      </c>
      <c r="P597" s="245" t="s">
        <v>587</v>
      </c>
    </row>
    <row r="598" s="110" customFormat="1" spans="1:16">
      <c r="A598" s="284">
        <v>45530</v>
      </c>
      <c r="B598" s="105">
        <v>84</v>
      </c>
      <c r="C598" s="285">
        <v>45528</v>
      </c>
      <c r="D598" s="108"/>
      <c r="E598" s="108"/>
      <c r="F598" s="118" t="s">
        <v>595</v>
      </c>
      <c r="G598" s="107">
        <v>-4</v>
      </c>
      <c r="H598" s="107">
        <v>1</v>
      </c>
      <c r="I598" s="108">
        <f t="shared" si="69"/>
        <v>-4</v>
      </c>
      <c r="J598" s="107">
        <v>12.2</v>
      </c>
      <c r="K598" s="130">
        <f>I598*J598</f>
        <v>-48.8</v>
      </c>
      <c r="L598" s="110">
        <f>SUM(K592:K598)</f>
        <v>1767.75</v>
      </c>
      <c r="N598" s="111"/>
    </row>
    <row r="599" s="243" customFormat="1" spans="1:16">
      <c r="A599" s="263">
        <v>45530</v>
      </c>
      <c r="B599" s="127">
        <v>85</v>
      </c>
      <c r="C599" s="258">
        <v>45528</v>
      </c>
      <c r="D599" s="136"/>
      <c r="E599" s="136"/>
      <c r="F599" s="131" t="s">
        <v>308</v>
      </c>
      <c r="G599" s="136">
        <v>1</v>
      </c>
      <c r="H599" s="136">
        <v>126</v>
      </c>
      <c r="I599" s="136">
        <f t="shared" si="69"/>
        <v>126</v>
      </c>
      <c r="J599" s="135">
        <v>12.6</v>
      </c>
      <c r="K599" s="135">
        <f t="shared" ref="K599:K617" si="72">I599*J599</f>
        <v>1587.6</v>
      </c>
      <c r="L599" s="278"/>
      <c r="M599" s="279"/>
      <c r="N599" s="132"/>
    </row>
    <row r="600" s="243" customFormat="1" spans="1:16">
      <c r="A600" s="263">
        <v>45530</v>
      </c>
      <c r="B600" s="127">
        <v>85</v>
      </c>
      <c r="C600" s="258">
        <v>45528</v>
      </c>
      <c r="D600" s="136"/>
      <c r="E600" s="136"/>
      <c r="F600" s="133" t="s">
        <v>120</v>
      </c>
      <c r="G600" s="136">
        <v>1</v>
      </c>
      <c r="H600" s="136">
        <v>3</v>
      </c>
      <c r="I600" s="136">
        <f t="shared" si="69"/>
        <v>3</v>
      </c>
      <c r="J600" s="135">
        <v>21</v>
      </c>
      <c r="K600" s="135">
        <f t="shared" si="72"/>
        <v>63</v>
      </c>
      <c r="L600" s="278"/>
      <c r="M600" s="279"/>
      <c r="N600" s="132"/>
    </row>
    <row r="601" s="243" customFormat="1" spans="1:16">
      <c r="A601" s="263">
        <v>45530</v>
      </c>
      <c r="B601" s="127">
        <v>85</v>
      </c>
      <c r="C601" s="258">
        <v>45528</v>
      </c>
      <c r="D601" s="136"/>
      <c r="E601" s="136"/>
      <c r="F601" s="131" t="s">
        <v>310</v>
      </c>
      <c r="G601" s="136">
        <v>1</v>
      </c>
      <c r="H601" s="136">
        <v>35</v>
      </c>
      <c r="I601" s="136">
        <f t="shared" si="69"/>
        <v>35</v>
      </c>
      <c r="J601" s="135">
        <v>0.6</v>
      </c>
      <c r="K601" s="135">
        <f t="shared" si="72"/>
        <v>21</v>
      </c>
      <c r="L601" s="278"/>
      <c r="M601" s="279"/>
      <c r="N601" s="132"/>
    </row>
    <row r="602" s="243" customFormat="1" spans="1:16">
      <c r="A602" s="263">
        <v>45530</v>
      </c>
      <c r="B602" s="127">
        <v>85</v>
      </c>
      <c r="C602" s="258">
        <v>45528</v>
      </c>
      <c r="D602" s="136"/>
      <c r="E602" s="136"/>
      <c r="F602" s="131" t="s">
        <v>570</v>
      </c>
      <c r="G602" s="136">
        <v>1</v>
      </c>
      <c r="H602" s="136">
        <v>1</v>
      </c>
      <c r="I602" s="136">
        <f t="shared" si="69"/>
        <v>1</v>
      </c>
      <c r="J602" s="135">
        <v>25</v>
      </c>
      <c r="K602" s="135">
        <f t="shared" si="72"/>
        <v>25</v>
      </c>
      <c r="L602" s="278" t="s">
        <v>459</v>
      </c>
      <c r="M602" s="279"/>
      <c r="N602" s="132"/>
    </row>
    <row r="603" s="243" customFormat="1" spans="1:16">
      <c r="A603" s="263">
        <v>45530</v>
      </c>
      <c r="B603" s="127">
        <v>85</v>
      </c>
      <c r="C603" s="258">
        <v>45528</v>
      </c>
      <c r="D603" s="136"/>
      <c r="E603" s="136"/>
      <c r="F603" s="131" t="s">
        <v>323</v>
      </c>
      <c r="G603" s="136">
        <v>1</v>
      </c>
      <c r="H603" s="136">
        <v>45</v>
      </c>
      <c r="I603" s="136">
        <f t="shared" si="69"/>
        <v>45</v>
      </c>
      <c r="J603" s="135">
        <v>18</v>
      </c>
      <c r="K603" s="135">
        <f t="shared" si="72"/>
        <v>810</v>
      </c>
      <c r="L603" s="278" t="s">
        <v>600</v>
      </c>
      <c r="M603" s="279"/>
      <c r="N603" s="132"/>
    </row>
    <row r="604" s="243" customFormat="1" spans="1:16">
      <c r="A604" s="263">
        <v>45530</v>
      </c>
      <c r="B604" s="127">
        <v>85</v>
      </c>
      <c r="C604" s="258">
        <v>45528</v>
      </c>
      <c r="D604" s="136"/>
      <c r="E604" s="136"/>
      <c r="F604" s="131" t="s">
        <v>406</v>
      </c>
      <c r="G604" s="136">
        <v>1</v>
      </c>
      <c r="H604" s="136">
        <v>19</v>
      </c>
      <c r="I604" s="136">
        <f t="shared" si="69"/>
        <v>19</v>
      </c>
      <c r="J604" s="135">
        <v>8.5</v>
      </c>
      <c r="K604" s="135">
        <f t="shared" si="72"/>
        <v>161.5</v>
      </c>
      <c r="L604" s="278" t="s">
        <v>601</v>
      </c>
      <c r="M604" s="279"/>
      <c r="N604" s="132"/>
    </row>
    <row r="605" s="243" customFormat="1" spans="1:16">
      <c r="A605" s="263">
        <v>45530</v>
      </c>
      <c r="B605" s="127">
        <v>85</v>
      </c>
      <c r="C605" s="258">
        <v>45528</v>
      </c>
      <c r="D605" s="136"/>
      <c r="E605" s="136"/>
      <c r="F605" s="131" t="s">
        <v>311</v>
      </c>
      <c r="G605" s="136">
        <v>1</v>
      </c>
      <c r="H605" s="136">
        <v>12</v>
      </c>
      <c r="I605" s="136">
        <f t="shared" si="69"/>
        <v>12</v>
      </c>
      <c r="J605" s="135">
        <v>8.5</v>
      </c>
      <c r="K605" s="135">
        <f t="shared" si="72"/>
        <v>102</v>
      </c>
      <c r="L605" s="278"/>
      <c r="M605" s="279"/>
      <c r="N605" s="132"/>
    </row>
    <row r="606" s="243" customFormat="1" spans="1:16">
      <c r="A606" s="263">
        <v>45530</v>
      </c>
      <c r="B606" s="127">
        <v>85</v>
      </c>
      <c r="C606" s="258">
        <v>45528</v>
      </c>
      <c r="D606" s="136"/>
      <c r="E606" s="136"/>
      <c r="F606" s="131" t="s">
        <v>603</v>
      </c>
      <c r="G606" s="136">
        <v>1</v>
      </c>
      <c r="H606" s="136">
        <f>SUM(H599:H605)</f>
        <v>241</v>
      </c>
      <c r="I606" s="136">
        <f t="shared" si="69"/>
        <v>241</v>
      </c>
      <c r="J606" s="135">
        <v>2.3</v>
      </c>
      <c r="K606" s="135">
        <f t="shared" si="72"/>
        <v>554.3</v>
      </c>
      <c r="L606" s="278"/>
      <c r="M606" s="279"/>
      <c r="N606" s="132"/>
    </row>
    <row r="607" s="243" customFormat="1" spans="1:16">
      <c r="A607" s="263">
        <v>45530</v>
      </c>
      <c r="B607" s="127">
        <v>85</v>
      </c>
      <c r="C607" s="258">
        <v>45528</v>
      </c>
      <c r="D607" s="136"/>
      <c r="E607" s="136"/>
      <c r="F607" s="131" t="s">
        <v>462</v>
      </c>
      <c r="G607" s="136">
        <v>10</v>
      </c>
      <c r="H607" s="136">
        <v>1</v>
      </c>
      <c r="I607" s="136">
        <f t="shared" si="69"/>
        <v>10</v>
      </c>
      <c r="J607" s="135">
        <v>12.5</v>
      </c>
      <c r="K607" s="135">
        <f t="shared" si="72"/>
        <v>125</v>
      </c>
      <c r="L607" s="266">
        <f>SUM(K599:K607)</f>
        <v>3449.4</v>
      </c>
      <c r="M607" s="264"/>
      <c r="N607" s="131"/>
    </row>
    <row r="608" s="246" customFormat="1" spans="1:16">
      <c r="A608" s="285">
        <v>45530</v>
      </c>
      <c r="B608" s="105">
        <v>86</v>
      </c>
      <c r="C608" s="285">
        <v>45530</v>
      </c>
      <c r="D608" s="285"/>
      <c r="E608" s="285"/>
      <c r="F608" s="245" t="s">
        <v>307</v>
      </c>
      <c r="G608" s="108">
        <v>1</v>
      </c>
      <c r="H608" s="108">
        <v>197</v>
      </c>
      <c r="I608" s="108">
        <f t="shared" si="69"/>
        <v>197</v>
      </c>
      <c r="J608" s="109"/>
      <c r="K608" s="109"/>
      <c r="L608" s="245"/>
      <c r="M608" s="245"/>
      <c r="N608" s="302"/>
    </row>
    <row r="609" s="246" customFormat="1" spans="1:17">
      <c r="A609" s="285">
        <v>45530</v>
      </c>
      <c r="B609" s="105">
        <v>86</v>
      </c>
      <c r="C609" s="285">
        <v>45530</v>
      </c>
      <c r="D609" s="285"/>
      <c r="E609" s="285"/>
      <c r="F609" s="245" t="s">
        <v>308</v>
      </c>
      <c r="G609" s="108">
        <v>1</v>
      </c>
      <c r="H609" s="108">
        <v>30</v>
      </c>
      <c r="I609" s="108">
        <f t="shared" si="69"/>
        <v>30</v>
      </c>
      <c r="J609" s="109">
        <v>12.6</v>
      </c>
      <c r="K609" s="109">
        <f t="shared" ref="K609:K618" si="73">I609*J609</f>
        <v>378</v>
      </c>
      <c r="L609" s="245"/>
      <c r="M609" s="245"/>
      <c r="N609" s="302"/>
    </row>
    <row r="610" s="246" customFormat="1" spans="1:17">
      <c r="A610" s="285">
        <v>45530</v>
      </c>
      <c r="B610" s="105">
        <v>86</v>
      </c>
      <c r="C610" s="285">
        <v>45530</v>
      </c>
      <c r="D610" s="285"/>
      <c r="E610" s="285"/>
      <c r="F610" s="245" t="s">
        <v>309</v>
      </c>
      <c r="G610" s="108">
        <v>1</v>
      </c>
      <c r="H610" s="108">
        <v>60</v>
      </c>
      <c r="I610" s="108">
        <f t="shared" si="69"/>
        <v>60</v>
      </c>
      <c r="J610" s="109">
        <v>18</v>
      </c>
      <c r="K610" s="109">
        <f t="shared" si="73"/>
        <v>1080</v>
      </c>
      <c r="L610" s="245"/>
      <c r="M610" s="245"/>
      <c r="N610" s="302"/>
    </row>
    <row r="611" s="246" customFormat="1" spans="1:17">
      <c r="A611" s="285">
        <v>45530</v>
      </c>
      <c r="B611" s="105">
        <v>86</v>
      </c>
      <c r="C611" s="285">
        <v>45530</v>
      </c>
      <c r="D611" s="285"/>
      <c r="E611" s="285"/>
      <c r="F611" s="245" t="s">
        <v>120</v>
      </c>
      <c r="G611" s="108">
        <v>1</v>
      </c>
      <c r="H611" s="108">
        <v>10.5</v>
      </c>
      <c r="I611" s="108">
        <f t="shared" si="69"/>
        <v>10.5</v>
      </c>
      <c r="J611" s="109">
        <v>21</v>
      </c>
      <c r="K611" s="109">
        <f t="shared" si="73"/>
        <v>220.5</v>
      </c>
      <c r="L611" s="245"/>
      <c r="M611" s="245"/>
      <c r="N611" s="302"/>
    </row>
    <row r="612" s="246" customFormat="1" spans="1:17">
      <c r="A612" s="285">
        <v>45530</v>
      </c>
      <c r="B612" s="105">
        <v>86</v>
      </c>
      <c r="C612" s="285">
        <v>45530</v>
      </c>
      <c r="D612" s="285"/>
      <c r="E612" s="285"/>
      <c r="F612" s="245" t="s">
        <v>310</v>
      </c>
      <c r="G612" s="108">
        <v>1</v>
      </c>
      <c r="H612" s="108">
        <v>105</v>
      </c>
      <c r="I612" s="108">
        <f t="shared" si="69"/>
        <v>105</v>
      </c>
      <c r="J612" s="109">
        <v>0.6</v>
      </c>
      <c r="K612" s="109">
        <f t="shared" si="73"/>
        <v>63</v>
      </c>
      <c r="L612" s="245" t="s">
        <v>616</v>
      </c>
      <c r="M612" s="245"/>
      <c r="N612" s="302"/>
    </row>
    <row r="613" s="246" customFormat="1" spans="1:17">
      <c r="A613" s="285">
        <v>45530</v>
      </c>
      <c r="B613" s="105">
        <v>86</v>
      </c>
      <c r="C613" s="285">
        <v>45530</v>
      </c>
      <c r="D613" s="285"/>
      <c r="E613" s="285"/>
      <c r="F613" s="245" t="s">
        <v>311</v>
      </c>
      <c r="G613" s="108">
        <v>1</v>
      </c>
      <c r="H613" s="108">
        <v>183</v>
      </c>
      <c r="I613" s="108">
        <f t="shared" si="69"/>
        <v>183</v>
      </c>
      <c r="J613" s="109">
        <v>8.5</v>
      </c>
      <c r="K613" s="109">
        <f t="shared" si="73"/>
        <v>1555.5</v>
      </c>
      <c r="L613" s="245"/>
      <c r="M613" s="245"/>
      <c r="N613" s="302"/>
    </row>
    <row r="614" s="246" customFormat="1" spans="1:17">
      <c r="A614" s="285">
        <v>45530</v>
      </c>
      <c r="B614" s="105">
        <v>86</v>
      </c>
      <c r="C614" s="285">
        <v>45530</v>
      </c>
      <c r="D614" s="285"/>
      <c r="E614" s="285"/>
      <c r="F614" s="245" t="s">
        <v>312</v>
      </c>
      <c r="G614" s="108">
        <v>1</v>
      </c>
      <c r="H614" s="108">
        <v>120</v>
      </c>
      <c r="I614" s="108">
        <f t="shared" si="69"/>
        <v>120</v>
      </c>
      <c r="J614" s="109">
        <v>3.6</v>
      </c>
      <c r="K614" s="109">
        <f t="shared" si="73"/>
        <v>432</v>
      </c>
      <c r="L614" s="245"/>
      <c r="M614" s="245"/>
      <c r="N614" s="302"/>
    </row>
    <row r="615" s="246" customFormat="1" spans="1:17">
      <c r="A615" s="285">
        <v>45530</v>
      </c>
      <c r="B615" s="105">
        <v>86</v>
      </c>
      <c r="C615" s="285">
        <v>45530</v>
      </c>
      <c r="D615" s="285"/>
      <c r="E615" s="285"/>
      <c r="F615" s="245" t="s">
        <v>125</v>
      </c>
      <c r="G615" s="108">
        <v>1</v>
      </c>
      <c r="H615" s="108">
        <v>0.5</v>
      </c>
      <c r="I615" s="108">
        <f t="shared" si="69"/>
        <v>0.5</v>
      </c>
      <c r="J615" s="109">
        <v>25</v>
      </c>
      <c r="K615" s="109">
        <f t="shared" si="73"/>
        <v>12.5</v>
      </c>
      <c r="L615" s="245"/>
      <c r="M615" s="245"/>
      <c r="N615" s="302"/>
    </row>
    <row r="616" s="246" customFormat="1" spans="1:17">
      <c r="A616" s="285">
        <v>45530</v>
      </c>
      <c r="B616" s="105">
        <v>86</v>
      </c>
      <c r="C616" s="285">
        <v>45530</v>
      </c>
      <c r="D616" s="285"/>
      <c r="E616" s="285"/>
      <c r="F616" s="245" t="s">
        <v>313</v>
      </c>
      <c r="G616" s="108">
        <v>1</v>
      </c>
      <c r="H616" s="108">
        <v>16</v>
      </c>
      <c r="I616" s="108">
        <f t="shared" si="69"/>
        <v>16</v>
      </c>
      <c r="J616" s="109">
        <v>45</v>
      </c>
      <c r="K616" s="109">
        <f t="shared" si="73"/>
        <v>720</v>
      </c>
      <c r="L616" s="245" t="s">
        <v>321</v>
      </c>
      <c r="M616" s="245" t="s">
        <v>322</v>
      </c>
      <c r="N616" s="302"/>
    </row>
    <row r="617" s="246" customFormat="1" spans="1:17">
      <c r="A617" s="285">
        <v>45530</v>
      </c>
      <c r="B617" s="105">
        <v>86</v>
      </c>
      <c r="C617" s="285">
        <v>45530</v>
      </c>
      <c r="D617" s="285"/>
      <c r="E617" s="285"/>
      <c r="F617" s="245" t="s">
        <v>325</v>
      </c>
      <c r="G617" s="108">
        <v>1</v>
      </c>
      <c r="H617" s="108">
        <f>SUM(H608:H616)</f>
        <v>722</v>
      </c>
      <c r="I617" s="108">
        <f t="shared" si="69"/>
        <v>722</v>
      </c>
      <c r="J617" s="109">
        <v>2.3</v>
      </c>
      <c r="K617" s="109">
        <f t="shared" si="73"/>
        <v>1660.6</v>
      </c>
      <c r="L617" s="245" t="s">
        <v>324</v>
      </c>
      <c r="M617" s="245"/>
      <c r="N617" s="302"/>
    </row>
    <row r="618" s="246" customFormat="1" spans="1:17">
      <c r="A618" s="285">
        <v>45530</v>
      </c>
      <c r="B618" s="105">
        <v>86</v>
      </c>
      <c r="C618" s="285">
        <v>45530</v>
      </c>
      <c r="D618" s="285"/>
      <c r="E618" s="285"/>
      <c r="F618" s="245" t="s">
        <v>316</v>
      </c>
      <c r="G618" s="108">
        <v>40</v>
      </c>
      <c r="H618" s="108">
        <v>1</v>
      </c>
      <c r="I618" s="108">
        <f t="shared" si="69"/>
        <v>40</v>
      </c>
      <c r="J618" s="109">
        <v>12.5</v>
      </c>
      <c r="K618" s="109">
        <f t="shared" si="73"/>
        <v>500</v>
      </c>
      <c r="L618" s="245" t="s">
        <v>617</v>
      </c>
      <c r="M618" s="245">
        <f>SUM(K608:K618)</f>
        <v>6622.1</v>
      </c>
      <c r="N618" s="302"/>
    </row>
    <row r="619" s="328" customFormat="1" ht="21" customHeight="1" spans="1:17">
      <c r="A619" s="379" t="s">
        <v>569</v>
      </c>
      <c r="B619" s="379"/>
      <c r="C619" s="379"/>
      <c r="D619" s="379"/>
      <c r="E619" s="379"/>
      <c r="F619" s="379"/>
      <c r="G619" s="379"/>
      <c r="H619" s="379"/>
      <c r="I619" s="379"/>
      <c r="J619" s="380" t="s">
        <v>499</v>
      </c>
      <c r="K619" s="381">
        <f>SUM(K622:K893)</f>
        <v>68267.346</v>
      </c>
      <c r="L619" s="328" t="s">
        <v>500</v>
      </c>
      <c r="M619" s="382">
        <f>K619-M620-O619-O620-P620</f>
        <v>61886.066</v>
      </c>
      <c r="N619" s="383" t="s">
        <v>302</v>
      </c>
      <c r="O619" s="382">
        <f>K628+K641+K646+K655+K660+K665+K680+K692+K697+K707+K715</f>
        <v>1550.6</v>
      </c>
      <c r="P619" s="383" t="s">
        <v>501</v>
      </c>
      <c r="Q619" s="382"/>
    </row>
    <row r="620" s="328" customFormat="1" ht="15" customHeight="1" spans="1:17">
      <c r="A620" s="379"/>
      <c r="B620" s="379"/>
      <c r="C620" s="379"/>
      <c r="D620" s="379"/>
      <c r="E620" s="379"/>
      <c r="F620" s="379"/>
      <c r="G620" s="379"/>
      <c r="H620" s="379"/>
      <c r="I620" s="379"/>
      <c r="J620" s="379"/>
      <c r="K620" s="379"/>
      <c r="L620" s="328" t="s">
        <v>502</v>
      </c>
      <c r="M620" s="382">
        <f>K629+K642+K647+K656+K661+K671+K681+K693+K708+K716</f>
        <v>4376.18</v>
      </c>
      <c r="N620" s="383" t="s">
        <v>503</v>
      </c>
      <c r="O620" s="382">
        <f>K648+K667+K668+K669+K670</f>
        <v>454.5</v>
      </c>
    </row>
    <row r="621" s="329" customFormat="1" ht="23" customHeight="1" spans="1:17">
      <c r="A621" s="384" t="s">
        <v>1</v>
      </c>
      <c r="B621" s="384" t="s">
        <v>304</v>
      </c>
      <c r="C621" s="385" t="s">
        <v>305</v>
      </c>
      <c r="D621" s="385"/>
      <c r="E621" s="385"/>
      <c r="F621" s="385" t="s">
        <v>306</v>
      </c>
      <c r="G621" s="385" t="s">
        <v>113</v>
      </c>
      <c r="H621" s="385" t="s">
        <v>3</v>
      </c>
      <c r="I621" s="385" t="s">
        <v>5</v>
      </c>
      <c r="J621" s="385" t="s">
        <v>114</v>
      </c>
      <c r="K621" s="385" t="s">
        <v>115</v>
      </c>
      <c r="L621" s="385" t="s">
        <v>7</v>
      </c>
      <c r="M621" s="385" t="s">
        <v>303</v>
      </c>
      <c r="N621" s="386" t="s">
        <v>504</v>
      </c>
      <c r="O621" s="387">
        <f>M619+M620+O619+O620+P620</f>
        <v>68267.346</v>
      </c>
    </row>
    <row r="622" s="243" customFormat="1" spans="1:17">
      <c r="A622" s="263">
        <v>45540</v>
      </c>
      <c r="B622" s="127">
        <v>11</v>
      </c>
      <c r="C622" s="258">
        <v>45538</v>
      </c>
      <c r="D622" s="136"/>
      <c r="E622" s="136"/>
      <c r="F622" s="131" t="s">
        <v>308</v>
      </c>
      <c r="G622" s="136">
        <v>1</v>
      </c>
      <c r="H622" s="136">
        <v>126</v>
      </c>
      <c r="I622" s="136">
        <f t="shared" ref="I622:I669" si="74">G622*H622</f>
        <v>126</v>
      </c>
      <c r="J622" s="135">
        <v>12.6</v>
      </c>
      <c r="K622" s="135">
        <f t="shared" ref="K622:K649" si="75">I622*J622</f>
        <v>1587.6</v>
      </c>
      <c r="L622" s="278"/>
      <c r="M622" s="279"/>
      <c r="N622" s="132"/>
    </row>
    <row r="623" s="243" customFormat="1" spans="1:17">
      <c r="A623" s="263">
        <v>45540</v>
      </c>
      <c r="B623" s="127">
        <v>11</v>
      </c>
      <c r="C623" s="258">
        <v>45538</v>
      </c>
      <c r="D623" s="136"/>
      <c r="E623" s="136"/>
      <c r="F623" s="133" t="s">
        <v>120</v>
      </c>
      <c r="G623" s="136">
        <v>1</v>
      </c>
      <c r="H623" s="136">
        <v>3</v>
      </c>
      <c r="I623" s="136">
        <f t="shared" si="74"/>
        <v>3</v>
      </c>
      <c r="J623" s="135">
        <v>21</v>
      </c>
      <c r="K623" s="135">
        <f t="shared" si="75"/>
        <v>63</v>
      </c>
      <c r="L623" s="278"/>
      <c r="M623" s="279"/>
      <c r="N623" s="132"/>
    </row>
    <row r="624" s="243" customFormat="1" spans="1:17">
      <c r="A624" s="263">
        <v>45540</v>
      </c>
      <c r="B624" s="127">
        <v>11</v>
      </c>
      <c r="C624" s="258">
        <v>45538</v>
      </c>
      <c r="D624" s="136"/>
      <c r="E624" s="136"/>
      <c r="F624" s="131" t="s">
        <v>310</v>
      </c>
      <c r="G624" s="136">
        <v>1</v>
      </c>
      <c r="H624" s="136">
        <v>35</v>
      </c>
      <c r="I624" s="136">
        <f t="shared" si="74"/>
        <v>35</v>
      </c>
      <c r="J624" s="135">
        <v>0.6</v>
      </c>
      <c r="K624" s="135">
        <f t="shared" si="75"/>
        <v>21</v>
      </c>
      <c r="L624" s="278"/>
      <c r="M624" s="279"/>
      <c r="N624" s="132"/>
    </row>
    <row r="625" s="243" customFormat="1" spans="1:14">
      <c r="A625" s="263">
        <v>45540</v>
      </c>
      <c r="B625" s="127">
        <v>11</v>
      </c>
      <c r="C625" s="258">
        <v>45538</v>
      </c>
      <c r="D625" s="136"/>
      <c r="E625" s="136"/>
      <c r="F625" s="131" t="s">
        <v>570</v>
      </c>
      <c r="G625" s="136">
        <v>1</v>
      </c>
      <c r="H625" s="136">
        <v>1</v>
      </c>
      <c r="I625" s="136">
        <f t="shared" si="74"/>
        <v>1</v>
      </c>
      <c r="J625" s="135">
        <v>25</v>
      </c>
      <c r="K625" s="135">
        <f t="shared" si="75"/>
        <v>25</v>
      </c>
      <c r="L625" s="278" t="s">
        <v>459</v>
      </c>
      <c r="M625" s="279"/>
      <c r="N625" s="132"/>
    </row>
    <row r="626" s="243" customFormat="1" spans="1:14">
      <c r="A626" s="263">
        <v>45540</v>
      </c>
      <c r="B626" s="127">
        <v>11</v>
      </c>
      <c r="C626" s="258">
        <v>45538</v>
      </c>
      <c r="D626" s="136"/>
      <c r="E626" s="136"/>
      <c r="F626" s="131" t="s">
        <v>323</v>
      </c>
      <c r="G626" s="136">
        <v>1</v>
      </c>
      <c r="H626" s="136">
        <v>45</v>
      </c>
      <c r="I626" s="136">
        <f t="shared" si="74"/>
        <v>45</v>
      </c>
      <c r="J626" s="135">
        <v>18</v>
      </c>
      <c r="K626" s="135">
        <f t="shared" si="75"/>
        <v>810</v>
      </c>
      <c r="L626" s="278" t="s">
        <v>600</v>
      </c>
      <c r="M626" s="279"/>
      <c r="N626" s="132"/>
    </row>
    <row r="627" s="243" customFormat="1" spans="1:14">
      <c r="A627" s="263">
        <v>45540</v>
      </c>
      <c r="B627" s="127">
        <v>11</v>
      </c>
      <c r="C627" s="258">
        <v>45538</v>
      </c>
      <c r="D627" s="136"/>
      <c r="E627" s="136"/>
      <c r="F627" s="131" t="s">
        <v>406</v>
      </c>
      <c r="G627" s="136">
        <v>1</v>
      </c>
      <c r="H627" s="136">
        <v>19</v>
      </c>
      <c r="I627" s="136">
        <f t="shared" si="74"/>
        <v>19</v>
      </c>
      <c r="J627" s="135">
        <v>8.5</v>
      </c>
      <c r="K627" s="135">
        <f t="shared" si="75"/>
        <v>161.5</v>
      </c>
      <c r="L627" s="278" t="s">
        <v>601</v>
      </c>
      <c r="M627" s="279"/>
      <c r="N627" s="132"/>
    </row>
    <row r="628" s="243" customFormat="1" spans="1:14">
      <c r="A628" s="263">
        <v>45540</v>
      </c>
      <c r="B628" s="127">
        <v>11</v>
      </c>
      <c r="C628" s="258">
        <v>45538</v>
      </c>
      <c r="D628" s="136"/>
      <c r="E628" s="136"/>
      <c r="F628" s="131" t="s">
        <v>311</v>
      </c>
      <c r="G628" s="136">
        <v>1</v>
      </c>
      <c r="H628" s="136">
        <v>12</v>
      </c>
      <c r="I628" s="136">
        <f t="shared" si="74"/>
        <v>12</v>
      </c>
      <c r="J628" s="135">
        <v>8.5</v>
      </c>
      <c r="K628" s="135">
        <f t="shared" si="75"/>
        <v>102</v>
      </c>
      <c r="L628" s="278"/>
      <c r="M628" s="279"/>
      <c r="N628" s="132"/>
    </row>
    <row r="629" s="243" customFormat="1" spans="1:14">
      <c r="A629" s="263">
        <v>45540</v>
      </c>
      <c r="B629" s="127">
        <v>11</v>
      </c>
      <c r="C629" s="258">
        <v>45538</v>
      </c>
      <c r="D629" s="136"/>
      <c r="E629" s="136"/>
      <c r="F629" s="131" t="s">
        <v>603</v>
      </c>
      <c r="G629" s="136">
        <v>1</v>
      </c>
      <c r="H629" s="136">
        <f>SUM(H622:H628)</f>
        <v>241</v>
      </c>
      <c r="I629" s="136">
        <f t="shared" si="74"/>
        <v>241</v>
      </c>
      <c r="J629" s="135">
        <v>2.3</v>
      </c>
      <c r="K629" s="135">
        <f t="shared" si="75"/>
        <v>554.3</v>
      </c>
      <c r="L629" s="278"/>
      <c r="M629" s="279"/>
      <c r="N629" s="132"/>
    </row>
    <row r="630" s="243" customFormat="1" spans="1:14">
      <c r="A630" s="263">
        <v>45540</v>
      </c>
      <c r="B630" s="127">
        <v>11</v>
      </c>
      <c r="C630" s="258">
        <v>45538</v>
      </c>
      <c r="D630" s="136"/>
      <c r="E630" s="136"/>
      <c r="F630" s="131" t="s">
        <v>462</v>
      </c>
      <c r="G630" s="136">
        <v>10</v>
      </c>
      <c r="H630" s="136">
        <v>1</v>
      </c>
      <c r="I630" s="136">
        <f t="shared" si="74"/>
        <v>10</v>
      </c>
      <c r="J630" s="135">
        <v>12.5</v>
      </c>
      <c r="K630" s="135">
        <f t="shared" si="75"/>
        <v>125</v>
      </c>
      <c r="L630" s="266">
        <f>SUM(K622:K630)</f>
        <v>3449.4</v>
      </c>
      <c r="M630" s="264"/>
      <c r="N630" s="131"/>
    </row>
    <row r="631" s="245" customFormat="1" ht="18" customHeight="1" spans="1:14">
      <c r="A631" s="284">
        <v>45540</v>
      </c>
      <c r="B631" s="105">
        <v>12</v>
      </c>
      <c r="C631" s="285">
        <v>45540</v>
      </c>
      <c r="D631" s="108"/>
      <c r="E631" s="108"/>
      <c r="F631" s="110" t="s">
        <v>308</v>
      </c>
      <c r="G631" s="108">
        <v>1</v>
      </c>
      <c r="H631" s="108">
        <v>125</v>
      </c>
      <c r="I631" s="108">
        <f t="shared" si="74"/>
        <v>125</v>
      </c>
      <c r="J631" s="109">
        <v>12.6</v>
      </c>
      <c r="K631" s="109">
        <f t="shared" si="75"/>
        <v>1575</v>
      </c>
      <c r="L631" s="288"/>
      <c r="M631" s="291"/>
      <c r="N631" s="111"/>
    </row>
    <row r="632" s="245" customFormat="1" spans="1:14">
      <c r="A632" s="284">
        <v>45540</v>
      </c>
      <c r="B632" s="105">
        <v>12</v>
      </c>
      <c r="C632" s="285">
        <v>45540</v>
      </c>
      <c r="D632" s="108"/>
      <c r="E632" s="108"/>
      <c r="F632" s="106" t="s">
        <v>120</v>
      </c>
      <c r="G632" s="108">
        <v>1</v>
      </c>
      <c r="H632" s="108">
        <v>3.6</v>
      </c>
      <c r="I632" s="108">
        <f t="shared" si="74"/>
        <v>3.6</v>
      </c>
      <c r="J632" s="109">
        <v>21</v>
      </c>
      <c r="K632" s="109">
        <f t="shared" si="75"/>
        <v>75.6</v>
      </c>
      <c r="L632" s="288"/>
      <c r="M632" s="291"/>
      <c r="N632" s="111"/>
    </row>
    <row r="633" s="245" customFormat="1" spans="1:14">
      <c r="A633" s="284">
        <v>45540</v>
      </c>
      <c r="B633" s="105">
        <v>12</v>
      </c>
      <c r="C633" s="285">
        <v>45540</v>
      </c>
      <c r="D633" s="108"/>
      <c r="E633" s="108"/>
      <c r="F633" s="110" t="s">
        <v>310</v>
      </c>
      <c r="G633" s="108">
        <v>1</v>
      </c>
      <c r="H633" s="108">
        <v>35.7</v>
      </c>
      <c r="I633" s="108">
        <f t="shared" si="74"/>
        <v>35.7</v>
      </c>
      <c r="J633" s="109">
        <v>0.6</v>
      </c>
      <c r="K633" s="109">
        <f t="shared" si="75"/>
        <v>21.42</v>
      </c>
      <c r="L633" s="288"/>
      <c r="M633" s="291"/>
      <c r="N633" s="111"/>
    </row>
    <row r="634" s="245" customFormat="1" spans="1:14">
      <c r="A634" s="284">
        <v>45540</v>
      </c>
      <c r="B634" s="105">
        <v>12</v>
      </c>
      <c r="C634" s="285">
        <v>45540</v>
      </c>
      <c r="D634" s="108"/>
      <c r="E634" s="108"/>
      <c r="F634" s="110" t="s">
        <v>570</v>
      </c>
      <c r="G634" s="108">
        <v>1</v>
      </c>
      <c r="H634" s="108">
        <v>4</v>
      </c>
      <c r="I634" s="108">
        <f t="shared" si="74"/>
        <v>4</v>
      </c>
      <c r="J634" s="109">
        <v>25</v>
      </c>
      <c r="K634" s="109">
        <f t="shared" si="75"/>
        <v>100</v>
      </c>
      <c r="L634" s="288" t="s">
        <v>459</v>
      </c>
      <c r="M634" s="291"/>
      <c r="N634" s="111"/>
    </row>
    <row r="635" s="245" customFormat="1" spans="1:14">
      <c r="A635" s="284">
        <v>45540</v>
      </c>
      <c r="B635" s="105">
        <v>12</v>
      </c>
      <c r="C635" s="285">
        <v>45540</v>
      </c>
      <c r="D635" s="108"/>
      <c r="E635" s="108"/>
      <c r="F635" s="110" t="s">
        <v>323</v>
      </c>
      <c r="G635" s="108">
        <v>1</v>
      </c>
      <c r="H635" s="108">
        <v>22.6</v>
      </c>
      <c r="I635" s="108">
        <f t="shared" si="74"/>
        <v>22.6</v>
      </c>
      <c r="J635" s="109">
        <v>18</v>
      </c>
      <c r="K635" s="109">
        <f t="shared" si="75"/>
        <v>406.8</v>
      </c>
      <c r="L635" s="288"/>
      <c r="M635" s="291"/>
      <c r="N635" s="111"/>
    </row>
    <row r="636" s="245" customFormat="1" spans="1:14">
      <c r="A636" s="284">
        <v>45540</v>
      </c>
      <c r="B636" s="105">
        <v>12</v>
      </c>
      <c r="C636" s="285">
        <v>45540</v>
      </c>
      <c r="D636" s="108"/>
      <c r="E636" s="108"/>
      <c r="F636" s="110" t="s">
        <v>575</v>
      </c>
      <c r="G636" s="108">
        <v>1</v>
      </c>
      <c r="H636" s="108">
        <v>0.7</v>
      </c>
      <c r="I636" s="108">
        <f t="shared" si="74"/>
        <v>0.7</v>
      </c>
      <c r="J636" s="109">
        <v>25</v>
      </c>
      <c r="K636" s="109">
        <f t="shared" si="75"/>
        <v>17.5</v>
      </c>
      <c r="L636" s="288"/>
      <c r="M636" s="291"/>
      <c r="N636" s="111"/>
    </row>
    <row r="637" s="245" customFormat="1" spans="1:14">
      <c r="A637" s="284">
        <v>45540</v>
      </c>
      <c r="B637" s="105">
        <v>12</v>
      </c>
      <c r="C637" s="285">
        <v>45540</v>
      </c>
      <c r="D637" s="108"/>
      <c r="E637" s="108"/>
      <c r="F637" s="110" t="s">
        <v>576</v>
      </c>
      <c r="G637" s="108">
        <v>1</v>
      </c>
      <c r="H637" s="108">
        <v>1.2</v>
      </c>
      <c r="I637" s="108">
        <f t="shared" si="74"/>
        <v>1.2</v>
      </c>
      <c r="J637" s="109">
        <v>25</v>
      </c>
      <c r="K637" s="109">
        <f t="shared" si="75"/>
        <v>30</v>
      </c>
      <c r="L637" s="288"/>
      <c r="M637" s="291"/>
      <c r="N637" s="111"/>
    </row>
    <row r="638" s="245" customFormat="1" spans="1:14">
      <c r="A638" s="284">
        <v>45540</v>
      </c>
      <c r="B638" s="105">
        <v>12</v>
      </c>
      <c r="C638" s="285">
        <v>45540</v>
      </c>
      <c r="D638" s="108"/>
      <c r="E638" s="108"/>
      <c r="F638" s="110" t="s">
        <v>406</v>
      </c>
      <c r="G638" s="108">
        <v>1</v>
      </c>
      <c r="H638" s="108">
        <v>20</v>
      </c>
      <c r="I638" s="108">
        <f t="shared" si="74"/>
        <v>20</v>
      </c>
      <c r="J638" s="109">
        <v>8.5</v>
      </c>
      <c r="K638" s="109">
        <f t="shared" si="75"/>
        <v>170</v>
      </c>
      <c r="L638" s="288" t="s">
        <v>604</v>
      </c>
      <c r="M638" s="291"/>
      <c r="N638" s="111"/>
    </row>
    <row r="639" s="245" customFormat="1" spans="1:14">
      <c r="A639" s="284">
        <v>45540</v>
      </c>
      <c r="B639" s="105">
        <v>12</v>
      </c>
      <c r="C639" s="285">
        <v>45540</v>
      </c>
      <c r="D639" s="108"/>
      <c r="E639" s="108"/>
      <c r="F639" s="110" t="s">
        <v>311</v>
      </c>
      <c r="G639" s="108">
        <v>1</v>
      </c>
      <c r="H639" s="108">
        <v>8</v>
      </c>
      <c r="I639" s="108">
        <f t="shared" si="74"/>
        <v>8</v>
      </c>
      <c r="J639" s="109">
        <v>8.5</v>
      </c>
      <c r="K639" s="109">
        <f t="shared" si="75"/>
        <v>68</v>
      </c>
      <c r="L639" s="288"/>
      <c r="M639" s="291"/>
      <c r="N639" s="111"/>
    </row>
    <row r="640" s="245" customFormat="1" spans="1:14">
      <c r="A640" s="284">
        <v>45540</v>
      </c>
      <c r="B640" s="105">
        <v>12</v>
      </c>
      <c r="C640" s="285">
        <v>45540</v>
      </c>
      <c r="D640" s="108"/>
      <c r="E640" s="108"/>
      <c r="F640" s="110" t="s">
        <v>605</v>
      </c>
      <c r="G640" s="108">
        <v>1</v>
      </c>
      <c r="H640" s="108">
        <f>SUM(H631:H639)</f>
        <v>220.8</v>
      </c>
      <c r="I640" s="108">
        <f t="shared" si="74"/>
        <v>220.8</v>
      </c>
      <c r="J640" s="109">
        <v>2.3</v>
      </c>
      <c r="K640" s="109">
        <f t="shared" si="75"/>
        <v>507.84</v>
      </c>
      <c r="L640" s="374"/>
      <c r="M640" s="291"/>
      <c r="N640" s="111"/>
    </row>
    <row r="641" s="245" customFormat="1" spans="1:16">
      <c r="A641" s="284">
        <v>45540</v>
      </c>
      <c r="B641" s="105">
        <v>12</v>
      </c>
      <c r="C641" s="285">
        <v>45540</v>
      </c>
      <c r="D641" s="108"/>
      <c r="E641" s="108"/>
      <c r="F641" s="110" t="s">
        <v>462</v>
      </c>
      <c r="G641" s="108">
        <v>10</v>
      </c>
      <c r="H641" s="108">
        <v>1</v>
      </c>
      <c r="I641" s="108">
        <f t="shared" si="74"/>
        <v>10</v>
      </c>
      <c r="J641" s="109">
        <v>12.5</v>
      </c>
      <c r="K641" s="109">
        <f t="shared" si="75"/>
        <v>125</v>
      </c>
      <c r="L641" s="277">
        <f>SUM(K631:K641)</f>
        <v>3097.16</v>
      </c>
      <c r="M641" s="286"/>
      <c r="N641" s="110"/>
    </row>
    <row r="642" s="2" customFormat="1" spans="1:16">
      <c r="A642" s="126">
        <v>45540</v>
      </c>
      <c r="B642" s="127">
        <v>13</v>
      </c>
      <c r="C642" s="126">
        <v>45540</v>
      </c>
      <c r="D642" s="126"/>
      <c r="E642" s="126"/>
      <c r="F642" s="131" t="s">
        <v>335</v>
      </c>
      <c r="G642" s="134">
        <v>10</v>
      </c>
      <c r="H642" s="134">
        <v>22</v>
      </c>
      <c r="I642" s="136">
        <f t="shared" si="74"/>
        <v>220</v>
      </c>
      <c r="J642" s="135">
        <v>14.5</v>
      </c>
      <c r="K642" s="135">
        <f t="shared" si="75"/>
        <v>3190</v>
      </c>
      <c r="L642" s="131" t="s">
        <v>427</v>
      </c>
      <c r="M642" s="278" t="s">
        <v>597</v>
      </c>
      <c r="N642" s="132"/>
    </row>
    <row r="643" s="245" customFormat="1" spans="1:16">
      <c r="A643" s="284">
        <v>45540</v>
      </c>
      <c r="B643" s="105">
        <v>16</v>
      </c>
      <c r="C643" s="285">
        <v>45540</v>
      </c>
      <c r="D643" s="108"/>
      <c r="E643" s="108"/>
      <c r="F643" s="110" t="s">
        <v>312</v>
      </c>
      <c r="G643" s="108">
        <v>1</v>
      </c>
      <c r="H643" s="108">
        <v>72</v>
      </c>
      <c r="I643" s="108">
        <f t="shared" si="74"/>
        <v>72</v>
      </c>
      <c r="J643" s="109">
        <v>3.6</v>
      </c>
      <c r="K643" s="109">
        <f t="shared" si="75"/>
        <v>259.2</v>
      </c>
      <c r="L643" s="288"/>
      <c r="M643" s="410"/>
      <c r="N643" s="410"/>
      <c r="O643" s="410"/>
    </row>
    <row r="644" s="245" customFormat="1" spans="1:16">
      <c r="A644" s="284">
        <v>45540</v>
      </c>
      <c r="B644" s="105">
        <v>16</v>
      </c>
      <c r="C644" s="285">
        <v>45540</v>
      </c>
      <c r="D644" s="108"/>
      <c r="E644" s="108"/>
      <c r="F644" s="110" t="s">
        <v>311</v>
      </c>
      <c r="G644" s="108">
        <v>1</v>
      </c>
      <c r="H644" s="108">
        <v>72</v>
      </c>
      <c r="I644" s="108">
        <f t="shared" si="74"/>
        <v>72</v>
      </c>
      <c r="J644" s="109">
        <v>8.5</v>
      </c>
      <c r="K644" s="109">
        <f t="shared" si="75"/>
        <v>612</v>
      </c>
      <c r="L644" s="288" t="s">
        <v>519</v>
      </c>
      <c r="M644" s="291"/>
      <c r="N644" s="404" t="s">
        <v>592</v>
      </c>
    </row>
    <row r="645" s="1" customFormat="1" spans="1:16">
      <c r="A645" s="284">
        <v>45540</v>
      </c>
      <c r="B645" s="105">
        <v>16</v>
      </c>
      <c r="C645" s="285">
        <v>45540</v>
      </c>
      <c r="D645" s="108"/>
      <c r="E645" s="108"/>
      <c r="F645" s="1" t="s">
        <v>585</v>
      </c>
      <c r="G645" s="107">
        <v>1</v>
      </c>
      <c r="H645" s="107">
        <f>SUM(H643:H644)</f>
        <v>144</v>
      </c>
      <c r="I645" s="108">
        <f t="shared" si="74"/>
        <v>144</v>
      </c>
      <c r="J645" s="107">
        <v>0.7</v>
      </c>
      <c r="K645" s="109">
        <f t="shared" si="75"/>
        <v>100.8</v>
      </c>
      <c r="L645" s="110"/>
      <c r="M645" s="110"/>
      <c r="N645" s="111"/>
    </row>
    <row r="646" s="1" customFormat="1" spans="1:16">
      <c r="A646" s="284">
        <v>45540</v>
      </c>
      <c r="B646" s="105">
        <v>16</v>
      </c>
      <c r="C646" s="285">
        <v>45540</v>
      </c>
      <c r="D646" s="108"/>
      <c r="E646" s="108"/>
      <c r="F646" s="110" t="s">
        <v>595</v>
      </c>
      <c r="G646" s="107">
        <v>8</v>
      </c>
      <c r="H646" s="107">
        <v>1</v>
      </c>
      <c r="I646" s="108">
        <f t="shared" si="74"/>
        <v>8</v>
      </c>
      <c r="J646" s="107"/>
      <c r="K646" s="109">
        <f t="shared" si="75"/>
        <v>0</v>
      </c>
      <c r="L646" s="110">
        <f>SUM(K643:K646)</f>
        <v>972</v>
      </c>
      <c r="M646" s="110"/>
      <c r="N646" s="111"/>
    </row>
    <row r="647" s="243" customFormat="1" spans="1:16">
      <c r="A647" s="263">
        <v>45541</v>
      </c>
      <c r="B647" s="127">
        <v>18</v>
      </c>
      <c r="C647" s="258">
        <v>45541</v>
      </c>
      <c r="D647" s="136"/>
      <c r="E647" s="136"/>
      <c r="F647" s="131" t="s">
        <v>312</v>
      </c>
      <c r="G647" s="136">
        <v>1</v>
      </c>
      <c r="H647" s="136">
        <v>27</v>
      </c>
      <c r="I647" s="136">
        <f t="shared" si="74"/>
        <v>27</v>
      </c>
      <c r="J647" s="135">
        <v>3.6</v>
      </c>
      <c r="K647" s="135">
        <f t="shared" si="75"/>
        <v>97.2</v>
      </c>
      <c r="L647" s="278"/>
      <c r="M647" s="409"/>
      <c r="N647" s="409"/>
      <c r="O647" s="409"/>
    </row>
    <row r="648" s="243" customFormat="1" spans="1:16">
      <c r="A648" s="263">
        <v>45541</v>
      </c>
      <c r="B648" s="127">
        <v>18</v>
      </c>
      <c r="C648" s="258">
        <v>45541</v>
      </c>
      <c r="D648" s="136"/>
      <c r="E648" s="136"/>
      <c r="F648" s="131" t="s">
        <v>311</v>
      </c>
      <c r="G648" s="136">
        <v>1</v>
      </c>
      <c r="H648" s="136">
        <v>27</v>
      </c>
      <c r="I648" s="136">
        <f t="shared" si="74"/>
        <v>27</v>
      </c>
      <c r="J648" s="135">
        <v>8.5</v>
      </c>
      <c r="K648" s="135">
        <f t="shared" si="75"/>
        <v>229.5</v>
      </c>
      <c r="L648" s="278" t="s">
        <v>519</v>
      </c>
      <c r="M648" s="279"/>
      <c r="N648" s="146" t="s">
        <v>592</v>
      </c>
    </row>
    <row r="649" s="2" customFormat="1" spans="1:16">
      <c r="A649" s="263">
        <v>45541</v>
      </c>
      <c r="B649" s="127">
        <v>18</v>
      </c>
      <c r="C649" s="258">
        <v>45541</v>
      </c>
      <c r="D649" s="136"/>
      <c r="E649" s="136"/>
      <c r="F649" s="2" t="s">
        <v>585</v>
      </c>
      <c r="G649" s="134">
        <v>1</v>
      </c>
      <c r="H649" s="134">
        <f>SUM(H647:H648)</f>
        <v>54</v>
      </c>
      <c r="I649" s="136">
        <f t="shared" si="74"/>
        <v>54</v>
      </c>
      <c r="J649" s="134">
        <v>0.7</v>
      </c>
      <c r="K649" s="135">
        <f t="shared" si="75"/>
        <v>37.8</v>
      </c>
      <c r="L649" s="131"/>
      <c r="M649" s="131"/>
      <c r="N649" s="132"/>
    </row>
    <row r="650" s="2" customFormat="1" spans="1:16">
      <c r="A650" s="263">
        <v>45541</v>
      </c>
      <c r="B650" s="127">
        <v>18</v>
      </c>
      <c r="C650" s="258">
        <v>45541</v>
      </c>
      <c r="D650" s="136"/>
      <c r="E650" s="136"/>
      <c r="F650" s="131" t="s">
        <v>595</v>
      </c>
      <c r="G650" s="134">
        <v>3</v>
      </c>
      <c r="H650" s="134">
        <v>1</v>
      </c>
      <c r="I650" s="136">
        <f t="shared" si="74"/>
        <v>3</v>
      </c>
      <c r="J650" s="134"/>
      <c r="K650" s="135"/>
      <c r="L650" s="131"/>
      <c r="M650" s="131"/>
      <c r="N650" s="132"/>
    </row>
    <row r="651" s="245" customFormat="1" spans="1:16">
      <c r="A651" s="263">
        <v>45541</v>
      </c>
      <c r="B651" s="127">
        <v>18</v>
      </c>
      <c r="C651" s="258">
        <v>45541</v>
      </c>
      <c r="D651" s="136"/>
      <c r="E651" s="136"/>
      <c r="F651" s="118" t="s">
        <v>586</v>
      </c>
      <c r="G651" s="136">
        <v>1</v>
      </c>
      <c r="H651" s="136">
        <v>20</v>
      </c>
      <c r="I651" s="136">
        <f t="shared" si="74"/>
        <v>20</v>
      </c>
      <c r="J651" s="135">
        <v>14.5</v>
      </c>
      <c r="K651" s="130">
        <f t="shared" ref="K651:K668" si="76">I651*J651</f>
        <v>290</v>
      </c>
      <c r="L651" s="110" t="s">
        <v>618</v>
      </c>
      <c r="M651" s="288" t="s">
        <v>596</v>
      </c>
      <c r="N651" s="111"/>
      <c r="O651" s="245">
        <f>SUM(K651)</f>
        <v>290</v>
      </c>
      <c r="P651" s="245" t="s">
        <v>587</v>
      </c>
    </row>
    <row r="652" s="110" customFormat="1" spans="1:16">
      <c r="A652" s="263">
        <v>45541</v>
      </c>
      <c r="B652" s="127">
        <v>18</v>
      </c>
      <c r="C652" s="258">
        <v>45541</v>
      </c>
      <c r="D652" s="136"/>
      <c r="E652" s="136"/>
      <c r="F652" s="131" t="s">
        <v>595</v>
      </c>
      <c r="G652" s="134">
        <v>-1</v>
      </c>
      <c r="H652" s="134">
        <v>1</v>
      </c>
      <c r="I652" s="136">
        <f t="shared" si="74"/>
        <v>-1</v>
      </c>
      <c r="J652" s="134">
        <v>12.2</v>
      </c>
      <c r="K652" s="130">
        <f t="shared" si="76"/>
        <v>-12.2</v>
      </c>
      <c r="L652" s="110">
        <f>SUM(K646:K652)</f>
        <v>642.3</v>
      </c>
      <c r="N652" s="111"/>
    </row>
    <row r="653" s="245" customFormat="1" spans="1:16">
      <c r="A653" s="284">
        <v>45542</v>
      </c>
      <c r="B653" s="105">
        <v>27</v>
      </c>
      <c r="C653" s="285">
        <v>45542</v>
      </c>
      <c r="D653" s="108"/>
      <c r="E653" s="108"/>
      <c r="F653" s="286">
        <v>9122</v>
      </c>
      <c r="G653" s="108">
        <v>1</v>
      </c>
      <c r="H653" s="108">
        <v>1.5</v>
      </c>
      <c r="I653" s="108">
        <f t="shared" si="74"/>
        <v>1.5</v>
      </c>
      <c r="J653" s="109"/>
      <c r="K653" s="109">
        <f t="shared" si="76"/>
        <v>0</v>
      </c>
      <c r="L653" s="108"/>
      <c r="M653" s="109"/>
      <c r="N653" s="109"/>
    </row>
    <row r="654" s="245" customFormat="1" spans="1:16">
      <c r="A654" s="284">
        <v>45542</v>
      </c>
      <c r="B654" s="105">
        <v>27</v>
      </c>
      <c r="C654" s="285">
        <v>45542</v>
      </c>
      <c r="D654" s="108"/>
      <c r="E654" s="108"/>
      <c r="F654" s="286" t="s">
        <v>120</v>
      </c>
      <c r="G654" s="108">
        <v>1</v>
      </c>
      <c r="H654" s="108">
        <v>0.2</v>
      </c>
      <c r="I654" s="108">
        <f t="shared" si="74"/>
        <v>0.2</v>
      </c>
      <c r="J654" s="109">
        <v>21</v>
      </c>
      <c r="K654" s="109">
        <f t="shared" si="76"/>
        <v>4.2</v>
      </c>
      <c r="L654" s="108"/>
      <c r="M654" s="109"/>
      <c r="N654" s="109"/>
    </row>
    <row r="655" s="245" customFormat="1" spans="1:16">
      <c r="A655" s="284">
        <v>45542</v>
      </c>
      <c r="B655" s="105">
        <v>27</v>
      </c>
      <c r="C655" s="285">
        <v>45542</v>
      </c>
      <c r="D655" s="108"/>
      <c r="E655" s="108"/>
      <c r="F655" s="286" t="s">
        <v>309</v>
      </c>
      <c r="G655" s="108">
        <v>1</v>
      </c>
      <c r="H655" s="108">
        <v>2</v>
      </c>
      <c r="I655" s="108">
        <f t="shared" si="74"/>
        <v>2</v>
      </c>
      <c r="J655" s="109">
        <v>18</v>
      </c>
      <c r="K655" s="109">
        <f t="shared" si="76"/>
        <v>36</v>
      </c>
      <c r="L655" s="108"/>
      <c r="M655" s="109"/>
      <c r="N655" s="109"/>
    </row>
    <row r="656" s="245" customFormat="1" spans="1:16">
      <c r="A656" s="284">
        <v>45542</v>
      </c>
      <c r="B656" s="105">
        <v>27</v>
      </c>
      <c r="C656" s="285">
        <v>45542</v>
      </c>
      <c r="D656" s="108"/>
      <c r="E656" s="108"/>
      <c r="F656" s="286" t="s">
        <v>549</v>
      </c>
      <c r="G656" s="108">
        <v>1</v>
      </c>
      <c r="H656" s="108">
        <v>4.3</v>
      </c>
      <c r="I656" s="108">
        <f t="shared" si="74"/>
        <v>4.3</v>
      </c>
      <c r="J656" s="109">
        <v>0.6</v>
      </c>
      <c r="K656" s="109">
        <f t="shared" si="76"/>
        <v>2.58</v>
      </c>
      <c r="L656" s="108"/>
      <c r="M656" s="109"/>
      <c r="N656" s="109"/>
    </row>
    <row r="657" s="245" customFormat="1" spans="1:14">
      <c r="A657" s="284">
        <v>45542</v>
      </c>
      <c r="B657" s="105">
        <v>27</v>
      </c>
      <c r="C657" s="285">
        <v>45542</v>
      </c>
      <c r="D657" s="108"/>
      <c r="E657" s="108"/>
      <c r="F657" s="286" t="s">
        <v>122</v>
      </c>
      <c r="G657" s="108">
        <v>1</v>
      </c>
      <c r="H657" s="108">
        <v>2</v>
      </c>
      <c r="I657" s="108">
        <f t="shared" si="74"/>
        <v>2</v>
      </c>
      <c r="J657" s="109">
        <v>8.5</v>
      </c>
      <c r="K657" s="109">
        <f t="shared" si="76"/>
        <v>17</v>
      </c>
      <c r="L657" s="108" t="s">
        <v>588</v>
      </c>
      <c r="M657" s="109"/>
      <c r="N657" s="277" t="s">
        <v>589</v>
      </c>
    </row>
    <row r="658" s="245" customFormat="1" spans="1:14">
      <c r="A658" s="284">
        <v>45542</v>
      </c>
      <c r="B658" s="105">
        <v>27</v>
      </c>
      <c r="C658" s="285">
        <v>45542</v>
      </c>
      <c r="D658" s="108"/>
      <c r="E658" s="108"/>
      <c r="F658" s="396" t="s">
        <v>619</v>
      </c>
      <c r="G658" s="108">
        <v>1</v>
      </c>
      <c r="H658" s="108">
        <f>SUM(H653:H657)</f>
        <v>10</v>
      </c>
      <c r="I658" s="108">
        <f t="shared" si="74"/>
        <v>10</v>
      </c>
      <c r="J658" s="109">
        <v>2.3</v>
      </c>
      <c r="K658" s="109">
        <f t="shared" si="76"/>
        <v>23</v>
      </c>
      <c r="L658" s="108"/>
      <c r="M658" s="109"/>
      <c r="N658" s="109"/>
    </row>
    <row r="659" s="245" customFormat="1" spans="1:14">
      <c r="A659" s="284">
        <v>45542</v>
      </c>
      <c r="B659" s="105">
        <v>27</v>
      </c>
      <c r="C659" s="285">
        <v>45542</v>
      </c>
      <c r="D659" s="108"/>
      <c r="E659" s="108"/>
      <c r="F659" s="286" t="s">
        <v>591</v>
      </c>
      <c r="G659" s="108">
        <v>1</v>
      </c>
      <c r="H659" s="108">
        <v>1</v>
      </c>
      <c r="I659" s="108">
        <f t="shared" si="74"/>
        <v>1</v>
      </c>
      <c r="J659" s="109">
        <v>12.5</v>
      </c>
      <c r="K659" s="109">
        <f t="shared" si="76"/>
        <v>12.5</v>
      </c>
      <c r="L659" s="108">
        <f>SUM(K653:K659)</f>
        <v>95.28</v>
      </c>
      <c r="M659" s="109"/>
      <c r="N659" s="109"/>
    </row>
    <row r="660" s="2" customFormat="1" spans="1:14">
      <c r="A660" s="126">
        <v>45542</v>
      </c>
      <c r="B660" s="127">
        <v>28</v>
      </c>
      <c r="C660" s="126">
        <v>45542</v>
      </c>
      <c r="D660" s="126"/>
      <c r="E660" s="126"/>
      <c r="F660" s="131" t="s">
        <v>481</v>
      </c>
      <c r="G660" s="134">
        <v>1</v>
      </c>
      <c r="H660" s="134">
        <v>90</v>
      </c>
      <c r="I660" s="136">
        <f t="shared" si="74"/>
        <v>90</v>
      </c>
      <c r="J660" s="135">
        <v>8.6</v>
      </c>
      <c r="K660" s="135">
        <f t="shared" si="76"/>
        <v>774</v>
      </c>
      <c r="L660" s="131"/>
      <c r="M660" s="131"/>
      <c r="N660" s="132"/>
    </row>
    <row r="661" s="2" customFormat="1" spans="1:14">
      <c r="A661" s="126">
        <v>45542</v>
      </c>
      <c r="B661" s="127">
        <v>28</v>
      </c>
      <c r="C661" s="126">
        <v>45542</v>
      </c>
      <c r="D661" s="126"/>
      <c r="E661" s="126"/>
      <c r="F661" s="131" t="s">
        <v>120</v>
      </c>
      <c r="G661" s="134">
        <v>1</v>
      </c>
      <c r="H661" s="134">
        <v>1.6</v>
      </c>
      <c r="I661" s="136">
        <f t="shared" si="74"/>
        <v>1.6</v>
      </c>
      <c r="J661" s="135">
        <v>21</v>
      </c>
      <c r="K661" s="135">
        <f t="shared" si="76"/>
        <v>33.6</v>
      </c>
      <c r="L661" s="131"/>
      <c r="M661" s="131"/>
      <c r="N661" s="132"/>
    </row>
    <row r="662" s="2" customFormat="1" spans="1:14">
      <c r="A662" s="126">
        <v>45542</v>
      </c>
      <c r="B662" s="127">
        <v>28</v>
      </c>
      <c r="C662" s="126">
        <v>45542</v>
      </c>
      <c r="D662" s="126"/>
      <c r="E662" s="126"/>
      <c r="F662" s="131" t="s">
        <v>310</v>
      </c>
      <c r="G662" s="134">
        <v>1</v>
      </c>
      <c r="H662" s="134">
        <v>45</v>
      </c>
      <c r="I662" s="136">
        <f t="shared" si="74"/>
        <v>45</v>
      </c>
      <c r="J662" s="135">
        <v>0.6</v>
      </c>
      <c r="K662" s="135">
        <f t="shared" si="76"/>
        <v>27</v>
      </c>
      <c r="L662" s="131"/>
      <c r="M662" s="131"/>
      <c r="N662" s="132"/>
    </row>
    <row r="663" s="2" customFormat="1" spans="1:14">
      <c r="A663" s="126">
        <v>45542</v>
      </c>
      <c r="B663" s="127">
        <v>28</v>
      </c>
      <c r="C663" s="126">
        <v>45542</v>
      </c>
      <c r="D663" s="126"/>
      <c r="E663" s="126"/>
      <c r="F663" s="131" t="s">
        <v>122</v>
      </c>
      <c r="G663" s="134">
        <v>1</v>
      </c>
      <c r="H663" s="134">
        <v>3.5</v>
      </c>
      <c r="I663" s="136">
        <f t="shared" si="74"/>
        <v>3.5</v>
      </c>
      <c r="J663" s="135">
        <v>8.5</v>
      </c>
      <c r="K663" s="135">
        <f t="shared" si="76"/>
        <v>29.75</v>
      </c>
      <c r="L663" s="131"/>
      <c r="M663" s="131"/>
      <c r="N663" s="132"/>
    </row>
    <row r="664" s="2" customFormat="1" spans="1:14">
      <c r="A664" s="126">
        <v>45542</v>
      </c>
      <c r="B664" s="127">
        <v>28</v>
      </c>
      <c r="C664" s="126">
        <v>45542</v>
      </c>
      <c r="D664" s="126"/>
      <c r="E664" s="126"/>
      <c r="F664" s="131" t="s">
        <v>123</v>
      </c>
      <c r="G664" s="134">
        <v>1</v>
      </c>
      <c r="H664" s="134">
        <v>2.5</v>
      </c>
      <c r="I664" s="136">
        <f t="shared" si="74"/>
        <v>2.5</v>
      </c>
      <c r="J664" s="135">
        <v>3.6</v>
      </c>
      <c r="K664" s="135">
        <f t="shared" si="76"/>
        <v>9</v>
      </c>
      <c r="L664" s="377" t="s">
        <v>482</v>
      </c>
      <c r="M664" s="348"/>
      <c r="N664" s="132"/>
    </row>
    <row r="665" s="2" customFormat="1" spans="1:14">
      <c r="A665" s="126">
        <v>45542</v>
      </c>
      <c r="B665" s="127">
        <v>28</v>
      </c>
      <c r="C665" s="126">
        <v>45542</v>
      </c>
      <c r="D665" s="126"/>
      <c r="E665" s="126"/>
      <c r="F665" s="131" t="s">
        <v>323</v>
      </c>
      <c r="G665" s="134">
        <v>1</v>
      </c>
      <c r="H665" s="134">
        <v>7</v>
      </c>
      <c r="I665" s="136">
        <f t="shared" si="74"/>
        <v>7</v>
      </c>
      <c r="J665" s="135">
        <v>18</v>
      </c>
      <c r="K665" s="135">
        <f t="shared" si="76"/>
        <v>126</v>
      </c>
      <c r="L665" s="377"/>
      <c r="M665" s="348"/>
      <c r="N665" s="132"/>
    </row>
    <row r="666" s="2" customFormat="1" spans="1:14">
      <c r="A666" s="126">
        <v>45542</v>
      </c>
      <c r="B666" s="127">
        <v>28</v>
      </c>
      <c r="C666" s="126">
        <v>45542</v>
      </c>
      <c r="D666" s="126"/>
      <c r="E666" s="126"/>
      <c r="F666" s="131" t="s">
        <v>432</v>
      </c>
      <c r="G666" s="134">
        <v>1</v>
      </c>
      <c r="H666" s="134">
        <v>7</v>
      </c>
      <c r="I666" s="136">
        <f t="shared" si="74"/>
        <v>7</v>
      </c>
      <c r="J666" s="135">
        <v>25</v>
      </c>
      <c r="K666" s="135">
        <f t="shared" si="76"/>
        <v>175</v>
      </c>
      <c r="L666" s="340" t="s">
        <v>483</v>
      </c>
      <c r="M666" s="348"/>
      <c r="N666" s="132"/>
    </row>
    <row r="667" s="2" customFormat="1" spans="1:14">
      <c r="A667" s="126">
        <v>45542</v>
      </c>
      <c r="B667" s="127">
        <v>28</v>
      </c>
      <c r="C667" s="126">
        <v>45542</v>
      </c>
      <c r="D667" s="126"/>
      <c r="E667" s="126"/>
      <c r="F667" s="131" t="s">
        <v>385</v>
      </c>
      <c r="G667" s="134">
        <v>1</v>
      </c>
      <c r="H667" s="134">
        <v>4</v>
      </c>
      <c r="I667" s="136">
        <f t="shared" si="74"/>
        <v>4</v>
      </c>
      <c r="J667" s="135">
        <v>45</v>
      </c>
      <c r="K667" s="135">
        <f t="shared" si="76"/>
        <v>180</v>
      </c>
      <c r="L667" s="340"/>
      <c r="M667" s="348"/>
      <c r="N667" s="132"/>
    </row>
    <row r="668" s="2" customFormat="1" spans="1:14">
      <c r="A668" s="126">
        <v>45542</v>
      </c>
      <c r="B668" s="127">
        <v>28</v>
      </c>
      <c r="C668" s="126">
        <v>45542</v>
      </c>
      <c r="D668" s="126"/>
      <c r="E668" s="126"/>
      <c r="F668" s="131" t="s">
        <v>620</v>
      </c>
      <c r="G668" s="134">
        <v>1</v>
      </c>
      <c r="H668" s="134">
        <v>1</v>
      </c>
      <c r="I668" s="136">
        <f t="shared" si="74"/>
        <v>1</v>
      </c>
      <c r="J668" s="135">
        <v>45</v>
      </c>
      <c r="K668" s="135">
        <f t="shared" si="76"/>
        <v>45</v>
      </c>
      <c r="L668" s="340"/>
      <c r="M668" s="348"/>
      <c r="N668" s="132"/>
    </row>
    <row r="669" s="2" customFormat="1" spans="1:14">
      <c r="A669" s="126">
        <v>45542</v>
      </c>
      <c r="B669" s="127">
        <v>28</v>
      </c>
      <c r="C669" s="126">
        <v>45542</v>
      </c>
      <c r="D669" s="126"/>
      <c r="E669" s="126"/>
      <c r="F669" s="131" t="s">
        <v>359</v>
      </c>
      <c r="G669" s="134">
        <v>1</v>
      </c>
      <c r="H669" s="134">
        <v>0.5</v>
      </c>
      <c r="I669" s="136">
        <f t="shared" si="74"/>
        <v>0.5</v>
      </c>
      <c r="J669" s="136"/>
      <c r="K669" s="135"/>
      <c r="L669" s="340" t="s">
        <v>485</v>
      </c>
      <c r="M669" s="348"/>
      <c r="N669" s="132"/>
    </row>
    <row r="670" s="2" customFormat="1" spans="1:14">
      <c r="A670" s="126">
        <v>45542</v>
      </c>
      <c r="B670" s="127">
        <v>28</v>
      </c>
      <c r="C670" s="126">
        <v>45542</v>
      </c>
      <c r="D670" s="126"/>
      <c r="E670" s="126"/>
      <c r="F670" s="131" t="s">
        <v>390</v>
      </c>
      <c r="G670" s="134">
        <v>1</v>
      </c>
      <c r="H670" s="134">
        <v>8</v>
      </c>
      <c r="I670" s="136">
        <f t="shared" ref="I670:I704" si="77">G670*H670</f>
        <v>8</v>
      </c>
      <c r="J670" s="135"/>
      <c r="K670" s="135"/>
      <c r="L670" s="340"/>
      <c r="M670" s="348"/>
      <c r="N670" s="132"/>
    </row>
    <row r="671" s="2" customFormat="1" spans="1:14">
      <c r="A671" s="126">
        <v>45542</v>
      </c>
      <c r="B671" s="127">
        <v>28</v>
      </c>
      <c r="C671" s="126">
        <v>45542</v>
      </c>
      <c r="D671" s="126"/>
      <c r="E671" s="126"/>
      <c r="F671" s="131" t="s">
        <v>621</v>
      </c>
      <c r="G671" s="134">
        <v>1</v>
      </c>
      <c r="H671" s="134">
        <v>0.03</v>
      </c>
      <c r="I671" s="136">
        <f t="shared" si="77"/>
        <v>0.03</v>
      </c>
      <c r="J671" s="135"/>
      <c r="K671" s="135"/>
      <c r="L671" s="377" t="s">
        <v>622</v>
      </c>
      <c r="M671" s="348"/>
      <c r="N671" s="132"/>
    </row>
    <row r="672" s="2" customFormat="1" spans="1:14">
      <c r="A672" s="126">
        <v>45542</v>
      </c>
      <c r="B672" s="127">
        <v>28</v>
      </c>
      <c r="C672" s="126">
        <v>45542</v>
      </c>
      <c r="D672" s="126"/>
      <c r="E672" s="126"/>
      <c r="F672" s="131" t="s">
        <v>486</v>
      </c>
      <c r="G672" s="134">
        <v>1</v>
      </c>
      <c r="H672" s="134">
        <f>SUM(H660:H671)</f>
        <v>170.13</v>
      </c>
      <c r="I672" s="136">
        <f t="shared" si="77"/>
        <v>170.13</v>
      </c>
      <c r="J672" s="135">
        <v>2</v>
      </c>
      <c r="K672" s="135">
        <f t="shared" ref="K672:K683" si="78">I672*J672</f>
        <v>340.26</v>
      </c>
      <c r="L672" s="137" t="s">
        <v>623</v>
      </c>
      <c r="M672" s="131"/>
      <c r="N672" s="132"/>
    </row>
    <row r="673" s="2" customFormat="1" spans="1:14">
      <c r="A673" s="126">
        <v>45542</v>
      </c>
      <c r="B673" s="127">
        <v>28</v>
      </c>
      <c r="C673" s="126">
        <v>45542</v>
      </c>
      <c r="D673" s="126"/>
      <c r="E673" s="126"/>
      <c r="F673" s="131" t="s">
        <v>316</v>
      </c>
      <c r="G673" s="134">
        <v>8</v>
      </c>
      <c r="H673" s="134">
        <v>1</v>
      </c>
      <c r="I673" s="136">
        <f t="shared" si="77"/>
        <v>8</v>
      </c>
      <c r="J673" s="135">
        <v>12.5</v>
      </c>
      <c r="K673" s="135">
        <f t="shared" si="78"/>
        <v>100</v>
      </c>
      <c r="L673" s="411">
        <f>SUM(K660:K673)</f>
        <v>1839.61</v>
      </c>
      <c r="M673" s="131"/>
      <c r="N673" s="132"/>
    </row>
    <row r="674" s="1" customFormat="1" spans="1:14">
      <c r="A674" s="51">
        <v>45542</v>
      </c>
      <c r="B674" s="105">
        <v>29</v>
      </c>
      <c r="C674" s="51">
        <v>45542</v>
      </c>
      <c r="D674" s="51"/>
      <c r="E674" s="51"/>
      <c r="F674" s="110" t="s">
        <v>481</v>
      </c>
      <c r="G674" s="107">
        <v>1</v>
      </c>
      <c r="H674" s="107">
        <v>165</v>
      </c>
      <c r="I674" s="108">
        <f t="shared" si="77"/>
        <v>165</v>
      </c>
      <c r="J674" s="109">
        <v>8.6</v>
      </c>
      <c r="K674" s="109">
        <f t="shared" si="78"/>
        <v>1419</v>
      </c>
      <c r="L674" s="110"/>
      <c r="M674" s="110"/>
      <c r="N674" s="111"/>
    </row>
    <row r="675" s="1" customFormat="1" spans="1:14">
      <c r="A675" s="51">
        <v>45542</v>
      </c>
      <c r="B675" s="105">
        <v>29</v>
      </c>
      <c r="C675" s="51">
        <v>45542</v>
      </c>
      <c r="D675" s="51"/>
      <c r="E675" s="51"/>
      <c r="F675" s="110" t="s">
        <v>120</v>
      </c>
      <c r="G675" s="107">
        <v>1</v>
      </c>
      <c r="H675" s="107">
        <v>4.5</v>
      </c>
      <c r="I675" s="108">
        <f t="shared" si="77"/>
        <v>4.5</v>
      </c>
      <c r="J675" s="109">
        <v>21</v>
      </c>
      <c r="K675" s="109">
        <f t="shared" si="78"/>
        <v>94.5</v>
      </c>
      <c r="L675" s="110"/>
      <c r="M675" s="110"/>
      <c r="N675" s="111"/>
    </row>
    <row r="676" s="1" customFormat="1" spans="1:14">
      <c r="A676" s="51">
        <v>45542</v>
      </c>
      <c r="B676" s="105">
        <v>29</v>
      </c>
      <c r="C676" s="51">
        <v>45542</v>
      </c>
      <c r="D676" s="51"/>
      <c r="E676" s="51"/>
      <c r="F676" s="110" t="s">
        <v>309</v>
      </c>
      <c r="G676" s="107">
        <v>1</v>
      </c>
      <c r="H676" s="107">
        <v>57</v>
      </c>
      <c r="I676" s="108">
        <f t="shared" si="77"/>
        <v>57</v>
      </c>
      <c r="J676" s="109">
        <v>18</v>
      </c>
      <c r="K676" s="109">
        <f t="shared" si="78"/>
        <v>1026</v>
      </c>
      <c r="L676" s="110"/>
      <c r="M676" s="110"/>
      <c r="N676" s="111"/>
    </row>
    <row r="677" s="1" customFormat="1" spans="1:14">
      <c r="A677" s="51">
        <v>45542</v>
      </c>
      <c r="B677" s="105">
        <v>29</v>
      </c>
      <c r="C677" s="51">
        <v>45542</v>
      </c>
      <c r="D677" s="51"/>
      <c r="E677" s="51"/>
      <c r="F677" s="110" t="s">
        <v>310</v>
      </c>
      <c r="G677" s="107">
        <v>1</v>
      </c>
      <c r="H677" s="107">
        <v>100</v>
      </c>
      <c r="I677" s="108">
        <f t="shared" si="77"/>
        <v>100</v>
      </c>
      <c r="J677" s="109">
        <v>0.6</v>
      </c>
      <c r="K677" s="109">
        <f t="shared" si="78"/>
        <v>60</v>
      </c>
      <c r="L677" s="110"/>
      <c r="M677" s="110"/>
      <c r="N677" s="111"/>
    </row>
    <row r="678" s="1" customFormat="1" spans="1:14">
      <c r="A678" s="51">
        <v>45542</v>
      </c>
      <c r="B678" s="105">
        <v>29</v>
      </c>
      <c r="C678" s="51">
        <v>45542</v>
      </c>
      <c r="D678" s="51"/>
      <c r="E678" s="51"/>
      <c r="F678" s="110" t="s">
        <v>122</v>
      </c>
      <c r="G678" s="107">
        <v>1</v>
      </c>
      <c r="H678" s="107">
        <v>23</v>
      </c>
      <c r="I678" s="108">
        <f t="shared" si="77"/>
        <v>23</v>
      </c>
      <c r="J678" s="109">
        <v>8.5</v>
      </c>
      <c r="K678" s="109">
        <f t="shared" si="78"/>
        <v>195.5</v>
      </c>
      <c r="L678" s="110"/>
      <c r="M678" s="110"/>
      <c r="N678" s="111"/>
    </row>
    <row r="679" s="1" customFormat="1" spans="1:14">
      <c r="A679" s="51">
        <v>45542</v>
      </c>
      <c r="B679" s="105">
        <v>29</v>
      </c>
      <c r="C679" s="51">
        <v>45542</v>
      </c>
      <c r="D679" s="51"/>
      <c r="E679" s="51"/>
      <c r="F679" s="110" t="s">
        <v>123</v>
      </c>
      <c r="G679" s="107">
        <v>1</v>
      </c>
      <c r="H679" s="107">
        <v>21</v>
      </c>
      <c r="I679" s="108">
        <f t="shared" si="77"/>
        <v>21</v>
      </c>
      <c r="J679" s="109">
        <v>3.6</v>
      </c>
      <c r="K679" s="109">
        <f t="shared" si="78"/>
        <v>75.6</v>
      </c>
      <c r="L679" s="412" t="s">
        <v>482</v>
      </c>
      <c r="M679" s="354"/>
      <c r="N679" s="111"/>
    </row>
    <row r="680" s="1" customFormat="1" spans="1:14">
      <c r="A680" s="51">
        <v>45542</v>
      </c>
      <c r="B680" s="105">
        <v>29</v>
      </c>
      <c r="C680" s="51">
        <v>45542</v>
      </c>
      <c r="D680" s="51"/>
      <c r="E680" s="51"/>
      <c r="F680" s="110" t="s">
        <v>432</v>
      </c>
      <c r="G680" s="107">
        <v>1</v>
      </c>
      <c r="H680" s="107">
        <v>0.6</v>
      </c>
      <c r="I680" s="108">
        <f t="shared" si="77"/>
        <v>0.6</v>
      </c>
      <c r="J680" s="109">
        <v>25</v>
      </c>
      <c r="K680" s="109">
        <f t="shared" si="78"/>
        <v>15</v>
      </c>
      <c r="L680" s="354" t="s">
        <v>483</v>
      </c>
      <c r="M680" s="354"/>
      <c r="N680" s="111"/>
    </row>
    <row r="681" s="1" customFormat="1" spans="1:14">
      <c r="A681" s="51">
        <v>45542</v>
      </c>
      <c r="B681" s="105">
        <v>29</v>
      </c>
      <c r="C681" s="51">
        <v>45542</v>
      </c>
      <c r="D681" s="51"/>
      <c r="E681" s="51"/>
      <c r="F681" s="110" t="s">
        <v>125</v>
      </c>
      <c r="G681" s="107">
        <v>1</v>
      </c>
      <c r="H681" s="107">
        <v>0.6</v>
      </c>
      <c r="I681" s="108">
        <f t="shared" si="77"/>
        <v>0.6</v>
      </c>
      <c r="J681" s="109">
        <v>25</v>
      </c>
      <c r="K681" s="109">
        <f t="shared" si="78"/>
        <v>15</v>
      </c>
      <c r="L681" s="137" t="s">
        <v>624</v>
      </c>
      <c r="M681" s="354"/>
      <c r="N681" s="111"/>
    </row>
    <row r="682" s="1" customFormat="1" spans="1:14">
      <c r="A682" s="51">
        <v>45542</v>
      </c>
      <c r="B682" s="105">
        <v>29</v>
      </c>
      <c r="C682" s="51">
        <v>45542</v>
      </c>
      <c r="D682" s="51"/>
      <c r="E682" s="51"/>
      <c r="F682" s="110" t="s">
        <v>351</v>
      </c>
      <c r="G682" s="107">
        <v>1</v>
      </c>
      <c r="H682" s="107">
        <v>0.9</v>
      </c>
      <c r="I682" s="108">
        <f t="shared" si="77"/>
        <v>0.9</v>
      </c>
      <c r="J682" s="109">
        <v>25</v>
      </c>
      <c r="K682" s="109">
        <f t="shared" si="78"/>
        <v>22.5</v>
      </c>
      <c r="L682" s="354"/>
      <c r="M682" s="354"/>
      <c r="N682" s="111"/>
    </row>
    <row r="683" s="1" customFormat="1" spans="1:14">
      <c r="A683" s="51">
        <v>45542</v>
      </c>
      <c r="B683" s="105">
        <v>29</v>
      </c>
      <c r="C683" s="51">
        <v>45542</v>
      </c>
      <c r="D683" s="51"/>
      <c r="E683" s="51"/>
      <c r="F683" s="110" t="s">
        <v>385</v>
      </c>
      <c r="G683" s="107">
        <v>1</v>
      </c>
      <c r="H683" s="107">
        <v>0.4</v>
      </c>
      <c r="I683" s="108">
        <f t="shared" si="77"/>
        <v>0.4</v>
      </c>
      <c r="J683" s="109">
        <v>45</v>
      </c>
      <c r="K683" s="109">
        <f t="shared" si="78"/>
        <v>18</v>
      </c>
      <c r="L683" s="354"/>
      <c r="M683" s="354"/>
      <c r="N683" s="111"/>
    </row>
    <row r="684" s="1" customFormat="1" spans="1:14">
      <c r="A684" s="51">
        <v>45542</v>
      </c>
      <c r="B684" s="105">
        <v>29</v>
      </c>
      <c r="C684" s="51">
        <v>45542</v>
      </c>
      <c r="D684" s="51"/>
      <c r="E684" s="51"/>
      <c r="F684" s="110" t="s">
        <v>359</v>
      </c>
      <c r="G684" s="107">
        <v>1</v>
      </c>
      <c r="H684" s="107">
        <v>1.5</v>
      </c>
      <c r="I684" s="108">
        <f t="shared" si="77"/>
        <v>1.5</v>
      </c>
      <c r="J684" s="108"/>
      <c r="K684" s="109"/>
      <c r="L684" s="354" t="s">
        <v>489</v>
      </c>
      <c r="M684" s="354"/>
      <c r="N684" s="111"/>
    </row>
    <row r="685" s="1" customFormat="1" spans="1:14">
      <c r="A685" s="51">
        <v>45542</v>
      </c>
      <c r="B685" s="105">
        <v>29</v>
      </c>
      <c r="C685" s="51">
        <v>45542</v>
      </c>
      <c r="D685" s="51"/>
      <c r="E685" s="51"/>
      <c r="F685" s="110" t="s">
        <v>390</v>
      </c>
      <c r="G685" s="107">
        <v>1</v>
      </c>
      <c r="H685" s="107">
        <v>44</v>
      </c>
      <c r="I685" s="108">
        <f t="shared" si="77"/>
        <v>44</v>
      </c>
      <c r="J685" s="109"/>
      <c r="K685" s="109"/>
      <c r="L685" s="354"/>
      <c r="M685" s="354"/>
      <c r="N685" s="111"/>
    </row>
    <row r="686" s="1" customFormat="1" spans="1:14">
      <c r="A686" s="51">
        <v>45542</v>
      </c>
      <c r="B686" s="105">
        <v>29</v>
      </c>
      <c r="C686" s="51">
        <v>45542</v>
      </c>
      <c r="D686" s="51"/>
      <c r="E686" s="51"/>
      <c r="F686" s="110" t="s">
        <v>621</v>
      </c>
      <c r="G686" s="107">
        <v>1</v>
      </c>
      <c r="H686" s="107">
        <v>0.08</v>
      </c>
      <c r="I686" s="108">
        <f t="shared" si="77"/>
        <v>0.08</v>
      </c>
      <c r="J686" s="109"/>
      <c r="K686" s="109"/>
      <c r="L686" s="412"/>
      <c r="M686" s="354"/>
      <c r="N686" s="111"/>
    </row>
    <row r="687" s="1" customFormat="1" spans="1:14">
      <c r="A687" s="51">
        <v>45542</v>
      </c>
      <c r="B687" s="105">
        <v>29</v>
      </c>
      <c r="C687" s="51">
        <v>45542</v>
      </c>
      <c r="D687" s="51"/>
      <c r="E687" s="51"/>
      <c r="F687" s="137" t="s">
        <v>625</v>
      </c>
      <c r="G687" s="262">
        <v>1</v>
      </c>
      <c r="H687" s="262">
        <v>65</v>
      </c>
      <c r="I687" s="274">
        <f t="shared" si="77"/>
        <v>65</v>
      </c>
      <c r="J687" s="109"/>
      <c r="K687" s="109"/>
      <c r="L687" s="412"/>
      <c r="M687" s="354"/>
      <c r="N687" s="111"/>
    </row>
    <row r="688" s="1" customFormat="1" spans="1:14">
      <c r="A688" s="51">
        <v>45542</v>
      </c>
      <c r="B688" s="105">
        <v>29</v>
      </c>
      <c r="C688" s="51">
        <v>45542</v>
      </c>
      <c r="D688" s="51"/>
      <c r="E688" s="51"/>
      <c r="F688" s="110" t="s">
        <v>626</v>
      </c>
      <c r="G688" s="107">
        <v>1</v>
      </c>
      <c r="H688" s="107">
        <f>SUM(H674:H687)</f>
        <v>483.58</v>
      </c>
      <c r="I688" s="108">
        <f t="shared" si="77"/>
        <v>483.58</v>
      </c>
      <c r="J688" s="109">
        <v>2</v>
      </c>
      <c r="K688" s="109">
        <f t="shared" ref="K688:K697" si="79">I688*J688</f>
        <v>967.16</v>
      </c>
      <c r="M688" s="110"/>
      <c r="N688" s="111"/>
    </row>
    <row r="689" s="1" customFormat="1" spans="1:16">
      <c r="A689" s="51">
        <v>45542</v>
      </c>
      <c r="B689" s="105">
        <v>29</v>
      </c>
      <c r="C689" s="51">
        <v>45542</v>
      </c>
      <c r="D689" s="51"/>
      <c r="E689" s="51"/>
      <c r="F689" s="110" t="s">
        <v>316</v>
      </c>
      <c r="G689" s="107">
        <v>24</v>
      </c>
      <c r="H689" s="107">
        <v>1</v>
      </c>
      <c r="I689" s="108">
        <f t="shared" si="77"/>
        <v>24</v>
      </c>
      <c r="J689" s="109">
        <v>12.5</v>
      </c>
      <c r="K689" s="109">
        <f t="shared" si="79"/>
        <v>300</v>
      </c>
      <c r="L689" s="125">
        <f>SUM(K674:K689)</f>
        <v>4208.26</v>
      </c>
      <c r="M689" s="110"/>
      <c r="N689" s="111"/>
    </row>
    <row r="690" s="2" customFormat="1" spans="1:16">
      <c r="A690" s="126">
        <v>45542</v>
      </c>
      <c r="B690" s="127">
        <v>30</v>
      </c>
      <c r="C690" s="126">
        <v>45542</v>
      </c>
      <c r="D690" s="126"/>
      <c r="E690" s="126"/>
      <c r="F690" s="131" t="s">
        <v>122</v>
      </c>
      <c r="G690" s="134">
        <v>2</v>
      </c>
      <c r="H690" s="134">
        <v>35</v>
      </c>
      <c r="I690" s="136">
        <f t="shared" si="77"/>
        <v>70</v>
      </c>
      <c r="J690" s="135">
        <v>8.5</v>
      </c>
      <c r="K690" s="135">
        <f t="shared" si="79"/>
        <v>595</v>
      </c>
      <c r="L690" s="131"/>
      <c r="M690" s="131"/>
      <c r="N690" s="132"/>
    </row>
    <row r="691" s="2" customFormat="1" spans="1:16">
      <c r="A691" s="126">
        <v>45542</v>
      </c>
      <c r="B691" s="127">
        <v>30</v>
      </c>
      <c r="C691" s="126">
        <v>45542</v>
      </c>
      <c r="D691" s="126"/>
      <c r="E691" s="126"/>
      <c r="F691" s="133">
        <v>811</v>
      </c>
      <c r="G691" s="134">
        <v>2</v>
      </c>
      <c r="H691" s="134">
        <v>135</v>
      </c>
      <c r="I691" s="136">
        <f t="shared" si="77"/>
        <v>270</v>
      </c>
      <c r="J691" s="135">
        <v>3.5</v>
      </c>
      <c r="K691" s="135">
        <f t="shared" si="79"/>
        <v>945</v>
      </c>
      <c r="L691" s="137" t="s">
        <v>627</v>
      </c>
      <c r="M691" s="131"/>
      <c r="N691" s="132"/>
    </row>
    <row r="692" s="2" customFormat="1" spans="1:16">
      <c r="A692" s="126">
        <v>45542</v>
      </c>
      <c r="B692" s="127">
        <v>30</v>
      </c>
      <c r="C692" s="126">
        <v>45542</v>
      </c>
      <c r="D692" s="126"/>
      <c r="E692" s="126"/>
      <c r="F692" s="254" t="s">
        <v>493</v>
      </c>
      <c r="G692" s="139">
        <v>2</v>
      </c>
      <c r="H692" s="139">
        <f>SUM(H690:H691)</f>
        <v>170</v>
      </c>
      <c r="I692" s="114">
        <f t="shared" si="77"/>
        <v>340</v>
      </c>
      <c r="J692" s="115">
        <v>0.7</v>
      </c>
      <c r="K692" s="115">
        <f t="shared" si="79"/>
        <v>238</v>
      </c>
      <c r="L692" s="348" t="s">
        <v>494</v>
      </c>
      <c r="M692" s="131"/>
      <c r="N692" s="132"/>
    </row>
    <row r="693" s="2" customFormat="1" spans="1:16">
      <c r="A693" s="126">
        <v>45542</v>
      </c>
      <c r="B693" s="127">
        <v>30</v>
      </c>
      <c r="C693" s="126">
        <v>45542</v>
      </c>
      <c r="D693" s="126"/>
      <c r="E693" s="126"/>
      <c r="F693" s="131" t="s">
        <v>372</v>
      </c>
      <c r="G693" s="134">
        <v>20</v>
      </c>
      <c r="H693" s="134">
        <v>1</v>
      </c>
      <c r="I693" s="136">
        <f t="shared" si="77"/>
        <v>20</v>
      </c>
      <c r="J693" s="135">
        <v>12.2</v>
      </c>
      <c r="K693" s="135">
        <f t="shared" si="79"/>
        <v>244</v>
      </c>
      <c r="L693" s="378" t="s">
        <v>628</v>
      </c>
      <c r="N693" s="132"/>
    </row>
    <row r="694" s="242" customFormat="1" spans="1:16">
      <c r="A694" s="126">
        <v>45542</v>
      </c>
      <c r="B694" s="127">
        <v>30</v>
      </c>
      <c r="C694" s="126">
        <v>45542</v>
      </c>
      <c r="D694" s="126"/>
      <c r="E694" s="126"/>
      <c r="F694" s="131" t="s">
        <v>368</v>
      </c>
      <c r="G694" s="134">
        <v>20</v>
      </c>
      <c r="H694" s="134">
        <v>1</v>
      </c>
      <c r="I694" s="136">
        <f t="shared" si="77"/>
        <v>20</v>
      </c>
      <c r="J694" s="134">
        <v>2.6</v>
      </c>
      <c r="K694" s="135">
        <f t="shared" si="79"/>
        <v>52</v>
      </c>
      <c r="L694" s="243">
        <f>SUM(K690:K694)</f>
        <v>2074</v>
      </c>
      <c r="M694" s="243"/>
      <c r="N694" s="259"/>
    </row>
    <row r="695" s="245" customFormat="1" spans="1:16">
      <c r="A695" s="284">
        <v>45545</v>
      </c>
      <c r="B695" s="105">
        <v>32</v>
      </c>
      <c r="C695" s="285">
        <v>45544</v>
      </c>
      <c r="D695" s="108"/>
      <c r="E695" s="108"/>
      <c r="F695" s="110" t="s">
        <v>312</v>
      </c>
      <c r="G695" s="108">
        <v>1</v>
      </c>
      <c r="H695" s="108">
        <v>54</v>
      </c>
      <c r="I695" s="108">
        <f t="shared" si="77"/>
        <v>54</v>
      </c>
      <c r="J695" s="109">
        <v>3.6</v>
      </c>
      <c r="K695" s="109">
        <f t="shared" si="79"/>
        <v>194.4</v>
      </c>
      <c r="L695" s="288"/>
      <c r="M695" s="410"/>
      <c r="N695" s="410"/>
      <c r="O695" s="410"/>
    </row>
    <row r="696" s="245" customFormat="1" spans="1:16">
      <c r="A696" s="284">
        <v>45545</v>
      </c>
      <c r="B696" s="105">
        <v>32</v>
      </c>
      <c r="C696" s="285">
        <v>45544</v>
      </c>
      <c r="D696" s="108"/>
      <c r="E696" s="108"/>
      <c r="F696" s="110" t="s">
        <v>311</v>
      </c>
      <c r="G696" s="108">
        <v>1</v>
      </c>
      <c r="H696" s="108">
        <v>54</v>
      </c>
      <c r="I696" s="108">
        <f t="shared" si="77"/>
        <v>54</v>
      </c>
      <c r="J696" s="109">
        <v>8.5</v>
      </c>
      <c r="K696" s="109">
        <f t="shared" si="79"/>
        <v>459</v>
      </c>
      <c r="L696" s="288" t="s">
        <v>519</v>
      </c>
      <c r="M696" s="291"/>
      <c r="N696" s="404" t="s">
        <v>592</v>
      </c>
    </row>
    <row r="697" s="1" customFormat="1" spans="1:16">
      <c r="A697" s="284">
        <v>45545</v>
      </c>
      <c r="B697" s="105">
        <v>32</v>
      </c>
      <c r="C697" s="285">
        <v>45544</v>
      </c>
      <c r="D697" s="108"/>
      <c r="E697" s="108"/>
      <c r="F697" s="110" t="s">
        <v>629</v>
      </c>
      <c r="G697" s="107">
        <v>1</v>
      </c>
      <c r="H697" s="107">
        <f>SUM(H695:H696)</f>
        <v>108</v>
      </c>
      <c r="I697" s="108">
        <f t="shared" si="77"/>
        <v>108</v>
      </c>
      <c r="J697" s="107">
        <v>0.7</v>
      </c>
      <c r="K697" s="109">
        <f t="shared" si="79"/>
        <v>75.6</v>
      </c>
      <c r="L697" s="110" t="s">
        <v>630</v>
      </c>
      <c r="M697" s="110"/>
      <c r="N697" s="111"/>
    </row>
    <row r="698" s="1" customFormat="1" spans="1:16">
      <c r="A698" s="284">
        <v>45545</v>
      </c>
      <c r="B698" s="105">
        <v>32</v>
      </c>
      <c r="C698" s="285">
        <v>45544</v>
      </c>
      <c r="D698" s="108"/>
      <c r="E698" s="108"/>
      <c r="F698" s="110" t="s">
        <v>595</v>
      </c>
      <c r="G698" s="107">
        <v>6</v>
      </c>
      <c r="H698" s="107">
        <v>1</v>
      </c>
      <c r="I698" s="108">
        <f t="shared" si="77"/>
        <v>6</v>
      </c>
      <c r="J698" s="107"/>
      <c r="K698" s="109"/>
      <c r="L698" s="110"/>
      <c r="M698" s="110"/>
      <c r="N698" s="111"/>
    </row>
    <row r="699" s="245" customFormat="1" spans="1:16">
      <c r="A699" s="284">
        <v>45545</v>
      </c>
      <c r="B699" s="105">
        <v>32</v>
      </c>
      <c r="C699" s="285">
        <v>45544</v>
      </c>
      <c r="D699" s="108"/>
      <c r="E699" s="108"/>
      <c r="F699" s="118" t="s">
        <v>586</v>
      </c>
      <c r="G699" s="108">
        <v>2</v>
      </c>
      <c r="H699" s="108">
        <v>20</v>
      </c>
      <c r="I699" s="108">
        <f t="shared" si="77"/>
        <v>40</v>
      </c>
      <c r="J699" s="109">
        <v>14.5</v>
      </c>
      <c r="K699" s="109">
        <f t="shared" ref="K699:K703" si="80">I699*J699</f>
        <v>580</v>
      </c>
      <c r="L699" s="286">
        <v>525</v>
      </c>
      <c r="M699" s="288" t="s">
        <v>596</v>
      </c>
      <c r="N699" s="111"/>
      <c r="O699" s="245">
        <f>SUM(K699)</f>
        <v>580</v>
      </c>
      <c r="P699" s="245" t="s">
        <v>587</v>
      </c>
    </row>
    <row r="700" s="110" customFormat="1" spans="1:16">
      <c r="A700" s="284">
        <v>45545</v>
      </c>
      <c r="B700" s="105">
        <v>32</v>
      </c>
      <c r="C700" s="285">
        <v>45544</v>
      </c>
      <c r="D700" s="108"/>
      <c r="E700" s="108"/>
      <c r="F700" s="118" t="s">
        <v>599</v>
      </c>
      <c r="G700" s="107">
        <v>-2</v>
      </c>
      <c r="H700" s="107">
        <v>1</v>
      </c>
      <c r="I700" s="108">
        <f t="shared" si="77"/>
        <v>-2</v>
      </c>
      <c r="J700" s="107">
        <v>12.2</v>
      </c>
      <c r="K700" s="109">
        <f t="shared" si="80"/>
        <v>-24.4</v>
      </c>
      <c r="L700" s="110">
        <f>SUM(K695:K700)</f>
        <v>1284.6</v>
      </c>
      <c r="N700" s="111"/>
    </row>
    <row r="701" s="243" customFormat="1" spans="1:16">
      <c r="A701" s="263">
        <v>45548</v>
      </c>
      <c r="B701" s="127">
        <v>44</v>
      </c>
      <c r="C701" s="258">
        <v>45548</v>
      </c>
      <c r="D701" s="136"/>
      <c r="E701" s="136"/>
      <c r="F701" s="131" t="s">
        <v>312</v>
      </c>
      <c r="G701" s="136">
        <v>1</v>
      </c>
      <c r="H701" s="136">
        <v>36</v>
      </c>
      <c r="I701" s="136">
        <f t="shared" si="77"/>
        <v>36</v>
      </c>
      <c r="J701" s="135">
        <v>3.6</v>
      </c>
      <c r="K701" s="135">
        <f t="shared" si="80"/>
        <v>129.6</v>
      </c>
      <c r="L701" s="278"/>
      <c r="M701" s="409"/>
      <c r="N701" s="409"/>
      <c r="O701" s="409"/>
    </row>
    <row r="702" s="243" customFormat="1" spans="1:16">
      <c r="A702" s="263">
        <v>45548</v>
      </c>
      <c r="B702" s="127">
        <v>44</v>
      </c>
      <c r="C702" s="258">
        <v>45548</v>
      </c>
      <c r="D702" s="136"/>
      <c r="E702" s="136"/>
      <c r="F702" s="131" t="s">
        <v>311</v>
      </c>
      <c r="G702" s="136">
        <v>1</v>
      </c>
      <c r="H702" s="136">
        <v>36</v>
      </c>
      <c r="I702" s="136">
        <f t="shared" si="77"/>
        <v>36</v>
      </c>
      <c r="J702" s="135">
        <v>8.5</v>
      </c>
      <c r="K702" s="135">
        <f t="shared" si="80"/>
        <v>306</v>
      </c>
      <c r="L702" s="278" t="s">
        <v>519</v>
      </c>
      <c r="M702" s="279"/>
      <c r="N702" s="146" t="s">
        <v>592</v>
      </c>
    </row>
    <row r="703" s="2" customFormat="1" spans="1:16">
      <c r="A703" s="263">
        <v>45548</v>
      </c>
      <c r="B703" s="127">
        <v>44</v>
      </c>
      <c r="C703" s="258">
        <v>45548</v>
      </c>
      <c r="D703" s="136"/>
      <c r="E703" s="136"/>
      <c r="F703" s="131" t="s">
        <v>606</v>
      </c>
      <c r="G703" s="134">
        <v>1</v>
      </c>
      <c r="H703" s="134">
        <f>SUM(H701:H702)</f>
        <v>72</v>
      </c>
      <c r="I703" s="136">
        <f t="shared" si="77"/>
        <v>72</v>
      </c>
      <c r="J703" s="134">
        <v>0.7</v>
      </c>
      <c r="K703" s="135">
        <f t="shared" si="80"/>
        <v>50.4</v>
      </c>
      <c r="L703" s="131" t="s">
        <v>223</v>
      </c>
      <c r="M703" s="131"/>
      <c r="N703" s="132"/>
    </row>
    <row r="704" s="2" customFormat="1" spans="1:16">
      <c r="A704" s="263">
        <v>45548</v>
      </c>
      <c r="B704" s="127">
        <v>44</v>
      </c>
      <c r="C704" s="258">
        <v>45548</v>
      </c>
      <c r="D704" s="136"/>
      <c r="E704" s="136"/>
      <c r="F704" s="131" t="s">
        <v>595</v>
      </c>
      <c r="G704" s="134">
        <v>4</v>
      </c>
      <c r="H704" s="134">
        <v>1</v>
      </c>
      <c r="I704" s="136">
        <f t="shared" si="77"/>
        <v>4</v>
      </c>
      <c r="J704" s="134"/>
      <c r="K704" s="135"/>
      <c r="L704" s="131">
        <f>SUM(K701:K704)</f>
        <v>486</v>
      </c>
      <c r="M704" s="131"/>
      <c r="N704" s="132"/>
    </row>
    <row r="705" s="1" customFormat="1" spans="1:14">
      <c r="A705" s="284">
        <v>45556</v>
      </c>
      <c r="B705" s="105">
        <v>69</v>
      </c>
      <c r="C705" s="285">
        <v>45556</v>
      </c>
      <c r="D705" s="108"/>
      <c r="E705" s="108"/>
      <c r="F705" s="110" t="s">
        <v>355</v>
      </c>
      <c r="G705" s="107">
        <v>1</v>
      </c>
      <c r="H705" s="107">
        <v>47</v>
      </c>
      <c r="I705" s="108">
        <f t="shared" ref="I705:I730" si="81">G705*H705</f>
        <v>47</v>
      </c>
      <c r="J705" s="109">
        <v>8.6</v>
      </c>
      <c r="K705" s="109">
        <f>I705*J705</f>
        <v>404.2</v>
      </c>
      <c r="L705" s="110"/>
      <c r="M705" s="110"/>
      <c r="N705" s="111"/>
    </row>
    <row r="706" s="1" customFormat="1" spans="1:14">
      <c r="A706" s="284">
        <v>45556</v>
      </c>
      <c r="B706" s="105">
        <v>69</v>
      </c>
      <c r="C706" s="285">
        <v>45556</v>
      </c>
      <c r="D706" s="108"/>
      <c r="E706" s="108"/>
      <c r="F706" s="110" t="s">
        <v>120</v>
      </c>
      <c r="G706" s="107">
        <v>1</v>
      </c>
      <c r="H706" s="107">
        <v>1.2</v>
      </c>
      <c r="I706" s="108">
        <f t="shared" si="81"/>
        <v>1.2</v>
      </c>
      <c r="J706" s="107">
        <v>21</v>
      </c>
      <c r="K706" s="109">
        <f t="shared" ref="K706:K730" si="82">I706*J706</f>
        <v>25.2</v>
      </c>
      <c r="L706" s="110"/>
      <c r="M706" s="110"/>
      <c r="N706" s="111"/>
    </row>
    <row r="707" s="1" customFormat="1" spans="1:14">
      <c r="A707" s="284">
        <v>45556</v>
      </c>
      <c r="B707" s="105">
        <v>69</v>
      </c>
      <c r="C707" s="285">
        <v>45556</v>
      </c>
      <c r="D707" s="108"/>
      <c r="E707" s="108"/>
      <c r="F707" s="110" t="s">
        <v>631</v>
      </c>
      <c r="G707" s="107">
        <v>1</v>
      </c>
      <c r="H707" s="107">
        <v>25</v>
      </c>
      <c r="I707" s="108">
        <f t="shared" si="81"/>
        <v>25</v>
      </c>
      <c r="J707" s="107">
        <v>0.6</v>
      </c>
      <c r="K707" s="109">
        <f t="shared" si="82"/>
        <v>15</v>
      </c>
      <c r="L707" s="110"/>
      <c r="M707" s="110"/>
      <c r="N707" s="111"/>
    </row>
    <row r="708" s="1" customFormat="1" spans="1:14">
      <c r="A708" s="284">
        <v>45556</v>
      </c>
      <c r="B708" s="105">
        <v>69</v>
      </c>
      <c r="C708" s="285">
        <v>45556</v>
      </c>
      <c r="D708" s="108"/>
      <c r="E708" s="108"/>
      <c r="F708" s="110" t="s">
        <v>122</v>
      </c>
      <c r="G708" s="107">
        <v>1</v>
      </c>
      <c r="H708" s="107">
        <v>7</v>
      </c>
      <c r="I708" s="108">
        <f t="shared" si="81"/>
        <v>7</v>
      </c>
      <c r="J708" s="107">
        <v>8.5</v>
      </c>
      <c r="K708" s="109">
        <f t="shared" si="82"/>
        <v>59.5</v>
      </c>
      <c r="L708" s="110"/>
      <c r="M708" s="110"/>
      <c r="N708" s="111"/>
    </row>
    <row r="709" s="1" customFormat="1" spans="1:14">
      <c r="A709" s="284">
        <v>45556</v>
      </c>
      <c r="B709" s="105">
        <v>69</v>
      </c>
      <c r="C709" s="285">
        <v>45556</v>
      </c>
      <c r="D709" s="108"/>
      <c r="E709" s="108"/>
      <c r="F709" s="110" t="s">
        <v>123</v>
      </c>
      <c r="G709" s="107">
        <v>1</v>
      </c>
      <c r="H709" s="107">
        <v>3</v>
      </c>
      <c r="I709" s="108">
        <f t="shared" si="81"/>
        <v>3</v>
      </c>
      <c r="J709" s="107">
        <v>3.6</v>
      </c>
      <c r="K709" s="109">
        <f t="shared" si="82"/>
        <v>10.8</v>
      </c>
      <c r="L709" s="110"/>
      <c r="M709" s="110"/>
      <c r="N709" s="111"/>
    </row>
    <row r="710" s="1" customFormat="1" spans="1:14">
      <c r="A710" s="284">
        <v>45556</v>
      </c>
      <c r="B710" s="105">
        <v>69</v>
      </c>
      <c r="C710" s="285">
        <v>45556</v>
      </c>
      <c r="D710" s="108"/>
      <c r="E710" s="108"/>
      <c r="F710" s="110" t="s">
        <v>359</v>
      </c>
      <c r="G710" s="107">
        <v>1</v>
      </c>
      <c r="H710" s="107">
        <v>0.4</v>
      </c>
      <c r="I710" s="108">
        <f t="shared" si="81"/>
        <v>0.4</v>
      </c>
      <c r="J710" s="107"/>
      <c r="K710" s="109"/>
      <c r="L710" s="110"/>
      <c r="M710" s="110"/>
      <c r="N710" s="111"/>
    </row>
    <row r="711" s="1" customFormat="1" spans="1:14">
      <c r="A711" s="284">
        <v>45556</v>
      </c>
      <c r="B711" s="105">
        <v>69</v>
      </c>
      <c r="C711" s="285">
        <v>45556</v>
      </c>
      <c r="D711" s="108"/>
      <c r="E711" s="108"/>
      <c r="F711" s="110" t="s">
        <v>390</v>
      </c>
      <c r="G711" s="107">
        <v>1</v>
      </c>
      <c r="H711" s="107">
        <v>4</v>
      </c>
      <c r="I711" s="108">
        <f t="shared" si="81"/>
        <v>4</v>
      </c>
      <c r="J711" s="107"/>
      <c r="K711" s="109"/>
      <c r="L711" s="110"/>
      <c r="M711" s="110"/>
      <c r="N711" s="111"/>
    </row>
    <row r="712" s="1" customFormat="1" spans="1:14">
      <c r="A712" s="284">
        <v>45556</v>
      </c>
      <c r="B712" s="105">
        <v>69</v>
      </c>
      <c r="C712" s="285">
        <v>45556</v>
      </c>
      <c r="D712" s="108"/>
      <c r="E712" s="108"/>
      <c r="F712" s="110" t="s">
        <v>621</v>
      </c>
      <c r="G712" s="107">
        <v>1</v>
      </c>
      <c r="H712" s="107">
        <v>0.02</v>
      </c>
      <c r="I712" s="108">
        <f t="shared" si="81"/>
        <v>0.02</v>
      </c>
      <c r="J712" s="107"/>
      <c r="K712" s="109"/>
      <c r="L712" s="110"/>
      <c r="M712" s="110"/>
      <c r="N712" s="111"/>
    </row>
    <row r="713" s="1" customFormat="1" spans="1:14">
      <c r="A713" s="284">
        <v>45556</v>
      </c>
      <c r="B713" s="105">
        <v>69</v>
      </c>
      <c r="C713" s="285">
        <v>45556</v>
      </c>
      <c r="D713" s="108"/>
      <c r="E713" s="108"/>
      <c r="F713" s="110" t="s">
        <v>570</v>
      </c>
      <c r="G713" s="107">
        <v>1</v>
      </c>
      <c r="H713" s="107">
        <v>3.5</v>
      </c>
      <c r="I713" s="108">
        <f t="shared" si="81"/>
        <v>3.5</v>
      </c>
      <c r="J713" s="107">
        <v>25</v>
      </c>
      <c r="K713" s="109">
        <f t="shared" si="82"/>
        <v>87.5</v>
      </c>
      <c r="L713" s="110"/>
      <c r="M713" s="110"/>
      <c r="N713" s="111"/>
    </row>
    <row r="714" s="1" customFormat="1" spans="1:14">
      <c r="A714" s="284">
        <v>45556</v>
      </c>
      <c r="B714" s="105">
        <v>69</v>
      </c>
      <c r="C714" s="285">
        <v>45556</v>
      </c>
      <c r="D714" s="108"/>
      <c r="E714" s="108"/>
      <c r="F714" s="110" t="s">
        <v>313</v>
      </c>
      <c r="G714" s="107">
        <v>1</v>
      </c>
      <c r="H714" s="107">
        <v>1</v>
      </c>
      <c r="I714" s="108">
        <f t="shared" si="81"/>
        <v>1</v>
      </c>
      <c r="J714" s="107">
        <v>45</v>
      </c>
      <c r="K714" s="109">
        <f t="shared" si="82"/>
        <v>45</v>
      </c>
      <c r="L714" s="110"/>
      <c r="M714" s="110"/>
      <c r="N714" s="111"/>
    </row>
    <row r="715" s="1" customFormat="1" spans="1:14">
      <c r="A715" s="284">
        <v>45556</v>
      </c>
      <c r="B715" s="105">
        <v>69</v>
      </c>
      <c r="C715" s="285">
        <v>45556</v>
      </c>
      <c r="D715" s="108"/>
      <c r="E715" s="108"/>
      <c r="F715" s="110" t="s">
        <v>632</v>
      </c>
      <c r="G715" s="107">
        <v>1</v>
      </c>
      <c r="H715" s="107">
        <v>0.8</v>
      </c>
      <c r="I715" s="108">
        <f t="shared" si="81"/>
        <v>0.8</v>
      </c>
      <c r="J715" s="107">
        <v>55</v>
      </c>
      <c r="K715" s="109">
        <f t="shared" si="82"/>
        <v>44</v>
      </c>
      <c r="L715" s="110"/>
      <c r="M715" s="110"/>
      <c r="N715" s="111"/>
    </row>
    <row r="716" s="1" customFormat="1" spans="1:14">
      <c r="A716" s="284">
        <v>45556</v>
      </c>
      <c r="B716" s="105">
        <v>69</v>
      </c>
      <c r="C716" s="285">
        <v>45556</v>
      </c>
      <c r="D716" s="108"/>
      <c r="E716" s="108"/>
      <c r="F716" s="110" t="s">
        <v>633</v>
      </c>
      <c r="G716" s="107">
        <v>1</v>
      </c>
      <c r="H716" s="107">
        <v>4</v>
      </c>
      <c r="I716" s="108">
        <f t="shared" si="81"/>
        <v>4</v>
      </c>
      <c r="J716" s="107">
        <v>45</v>
      </c>
      <c r="K716" s="109">
        <f t="shared" si="82"/>
        <v>180</v>
      </c>
      <c r="L716" s="110"/>
      <c r="M716" s="110"/>
      <c r="N716" s="111"/>
    </row>
    <row r="717" s="1" customFormat="1" spans="1:14">
      <c r="A717" s="284">
        <v>45556</v>
      </c>
      <c r="B717" s="105">
        <v>69</v>
      </c>
      <c r="C717" s="285">
        <v>45556</v>
      </c>
      <c r="D717" s="108"/>
      <c r="E717" s="108"/>
      <c r="F717" s="110" t="s">
        <v>125</v>
      </c>
      <c r="G717" s="107">
        <v>1</v>
      </c>
      <c r="H717" s="107">
        <v>0.3</v>
      </c>
      <c r="I717" s="108">
        <f t="shared" si="81"/>
        <v>0.3</v>
      </c>
      <c r="J717" s="107">
        <v>25</v>
      </c>
      <c r="K717" s="109">
        <f t="shared" si="82"/>
        <v>7.5</v>
      </c>
      <c r="L717" s="110" t="s">
        <v>634</v>
      </c>
      <c r="M717" s="110"/>
      <c r="N717" s="111"/>
    </row>
    <row r="718" s="1" customFormat="1" spans="1:14">
      <c r="A718" s="284">
        <v>45556</v>
      </c>
      <c r="B718" s="105">
        <v>69</v>
      </c>
      <c r="C718" s="285">
        <v>45556</v>
      </c>
      <c r="D718" s="108"/>
      <c r="E718" s="108"/>
      <c r="F718" s="110" t="s">
        <v>635</v>
      </c>
      <c r="G718" s="107">
        <v>1</v>
      </c>
      <c r="H718" s="107">
        <v>10</v>
      </c>
      <c r="I718" s="108">
        <f t="shared" si="81"/>
        <v>10</v>
      </c>
      <c r="J718" s="107"/>
      <c r="K718" s="109"/>
      <c r="L718" s="110" t="s">
        <v>636</v>
      </c>
      <c r="M718" s="110"/>
      <c r="N718" s="111"/>
    </row>
    <row r="719" s="1" customFormat="1" spans="1:14">
      <c r="A719" s="284">
        <v>45556</v>
      </c>
      <c r="B719" s="105">
        <v>69</v>
      </c>
      <c r="C719" s="285">
        <v>45556</v>
      </c>
      <c r="D719" s="108"/>
      <c r="E719" s="108"/>
      <c r="F719" s="110" t="s">
        <v>637</v>
      </c>
      <c r="G719" s="107">
        <v>1</v>
      </c>
      <c r="H719" s="107">
        <v>10</v>
      </c>
      <c r="I719" s="108">
        <f t="shared" si="81"/>
        <v>10</v>
      </c>
      <c r="J719" s="107"/>
      <c r="K719" s="109"/>
      <c r="L719" s="110"/>
      <c r="M719" s="110"/>
      <c r="N719" s="111"/>
    </row>
    <row r="720" s="1" customFormat="1" spans="1:14">
      <c r="A720" s="284">
        <v>45556</v>
      </c>
      <c r="B720" s="105">
        <v>69</v>
      </c>
      <c r="C720" s="285">
        <v>45556</v>
      </c>
      <c r="D720" s="108"/>
      <c r="E720" s="108"/>
      <c r="F720" s="254" t="s">
        <v>638</v>
      </c>
      <c r="G720" s="139">
        <v>1</v>
      </c>
      <c r="H720" s="139">
        <f>SUM(H705:H719)</f>
        <v>117.22</v>
      </c>
      <c r="I720" s="114">
        <f t="shared" si="81"/>
        <v>117.22</v>
      </c>
      <c r="J720" s="139">
        <v>2.3</v>
      </c>
      <c r="K720" s="109">
        <f t="shared" si="82"/>
        <v>269.606</v>
      </c>
      <c r="L720" s="413" t="s">
        <v>639</v>
      </c>
      <c r="M720" s="110"/>
      <c r="N720" s="111"/>
    </row>
    <row r="721" customFormat="1" spans="1:16">
      <c r="A721" s="284">
        <v>45556</v>
      </c>
      <c r="B721" s="105">
        <v>69</v>
      </c>
      <c r="C721" s="285">
        <v>45556</v>
      </c>
      <c r="D721" s="108"/>
      <c r="E721" s="108"/>
      <c r="F721" s="110" t="s">
        <v>462</v>
      </c>
      <c r="G721" s="107">
        <v>5</v>
      </c>
      <c r="H721" s="107">
        <v>1</v>
      </c>
      <c r="I721" s="108">
        <f t="shared" si="81"/>
        <v>5</v>
      </c>
      <c r="J721" s="107">
        <v>12.5</v>
      </c>
      <c r="K721" s="109">
        <f t="shared" si="82"/>
        <v>62.5</v>
      </c>
      <c r="L721" s="356">
        <f>SUM(K705:K721)</f>
        <v>1210.806</v>
      </c>
      <c r="M721" s="131"/>
      <c r="N721" s="132"/>
    </row>
    <row r="722" s="243" customFormat="1" spans="1:16">
      <c r="A722" s="263">
        <v>45560</v>
      </c>
      <c r="B722" s="127">
        <v>87</v>
      </c>
      <c r="C722" s="258">
        <v>45560</v>
      </c>
      <c r="D722" s="136"/>
      <c r="E722" s="136"/>
      <c r="F722" s="131" t="s">
        <v>308</v>
      </c>
      <c r="G722" s="136">
        <v>1</v>
      </c>
      <c r="H722" s="136">
        <v>110</v>
      </c>
      <c r="I722" s="136">
        <f t="shared" si="81"/>
        <v>110</v>
      </c>
      <c r="J722" s="135">
        <v>12.6</v>
      </c>
      <c r="K722" s="135">
        <f t="shared" si="82"/>
        <v>1386</v>
      </c>
      <c r="L722" s="278"/>
      <c r="M722" s="279"/>
      <c r="N722" s="132"/>
    </row>
    <row r="723" s="243" customFormat="1" spans="1:16">
      <c r="A723" s="263">
        <v>45560</v>
      </c>
      <c r="B723" s="127">
        <v>87</v>
      </c>
      <c r="C723" s="258">
        <v>45560</v>
      </c>
      <c r="D723" s="136"/>
      <c r="E723" s="136"/>
      <c r="F723" s="133" t="s">
        <v>120</v>
      </c>
      <c r="G723" s="136">
        <v>1</v>
      </c>
      <c r="H723" s="136">
        <v>3.5</v>
      </c>
      <c r="I723" s="136">
        <f t="shared" si="81"/>
        <v>3.5</v>
      </c>
      <c r="J723" s="135">
        <v>21</v>
      </c>
      <c r="K723" s="135">
        <f t="shared" si="82"/>
        <v>73.5</v>
      </c>
      <c r="L723" s="278"/>
      <c r="M723" s="279"/>
      <c r="N723" s="132"/>
    </row>
    <row r="724" s="243" customFormat="1" spans="1:16">
      <c r="A724" s="263">
        <v>45560</v>
      </c>
      <c r="B724" s="127">
        <v>87</v>
      </c>
      <c r="C724" s="258">
        <v>45560</v>
      </c>
      <c r="D724" s="136"/>
      <c r="E724" s="136"/>
      <c r="F724" s="131" t="s">
        <v>310</v>
      </c>
      <c r="G724" s="136">
        <v>1</v>
      </c>
      <c r="H724" s="136">
        <v>30</v>
      </c>
      <c r="I724" s="136">
        <f t="shared" si="81"/>
        <v>30</v>
      </c>
      <c r="J724" s="135">
        <v>0.6</v>
      </c>
      <c r="K724" s="135">
        <f t="shared" si="82"/>
        <v>18</v>
      </c>
      <c r="L724" s="278"/>
      <c r="M724" s="279"/>
      <c r="N724" s="132"/>
    </row>
    <row r="725" s="243" customFormat="1" spans="1:16">
      <c r="A725" s="263">
        <v>45560</v>
      </c>
      <c r="B725" s="127">
        <v>87</v>
      </c>
      <c r="C725" s="258">
        <v>45560</v>
      </c>
      <c r="D725" s="136"/>
      <c r="E725" s="136"/>
      <c r="F725" s="131" t="s">
        <v>309</v>
      </c>
      <c r="G725" s="136">
        <v>1</v>
      </c>
      <c r="H725" s="136">
        <v>36</v>
      </c>
      <c r="I725" s="136">
        <f t="shared" si="81"/>
        <v>36</v>
      </c>
      <c r="J725" s="135">
        <v>18</v>
      </c>
      <c r="K725" s="135">
        <f t="shared" si="82"/>
        <v>648</v>
      </c>
      <c r="L725" s="278" t="s">
        <v>459</v>
      </c>
      <c r="M725" s="279"/>
      <c r="N725" s="132"/>
    </row>
    <row r="726" s="243" customFormat="1" spans="1:16">
      <c r="A726" s="263">
        <v>45560</v>
      </c>
      <c r="B726" s="127">
        <v>87</v>
      </c>
      <c r="C726" s="258">
        <v>45560</v>
      </c>
      <c r="D726" s="136"/>
      <c r="E726" s="136"/>
      <c r="F726" s="131" t="s">
        <v>406</v>
      </c>
      <c r="G726" s="136">
        <v>1</v>
      </c>
      <c r="H726" s="136">
        <v>11</v>
      </c>
      <c r="I726" s="136">
        <f t="shared" ref="I726:I741" si="83">G726*H726</f>
        <v>11</v>
      </c>
      <c r="J726" s="135">
        <v>8.5</v>
      </c>
      <c r="K726" s="135">
        <f t="shared" ref="K726:K740" si="84">I726*J726</f>
        <v>93.5</v>
      </c>
      <c r="L726" s="278" t="s">
        <v>601</v>
      </c>
      <c r="M726" s="279"/>
      <c r="N726" s="132"/>
    </row>
    <row r="727" s="243" customFormat="1" spans="1:16">
      <c r="A727" s="263">
        <v>45560</v>
      </c>
      <c r="B727" s="127">
        <v>87</v>
      </c>
      <c r="C727" s="258">
        <v>45560</v>
      </c>
      <c r="D727" s="136"/>
      <c r="E727" s="136"/>
      <c r="F727" s="131" t="s">
        <v>311</v>
      </c>
      <c r="G727" s="136">
        <v>1</v>
      </c>
      <c r="H727" s="136">
        <v>11</v>
      </c>
      <c r="I727" s="136">
        <f t="shared" si="83"/>
        <v>11</v>
      </c>
      <c r="J727" s="135">
        <v>8.5</v>
      </c>
      <c r="K727" s="135">
        <f t="shared" si="84"/>
        <v>93.5</v>
      </c>
      <c r="L727" s="278"/>
      <c r="M727" s="279"/>
      <c r="N727" s="132"/>
    </row>
    <row r="728" s="243" customFormat="1" spans="1:16">
      <c r="A728" s="263">
        <v>45560</v>
      </c>
      <c r="B728" s="127">
        <v>87</v>
      </c>
      <c r="C728" s="258">
        <v>45560</v>
      </c>
      <c r="D728" s="136"/>
      <c r="E728" s="136"/>
      <c r="F728" s="131" t="s">
        <v>640</v>
      </c>
      <c r="G728" s="136">
        <v>1</v>
      </c>
      <c r="H728" s="136">
        <f>SUM(H722:H727)</f>
        <v>201.5</v>
      </c>
      <c r="I728" s="136">
        <f t="shared" si="83"/>
        <v>201.5</v>
      </c>
      <c r="J728" s="135">
        <v>2.3</v>
      </c>
      <c r="K728" s="135">
        <f t="shared" si="84"/>
        <v>463.45</v>
      </c>
      <c r="L728" s="278"/>
      <c r="M728" s="279"/>
      <c r="N728" s="132"/>
    </row>
    <row r="729" s="243" customFormat="1" spans="1:16">
      <c r="A729" s="263">
        <v>45560</v>
      </c>
      <c r="B729" s="127">
        <v>87</v>
      </c>
      <c r="C729" s="258">
        <v>45560</v>
      </c>
      <c r="D729" s="136"/>
      <c r="E729" s="136"/>
      <c r="F729" s="131" t="s">
        <v>462</v>
      </c>
      <c r="G729" s="136">
        <v>10</v>
      </c>
      <c r="H729" s="136">
        <v>1</v>
      </c>
      <c r="I729" s="136">
        <f t="shared" si="83"/>
        <v>10</v>
      </c>
      <c r="J729" s="135">
        <v>12.5</v>
      </c>
      <c r="K729" s="135">
        <f t="shared" si="84"/>
        <v>125</v>
      </c>
      <c r="L729" s="266">
        <f>SUM(K722:K729)</f>
        <v>2900.95</v>
      </c>
      <c r="M729" s="264"/>
      <c r="N729" s="131"/>
    </row>
    <row r="730" s="245" customFormat="1" spans="1:16">
      <c r="A730" s="263">
        <v>45560</v>
      </c>
      <c r="B730" s="127">
        <v>87</v>
      </c>
      <c r="C730" s="258">
        <v>45560</v>
      </c>
      <c r="D730" s="136"/>
      <c r="E730" s="136"/>
      <c r="F730" s="131" t="s">
        <v>586</v>
      </c>
      <c r="G730" s="136">
        <v>10</v>
      </c>
      <c r="H730" s="136">
        <v>4</v>
      </c>
      <c r="I730" s="136">
        <f t="shared" si="83"/>
        <v>40</v>
      </c>
      <c r="J730" s="135">
        <v>14.5</v>
      </c>
      <c r="K730" s="130">
        <f t="shared" si="84"/>
        <v>580</v>
      </c>
      <c r="L730" s="110"/>
      <c r="M730" s="288"/>
      <c r="N730" s="111"/>
      <c r="O730" s="245">
        <f>SUM(K730)</f>
        <v>580</v>
      </c>
      <c r="P730" s="245" t="s">
        <v>587</v>
      </c>
    </row>
    <row r="731" s="245" customFormat="1" spans="1:16">
      <c r="A731" s="263">
        <v>45560</v>
      </c>
      <c r="B731" s="127">
        <v>87</v>
      </c>
      <c r="C731" s="258">
        <v>45560</v>
      </c>
      <c r="D731" s="136"/>
      <c r="E731" s="136"/>
      <c r="F731" s="131" t="s">
        <v>641</v>
      </c>
      <c r="G731" s="136">
        <v>10</v>
      </c>
      <c r="H731" s="136">
        <v>1</v>
      </c>
      <c r="I731" s="136">
        <f t="shared" si="83"/>
        <v>10</v>
      </c>
      <c r="J731" s="135">
        <v>5.5</v>
      </c>
      <c r="K731" s="130">
        <f t="shared" si="84"/>
        <v>55</v>
      </c>
      <c r="L731" s="110" t="s">
        <v>618</v>
      </c>
      <c r="M731" s="288">
        <f>SUM(K722:K731)</f>
        <v>3535.95</v>
      </c>
      <c r="N731" s="111"/>
      <c r="O731" s="245">
        <f>SUM(K731)</f>
        <v>55</v>
      </c>
      <c r="P731" s="245" t="s">
        <v>587</v>
      </c>
    </row>
    <row r="732" s="245" customFormat="1" spans="1:16">
      <c r="A732" s="284">
        <v>45562</v>
      </c>
      <c r="B732" s="105">
        <v>92</v>
      </c>
      <c r="C732" s="285">
        <v>45562</v>
      </c>
      <c r="D732" s="108"/>
      <c r="E732" s="108"/>
      <c r="F732" s="110" t="s">
        <v>642</v>
      </c>
      <c r="G732" s="108">
        <v>1</v>
      </c>
      <c r="H732" s="108">
        <v>20</v>
      </c>
      <c r="I732" s="108">
        <f t="shared" si="83"/>
        <v>20</v>
      </c>
      <c r="J732" s="109">
        <v>14.8</v>
      </c>
      <c r="K732" s="109">
        <f t="shared" si="84"/>
        <v>296</v>
      </c>
      <c r="L732" s="288"/>
      <c r="M732" s="291"/>
      <c r="N732" s="111"/>
    </row>
    <row r="733" s="245" customFormat="1" spans="1:16">
      <c r="A733" s="284">
        <v>45562</v>
      </c>
      <c r="B733" s="105">
        <v>92</v>
      </c>
      <c r="C733" s="285">
        <v>45562</v>
      </c>
      <c r="D733" s="108"/>
      <c r="E733" s="108"/>
      <c r="F733" s="110" t="s">
        <v>14</v>
      </c>
      <c r="G733" s="108">
        <v>1</v>
      </c>
      <c r="H733" s="108">
        <v>4</v>
      </c>
      <c r="I733" s="108">
        <f t="shared" si="83"/>
        <v>4</v>
      </c>
      <c r="J733" s="109">
        <v>14.5</v>
      </c>
      <c r="K733" s="109">
        <f t="shared" si="84"/>
        <v>58</v>
      </c>
      <c r="L733" s="110" t="s">
        <v>618</v>
      </c>
      <c r="M733" s="288"/>
      <c r="N733" s="111"/>
      <c r="O733" s="245">
        <f>SUM(K733)</f>
        <v>58</v>
      </c>
      <c r="P733" s="245" t="s">
        <v>587</v>
      </c>
    </row>
    <row r="734" s="245" customFormat="1" spans="1:16">
      <c r="A734" s="284">
        <v>45562</v>
      </c>
      <c r="B734" s="105">
        <v>92</v>
      </c>
      <c r="C734" s="285">
        <v>45562</v>
      </c>
      <c r="D734" s="108"/>
      <c r="E734" s="108"/>
      <c r="F734" s="110" t="s">
        <v>641</v>
      </c>
      <c r="G734" s="108">
        <v>1</v>
      </c>
      <c r="H734" s="108">
        <v>1</v>
      </c>
      <c r="I734" s="108">
        <f t="shared" si="83"/>
        <v>1</v>
      </c>
      <c r="J734" s="109">
        <v>5.5</v>
      </c>
      <c r="K734" s="109">
        <f t="shared" si="84"/>
        <v>5.5</v>
      </c>
      <c r="L734" s="110">
        <f>SUM(K732:K734)</f>
        <v>359.5</v>
      </c>
      <c r="M734" s="288"/>
      <c r="N734" s="111"/>
      <c r="O734" s="245">
        <f>SUM(K734)</f>
        <v>5.5</v>
      </c>
      <c r="P734" s="245" t="s">
        <v>587</v>
      </c>
    </row>
    <row r="735" s="243" customFormat="1" spans="1:16">
      <c r="A735" s="263">
        <v>45564</v>
      </c>
      <c r="B735" s="127">
        <v>100</v>
      </c>
      <c r="C735" s="258">
        <v>45564</v>
      </c>
      <c r="D735" s="136"/>
      <c r="E735" s="136"/>
      <c r="F735" s="131" t="s">
        <v>643</v>
      </c>
      <c r="G735" s="136">
        <v>1</v>
      </c>
      <c r="H735" s="136">
        <v>5</v>
      </c>
      <c r="I735" s="136">
        <f t="shared" si="83"/>
        <v>5</v>
      </c>
      <c r="J735" s="135">
        <v>14.8</v>
      </c>
      <c r="K735" s="135">
        <f t="shared" si="84"/>
        <v>74</v>
      </c>
      <c r="L735" s="266"/>
      <c r="M735" s="264"/>
      <c r="N735" s="131"/>
    </row>
    <row r="736" s="243" customFormat="1" spans="1:16">
      <c r="A736" s="263">
        <v>45564</v>
      </c>
      <c r="B736" s="127">
        <v>100</v>
      </c>
      <c r="C736" s="258">
        <v>45564</v>
      </c>
      <c r="D736" s="136"/>
      <c r="E736" s="136"/>
      <c r="F736" s="131" t="s">
        <v>644</v>
      </c>
      <c r="G736" s="136">
        <v>1</v>
      </c>
      <c r="H736" s="136">
        <v>5</v>
      </c>
      <c r="I736" s="136">
        <f t="shared" si="83"/>
        <v>5</v>
      </c>
      <c r="J736" s="135">
        <v>14.8</v>
      </c>
      <c r="K736" s="135">
        <f t="shared" si="84"/>
        <v>74</v>
      </c>
      <c r="L736" s="266"/>
      <c r="M736" s="264"/>
      <c r="N736" s="131"/>
    </row>
    <row r="737" s="243" customFormat="1" spans="1:16">
      <c r="A737" s="263">
        <v>45564</v>
      </c>
      <c r="B737" s="127">
        <v>100</v>
      </c>
      <c r="C737" s="258">
        <v>45564</v>
      </c>
      <c r="D737" s="136"/>
      <c r="E737" s="136"/>
      <c r="F737" s="131" t="s">
        <v>645</v>
      </c>
      <c r="G737" s="136">
        <v>2</v>
      </c>
      <c r="H737" s="136">
        <v>1</v>
      </c>
      <c r="I737" s="136">
        <f t="shared" si="83"/>
        <v>2</v>
      </c>
      <c r="J737" s="135">
        <v>7</v>
      </c>
      <c r="K737" s="135">
        <f t="shared" si="84"/>
        <v>14</v>
      </c>
      <c r="L737" s="266"/>
      <c r="M737" s="264"/>
      <c r="N737" s="131"/>
    </row>
    <row r="738" s="243" customFormat="1" spans="1:16">
      <c r="A738" s="263">
        <v>45564</v>
      </c>
      <c r="B738" s="127">
        <v>100</v>
      </c>
      <c r="C738" s="258">
        <v>45564</v>
      </c>
      <c r="D738" s="136"/>
      <c r="E738" s="136"/>
      <c r="F738" s="131" t="s">
        <v>14</v>
      </c>
      <c r="G738" s="136">
        <v>1</v>
      </c>
      <c r="H738" s="136">
        <v>2</v>
      </c>
      <c r="I738" s="136">
        <f t="shared" si="83"/>
        <v>2</v>
      </c>
      <c r="J738" s="135">
        <v>14.5</v>
      </c>
      <c r="K738" s="135">
        <f t="shared" si="84"/>
        <v>29</v>
      </c>
      <c r="L738" s="266"/>
      <c r="M738" s="264"/>
      <c r="N738" s="131"/>
    </row>
    <row r="739" s="243" customFormat="1" spans="1:16">
      <c r="A739" s="263">
        <v>45564</v>
      </c>
      <c r="B739" s="127">
        <v>100</v>
      </c>
      <c r="C739" s="258">
        <v>45564</v>
      </c>
      <c r="D739" s="136"/>
      <c r="E739" s="136"/>
      <c r="F739" s="131" t="s">
        <v>646</v>
      </c>
      <c r="G739" s="136">
        <v>1</v>
      </c>
      <c r="H739" s="136">
        <v>1</v>
      </c>
      <c r="I739" s="136">
        <f t="shared" si="83"/>
        <v>1</v>
      </c>
      <c r="J739" s="135">
        <v>5.5</v>
      </c>
      <c r="K739" s="135">
        <f t="shared" si="84"/>
        <v>5.5</v>
      </c>
      <c r="L739" s="266">
        <f>SUM(K735:K740)</f>
        <v>196.5</v>
      </c>
      <c r="M739" s="264"/>
      <c r="N739" s="131"/>
    </row>
    <row r="740" s="243" customFormat="1" spans="1:16">
      <c r="A740" s="263">
        <v>45564</v>
      </c>
      <c r="B740" s="127">
        <v>100</v>
      </c>
      <c r="C740" s="258">
        <v>45564</v>
      </c>
      <c r="D740" s="136"/>
      <c r="E740" s="136"/>
      <c r="F740" s="131" t="s">
        <v>647</v>
      </c>
      <c r="G740" s="136">
        <v>1</v>
      </c>
      <c r="H740" s="136">
        <v>6</v>
      </c>
      <c r="I740" s="136">
        <f t="shared" si="83"/>
        <v>6</v>
      </c>
      <c r="J740" s="135"/>
      <c r="K740" s="135"/>
      <c r="L740" s="266"/>
      <c r="M740" s="264"/>
      <c r="N740" s="131"/>
    </row>
    <row r="741" s="245" customFormat="1" spans="1:16">
      <c r="A741" s="284">
        <v>45571</v>
      </c>
      <c r="B741" s="105">
        <v>6</v>
      </c>
      <c r="C741" s="285">
        <v>45571</v>
      </c>
      <c r="D741" s="108"/>
      <c r="E741" s="108"/>
      <c r="F741" s="110" t="s">
        <v>76</v>
      </c>
      <c r="G741" s="108">
        <v>1</v>
      </c>
      <c r="H741" s="108">
        <v>20</v>
      </c>
      <c r="I741" s="108">
        <f t="shared" si="83"/>
        <v>20</v>
      </c>
      <c r="J741" s="109">
        <v>14.8</v>
      </c>
      <c r="K741" s="109">
        <f>I741*J741</f>
        <v>296</v>
      </c>
      <c r="L741" s="266"/>
      <c r="M741" s="286"/>
      <c r="N741" s="110"/>
    </row>
    <row r="742" s="245" customFormat="1" spans="1:16">
      <c r="A742" s="284"/>
      <c r="B742" s="105"/>
      <c r="C742" s="285"/>
      <c r="D742" s="108"/>
      <c r="E742" s="108"/>
      <c r="F742" s="137" t="s">
        <v>648</v>
      </c>
      <c r="G742" s="108"/>
      <c r="H742" s="108"/>
      <c r="I742" s="108"/>
      <c r="J742" s="109"/>
      <c r="K742" s="109"/>
      <c r="L742" s="266"/>
      <c r="M742" s="286"/>
      <c r="N742" s="110"/>
    </row>
    <row r="743" s="243" customFormat="1" spans="1:16">
      <c r="A743" s="263">
        <v>45575</v>
      </c>
      <c r="B743" s="127">
        <v>21</v>
      </c>
      <c r="C743" s="258">
        <v>45575</v>
      </c>
      <c r="D743" s="136"/>
      <c r="E743" s="136"/>
      <c r="F743" s="131" t="s">
        <v>76</v>
      </c>
      <c r="G743" s="136">
        <v>1</v>
      </c>
      <c r="H743" s="136">
        <v>20</v>
      </c>
      <c r="I743" s="136">
        <f t="shared" ref="I743:I755" si="85">G743*H743</f>
        <v>20</v>
      </c>
      <c r="J743" s="135"/>
      <c r="K743" s="135"/>
      <c r="L743" s="266" t="s">
        <v>649</v>
      </c>
      <c r="M743" s="264"/>
      <c r="N743" s="131"/>
    </row>
    <row r="744" s="243" customFormat="1" spans="1:16">
      <c r="A744" s="263">
        <v>45575</v>
      </c>
      <c r="B744" s="127">
        <v>21</v>
      </c>
      <c r="C744" s="258">
        <v>45575</v>
      </c>
      <c r="D744" s="136"/>
      <c r="E744" s="136"/>
      <c r="F744" s="131" t="s">
        <v>76</v>
      </c>
      <c r="G744" s="136">
        <v>3</v>
      </c>
      <c r="H744" s="136">
        <v>20</v>
      </c>
      <c r="I744" s="136">
        <f t="shared" si="85"/>
        <v>60</v>
      </c>
      <c r="J744" s="135">
        <v>14.8</v>
      </c>
      <c r="K744" s="135">
        <f t="shared" ref="K743:K755" si="86">I744*J744</f>
        <v>888</v>
      </c>
      <c r="L744" s="266"/>
      <c r="M744" s="264"/>
      <c r="N744" s="131"/>
    </row>
    <row r="745" s="243" customFormat="1" spans="1:16">
      <c r="A745" s="263">
        <v>45575</v>
      </c>
      <c r="B745" s="127">
        <v>21</v>
      </c>
      <c r="C745" s="258">
        <v>45575</v>
      </c>
      <c r="D745" s="136"/>
      <c r="E745" s="136"/>
      <c r="F745" s="131" t="s">
        <v>14</v>
      </c>
      <c r="G745" s="136">
        <v>4</v>
      </c>
      <c r="H745" s="136">
        <v>4</v>
      </c>
      <c r="I745" s="136">
        <f t="shared" si="85"/>
        <v>16</v>
      </c>
      <c r="J745" s="135">
        <v>14.5</v>
      </c>
      <c r="K745" s="135">
        <f t="shared" si="86"/>
        <v>232</v>
      </c>
      <c r="L745" s="131" t="s">
        <v>618</v>
      </c>
      <c r="M745" s="278"/>
      <c r="N745" s="132"/>
      <c r="O745" s="243">
        <f t="shared" ref="O745:O752" si="87">SUM(K745)</f>
        <v>232</v>
      </c>
      <c r="P745" s="243" t="s">
        <v>587</v>
      </c>
    </row>
    <row r="746" s="243" customFormat="1" spans="1:16">
      <c r="A746" s="263">
        <v>45575</v>
      </c>
      <c r="B746" s="127">
        <v>21</v>
      </c>
      <c r="C746" s="258">
        <v>45575</v>
      </c>
      <c r="D746" s="136"/>
      <c r="E746" s="136"/>
      <c r="F746" s="131" t="s">
        <v>641</v>
      </c>
      <c r="G746" s="136">
        <v>4</v>
      </c>
      <c r="H746" s="136">
        <v>1</v>
      </c>
      <c r="I746" s="136">
        <f t="shared" si="85"/>
        <v>4</v>
      </c>
      <c r="J746" s="135">
        <v>5.5</v>
      </c>
      <c r="K746" s="135">
        <f t="shared" si="86"/>
        <v>22</v>
      </c>
      <c r="L746" s="131">
        <f>SUM(K744:K746)</f>
        <v>1142</v>
      </c>
      <c r="M746" s="278"/>
      <c r="N746" s="132"/>
      <c r="O746" s="243">
        <f t="shared" si="87"/>
        <v>22</v>
      </c>
      <c r="P746" s="243" t="s">
        <v>587</v>
      </c>
    </row>
    <row r="747" s="245" customFormat="1" spans="1:16">
      <c r="A747" s="284">
        <v>45580</v>
      </c>
      <c r="B747" s="105">
        <v>41</v>
      </c>
      <c r="C747" s="285">
        <v>45580</v>
      </c>
      <c r="D747" s="108"/>
      <c r="E747" s="108"/>
      <c r="F747" s="110" t="s">
        <v>76</v>
      </c>
      <c r="G747" s="108">
        <v>1</v>
      </c>
      <c r="H747" s="108">
        <v>20</v>
      </c>
      <c r="I747" s="108">
        <f t="shared" si="85"/>
        <v>20</v>
      </c>
      <c r="J747" s="109">
        <v>14.8</v>
      </c>
      <c r="K747" s="109">
        <f t="shared" si="86"/>
        <v>296</v>
      </c>
      <c r="L747" s="277" t="s">
        <v>649</v>
      </c>
      <c r="M747" s="286"/>
      <c r="N747" s="110"/>
    </row>
    <row r="748" s="245" customFormat="1" spans="1:16">
      <c r="A748" s="284">
        <v>45580</v>
      </c>
      <c r="B748" s="105">
        <v>41</v>
      </c>
      <c r="C748" s="285">
        <v>45580</v>
      </c>
      <c r="D748" s="108"/>
      <c r="E748" s="108"/>
      <c r="F748" s="110" t="s">
        <v>78</v>
      </c>
      <c r="G748" s="108">
        <v>1</v>
      </c>
      <c r="H748" s="108">
        <v>10</v>
      </c>
      <c r="I748" s="108">
        <f t="shared" si="85"/>
        <v>10</v>
      </c>
      <c r="J748" s="109">
        <v>14.8</v>
      </c>
      <c r="K748" s="109">
        <f t="shared" si="86"/>
        <v>148</v>
      </c>
      <c r="L748" s="277" t="s">
        <v>650</v>
      </c>
      <c r="M748" s="286"/>
      <c r="N748" s="110"/>
    </row>
    <row r="749" s="245" customFormat="1" spans="1:16">
      <c r="A749" s="284">
        <v>45580</v>
      </c>
      <c r="B749" s="105">
        <v>41</v>
      </c>
      <c r="C749" s="285">
        <v>45580</v>
      </c>
      <c r="D749" s="108"/>
      <c r="E749" s="108"/>
      <c r="F749" s="110" t="s">
        <v>14</v>
      </c>
      <c r="G749" s="108">
        <v>1</v>
      </c>
      <c r="H749" s="108">
        <v>4</v>
      </c>
      <c r="I749" s="108">
        <f t="shared" si="85"/>
        <v>4</v>
      </c>
      <c r="J749" s="109">
        <v>14.5</v>
      </c>
      <c r="K749" s="109">
        <f t="shared" si="86"/>
        <v>58</v>
      </c>
      <c r="L749" s="110" t="s">
        <v>618</v>
      </c>
      <c r="M749" s="288"/>
      <c r="N749" s="111"/>
      <c r="O749" s="245">
        <f t="shared" si="87"/>
        <v>58</v>
      </c>
      <c r="P749" s="245" t="s">
        <v>587</v>
      </c>
    </row>
    <row r="750" s="245" customFormat="1" spans="1:16">
      <c r="A750" s="284">
        <v>45580</v>
      </c>
      <c r="B750" s="105">
        <v>41</v>
      </c>
      <c r="C750" s="285">
        <v>45580</v>
      </c>
      <c r="D750" s="108"/>
      <c r="E750" s="108"/>
      <c r="F750" s="110" t="s">
        <v>14</v>
      </c>
      <c r="G750" s="108">
        <v>1</v>
      </c>
      <c r="H750" s="108">
        <v>2</v>
      </c>
      <c r="I750" s="108">
        <f t="shared" si="85"/>
        <v>2</v>
      </c>
      <c r="J750" s="109">
        <v>14.5</v>
      </c>
      <c r="K750" s="109">
        <f t="shared" si="86"/>
        <v>29</v>
      </c>
      <c r="L750" s="110" t="s">
        <v>618</v>
      </c>
      <c r="M750" s="288"/>
      <c r="N750" s="111"/>
      <c r="O750" s="245">
        <f t="shared" si="87"/>
        <v>29</v>
      </c>
      <c r="P750" s="245" t="s">
        <v>587</v>
      </c>
    </row>
    <row r="751" s="245" customFormat="1" spans="1:16">
      <c r="A751" s="284">
        <v>45580</v>
      </c>
      <c r="B751" s="105">
        <v>41</v>
      </c>
      <c r="C751" s="285">
        <v>45580</v>
      </c>
      <c r="D751" s="108"/>
      <c r="E751" s="108"/>
      <c r="F751" s="110" t="s">
        <v>641</v>
      </c>
      <c r="G751" s="108">
        <v>1</v>
      </c>
      <c r="H751" s="108">
        <v>1</v>
      </c>
      <c r="I751" s="108">
        <f t="shared" si="85"/>
        <v>1</v>
      </c>
      <c r="J751" s="109">
        <v>5.5</v>
      </c>
      <c r="K751" s="109">
        <f t="shared" si="86"/>
        <v>5.5</v>
      </c>
      <c r="L751" s="110"/>
      <c r="M751" s="288"/>
      <c r="N751" s="111"/>
      <c r="O751" s="245">
        <f t="shared" si="87"/>
        <v>5.5</v>
      </c>
      <c r="P751" s="245" t="s">
        <v>587</v>
      </c>
    </row>
    <row r="752" s="245" customFormat="1" spans="1:16">
      <c r="A752" s="284">
        <v>45580</v>
      </c>
      <c r="B752" s="105">
        <v>41</v>
      </c>
      <c r="C752" s="285">
        <v>45580</v>
      </c>
      <c r="D752" s="108"/>
      <c r="E752" s="108"/>
      <c r="F752" s="110" t="s">
        <v>651</v>
      </c>
      <c r="G752" s="108">
        <v>1</v>
      </c>
      <c r="H752" s="108">
        <v>1</v>
      </c>
      <c r="I752" s="108">
        <f t="shared" si="85"/>
        <v>1</v>
      </c>
      <c r="J752" s="109">
        <v>3.5</v>
      </c>
      <c r="K752" s="109">
        <f t="shared" si="86"/>
        <v>3.5</v>
      </c>
      <c r="L752" s="110">
        <f>SUM(K747:K752)</f>
        <v>540</v>
      </c>
      <c r="M752" s="288"/>
      <c r="N752" s="111"/>
      <c r="O752" s="245">
        <f t="shared" si="87"/>
        <v>3.5</v>
      </c>
      <c r="P752" s="245" t="s">
        <v>587</v>
      </c>
    </row>
    <row r="753" s="2" customFormat="1" spans="1:14">
      <c r="A753" s="126">
        <v>45589</v>
      </c>
      <c r="B753" s="127">
        <v>73</v>
      </c>
      <c r="C753" s="126">
        <v>45589</v>
      </c>
      <c r="D753" s="126"/>
      <c r="E753" s="126"/>
      <c r="F753" s="131" t="s">
        <v>652</v>
      </c>
      <c r="G753" s="134">
        <v>2</v>
      </c>
      <c r="H753" s="134">
        <v>3.5</v>
      </c>
      <c r="I753" s="136">
        <f t="shared" ref="I753:I778" si="88">G753*H753</f>
        <v>7</v>
      </c>
      <c r="J753" s="135">
        <v>16</v>
      </c>
      <c r="K753" s="135">
        <f t="shared" si="86"/>
        <v>112</v>
      </c>
      <c r="L753" s="235" t="s">
        <v>653</v>
      </c>
      <c r="M753" s="131"/>
      <c r="N753" s="131"/>
    </row>
    <row r="754" s="2" customFormat="1" spans="1:14">
      <c r="A754" s="126">
        <v>45589</v>
      </c>
      <c r="B754" s="127">
        <v>73</v>
      </c>
      <c r="C754" s="126">
        <v>45589</v>
      </c>
      <c r="D754" s="126"/>
      <c r="E754" s="126"/>
      <c r="F754" s="131" t="s">
        <v>654</v>
      </c>
      <c r="G754" s="134">
        <v>1</v>
      </c>
      <c r="H754" s="134">
        <v>5</v>
      </c>
      <c r="I754" s="136">
        <f t="shared" si="88"/>
        <v>5</v>
      </c>
      <c r="J754" s="135">
        <v>21</v>
      </c>
      <c r="K754" s="135">
        <f t="shared" ref="K754:K778" si="89">I754*J754</f>
        <v>105</v>
      </c>
      <c r="L754" s="235" t="s">
        <v>655</v>
      </c>
      <c r="M754" s="131"/>
      <c r="N754" s="131"/>
    </row>
    <row r="755" s="2" customFormat="1" spans="1:14">
      <c r="A755" s="126">
        <v>45589</v>
      </c>
      <c r="B755" s="127">
        <v>73</v>
      </c>
      <c r="C755" s="126">
        <v>45589</v>
      </c>
      <c r="D755" s="126"/>
      <c r="E755" s="126"/>
      <c r="F755" s="131" t="s">
        <v>656</v>
      </c>
      <c r="G755" s="134">
        <v>1</v>
      </c>
      <c r="H755" s="134">
        <v>4</v>
      </c>
      <c r="I755" s="136">
        <f t="shared" si="88"/>
        <v>4</v>
      </c>
      <c r="J755" s="135">
        <v>14.5</v>
      </c>
      <c r="K755" s="135">
        <f t="shared" si="89"/>
        <v>58</v>
      </c>
      <c r="L755" s="235" t="s">
        <v>618</v>
      </c>
      <c r="M755" s="131"/>
      <c r="N755" s="131"/>
    </row>
    <row r="756" s="2" customFormat="1" spans="1:14">
      <c r="A756" s="126">
        <v>45589</v>
      </c>
      <c r="B756" s="127">
        <v>73</v>
      </c>
      <c r="C756" s="126">
        <v>45589</v>
      </c>
      <c r="D756" s="126"/>
      <c r="E756" s="126"/>
      <c r="F756" s="131" t="s">
        <v>656</v>
      </c>
      <c r="G756" s="134">
        <v>1</v>
      </c>
      <c r="H756" s="134">
        <v>2</v>
      </c>
      <c r="I756" s="136">
        <f t="shared" si="88"/>
        <v>2</v>
      </c>
      <c r="J756" s="135">
        <v>14.5</v>
      </c>
      <c r="K756" s="135">
        <f t="shared" si="89"/>
        <v>29</v>
      </c>
      <c r="L756" s="235" t="s">
        <v>618</v>
      </c>
      <c r="M756" s="131"/>
      <c r="N756" s="131"/>
    </row>
    <row r="757" s="2" customFormat="1" spans="1:14">
      <c r="A757" s="126">
        <v>45589</v>
      </c>
      <c r="B757" s="127">
        <v>73</v>
      </c>
      <c r="C757" s="126">
        <v>45589</v>
      </c>
      <c r="D757" s="126"/>
      <c r="E757" s="126"/>
      <c r="F757" s="131" t="s">
        <v>657</v>
      </c>
      <c r="G757" s="134">
        <v>1</v>
      </c>
      <c r="H757" s="134">
        <v>6</v>
      </c>
      <c r="I757" s="136">
        <f t="shared" si="88"/>
        <v>6</v>
      </c>
      <c r="J757" s="135">
        <v>12.5</v>
      </c>
      <c r="K757" s="135">
        <f t="shared" si="89"/>
        <v>75</v>
      </c>
      <c r="L757" s="235" t="s">
        <v>658</v>
      </c>
      <c r="M757" s="131"/>
      <c r="N757" s="131"/>
    </row>
    <row r="758" spans="1:14">
      <c r="A758" s="126">
        <v>45589</v>
      </c>
      <c r="B758" s="127">
        <v>73</v>
      </c>
      <c r="C758" s="126">
        <v>45589</v>
      </c>
      <c r="D758" s="126"/>
      <c r="E758" s="126"/>
      <c r="F758" s="131" t="s">
        <v>659</v>
      </c>
      <c r="G758" s="134">
        <v>1</v>
      </c>
      <c r="H758" s="134">
        <v>3</v>
      </c>
      <c r="I758" s="136">
        <f t="shared" si="88"/>
        <v>3</v>
      </c>
      <c r="J758" s="134">
        <v>14.5</v>
      </c>
      <c r="K758" s="135">
        <f t="shared" si="89"/>
        <v>43.5</v>
      </c>
      <c r="L758" s="131" t="s">
        <v>660</v>
      </c>
    </row>
    <row r="759" spans="1:14">
      <c r="A759" s="126">
        <v>45589</v>
      </c>
      <c r="B759" s="127">
        <v>73</v>
      </c>
      <c r="C759" s="126">
        <v>45589</v>
      </c>
      <c r="D759" s="126"/>
      <c r="E759" s="126"/>
      <c r="F759" s="131" t="s">
        <v>661</v>
      </c>
      <c r="G759" s="134">
        <v>1</v>
      </c>
      <c r="H759" s="134">
        <v>12</v>
      </c>
      <c r="I759" s="136">
        <f t="shared" si="88"/>
        <v>12</v>
      </c>
      <c r="J759" s="135">
        <v>8</v>
      </c>
      <c r="K759" s="135">
        <f t="shared" si="89"/>
        <v>96</v>
      </c>
      <c r="L759" s="348" t="s">
        <v>662</v>
      </c>
    </row>
    <row r="760" customFormat="1" spans="1:14">
      <c r="A760" s="126">
        <v>45589</v>
      </c>
      <c r="B760" s="127">
        <v>73</v>
      </c>
      <c r="C760" s="126">
        <v>45589</v>
      </c>
      <c r="D760" s="126"/>
      <c r="E760" s="126"/>
      <c r="F760" s="131" t="s">
        <v>645</v>
      </c>
      <c r="G760" s="134">
        <v>2</v>
      </c>
      <c r="H760" s="134">
        <v>1</v>
      </c>
      <c r="I760" s="136">
        <f t="shared" si="88"/>
        <v>2</v>
      </c>
      <c r="J760" s="134">
        <v>7</v>
      </c>
      <c r="K760" s="135">
        <f t="shared" si="89"/>
        <v>14</v>
      </c>
      <c r="L760" s="348"/>
      <c r="M760" s="131"/>
      <c r="N760" s="132"/>
    </row>
    <row r="761" customFormat="1" spans="1:14">
      <c r="A761" s="126">
        <v>45589</v>
      </c>
      <c r="B761" s="127">
        <v>73</v>
      </c>
      <c r="C761" s="126">
        <v>45589</v>
      </c>
      <c r="D761" s="126"/>
      <c r="E761" s="126"/>
      <c r="F761" s="131" t="s">
        <v>641</v>
      </c>
      <c r="G761" s="134">
        <v>5</v>
      </c>
      <c r="H761" s="134">
        <v>1</v>
      </c>
      <c r="I761" s="136">
        <f t="shared" si="88"/>
        <v>5</v>
      </c>
      <c r="J761" s="134">
        <v>5.5</v>
      </c>
      <c r="K761" s="135">
        <f t="shared" si="89"/>
        <v>27.5</v>
      </c>
      <c r="L761" s="348">
        <f>SUM(K753:K761)</f>
        <v>560</v>
      </c>
      <c r="M761" s="131"/>
      <c r="N761" s="132"/>
    </row>
    <row r="762" s="13" customFormat="1" spans="1:14">
      <c r="A762" s="272">
        <v>45590</v>
      </c>
      <c r="B762" s="273">
        <v>77</v>
      </c>
      <c r="C762" s="272">
        <v>45590</v>
      </c>
      <c r="D762" s="272"/>
      <c r="E762" s="272"/>
      <c r="F762" s="137" t="s">
        <v>663</v>
      </c>
      <c r="G762" s="262">
        <v>2</v>
      </c>
      <c r="H762" s="262">
        <v>15</v>
      </c>
      <c r="I762" s="274">
        <f t="shared" si="88"/>
        <v>30</v>
      </c>
      <c r="J762" s="262">
        <v>16</v>
      </c>
      <c r="K762" s="275">
        <f t="shared" si="89"/>
        <v>480</v>
      </c>
      <c r="L762" s="340" t="s">
        <v>664</v>
      </c>
      <c r="M762" s="137"/>
      <c r="N762" s="276"/>
    </row>
    <row r="763" s="242" customFormat="1" spans="1:14">
      <c r="A763" s="258">
        <v>45600</v>
      </c>
      <c r="B763" s="127">
        <v>5</v>
      </c>
      <c r="C763" s="258">
        <v>45600</v>
      </c>
      <c r="D763" s="258"/>
      <c r="E763" s="258"/>
      <c r="F763" s="243" t="s">
        <v>307</v>
      </c>
      <c r="G763" s="136">
        <v>1</v>
      </c>
      <c r="H763" s="136">
        <v>197</v>
      </c>
      <c r="I763" s="136">
        <f t="shared" si="88"/>
        <v>197</v>
      </c>
      <c r="J763" s="135"/>
      <c r="K763" s="135">
        <f t="shared" si="89"/>
        <v>0</v>
      </c>
      <c r="L763" s="243"/>
      <c r="M763" s="243"/>
      <c r="N763" s="259"/>
    </row>
    <row r="764" s="242" customFormat="1" spans="1:14">
      <c r="A764" s="258">
        <v>45600</v>
      </c>
      <c r="B764" s="127">
        <v>5</v>
      </c>
      <c r="C764" s="258">
        <v>45600</v>
      </c>
      <c r="D764" s="258"/>
      <c r="E764" s="258"/>
      <c r="F764" s="243" t="s">
        <v>308</v>
      </c>
      <c r="G764" s="136">
        <v>1</v>
      </c>
      <c r="H764" s="136">
        <v>35</v>
      </c>
      <c r="I764" s="136">
        <f t="shared" si="88"/>
        <v>35</v>
      </c>
      <c r="J764" s="135">
        <v>13</v>
      </c>
      <c r="K764" s="135">
        <f t="shared" si="89"/>
        <v>455</v>
      </c>
      <c r="L764" s="243"/>
      <c r="M764" s="243"/>
      <c r="N764" s="259"/>
    </row>
    <row r="765" s="242" customFormat="1" spans="1:14">
      <c r="A765" s="258">
        <v>45600</v>
      </c>
      <c r="B765" s="127">
        <v>5</v>
      </c>
      <c r="C765" s="258">
        <v>45600</v>
      </c>
      <c r="D765" s="258"/>
      <c r="E765" s="258"/>
      <c r="F765" s="243" t="s">
        <v>309</v>
      </c>
      <c r="G765" s="136">
        <v>1</v>
      </c>
      <c r="H765" s="136">
        <v>60</v>
      </c>
      <c r="I765" s="136">
        <f t="shared" si="88"/>
        <v>60</v>
      </c>
      <c r="J765" s="135">
        <v>18</v>
      </c>
      <c r="K765" s="135">
        <f t="shared" si="89"/>
        <v>1080</v>
      </c>
      <c r="L765" s="243"/>
      <c r="M765" s="243"/>
      <c r="N765" s="259"/>
    </row>
    <row r="766" s="242" customFormat="1" spans="1:14">
      <c r="A766" s="258">
        <v>45600</v>
      </c>
      <c r="B766" s="127">
        <v>5</v>
      </c>
      <c r="C766" s="258">
        <v>45600</v>
      </c>
      <c r="D766" s="258"/>
      <c r="E766" s="258"/>
      <c r="F766" s="243" t="s">
        <v>120</v>
      </c>
      <c r="G766" s="136">
        <v>1</v>
      </c>
      <c r="H766" s="136">
        <v>10.5</v>
      </c>
      <c r="I766" s="136">
        <f t="shared" si="88"/>
        <v>10.5</v>
      </c>
      <c r="J766" s="135">
        <v>21</v>
      </c>
      <c r="K766" s="135">
        <f t="shared" si="89"/>
        <v>220.5</v>
      </c>
      <c r="L766" s="243"/>
      <c r="M766" s="243"/>
      <c r="N766" s="259"/>
    </row>
    <row r="767" s="242" customFormat="1" spans="1:14">
      <c r="A767" s="258">
        <v>45600</v>
      </c>
      <c r="B767" s="127">
        <v>5</v>
      </c>
      <c r="C767" s="258">
        <v>45600</v>
      </c>
      <c r="D767" s="258"/>
      <c r="E767" s="258"/>
      <c r="F767" s="243" t="s">
        <v>310</v>
      </c>
      <c r="G767" s="136">
        <v>1</v>
      </c>
      <c r="H767" s="136">
        <v>105</v>
      </c>
      <c r="I767" s="136">
        <f t="shared" si="88"/>
        <v>105</v>
      </c>
      <c r="J767" s="135">
        <v>0.6</v>
      </c>
      <c r="K767" s="135">
        <f t="shared" si="89"/>
        <v>63</v>
      </c>
      <c r="L767" s="243" t="s">
        <v>616</v>
      </c>
      <c r="M767" s="243"/>
      <c r="N767" s="259"/>
    </row>
    <row r="768" s="242" customFormat="1" spans="1:14">
      <c r="A768" s="258">
        <v>45600</v>
      </c>
      <c r="B768" s="127">
        <v>5</v>
      </c>
      <c r="C768" s="258">
        <v>45600</v>
      </c>
      <c r="D768" s="258"/>
      <c r="E768" s="258"/>
      <c r="F768" s="243" t="s">
        <v>122</v>
      </c>
      <c r="G768" s="136">
        <v>1</v>
      </c>
      <c r="H768" s="136">
        <v>190</v>
      </c>
      <c r="I768" s="136">
        <f t="shared" si="88"/>
        <v>190</v>
      </c>
      <c r="J768" s="135">
        <v>7.5</v>
      </c>
      <c r="K768" s="135">
        <f t="shared" si="89"/>
        <v>1425</v>
      </c>
      <c r="L768" s="243"/>
      <c r="M768" s="243"/>
      <c r="N768" s="259"/>
    </row>
    <row r="769" s="242" customFormat="1" spans="1:14">
      <c r="A769" s="258">
        <v>45600</v>
      </c>
      <c r="B769" s="127">
        <v>5</v>
      </c>
      <c r="C769" s="258">
        <v>45600</v>
      </c>
      <c r="D769" s="258"/>
      <c r="E769" s="258"/>
      <c r="F769" s="243" t="s">
        <v>123</v>
      </c>
      <c r="G769" s="136">
        <v>1</v>
      </c>
      <c r="H769" s="136">
        <v>120</v>
      </c>
      <c r="I769" s="136">
        <f t="shared" si="88"/>
        <v>120</v>
      </c>
      <c r="J769" s="135">
        <v>3.7</v>
      </c>
      <c r="K769" s="135">
        <f t="shared" si="89"/>
        <v>444</v>
      </c>
      <c r="L769" s="243"/>
      <c r="M769" s="243"/>
      <c r="N769" s="259"/>
    </row>
    <row r="770" s="242" customFormat="1" spans="1:14">
      <c r="A770" s="258">
        <v>45600</v>
      </c>
      <c r="B770" s="127">
        <v>5</v>
      </c>
      <c r="C770" s="258">
        <v>45600</v>
      </c>
      <c r="D770" s="258"/>
      <c r="E770" s="258"/>
      <c r="F770" s="243" t="s">
        <v>323</v>
      </c>
      <c r="G770" s="136">
        <v>1</v>
      </c>
      <c r="H770" s="136">
        <v>8</v>
      </c>
      <c r="I770" s="136">
        <f t="shared" si="88"/>
        <v>8</v>
      </c>
      <c r="J770" s="135">
        <v>18</v>
      </c>
      <c r="K770" s="135">
        <f t="shared" si="89"/>
        <v>144</v>
      </c>
      <c r="L770" s="243"/>
      <c r="M770" s="243"/>
      <c r="N770" s="259"/>
    </row>
    <row r="771" s="242" customFormat="1" spans="1:14">
      <c r="A771" s="258">
        <v>45600</v>
      </c>
      <c r="B771" s="127">
        <v>5</v>
      </c>
      <c r="C771" s="258">
        <v>45600</v>
      </c>
      <c r="D771" s="258"/>
      <c r="E771" s="258"/>
      <c r="F771" s="243" t="s">
        <v>125</v>
      </c>
      <c r="G771" s="136">
        <v>1</v>
      </c>
      <c r="H771" s="136">
        <v>0.5</v>
      </c>
      <c r="I771" s="136">
        <f t="shared" si="88"/>
        <v>0.5</v>
      </c>
      <c r="J771" s="135">
        <v>25</v>
      </c>
      <c r="K771" s="135">
        <f t="shared" si="89"/>
        <v>12.5</v>
      </c>
      <c r="L771" s="261" t="s">
        <v>665</v>
      </c>
      <c r="M771" s="261"/>
      <c r="N771" s="259"/>
    </row>
    <row r="772" s="242" customFormat="1" spans="1:14">
      <c r="A772" s="258">
        <v>45600</v>
      </c>
      <c r="B772" s="127">
        <v>5</v>
      </c>
      <c r="C772" s="258">
        <v>45600</v>
      </c>
      <c r="D772" s="258"/>
      <c r="E772" s="258"/>
      <c r="F772" s="243" t="s">
        <v>313</v>
      </c>
      <c r="G772" s="136">
        <v>1</v>
      </c>
      <c r="H772" s="136">
        <v>16</v>
      </c>
      <c r="I772" s="136">
        <f t="shared" si="88"/>
        <v>16</v>
      </c>
      <c r="J772" s="135">
        <v>45</v>
      </c>
      <c r="K772" s="135">
        <f t="shared" si="89"/>
        <v>720</v>
      </c>
      <c r="L772" s="243" t="s">
        <v>321</v>
      </c>
      <c r="M772" s="243" t="s">
        <v>322</v>
      </c>
      <c r="N772" s="259"/>
    </row>
    <row r="773" s="242" customFormat="1" spans="1:14">
      <c r="A773" s="258">
        <v>45600</v>
      </c>
      <c r="B773" s="127">
        <v>5</v>
      </c>
      <c r="C773" s="258">
        <v>45600</v>
      </c>
      <c r="D773" s="258"/>
      <c r="E773" s="258"/>
      <c r="F773" s="243" t="s">
        <v>325</v>
      </c>
      <c r="G773" s="136">
        <v>1</v>
      </c>
      <c r="H773" s="136">
        <f>SUM(H763:H772)</f>
        <v>742</v>
      </c>
      <c r="I773" s="136">
        <f t="shared" si="88"/>
        <v>742</v>
      </c>
      <c r="J773" s="135">
        <v>2.3</v>
      </c>
      <c r="K773" s="135">
        <f t="shared" si="89"/>
        <v>1706.6</v>
      </c>
      <c r="L773" s="243" t="s">
        <v>324</v>
      </c>
      <c r="M773" s="243"/>
      <c r="N773" s="259"/>
    </row>
    <row r="774" s="242" customFormat="1" spans="1:14">
      <c r="A774" s="258">
        <v>45600</v>
      </c>
      <c r="B774" s="127">
        <v>5</v>
      </c>
      <c r="C774" s="258">
        <v>45600</v>
      </c>
      <c r="D774" s="258"/>
      <c r="E774" s="258"/>
      <c r="F774" s="243" t="s">
        <v>316</v>
      </c>
      <c r="G774" s="136">
        <v>41</v>
      </c>
      <c r="H774" s="136">
        <v>1</v>
      </c>
      <c r="I774" s="136">
        <f t="shared" si="88"/>
        <v>41</v>
      </c>
      <c r="J774" s="135">
        <v>12.5</v>
      </c>
      <c r="K774" s="135">
        <f t="shared" si="89"/>
        <v>512.5</v>
      </c>
      <c r="M774" s="243">
        <f>SUM(K763:K774)</f>
        <v>6783.1</v>
      </c>
      <c r="N774" s="259"/>
    </row>
    <row r="775" s="1" customFormat="1" spans="1:14">
      <c r="A775" s="284">
        <v>45622</v>
      </c>
      <c r="B775" s="105">
        <v>82</v>
      </c>
      <c r="C775" s="285">
        <v>45601</v>
      </c>
      <c r="D775" s="108"/>
      <c r="E775" s="108"/>
      <c r="F775" s="110" t="s">
        <v>666</v>
      </c>
      <c r="G775" s="107">
        <v>1</v>
      </c>
      <c r="H775" s="107">
        <v>15</v>
      </c>
      <c r="I775" s="108">
        <f t="shared" si="88"/>
        <v>15</v>
      </c>
      <c r="J775" s="107">
        <v>8</v>
      </c>
      <c r="K775" s="109">
        <f t="shared" si="89"/>
        <v>120</v>
      </c>
      <c r="L775" s="354" t="s">
        <v>667</v>
      </c>
      <c r="M775" s="110"/>
      <c r="N775" s="111"/>
    </row>
    <row r="776" s="1" customFormat="1" spans="1:14">
      <c r="A776" s="284">
        <v>45622</v>
      </c>
      <c r="B776" s="105">
        <v>82</v>
      </c>
      <c r="C776" s="285">
        <v>45601</v>
      </c>
      <c r="D776" s="108"/>
      <c r="E776" s="108"/>
      <c r="F776" s="110" t="s">
        <v>538</v>
      </c>
      <c r="G776" s="107">
        <v>-1</v>
      </c>
      <c r="H776" s="107">
        <v>1</v>
      </c>
      <c r="I776" s="108">
        <f t="shared" si="88"/>
        <v>-1</v>
      </c>
      <c r="J776" s="107">
        <v>12.2</v>
      </c>
      <c r="K776" s="109">
        <f t="shared" si="89"/>
        <v>-12.2</v>
      </c>
      <c r="L776" s="354"/>
      <c r="M776" s="110"/>
      <c r="N776" s="111"/>
    </row>
    <row r="777" s="1" customFormat="1" spans="1:14">
      <c r="A777" s="284">
        <v>45622</v>
      </c>
      <c r="B777" s="105">
        <v>82</v>
      </c>
      <c r="C777" s="51">
        <v>45605</v>
      </c>
      <c r="D777" s="51"/>
      <c r="E777" s="51"/>
      <c r="F777" s="110" t="s">
        <v>668</v>
      </c>
      <c r="G777" s="107">
        <v>-1</v>
      </c>
      <c r="H777" s="107">
        <v>3.5</v>
      </c>
      <c r="I777" s="108">
        <f t="shared" si="88"/>
        <v>-3.5</v>
      </c>
      <c r="J777" s="109">
        <v>16</v>
      </c>
      <c r="K777" s="109">
        <f t="shared" si="89"/>
        <v>-56</v>
      </c>
      <c r="L777" s="255" t="s">
        <v>653</v>
      </c>
      <c r="M777" s="110">
        <f>SUM(K775:K777)</f>
        <v>51.8</v>
      </c>
      <c r="N777" s="110"/>
    </row>
    <row r="778" s="243" customFormat="1" spans="1:14">
      <c r="A778" s="263">
        <v>45622</v>
      </c>
      <c r="B778" s="127">
        <v>83</v>
      </c>
      <c r="C778" s="258">
        <v>45622</v>
      </c>
      <c r="D778" s="136"/>
      <c r="E778" s="136"/>
      <c r="F778" s="131" t="s">
        <v>308</v>
      </c>
      <c r="G778" s="136">
        <v>1</v>
      </c>
      <c r="H778" s="136">
        <v>120</v>
      </c>
      <c r="I778" s="136">
        <f t="shared" si="88"/>
        <v>120</v>
      </c>
      <c r="J778" s="135">
        <v>13</v>
      </c>
      <c r="K778" s="135">
        <f t="shared" si="89"/>
        <v>1560</v>
      </c>
      <c r="L778" s="278" t="s">
        <v>453</v>
      </c>
      <c r="M778" s="279"/>
      <c r="N778" s="132"/>
    </row>
    <row r="779" s="243" customFormat="1" spans="1:14">
      <c r="A779" s="263">
        <v>45622</v>
      </c>
      <c r="B779" s="127">
        <v>83</v>
      </c>
      <c r="C779" s="258">
        <v>45622</v>
      </c>
      <c r="D779" s="136"/>
      <c r="E779" s="136"/>
      <c r="F779" s="133" t="s">
        <v>430</v>
      </c>
      <c r="G779" s="136">
        <v>1</v>
      </c>
      <c r="H779" s="136">
        <v>6</v>
      </c>
      <c r="I779" s="136">
        <f t="shared" ref="I779:I805" si="90">G779*H779</f>
        <v>6</v>
      </c>
      <c r="J779" s="135">
        <v>26</v>
      </c>
      <c r="K779" s="135">
        <f t="shared" ref="K779:K797" si="91">I779*J779</f>
        <v>156</v>
      </c>
      <c r="L779" s="304" t="s">
        <v>439</v>
      </c>
      <c r="M779" s="279"/>
      <c r="N779" s="132"/>
    </row>
    <row r="780" s="243" customFormat="1" spans="1:14">
      <c r="A780" s="263">
        <v>45622</v>
      </c>
      <c r="B780" s="127">
        <v>83</v>
      </c>
      <c r="C780" s="258">
        <v>45622</v>
      </c>
      <c r="D780" s="136"/>
      <c r="E780" s="136"/>
      <c r="F780" s="133" t="s">
        <v>436</v>
      </c>
      <c r="G780" s="136">
        <v>1</v>
      </c>
      <c r="H780" s="136">
        <v>8.3</v>
      </c>
      <c r="I780" s="136">
        <f t="shared" si="90"/>
        <v>8.3</v>
      </c>
      <c r="J780" s="135">
        <v>17</v>
      </c>
      <c r="K780" s="135">
        <f t="shared" si="91"/>
        <v>141.1</v>
      </c>
      <c r="L780" s="278"/>
      <c r="M780" s="279"/>
      <c r="N780" s="132"/>
    </row>
    <row r="781" s="243" customFormat="1" spans="1:14">
      <c r="A781" s="263">
        <v>45622</v>
      </c>
      <c r="B781" s="127">
        <v>83</v>
      </c>
      <c r="C781" s="258">
        <v>45622</v>
      </c>
      <c r="D781" s="136"/>
      <c r="E781" s="136"/>
      <c r="F781" s="133" t="s">
        <v>454</v>
      </c>
      <c r="G781" s="136">
        <v>1</v>
      </c>
      <c r="H781" s="136">
        <v>15.5</v>
      </c>
      <c r="I781" s="136">
        <f t="shared" si="90"/>
        <v>15.5</v>
      </c>
      <c r="J781" s="135">
        <v>52</v>
      </c>
      <c r="K781" s="135">
        <f t="shared" si="91"/>
        <v>806</v>
      </c>
      <c r="L781" s="278" t="s">
        <v>669</v>
      </c>
      <c r="M781" s="279"/>
      <c r="N781" s="132"/>
    </row>
    <row r="782" s="243" customFormat="1" spans="1:14">
      <c r="A782" s="263">
        <v>45622</v>
      </c>
      <c r="B782" s="127">
        <v>83</v>
      </c>
      <c r="C782" s="258">
        <v>45622</v>
      </c>
      <c r="D782" s="136"/>
      <c r="E782" s="136"/>
      <c r="F782" s="133" t="s">
        <v>670</v>
      </c>
      <c r="G782" s="136">
        <v>1</v>
      </c>
      <c r="H782" s="136">
        <v>5.8</v>
      </c>
      <c r="I782" s="136">
        <f t="shared" si="90"/>
        <v>5.8</v>
      </c>
      <c r="J782" s="135">
        <v>70</v>
      </c>
      <c r="K782" s="135">
        <f t="shared" si="91"/>
        <v>406</v>
      </c>
      <c r="L782" s="278" t="s">
        <v>671</v>
      </c>
      <c r="M782" s="279"/>
      <c r="N782" s="132"/>
    </row>
    <row r="783" s="243" customFormat="1" spans="1:14">
      <c r="A783" s="263">
        <v>45622</v>
      </c>
      <c r="B783" s="127">
        <v>83</v>
      </c>
      <c r="C783" s="258">
        <v>45622</v>
      </c>
      <c r="D783" s="136"/>
      <c r="E783" s="136"/>
      <c r="F783" s="133" t="s">
        <v>575</v>
      </c>
      <c r="G783" s="136">
        <v>1</v>
      </c>
      <c r="H783" s="136">
        <v>3</v>
      </c>
      <c r="I783" s="136">
        <f t="shared" si="90"/>
        <v>3</v>
      </c>
      <c r="J783" s="135">
        <v>25</v>
      </c>
      <c r="K783" s="135">
        <f t="shared" si="91"/>
        <v>75</v>
      </c>
      <c r="L783" s="278"/>
      <c r="M783" s="279"/>
      <c r="N783" s="132"/>
    </row>
    <row r="784" s="243" customFormat="1" spans="1:14">
      <c r="A784" s="263">
        <v>45622</v>
      </c>
      <c r="B784" s="127">
        <v>83</v>
      </c>
      <c r="C784" s="258">
        <v>45622</v>
      </c>
      <c r="D784" s="136"/>
      <c r="E784" s="136"/>
      <c r="F784" s="133" t="s">
        <v>570</v>
      </c>
      <c r="G784" s="136">
        <v>1</v>
      </c>
      <c r="H784" s="136">
        <v>2</v>
      </c>
      <c r="I784" s="136">
        <f t="shared" si="90"/>
        <v>2</v>
      </c>
      <c r="J784" s="135">
        <v>25</v>
      </c>
      <c r="K784" s="135">
        <f t="shared" si="91"/>
        <v>50</v>
      </c>
      <c r="L784" s="278"/>
      <c r="M784" s="279"/>
      <c r="N784" s="132"/>
    </row>
    <row r="785" s="243" customFormat="1" spans="1:14">
      <c r="A785" s="263">
        <v>45622</v>
      </c>
      <c r="B785" s="127">
        <v>83</v>
      </c>
      <c r="C785" s="258">
        <v>45622</v>
      </c>
      <c r="D785" s="136"/>
      <c r="E785" s="136"/>
      <c r="F785" s="133" t="s">
        <v>434</v>
      </c>
      <c r="G785" s="136">
        <v>1</v>
      </c>
      <c r="H785" s="136">
        <v>35</v>
      </c>
      <c r="I785" s="136">
        <f t="shared" si="90"/>
        <v>35</v>
      </c>
      <c r="J785" s="135">
        <v>8.5</v>
      </c>
      <c r="K785" s="135">
        <f t="shared" si="91"/>
        <v>297.5</v>
      </c>
      <c r="L785" s="278"/>
      <c r="M785" s="279"/>
      <c r="N785" s="132"/>
    </row>
    <row r="786" s="243" customFormat="1" spans="1:14">
      <c r="A786" s="263">
        <v>45622</v>
      </c>
      <c r="B786" s="127">
        <v>83</v>
      </c>
      <c r="C786" s="258">
        <v>45622</v>
      </c>
      <c r="D786" s="136"/>
      <c r="E786" s="136"/>
      <c r="F786" s="131" t="s">
        <v>122</v>
      </c>
      <c r="G786" s="136">
        <v>1</v>
      </c>
      <c r="H786" s="136">
        <v>13</v>
      </c>
      <c r="I786" s="136">
        <f t="shared" si="90"/>
        <v>13</v>
      </c>
      <c r="J786" s="135">
        <v>7.5</v>
      </c>
      <c r="K786" s="135">
        <f t="shared" si="91"/>
        <v>97.5</v>
      </c>
      <c r="L786" s="278" t="s">
        <v>672</v>
      </c>
      <c r="M786" s="279"/>
      <c r="N786" s="132"/>
    </row>
    <row r="787" s="243" customFormat="1" spans="1:14">
      <c r="A787" s="263">
        <v>45622</v>
      </c>
      <c r="B787" s="127">
        <v>83</v>
      </c>
      <c r="C787" s="258">
        <v>45622</v>
      </c>
      <c r="D787" s="136"/>
      <c r="E787" s="136"/>
      <c r="F787" s="133">
        <v>2038</v>
      </c>
      <c r="G787" s="136">
        <v>1</v>
      </c>
      <c r="H787" s="136">
        <v>1</v>
      </c>
      <c r="I787" s="136">
        <f t="shared" si="90"/>
        <v>1</v>
      </c>
      <c r="J787" s="135">
        <v>55</v>
      </c>
      <c r="K787" s="135">
        <f t="shared" si="91"/>
        <v>55</v>
      </c>
      <c r="L787" s="278"/>
      <c r="M787" s="279"/>
      <c r="N787" s="132"/>
    </row>
    <row r="788" s="243" customFormat="1" spans="1:14">
      <c r="A788" s="263">
        <v>45622</v>
      </c>
      <c r="B788" s="127">
        <v>83</v>
      </c>
      <c r="C788" s="258">
        <v>45622</v>
      </c>
      <c r="D788" s="136"/>
      <c r="E788" s="136"/>
      <c r="F788" s="133">
        <v>3033</v>
      </c>
      <c r="G788" s="136">
        <v>1</v>
      </c>
      <c r="H788" s="136">
        <v>1</v>
      </c>
      <c r="I788" s="136">
        <f t="shared" si="90"/>
        <v>1</v>
      </c>
      <c r="J788" s="135">
        <v>60</v>
      </c>
      <c r="K788" s="135">
        <f t="shared" si="91"/>
        <v>60</v>
      </c>
      <c r="L788" s="278"/>
      <c r="M788" s="279"/>
      <c r="N788" s="132"/>
    </row>
    <row r="789" s="243" customFormat="1" spans="1:14">
      <c r="A789" s="263">
        <v>45622</v>
      </c>
      <c r="B789" s="127">
        <v>83</v>
      </c>
      <c r="C789" s="258">
        <v>45622</v>
      </c>
      <c r="D789" s="136"/>
      <c r="E789" s="136"/>
      <c r="F789" s="131" t="s">
        <v>673</v>
      </c>
      <c r="G789" s="136">
        <v>1</v>
      </c>
      <c r="H789" s="282">
        <f>SUM(H778:H788)</f>
        <v>210.6</v>
      </c>
      <c r="I789" s="136">
        <f t="shared" si="90"/>
        <v>210.6</v>
      </c>
      <c r="J789" s="135">
        <v>2.3</v>
      </c>
      <c r="K789" s="135">
        <f t="shared" si="91"/>
        <v>484.38</v>
      </c>
      <c r="L789" s="278">
        <f>SUM(K778:K790)</f>
        <v>4313.48</v>
      </c>
      <c r="M789" s="279"/>
      <c r="N789" s="132"/>
    </row>
    <row r="790" s="243" customFormat="1" spans="1:14">
      <c r="A790" s="263">
        <v>45622</v>
      </c>
      <c r="B790" s="127">
        <v>83</v>
      </c>
      <c r="C790" s="258">
        <v>45622</v>
      </c>
      <c r="D790" s="136"/>
      <c r="E790" s="136"/>
      <c r="F790" s="131" t="s">
        <v>457</v>
      </c>
      <c r="G790" s="136">
        <v>10</v>
      </c>
      <c r="H790" s="136">
        <v>1</v>
      </c>
      <c r="I790" s="136">
        <f t="shared" si="90"/>
        <v>10</v>
      </c>
      <c r="J790" s="135">
        <v>12.5</v>
      </c>
      <c r="K790" s="135">
        <f t="shared" si="91"/>
        <v>125</v>
      </c>
      <c r="L790" s="298"/>
      <c r="M790" s="279"/>
      <c r="N790" s="132"/>
    </row>
    <row r="791" s="245" customFormat="1" spans="1:14">
      <c r="A791" s="284">
        <v>45622</v>
      </c>
      <c r="B791" s="105">
        <v>84</v>
      </c>
      <c r="C791" s="285">
        <v>45622</v>
      </c>
      <c r="D791" s="108"/>
      <c r="E791" s="108"/>
      <c r="F791" s="110" t="s">
        <v>674</v>
      </c>
      <c r="G791" s="108">
        <v>10</v>
      </c>
      <c r="H791" s="108">
        <v>4</v>
      </c>
      <c r="I791" s="108">
        <f t="shared" si="90"/>
        <v>40</v>
      </c>
      <c r="J791" s="109">
        <v>14.5</v>
      </c>
      <c r="K791" s="109">
        <f t="shared" si="91"/>
        <v>580</v>
      </c>
      <c r="L791" s="288" t="s">
        <v>675</v>
      </c>
      <c r="M791" s="291"/>
      <c r="N791" s="111"/>
    </row>
    <row r="792" s="245" customFormat="1" spans="1:14">
      <c r="A792" s="284">
        <v>45622</v>
      </c>
      <c r="B792" s="105">
        <v>84</v>
      </c>
      <c r="C792" s="285">
        <v>45622</v>
      </c>
      <c r="D792" s="108"/>
      <c r="E792" s="108"/>
      <c r="F792" s="110" t="s">
        <v>497</v>
      </c>
      <c r="G792" s="108">
        <v>10</v>
      </c>
      <c r="H792" s="108">
        <v>1</v>
      </c>
      <c r="I792" s="108">
        <f t="shared" si="90"/>
        <v>10</v>
      </c>
      <c r="J792" s="109">
        <v>5.5</v>
      </c>
      <c r="K792" s="109">
        <f t="shared" si="91"/>
        <v>55</v>
      </c>
      <c r="L792" s="287"/>
      <c r="M792" s="291">
        <f>SUM(K791:K792)</f>
        <v>635</v>
      </c>
      <c r="N792" s="111"/>
    </row>
    <row r="793" s="261" customFormat="1" spans="1:14">
      <c r="A793" s="363">
        <v>45623</v>
      </c>
      <c r="B793" s="273">
        <v>85</v>
      </c>
      <c r="C793" s="320">
        <v>45623</v>
      </c>
      <c r="D793" s="274"/>
      <c r="E793" s="274"/>
      <c r="F793" s="261" t="s">
        <v>676</v>
      </c>
      <c r="G793" s="274">
        <v>1</v>
      </c>
      <c r="H793" s="414">
        <v>10</v>
      </c>
      <c r="I793" s="414">
        <f t="shared" si="90"/>
        <v>10</v>
      </c>
      <c r="J793" s="275">
        <v>17.2</v>
      </c>
      <c r="K793" s="275">
        <f t="shared" si="91"/>
        <v>172</v>
      </c>
      <c r="L793" s="289"/>
      <c r="M793" s="375"/>
      <c r="N793" s="276"/>
    </row>
    <row r="794" s="261" customFormat="1" spans="1:14">
      <c r="A794" s="363">
        <v>45623</v>
      </c>
      <c r="B794" s="273">
        <v>85</v>
      </c>
      <c r="C794" s="320">
        <v>45623</v>
      </c>
      <c r="D794" s="274"/>
      <c r="E794" s="274"/>
      <c r="F794" s="261" t="s">
        <v>677</v>
      </c>
      <c r="G794" s="274">
        <v>1</v>
      </c>
      <c r="H794" s="274">
        <v>2</v>
      </c>
      <c r="I794" s="414">
        <f t="shared" si="90"/>
        <v>2</v>
      </c>
      <c r="J794" s="275">
        <v>14.5</v>
      </c>
      <c r="K794" s="275">
        <f t="shared" si="91"/>
        <v>29</v>
      </c>
      <c r="L794" s="289" t="s">
        <v>675</v>
      </c>
      <c r="M794" s="375"/>
      <c r="N794" s="276"/>
    </row>
    <row r="795" s="261" customFormat="1" spans="1:14">
      <c r="A795" s="363">
        <v>45623</v>
      </c>
      <c r="B795" s="273">
        <v>85</v>
      </c>
      <c r="C795" s="320">
        <v>45623</v>
      </c>
      <c r="D795" s="274"/>
      <c r="E795" s="274"/>
      <c r="F795" s="261" t="s">
        <v>678</v>
      </c>
      <c r="G795" s="274">
        <v>1</v>
      </c>
      <c r="H795" s="274">
        <v>4</v>
      </c>
      <c r="I795" s="414">
        <f t="shared" si="90"/>
        <v>4</v>
      </c>
      <c r="J795" s="275">
        <v>8</v>
      </c>
      <c r="K795" s="275">
        <f t="shared" si="91"/>
        <v>32</v>
      </c>
      <c r="L795" s="297" t="s">
        <v>679</v>
      </c>
      <c r="M795" s="375"/>
      <c r="N795" s="276"/>
    </row>
    <row r="796" s="261" customFormat="1" spans="1:14">
      <c r="A796" s="363">
        <v>45623</v>
      </c>
      <c r="B796" s="273">
        <v>85</v>
      </c>
      <c r="C796" s="320">
        <v>45623</v>
      </c>
      <c r="D796" s="274"/>
      <c r="E796" s="274"/>
      <c r="F796" s="261" t="s">
        <v>497</v>
      </c>
      <c r="G796" s="274">
        <v>1</v>
      </c>
      <c r="H796" s="274">
        <v>1</v>
      </c>
      <c r="I796" s="414">
        <f t="shared" si="90"/>
        <v>1</v>
      </c>
      <c r="J796" s="275">
        <v>5.5</v>
      </c>
      <c r="K796" s="275">
        <f t="shared" si="91"/>
        <v>5.5</v>
      </c>
      <c r="L796" s="137"/>
      <c r="M796" s="375"/>
      <c r="N796" s="276"/>
    </row>
    <row r="797" s="261" customFormat="1" spans="1:14">
      <c r="A797" s="363">
        <v>45623</v>
      </c>
      <c r="B797" s="273">
        <v>85</v>
      </c>
      <c r="C797" s="320">
        <v>45623</v>
      </c>
      <c r="D797" s="274"/>
      <c r="E797" s="274"/>
      <c r="F797" s="261" t="s">
        <v>680</v>
      </c>
      <c r="G797" s="274">
        <v>1</v>
      </c>
      <c r="H797" s="274">
        <v>1</v>
      </c>
      <c r="I797" s="414">
        <f t="shared" si="90"/>
        <v>1</v>
      </c>
      <c r="J797" s="275">
        <v>3.5</v>
      </c>
      <c r="K797" s="275">
        <f t="shared" si="91"/>
        <v>3.5</v>
      </c>
      <c r="L797" s="297"/>
      <c r="M797" s="289">
        <f>SUM(K793:K797)</f>
        <v>242</v>
      </c>
      <c r="N797" s="276"/>
    </row>
    <row r="798" s="245" customFormat="1" spans="1:14">
      <c r="A798" s="284">
        <v>45624</v>
      </c>
      <c r="B798" s="105">
        <v>89</v>
      </c>
      <c r="C798" s="285">
        <v>45624</v>
      </c>
      <c r="D798" s="108"/>
      <c r="E798" s="108"/>
      <c r="F798" s="110" t="s">
        <v>404</v>
      </c>
      <c r="G798" s="108">
        <v>1</v>
      </c>
      <c r="H798" s="108">
        <v>255</v>
      </c>
      <c r="I798" s="108">
        <f t="shared" ref="I798:I813" si="92">G798*H798</f>
        <v>255</v>
      </c>
      <c r="J798" s="109">
        <v>12.5</v>
      </c>
      <c r="K798" s="275"/>
      <c r="L798" s="286"/>
      <c r="M798" s="286"/>
      <c r="N798" s="110"/>
    </row>
    <row r="799" s="245" customFormat="1" spans="1:14">
      <c r="A799" s="284">
        <v>45624</v>
      </c>
      <c r="B799" s="105">
        <v>89</v>
      </c>
      <c r="C799" s="285">
        <v>45624</v>
      </c>
      <c r="D799" s="108"/>
      <c r="E799" s="108"/>
      <c r="F799" s="110" t="s">
        <v>120</v>
      </c>
      <c r="G799" s="108">
        <v>1</v>
      </c>
      <c r="H799" s="108">
        <v>19</v>
      </c>
      <c r="I799" s="108">
        <f t="shared" si="92"/>
        <v>19</v>
      </c>
      <c r="J799" s="109">
        <v>21</v>
      </c>
      <c r="K799" s="275">
        <f t="shared" ref="K799:K829" si="93">I799*J799</f>
        <v>399</v>
      </c>
      <c r="L799" s="396" t="s">
        <v>681</v>
      </c>
      <c r="M799" s="396"/>
      <c r="N799" s="404"/>
    </row>
    <row r="800" s="110" customFormat="1" spans="1:14">
      <c r="A800" s="284">
        <v>45624</v>
      </c>
      <c r="B800" s="105">
        <v>89</v>
      </c>
      <c r="C800" s="285">
        <v>45624</v>
      </c>
      <c r="D800" s="108"/>
      <c r="E800" s="108"/>
      <c r="F800" s="110" t="s">
        <v>309</v>
      </c>
      <c r="G800" s="107">
        <v>1</v>
      </c>
      <c r="H800" s="107">
        <v>125</v>
      </c>
      <c r="I800" s="108">
        <f t="shared" si="92"/>
        <v>125</v>
      </c>
      <c r="J800" s="401">
        <v>17</v>
      </c>
      <c r="K800" s="275">
        <f t="shared" si="93"/>
        <v>2125</v>
      </c>
      <c r="L800" s="128" t="s">
        <v>682</v>
      </c>
      <c r="M800" s="128"/>
      <c r="N800" s="151"/>
    </row>
    <row r="801" s="110" customFormat="1" spans="1:14">
      <c r="A801" s="284">
        <v>45624</v>
      </c>
      <c r="B801" s="105">
        <v>89</v>
      </c>
      <c r="C801" s="285">
        <v>45624</v>
      </c>
      <c r="D801" s="108"/>
      <c r="E801" s="108"/>
      <c r="F801" s="110" t="s">
        <v>310</v>
      </c>
      <c r="G801" s="107">
        <v>1</v>
      </c>
      <c r="H801" s="107">
        <v>97</v>
      </c>
      <c r="I801" s="108">
        <f t="shared" si="92"/>
        <v>97</v>
      </c>
      <c r="J801" s="109">
        <v>0.6</v>
      </c>
      <c r="K801" s="275">
        <f t="shared" si="93"/>
        <v>58.2</v>
      </c>
      <c r="L801" s="110" t="s">
        <v>613</v>
      </c>
      <c r="N801" s="111"/>
    </row>
    <row r="802" s="110" customFormat="1" spans="1:14">
      <c r="A802" s="284">
        <v>45624</v>
      </c>
      <c r="B802" s="105">
        <v>89</v>
      </c>
      <c r="C802" s="285">
        <v>45624</v>
      </c>
      <c r="D802" s="108"/>
      <c r="E802" s="108"/>
      <c r="F802" s="110" t="s">
        <v>311</v>
      </c>
      <c r="G802" s="107">
        <v>1</v>
      </c>
      <c r="H802" s="107">
        <v>175</v>
      </c>
      <c r="I802" s="108">
        <f t="shared" si="92"/>
        <v>175</v>
      </c>
      <c r="J802" s="109">
        <v>7.5</v>
      </c>
      <c r="K802" s="275">
        <f t="shared" si="93"/>
        <v>1312.5</v>
      </c>
      <c r="L802" s="415" t="s">
        <v>683</v>
      </c>
      <c r="N802" s="111"/>
    </row>
    <row r="803" s="110" customFormat="1" spans="1:14">
      <c r="A803" s="284">
        <v>45624</v>
      </c>
      <c r="B803" s="105">
        <v>89</v>
      </c>
      <c r="C803" s="285">
        <v>45624</v>
      </c>
      <c r="D803" s="108"/>
      <c r="E803" s="108"/>
      <c r="F803" s="110" t="s">
        <v>312</v>
      </c>
      <c r="G803" s="107">
        <v>1</v>
      </c>
      <c r="H803" s="107">
        <v>177</v>
      </c>
      <c r="I803" s="108">
        <f t="shared" si="92"/>
        <v>177</v>
      </c>
      <c r="J803" s="109">
        <v>3.8</v>
      </c>
      <c r="K803" s="275">
        <f t="shared" si="93"/>
        <v>672.6</v>
      </c>
      <c r="L803" s="110" t="s">
        <v>684</v>
      </c>
      <c r="M803" s="110" t="s">
        <v>685</v>
      </c>
      <c r="N803" s="111"/>
    </row>
    <row r="804" s="110" customFormat="1" spans="1:14">
      <c r="A804" s="284">
        <v>45624</v>
      </c>
      <c r="B804" s="105">
        <v>89</v>
      </c>
      <c r="C804" s="285">
        <v>45624</v>
      </c>
      <c r="D804" s="108"/>
      <c r="E804" s="108"/>
      <c r="F804" s="110" t="s">
        <v>686</v>
      </c>
      <c r="G804" s="107">
        <v>1</v>
      </c>
      <c r="H804" s="107">
        <f>SUM(H798:H803)</f>
        <v>848</v>
      </c>
      <c r="I804" s="108">
        <f t="shared" si="92"/>
        <v>848</v>
      </c>
      <c r="J804" s="109">
        <v>2</v>
      </c>
      <c r="K804" s="275">
        <f t="shared" si="93"/>
        <v>1696</v>
      </c>
      <c r="L804" s="416" t="s">
        <v>687</v>
      </c>
      <c r="N804" s="111"/>
    </row>
    <row r="805" s="110" customFormat="1" ht="21" customHeight="1" spans="1:14">
      <c r="A805" s="284">
        <v>45624</v>
      </c>
      <c r="B805" s="105">
        <v>89</v>
      </c>
      <c r="C805" s="285">
        <v>45624</v>
      </c>
      <c r="D805" s="108"/>
      <c r="E805" s="108"/>
      <c r="F805" s="110" t="s">
        <v>462</v>
      </c>
      <c r="G805" s="107">
        <v>47</v>
      </c>
      <c r="H805" s="107">
        <v>1</v>
      </c>
      <c r="I805" s="108">
        <f t="shared" si="92"/>
        <v>47</v>
      </c>
      <c r="J805" s="109">
        <v>12.5</v>
      </c>
      <c r="K805" s="109">
        <f t="shared" si="93"/>
        <v>587.5</v>
      </c>
      <c r="L805" s="110">
        <f>SUM(K798:K805)</f>
        <v>6850.8</v>
      </c>
      <c r="N805" s="111"/>
    </row>
    <row r="806" s="243" customFormat="1" spans="1:14">
      <c r="A806" s="263">
        <v>45624</v>
      </c>
      <c r="B806" s="127">
        <v>90</v>
      </c>
      <c r="C806" s="258">
        <v>45624</v>
      </c>
      <c r="D806" s="136"/>
      <c r="E806" s="136"/>
      <c r="F806" s="131" t="s">
        <v>688</v>
      </c>
      <c r="G806" s="136">
        <v>1</v>
      </c>
      <c r="H806" s="136">
        <v>10</v>
      </c>
      <c r="I806" s="136">
        <f t="shared" si="92"/>
        <v>10</v>
      </c>
      <c r="J806" s="135">
        <v>13</v>
      </c>
      <c r="K806" s="275">
        <f t="shared" si="93"/>
        <v>130</v>
      </c>
      <c r="M806" s="264"/>
      <c r="N806" s="131"/>
    </row>
    <row r="807" s="243" customFormat="1" spans="1:14">
      <c r="A807" s="263">
        <v>45624</v>
      </c>
      <c r="B807" s="127">
        <v>90</v>
      </c>
      <c r="C807" s="258">
        <v>45624</v>
      </c>
      <c r="D807" s="136"/>
      <c r="E807" s="136"/>
      <c r="F807" s="131" t="s">
        <v>120</v>
      </c>
      <c r="G807" s="136">
        <v>1</v>
      </c>
      <c r="H807" s="136">
        <v>0.5</v>
      </c>
      <c r="I807" s="136">
        <f t="shared" si="92"/>
        <v>0.5</v>
      </c>
      <c r="J807" s="135">
        <v>21</v>
      </c>
      <c r="K807" s="275">
        <f t="shared" si="93"/>
        <v>10.5</v>
      </c>
      <c r="L807" s="264"/>
      <c r="M807" s="264"/>
      <c r="N807" s="146"/>
    </row>
    <row r="808" s="131" customFormat="1" spans="1:14">
      <c r="A808" s="263">
        <v>45624</v>
      </c>
      <c r="B808" s="127">
        <v>90</v>
      </c>
      <c r="C808" s="258">
        <v>45624</v>
      </c>
      <c r="D808" s="136"/>
      <c r="E808" s="136"/>
      <c r="F808" s="131" t="s">
        <v>309</v>
      </c>
      <c r="G808" s="134">
        <v>1</v>
      </c>
      <c r="H808" s="134">
        <v>6</v>
      </c>
      <c r="I808" s="136">
        <f t="shared" si="92"/>
        <v>6</v>
      </c>
      <c r="J808" s="405">
        <v>17</v>
      </c>
      <c r="K808" s="275">
        <f t="shared" si="93"/>
        <v>102</v>
      </c>
      <c r="L808" s="133"/>
      <c r="M808" s="133"/>
      <c r="N808" s="132"/>
    </row>
    <row r="809" s="131" customFormat="1" spans="1:14">
      <c r="A809" s="263">
        <v>45624</v>
      </c>
      <c r="B809" s="127">
        <v>90</v>
      </c>
      <c r="C809" s="258">
        <v>45624</v>
      </c>
      <c r="D809" s="136"/>
      <c r="E809" s="136"/>
      <c r="F809" s="131" t="s">
        <v>310</v>
      </c>
      <c r="G809" s="134">
        <v>1</v>
      </c>
      <c r="H809" s="134">
        <v>4</v>
      </c>
      <c r="I809" s="136">
        <f t="shared" si="92"/>
        <v>4</v>
      </c>
      <c r="J809" s="135">
        <v>0.6</v>
      </c>
      <c r="K809" s="275">
        <f t="shared" si="93"/>
        <v>2.4</v>
      </c>
      <c r="N809" s="132"/>
    </row>
    <row r="810" s="131" customFormat="1" spans="1:14">
      <c r="A810" s="263">
        <v>45624</v>
      </c>
      <c r="B810" s="127">
        <v>90</v>
      </c>
      <c r="C810" s="258">
        <v>45624</v>
      </c>
      <c r="D810" s="136"/>
      <c r="E810" s="136"/>
      <c r="F810" s="131" t="s">
        <v>433</v>
      </c>
      <c r="G810" s="134">
        <v>1</v>
      </c>
      <c r="H810" s="134">
        <v>1</v>
      </c>
      <c r="I810" s="136">
        <f t="shared" si="92"/>
        <v>1</v>
      </c>
      <c r="J810" s="135">
        <v>14.5</v>
      </c>
      <c r="K810" s="275">
        <f t="shared" si="93"/>
        <v>14.5</v>
      </c>
      <c r="N810" s="132"/>
    </row>
    <row r="811" s="131" customFormat="1" spans="1:14">
      <c r="A811" s="263">
        <v>45624</v>
      </c>
      <c r="B811" s="127">
        <v>90</v>
      </c>
      <c r="C811" s="258">
        <v>45624</v>
      </c>
      <c r="D811" s="136"/>
      <c r="E811" s="136"/>
      <c r="F811" s="131" t="s">
        <v>311</v>
      </c>
      <c r="G811" s="134">
        <v>1</v>
      </c>
      <c r="H811" s="134">
        <v>1</v>
      </c>
      <c r="I811" s="136">
        <f t="shared" si="92"/>
        <v>1</v>
      </c>
      <c r="J811" s="135">
        <v>7.5</v>
      </c>
      <c r="K811" s="275">
        <f t="shared" si="93"/>
        <v>7.5</v>
      </c>
      <c r="L811" s="128" t="s">
        <v>689</v>
      </c>
      <c r="N811" s="132"/>
    </row>
    <row r="812" s="131" customFormat="1" spans="1:14">
      <c r="A812" s="263">
        <v>45624</v>
      </c>
      <c r="B812" s="127">
        <v>90</v>
      </c>
      <c r="C812" s="258">
        <v>45624</v>
      </c>
      <c r="D812" s="136"/>
      <c r="E812" s="136"/>
      <c r="F812" s="131" t="s">
        <v>312</v>
      </c>
      <c r="G812" s="134">
        <v>1</v>
      </c>
      <c r="H812" s="134">
        <v>1.5</v>
      </c>
      <c r="I812" s="136">
        <f t="shared" ref="I812:I867" si="94">G812*H812</f>
        <v>1.5</v>
      </c>
      <c r="J812" s="135">
        <v>3.8</v>
      </c>
      <c r="K812" s="275">
        <f t="shared" si="93"/>
        <v>5.7</v>
      </c>
      <c r="L812" s="131" t="s">
        <v>690</v>
      </c>
      <c r="M812" s="131">
        <v>14.18</v>
      </c>
      <c r="N812" s="132"/>
    </row>
    <row r="813" s="131" customFormat="1" spans="1:14">
      <c r="A813" s="263">
        <v>45624</v>
      </c>
      <c r="B813" s="127">
        <v>90</v>
      </c>
      <c r="C813" s="258">
        <v>45624</v>
      </c>
      <c r="D813" s="136"/>
      <c r="E813" s="136"/>
      <c r="F813" s="131" t="s">
        <v>691</v>
      </c>
      <c r="G813" s="134">
        <v>1</v>
      </c>
      <c r="H813" s="134">
        <f>SUM(H806:H812)</f>
        <v>24</v>
      </c>
      <c r="I813" s="136">
        <f t="shared" si="94"/>
        <v>24</v>
      </c>
      <c r="J813" s="135">
        <v>2.3</v>
      </c>
      <c r="K813" s="275">
        <f t="shared" si="93"/>
        <v>55.2</v>
      </c>
      <c r="N813" s="132"/>
    </row>
    <row r="814" s="131" customFormat="1" ht="21" customHeight="1" spans="1:14">
      <c r="A814" s="263">
        <v>45624</v>
      </c>
      <c r="B814" s="127">
        <v>90</v>
      </c>
      <c r="C814" s="258">
        <v>45624</v>
      </c>
      <c r="D814" s="136"/>
      <c r="E814" s="136"/>
      <c r="F814" s="131" t="s">
        <v>462</v>
      </c>
      <c r="G814" s="134">
        <v>1</v>
      </c>
      <c r="H814" s="134">
        <v>1</v>
      </c>
      <c r="I814" s="136">
        <f t="shared" si="94"/>
        <v>1</v>
      </c>
      <c r="J814" s="135">
        <v>12.5</v>
      </c>
      <c r="K814" s="275">
        <f t="shared" si="93"/>
        <v>12.5</v>
      </c>
      <c r="L814" s="137" t="s">
        <v>692</v>
      </c>
      <c r="N814" s="132"/>
    </row>
    <row r="815" s="261" customFormat="1" spans="1:14">
      <c r="A815" s="263">
        <v>45624</v>
      </c>
      <c r="B815" s="127">
        <v>90</v>
      </c>
      <c r="C815" s="258">
        <v>45624</v>
      </c>
      <c r="D815" s="136"/>
      <c r="E815" s="136"/>
      <c r="F815" s="243" t="s">
        <v>496</v>
      </c>
      <c r="G815" s="136">
        <v>1</v>
      </c>
      <c r="H815" s="136">
        <v>4</v>
      </c>
      <c r="I815" s="282">
        <f t="shared" si="94"/>
        <v>4</v>
      </c>
      <c r="J815" s="135">
        <v>14.5</v>
      </c>
      <c r="K815" s="275">
        <f t="shared" si="93"/>
        <v>58</v>
      </c>
      <c r="L815" s="289" t="s">
        <v>675</v>
      </c>
      <c r="M815" s="375"/>
      <c r="N815" s="276"/>
    </row>
    <row r="816" s="261" customFormat="1" spans="1:14">
      <c r="A816" s="263">
        <v>45624</v>
      </c>
      <c r="B816" s="127">
        <v>90</v>
      </c>
      <c r="C816" s="258">
        <v>45624</v>
      </c>
      <c r="D816" s="136"/>
      <c r="E816" s="136"/>
      <c r="F816" s="243" t="s">
        <v>497</v>
      </c>
      <c r="G816" s="136">
        <v>1</v>
      </c>
      <c r="H816" s="136">
        <v>1</v>
      </c>
      <c r="I816" s="282">
        <f t="shared" si="94"/>
        <v>1</v>
      </c>
      <c r="J816" s="135">
        <v>5.5</v>
      </c>
      <c r="K816" s="275">
        <f t="shared" si="93"/>
        <v>5.5</v>
      </c>
      <c r="L816" s="137">
        <f>SUM(K806:K816)</f>
        <v>403.8</v>
      </c>
      <c r="M816" s="375"/>
      <c r="N816" s="276"/>
    </row>
    <row r="817" s="261" customFormat="1" spans="1:14">
      <c r="A817" s="284">
        <v>45638</v>
      </c>
      <c r="B817" s="105">
        <v>37</v>
      </c>
      <c r="C817" s="285">
        <v>45638</v>
      </c>
      <c r="D817" s="108"/>
      <c r="E817" s="108"/>
      <c r="F817" s="110" t="s">
        <v>308</v>
      </c>
      <c r="G817" s="108">
        <v>1</v>
      </c>
      <c r="H817" s="108">
        <v>180</v>
      </c>
      <c r="I817" s="108">
        <f t="shared" si="94"/>
        <v>180</v>
      </c>
      <c r="J817" s="109">
        <v>13</v>
      </c>
      <c r="K817" s="109">
        <f t="shared" si="93"/>
        <v>2340</v>
      </c>
      <c r="L817" s="289" t="s">
        <v>453</v>
      </c>
      <c r="M817" s="375"/>
      <c r="N817" s="276"/>
    </row>
    <row r="818" s="261" customFormat="1" spans="1:14">
      <c r="A818" s="284">
        <v>45638</v>
      </c>
      <c r="B818" s="105">
        <v>37</v>
      </c>
      <c r="C818" s="285">
        <v>45638</v>
      </c>
      <c r="D818" s="108"/>
      <c r="E818" s="108"/>
      <c r="F818" s="106" t="s">
        <v>430</v>
      </c>
      <c r="G818" s="108">
        <v>1</v>
      </c>
      <c r="H818" s="108">
        <v>9</v>
      </c>
      <c r="I818" s="108">
        <f t="shared" si="94"/>
        <v>9</v>
      </c>
      <c r="J818" s="109">
        <v>26</v>
      </c>
      <c r="K818" s="109">
        <f t="shared" ref="K818:K827" si="95">I818*J818</f>
        <v>234</v>
      </c>
      <c r="L818" s="417" t="s">
        <v>439</v>
      </c>
      <c r="M818" s="375"/>
      <c r="N818" s="276"/>
    </row>
    <row r="819" s="261" customFormat="1" spans="1:14">
      <c r="A819" s="284">
        <v>45638</v>
      </c>
      <c r="B819" s="105">
        <v>37</v>
      </c>
      <c r="C819" s="285">
        <v>45638</v>
      </c>
      <c r="D819" s="108"/>
      <c r="E819" s="108"/>
      <c r="F819" s="106" t="s">
        <v>436</v>
      </c>
      <c r="G819" s="108">
        <v>1</v>
      </c>
      <c r="H819" s="108">
        <v>10</v>
      </c>
      <c r="I819" s="108">
        <f t="shared" si="94"/>
        <v>10</v>
      </c>
      <c r="J819" s="109">
        <v>17</v>
      </c>
      <c r="K819" s="109">
        <f t="shared" si="95"/>
        <v>170</v>
      </c>
      <c r="L819" s="289"/>
      <c r="M819" s="375"/>
      <c r="N819" s="276"/>
    </row>
    <row r="820" s="261" customFormat="1" spans="1:14">
      <c r="A820" s="284">
        <v>45638</v>
      </c>
      <c r="B820" s="105">
        <v>37</v>
      </c>
      <c r="C820" s="285">
        <v>45638</v>
      </c>
      <c r="D820" s="108"/>
      <c r="E820" s="108"/>
      <c r="F820" s="106" t="s">
        <v>454</v>
      </c>
      <c r="G820" s="108">
        <v>1</v>
      </c>
      <c r="H820" s="108">
        <v>22</v>
      </c>
      <c r="I820" s="108">
        <f t="shared" si="94"/>
        <v>22</v>
      </c>
      <c r="J820" s="109">
        <v>52</v>
      </c>
      <c r="K820" s="109">
        <f t="shared" si="95"/>
        <v>1144</v>
      </c>
      <c r="L820" s="289" t="s">
        <v>669</v>
      </c>
      <c r="M820" s="375"/>
      <c r="N820" s="276"/>
    </row>
    <row r="821" s="261" customFormat="1" spans="1:14">
      <c r="A821" s="284">
        <v>45638</v>
      </c>
      <c r="B821" s="105">
        <v>37</v>
      </c>
      <c r="C821" s="285">
        <v>45638</v>
      </c>
      <c r="D821" s="108"/>
      <c r="E821" s="108"/>
      <c r="F821" s="106" t="s">
        <v>670</v>
      </c>
      <c r="G821" s="108">
        <v>1</v>
      </c>
      <c r="H821" s="108">
        <v>9</v>
      </c>
      <c r="I821" s="108">
        <f t="shared" si="94"/>
        <v>9</v>
      </c>
      <c r="J821" s="109">
        <v>70</v>
      </c>
      <c r="K821" s="109">
        <f t="shared" si="95"/>
        <v>630</v>
      </c>
      <c r="L821" s="289" t="s">
        <v>671</v>
      </c>
      <c r="M821" s="375"/>
      <c r="N821" s="276"/>
    </row>
    <row r="822" s="261" customFormat="1" spans="1:14">
      <c r="A822" s="284">
        <v>45638</v>
      </c>
      <c r="B822" s="105">
        <v>37</v>
      </c>
      <c r="C822" s="285">
        <v>45638</v>
      </c>
      <c r="D822" s="108"/>
      <c r="E822" s="108"/>
      <c r="F822" s="106" t="s">
        <v>575</v>
      </c>
      <c r="G822" s="108">
        <v>1</v>
      </c>
      <c r="H822" s="108">
        <v>4</v>
      </c>
      <c r="I822" s="108">
        <f t="shared" si="94"/>
        <v>4</v>
      </c>
      <c r="J822" s="109">
        <v>25</v>
      </c>
      <c r="K822" s="109">
        <f t="shared" si="95"/>
        <v>100</v>
      </c>
      <c r="L822" s="289"/>
      <c r="M822" s="375"/>
      <c r="N822" s="276"/>
    </row>
    <row r="823" s="261" customFormat="1" spans="1:14">
      <c r="A823" s="284">
        <v>45638</v>
      </c>
      <c r="B823" s="105">
        <v>37</v>
      </c>
      <c r="C823" s="285">
        <v>45638</v>
      </c>
      <c r="D823" s="108"/>
      <c r="E823" s="108"/>
      <c r="F823" s="106" t="s">
        <v>570</v>
      </c>
      <c r="G823" s="108">
        <v>1</v>
      </c>
      <c r="H823" s="108">
        <v>3</v>
      </c>
      <c r="I823" s="108">
        <f t="shared" si="94"/>
        <v>3</v>
      </c>
      <c r="J823" s="109">
        <v>25</v>
      </c>
      <c r="K823" s="109">
        <f t="shared" si="95"/>
        <v>75</v>
      </c>
      <c r="L823" s="289"/>
      <c r="M823" s="375"/>
      <c r="N823" s="276"/>
    </row>
    <row r="824" s="261" customFormat="1" spans="1:14">
      <c r="A824" s="284">
        <v>45638</v>
      </c>
      <c r="B824" s="105">
        <v>37</v>
      </c>
      <c r="C824" s="285">
        <v>45638</v>
      </c>
      <c r="D824" s="108"/>
      <c r="E824" s="108"/>
      <c r="F824" s="106" t="s">
        <v>434</v>
      </c>
      <c r="G824" s="108">
        <v>1</v>
      </c>
      <c r="H824" s="108">
        <v>48</v>
      </c>
      <c r="I824" s="108">
        <f t="shared" si="94"/>
        <v>48</v>
      </c>
      <c r="J824" s="109">
        <v>8.2</v>
      </c>
      <c r="K824" s="109">
        <f t="shared" si="95"/>
        <v>393.6</v>
      </c>
      <c r="L824" s="289"/>
      <c r="M824" s="375"/>
      <c r="N824" s="276"/>
    </row>
    <row r="825" s="261" customFormat="1" spans="1:14">
      <c r="A825" s="284">
        <v>45638</v>
      </c>
      <c r="B825" s="105">
        <v>37</v>
      </c>
      <c r="C825" s="285">
        <v>45638</v>
      </c>
      <c r="D825" s="108"/>
      <c r="E825" s="108"/>
      <c r="F825" s="110" t="s">
        <v>122</v>
      </c>
      <c r="G825" s="108">
        <v>1</v>
      </c>
      <c r="H825" s="108">
        <v>14</v>
      </c>
      <c r="I825" s="108">
        <f t="shared" si="94"/>
        <v>14</v>
      </c>
      <c r="J825" s="109">
        <v>7.3</v>
      </c>
      <c r="K825" s="109">
        <f t="shared" si="95"/>
        <v>102.2</v>
      </c>
      <c r="L825" s="289" t="s">
        <v>693</v>
      </c>
      <c r="M825" s="375"/>
      <c r="N825" s="276"/>
    </row>
    <row r="826" s="261" customFormat="1" spans="1:14">
      <c r="A826" s="284">
        <v>45638</v>
      </c>
      <c r="B826" s="105">
        <v>37</v>
      </c>
      <c r="C826" s="285">
        <v>45638</v>
      </c>
      <c r="D826" s="108"/>
      <c r="E826" s="108"/>
      <c r="F826" s="106">
        <v>2038</v>
      </c>
      <c r="G826" s="108">
        <v>1</v>
      </c>
      <c r="H826" s="108">
        <v>1.5</v>
      </c>
      <c r="I826" s="108">
        <f t="shared" si="94"/>
        <v>1.5</v>
      </c>
      <c r="J826" s="109">
        <v>55</v>
      </c>
      <c r="K826" s="109">
        <f t="shared" si="95"/>
        <v>82.5</v>
      </c>
      <c r="L826" s="289"/>
      <c r="M826" s="375"/>
      <c r="N826" s="276"/>
    </row>
    <row r="827" s="261" customFormat="1" spans="1:14">
      <c r="A827" s="284">
        <v>45638</v>
      </c>
      <c r="B827" s="105">
        <v>37</v>
      </c>
      <c r="C827" s="285">
        <v>45638</v>
      </c>
      <c r="D827" s="108"/>
      <c r="E827" s="108"/>
      <c r="F827" s="106">
        <v>3033</v>
      </c>
      <c r="G827" s="108">
        <v>1</v>
      </c>
      <c r="H827" s="108">
        <v>1.5</v>
      </c>
      <c r="I827" s="108">
        <f t="shared" si="94"/>
        <v>1.5</v>
      </c>
      <c r="J827" s="109">
        <v>60</v>
      </c>
      <c r="K827" s="109">
        <f t="shared" si="95"/>
        <v>90</v>
      </c>
      <c r="L827" s="289"/>
      <c r="M827" s="375"/>
      <c r="N827" s="276"/>
    </row>
    <row r="828" s="261" customFormat="1" spans="1:14">
      <c r="A828" s="284">
        <v>45638</v>
      </c>
      <c r="B828" s="105">
        <v>37</v>
      </c>
      <c r="C828" s="285">
        <v>45638</v>
      </c>
      <c r="D828" s="108"/>
      <c r="E828" s="108"/>
      <c r="F828" s="106" t="s">
        <v>625</v>
      </c>
      <c r="G828" s="108">
        <v>1</v>
      </c>
      <c r="H828" s="108">
        <v>4</v>
      </c>
      <c r="I828" s="108">
        <f t="shared" si="94"/>
        <v>4</v>
      </c>
      <c r="J828" s="109"/>
      <c r="K828" s="109"/>
      <c r="L828" s="289"/>
      <c r="M828" s="375"/>
      <c r="N828" s="276"/>
    </row>
    <row r="829" s="261" customFormat="1" spans="1:14">
      <c r="A829" s="284">
        <v>45638</v>
      </c>
      <c r="B829" s="105">
        <v>37</v>
      </c>
      <c r="C829" s="285">
        <v>45638</v>
      </c>
      <c r="D829" s="108"/>
      <c r="E829" s="108"/>
      <c r="F829" s="110" t="s">
        <v>673</v>
      </c>
      <c r="G829" s="108">
        <v>1</v>
      </c>
      <c r="H829" s="290">
        <f>SUM(H817:H828)</f>
        <v>306</v>
      </c>
      <c r="I829" s="108">
        <f t="shared" si="94"/>
        <v>306</v>
      </c>
      <c r="J829" s="109">
        <v>2.3</v>
      </c>
      <c r="K829" s="109">
        <f>I829*J829</f>
        <v>703.8</v>
      </c>
      <c r="L829" s="288">
        <f>SUM(K817:K830)</f>
        <v>6252.6</v>
      </c>
      <c r="M829" s="375"/>
      <c r="N829" s="276"/>
    </row>
    <row r="830" s="243" customFormat="1" spans="1:14">
      <c r="A830" s="284">
        <v>45638</v>
      </c>
      <c r="B830" s="105">
        <v>37</v>
      </c>
      <c r="C830" s="285">
        <v>45638</v>
      </c>
      <c r="D830" s="108"/>
      <c r="E830" s="108"/>
      <c r="F830" s="110" t="s">
        <v>457</v>
      </c>
      <c r="G830" s="108">
        <v>15</v>
      </c>
      <c r="H830" s="108">
        <v>1</v>
      </c>
      <c r="I830" s="108">
        <f t="shared" si="94"/>
        <v>15</v>
      </c>
      <c r="J830" s="109">
        <v>12.5</v>
      </c>
      <c r="K830" s="109">
        <f>I830*J830</f>
        <v>187.5</v>
      </c>
      <c r="L830" s="298"/>
      <c r="M830" s="279"/>
      <c r="N830" s="132"/>
    </row>
    <row r="831" s="245" customFormat="1" spans="1:14">
      <c r="A831" s="284">
        <v>45638</v>
      </c>
      <c r="B831" s="105">
        <v>37</v>
      </c>
      <c r="C831" s="285">
        <v>45638</v>
      </c>
      <c r="D831" s="108"/>
      <c r="E831" s="108"/>
      <c r="F831" s="131" t="s">
        <v>674</v>
      </c>
      <c r="G831" s="136">
        <v>15</v>
      </c>
      <c r="H831" s="136">
        <v>4</v>
      </c>
      <c r="I831" s="136">
        <f t="shared" si="94"/>
        <v>60</v>
      </c>
      <c r="J831" s="135">
        <v>14.5</v>
      </c>
      <c r="K831" s="135">
        <f>I831*J831</f>
        <v>870</v>
      </c>
      <c r="L831" s="288" t="s">
        <v>675</v>
      </c>
      <c r="M831" s="291"/>
      <c r="N831" s="111"/>
    </row>
    <row r="832" s="245" customFormat="1" spans="1:14">
      <c r="A832" s="284">
        <v>45638</v>
      </c>
      <c r="B832" s="105">
        <v>37</v>
      </c>
      <c r="C832" s="285">
        <v>45638</v>
      </c>
      <c r="D832" s="108"/>
      <c r="E832" s="108"/>
      <c r="F832" s="131" t="s">
        <v>497</v>
      </c>
      <c r="G832" s="136">
        <v>15</v>
      </c>
      <c r="H832" s="136">
        <v>1</v>
      </c>
      <c r="I832" s="136">
        <f t="shared" si="94"/>
        <v>15</v>
      </c>
      <c r="J832" s="135">
        <v>5.5</v>
      </c>
      <c r="K832" s="135">
        <f>I832*J832</f>
        <v>82.5</v>
      </c>
      <c r="L832" s="287"/>
      <c r="M832" s="291">
        <f>SUM(K831:K832)</f>
        <v>952.5</v>
      </c>
      <c r="N832" s="111"/>
    </row>
    <row r="833" s="102" customFormat="1" spans="1:14">
      <c r="A833" s="141">
        <v>45654</v>
      </c>
      <c r="B833" s="142">
        <v>87</v>
      </c>
      <c r="C833" s="141">
        <v>45653</v>
      </c>
      <c r="D833" s="141"/>
      <c r="E833" s="141"/>
      <c r="F833" s="118" t="s">
        <v>307</v>
      </c>
      <c r="G833" s="129">
        <v>1</v>
      </c>
      <c r="H833" s="129">
        <v>199</v>
      </c>
      <c r="I833" s="140">
        <f t="shared" ref="I833:I869" si="96">G833*H833</f>
        <v>199</v>
      </c>
      <c r="J833" s="130">
        <v>12.2</v>
      </c>
      <c r="K833" s="130"/>
      <c r="L833" s="118"/>
      <c r="M833" s="118"/>
      <c r="N833" s="151"/>
    </row>
    <row r="834" s="102" customFormat="1" spans="1:14">
      <c r="A834" s="141">
        <v>45654</v>
      </c>
      <c r="B834" s="142">
        <v>87</v>
      </c>
      <c r="C834" s="141">
        <v>45653</v>
      </c>
      <c r="D834" s="141"/>
      <c r="E834" s="141"/>
      <c r="F834" s="118" t="s">
        <v>308</v>
      </c>
      <c r="G834" s="129">
        <v>1</v>
      </c>
      <c r="H834" s="129">
        <v>33</v>
      </c>
      <c r="I834" s="140">
        <f t="shared" si="96"/>
        <v>33</v>
      </c>
      <c r="J834" s="130">
        <v>13</v>
      </c>
      <c r="K834" s="130">
        <f>I834*J834</f>
        <v>429</v>
      </c>
      <c r="L834" s="118"/>
      <c r="M834" s="118"/>
      <c r="N834" s="151"/>
    </row>
    <row r="835" s="102" customFormat="1" spans="1:14">
      <c r="A835" s="141">
        <v>45654</v>
      </c>
      <c r="B835" s="142">
        <v>87</v>
      </c>
      <c r="C835" s="141">
        <v>45653</v>
      </c>
      <c r="D835" s="141"/>
      <c r="E835" s="141"/>
      <c r="F835" s="118" t="s">
        <v>120</v>
      </c>
      <c r="G835" s="129">
        <v>1</v>
      </c>
      <c r="H835" s="129">
        <v>12</v>
      </c>
      <c r="I835" s="140">
        <f t="shared" si="96"/>
        <v>12</v>
      </c>
      <c r="J835" s="130">
        <v>21</v>
      </c>
      <c r="K835" s="130">
        <f>I835*J835</f>
        <v>252</v>
      </c>
      <c r="L835" s="118"/>
      <c r="M835" s="118"/>
      <c r="N835" s="151"/>
    </row>
    <row r="836" s="102" customFormat="1" spans="1:14">
      <c r="A836" s="141">
        <v>45654</v>
      </c>
      <c r="B836" s="142">
        <v>87</v>
      </c>
      <c r="C836" s="141">
        <v>45653</v>
      </c>
      <c r="D836" s="141"/>
      <c r="E836" s="141"/>
      <c r="F836" s="118" t="s">
        <v>694</v>
      </c>
      <c r="G836" s="129">
        <v>1</v>
      </c>
      <c r="H836" s="129">
        <v>98</v>
      </c>
      <c r="I836" s="140">
        <f t="shared" si="96"/>
        <v>98</v>
      </c>
      <c r="J836" s="130">
        <v>0.6</v>
      </c>
      <c r="K836" s="130">
        <f t="shared" ref="K836:K841" si="97">I836*J836</f>
        <v>58.8</v>
      </c>
      <c r="L836" s="118"/>
      <c r="M836" s="118"/>
      <c r="N836" s="151"/>
    </row>
    <row r="837" s="102" customFormat="1" spans="1:14">
      <c r="A837" s="141">
        <v>45654</v>
      </c>
      <c r="B837" s="142">
        <v>87</v>
      </c>
      <c r="C837" s="141">
        <v>45653</v>
      </c>
      <c r="D837" s="141"/>
      <c r="E837" s="141"/>
      <c r="F837" s="118" t="s">
        <v>311</v>
      </c>
      <c r="G837" s="129">
        <v>1</v>
      </c>
      <c r="H837" s="129">
        <v>185</v>
      </c>
      <c r="I837" s="140">
        <f t="shared" si="96"/>
        <v>185</v>
      </c>
      <c r="J837" s="130">
        <v>7.2</v>
      </c>
      <c r="K837" s="130">
        <f t="shared" si="97"/>
        <v>1332</v>
      </c>
      <c r="L837" s="118"/>
      <c r="M837" s="118"/>
      <c r="N837" s="151"/>
    </row>
    <row r="838" s="102" customFormat="1" spans="1:14">
      <c r="A838" s="141">
        <v>45654</v>
      </c>
      <c r="B838" s="142">
        <v>87</v>
      </c>
      <c r="C838" s="141">
        <v>45653</v>
      </c>
      <c r="D838" s="141"/>
      <c r="E838" s="141"/>
      <c r="F838" s="118" t="s">
        <v>312</v>
      </c>
      <c r="G838" s="129">
        <v>1</v>
      </c>
      <c r="H838" s="129">
        <v>117</v>
      </c>
      <c r="I838" s="140">
        <f t="shared" si="96"/>
        <v>117</v>
      </c>
      <c r="J838" s="130">
        <v>3.7</v>
      </c>
      <c r="K838" s="130">
        <f t="shared" si="97"/>
        <v>432.9</v>
      </c>
      <c r="L838" s="118"/>
      <c r="M838" s="118"/>
      <c r="N838" s="151"/>
    </row>
    <row r="839" s="102" customFormat="1" spans="1:14">
      <c r="A839" s="141">
        <v>45654</v>
      </c>
      <c r="B839" s="142">
        <v>87</v>
      </c>
      <c r="C839" s="141">
        <v>45653</v>
      </c>
      <c r="D839" s="141"/>
      <c r="E839" s="141"/>
      <c r="F839" s="118" t="s">
        <v>125</v>
      </c>
      <c r="G839" s="129">
        <v>1</v>
      </c>
      <c r="H839" s="129">
        <v>1.6</v>
      </c>
      <c r="I839" s="140">
        <f t="shared" si="96"/>
        <v>1.6</v>
      </c>
      <c r="J839" s="130">
        <v>25</v>
      </c>
      <c r="K839" s="130">
        <f t="shared" si="97"/>
        <v>40</v>
      </c>
      <c r="L839" s="118"/>
      <c r="M839" s="118"/>
      <c r="N839" s="151"/>
    </row>
    <row r="840" s="102" customFormat="1" spans="1:14">
      <c r="A840" s="141">
        <v>45654</v>
      </c>
      <c r="B840" s="142">
        <v>87</v>
      </c>
      <c r="C840" s="141">
        <v>45653</v>
      </c>
      <c r="D840" s="141"/>
      <c r="E840" s="141"/>
      <c r="F840" s="118" t="s">
        <v>313</v>
      </c>
      <c r="G840" s="129">
        <v>1</v>
      </c>
      <c r="H840" s="140">
        <v>4</v>
      </c>
      <c r="I840" s="140">
        <f t="shared" si="96"/>
        <v>4</v>
      </c>
      <c r="J840" s="130">
        <v>45</v>
      </c>
      <c r="K840" s="130">
        <f t="shared" si="97"/>
        <v>180</v>
      </c>
      <c r="L840" s="118" t="s">
        <v>321</v>
      </c>
      <c r="M840" s="118" t="s">
        <v>695</v>
      </c>
      <c r="N840" s="151"/>
    </row>
    <row r="841" s="102" customFormat="1" spans="1:14">
      <c r="A841" s="141">
        <v>45654</v>
      </c>
      <c r="B841" s="142">
        <v>87</v>
      </c>
      <c r="C841" s="141">
        <v>45653</v>
      </c>
      <c r="D841" s="141"/>
      <c r="E841" s="141"/>
      <c r="F841" s="128" t="s">
        <v>309</v>
      </c>
      <c r="G841" s="129">
        <v>1</v>
      </c>
      <c r="H841" s="140">
        <v>23</v>
      </c>
      <c r="I841" s="140">
        <f t="shared" si="96"/>
        <v>23</v>
      </c>
      <c r="J841" s="130">
        <v>18</v>
      </c>
      <c r="K841" s="130">
        <f t="shared" si="97"/>
        <v>414</v>
      </c>
      <c r="L841" s="118" t="s">
        <v>346</v>
      </c>
      <c r="M841" s="118" t="s">
        <v>347</v>
      </c>
      <c r="N841" s="151"/>
    </row>
    <row r="842" s="102" customFormat="1" spans="1:14">
      <c r="A842" s="141">
        <v>45654</v>
      </c>
      <c r="B842" s="142">
        <v>87</v>
      </c>
      <c r="C842" s="141">
        <v>45653</v>
      </c>
      <c r="D842" s="141"/>
      <c r="E842" s="141"/>
      <c r="F842" s="128" t="s">
        <v>696</v>
      </c>
      <c r="G842" s="129">
        <v>1</v>
      </c>
      <c r="H842" s="129">
        <v>18</v>
      </c>
      <c r="I842" s="140">
        <f t="shared" si="96"/>
        <v>18</v>
      </c>
      <c r="J842" s="130"/>
      <c r="K842" s="130"/>
      <c r="L842" s="137" t="s">
        <v>697</v>
      </c>
      <c r="M842" s="118"/>
      <c r="N842" s="151"/>
    </row>
    <row r="843" s="102" customFormat="1" spans="1:14">
      <c r="A843" s="141">
        <v>45654</v>
      </c>
      <c r="B843" s="142">
        <v>87</v>
      </c>
      <c r="C843" s="141">
        <v>45653</v>
      </c>
      <c r="D843" s="141"/>
      <c r="E843" s="141"/>
      <c r="F843" s="118" t="s">
        <v>348</v>
      </c>
      <c r="G843" s="129">
        <v>1</v>
      </c>
      <c r="H843" s="129">
        <f>SUM(H833:H842)</f>
        <v>690.6</v>
      </c>
      <c r="I843" s="140">
        <f t="shared" si="96"/>
        <v>690.6</v>
      </c>
      <c r="J843" s="130">
        <v>2</v>
      </c>
      <c r="K843" s="130">
        <f>I843*J843</f>
        <v>1381.2</v>
      </c>
      <c r="L843" s="118" t="s">
        <v>698</v>
      </c>
      <c r="M843" s="118"/>
      <c r="N843" s="151"/>
    </row>
    <row r="844" s="102" customFormat="1" spans="1:14">
      <c r="A844" s="141">
        <v>45654</v>
      </c>
      <c r="B844" s="142">
        <v>87</v>
      </c>
      <c r="C844" s="141">
        <v>45653</v>
      </c>
      <c r="D844" s="141"/>
      <c r="E844" s="141"/>
      <c r="F844" s="118" t="s">
        <v>316</v>
      </c>
      <c r="G844" s="129">
        <v>38</v>
      </c>
      <c r="H844" s="129">
        <v>1</v>
      </c>
      <c r="I844" s="140">
        <f t="shared" si="96"/>
        <v>38</v>
      </c>
      <c r="J844" s="130">
        <v>12.5</v>
      </c>
      <c r="K844" s="130">
        <f>I844*J844</f>
        <v>475</v>
      </c>
      <c r="L844" s="118">
        <f>SUM(K833:K844)</f>
        <v>4994.9</v>
      </c>
      <c r="M844" s="118"/>
      <c r="N844" s="151"/>
    </row>
    <row r="845" s="1" customFormat="1" spans="1:14">
      <c r="A845" s="51">
        <v>45654</v>
      </c>
      <c r="B845" s="105">
        <v>88</v>
      </c>
      <c r="C845" s="51">
        <v>45653</v>
      </c>
      <c r="D845" s="51"/>
      <c r="E845" s="51"/>
      <c r="F845" s="110" t="s">
        <v>307</v>
      </c>
      <c r="G845" s="107">
        <v>1</v>
      </c>
      <c r="H845" s="107">
        <v>172</v>
      </c>
      <c r="I845" s="108">
        <f t="shared" si="96"/>
        <v>172</v>
      </c>
      <c r="J845" s="109">
        <v>12.2</v>
      </c>
      <c r="K845" s="109"/>
      <c r="L845" s="110"/>
      <c r="M845" s="110"/>
      <c r="N845" s="111"/>
    </row>
    <row r="846" s="1" customFormat="1" spans="1:14">
      <c r="A846" s="51">
        <v>45654</v>
      </c>
      <c r="B846" s="105">
        <v>88</v>
      </c>
      <c r="C846" s="51">
        <v>45653</v>
      </c>
      <c r="D846" s="51"/>
      <c r="E846" s="51"/>
      <c r="F846" s="110" t="s">
        <v>308</v>
      </c>
      <c r="G846" s="107">
        <v>1</v>
      </c>
      <c r="H846" s="107">
        <v>26</v>
      </c>
      <c r="I846" s="108">
        <f t="shared" si="96"/>
        <v>26</v>
      </c>
      <c r="J846" s="109">
        <v>13</v>
      </c>
      <c r="K846" s="109">
        <f t="shared" ref="K846:K868" si="98">I846*J846</f>
        <v>338</v>
      </c>
      <c r="L846" s="110"/>
      <c r="M846" s="110"/>
      <c r="N846" s="111"/>
    </row>
    <row r="847" s="1" customFormat="1" spans="1:14">
      <c r="A847" s="51">
        <v>45654</v>
      </c>
      <c r="B847" s="105">
        <v>88</v>
      </c>
      <c r="C847" s="51">
        <v>45653</v>
      </c>
      <c r="D847" s="51"/>
      <c r="E847" s="51"/>
      <c r="F847" s="110" t="s">
        <v>120</v>
      </c>
      <c r="G847" s="107">
        <v>1</v>
      </c>
      <c r="H847" s="107">
        <v>10</v>
      </c>
      <c r="I847" s="108">
        <f t="shared" si="96"/>
        <v>10</v>
      </c>
      <c r="J847" s="109">
        <v>21</v>
      </c>
      <c r="K847" s="109">
        <f t="shared" si="98"/>
        <v>210</v>
      </c>
      <c r="L847" s="110"/>
      <c r="M847" s="110"/>
      <c r="N847" s="111"/>
    </row>
    <row r="848" s="1" customFormat="1" spans="1:14">
      <c r="A848" s="51">
        <v>45654</v>
      </c>
      <c r="B848" s="105">
        <v>88</v>
      </c>
      <c r="C848" s="51">
        <v>45653</v>
      </c>
      <c r="D848" s="51"/>
      <c r="E848" s="51"/>
      <c r="F848" s="110" t="s">
        <v>310</v>
      </c>
      <c r="G848" s="107">
        <v>1</v>
      </c>
      <c r="H848" s="107">
        <v>78</v>
      </c>
      <c r="I848" s="108">
        <f t="shared" si="96"/>
        <v>78</v>
      </c>
      <c r="J848" s="109">
        <v>0.6</v>
      </c>
      <c r="K848" s="109">
        <f t="shared" si="98"/>
        <v>46.8</v>
      </c>
      <c r="L848" s="110"/>
      <c r="M848" s="110"/>
      <c r="N848" s="111"/>
    </row>
    <row r="849" s="1" customFormat="1" spans="1:14">
      <c r="A849" s="51">
        <v>45654</v>
      </c>
      <c r="B849" s="105">
        <v>88</v>
      </c>
      <c r="C849" s="51">
        <v>45653</v>
      </c>
      <c r="D849" s="51"/>
      <c r="E849" s="51"/>
      <c r="F849" s="110" t="s">
        <v>311</v>
      </c>
      <c r="G849" s="107">
        <v>1</v>
      </c>
      <c r="H849" s="107">
        <v>143</v>
      </c>
      <c r="I849" s="108">
        <f t="shared" si="96"/>
        <v>143</v>
      </c>
      <c r="J849" s="109">
        <v>7.2</v>
      </c>
      <c r="K849" s="109">
        <f t="shared" si="98"/>
        <v>1029.6</v>
      </c>
      <c r="L849" s="110"/>
      <c r="M849" s="110"/>
      <c r="N849" s="111"/>
    </row>
    <row r="850" s="1" customFormat="1" spans="1:14">
      <c r="A850" s="51">
        <v>45654</v>
      </c>
      <c r="B850" s="105">
        <v>88</v>
      </c>
      <c r="C850" s="51">
        <v>45653</v>
      </c>
      <c r="D850" s="51"/>
      <c r="E850" s="51"/>
      <c r="F850" s="110" t="s">
        <v>312</v>
      </c>
      <c r="G850" s="107">
        <v>1</v>
      </c>
      <c r="H850" s="107">
        <v>95</v>
      </c>
      <c r="I850" s="108">
        <f t="shared" si="96"/>
        <v>95</v>
      </c>
      <c r="J850" s="109">
        <v>3.7</v>
      </c>
      <c r="K850" s="109">
        <f t="shared" si="98"/>
        <v>351.5</v>
      </c>
      <c r="L850" s="110"/>
      <c r="M850" s="110"/>
      <c r="N850" s="111"/>
    </row>
    <row r="851" s="1" customFormat="1" spans="1:14">
      <c r="A851" s="51">
        <v>45654</v>
      </c>
      <c r="B851" s="105">
        <v>88</v>
      </c>
      <c r="C851" s="51">
        <v>45653</v>
      </c>
      <c r="D851" s="51"/>
      <c r="E851" s="51"/>
      <c r="F851" s="110" t="s">
        <v>125</v>
      </c>
      <c r="G851" s="107">
        <v>1</v>
      </c>
      <c r="H851" s="107">
        <v>3</v>
      </c>
      <c r="I851" s="108">
        <f t="shared" si="96"/>
        <v>3</v>
      </c>
      <c r="J851" s="109">
        <v>25</v>
      </c>
      <c r="K851" s="109">
        <f t="shared" si="98"/>
        <v>75</v>
      </c>
      <c r="L851" s="110"/>
      <c r="M851" s="110"/>
      <c r="N851" s="111"/>
    </row>
    <row r="852" s="1" customFormat="1" spans="1:14">
      <c r="A852" s="51">
        <v>45654</v>
      </c>
      <c r="B852" s="105">
        <v>88</v>
      </c>
      <c r="C852" s="51">
        <v>45653</v>
      </c>
      <c r="D852" s="51"/>
      <c r="E852" s="51"/>
      <c r="F852" s="110" t="s">
        <v>313</v>
      </c>
      <c r="G852" s="107">
        <v>1</v>
      </c>
      <c r="H852" s="107">
        <v>0.6</v>
      </c>
      <c r="I852" s="108">
        <f t="shared" si="96"/>
        <v>0.6</v>
      </c>
      <c r="J852" s="109">
        <v>45</v>
      </c>
      <c r="K852" s="109">
        <f t="shared" si="98"/>
        <v>27</v>
      </c>
      <c r="L852" s="137" t="s">
        <v>699</v>
      </c>
      <c r="M852" s="110"/>
      <c r="N852" s="111"/>
    </row>
    <row r="853" s="1" customFormat="1" spans="1:14">
      <c r="A853" s="51">
        <v>45654</v>
      </c>
      <c r="B853" s="105">
        <v>88</v>
      </c>
      <c r="C853" s="51">
        <v>45653</v>
      </c>
      <c r="D853" s="51"/>
      <c r="E853" s="51"/>
      <c r="F853" s="110" t="s">
        <v>351</v>
      </c>
      <c r="G853" s="107">
        <v>1</v>
      </c>
      <c r="H853" s="107">
        <v>2</v>
      </c>
      <c r="I853" s="108">
        <f t="shared" si="96"/>
        <v>2</v>
      </c>
      <c r="J853" s="109">
        <v>25</v>
      </c>
      <c r="K853" s="109">
        <f t="shared" si="98"/>
        <v>50</v>
      </c>
      <c r="L853" s="110" t="s">
        <v>321</v>
      </c>
      <c r="M853" s="110"/>
      <c r="N853" s="111"/>
    </row>
    <row r="854" s="1" customFormat="1" spans="1:14">
      <c r="A854" s="51">
        <v>45654</v>
      </c>
      <c r="B854" s="105">
        <v>88</v>
      </c>
      <c r="C854" s="51">
        <v>45653</v>
      </c>
      <c r="D854" s="51"/>
      <c r="E854" s="51"/>
      <c r="F854" s="110" t="s">
        <v>309</v>
      </c>
      <c r="G854" s="107">
        <v>1</v>
      </c>
      <c r="H854" s="107">
        <v>22</v>
      </c>
      <c r="I854" s="108">
        <f t="shared" si="96"/>
        <v>22</v>
      </c>
      <c r="J854" s="109">
        <v>18</v>
      </c>
      <c r="K854" s="109">
        <f t="shared" si="98"/>
        <v>396</v>
      </c>
      <c r="L854" s="110" t="s">
        <v>346</v>
      </c>
      <c r="M854" s="118"/>
      <c r="N854" s="111"/>
    </row>
    <row r="855" s="1" customFormat="1" spans="1:14">
      <c r="A855" s="51">
        <v>45654</v>
      </c>
      <c r="B855" s="105">
        <v>88</v>
      </c>
      <c r="C855" s="51">
        <v>45653</v>
      </c>
      <c r="D855" s="51"/>
      <c r="E855" s="51"/>
      <c r="F855" s="254" t="s">
        <v>352</v>
      </c>
      <c r="G855" s="139">
        <v>1</v>
      </c>
      <c r="H855" s="139">
        <f>SUM(H845:H854)</f>
        <v>551.6</v>
      </c>
      <c r="I855" s="114">
        <f t="shared" si="96"/>
        <v>551.6</v>
      </c>
      <c r="J855" s="115">
        <v>2</v>
      </c>
      <c r="K855" s="115">
        <f t="shared" si="98"/>
        <v>1103.2</v>
      </c>
      <c r="L855" s="110" t="s">
        <v>700</v>
      </c>
      <c r="M855" s="110" t="s">
        <v>347</v>
      </c>
      <c r="N855" s="111"/>
    </row>
    <row r="856" s="2" customFormat="1" spans="1:14">
      <c r="A856" s="51">
        <v>45654</v>
      </c>
      <c r="B856" s="105">
        <v>88</v>
      </c>
      <c r="C856" s="51">
        <v>45653</v>
      </c>
      <c r="D856" s="51"/>
      <c r="E856" s="51"/>
      <c r="F856" s="110" t="s">
        <v>316</v>
      </c>
      <c r="G856" s="107">
        <v>30</v>
      </c>
      <c r="H856" s="107">
        <v>1</v>
      </c>
      <c r="I856" s="108">
        <f t="shared" si="96"/>
        <v>30</v>
      </c>
      <c r="J856" s="109">
        <v>12.5</v>
      </c>
      <c r="K856" s="109">
        <f t="shared" si="98"/>
        <v>375</v>
      </c>
      <c r="L856" s="137">
        <f>SUM(K845:K856)</f>
        <v>4002.1</v>
      </c>
      <c r="M856" s="131"/>
      <c r="N856" s="132"/>
    </row>
    <row r="857" s="2" customFormat="1" spans="1:14">
      <c r="A857" s="126">
        <v>45654</v>
      </c>
      <c r="B857" s="127">
        <v>89</v>
      </c>
      <c r="C857" s="126">
        <v>45654</v>
      </c>
      <c r="D857" s="126"/>
      <c r="E857" s="126"/>
      <c r="F857" s="131" t="s">
        <v>307</v>
      </c>
      <c r="G857" s="134">
        <v>1</v>
      </c>
      <c r="H857" s="134">
        <v>25</v>
      </c>
      <c r="I857" s="136">
        <f t="shared" si="96"/>
        <v>25</v>
      </c>
      <c r="J857" s="135">
        <v>12.2</v>
      </c>
      <c r="K857" s="135">
        <f t="shared" si="98"/>
        <v>305</v>
      </c>
      <c r="L857" s="131"/>
      <c r="M857" s="131"/>
      <c r="N857" s="132"/>
    </row>
    <row r="858" s="2" customFormat="1" spans="1:14">
      <c r="A858" s="126">
        <v>45654</v>
      </c>
      <c r="B858" s="127">
        <v>89</v>
      </c>
      <c r="C858" s="126">
        <v>45654</v>
      </c>
      <c r="D858" s="126"/>
      <c r="E858" s="126"/>
      <c r="F858" s="131" t="s">
        <v>308</v>
      </c>
      <c r="G858" s="134">
        <v>1</v>
      </c>
      <c r="H858" s="134">
        <v>4.5</v>
      </c>
      <c r="I858" s="136">
        <f t="shared" si="96"/>
        <v>4.5</v>
      </c>
      <c r="J858" s="135">
        <v>13</v>
      </c>
      <c r="K858" s="135">
        <f t="shared" si="98"/>
        <v>58.5</v>
      </c>
      <c r="L858" s="110" t="s">
        <v>321</v>
      </c>
      <c r="M858" s="131" t="s">
        <v>701</v>
      </c>
      <c r="N858" s="132"/>
    </row>
    <row r="859" s="2" customFormat="1" spans="1:14">
      <c r="A859" s="126">
        <v>45654</v>
      </c>
      <c r="B859" s="127">
        <v>89</v>
      </c>
      <c r="C859" s="126">
        <v>45654</v>
      </c>
      <c r="D859" s="126"/>
      <c r="E859" s="126"/>
      <c r="F859" s="131" t="s">
        <v>120</v>
      </c>
      <c r="G859" s="134">
        <v>1</v>
      </c>
      <c r="H859" s="134">
        <v>1.7</v>
      </c>
      <c r="I859" s="136">
        <f t="shared" si="96"/>
        <v>1.7</v>
      </c>
      <c r="J859" s="135">
        <v>21</v>
      </c>
      <c r="K859" s="135">
        <f t="shared" ref="K859:K865" si="99">I859*J859</f>
        <v>35.7</v>
      </c>
      <c r="L859" s="110" t="s">
        <v>346</v>
      </c>
      <c r="M859" s="131" t="s">
        <v>702</v>
      </c>
      <c r="N859" s="132"/>
    </row>
    <row r="860" s="2" customFormat="1" spans="1:14">
      <c r="A860" s="126">
        <v>45654</v>
      </c>
      <c r="B860" s="127">
        <v>89</v>
      </c>
      <c r="C860" s="126">
        <v>45654</v>
      </c>
      <c r="D860" s="126"/>
      <c r="E860" s="126"/>
      <c r="F860" s="131" t="s">
        <v>310</v>
      </c>
      <c r="G860" s="134">
        <v>1</v>
      </c>
      <c r="H860" s="134">
        <v>13.5</v>
      </c>
      <c r="I860" s="136">
        <f t="shared" si="96"/>
        <v>13.5</v>
      </c>
      <c r="J860" s="135">
        <v>0.6</v>
      </c>
      <c r="K860" s="135">
        <f t="shared" si="99"/>
        <v>8.1</v>
      </c>
      <c r="L860" s="131"/>
      <c r="M860" s="131"/>
      <c r="N860" s="132"/>
    </row>
    <row r="861" s="2" customFormat="1" spans="1:14">
      <c r="A861" s="126">
        <v>45654</v>
      </c>
      <c r="B861" s="127">
        <v>89</v>
      </c>
      <c r="C861" s="126">
        <v>45654</v>
      </c>
      <c r="D861" s="126"/>
      <c r="E861" s="126"/>
      <c r="F861" s="131" t="s">
        <v>311</v>
      </c>
      <c r="G861" s="134">
        <v>1</v>
      </c>
      <c r="H861" s="134">
        <v>25</v>
      </c>
      <c r="I861" s="136">
        <f t="shared" si="96"/>
        <v>25</v>
      </c>
      <c r="J861" s="135">
        <v>7.2</v>
      </c>
      <c r="K861" s="135">
        <f t="shared" si="99"/>
        <v>180</v>
      </c>
      <c r="L861" s="131"/>
      <c r="M861" s="131"/>
      <c r="N861" s="132"/>
    </row>
    <row r="862" s="2" customFormat="1" spans="1:14">
      <c r="A862" s="126">
        <v>45654</v>
      </c>
      <c r="B862" s="127">
        <v>89</v>
      </c>
      <c r="C862" s="126">
        <v>45654</v>
      </c>
      <c r="D862" s="126"/>
      <c r="E862" s="126"/>
      <c r="F862" s="131" t="s">
        <v>312</v>
      </c>
      <c r="G862" s="134">
        <v>1</v>
      </c>
      <c r="H862" s="134">
        <v>25</v>
      </c>
      <c r="I862" s="136">
        <f t="shared" si="96"/>
        <v>25</v>
      </c>
      <c r="J862" s="135">
        <v>3.7</v>
      </c>
      <c r="K862" s="135">
        <f t="shared" si="99"/>
        <v>92.5</v>
      </c>
      <c r="L862" s="131"/>
      <c r="M862" s="131"/>
      <c r="N862" s="132"/>
    </row>
    <row r="863" s="2" customFormat="1" spans="1:14">
      <c r="A863" s="126">
        <v>45654</v>
      </c>
      <c r="B863" s="127">
        <v>89</v>
      </c>
      <c r="C863" s="126">
        <v>45654</v>
      </c>
      <c r="D863" s="126"/>
      <c r="E863" s="126"/>
      <c r="F863" s="131" t="s">
        <v>323</v>
      </c>
      <c r="G863" s="134">
        <v>1</v>
      </c>
      <c r="H863" s="134">
        <v>4</v>
      </c>
      <c r="I863" s="136">
        <f t="shared" si="96"/>
        <v>4</v>
      </c>
      <c r="J863" s="135">
        <v>18</v>
      </c>
      <c r="K863" s="135">
        <f t="shared" si="99"/>
        <v>72</v>
      </c>
      <c r="L863" s="131"/>
      <c r="M863" s="131"/>
      <c r="N863" s="132"/>
    </row>
    <row r="864" s="2" customFormat="1" spans="1:14">
      <c r="A864" s="126">
        <v>45654</v>
      </c>
      <c r="B864" s="127">
        <v>89</v>
      </c>
      <c r="C864" s="126">
        <v>45654</v>
      </c>
      <c r="D864" s="126"/>
      <c r="E864" s="126"/>
      <c r="F864" s="131" t="s">
        <v>313</v>
      </c>
      <c r="G864" s="134">
        <v>1</v>
      </c>
      <c r="H864" s="134">
        <v>0.5</v>
      </c>
      <c r="I864" s="136">
        <f t="shared" si="96"/>
        <v>0.5</v>
      </c>
      <c r="J864" s="135">
        <v>45</v>
      </c>
      <c r="K864" s="135">
        <f t="shared" si="99"/>
        <v>22.5</v>
      </c>
      <c r="L864" s="131"/>
      <c r="M864" s="131"/>
      <c r="N864" s="132"/>
    </row>
    <row r="865" s="2" customFormat="1" spans="1:16">
      <c r="A865" s="126">
        <v>45654</v>
      </c>
      <c r="B865" s="127">
        <v>89</v>
      </c>
      <c r="C865" s="126">
        <v>45654</v>
      </c>
      <c r="D865" s="126"/>
      <c r="E865" s="126"/>
      <c r="F865" s="131" t="s">
        <v>432</v>
      </c>
      <c r="G865" s="134">
        <v>1</v>
      </c>
      <c r="H865" s="134">
        <v>4.5</v>
      </c>
      <c r="I865" s="136">
        <f t="shared" si="96"/>
        <v>4.5</v>
      </c>
      <c r="J865" s="135">
        <v>25</v>
      </c>
      <c r="K865" s="135">
        <f t="shared" si="99"/>
        <v>112.5</v>
      </c>
      <c r="L865" s="131"/>
      <c r="M865" s="131"/>
      <c r="N865" s="132"/>
    </row>
    <row r="866" s="2" customFormat="1" spans="1:16">
      <c r="A866" s="126">
        <v>45654</v>
      </c>
      <c r="B866" s="127">
        <v>89</v>
      </c>
      <c r="C866" s="126">
        <v>45654</v>
      </c>
      <c r="D866" s="126"/>
      <c r="E866" s="126"/>
      <c r="F866" s="131" t="s">
        <v>703</v>
      </c>
      <c r="G866" s="134">
        <v>1</v>
      </c>
      <c r="H866" s="134">
        <v>2.8</v>
      </c>
      <c r="I866" s="136">
        <f t="shared" si="96"/>
        <v>2.8</v>
      </c>
      <c r="J866" s="135">
        <v>25</v>
      </c>
      <c r="K866" s="135"/>
      <c r="L866" s="131"/>
      <c r="M866" s="131"/>
      <c r="N866" s="132"/>
    </row>
    <row r="867" s="2" customFormat="1" spans="1:16">
      <c r="A867" s="126">
        <v>45654</v>
      </c>
      <c r="B867" s="127">
        <v>89</v>
      </c>
      <c r="C867" s="126">
        <v>45654</v>
      </c>
      <c r="D867" s="126"/>
      <c r="E867" s="126"/>
      <c r="F867" s="131" t="s">
        <v>704</v>
      </c>
      <c r="G867" s="134">
        <v>1</v>
      </c>
      <c r="H867" s="134">
        <v>22</v>
      </c>
      <c r="I867" s="136">
        <f t="shared" si="96"/>
        <v>22</v>
      </c>
      <c r="J867" s="135"/>
      <c r="K867" s="135"/>
      <c r="L867" s="131"/>
      <c r="M867" s="131"/>
      <c r="N867" s="132"/>
    </row>
    <row r="868" s="2" customFormat="1" spans="1:16">
      <c r="A868" s="126">
        <v>45654</v>
      </c>
      <c r="B868" s="127">
        <v>89</v>
      </c>
      <c r="C868" s="126">
        <v>45654</v>
      </c>
      <c r="D868" s="126"/>
      <c r="E868" s="126"/>
      <c r="F868" s="254" t="s">
        <v>705</v>
      </c>
      <c r="G868" s="139">
        <v>1</v>
      </c>
      <c r="H868" s="139">
        <f>SUM(H857:H867)</f>
        <v>128.5</v>
      </c>
      <c r="I868" s="114">
        <f t="shared" si="96"/>
        <v>128.5</v>
      </c>
      <c r="J868" s="115">
        <v>2</v>
      </c>
      <c r="K868" s="115">
        <f t="shared" ref="K868:K874" si="100">I868*J868</f>
        <v>257</v>
      </c>
      <c r="L868" s="137" t="s">
        <v>706</v>
      </c>
      <c r="M868" s="131"/>
      <c r="N868" s="132"/>
    </row>
    <row r="869" s="2" customFormat="1" spans="1:16">
      <c r="A869" s="126">
        <v>45654</v>
      </c>
      <c r="B869" s="127">
        <v>89</v>
      </c>
      <c r="C869" s="126">
        <v>45654</v>
      </c>
      <c r="D869" s="126"/>
      <c r="E869" s="126"/>
      <c r="F869" s="131" t="s">
        <v>316</v>
      </c>
      <c r="G869" s="134">
        <v>6</v>
      </c>
      <c r="H869" s="134">
        <v>1</v>
      </c>
      <c r="I869" s="136">
        <f t="shared" si="96"/>
        <v>6</v>
      </c>
      <c r="J869" s="135">
        <v>12.5</v>
      </c>
      <c r="K869" s="135">
        <f t="shared" si="100"/>
        <v>75</v>
      </c>
      <c r="L869" s="131">
        <f>SUM(K857:K869)</f>
        <v>1218.8</v>
      </c>
      <c r="M869" s="131"/>
      <c r="N869" s="132"/>
    </row>
    <row r="870" s="243" customFormat="1" spans="1:16">
      <c r="A870" s="284">
        <v>45654</v>
      </c>
      <c r="B870" s="105">
        <v>90</v>
      </c>
      <c r="C870" s="285">
        <v>45654</v>
      </c>
      <c r="D870" s="108"/>
      <c r="E870" s="108"/>
      <c r="F870" s="110" t="s">
        <v>707</v>
      </c>
      <c r="G870" s="108">
        <v>1</v>
      </c>
      <c r="H870" s="108">
        <v>14.5</v>
      </c>
      <c r="I870" s="108">
        <f t="shared" ref="I870:I877" si="101">G870*H870</f>
        <v>14.5</v>
      </c>
      <c r="J870" s="109">
        <v>14.8</v>
      </c>
      <c r="K870" s="109">
        <f t="shared" si="100"/>
        <v>214.6</v>
      </c>
      <c r="L870" s="278"/>
      <c r="M870" s="279"/>
      <c r="N870" s="132"/>
    </row>
    <row r="871" s="243" customFormat="1" spans="1:16">
      <c r="A871" s="284">
        <v>45654</v>
      </c>
      <c r="B871" s="105">
        <v>90</v>
      </c>
      <c r="C871" s="285">
        <v>45654</v>
      </c>
      <c r="D871" s="108"/>
      <c r="E871" s="108"/>
      <c r="F871" s="110" t="s">
        <v>708</v>
      </c>
      <c r="G871" s="108">
        <v>1</v>
      </c>
      <c r="H871" s="108">
        <v>20</v>
      </c>
      <c r="I871" s="108">
        <f t="shared" si="101"/>
        <v>20</v>
      </c>
      <c r="J871" s="109">
        <v>14.8</v>
      </c>
      <c r="K871" s="109">
        <f t="shared" si="100"/>
        <v>296</v>
      </c>
      <c r="L871" s="278"/>
      <c r="M871" s="279"/>
      <c r="N871" s="132"/>
    </row>
    <row r="872" s="243" customFormat="1" spans="1:16">
      <c r="A872" s="284">
        <v>45654</v>
      </c>
      <c r="B872" s="105">
        <v>90</v>
      </c>
      <c r="C872" s="285">
        <v>45654</v>
      </c>
      <c r="D872" s="108"/>
      <c r="E872" s="108"/>
      <c r="F872" s="110" t="s">
        <v>90</v>
      </c>
      <c r="G872" s="108">
        <v>1</v>
      </c>
      <c r="H872" s="108">
        <v>12</v>
      </c>
      <c r="I872" s="108">
        <f t="shared" si="101"/>
        <v>12</v>
      </c>
      <c r="J872" s="109">
        <v>8</v>
      </c>
      <c r="K872" s="109">
        <f t="shared" si="100"/>
        <v>96</v>
      </c>
      <c r="L872" s="131"/>
      <c r="M872" s="278"/>
      <c r="N872" s="132"/>
      <c r="O872" s="243">
        <f t="shared" ref="O872:O875" si="102">SUM(K872)</f>
        <v>96</v>
      </c>
      <c r="P872" s="243" t="s">
        <v>587</v>
      </c>
    </row>
    <row r="873" s="243" customFormat="1" spans="1:16">
      <c r="A873" s="284">
        <v>45654</v>
      </c>
      <c r="B873" s="105">
        <v>90</v>
      </c>
      <c r="C873" s="285">
        <v>45654</v>
      </c>
      <c r="D873" s="108"/>
      <c r="E873" s="108"/>
      <c r="F873" s="110" t="s">
        <v>14</v>
      </c>
      <c r="G873" s="108">
        <v>1</v>
      </c>
      <c r="H873" s="108">
        <v>5</v>
      </c>
      <c r="I873" s="108">
        <f t="shared" si="101"/>
        <v>5</v>
      </c>
      <c r="J873" s="109">
        <v>14.5</v>
      </c>
      <c r="K873" s="109">
        <f t="shared" si="100"/>
        <v>72.5</v>
      </c>
      <c r="L873" s="131" t="s">
        <v>618</v>
      </c>
      <c r="M873" s="278"/>
      <c r="N873" s="132"/>
      <c r="O873" s="243">
        <f t="shared" si="102"/>
        <v>72.5</v>
      </c>
      <c r="P873" s="243" t="s">
        <v>587</v>
      </c>
    </row>
    <row r="874" s="243" customFormat="1" spans="1:16">
      <c r="A874" s="284">
        <v>45654</v>
      </c>
      <c r="B874" s="105">
        <v>90</v>
      </c>
      <c r="C874" s="285">
        <v>45654</v>
      </c>
      <c r="D874" s="108"/>
      <c r="E874" s="108"/>
      <c r="F874" s="110" t="s">
        <v>709</v>
      </c>
      <c r="G874" s="108">
        <v>1</v>
      </c>
      <c r="H874" s="108">
        <v>1.6</v>
      </c>
      <c r="I874" s="108">
        <f t="shared" si="101"/>
        <v>1.6</v>
      </c>
      <c r="J874" s="109">
        <v>14.5</v>
      </c>
      <c r="K874" s="109">
        <f t="shared" si="100"/>
        <v>23.2</v>
      </c>
      <c r="L874" s="131" t="s">
        <v>618</v>
      </c>
      <c r="M874" s="278"/>
      <c r="N874" s="132"/>
      <c r="O874" s="243">
        <f t="shared" si="102"/>
        <v>23.2</v>
      </c>
      <c r="P874" s="243" t="s">
        <v>587</v>
      </c>
    </row>
    <row r="875" s="243" customFormat="1" spans="1:16">
      <c r="A875" s="284">
        <v>45654</v>
      </c>
      <c r="B875" s="105">
        <v>90</v>
      </c>
      <c r="C875" s="285">
        <v>45654</v>
      </c>
      <c r="D875" s="108"/>
      <c r="E875" s="108"/>
      <c r="F875" s="110" t="s">
        <v>710</v>
      </c>
      <c r="G875" s="108">
        <v>1</v>
      </c>
      <c r="H875" s="108">
        <v>2</v>
      </c>
      <c r="I875" s="108">
        <f t="shared" si="101"/>
        <v>2</v>
      </c>
      <c r="J875" s="109"/>
      <c r="K875" s="109"/>
      <c r="L875" s="131" t="s">
        <v>618</v>
      </c>
      <c r="M875" s="278"/>
      <c r="N875" s="132"/>
      <c r="O875" s="243">
        <f t="shared" si="102"/>
        <v>0</v>
      </c>
      <c r="P875" s="243" t="s">
        <v>587</v>
      </c>
    </row>
    <row r="876" s="243" customFormat="1" spans="1:16">
      <c r="A876" s="284">
        <v>45654</v>
      </c>
      <c r="B876" s="105">
        <v>90</v>
      </c>
      <c r="C876" s="285">
        <v>45654</v>
      </c>
      <c r="D876" s="108"/>
      <c r="E876" s="108"/>
      <c r="F876" s="110" t="s">
        <v>711</v>
      </c>
      <c r="G876" s="108">
        <v>-1</v>
      </c>
      <c r="H876" s="108">
        <v>1</v>
      </c>
      <c r="I876" s="108">
        <f t="shared" si="101"/>
        <v>-1</v>
      </c>
      <c r="J876" s="109">
        <v>8.5</v>
      </c>
      <c r="K876" s="109">
        <f t="shared" ref="K876:K889" si="103">I876*J876</f>
        <v>-8.5</v>
      </c>
      <c r="L876" s="131"/>
      <c r="M876" s="278"/>
      <c r="N876" s="132"/>
    </row>
    <row r="877" s="243" customFormat="1" spans="1:16">
      <c r="A877" s="284">
        <v>45654</v>
      </c>
      <c r="B877" s="105">
        <v>90</v>
      </c>
      <c r="C877" s="285">
        <v>45654</v>
      </c>
      <c r="D877" s="108"/>
      <c r="E877" s="108"/>
      <c r="F877" s="110" t="s">
        <v>711</v>
      </c>
      <c r="G877" s="108">
        <v>-1</v>
      </c>
      <c r="H877" s="108">
        <v>1</v>
      </c>
      <c r="I877" s="108">
        <f t="shared" si="101"/>
        <v>-1</v>
      </c>
      <c r="J877" s="109">
        <v>5.5</v>
      </c>
      <c r="K877" s="109">
        <f t="shared" si="103"/>
        <v>-5.5</v>
      </c>
      <c r="L877" s="278">
        <f>SUM(K870:K877)</f>
        <v>688.3</v>
      </c>
      <c r="M877" s="279"/>
      <c r="N877" s="132"/>
    </row>
    <row r="878" s="243" customFormat="1" spans="1:16">
      <c r="A878" s="284"/>
      <c r="B878" s="105"/>
      <c r="C878" s="285"/>
      <c r="D878" s="108"/>
      <c r="E878" s="108"/>
      <c r="F878" s="110" t="s">
        <v>712</v>
      </c>
      <c r="G878" s="108"/>
      <c r="H878" s="108"/>
      <c r="I878" s="108"/>
      <c r="J878" s="109"/>
      <c r="K878" s="109"/>
      <c r="L878" s="278"/>
      <c r="M878" s="279"/>
      <c r="N878" s="132"/>
    </row>
    <row r="879" s="243" customFormat="1" spans="1:16">
      <c r="A879" s="263">
        <v>45659</v>
      </c>
      <c r="B879" s="105"/>
      <c r="C879" s="258"/>
      <c r="D879" s="136"/>
      <c r="E879" s="136"/>
      <c r="F879" s="131" t="s">
        <v>713</v>
      </c>
      <c r="G879" s="136"/>
      <c r="H879" s="136"/>
      <c r="I879" s="136"/>
      <c r="J879" s="135"/>
      <c r="K879" s="135"/>
      <c r="L879" s="266"/>
      <c r="M879" s="264"/>
      <c r="N879" s="131"/>
    </row>
    <row r="880" s="245" customFormat="1" spans="1:16">
      <c r="A880" s="263">
        <v>45661</v>
      </c>
      <c r="B880" s="105"/>
      <c r="C880" s="258"/>
      <c r="D880" s="136"/>
      <c r="E880" s="136"/>
      <c r="F880" s="131" t="s">
        <v>714</v>
      </c>
      <c r="G880" s="136"/>
      <c r="H880" s="136"/>
      <c r="I880" s="136"/>
      <c r="J880" s="135"/>
      <c r="K880" s="130"/>
      <c r="L880" s="110"/>
      <c r="M880" s="288"/>
      <c r="N880" s="111"/>
    </row>
    <row r="881" s="2" customFormat="1" spans="1:16">
      <c r="A881" s="126">
        <v>45654</v>
      </c>
      <c r="B881" s="127">
        <v>89</v>
      </c>
      <c r="C881" s="126">
        <v>45654</v>
      </c>
      <c r="D881" s="126"/>
      <c r="E881" s="126"/>
      <c r="F881" s="131" t="s">
        <v>307</v>
      </c>
      <c r="G881" s="134">
        <v>1</v>
      </c>
      <c r="H881" s="134">
        <v>25</v>
      </c>
      <c r="I881" s="136">
        <f t="shared" ref="I881:I905" si="104">G881*H881</f>
        <v>25</v>
      </c>
      <c r="J881" s="135">
        <v>12.2</v>
      </c>
      <c r="K881" s="135">
        <f t="shared" si="103"/>
        <v>305</v>
      </c>
      <c r="L881" s="131"/>
      <c r="M881" s="131"/>
      <c r="N881" s="132"/>
    </row>
    <row r="882" s="2" customFormat="1" spans="1:16">
      <c r="A882" s="126">
        <v>45654</v>
      </c>
      <c r="B882" s="127">
        <v>89</v>
      </c>
      <c r="C882" s="126">
        <v>45654</v>
      </c>
      <c r="D882" s="126"/>
      <c r="E882" s="126"/>
      <c r="F882" s="131" t="s">
        <v>308</v>
      </c>
      <c r="G882" s="134">
        <v>1</v>
      </c>
      <c r="H882" s="134">
        <v>4.5</v>
      </c>
      <c r="I882" s="136">
        <f t="shared" si="104"/>
        <v>4.5</v>
      </c>
      <c r="J882" s="135">
        <v>13</v>
      </c>
      <c r="K882" s="135">
        <f t="shared" si="103"/>
        <v>58.5</v>
      </c>
      <c r="L882" s="110" t="s">
        <v>321</v>
      </c>
      <c r="M882" s="131" t="s">
        <v>701</v>
      </c>
      <c r="N882" s="132"/>
    </row>
    <row r="883" s="2" customFormat="1" spans="1:16">
      <c r="A883" s="126">
        <v>45654</v>
      </c>
      <c r="B883" s="127">
        <v>89</v>
      </c>
      <c r="C883" s="126">
        <v>45654</v>
      </c>
      <c r="D883" s="126"/>
      <c r="E883" s="126"/>
      <c r="F883" s="131" t="s">
        <v>120</v>
      </c>
      <c r="G883" s="134">
        <v>1</v>
      </c>
      <c r="H883" s="134">
        <v>1.7</v>
      </c>
      <c r="I883" s="136">
        <f t="shared" si="104"/>
        <v>1.7</v>
      </c>
      <c r="J883" s="135">
        <v>21</v>
      </c>
      <c r="K883" s="135">
        <f t="shared" si="103"/>
        <v>35.7</v>
      </c>
      <c r="L883" s="110" t="s">
        <v>346</v>
      </c>
      <c r="M883" s="131" t="s">
        <v>702</v>
      </c>
      <c r="N883" s="132"/>
    </row>
    <row r="884" s="2" customFormat="1" spans="1:16">
      <c r="A884" s="126">
        <v>45654</v>
      </c>
      <c r="B884" s="127">
        <v>89</v>
      </c>
      <c r="C884" s="126">
        <v>45654</v>
      </c>
      <c r="D884" s="126"/>
      <c r="E884" s="126"/>
      <c r="F884" s="131" t="s">
        <v>310</v>
      </c>
      <c r="G884" s="134">
        <v>1</v>
      </c>
      <c r="H884" s="134">
        <v>13.5</v>
      </c>
      <c r="I884" s="136">
        <f t="shared" si="104"/>
        <v>13.5</v>
      </c>
      <c r="J884" s="135">
        <v>0.6</v>
      </c>
      <c r="K884" s="135">
        <f t="shared" si="103"/>
        <v>8.1</v>
      </c>
      <c r="L884" s="131"/>
      <c r="M884" s="131"/>
      <c r="N884" s="132"/>
    </row>
    <row r="885" s="2" customFormat="1" spans="1:16">
      <c r="A885" s="126">
        <v>45654</v>
      </c>
      <c r="B885" s="127">
        <v>89</v>
      </c>
      <c r="C885" s="126">
        <v>45654</v>
      </c>
      <c r="D885" s="126"/>
      <c r="E885" s="126"/>
      <c r="F885" s="131" t="s">
        <v>311</v>
      </c>
      <c r="G885" s="134">
        <v>1</v>
      </c>
      <c r="H885" s="134">
        <v>25</v>
      </c>
      <c r="I885" s="136">
        <f t="shared" si="104"/>
        <v>25</v>
      </c>
      <c r="J885" s="135">
        <v>7.2</v>
      </c>
      <c r="K885" s="135">
        <f t="shared" si="103"/>
        <v>180</v>
      </c>
      <c r="L885" s="131"/>
      <c r="M885" s="131"/>
      <c r="N885" s="132"/>
    </row>
    <row r="886" s="2" customFormat="1" spans="1:16">
      <c r="A886" s="126">
        <v>45654</v>
      </c>
      <c r="B886" s="127">
        <v>89</v>
      </c>
      <c r="C886" s="126">
        <v>45654</v>
      </c>
      <c r="D886" s="126"/>
      <c r="E886" s="126"/>
      <c r="F886" s="131" t="s">
        <v>312</v>
      </c>
      <c r="G886" s="134">
        <v>1</v>
      </c>
      <c r="H886" s="134">
        <v>25</v>
      </c>
      <c r="I886" s="136">
        <f t="shared" si="104"/>
        <v>25</v>
      </c>
      <c r="J886" s="135">
        <v>3.7</v>
      </c>
      <c r="K886" s="135">
        <f t="shared" si="103"/>
        <v>92.5</v>
      </c>
      <c r="L886" s="131"/>
      <c r="M886" s="131"/>
      <c r="N886" s="132"/>
    </row>
    <row r="887" s="2" customFormat="1" spans="1:16">
      <c r="A887" s="126">
        <v>45654</v>
      </c>
      <c r="B887" s="127">
        <v>89</v>
      </c>
      <c r="C887" s="126">
        <v>45654</v>
      </c>
      <c r="D887" s="126"/>
      <c r="E887" s="126"/>
      <c r="F887" s="131" t="s">
        <v>323</v>
      </c>
      <c r="G887" s="134">
        <v>1</v>
      </c>
      <c r="H887" s="134">
        <v>4</v>
      </c>
      <c r="I887" s="136">
        <f t="shared" si="104"/>
        <v>4</v>
      </c>
      <c r="J887" s="135">
        <v>18</v>
      </c>
      <c r="K887" s="135">
        <f t="shared" si="103"/>
        <v>72</v>
      </c>
      <c r="L887" s="131"/>
      <c r="M887" s="131"/>
      <c r="N887" s="132"/>
    </row>
    <row r="888" s="2" customFormat="1" spans="1:16">
      <c r="A888" s="126">
        <v>45654</v>
      </c>
      <c r="B888" s="127">
        <v>89</v>
      </c>
      <c r="C888" s="126">
        <v>45654</v>
      </c>
      <c r="D888" s="126"/>
      <c r="E888" s="126"/>
      <c r="F888" s="131" t="s">
        <v>313</v>
      </c>
      <c r="G888" s="134">
        <v>1</v>
      </c>
      <c r="H888" s="134">
        <v>0.5</v>
      </c>
      <c r="I888" s="136">
        <f t="shared" si="104"/>
        <v>0.5</v>
      </c>
      <c r="J888" s="135">
        <v>45</v>
      </c>
      <c r="K888" s="135">
        <f t="shared" si="103"/>
        <v>22.5</v>
      </c>
      <c r="L888" s="131"/>
      <c r="M888" s="131"/>
      <c r="N888" s="132"/>
    </row>
    <row r="889" s="2" customFormat="1" spans="1:16">
      <c r="A889" s="126">
        <v>45654</v>
      </c>
      <c r="B889" s="127">
        <v>89</v>
      </c>
      <c r="C889" s="126">
        <v>45654</v>
      </c>
      <c r="D889" s="126"/>
      <c r="E889" s="126"/>
      <c r="F889" s="131" t="s">
        <v>432</v>
      </c>
      <c r="G889" s="134">
        <v>1</v>
      </c>
      <c r="H889" s="134">
        <v>4.5</v>
      </c>
      <c r="I889" s="136">
        <f t="shared" si="104"/>
        <v>4.5</v>
      </c>
      <c r="J889" s="135">
        <v>25</v>
      </c>
      <c r="K889" s="135">
        <f t="shared" si="103"/>
        <v>112.5</v>
      </c>
      <c r="L889" s="131"/>
      <c r="M889" s="131"/>
      <c r="N889" s="132"/>
    </row>
    <row r="890" s="2" customFormat="1" spans="1:16">
      <c r="A890" s="126">
        <v>45654</v>
      </c>
      <c r="B890" s="127">
        <v>89</v>
      </c>
      <c r="C890" s="126">
        <v>45654</v>
      </c>
      <c r="D890" s="126"/>
      <c r="E890" s="126"/>
      <c r="F890" s="131" t="s">
        <v>703</v>
      </c>
      <c r="G890" s="134">
        <v>1</v>
      </c>
      <c r="H890" s="134">
        <v>2.8</v>
      </c>
      <c r="I890" s="136">
        <f t="shared" si="104"/>
        <v>2.8</v>
      </c>
      <c r="J890" s="135">
        <v>25</v>
      </c>
      <c r="K890" s="135"/>
      <c r="L890" s="131"/>
      <c r="M890" s="131"/>
      <c r="N890" s="132"/>
    </row>
    <row r="891" s="2" customFormat="1" spans="1:16">
      <c r="A891" s="126">
        <v>45654</v>
      </c>
      <c r="B891" s="127">
        <v>89</v>
      </c>
      <c r="C891" s="126">
        <v>45654</v>
      </c>
      <c r="D891" s="126"/>
      <c r="E891" s="126"/>
      <c r="F891" s="131" t="s">
        <v>704</v>
      </c>
      <c r="G891" s="134">
        <v>1</v>
      </c>
      <c r="H891" s="134">
        <v>22</v>
      </c>
      <c r="I891" s="136">
        <f t="shared" si="104"/>
        <v>22</v>
      </c>
      <c r="J891" s="135"/>
      <c r="K891" s="135"/>
      <c r="L891" s="131"/>
      <c r="M891" s="131"/>
      <c r="N891" s="132"/>
    </row>
    <row r="892" s="2" customFormat="1" spans="1:16">
      <c r="A892" s="126">
        <v>45654</v>
      </c>
      <c r="B892" s="127">
        <v>89</v>
      </c>
      <c r="C892" s="126">
        <v>45654</v>
      </c>
      <c r="D892" s="126"/>
      <c r="E892" s="126"/>
      <c r="F892" s="254" t="s">
        <v>705</v>
      </c>
      <c r="G892" s="139">
        <v>1</v>
      </c>
      <c r="H892" s="139">
        <f>SUM(H881:H891)</f>
        <v>128.5</v>
      </c>
      <c r="I892" s="114">
        <f t="shared" si="104"/>
        <v>128.5</v>
      </c>
      <c r="J892" s="115">
        <v>2</v>
      </c>
      <c r="K892" s="115">
        <f>I892*J892</f>
        <v>257</v>
      </c>
      <c r="L892" s="137" t="s">
        <v>706</v>
      </c>
      <c r="M892" s="131"/>
      <c r="N892" s="132"/>
    </row>
    <row r="893" s="2" customFormat="1" spans="1:16">
      <c r="A893" s="126">
        <v>45654</v>
      </c>
      <c r="B893" s="127">
        <v>89</v>
      </c>
      <c r="C893" s="126">
        <v>45654</v>
      </c>
      <c r="D893" s="126"/>
      <c r="E893" s="126"/>
      <c r="F893" s="131" t="s">
        <v>316</v>
      </c>
      <c r="G893" s="134">
        <v>6</v>
      </c>
      <c r="H893" s="134">
        <v>1</v>
      </c>
      <c r="I893" s="136">
        <f t="shared" si="104"/>
        <v>6</v>
      </c>
      <c r="J893" s="135">
        <v>12.5</v>
      </c>
      <c r="K893" s="135">
        <f>I893*J893</f>
        <v>75</v>
      </c>
      <c r="L893" s="131">
        <f>SUM(K881:K893)</f>
        <v>1218.8</v>
      </c>
      <c r="M893" s="131"/>
      <c r="N893" s="132"/>
    </row>
    <row r="894" s="241" customFormat="1" spans="1:16">
      <c r="A894" s="37" t="s">
        <v>569</v>
      </c>
      <c r="B894" s="38"/>
      <c r="C894" s="37"/>
      <c r="D894" s="37"/>
      <c r="E894" s="37"/>
      <c r="F894" s="227"/>
      <c r="G894" s="40"/>
      <c r="H894" s="40"/>
      <c r="I894" s="40"/>
      <c r="J894" s="41" t="s">
        <v>499</v>
      </c>
      <c r="K894" s="41">
        <f>SUM(K897:K942)</f>
        <v>11680</v>
      </c>
      <c r="L894" s="227" t="s">
        <v>500</v>
      </c>
      <c r="M894" s="227">
        <v>19704.086</v>
      </c>
      <c r="N894" s="250" t="s">
        <v>302</v>
      </c>
      <c r="O894" s="241">
        <v>1550.6</v>
      </c>
      <c r="P894" s="241" t="s">
        <v>501</v>
      </c>
    </row>
    <row r="895" s="241" customFormat="1" spans="1:16">
      <c r="A895" s="37"/>
      <c r="B895" s="38"/>
      <c r="C895" s="37"/>
      <c r="D895" s="37"/>
      <c r="E895" s="37"/>
      <c r="F895" s="227"/>
      <c r="G895" s="40"/>
      <c r="H895" s="40"/>
      <c r="I895" s="40"/>
      <c r="J895" s="41"/>
      <c r="K895" s="41"/>
      <c r="L895" s="227" t="s">
        <v>502</v>
      </c>
      <c r="M895" s="227">
        <v>4376.18</v>
      </c>
      <c r="N895" s="250" t="s">
        <v>503</v>
      </c>
      <c r="O895" s="241">
        <v>454.5</v>
      </c>
    </row>
    <row r="896" s="241" customFormat="1" spans="1:16">
      <c r="A896" s="37" t="s">
        <v>1</v>
      </c>
      <c r="B896" s="38" t="s">
        <v>304</v>
      </c>
      <c r="C896" s="37" t="s">
        <v>305</v>
      </c>
      <c r="D896" s="37"/>
      <c r="E896" s="37"/>
      <c r="F896" s="227" t="s">
        <v>306</v>
      </c>
      <c r="G896" s="40" t="s">
        <v>113</v>
      </c>
      <c r="H896" s="40" t="s">
        <v>3</v>
      </c>
      <c r="I896" s="40" t="s">
        <v>5</v>
      </c>
      <c r="J896" s="41" t="s">
        <v>114</v>
      </c>
      <c r="K896" s="41" t="s">
        <v>115</v>
      </c>
      <c r="L896" s="227" t="s">
        <v>7</v>
      </c>
      <c r="M896" s="227" t="s">
        <v>303</v>
      </c>
      <c r="N896" s="250" t="s">
        <v>504</v>
      </c>
      <c r="O896" s="241">
        <v>26085.366</v>
      </c>
    </row>
    <row r="897" s="1" customFormat="1" spans="1:15">
      <c r="A897" s="51">
        <v>45661</v>
      </c>
      <c r="B897" s="105">
        <v>24</v>
      </c>
      <c r="C897" s="51">
        <v>45661</v>
      </c>
      <c r="D897" s="51"/>
      <c r="E897" s="51"/>
      <c r="F897" s="110" t="s">
        <v>307</v>
      </c>
      <c r="G897" s="107">
        <v>1</v>
      </c>
      <c r="H897" s="107">
        <v>234</v>
      </c>
      <c r="I897" s="108">
        <f t="shared" ref="I897:I918" si="105">G897*H897</f>
        <v>234</v>
      </c>
      <c r="J897" s="109">
        <v>12.2</v>
      </c>
      <c r="K897" s="109"/>
      <c r="L897" s="110"/>
      <c r="M897" s="110"/>
      <c r="N897" s="134"/>
      <c r="O897" s="1">
        <v>126</v>
      </c>
    </row>
    <row r="898" s="1" customFormat="1" spans="1:15">
      <c r="A898" s="51">
        <v>45661</v>
      </c>
      <c r="B898" s="105">
        <v>24</v>
      </c>
      <c r="C898" s="51">
        <v>45661</v>
      </c>
      <c r="D898" s="51"/>
      <c r="E898" s="51"/>
      <c r="F898" s="110" t="s">
        <v>308</v>
      </c>
      <c r="G898" s="107">
        <v>1</v>
      </c>
      <c r="H898" s="107">
        <v>36</v>
      </c>
      <c r="I898" s="108">
        <f t="shared" si="105"/>
        <v>36</v>
      </c>
      <c r="J898" s="109">
        <v>13</v>
      </c>
      <c r="K898" s="109">
        <f t="shared" ref="K898:K918" si="106">I898*J898</f>
        <v>468</v>
      </c>
      <c r="L898" s="110"/>
      <c r="M898" s="110"/>
      <c r="N898" s="134"/>
      <c r="O898" s="1">
        <v>28</v>
      </c>
    </row>
    <row r="899" s="1" customFormat="1" spans="1:15">
      <c r="A899" s="51">
        <v>45661</v>
      </c>
      <c r="B899" s="105">
        <v>24</v>
      </c>
      <c r="C899" s="51">
        <v>45661</v>
      </c>
      <c r="D899" s="51"/>
      <c r="E899" s="51"/>
      <c r="F899" s="110" t="s">
        <v>120</v>
      </c>
      <c r="G899" s="107">
        <v>1</v>
      </c>
      <c r="H899" s="107">
        <v>17</v>
      </c>
      <c r="I899" s="108">
        <f t="shared" si="105"/>
        <v>17</v>
      </c>
      <c r="J899" s="109">
        <v>21</v>
      </c>
      <c r="K899" s="109">
        <f t="shared" si="106"/>
        <v>357</v>
      </c>
      <c r="L899" s="110"/>
      <c r="M899" s="110"/>
      <c r="N899" s="134"/>
      <c r="O899" s="1">
        <v>6</v>
      </c>
    </row>
    <row r="900" s="1" customFormat="1" spans="1:15">
      <c r="A900" s="51">
        <v>45661</v>
      </c>
      <c r="B900" s="105">
        <v>24</v>
      </c>
      <c r="C900" s="51">
        <v>45661</v>
      </c>
      <c r="D900" s="51"/>
      <c r="E900" s="51"/>
      <c r="F900" s="110" t="s">
        <v>310</v>
      </c>
      <c r="G900" s="107">
        <v>1</v>
      </c>
      <c r="H900" s="107">
        <v>96</v>
      </c>
      <c r="I900" s="108">
        <f t="shared" si="105"/>
        <v>96</v>
      </c>
      <c r="J900" s="109">
        <v>0.6</v>
      </c>
      <c r="K900" s="109">
        <f t="shared" si="106"/>
        <v>57.6</v>
      </c>
      <c r="L900" s="110"/>
      <c r="M900" s="110"/>
      <c r="N900" s="134"/>
      <c r="O900" s="1">
        <v>36</v>
      </c>
    </row>
    <row r="901" s="1" customFormat="1" spans="1:15">
      <c r="A901" s="51">
        <v>45661</v>
      </c>
      <c r="B901" s="105">
        <v>24</v>
      </c>
      <c r="C901" s="51">
        <v>45661</v>
      </c>
      <c r="D901" s="51"/>
      <c r="E901" s="51"/>
      <c r="F901" s="110" t="s">
        <v>311</v>
      </c>
      <c r="G901" s="107">
        <v>1</v>
      </c>
      <c r="H901" s="107">
        <v>175</v>
      </c>
      <c r="I901" s="108">
        <f t="shared" si="105"/>
        <v>175</v>
      </c>
      <c r="J901" s="109">
        <v>7.2</v>
      </c>
      <c r="K901" s="109">
        <f t="shared" si="106"/>
        <v>1260</v>
      </c>
      <c r="L901" s="110"/>
      <c r="M901" s="110"/>
      <c r="N901" s="134"/>
      <c r="O901" s="1">
        <v>117</v>
      </c>
    </row>
    <row r="902" s="1" customFormat="1" spans="1:15">
      <c r="A902" s="51">
        <v>45661</v>
      </c>
      <c r="B902" s="105">
        <v>24</v>
      </c>
      <c r="C902" s="51">
        <v>45661</v>
      </c>
      <c r="D902" s="51"/>
      <c r="E902" s="51"/>
      <c r="F902" s="110" t="s">
        <v>312</v>
      </c>
      <c r="G902" s="107">
        <v>1</v>
      </c>
      <c r="H902" s="107">
        <v>153</v>
      </c>
      <c r="I902" s="108">
        <f t="shared" si="105"/>
        <v>153</v>
      </c>
      <c r="J902" s="109">
        <v>3.7</v>
      </c>
      <c r="K902" s="109">
        <f t="shared" si="106"/>
        <v>566.1</v>
      </c>
      <c r="L902" s="110"/>
      <c r="M902" s="110"/>
      <c r="N902" s="134"/>
      <c r="O902" s="1">
        <v>133</v>
      </c>
    </row>
    <row r="903" s="1" customFormat="1" spans="1:15">
      <c r="A903" s="51">
        <v>45661</v>
      </c>
      <c r="B903" s="105">
        <v>24</v>
      </c>
      <c r="C903" s="51">
        <v>45661</v>
      </c>
      <c r="D903" s="51"/>
      <c r="E903" s="51"/>
      <c r="F903" s="110" t="s">
        <v>125</v>
      </c>
      <c r="G903" s="107">
        <v>1</v>
      </c>
      <c r="H903" s="107">
        <v>18.2</v>
      </c>
      <c r="I903" s="108">
        <f t="shared" si="105"/>
        <v>18.2</v>
      </c>
      <c r="J903" s="109">
        <v>25</v>
      </c>
      <c r="K903" s="109">
        <f t="shared" si="106"/>
        <v>455</v>
      </c>
      <c r="L903" s="110"/>
      <c r="M903" s="110"/>
      <c r="N903" s="134"/>
      <c r="O903" s="1">
        <v>3</v>
      </c>
    </row>
    <row r="904" s="1" customFormat="1" spans="1:15">
      <c r="A904" s="51">
        <v>45661</v>
      </c>
      <c r="B904" s="105">
        <v>24</v>
      </c>
      <c r="C904" s="51">
        <v>45661</v>
      </c>
      <c r="D904" s="51"/>
      <c r="E904" s="51"/>
      <c r="F904" s="110" t="s">
        <v>313</v>
      </c>
      <c r="G904" s="107">
        <v>1</v>
      </c>
      <c r="H904" s="107">
        <v>11.8</v>
      </c>
      <c r="I904" s="108">
        <f t="shared" si="105"/>
        <v>11.8</v>
      </c>
      <c r="J904" s="109">
        <v>45</v>
      </c>
      <c r="K904" s="109">
        <f t="shared" si="106"/>
        <v>531</v>
      </c>
      <c r="L904" s="137">
        <v>11.75</v>
      </c>
      <c r="M904" s="110"/>
      <c r="N904" s="134"/>
      <c r="O904" s="1">
        <v>3</v>
      </c>
    </row>
    <row r="905" s="1" customFormat="1" spans="1:15">
      <c r="A905" s="51">
        <v>45661</v>
      </c>
      <c r="B905" s="105">
        <v>24</v>
      </c>
      <c r="C905" s="51">
        <v>45661</v>
      </c>
      <c r="D905" s="51"/>
      <c r="E905" s="51"/>
      <c r="F905" s="110" t="s">
        <v>309</v>
      </c>
      <c r="G905" s="107">
        <v>1</v>
      </c>
      <c r="H905" s="107">
        <v>18</v>
      </c>
      <c r="I905" s="108">
        <f t="shared" si="105"/>
        <v>18</v>
      </c>
      <c r="J905" s="109">
        <v>18</v>
      </c>
      <c r="K905" s="109">
        <f t="shared" si="106"/>
        <v>324</v>
      </c>
      <c r="L905" s="110" t="s">
        <v>321</v>
      </c>
      <c r="M905" s="110"/>
      <c r="N905" s="134"/>
      <c r="O905" s="1">
        <v>5</v>
      </c>
    </row>
    <row r="906" s="1" customFormat="1" spans="1:15">
      <c r="A906" s="51">
        <v>45661</v>
      </c>
      <c r="B906" s="105">
        <v>24</v>
      </c>
      <c r="C906" s="51">
        <v>45661</v>
      </c>
      <c r="D906" s="51"/>
      <c r="E906" s="51"/>
      <c r="F906" s="254" t="s">
        <v>715</v>
      </c>
      <c r="G906" s="139">
        <v>1</v>
      </c>
      <c r="H906" s="139">
        <f>SUM(H897:H905)</f>
        <v>759</v>
      </c>
      <c r="I906" s="114">
        <f t="shared" si="105"/>
        <v>759</v>
      </c>
      <c r="J906" s="115">
        <v>2</v>
      </c>
      <c r="K906" s="115">
        <f t="shared" si="106"/>
        <v>1518</v>
      </c>
      <c r="L906" s="110" t="s">
        <v>346</v>
      </c>
      <c r="M906" s="118"/>
      <c r="N906" s="134"/>
      <c r="O906" s="1">
        <v>14</v>
      </c>
    </row>
    <row r="907" s="1" customFormat="1" spans="1:15">
      <c r="A907" s="51">
        <v>45661</v>
      </c>
      <c r="B907" s="105">
        <v>24</v>
      </c>
      <c r="C907" s="51">
        <v>45661</v>
      </c>
      <c r="D907" s="51"/>
      <c r="E907" s="51"/>
      <c r="F907" s="110" t="s">
        <v>316</v>
      </c>
      <c r="G907" s="107">
        <v>42</v>
      </c>
      <c r="H907" s="107">
        <v>1</v>
      </c>
      <c r="I907" s="108">
        <f t="shared" si="105"/>
        <v>42</v>
      </c>
      <c r="J907" s="109">
        <v>12.5</v>
      </c>
      <c r="K907" s="109">
        <f t="shared" si="106"/>
        <v>525</v>
      </c>
      <c r="L907" s="110" t="s">
        <v>716</v>
      </c>
      <c r="M907" s="131" t="s">
        <v>717</v>
      </c>
      <c r="N907" s="134"/>
    </row>
    <row r="908" s="2" customFormat="1" spans="1:15">
      <c r="A908" s="126">
        <v>45661</v>
      </c>
      <c r="B908" s="127">
        <v>25</v>
      </c>
      <c r="C908" s="126">
        <v>45661</v>
      </c>
      <c r="D908" s="126"/>
      <c r="E908" s="126"/>
      <c r="F908" s="131" t="s">
        <v>307</v>
      </c>
      <c r="G908" s="134">
        <v>1</v>
      </c>
      <c r="H908" s="134">
        <v>175</v>
      </c>
      <c r="I908" s="136">
        <f t="shared" ref="I908:I918" si="107">G908*H908</f>
        <v>175</v>
      </c>
      <c r="J908" s="135">
        <v>12.2</v>
      </c>
      <c r="K908" s="135"/>
      <c r="L908" s="131">
        <f>SUM(K897:K907)</f>
        <v>6061.7</v>
      </c>
      <c r="M908" s="131"/>
      <c r="N908" s="134"/>
      <c r="O908" s="2">
        <f>SUM(O897:O907)</f>
        <v>471</v>
      </c>
    </row>
    <row r="909" s="2" customFormat="1" spans="1:15">
      <c r="A909" s="126">
        <v>45661</v>
      </c>
      <c r="B909" s="127">
        <v>25</v>
      </c>
      <c r="C909" s="126">
        <v>45661</v>
      </c>
      <c r="D909" s="126"/>
      <c r="E909" s="126"/>
      <c r="F909" s="131" t="s">
        <v>308</v>
      </c>
      <c r="G909" s="134">
        <v>1</v>
      </c>
      <c r="H909" s="134">
        <v>26</v>
      </c>
      <c r="I909" s="136">
        <f t="shared" si="107"/>
        <v>26</v>
      </c>
      <c r="J909" s="135">
        <v>13</v>
      </c>
      <c r="K909" s="135">
        <f t="shared" si="106"/>
        <v>338</v>
      </c>
    </row>
    <row r="910" s="2" customFormat="1" spans="1:15">
      <c r="A910" s="126">
        <v>45661</v>
      </c>
      <c r="B910" s="127">
        <v>25</v>
      </c>
      <c r="C910" s="126">
        <v>45661</v>
      </c>
      <c r="D910" s="126"/>
      <c r="E910" s="126"/>
      <c r="F910" s="131" t="s">
        <v>120</v>
      </c>
      <c r="G910" s="134">
        <v>1</v>
      </c>
      <c r="H910" s="134">
        <v>12</v>
      </c>
      <c r="I910" s="136">
        <f t="shared" si="107"/>
        <v>12</v>
      </c>
      <c r="J910" s="135">
        <v>21</v>
      </c>
      <c r="K910" s="135">
        <f t="shared" si="106"/>
        <v>252</v>
      </c>
    </row>
    <row r="911" s="2" customFormat="1" spans="1:15">
      <c r="A911" s="126">
        <v>45661</v>
      </c>
      <c r="B911" s="127">
        <v>25</v>
      </c>
      <c r="C911" s="126">
        <v>45661</v>
      </c>
      <c r="D911" s="126"/>
      <c r="E911" s="126"/>
      <c r="F911" s="131" t="s">
        <v>310</v>
      </c>
      <c r="G911" s="134">
        <v>1</v>
      </c>
      <c r="H911" s="134">
        <v>70</v>
      </c>
      <c r="I911" s="136">
        <f t="shared" si="107"/>
        <v>70</v>
      </c>
      <c r="J911" s="135">
        <v>0.6</v>
      </c>
      <c r="K911" s="135">
        <f t="shared" si="106"/>
        <v>42</v>
      </c>
      <c r="L911" s="131" t="s">
        <v>321</v>
      </c>
      <c r="M911" s="131"/>
    </row>
    <row r="912" s="2" customFormat="1" spans="1:15">
      <c r="A912" s="126">
        <v>45661</v>
      </c>
      <c r="B912" s="127">
        <v>25</v>
      </c>
      <c r="C912" s="126">
        <v>45661</v>
      </c>
      <c r="D912" s="126"/>
      <c r="E912" s="126"/>
      <c r="F912" s="131" t="s">
        <v>311</v>
      </c>
      <c r="G912" s="134">
        <v>1</v>
      </c>
      <c r="H912" s="134">
        <v>133</v>
      </c>
      <c r="I912" s="136">
        <f t="shared" si="107"/>
        <v>133</v>
      </c>
      <c r="J912" s="135">
        <v>7.2</v>
      </c>
      <c r="K912" s="135">
        <f t="shared" si="106"/>
        <v>957.6</v>
      </c>
      <c r="L912" s="131" t="s">
        <v>346</v>
      </c>
      <c r="M912" s="131"/>
    </row>
    <row r="913" s="2" customFormat="1" spans="1:15">
      <c r="A913" s="126">
        <v>45661</v>
      </c>
      <c r="B913" s="127">
        <v>25</v>
      </c>
      <c r="C913" s="126">
        <v>45661</v>
      </c>
      <c r="D913" s="126"/>
      <c r="E913" s="126"/>
      <c r="F913" s="131" t="s">
        <v>312</v>
      </c>
      <c r="G913" s="134">
        <v>1</v>
      </c>
      <c r="H913" s="134">
        <v>120</v>
      </c>
      <c r="I913" s="136">
        <f t="shared" si="107"/>
        <v>120</v>
      </c>
      <c r="J913" s="135">
        <v>3.7</v>
      </c>
      <c r="K913" s="135">
        <f t="shared" si="106"/>
        <v>444</v>
      </c>
      <c r="L913" s="131" t="s">
        <v>718</v>
      </c>
      <c r="M913" s="131" t="s">
        <v>717</v>
      </c>
    </row>
    <row r="914" s="2" customFormat="1" spans="1:15">
      <c r="A914" s="126">
        <v>45661</v>
      </c>
      <c r="B914" s="127">
        <v>25</v>
      </c>
      <c r="C914" s="126">
        <v>45661</v>
      </c>
      <c r="D914" s="126"/>
      <c r="E914" s="126"/>
      <c r="F914" s="131" t="s">
        <v>125</v>
      </c>
      <c r="G914" s="134">
        <v>1</v>
      </c>
      <c r="H914" s="134">
        <v>9.8</v>
      </c>
      <c r="I914" s="136">
        <f t="shared" si="107"/>
        <v>9.8</v>
      </c>
      <c r="J914" s="135">
        <v>25</v>
      </c>
      <c r="K914" s="135">
        <f t="shared" si="106"/>
        <v>245</v>
      </c>
    </row>
    <row r="915" s="2" customFormat="1" spans="1:15">
      <c r="A915" s="126">
        <v>45661</v>
      </c>
      <c r="B915" s="127">
        <v>25</v>
      </c>
      <c r="C915" s="126">
        <v>45661</v>
      </c>
      <c r="D915" s="126"/>
      <c r="E915" s="126"/>
      <c r="F915" s="131" t="s">
        <v>313</v>
      </c>
      <c r="G915" s="134">
        <v>1</v>
      </c>
      <c r="H915" s="134">
        <v>5.2</v>
      </c>
      <c r="I915" s="136">
        <f t="shared" si="107"/>
        <v>5.2</v>
      </c>
      <c r="J915" s="135">
        <v>45</v>
      </c>
      <c r="K915" s="135">
        <f t="shared" si="106"/>
        <v>234</v>
      </c>
    </row>
    <row r="916" s="2" customFormat="1" spans="1:15">
      <c r="A916" s="126">
        <v>45661</v>
      </c>
      <c r="B916" s="127">
        <v>25</v>
      </c>
      <c r="C916" s="126">
        <v>45661</v>
      </c>
      <c r="D916" s="126"/>
      <c r="E916" s="126"/>
      <c r="F916" s="131" t="s">
        <v>570</v>
      </c>
      <c r="G916" s="134">
        <v>1</v>
      </c>
      <c r="H916" s="134">
        <v>5</v>
      </c>
      <c r="I916" s="136">
        <f t="shared" si="107"/>
        <v>5</v>
      </c>
      <c r="J916" s="135">
        <v>25</v>
      </c>
      <c r="K916" s="135">
        <f t="shared" si="106"/>
        <v>125</v>
      </c>
    </row>
    <row r="917" s="2" customFormat="1" spans="1:15">
      <c r="A917" s="126">
        <v>45661</v>
      </c>
      <c r="B917" s="127">
        <v>25</v>
      </c>
      <c r="C917" s="126">
        <v>45661</v>
      </c>
      <c r="D917" s="126"/>
      <c r="E917" s="126"/>
      <c r="F917" s="131" t="s">
        <v>309</v>
      </c>
      <c r="G917" s="134">
        <v>1</v>
      </c>
      <c r="H917" s="134">
        <v>14</v>
      </c>
      <c r="I917" s="136">
        <f t="shared" si="107"/>
        <v>14</v>
      </c>
      <c r="J917" s="135">
        <v>18</v>
      </c>
      <c r="K917" s="135">
        <f t="shared" si="106"/>
        <v>252</v>
      </c>
      <c r="L917" s="131">
        <v>11.75</v>
      </c>
    </row>
    <row r="918" s="2" customFormat="1" spans="1:15">
      <c r="A918" s="126">
        <v>45661</v>
      </c>
      <c r="B918" s="127">
        <v>25</v>
      </c>
      <c r="C918" s="126">
        <v>45661</v>
      </c>
      <c r="D918" s="126"/>
      <c r="E918" s="126"/>
      <c r="F918" s="131" t="s">
        <v>719</v>
      </c>
      <c r="G918" s="134">
        <v>1</v>
      </c>
      <c r="H918" s="134">
        <v>10</v>
      </c>
      <c r="I918" s="136"/>
      <c r="J918" s="135"/>
      <c r="K918" s="135"/>
      <c r="L918" s="131"/>
      <c r="M918" s="131"/>
      <c r="N918" s="132"/>
    </row>
    <row r="919" s="2" customFormat="1" spans="1:15">
      <c r="A919" s="126">
        <v>45661</v>
      </c>
      <c r="B919" s="127">
        <v>25</v>
      </c>
      <c r="C919" s="126">
        <v>45661</v>
      </c>
      <c r="D919" s="126"/>
      <c r="E919" s="126"/>
      <c r="F919" s="254" t="s">
        <v>720</v>
      </c>
      <c r="G919" s="139">
        <v>1</v>
      </c>
      <c r="H919" s="139">
        <f>SUM(H908:H918)</f>
        <v>580</v>
      </c>
      <c r="I919" s="114">
        <f t="shared" ref="I919:I982" si="108">G919*H919</f>
        <v>580</v>
      </c>
      <c r="J919" s="115">
        <v>2</v>
      </c>
      <c r="K919" s="115">
        <f t="shared" ref="K919:K938" si="109">I919*J919</f>
        <v>1160</v>
      </c>
      <c r="L919" s="131"/>
      <c r="M919" s="131"/>
      <c r="N919" s="132"/>
    </row>
    <row r="920" s="2" customFormat="1" spans="1:15">
      <c r="A920" s="126">
        <v>45661</v>
      </c>
      <c r="B920" s="127">
        <v>25</v>
      </c>
      <c r="C920" s="126">
        <v>45661</v>
      </c>
      <c r="D920" s="126"/>
      <c r="E920" s="126"/>
      <c r="F920" s="131" t="s">
        <v>316</v>
      </c>
      <c r="G920" s="134">
        <v>32</v>
      </c>
      <c r="H920" s="134">
        <v>1</v>
      </c>
      <c r="I920" s="136">
        <f t="shared" si="108"/>
        <v>32</v>
      </c>
      <c r="J920" s="135">
        <v>12.5</v>
      </c>
      <c r="K920" s="135">
        <f t="shared" si="109"/>
        <v>400</v>
      </c>
      <c r="L920" s="131">
        <f>SUM(K908:K920)</f>
        <v>4449.6</v>
      </c>
    </row>
    <row r="921" s="1" customFormat="1" spans="1:15">
      <c r="A921" s="51">
        <v>45661</v>
      </c>
      <c r="B921" s="105">
        <v>26</v>
      </c>
      <c r="C921" s="51">
        <v>45661</v>
      </c>
      <c r="D921" s="51"/>
      <c r="E921" s="51"/>
      <c r="F921" s="110" t="s">
        <v>307</v>
      </c>
      <c r="G921" s="107">
        <v>1</v>
      </c>
      <c r="H921" s="107">
        <v>7</v>
      </c>
      <c r="I921" s="108">
        <f t="shared" si="108"/>
        <v>7</v>
      </c>
      <c r="J921" s="109">
        <v>12.2</v>
      </c>
      <c r="K921" s="109"/>
      <c r="L921" s="110"/>
      <c r="M921" s="110"/>
      <c r="N921" s="107">
        <v>42</v>
      </c>
      <c r="O921" s="1">
        <f>SUM(O910:O920)</f>
        <v>0</v>
      </c>
    </row>
    <row r="922" s="1" customFormat="1" spans="1:15">
      <c r="A922" s="51">
        <v>45661</v>
      </c>
      <c r="B922" s="105">
        <v>26</v>
      </c>
      <c r="C922" s="51">
        <v>45661</v>
      </c>
      <c r="D922" s="51"/>
      <c r="E922" s="51"/>
      <c r="F922" s="110" t="s">
        <v>308</v>
      </c>
      <c r="G922" s="107">
        <v>1</v>
      </c>
      <c r="H922" s="107">
        <v>0.6</v>
      </c>
      <c r="I922" s="108">
        <f t="shared" si="108"/>
        <v>0.6</v>
      </c>
      <c r="J922" s="109">
        <v>13</v>
      </c>
      <c r="K922" s="109">
        <f t="shared" si="109"/>
        <v>7.8</v>
      </c>
      <c r="L922" s="131" t="s">
        <v>321</v>
      </c>
      <c r="M922" s="131"/>
      <c r="N922" s="111"/>
    </row>
    <row r="923" s="1" customFormat="1" spans="1:15">
      <c r="A923" s="51">
        <v>45661</v>
      </c>
      <c r="B923" s="105">
        <v>26</v>
      </c>
      <c r="C923" s="51">
        <v>45661</v>
      </c>
      <c r="D923" s="51"/>
      <c r="E923" s="51"/>
      <c r="F923" s="110" t="s">
        <v>120</v>
      </c>
      <c r="G923" s="107">
        <v>1</v>
      </c>
      <c r="H923" s="107">
        <v>0.4</v>
      </c>
      <c r="I923" s="108">
        <f t="shared" si="108"/>
        <v>0.4</v>
      </c>
      <c r="J923" s="109">
        <v>21</v>
      </c>
      <c r="K923" s="109">
        <f t="shared" si="109"/>
        <v>8.4</v>
      </c>
      <c r="L923" s="131" t="s">
        <v>346</v>
      </c>
      <c r="M923" s="131"/>
      <c r="N923" s="111"/>
    </row>
    <row r="924" s="1" customFormat="1" spans="1:15">
      <c r="A924" s="51">
        <v>45661</v>
      </c>
      <c r="B924" s="105">
        <v>26</v>
      </c>
      <c r="C924" s="51">
        <v>45661</v>
      </c>
      <c r="D924" s="51"/>
      <c r="E924" s="51"/>
      <c r="F924" s="110" t="s">
        <v>310</v>
      </c>
      <c r="G924" s="107">
        <v>1</v>
      </c>
      <c r="H924" s="107">
        <v>1.5</v>
      </c>
      <c r="I924" s="108">
        <f t="shared" si="108"/>
        <v>1.5</v>
      </c>
      <c r="J924" s="109">
        <v>0.6</v>
      </c>
      <c r="K924" s="109">
        <f t="shared" si="109"/>
        <v>0.9</v>
      </c>
      <c r="L924" s="131" t="s">
        <v>721</v>
      </c>
      <c r="M924" s="131"/>
      <c r="N924" s="111"/>
    </row>
    <row r="925" s="1" customFormat="1" spans="1:15">
      <c r="A925" s="51">
        <v>45661</v>
      </c>
      <c r="B925" s="105">
        <v>26</v>
      </c>
      <c r="C925" s="51">
        <v>45661</v>
      </c>
      <c r="D925" s="51"/>
      <c r="E925" s="51"/>
      <c r="F925" s="110" t="s">
        <v>311</v>
      </c>
      <c r="G925" s="107">
        <v>1</v>
      </c>
      <c r="H925" s="107">
        <v>2.5</v>
      </c>
      <c r="I925" s="108">
        <f t="shared" si="108"/>
        <v>2.5</v>
      </c>
      <c r="J925" s="109">
        <v>7.2</v>
      </c>
      <c r="K925" s="109">
        <f t="shared" si="109"/>
        <v>18</v>
      </c>
      <c r="L925" s="131" t="s">
        <v>717</v>
      </c>
      <c r="M925" s="110"/>
      <c r="N925" s="111"/>
    </row>
    <row r="926" s="1" customFormat="1" spans="1:15">
      <c r="A926" s="51">
        <v>45661</v>
      </c>
      <c r="B926" s="105">
        <v>26</v>
      </c>
      <c r="C926" s="51">
        <v>45661</v>
      </c>
      <c r="D926" s="51"/>
      <c r="E926" s="51"/>
      <c r="F926" s="110" t="s">
        <v>312</v>
      </c>
      <c r="G926" s="107">
        <v>1</v>
      </c>
      <c r="H926" s="107">
        <v>3</v>
      </c>
      <c r="I926" s="108">
        <f t="shared" si="108"/>
        <v>3</v>
      </c>
      <c r="J926" s="109">
        <v>3.7</v>
      </c>
      <c r="K926" s="109">
        <f t="shared" si="109"/>
        <v>11.1</v>
      </c>
      <c r="L926" s="110"/>
      <c r="M926" s="110"/>
      <c r="N926" s="111"/>
    </row>
    <row r="927" customFormat="1" spans="1:15">
      <c r="A927" s="51">
        <v>45661</v>
      </c>
      <c r="B927" s="105">
        <v>26</v>
      </c>
      <c r="C927" s="51">
        <v>45661</v>
      </c>
      <c r="D927" s="51"/>
      <c r="E927" s="51"/>
      <c r="F927" s="110" t="s">
        <v>309</v>
      </c>
      <c r="G927" s="107">
        <v>1</v>
      </c>
      <c r="H927" s="107">
        <v>3</v>
      </c>
      <c r="I927" s="108">
        <f t="shared" si="108"/>
        <v>3</v>
      </c>
      <c r="J927" s="109">
        <v>18</v>
      </c>
      <c r="K927" s="109">
        <f t="shared" si="109"/>
        <v>54</v>
      </c>
      <c r="L927" s="131"/>
      <c r="M927" s="131"/>
      <c r="N927" s="132"/>
    </row>
    <row r="928" customFormat="1" spans="1:15">
      <c r="A928" s="51">
        <v>45661</v>
      </c>
      <c r="B928" s="105">
        <v>26</v>
      </c>
      <c r="C928" s="51">
        <v>45661</v>
      </c>
      <c r="D928" s="51"/>
      <c r="E928" s="51"/>
      <c r="F928" s="254" t="s">
        <v>722</v>
      </c>
      <c r="G928" s="139">
        <v>1</v>
      </c>
      <c r="H928" s="139">
        <f>SUM(H921:H927)</f>
        <v>18</v>
      </c>
      <c r="I928" s="114">
        <f t="shared" si="108"/>
        <v>18</v>
      </c>
      <c r="J928" s="115">
        <v>2</v>
      </c>
      <c r="K928" s="115">
        <f t="shared" si="109"/>
        <v>36</v>
      </c>
      <c r="L928" s="131">
        <v>13</v>
      </c>
      <c r="M928" s="131"/>
      <c r="N928" s="132"/>
    </row>
    <row r="929" customFormat="1" spans="1:15">
      <c r="A929" s="51">
        <v>45661</v>
      </c>
      <c r="B929" s="105">
        <v>26</v>
      </c>
      <c r="C929" s="51">
        <v>45661</v>
      </c>
      <c r="D929" s="51"/>
      <c r="E929" s="51"/>
      <c r="F929" s="110" t="s">
        <v>316</v>
      </c>
      <c r="G929" s="107">
        <v>1</v>
      </c>
      <c r="H929" s="107">
        <v>1</v>
      </c>
      <c r="I929" s="108">
        <f t="shared" si="108"/>
        <v>1</v>
      </c>
      <c r="J929" s="109">
        <v>12.5</v>
      </c>
      <c r="K929" s="109">
        <f t="shared" si="109"/>
        <v>12.5</v>
      </c>
      <c r="L929" s="131">
        <f>SUM(K921:K929)</f>
        <v>148.7</v>
      </c>
      <c r="M929" s="131"/>
      <c r="N929" s="132"/>
    </row>
    <row r="930" s="2" customFormat="1" spans="1:15">
      <c r="A930" s="126">
        <v>45661</v>
      </c>
      <c r="B930" s="127">
        <v>27</v>
      </c>
      <c r="C930" s="126">
        <v>45661</v>
      </c>
      <c r="D930" s="126"/>
      <c r="E930" s="126"/>
      <c r="F930" s="131" t="s">
        <v>307</v>
      </c>
      <c r="G930" s="134">
        <v>1</v>
      </c>
      <c r="H930" s="134">
        <v>32</v>
      </c>
      <c r="I930" s="136">
        <f t="shared" si="108"/>
        <v>32</v>
      </c>
      <c r="J930" s="135">
        <v>12.2</v>
      </c>
      <c r="K930" s="135"/>
      <c r="L930" s="131"/>
      <c r="M930" s="131"/>
      <c r="N930" s="134">
        <v>42</v>
      </c>
      <c r="O930" s="2">
        <f>SUM(O919:O929)</f>
        <v>0</v>
      </c>
    </row>
    <row r="931" s="2" customFormat="1" spans="1:15">
      <c r="A931" s="126">
        <v>45661</v>
      </c>
      <c r="B931" s="127">
        <v>27</v>
      </c>
      <c r="C931" s="126">
        <v>45661</v>
      </c>
      <c r="D931" s="126"/>
      <c r="E931" s="126"/>
      <c r="F931" s="131" t="s">
        <v>120</v>
      </c>
      <c r="G931" s="134">
        <v>1</v>
      </c>
      <c r="H931" s="134">
        <v>2</v>
      </c>
      <c r="I931" s="136">
        <f t="shared" si="108"/>
        <v>2</v>
      </c>
      <c r="J931" s="135">
        <v>21</v>
      </c>
      <c r="K931" s="135">
        <f t="shared" si="109"/>
        <v>42</v>
      </c>
    </row>
    <row r="932" s="2" customFormat="1" spans="1:15">
      <c r="A932" s="126">
        <v>45661</v>
      </c>
      <c r="B932" s="127">
        <v>27</v>
      </c>
      <c r="C932" s="126">
        <v>45661</v>
      </c>
      <c r="D932" s="126"/>
      <c r="E932" s="126"/>
      <c r="F932" s="131" t="s">
        <v>310</v>
      </c>
      <c r="G932" s="134">
        <v>1</v>
      </c>
      <c r="H932" s="134">
        <v>15</v>
      </c>
      <c r="I932" s="136">
        <f t="shared" si="108"/>
        <v>15</v>
      </c>
      <c r="J932" s="135">
        <v>0.6</v>
      </c>
      <c r="K932" s="135">
        <f t="shared" si="109"/>
        <v>9</v>
      </c>
      <c r="L932" s="131" t="s">
        <v>321</v>
      </c>
      <c r="M932" s="131"/>
    </row>
    <row r="933" s="2" customFormat="1" spans="1:15">
      <c r="A933" s="126">
        <v>45661</v>
      </c>
      <c r="B933" s="127">
        <v>27</v>
      </c>
      <c r="C933" s="126">
        <v>45661</v>
      </c>
      <c r="D933" s="126"/>
      <c r="E933" s="126"/>
      <c r="F933" s="131" t="s">
        <v>311</v>
      </c>
      <c r="G933" s="134">
        <v>1</v>
      </c>
      <c r="H933" s="134">
        <v>24</v>
      </c>
      <c r="I933" s="136">
        <f t="shared" si="108"/>
        <v>24</v>
      </c>
      <c r="J933" s="135">
        <v>7.8</v>
      </c>
      <c r="K933" s="135">
        <f t="shared" si="109"/>
        <v>187.2</v>
      </c>
      <c r="L933" s="131" t="s">
        <v>346</v>
      </c>
      <c r="M933" s="131"/>
    </row>
    <row r="934" s="2" customFormat="1" spans="1:15">
      <c r="A934" s="126">
        <v>45661</v>
      </c>
      <c r="B934" s="127">
        <v>27</v>
      </c>
      <c r="C934" s="126">
        <v>45661</v>
      </c>
      <c r="D934" s="126"/>
      <c r="E934" s="126"/>
      <c r="F934" s="131" t="s">
        <v>312</v>
      </c>
      <c r="G934" s="134">
        <v>1</v>
      </c>
      <c r="H934" s="134">
        <v>20</v>
      </c>
      <c r="I934" s="136">
        <f t="shared" si="108"/>
        <v>20</v>
      </c>
      <c r="J934" s="135">
        <v>3.7</v>
      </c>
      <c r="K934" s="135">
        <f t="shared" si="109"/>
        <v>74</v>
      </c>
      <c r="L934" s="131" t="s">
        <v>723</v>
      </c>
      <c r="M934" s="131" t="s">
        <v>717</v>
      </c>
    </row>
    <row r="935" s="2" customFormat="1" spans="1:15">
      <c r="A935" s="126">
        <v>45661</v>
      </c>
      <c r="B935" s="127">
        <v>27</v>
      </c>
      <c r="C935" s="126">
        <v>45661</v>
      </c>
      <c r="D935" s="126"/>
      <c r="E935" s="126"/>
      <c r="F935" s="131" t="s">
        <v>313</v>
      </c>
      <c r="G935" s="134">
        <v>1</v>
      </c>
      <c r="H935" s="134">
        <v>0.8</v>
      </c>
      <c r="I935" s="136">
        <f t="shared" si="108"/>
        <v>0.8</v>
      </c>
      <c r="J935" s="135">
        <v>45</v>
      </c>
      <c r="K935" s="135">
        <f t="shared" si="109"/>
        <v>36</v>
      </c>
    </row>
    <row r="936" s="2" customFormat="1" spans="1:15">
      <c r="A936" s="126">
        <v>45661</v>
      </c>
      <c r="B936" s="127">
        <v>27</v>
      </c>
      <c r="C936" s="126">
        <v>45661</v>
      </c>
      <c r="D936" s="126"/>
      <c r="E936" s="126"/>
      <c r="F936" s="131" t="s">
        <v>570</v>
      </c>
      <c r="G936" s="134">
        <v>1</v>
      </c>
      <c r="H936" s="134">
        <v>4.8</v>
      </c>
      <c r="I936" s="136">
        <f t="shared" si="108"/>
        <v>4.8</v>
      </c>
      <c r="J936" s="135">
        <v>25</v>
      </c>
      <c r="K936" s="135">
        <f t="shared" si="109"/>
        <v>120</v>
      </c>
    </row>
    <row r="937" s="2" customFormat="1" spans="1:15">
      <c r="A937" s="126">
        <v>45661</v>
      </c>
      <c r="B937" s="127">
        <v>27</v>
      </c>
      <c r="C937" s="126">
        <v>45661</v>
      </c>
      <c r="D937" s="126"/>
      <c r="E937" s="126"/>
      <c r="F937" s="131" t="s">
        <v>323</v>
      </c>
      <c r="G937" s="134">
        <v>1</v>
      </c>
      <c r="H937" s="134">
        <v>5</v>
      </c>
      <c r="I937" s="136">
        <f t="shared" si="108"/>
        <v>5</v>
      </c>
      <c r="J937" s="135">
        <v>18</v>
      </c>
      <c r="K937" s="135">
        <f t="shared" si="109"/>
        <v>90</v>
      </c>
      <c r="L937" s="131"/>
      <c r="M937" s="2" t="s">
        <v>724</v>
      </c>
    </row>
    <row r="938" s="2" customFormat="1" spans="1:15">
      <c r="A938" s="126">
        <v>45661</v>
      </c>
      <c r="B938" s="127">
        <v>27</v>
      </c>
      <c r="C938" s="126">
        <v>45661</v>
      </c>
      <c r="D938" s="126"/>
      <c r="E938" s="126"/>
      <c r="F938" s="131" t="s">
        <v>351</v>
      </c>
      <c r="G938" s="134">
        <v>1</v>
      </c>
      <c r="H938" s="134">
        <v>3.3</v>
      </c>
      <c r="I938" s="136">
        <f t="shared" si="108"/>
        <v>3.3</v>
      </c>
      <c r="J938" s="135">
        <v>25</v>
      </c>
      <c r="K938" s="135">
        <f t="shared" si="109"/>
        <v>82.5</v>
      </c>
      <c r="L938" s="131">
        <v>9.6</v>
      </c>
      <c r="M938" s="2" t="s">
        <v>725</v>
      </c>
      <c r="N938" s="132"/>
    </row>
    <row r="939" s="2" customFormat="1" spans="1:15">
      <c r="A939" s="126">
        <v>45661</v>
      </c>
      <c r="B939" s="127">
        <v>27</v>
      </c>
      <c r="C939" s="126">
        <v>45661</v>
      </c>
      <c r="D939" s="126"/>
      <c r="E939" s="126"/>
      <c r="F939" s="131" t="s">
        <v>726</v>
      </c>
      <c r="G939" s="134">
        <v>1</v>
      </c>
      <c r="H939" s="134">
        <v>20</v>
      </c>
      <c r="I939" s="136">
        <f t="shared" si="108"/>
        <v>20</v>
      </c>
      <c r="J939" s="135"/>
      <c r="K939" s="135"/>
      <c r="L939" s="131"/>
      <c r="M939" s="131"/>
      <c r="N939" s="132"/>
    </row>
    <row r="940" s="2" customFormat="1" spans="1:15">
      <c r="A940" s="126">
        <v>45661</v>
      </c>
      <c r="B940" s="127">
        <v>27</v>
      </c>
      <c r="C940" s="126">
        <v>45661</v>
      </c>
      <c r="D940" s="126"/>
      <c r="E940" s="126"/>
      <c r="F940" s="131" t="s">
        <v>727</v>
      </c>
      <c r="G940" s="134">
        <v>1</v>
      </c>
      <c r="H940" s="134">
        <v>19</v>
      </c>
      <c r="I940" s="136">
        <f t="shared" si="108"/>
        <v>19</v>
      </c>
      <c r="J940" s="135"/>
      <c r="K940" s="135"/>
      <c r="L940" s="131"/>
      <c r="M940" s="131"/>
      <c r="N940" s="132"/>
    </row>
    <row r="941" s="2" customFormat="1" spans="1:15">
      <c r="A941" s="126">
        <v>45661</v>
      </c>
      <c r="B941" s="127">
        <v>27</v>
      </c>
      <c r="C941" s="126">
        <v>45661</v>
      </c>
      <c r="D941" s="126"/>
      <c r="E941" s="126"/>
      <c r="F941" s="131" t="s">
        <v>728</v>
      </c>
      <c r="G941" s="134">
        <v>1</v>
      </c>
      <c r="H941" s="139">
        <f>SUM(H930:H940)</f>
        <v>145.9</v>
      </c>
      <c r="I941" s="114">
        <f t="shared" si="108"/>
        <v>145.9</v>
      </c>
      <c r="J941" s="115">
        <v>2</v>
      </c>
      <c r="K941" s="115">
        <f t="shared" ref="K941:K949" si="110">I941*J941</f>
        <v>291.8</v>
      </c>
      <c r="L941" s="131"/>
      <c r="M941" s="131"/>
      <c r="N941" s="132"/>
    </row>
    <row r="942" s="2" customFormat="1" spans="1:15">
      <c r="A942" s="126">
        <v>45661</v>
      </c>
      <c r="B942" s="127">
        <v>27</v>
      </c>
      <c r="C942" s="126">
        <v>45661</v>
      </c>
      <c r="D942" s="126"/>
      <c r="E942" s="126"/>
      <c r="F942" s="131" t="s">
        <v>316</v>
      </c>
      <c r="G942" s="134">
        <v>7</v>
      </c>
      <c r="H942" s="134">
        <v>1</v>
      </c>
      <c r="I942" s="136">
        <f t="shared" si="108"/>
        <v>7</v>
      </c>
      <c r="J942" s="135">
        <v>12.5</v>
      </c>
      <c r="K942" s="135">
        <f t="shared" si="110"/>
        <v>87.5</v>
      </c>
      <c r="L942" s="131">
        <f>SUM(K930:K942)</f>
        <v>1020</v>
      </c>
    </row>
    <row r="943" s="1" customFormat="1" spans="1:15">
      <c r="A943" s="51">
        <v>45671</v>
      </c>
      <c r="B943" s="105">
        <v>46</v>
      </c>
      <c r="C943" s="51">
        <v>45670</v>
      </c>
      <c r="D943" s="51"/>
      <c r="E943" s="51"/>
      <c r="F943" s="110" t="s">
        <v>307</v>
      </c>
      <c r="G943" s="107">
        <v>1</v>
      </c>
      <c r="H943" s="107">
        <v>400</v>
      </c>
      <c r="I943" s="108">
        <f t="shared" si="108"/>
        <v>400</v>
      </c>
      <c r="J943" s="109">
        <v>12.2</v>
      </c>
      <c r="K943" s="109">
        <f t="shared" si="110"/>
        <v>4880</v>
      </c>
      <c r="L943" s="110"/>
      <c r="M943" s="110"/>
      <c r="N943" s="107">
        <v>42</v>
      </c>
      <c r="O943" s="1">
        <f>SUM(O932:O942)</f>
        <v>0</v>
      </c>
    </row>
    <row r="944" s="1" customFormat="1" spans="1:15">
      <c r="A944" s="51">
        <v>45671</v>
      </c>
      <c r="B944" s="105">
        <v>46</v>
      </c>
      <c r="C944" s="51">
        <v>45670</v>
      </c>
      <c r="D944" s="51"/>
      <c r="E944" s="51"/>
      <c r="F944" s="106">
        <v>965</v>
      </c>
      <c r="G944" s="107">
        <v>1</v>
      </c>
      <c r="H944" s="107">
        <v>43</v>
      </c>
      <c r="I944" s="108">
        <f t="shared" si="108"/>
        <v>43</v>
      </c>
      <c r="J944" s="109">
        <v>13</v>
      </c>
      <c r="K944" s="109">
        <f t="shared" si="110"/>
        <v>559</v>
      </c>
      <c r="L944" s="110"/>
      <c r="M944" s="110"/>
      <c r="N944" s="107"/>
    </row>
    <row r="945" s="1" customFormat="1" spans="1:15">
      <c r="A945" s="51">
        <v>45671</v>
      </c>
      <c r="B945" s="105">
        <v>46</v>
      </c>
      <c r="C945" s="51">
        <v>45670</v>
      </c>
      <c r="D945" s="51"/>
      <c r="E945" s="51"/>
      <c r="F945" s="110" t="s">
        <v>120</v>
      </c>
      <c r="G945" s="107">
        <v>1</v>
      </c>
      <c r="H945" s="107">
        <v>22</v>
      </c>
      <c r="I945" s="108">
        <f t="shared" si="108"/>
        <v>22</v>
      </c>
      <c r="J945" s="109">
        <v>21</v>
      </c>
      <c r="K945" s="109">
        <f t="shared" si="110"/>
        <v>462</v>
      </c>
      <c r="L945" s="1" t="s">
        <v>729</v>
      </c>
      <c r="M945" s="110"/>
      <c r="N945" s="111"/>
    </row>
    <row r="946" s="1" customFormat="1" spans="1:15">
      <c r="A946" s="51">
        <v>45671</v>
      </c>
      <c r="B946" s="105">
        <v>46</v>
      </c>
      <c r="C946" s="51">
        <v>45670</v>
      </c>
      <c r="D946" s="51"/>
      <c r="E946" s="51"/>
      <c r="F946" s="110" t="s">
        <v>310</v>
      </c>
      <c r="G946" s="107">
        <v>1</v>
      </c>
      <c r="H946" s="107">
        <v>75</v>
      </c>
      <c r="I946" s="108">
        <f t="shared" si="108"/>
        <v>75</v>
      </c>
      <c r="J946" s="109">
        <v>0.6</v>
      </c>
      <c r="K946" s="109">
        <f t="shared" si="110"/>
        <v>45</v>
      </c>
      <c r="L946" s="255" t="s">
        <v>730</v>
      </c>
      <c r="M946" s="110"/>
      <c r="N946" s="111"/>
    </row>
    <row r="947" s="1" customFormat="1" spans="1:15">
      <c r="A947" s="51">
        <v>45671</v>
      </c>
      <c r="B947" s="105">
        <v>46</v>
      </c>
      <c r="C947" s="51">
        <v>45670</v>
      </c>
      <c r="D947" s="51"/>
      <c r="E947" s="51"/>
      <c r="F947" s="110" t="s">
        <v>311</v>
      </c>
      <c r="G947" s="107">
        <v>1</v>
      </c>
      <c r="H947" s="107">
        <v>420</v>
      </c>
      <c r="I947" s="108">
        <f t="shared" si="108"/>
        <v>420</v>
      </c>
      <c r="J947" s="109">
        <v>7.2</v>
      </c>
      <c r="K947" s="109">
        <f t="shared" si="110"/>
        <v>3024</v>
      </c>
      <c r="L947" s="12" t="s">
        <v>731</v>
      </c>
      <c r="M947" s="110"/>
      <c r="N947" s="111"/>
    </row>
    <row r="948" s="1" customFormat="1" spans="1:15">
      <c r="A948" s="51">
        <v>45671</v>
      </c>
      <c r="B948" s="105">
        <v>46</v>
      </c>
      <c r="C948" s="51">
        <v>45670</v>
      </c>
      <c r="D948" s="51"/>
      <c r="E948" s="51"/>
      <c r="F948" s="110" t="s">
        <v>312</v>
      </c>
      <c r="G948" s="107">
        <v>1</v>
      </c>
      <c r="H948" s="107">
        <v>60</v>
      </c>
      <c r="I948" s="108">
        <f t="shared" si="108"/>
        <v>60</v>
      </c>
      <c r="J948" s="109">
        <v>3.7</v>
      </c>
      <c r="K948" s="109">
        <f t="shared" si="110"/>
        <v>222</v>
      </c>
      <c r="M948" s="110"/>
      <c r="N948" s="111"/>
    </row>
    <row r="949" s="1" customFormat="1" spans="1:15">
      <c r="A949" s="51">
        <v>45671</v>
      </c>
      <c r="B949" s="105">
        <v>46</v>
      </c>
      <c r="C949" s="51">
        <v>45670</v>
      </c>
      <c r="D949" s="51"/>
      <c r="E949" s="51"/>
      <c r="F949" s="110" t="s">
        <v>632</v>
      </c>
      <c r="G949" s="107">
        <v>1</v>
      </c>
      <c r="H949" s="107">
        <v>0.5</v>
      </c>
      <c r="I949" s="108">
        <f t="shared" si="108"/>
        <v>0.5</v>
      </c>
      <c r="J949" s="109">
        <v>55</v>
      </c>
      <c r="K949" s="109">
        <f t="shared" si="110"/>
        <v>27.5</v>
      </c>
      <c r="L949" s="1" t="s">
        <v>732</v>
      </c>
      <c r="M949" s="110"/>
      <c r="N949" s="111"/>
    </row>
    <row r="950" s="1" customFormat="1" spans="1:15">
      <c r="A950" s="51">
        <v>45671</v>
      </c>
      <c r="B950" s="105">
        <v>46</v>
      </c>
      <c r="C950" s="51">
        <v>45670</v>
      </c>
      <c r="D950" s="51"/>
      <c r="E950" s="51"/>
      <c r="F950" s="110" t="s">
        <v>733</v>
      </c>
      <c r="G950" s="107">
        <v>1</v>
      </c>
      <c r="H950" s="107">
        <v>100</v>
      </c>
      <c r="I950" s="108">
        <f t="shared" si="108"/>
        <v>100</v>
      </c>
      <c r="J950" s="109">
        <v>6.7</v>
      </c>
      <c r="K950" s="109"/>
      <c r="M950" s="110"/>
      <c r="N950" s="111"/>
    </row>
    <row r="951" s="1" customFormat="1" spans="1:15">
      <c r="A951" s="51">
        <v>45671</v>
      </c>
      <c r="B951" s="105">
        <v>46</v>
      </c>
      <c r="C951" s="51">
        <v>45670</v>
      </c>
      <c r="D951" s="51"/>
      <c r="E951" s="51"/>
      <c r="F951" s="110" t="s">
        <v>734</v>
      </c>
      <c r="G951" s="107">
        <v>1</v>
      </c>
      <c r="H951" s="107">
        <f>SUM(H943:H950)</f>
        <v>1120.5</v>
      </c>
      <c r="I951" s="108">
        <f t="shared" si="108"/>
        <v>1120.5</v>
      </c>
      <c r="J951" s="109">
        <v>2</v>
      </c>
      <c r="K951" s="109">
        <f>I951*J951</f>
        <v>2241</v>
      </c>
      <c r="L951" s="110"/>
      <c r="M951" s="110"/>
      <c r="N951" s="111"/>
    </row>
    <row r="952" s="1" customFormat="1" spans="1:15">
      <c r="A952" s="51">
        <v>45671</v>
      </c>
      <c r="B952" s="105">
        <v>46</v>
      </c>
      <c r="C952" s="51">
        <v>45670</v>
      </c>
      <c r="D952" s="51"/>
      <c r="E952" s="51"/>
      <c r="F952" s="110" t="s">
        <v>316</v>
      </c>
      <c r="G952" s="107">
        <v>62</v>
      </c>
      <c r="H952" s="107">
        <v>1</v>
      </c>
      <c r="I952" s="108">
        <f t="shared" si="108"/>
        <v>62</v>
      </c>
      <c r="J952" s="109">
        <v>12.5</v>
      </c>
      <c r="K952" s="109">
        <f>I952*J952</f>
        <v>775</v>
      </c>
      <c r="L952" s="110">
        <f>SUM(K943:K952)</f>
        <v>12235.5</v>
      </c>
      <c r="M952" s="110"/>
      <c r="N952" s="111"/>
    </row>
    <row r="953" s="2" customFormat="1" spans="1:15">
      <c r="A953" s="126">
        <v>45672</v>
      </c>
      <c r="B953" s="127">
        <v>53</v>
      </c>
      <c r="C953" s="126">
        <v>45671</v>
      </c>
      <c r="D953" s="126"/>
      <c r="E953" s="126"/>
      <c r="F953" s="131" t="s">
        <v>735</v>
      </c>
      <c r="G953" s="134">
        <v>1</v>
      </c>
      <c r="H953" s="134">
        <v>133</v>
      </c>
      <c r="I953" s="136">
        <f t="shared" si="108"/>
        <v>133</v>
      </c>
      <c r="J953" s="135">
        <v>13.5</v>
      </c>
      <c r="K953" s="135"/>
      <c r="L953" s="131"/>
      <c r="M953" s="131"/>
      <c r="N953" s="134"/>
      <c r="O953" s="2">
        <v>126</v>
      </c>
    </row>
    <row r="954" s="2" customFormat="1" spans="1:15">
      <c r="A954" s="126">
        <v>45672</v>
      </c>
      <c r="B954" s="127">
        <v>53</v>
      </c>
      <c r="C954" s="126">
        <v>45671</v>
      </c>
      <c r="D954" s="126"/>
      <c r="E954" s="126"/>
      <c r="F954" s="131" t="s">
        <v>120</v>
      </c>
      <c r="G954" s="134">
        <v>1</v>
      </c>
      <c r="H954" s="134">
        <v>8</v>
      </c>
      <c r="I954" s="136">
        <f t="shared" si="108"/>
        <v>8</v>
      </c>
      <c r="J954" s="135">
        <v>21</v>
      </c>
      <c r="K954" s="135">
        <f t="shared" ref="K954:K963" si="111">I954*J954</f>
        <v>168</v>
      </c>
      <c r="L954" s="131"/>
      <c r="M954" s="131"/>
      <c r="N954" s="134"/>
      <c r="O954" s="2">
        <v>6</v>
      </c>
    </row>
    <row r="955" s="2" customFormat="1" spans="1:15">
      <c r="A955" s="126">
        <v>45672</v>
      </c>
      <c r="B955" s="127">
        <v>53</v>
      </c>
      <c r="C955" s="126">
        <v>45671</v>
      </c>
      <c r="D955" s="126"/>
      <c r="E955" s="126"/>
      <c r="F955" s="131" t="s">
        <v>310</v>
      </c>
      <c r="G955" s="134">
        <v>1</v>
      </c>
      <c r="H955" s="134">
        <v>46</v>
      </c>
      <c r="I955" s="136">
        <f t="shared" si="108"/>
        <v>46</v>
      </c>
      <c r="J955" s="135">
        <v>0.6</v>
      </c>
      <c r="K955" s="135">
        <f t="shared" si="111"/>
        <v>27.6</v>
      </c>
      <c r="L955" s="131"/>
      <c r="M955" s="131"/>
      <c r="N955" s="134"/>
      <c r="O955" s="2">
        <v>36</v>
      </c>
    </row>
    <row r="956" s="2" customFormat="1" spans="1:15">
      <c r="A956" s="126">
        <v>45672</v>
      </c>
      <c r="B956" s="127">
        <v>53</v>
      </c>
      <c r="C956" s="126">
        <v>45671</v>
      </c>
      <c r="D956" s="126"/>
      <c r="E956" s="126"/>
      <c r="F956" s="131" t="s">
        <v>311</v>
      </c>
      <c r="G956" s="134">
        <v>1</v>
      </c>
      <c r="H956" s="134">
        <v>82</v>
      </c>
      <c r="I956" s="136">
        <f t="shared" si="108"/>
        <v>82</v>
      </c>
      <c r="J956" s="135">
        <v>7.8</v>
      </c>
      <c r="K956" s="135">
        <f t="shared" si="111"/>
        <v>639.6</v>
      </c>
      <c r="L956" s="131"/>
      <c r="M956" s="131"/>
      <c r="N956" s="134"/>
      <c r="O956" s="2">
        <v>117</v>
      </c>
    </row>
    <row r="957" s="2" customFormat="1" spans="1:15">
      <c r="A957" s="126">
        <v>45672</v>
      </c>
      <c r="B957" s="127">
        <v>53</v>
      </c>
      <c r="C957" s="126">
        <v>45671</v>
      </c>
      <c r="D957" s="126"/>
      <c r="E957" s="126"/>
      <c r="F957" s="131" t="s">
        <v>312</v>
      </c>
      <c r="G957" s="134">
        <v>1</v>
      </c>
      <c r="H957" s="134">
        <v>71</v>
      </c>
      <c r="I957" s="136">
        <f t="shared" si="108"/>
        <v>71</v>
      </c>
      <c r="J957" s="135">
        <v>3.7</v>
      </c>
      <c r="K957" s="135">
        <f t="shared" si="111"/>
        <v>262.7</v>
      </c>
      <c r="L957" s="131"/>
      <c r="M957" s="131"/>
      <c r="N957" s="134"/>
      <c r="O957" s="2">
        <v>133</v>
      </c>
    </row>
    <row r="958" s="2" customFormat="1" spans="1:15">
      <c r="A958" s="126">
        <v>45672</v>
      </c>
      <c r="B958" s="127">
        <v>53</v>
      </c>
      <c r="C958" s="126">
        <v>45671</v>
      </c>
      <c r="D958" s="126"/>
      <c r="E958" s="126"/>
      <c r="F958" s="131" t="s">
        <v>125</v>
      </c>
      <c r="G958" s="134">
        <v>1</v>
      </c>
      <c r="H958" s="134">
        <v>9.6</v>
      </c>
      <c r="I958" s="136">
        <f t="shared" si="108"/>
        <v>9.6</v>
      </c>
      <c r="J958" s="135">
        <v>25</v>
      </c>
      <c r="K958" s="135">
        <f t="shared" si="111"/>
        <v>240</v>
      </c>
      <c r="L958" s="131"/>
      <c r="M958" s="131"/>
      <c r="N958" s="134"/>
      <c r="O958" s="2">
        <v>3</v>
      </c>
    </row>
    <row r="959" s="2" customFormat="1" spans="1:15">
      <c r="A959" s="126">
        <v>45672</v>
      </c>
      <c r="B959" s="127">
        <v>53</v>
      </c>
      <c r="C959" s="126">
        <v>45671</v>
      </c>
      <c r="D959" s="126"/>
      <c r="E959" s="126"/>
      <c r="F959" s="131" t="s">
        <v>313</v>
      </c>
      <c r="G959" s="134">
        <v>1</v>
      </c>
      <c r="H959" s="134">
        <v>5.8</v>
      </c>
      <c r="I959" s="136">
        <f t="shared" si="108"/>
        <v>5.8</v>
      </c>
      <c r="J959" s="135">
        <v>45</v>
      </c>
      <c r="K959" s="135">
        <f t="shared" si="111"/>
        <v>261</v>
      </c>
      <c r="L959" s="256" t="s">
        <v>736</v>
      </c>
      <c r="M959" s="131"/>
      <c r="N959" s="134"/>
      <c r="O959" s="2">
        <v>3</v>
      </c>
    </row>
    <row r="960" s="2" customFormat="1" spans="1:15">
      <c r="A960" s="126">
        <v>45672</v>
      </c>
      <c r="B960" s="127">
        <v>53</v>
      </c>
      <c r="C960" s="126">
        <v>45671</v>
      </c>
      <c r="D960" s="126"/>
      <c r="E960" s="126"/>
      <c r="F960" s="131" t="s">
        <v>309</v>
      </c>
      <c r="G960" s="134">
        <v>1</v>
      </c>
      <c r="H960" s="134">
        <v>9</v>
      </c>
      <c r="I960" s="136">
        <f t="shared" si="108"/>
        <v>9</v>
      </c>
      <c r="J960" s="135">
        <v>18</v>
      </c>
      <c r="K960" s="135">
        <f t="shared" si="111"/>
        <v>162</v>
      </c>
      <c r="L960" s="131" t="s">
        <v>321</v>
      </c>
      <c r="M960" s="131"/>
      <c r="N960" s="134"/>
      <c r="O960" s="2">
        <v>5</v>
      </c>
    </row>
    <row r="961" s="2" customFormat="1" spans="1:15">
      <c r="A961" s="126">
        <v>45672</v>
      </c>
      <c r="B961" s="127">
        <v>53</v>
      </c>
      <c r="C961" s="126">
        <v>45671</v>
      </c>
      <c r="D961" s="126"/>
      <c r="E961" s="126"/>
      <c r="F961" s="131" t="s">
        <v>715</v>
      </c>
      <c r="G961" s="134">
        <v>1</v>
      </c>
      <c r="H961" s="134">
        <f>SUM(H953:H960)</f>
        <v>364.4</v>
      </c>
      <c r="I961" s="136">
        <f t="shared" si="108"/>
        <v>364.4</v>
      </c>
      <c r="J961" s="135">
        <v>2</v>
      </c>
      <c r="K961" s="135">
        <f t="shared" si="111"/>
        <v>728.8</v>
      </c>
      <c r="L961" s="131" t="s">
        <v>346</v>
      </c>
      <c r="M961" s="131"/>
      <c r="N961" s="134"/>
      <c r="O961" s="2">
        <v>14</v>
      </c>
    </row>
    <row r="962" s="2" customFormat="1" spans="1:15">
      <c r="A962" s="126">
        <v>45672</v>
      </c>
      <c r="B962" s="127">
        <v>53</v>
      </c>
      <c r="C962" s="126">
        <v>45671</v>
      </c>
      <c r="D962" s="126"/>
      <c r="E962" s="126"/>
      <c r="F962" s="131" t="s">
        <v>316</v>
      </c>
      <c r="G962" s="134">
        <v>20</v>
      </c>
      <c r="H962" s="134">
        <v>1</v>
      </c>
      <c r="I962" s="136">
        <f t="shared" si="108"/>
        <v>20</v>
      </c>
      <c r="J962" s="135">
        <v>12.5</v>
      </c>
      <c r="K962" s="135">
        <f t="shared" si="111"/>
        <v>250</v>
      </c>
      <c r="L962" s="131" t="s">
        <v>737</v>
      </c>
      <c r="M962" s="131" t="s">
        <v>717</v>
      </c>
      <c r="N962" s="134"/>
    </row>
    <row r="963" s="1" customFormat="1" spans="1:15">
      <c r="A963" s="51">
        <v>45672</v>
      </c>
      <c r="B963" s="105">
        <v>54</v>
      </c>
      <c r="C963" s="51">
        <v>45671</v>
      </c>
      <c r="D963" s="51"/>
      <c r="E963" s="51"/>
      <c r="F963" s="110" t="s">
        <v>735</v>
      </c>
      <c r="G963" s="107">
        <v>1</v>
      </c>
      <c r="H963" s="107">
        <v>67</v>
      </c>
      <c r="I963" s="108">
        <f t="shared" si="108"/>
        <v>67</v>
      </c>
      <c r="J963" s="109">
        <v>13.5</v>
      </c>
      <c r="K963" s="135"/>
      <c r="L963" s="110">
        <f>SUM(K953:K962)</f>
        <v>2739.7</v>
      </c>
      <c r="M963" s="110"/>
      <c r="N963" s="107"/>
      <c r="O963" s="1">
        <f>SUM(O953:O962)</f>
        <v>443</v>
      </c>
    </row>
    <row r="964" s="1" customFormat="1" spans="1:15">
      <c r="A964" s="51">
        <v>45672</v>
      </c>
      <c r="B964" s="105">
        <v>54</v>
      </c>
      <c r="C964" s="51">
        <v>45671</v>
      </c>
      <c r="D964" s="51"/>
      <c r="E964" s="51"/>
      <c r="F964" s="110" t="s">
        <v>120</v>
      </c>
      <c r="G964" s="107">
        <v>1</v>
      </c>
      <c r="H964" s="107">
        <v>4</v>
      </c>
      <c r="I964" s="108">
        <f t="shared" si="108"/>
        <v>4</v>
      </c>
      <c r="J964" s="109">
        <v>21</v>
      </c>
      <c r="K964" s="135">
        <f t="shared" ref="K964:K973" si="112">I964*J964</f>
        <v>84</v>
      </c>
    </row>
    <row r="965" s="1" customFormat="1" spans="1:15">
      <c r="A965" s="51">
        <v>45672</v>
      </c>
      <c r="B965" s="105">
        <v>54</v>
      </c>
      <c r="C965" s="51">
        <v>45671</v>
      </c>
      <c r="D965" s="51"/>
      <c r="E965" s="51"/>
      <c r="F965" s="110" t="s">
        <v>310</v>
      </c>
      <c r="G965" s="107">
        <v>1</v>
      </c>
      <c r="H965" s="107">
        <v>23</v>
      </c>
      <c r="I965" s="108">
        <f t="shared" si="108"/>
        <v>23</v>
      </c>
      <c r="J965" s="109">
        <v>0.6</v>
      </c>
      <c r="K965" s="135">
        <f t="shared" si="112"/>
        <v>13.8</v>
      </c>
    </row>
    <row r="966" s="1" customFormat="1" spans="1:15">
      <c r="A966" s="51">
        <v>45672</v>
      </c>
      <c r="B966" s="105">
        <v>54</v>
      </c>
      <c r="C966" s="51">
        <v>45671</v>
      </c>
      <c r="D966" s="51"/>
      <c r="E966" s="51"/>
      <c r="F966" s="110" t="s">
        <v>311</v>
      </c>
      <c r="G966" s="107">
        <v>1</v>
      </c>
      <c r="H966" s="107">
        <v>44</v>
      </c>
      <c r="I966" s="108">
        <f t="shared" si="108"/>
        <v>44</v>
      </c>
      <c r="J966" s="109">
        <v>7.8</v>
      </c>
      <c r="K966" s="135">
        <f t="shared" si="112"/>
        <v>343.2</v>
      </c>
      <c r="M966" s="131" t="s">
        <v>321</v>
      </c>
    </row>
    <row r="967" s="1" customFormat="1" spans="1:15">
      <c r="A967" s="51">
        <v>45672</v>
      </c>
      <c r="B967" s="105">
        <v>54</v>
      </c>
      <c r="C967" s="51">
        <v>45671</v>
      </c>
      <c r="D967" s="51"/>
      <c r="E967" s="51"/>
      <c r="F967" s="110" t="s">
        <v>312</v>
      </c>
      <c r="G967" s="107">
        <v>1</v>
      </c>
      <c r="H967" s="107">
        <v>36</v>
      </c>
      <c r="I967" s="108">
        <f t="shared" si="108"/>
        <v>36</v>
      </c>
      <c r="J967" s="109">
        <v>3.7</v>
      </c>
      <c r="K967" s="135">
        <f t="shared" si="112"/>
        <v>133.2</v>
      </c>
      <c r="M967" s="131" t="s">
        <v>346</v>
      </c>
    </row>
    <row r="968" s="1" customFormat="1" spans="1:15">
      <c r="A968" s="51">
        <v>45672</v>
      </c>
      <c r="B968" s="105">
        <v>54</v>
      </c>
      <c r="C968" s="51">
        <v>45671</v>
      </c>
      <c r="D968" s="51"/>
      <c r="E968" s="51"/>
      <c r="F968" s="110" t="s">
        <v>125</v>
      </c>
      <c r="G968" s="107">
        <v>1</v>
      </c>
      <c r="H968" s="107">
        <v>3.5</v>
      </c>
      <c r="I968" s="108">
        <f t="shared" si="108"/>
        <v>3.5</v>
      </c>
      <c r="J968" s="109">
        <v>25</v>
      </c>
      <c r="K968" s="135">
        <f t="shared" si="112"/>
        <v>87.5</v>
      </c>
      <c r="M968" s="131" t="s">
        <v>738</v>
      </c>
    </row>
    <row r="969" s="1" customFormat="1" spans="1:15">
      <c r="A969" s="51">
        <v>45672</v>
      </c>
      <c r="B969" s="105">
        <v>54</v>
      </c>
      <c r="C969" s="51">
        <v>45671</v>
      </c>
      <c r="D969" s="51"/>
      <c r="E969" s="51"/>
      <c r="F969" s="110" t="s">
        <v>313</v>
      </c>
      <c r="G969" s="107">
        <v>1</v>
      </c>
      <c r="H969" s="107">
        <v>2</v>
      </c>
      <c r="I969" s="108">
        <f t="shared" si="108"/>
        <v>2</v>
      </c>
      <c r="J969" s="109">
        <v>45</v>
      </c>
      <c r="K969" s="135">
        <f t="shared" si="112"/>
        <v>90</v>
      </c>
      <c r="M969" s="131" t="s">
        <v>717</v>
      </c>
      <c r="N969" s="131"/>
    </row>
    <row r="970" s="1" customFormat="1" spans="1:15">
      <c r="A970" s="51">
        <v>45672</v>
      </c>
      <c r="B970" s="105">
        <v>54</v>
      </c>
      <c r="C970" s="51">
        <v>45671</v>
      </c>
      <c r="D970" s="51"/>
      <c r="E970" s="51"/>
      <c r="F970" s="110" t="s">
        <v>309</v>
      </c>
      <c r="G970" s="107">
        <v>1</v>
      </c>
      <c r="H970" s="107">
        <v>4.5</v>
      </c>
      <c r="I970" s="108">
        <f t="shared" si="108"/>
        <v>4.5</v>
      </c>
      <c r="J970" s="109">
        <v>18</v>
      </c>
      <c r="K970" s="135">
        <f t="shared" si="112"/>
        <v>81</v>
      </c>
      <c r="L970" s="257" t="s">
        <v>739</v>
      </c>
      <c r="N970" s="131"/>
    </row>
    <row r="971" s="1" customFormat="1" spans="1:15">
      <c r="A971" s="51">
        <v>45672</v>
      </c>
      <c r="B971" s="105">
        <v>54</v>
      </c>
      <c r="C971" s="51">
        <v>45671</v>
      </c>
      <c r="D971" s="51"/>
      <c r="E971" s="51"/>
      <c r="F971" s="110" t="s">
        <v>720</v>
      </c>
      <c r="G971" s="107">
        <v>1</v>
      </c>
      <c r="H971" s="107">
        <f>SUM(H963:H970)</f>
        <v>184</v>
      </c>
      <c r="I971" s="108">
        <f t="shared" si="108"/>
        <v>184</v>
      </c>
      <c r="J971" s="109">
        <v>2</v>
      </c>
      <c r="K971" s="135">
        <f t="shared" si="112"/>
        <v>368</v>
      </c>
      <c r="L971" s="110"/>
    </row>
    <row r="972" s="1" customFormat="1" spans="1:15">
      <c r="A972" s="51">
        <v>45672</v>
      </c>
      <c r="B972" s="105">
        <v>54</v>
      </c>
      <c r="C972" s="51">
        <v>45671</v>
      </c>
      <c r="D972" s="51"/>
      <c r="E972" s="51"/>
      <c r="F972" s="110" t="s">
        <v>316</v>
      </c>
      <c r="G972" s="107">
        <v>10</v>
      </c>
      <c r="H972" s="107">
        <v>1</v>
      </c>
      <c r="I972" s="108">
        <f t="shared" si="108"/>
        <v>10</v>
      </c>
      <c r="J972" s="109">
        <v>12.5</v>
      </c>
      <c r="K972" s="135">
        <f t="shared" si="112"/>
        <v>125</v>
      </c>
      <c r="L972" s="110">
        <f>SUM(K963:K972)</f>
        <v>1325.7</v>
      </c>
    </row>
    <row r="973" s="242" customFormat="1" spans="1:15">
      <c r="A973" s="258">
        <v>45672</v>
      </c>
      <c r="B973" s="127">
        <v>55</v>
      </c>
      <c r="C973" s="258">
        <v>45672</v>
      </c>
      <c r="D973" s="258"/>
      <c r="E973" s="258"/>
      <c r="F973" s="243" t="s">
        <v>307</v>
      </c>
      <c r="G973" s="136">
        <v>1</v>
      </c>
      <c r="H973" s="136">
        <v>150</v>
      </c>
      <c r="I973" s="136">
        <f t="shared" si="108"/>
        <v>150</v>
      </c>
      <c r="J973" s="135">
        <v>12.2</v>
      </c>
      <c r="K973" s="135">
        <f t="shared" si="112"/>
        <v>1830</v>
      </c>
      <c r="L973" s="243"/>
      <c r="M973" s="243"/>
      <c r="N973" s="259"/>
    </row>
    <row r="974" s="242" customFormat="1" spans="1:15">
      <c r="A974" s="258">
        <v>45672</v>
      </c>
      <c r="B974" s="127">
        <v>55</v>
      </c>
      <c r="C974" s="258">
        <v>45672</v>
      </c>
      <c r="D974" s="258"/>
      <c r="E974" s="258"/>
      <c r="F974" s="243" t="s">
        <v>308</v>
      </c>
      <c r="G974" s="136">
        <v>1</v>
      </c>
      <c r="H974" s="136">
        <v>30</v>
      </c>
      <c r="I974" s="136">
        <f t="shared" si="108"/>
        <v>30</v>
      </c>
      <c r="J974" s="135">
        <v>13</v>
      </c>
      <c r="K974" s="135">
        <f t="shared" ref="K974:K985" si="113">I974*J974</f>
        <v>390</v>
      </c>
      <c r="L974" s="243"/>
      <c r="M974" s="243"/>
      <c r="N974" s="259"/>
    </row>
    <row r="975" s="242" customFormat="1" spans="1:15">
      <c r="A975" s="258">
        <v>45672</v>
      </c>
      <c r="B975" s="127">
        <v>55</v>
      </c>
      <c r="C975" s="258">
        <v>45672</v>
      </c>
      <c r="D975" s="258"/>
      <c r="E975" s="258"/>
      <c r="F975" s="243" t="s">
        <v>735</v>
      </c>
      <c r="G975" s="136">
        <v>1</v>
      </c>
      <c r="H975" s="136">
        <v>17</v>
      </c>
      <c r="I975" s="136">
        <f t="shared" si="108"/>
        <v>17</v>
      </c>
      <c r="J975" s="135">
        <v>13.5</v>
      </c>
      <c r="K975" s="135">
        <f t="shared" si="113"/>
        <v>229.5</v>
      </c>
      <c r="L975" s="243"/>
      <c r="M975" s="243"/>
      <c r="N975" s="259"/>
    </row>
    <row r="976" s="242" customFormat="1" spans="1:15">
      <c r="A976" s="258">
        <v>45672</v>
      </c>
      <c r="B976" s="127">
        <v>55</v>
      </c>
      <c r="C976" s="258">
        <v>45672</v>
      </c>
      <c r="D976" s="258"/>
      <c r="E976" s="258"/>
      <c r="F976" s="243" t="s">
        <v>309</v>
      </c>
      <c r="G976" s="136">
        <v>1</v>
      </c>
      <c r="H976" s="136">
        <v>32</v>
      </c>
      <c r="I976" s="136">
        <f t="shared" si="108"/>
        <v>32</v>
      </c>
      <c r="J976" s="135">
        <v>18</v>
      </c>
      <c r="K976" s="135">
        <f t="shared" si="113"/>
        <v>576</v>
      </c>
      <c r="L976" s="243"/>
      <c r="M976" s="243"/>
      <c r="N976" s="259"/>
    </row>
    <row r="977" s="242" customFormat="1" spans="1:15">
      <c r="A977" s="258">
        <v>45672</v>
      </c>
      <c r="B977" s="127">
        <v>55</v>
      </c>
      <c r="C977" s="258">
        <v>45672</v>
      </c>
      <c r="D977" s="258"/>
      <c r="E977" s="258"/>
      <c r="F977" s="243" t="s">
        <v>120</v>
      </c>
      <c r="G977" s="136">
        <v>1</v>
      </c>
      <c r="H977" s="136">
        <v>7.2</v>
      </c>
      <c r="I977" s="136">
        <f t="shared" si="108"/>
        <v>7.2</v>
      </c>
      <c r="J977" s="135">
        <v>21</v>
      </c>
      <c r="K977" s="135">
        <f t="shared" si="113"/>
        <v>151.2</v>
      </c>
      <c r="L977" s="243"/>
      <c r="M977" s="243"/>
      <c r="N977" s="259"/>
    </row>
    <row r="978" s="242" customFormat="1" spans="1:15">
      <c r="A978" s="258">
        <v>45672</v>
      </c>
      <c r="B978" s="127">
        <v>55</v>
      </c>
      <c r="C978" s="258">
        <v>45672</v>
      </c>
      <c r="D978" s="258"/>
      <c r="E978" s="258"/>
      <c r="F978" s="243" t="s">
        <v>310</v>
      </c>
      <c r="G978" s="136">
        <v>1</v>
      </c>
      <c r="H978" s="136">
        <v>77</v>
      </c>
      <c r="I978" s="136">
        <f t="shared" si="108"/>
        <v>77</v>
      </c>
      <c r="J978" s="135">
        <v>0.6</v>
      </c>
      <c r="K978" s="135">
        <f t="shared" si="113"/>
        <v>46.2</v>
      </c>
      <c r="L978" s="243" t="s">
        <v>616</v>
      </c>
      <c r="M978" s="243"/>
      <c r="N978" s="259"/>
    </row>
    <row r="979" s="242" customFormat="1" spans="1:15">
      <c r="A979" s="258">
        <v>45672</v>
      </c>
      <c r="B979" s="127">
        <v>55</v>
      </c>
      <c r="C979" s="258">
        <v>45672</v>
      </c>
      <c r="D979" s="258"/>
      <c r="E979" s="258"/>
      <c r="F979" s="243" t="s">
        <v>122</v>
      </c>
      <c r="G979" s="136">
        <v>1</v>
      </c>
      <c r="H979" s="136">
        <v>150</v>
      </c>
      <c r="I979" s="136">
        <f t="shared" si="108"/>
        <v>150</v>
      </c>
      <c r="J979" s="135">
        <v>7.8</v>
      </c>
      <c r="K979" s="135">
        <f t="shared" si="113"/>
        <v>1170</v>
      </c>
      <c r="L979" s="243"/>
      <c r="M979" s="243"/>
      <c r="N979" s="259"/>
    </row>
    <row r="980" s="242" customFormat="1" spans="1:15">
      <c r="A980" s="258">
        <v>45672</v>
      </c>
      <c r="B980" s="127">
        <v>55</v>
      </c>
      <c r="C980" s="258">
        <v>45672</v>
      </c>
      <c r="D980" s="258"/>
      <c r="E980" s="258"/>
      <c r="F980" s="243" t="s">
        <v>123</v>
      </c>
      <c r="G980" s="136">
        <v>1</v>
      </c>
      <c r="H980" s="136">
        <v>88</v>
      </c>
      <c r="I980" s="136">
        <f t="shared" si="108"/>
        <v>88</v>
      </c>
      <c r="J980" s="135">
        <v>3.7</v>
      </c>
      <c r="K980" s="135">
        <f t="shared" si="113"/>
        <v>325.6</v>
      </c>
      <c r="L980" s="260" t="s">
        <v>740</v>
      </c>
      <c r="M980" s="243"/>
      <c r="N980" s="259"/>
    </row>
    <row r="981" s="242" customFormat="1" spans="1:15">
      <c r="A981" s="258">
        <v>45672</v>
      </c>
      <c r="B981" s="127">
        <v>55</v>
      </c>
      <c r="C981" s="258">
        <v>45672</v>
      </c>
      <c r="D981" s="258"/>
      <c r="E981" s="258"/>
      <c r="F981" s="243" t="s">
        <v>323</v>
      </c>
      <c r="G981" s="136">
        <v>1</v>
      </c>
      <c r="H981" s="136">
        <v>17</v>
      </c>
      <c r="I981" s="136">
        <f t="shared" si="108"/>
        <v>17</v>
      </c>
      <c r="J981" s="135">
        <v>18</v>
      </c>
      <c r="K981" s="135">
        <f t="shared" si="113"/>
        <v>306</v>
      </c>
      <c r="L981" s="243"/>
      <c r="M981" s="243"/>
      <c r="N981" s="259"/>
    </row>
    <row r="982" s="242" customFormat="1" spans="1:15">
      <c r="A982" s="258">
        <v>45672</v>
      </c>
      <c r="B982" s="127">
        <v>55</v>
      </c>
      <c r="C982" s="258">
        <v>45672</v>
      </c>
      <c r="D982" s="258"/>
      <c r="E982" s="258"/>
      <c r="F982" s="243" t="s">
        <v>125</v>
      </c>
      <c r="G982" s="136">
        <v>1</v>
      </c>
      <c r="H982" s="136">
        <v>0.6</v>
      </c>
      <c r="I982" s="136">
        <f t="shared" si="108"/>
        <v>0.6</v>
      </c>
      <c r="J982" s="135">
        <v>25</v>
      </c>
      <c r="K982" s="135">
        <f t="shared" si="113"/>
        <v>15</v>
      </c>
      <c r="L982" s="261" t="s">
        <v>741</v>
      </c>
      <c r="M982" s="261"/>
      <c r="N982" s="259"/>
    </row>
    <row r="983" s="242" customFormat="1" spans="1:15">
      <c r="A983" s="258">
        <v>45672</v>
      </c>
      <c r="B983" s="127">
        <v>55</v>
      </c>
      <c r="C983" s="258">
        <v>45672</v>
      </c>
      <c r="D983" s="258"/>
      <c r="E983" s="258"/>
      <c r="F983" s="243" t="s">
        <v>313</v>
      </c>
      <c r="G983" s="136">
        <v>1</v>
      </c>
      <c r="H983" s="136">
        <v>13.5</v>
      </c>
      <c r="I983" s="136">
        <f t="shared" ref="I983:I988" si="114">G983*H983</f>
        <v>13.5</v>
      </c>
      <c r="J983" s="135">
        <v>45</v>
      </c>
      <c r="K983" s="135">
        <f t="shared" si="113"/>
        <v>607.5</v>
      </c>
      <c r="L983" s="243" t="s">
        <v>321</v>
      </c>
      <c r="M983" s="243" t="s">
        <v>322</v>
      </c>
      <c r="N983" s="259"/>
    </row>
    <row r="984" s="242" customFormat="1" spans="1:15">
      <c r="A984" s="258">
        <v>45672</v>
      </c>
      <c r="B984" s="127">
        <v>55</v>
      </c>
      <c r="C984" s="258">
        <v>45672</v>
      </c>
      <c r="D984" s="258"/>
      <c r="E984" s="258"/>
      <c r="F984" s="243" t="s">
        <v>325</v>
      </c>
      <c r="G984" s="136">
        <v>1</v>
      </c>
      <c r="H984" s="136">
        <f>SUM(H973:H983)</f>
        <v>582.3</v>
      </c>
      <c r="I984" s="136">
        <f t="shared" si="114"/>
        <v>582.3</v>
      </c>
      <c r="J984" s="135">
        <v>2</v>
      </c>
      <c r="K984" s="135">
        <f t="shared" si="113"/>
        <v>1164.6</v>
      </c>
      <c r="L984" s="243" t="s">
        <v>324</v>
      </c>
      <c r="M984" s="243"/>
      <c r="N984" s="259"/>
    </row>
    <row r="985" s="242" customFormat="1" spans="1:15">
      <c r="A985" s="258">
        <v>45672</v>
      </c>
      <c r="B985" s="127">
        <v>55</v>
      </c>
      <c r="C985" s="258">
        <v>45672</v>
      </c>
      <c r="D985" s="258"/>
      <c r="E985" s="258"/>
      <c r="F985" s="243" t="s">
        <v>316</v>
      </c>
      <c r="G985" s="136">
        <v>32</v>
      </c>
      <c r="H985" s="136">
        <v>1</v>
      </c>
      <c r="I985" s="136">
        <f t="shared" si="114"/>
        <v>32</v>
      </c>
      <c r="J985" s="135">
        <v>12.5</v>
      </c>
      <c r="K985" s="135">
        <f t="shared" si="113"/>
        <v>400</v>
      </c>
      <c r="L985" s="242">
        <f>SUM(K973:K985)</f>
        <v>7211.6</v>
      </c>
      <c r="M985" s="243">
        <f>SUM(K973:K985)</f>
        <v>7211.6</v>
      </c>
      <c r="N985" s="259"/>
    </row>
    <row r="986" s="1" customFormat="1" spans="1:15">
      <c r="A986" s="51">
        <v>45674</v>
      </c>
      <c r="B986" s="105">
        <v>64</v>
      </c>
      <c r="C986" s="51" t="s">
        <v>742</v>
      </c>
      <c r="D986" s="51"/>
      <c r="E986" s="51"/>
      <c r="F986" s="110" t="s">
        <v>743</v>
      </c>
      <c r="G986" s="107">
        <v>1</v>
      </c>
      <c r="H986" s="107">
        <v>126</v>
      </c>
      <c r="I986" s="108">
        <f t="shared" si="114"/>
        <v>126</v>
      </c>
      <c r="J986" s="109">
        <v>13.5</v>
      </c>
      <c r="K986" s="109"/>
      <c r="L986" s="110"/>
      <c r="M986" s="110"/>
      <c r="N986" s="107"/>
      <c r="O986" s="1">
        <v>126</v>
      </c>
    </row>
    <row r="987" s="1" customFormat="1" spans="1:15">
      <c r="A987" s="51">
        <v>45674</v>
      </c>
      <c r="B987" s="105">
        <v>64</v>
      </c>
      <c r="C987" s="51" t="s">
        <v>742</v>
      </c>
      <c r="D987" s="51"/>
      <c r="E987" s="51"/>
      <c r="F987" s="110" t="s">
        <v>404</v>
      </c>
      <c r="G987" s="107">
        <v>1</v>
      </c>
      <c r="H987" s="107">
        <v>56</v>
      </c>
      <c r="I987" s="108">
        <f t="shared" si="114"/>
        <v>56</v>
      </c>
      <c r="J987" s="109">
        <v>12.2</v>
      </c>
      <c r="K987" s="109"/>
      <c r="L987" s="110"/>
      <c r="M987" s="110"/>
      <c r="N987" s="107"/>
    </row>
    <row r="988" s="1" customFormat="1" spans="1:15">
      <c r="A988" s="51">
        <v>45674</v>
      </c>
      <c r="B988" s="105">
        <v>64</v>
      </c>
      <c r="C988" s="51" t="s">
        <v>742</v>
      </c>
      <c r="D988" s="51"/>
      <c r="E988" s="51"/>
      <c r="F988" s="106">
        <v>965</v>
      </c>
      <c r="G988" s="107">
        <v>1</v>
      </c>
      <c r="H988" s="107">
        <v>42</v>
      </c>
      <c r="I988" s="108">
        <f t="shared" si="114"/>
        <v>42</v>
      </c>
      <c r="J988" s="109">
        <v>13</v>
      </c>
      <c r="K988" s="109">
        <f>I988*J988</f>
        <v>546</v>
      </c>
      <c r="L988" s="110"/>
      <c r="M988" s="110"/>
      <c r="N988" s="107"/>
    </row>
    <row r="989" s="1" customFormat="1" spans="1:15">
      <c r="A989" s="51">
        <v>45674</v>
      </c>
      <c r="B989" s="105">
        <v>64</v>
      </c>
      <c r="C989" s="51" t="s">
        <v>742</v>
      </c>
      <c r="D989" s="51"/>
      <c r="E989" s="51"/>
      <c r="F989" s="110" t="s">
        <v>120</v>
      </c>
      <c r="G989" s="107">
        <v>1</v>
      </c>
      <c r="H989" s="107">
        <v>13</v>
      </c>
      <c r="I989" s="108">
        <f t="shared" ref="I989:I1022" si="115">G989*H989</f>
        <v>13</v>
      </c>
      <c r="J989" s="109">
        <v>21</v>
      </c>
      <c r="K989" s="109">
        <f t="shared" ref="K989:K997" si="116">I989*J989</f>
        <v>273</v>
      </c>
      <c r="L989" s="110"/>
      <c r="M989" s="110"/>
      <c r="N989" s="107"/>
      <c r="O989" s="1">
        <v>6</v>
      </c>
    </row>
    <row r="990" s="1" customFormat="1" spans="1:15">
      <c r="A990" s="51">
        <v>45674</v>
      </c>
      <c r="B990" s="105">
        <v>64</v>
      </c>
      <c r="C990" s="51" t="s">
        <v>742</v>
      </c>
      <c r="D990" s="51"/>
      <c r="E990" s="51"/>
      <c r="F990" s="110" t="s">
        <v>310</v>
      </c>
      <c r="G990" s="107">
        <v>1</v>
      </c>
      <c r="H990" s="107">
        <v>77</v>
      </c>
      <c r="I990" s="108">
        <f t="shared" si="115"/>
        <v>77</v>
      </c>
      <c r="J990" s="109">
        <v>0.6</v>
      </c>
      <c r="K990" s="109">
        <f t="shared" si="116"/>
        <v>46.2</v>
      </c>
      <c r="L990" s="257" t="s">
        <v>744</v>
      </c>
      <c r="M990" s="110"/>
      <c r="N990" s="107"/>
      <c r="O990" s="1">
        <v>36</v>
      </c>
    </row>
    <row r="991" s="1" customFormat="1" spans="1:15">
      <c r="A991" s="51">
        <v>45674</v>
      </c>
      <c r="B991" s="105">
        <v>64</v>
      </c>
      <c r="C991" s="51" t="s">
        <v>742</v>
      </c>
      <c r="D991" s="51"/>
      <c r="E991" s="51"/>
      <c r="F991" s="110" t="s">
        <v>311</v>
      </c>
      <c r="G991" s="107">
        <v>1</v>
      </c>
      <c r="H991" s="107">
        <v>140</v>
      </c>
      <c r="I991" s="108">
        <f t="shared" si="115"/>
        <v>140</v>
      </c>
      <c r="J991" s="109">
        <v>7.8</v>
      </c>
      <c r="K991" s="109">
        <f t="shared" si="116"/>
        <v>1092</v>
      </c>
      <c r="L991" s="110" t="s">
        <v>321</v>
      </c>
      <c r="M991" s="110"/>
      <c r="N991" s="107"/>
      <c r="O991" s="1">
        <v>117</v>
      </c>
    </row>
    <row r="992" s="1" customFormat="1" spans="1:15">
      <c r="A992" s="51">
        <v>45674</v>
      </c>
      <c r="B992" s="105">
        <v>64</v>
      </c>
      <c r="C992" s="51" t="s">
        <v>742</v>
      </c>
      <c r="D992" s="51"/>
      <c r="E992" s="51"/>
      <c r="F992" s="110" t="s">
        <v>312</v>
      </c>
      <c r="G992" s="107">
        <v>1</v>
      </c>
      <c r="H992" s="107">
        <v>122</v>
      </c>
      <c r="I992" s="108">
        <v>122</v>
      </c>
      <c r="J992" s="109">
        <v>3.7</v>
      </c>
      <c r="K992" s="109">
        <f t="shared" si="116"/>
        <v>451.4</v>
      </c>
      <c r="L992" s="110" t="s">
        <v>346</v>
      </c>
      <c r="M992" s="110"/>
      <c r="N992" s="107"/>
      <c r="O992" s="1">
        <v>133</v>
      </c>
    </row>
    <row r="993" s="1" customFormat="1" spans="1:15">
      <c r="A993" s="51">
        <v>45674</v>
      </c>
      <c r="B993" s="105">
        <v>64</v>
      </c>
      <c r="C993" s="51" t="s">
        <v>742</v>
      </c>
      <c r="D993" s="51"/>
      <c r="E993" s="51"/>
      <c r="F993" s="110" t="s">
        <v>125</v>
      </c>
      <c r="G993" s="107">
        <v>1</v>
      </c>
      <c r="H993" s="107">
        <v>16.2</v>
      </c>
      <c r="I993" s="108">
        <f t="shared" si="115"/>
        <v>16.2</v>
      </c>
      <c r="J993" s="109">
        <v>25</v>
      </c>
      <c r="K993" s="109">
        <f t="shared" si="116"/>
        <v>405</v>
      </c>
      <c r="L993" s="110" t="s">
        <v>745</v>
      </c>
      <c r="M993" s="110" t="s">
        <v>717</v>
      </c>
      <c r="N993" s="107"/>
      <c r="O993" s="1">
        <v>3</v>
      </c>
    </row>
    <row r="994" s="1" customFormat="1" spans="1:15">
      <c r="A994" s="51">
        <v>45674</v>
      </c>
      <c r="B994" s="105">
        <v>64</v>
      </c>
      <c r="C994" s="51" t="s">
        <v>742</v>
      </c>
      <c r="D994" s="51"/>
      <c r="E994" s="51"/>
      <c r="F994" s="110" t="s">
        <v>313</v>
      </c>
      <c r="G994" s="107">
        <v>1</v>
      </c>
      <c r="H994" s="107">
        <v>9.8</v>
      </c>
      <c r="I994" s="108">
        <f t="shared" si="115"/>
        <v>9.8</v>
      </c>
      <c r="J994" s="109">
        <v>45</v>
      </c>
      <c r="K994" s="109">
        <f t="shared" si="116"/>
        <v>441</v>
      </c>
      <c r="N994" s="107"/>
      <c r="O994" s="1">
        <v>3</v>
      </c>
    </row>
    <row r="995" s="1" customFormat="1" spans="1:15">
      <c r="A995" s="51">
        <v>45674</v>
      </c>
      <c r="B995" s="105">
        <v>64</v>
      </c>
      <c r="C995" s="51" t="s">
        <v>742</v>
      </c>
      <c r="D995" s="51"/>
      <c r="E995" s="51"/>
      <c r="F995" s="110" t="s">
        <v>309</v>
      </c>
      <c r="G995" s="107">
        <v>1</v>
      </c>
      <c r="H995" s="107">
        <v>16</v>
      </c>
      <c r="I995" s="108">
        <f t="shared" si="115"/>
        <v>16</v>
      </c>
      <c r="J995" s="109">
        <v>18</v>
      </c>
      <c r="K995" s="109">
        <f t="shared" si="116"/>
        <v>288</v>
      </c>
      <c r="N995" s="107"/>
      <c r="O995" s="1">
        <v>5</v>
      </c>
    </row>
    <row r="996" s="1" customFormat="1" spans="1:15">
      <c r="A996" s="51">
        <v>45674</v>
      </c>
      <c r="B996" s="105">
        <v>64</v>
      </c>
      <c r="C996" s="51" t="s">
        <v>742</v>
      </c>
      <c r="D996" s="51"/>
      <c r="E996" s="51"/>
      <c r="F996" s="110" t="s">
        <v>715</v>
      </c>
      <c r="G996" s="107">
        <v>1</v>
      </c>
      <c r="H996" s="107">
        <f>SUM(H986:H995)</f>
        <v>618</v>
      </c>
      <c r="I996" s="108">
        <f>SUM(I986:I995)</f>
        <v>618</v>
      </c>
      <c r="J996" s="109">
        <v>2</v>
      </c>
      <c r="K996" s="109">
        <f t="shared" si="116"/>
        <v>1236</v>
      </c>
      <c r="N996" s="107"/>
      <c r="O996" s="1">
        <v>14</v>
      </c>
    </row>
    <row r="997" s="1" customFormat="1" spans="1:15">
      <c r="A997" s="51">
        <v>45674</v>
      </c>
      <c r="B997" s="105">
        <v>64</v>
      </c>
      <c r="C997" s="51" t="s">
        <v>742</v>
      </c>
      <c r="D997" s="51"/>
      <c r="E997" s="51"/>
      <c r="F997" s="110" t="s">
        <v>316</v>
      </c>
      <c r="G997" s="107">
        <v>34</v>
      </c>
      <c r="H997" s="107">
        <v>1</v>
      </c>
      <c r="I997" s="108">
        <f t="shared" si="115"/>
        <v>34</v>
      </c>
      <c r="J997" s="109">
        <v>12.5</v>
      </c>
      <c r="K997" s="109">
        <f t="shared" si="116"/>
        <v>425</v>
      </c>
      <c r="L997" s="1">
        <f>SUM(K986:K997)</f>
        <v>5203.6</v>
      </c>
      <c r="N997" s="107"/>
    </row>
    <row r="998" s="2" customFormat="1" spans="1:15">
      <c r="A998" s="126">
        <v>45674</v>
      </c>
      <c r="B998" s="127">
        <v>65</v>
      </c>
      <c r="C998" s="126" t="s">
        <v>742</v>
      </c>
      <c r="D998" s="126"/>
      <c r="E998" s="126"/>
      <c r="F998" s="131" t="s">
        <v>743</v>
      </c>
      <c r="G998" s="134">
        <v>1</v>
      </c>
      <c r="H998" s="134">
        <v>74</v>
      </c>
      <c r="I998" s="136">
        <f t="shared" si="115"/>
        <v>74</v>
      </c>
      <c r="J998" s="135">
        <v>13.5</v>
      </c>
      <c r="K998" s="135"/>
      <c r="L998" s="131"/>
      <c r="M998" s="131"/>
      <c r="N998" s="134"/>
      <c r="O998" s="2">
        <v>126</v>
      </c>
    </row>
    <row r="999" s="2" customFormat="1" spans="1:15">
      <c r="A999" s="126">
        <v>45674</v>
      </c>
      <c r="B999" s="127">
        <v>65</v>
      </c>
      <c r="C999" s="126" t="s">
        <v>742</v>
      </c>
      <c r="D999" s="126"/>
      <c r="E999" s="126"/>
      <c r="F999" s="131" t="s">
        <v>404</v>
      </c>
      <c r="G999" s="134">
        <v>1</v>
      </c>
      <c r="H999" s="134">
        <v>36</v>
      </c>
      <c r="I999" s="136">
        <f t="shared" si="115"/>
        <v>36</v>
      </c>
      <c r="J999" s="135">
        <v>12.2</v>
      </c>
      <c r="K999" s="135"/>
      <c r="L999" s="131"/>
      <c r="M999" s="131"/>
      <c r="N999" s="134"/>
    </row>
    <row r="1000" s="2" customFormat="1" spans="1:15">
      <c r="A1000" s="126">
        <v>45674</v>
      </c>
      <c r="B1000" s="127">
        <v>65</v>
      </c>
      <c r="C1000" s="126" t="s">
        <v>742</v>
      </c>
      <c r="D1000" s="126"/>
      <c r="E1000" s="126"/>
      <c r="F1000" s="133">
        <v>965</v>
      </c>
      <c r="G1000" s="134">
        <v>1</v>
      </c>
      <c r="H1000" s="134">
        <v>25</v>
      </c>
      <c r="I1000" s="136">
        <f t="shared" si="115"/>
        <v>25</v>
      </c>
      <c r="J1000" s="135">
        <v>13</v>
      </c>
      <c r="K1000" s="135">
        <f>I1000*J1000</f>
        <v>325</v>
      </c>
      <c r="L1000" s="131"/>
      <c r="M1000" s="131"/>
      <c r="N1000" s="134"/>
    </row>
    <row r="1001" s="2" customFormat="1" spans="1:15">
      <c r="A1001" s="126">
        <v>45674</v>
      </c>
      <c r="B1001" s="127">
        <v>65</v>
      </c>
      <c r="C1001" s="126" t="s">
        <v>742</v>
      </c>
      <c r="D1001" s="126"/>
      <c r="E1001" s="126"/>
      <c r="F1001" s="131" t="s">
        <v>120</v>
      </c>
      <c r="G1001" s="134">
        <v>1</v>
      </c>
      <c r="H1001" s="134">
        <v>8</v>
      </c>
      <c r="I1001" s="136">
        <f t="shared" si="115"/>
        <v>8</v>
      </c>
      <c r="J1001" s="135">
        <v>21</v>
      </c>
      <c r="K1001" s="135">
        <f t="shared" ref="K1001:K1009" si="117">I1001*J1001</f>
        <v>168</v>
      </c>
    </row>
    <row r="1002" s="2" customFormat="1" spans="1:15">
      <c r="A1002" s="126">
        <v>45674</v>
      </c>
      <c r="B1002" s="127">
        <v>65</v>
      </c>
      <c r="C1002" s="126" t="s">
        <v>742</v>
      </c>
      <c r="D1002" s="126"/>
      <c r="E1002" s="126"/>
      <c r="F1002" s="131" t="s">
        <v>310</v>
      </c>
      <c r="G1002" s="134">
        <v>1</v>
      </c>
      <c r="H1002" s="134">
        <v>46</v>
      </c>
      <c r="I1002" s="136">
        <f t="shared" si="115"/>
        <v>46</v>
      </c>
      <c r="J1002" s="135">
        <v>0.6</v>
      </c>
      <c r="K1002" s="135">
        <f t="shared" si="117"/>
        <v>27.6</v>
      </c>
    </row>
    <row r="1003" s="2" customFormat="1" spans="1:15">
      <c r="A1003" s="126">
        <v>45674</v>
      </c>
      <c r="B1003" s="127">
        <v>65</v>
      </c>
      <c r="C1003" s="126" t="s">
        <v>742</v>
      </c>
      <c r="D1003" s="126"/>
      <c r="E1003" s="126"/>
      <c r="F1003" s="131" t="s">
        <v>311</v>
      </c>
      <c r="G1003" s="134">
        <v>1</v>
      </c>
      <c r="H1003" s="134">
        <v>88</v>
      </c>
      <c r="I1003" s="136">
        <f t="shared" si="115"/>
        <v>88</v>
      </c>
      <c r="J1003" s="135">
        <v>7.8</v>
      </c>
      <c r="K1003" s="135">
        <f t="shared" si="117"/>
        <v>686.4</v>
      </c>
      <c r="M1003" s="131" t="s">
        <v>321</v>
      </c>
    </row>
    <row r="1004" s="2" customFormat="1" spans="1:15">
      <c r="A1004" s="126">
        <v>45674</v>
      </c>
      <c r="B1004" s="127">
        <v>65</v>
      </c>
      <c r="C1004" s="126" t="s">
        <v>742</v>
      </c>
      <c r="D1004" s="126"/>
      <c r="E1004" s="126"/>
      <c r="F1004" s="131" t="s">
        <v>312</v>
      </c>
      <c r="G1004" s="134">
        <v>1</v>
      </c>
      <c r="H1004" s="134">
        <v>72</v>
      </c>
      <c r="I1004" s="136">
        <f t="shared" si="115"/>
        <v>72</v>
      </c>
      <c r="J1004" s="135">
        <v>3.7</v>
      </c>
      <c r="K1004" s="135">
        <f t="shared" si="117"/>
        <v>266.4</v>
      </c>
      <c r="M1004" s="131" t="s">
        <v>346</v>
      </c>
    </row>
    <row r="1005" s="2" customFormat="1" spans="1:15">
      <c r="A1005" s="126">
        <v>45674</v>
      </c>
      <c r="B1005" s="127">
        <v>65</v>
      </c>
      <c r="C1005" s="126" t="s">
        <v>742</v>
      </c>
      <c r="D1005" s="126"/>
      <c r="E1005" s="126"/>
      <c r="F1005" s="131" t="s">
        <v>125</v>
      </c>
      <c r="G1005" s="134">
        <v>1</v>
      </c>
      <c r="H1005" s="134">
        <v>7</v>
      </c>
      <c r="I1005" s="136">
        <f t="shared" si="115"/>
        <v>7</v>
      </c>
      <c r="J1005" s="135">
        <v>25</v>
      </c>
      <c r="K1005" s="135">
        <f t="shared" si="117"/>
        <v>175</v>
      </c>
      <c r="M1005" s="131" t="s">
        <v>737</v>
      </c>
    </row>
    <row r="1006" s="2" customFormat="1" spans="1:15">
      <c r="A1006" s="126">
        <v>45674</v>
      </c>
      <c r="B1006" s="127">
        <v>65</v>
      </c>
      <c r="C1006" s="126" t="s">
        <v>742</v>
      </c>
      <c r="D1006" s="126"/>
      <c r="E1006" s="126"/>
      <c r="F1006" s="131" t="s">
        <v>313</v>
      </c>
      <c r="G1006" s="134">
        <v>1</v>
      </c>
      <c r="H1006" s="134">
        <v>4</v>
      </c>
      <c r="I1006" s="136">
        <f t="shared" si="115"/>
        <v>4</v>
      </c>
      <c r="J1006" s="135">
        <v>45</v>
      </c>
      <c r="K1006" s="135">
        <f t="shared" si="117"/>
        <v>180</v>
      </c>
      <c r="M1006" s="131" t="s">
        <v>717</v>
      </c>
      <c r="N1006" s="131"/>
    </row>
    <row r="1007" s="2" customFormat="1" spans="1:15">
      <c r="A1007" s="126">
        <v>45674</v>
      </c>
      <c r="B1007" s="127">
        <v>65</v>
      </c>
      <c r="C1007" s="126" t="s">
        <v>742</v>
      </c>
      <c r="D1007" s="126"/>
      <c r="E1007" s="126"/>
      <c r="F1007" s="131" t="s">
        <v>309</v>
      </c>
      <c r="G1007" s="134">
        <v>1</v>
      </c>
      <c r="H1007" s="134">
        <v>9</v>
      </c>
      <c r="I1007" s="136">
        <f t="shared" si="115"/>
        <v>9</v>
      </c>
      <c r="J1007" s="135">
        <v>18</v>
      </c>
      <c r="K1007" s="135">
        <f t="shared" si="117"/>
        <v>162</v>
      </c>
      <c r="L1007" s="256" t="s">
        <v>746</v>
      </c>
      <c r="N1007" s="131"/>
    </row>
    <row r="1008" s="2" customFormat="1" spans="1:15">
      <c r="A1008" s="126">
        <v>45674</v>
      </c>
      <c r="B1008" s="127">
        <v>65</v>
      </c>
      <c r="C1008" s="126" t="s">
        <v>742</v>
      </c>
      <c r="D1008" s="126"/>
      <c r="E1008" s="126"/>
      <c r="F1008" s="131" t="s">
        <v>720</v>
      </c>
      <c r="G1008" s="134">
        <v>1</v>
      </c>
      <c r="H1008" s="134">
        <f>SUM(H998:H1007)</f>
        <v>369</v>
      </c>
      <c r="I1008" s="136">
        <f t="shared" si="115"/>
        <v>369</v>
      </c>
      <c r="J1008" s="135">
        <v>2</v>
      </c>
      <c r="K1008" s="135">
        <f t="shared" si="117"/>
        <v>738</v>
      </c>
      <c r="L1008" s="131"/>
    </row>
    <row r="1009" s="2" customFormat="1" spans="1:15">
      <c r="A1009" s="126">
        <v>45674</v>
      </c>
      <c r="B1009" s="127">
        <v>65</v>
      </c>
      <c r="C1009" s="126" t="s">
        <v>742</v>
      </c>
      <c r="D1009" s="126"/>
      <c r="E1009" s="126"/>
      <c r="F1009" s="131" t="s">
        <v>316</v>
      </c>
      <c r="G1009" s="134">
        <v>20</v>
      </c>
      <c r="H1009" s="134">
        <v>1</v>
      </c>
      <c r="I1009" s="136">
        <f t="shared" si="115"/>
        <v>20</v>
      </c>
      <c r="J1009" s="135">
        <v>12.5</v>
      </c>
      <c r="K1009" s="135">
        <f t="shared" si="117"/>
        <v>250</v>
      </c>
      <c r="L1009" s="131">
        <f>SUM(K998:K1009)</f>
        <v>2978.4</v>
      </c>
    </row>
    <row r="1010" s="2" customFormat="1" spans="1:15">
      <c r="A1010" s="126"/>
      <c r="B1010" s="418"/>
      <c r="C1010" s="126"/>
      <c r="D1010" s="126"/>
      <c r="E1010" s="126"/>
      <c r="F1010" s="131"/>
      <c r="G1010" s="134"/>
      <c r="H1010" s="134"/>
      <c r="I1010" s="136"/>
      <c r="J1010" s="135"/>
      <c r="K1010" s="135"/>
      <c r="L1010" s="131"/>
    </row>
    <row r="1011" s="1" customFormat="1" spans="1:15">
      <c r="A1011" s="51">
        <v>45707</v>
      </c>
      <c r="B1011" s="110" t="s">
        <v>747</v>
      </c>
      <c r="C1011" s="51">
        <v>45676</v>
      </c>
      <c r="D1011" s="51"/>
      <c r="E1011" s="51"/>
      <c r="F1011" s="110" t="s">
        <v>743</v>
      </c>
      <c r="G1011" s="107">
        <v>1</v>
      </c>
      <c r="H1011" s="107">
        <v>230</v>
      </c>
      <c r="I1011" s="108">
        <f t="shared" ref="I1011:I1017" si="118">G1011*H1011</f>
        <v>230</v>
      </c>
      <c r="J1011" s="109">
        <v>13.5</v>
      </c>
      <c r="K1011" s="109"/>
      <c r="L1011" s="110"/>
      <c r="M1011" s="110"/>
      <c r="N1011" s="107"/>
      <c r="O1011" s="1">
        <v>126</v>
      </c>
    </row>
    <row r="1012" s="1" customFormat="1" spans="1:15">
      <c r="A1012" s="51">
        <v>45707</v>
      </c>
      <c r="B1012" s="110" t="s">
        <v>747</v>
      </c>
      <c r="C1012" s="51">
        <v>45676</v>
      </c>
      <c r="D1012" s="51"/>
      <c r="E1012" s="51"/>
      <c r="F1012" s="110" t="s">
        <v>404</v>
      </c>
      <c r="G1012" s="107">
        <v>1</v>
      </c>
      <c r="H1012" s="107">
        <v>95</v>
      </c>
      <c r="I1012" s="108">
        <f t="shared" si="118"/>
        <v>95</v>
      </c>
      <c r="J1012" s="109">
        <v>12.2</v>
      </c>
      <c r="K1012" s="109"/>
      <c r="L1012" s="110"/>
      <c r="M1012" s="110"/>
      <c r="N1012" s="107"/>
    </row>
    <row r="1013" s="1" customFormat="1" spans="1:15">
      <c r="A1013" s="51">
        <v>45707</v>
      </c>
      <c r="B1013" s="110" t="s">
        <v>747</v>
      </c>
      <c r="C1013" s="51">
        <v>45676</v>
      </c>
      <c r="D1013" s="51"/>
      <c r="E1013" s="51"/>
      <c r="F1013" s="110" t="s">
        <v>120</v>
      </c>
      <c r="G1013" s="107">
        <v>1</v>
      </c>
      <c r="H1013" s="107">
        <v>18</v>
      </c>
      <c r="I1013" s="108">
        <f t="shared" si="118"/>
        <v>18</v>
      </c>
      <c r="J1013" s="109">
        <v>21</v>
      </c>
      <c r="K1013" s="109">
        <f>I1013*J1013</f>
        <v>378</v>
      </c>
      <c r="L1013" s="110"/>
      <c r="M1013" s="110"/>
      <c r="N1013" s="111"/>
    </row>
    <row r="1014" s="1" customFormat="1" spans="1:15">
      <c r="A1014" s="51">
        <v>45707</v>
      </c>
      <c r="B1014" s="110" t="s">
        <v>747</v>
      </c>
      <c r="C1014" s="51">
        <v>45676</v>
      </c>
      <c r="D1014" s="51"/>
      <c r="E1014" s="51"/>
      <c r="F1014" s="110" t="s">
        <v>310</v>
      </c>
      <c r="G1014" s="107">
        <v>1</v>
      </c>
      <c r="H1014" s="107">
        <v>60</v>
      </c>
      <c r="I1014" s="108">
        <f t="shared" si="118"/>
        <v>60</v>
      </c>
      <c r="J1014" s="109">
        <v>0.6</v>
      </c>
      <c r="K1014" s="109">
        <f>I1014*J1014</f>
        <v>36</v>
      </c>
      <c r="L1014" s="110"/>
      <c r="M1014" s="137" t="s">
        <v>748</v>
      </c>
      <c r="N1014" s="111"/>
    </row>
    <row r="1015" s="1" customFormat="1" spans="1:15">
      <c r="A1015" s="51">
        <v>45707</v>
      </c>
      <c r="B1015" s="110" t="s">
        <v>747</v>
      </c>
      <c r="C1015" s="51">
        <v>45676</v>
      </c>
      <c r="D1015" s="51"/>
      <c r="E1015" s="51"/>
      <c r="F1015" s="110" t="s">
        <v>311</v>
      </c>
      <c r="G1015" s="107">
        <v>1</v>
      </c>
      <c r="H1015" s="107">
        <v>295</v>
      </c>
      <c r="I1015" s="108">
        <f t="shared" si="118"/>
        <v>295</v>
      </c>
      <c r="J1015" s="109">
        <v>7.8</v>
      </c>
      <c r="K1015" s="109">
        <f>I1015*J1015</f>
        <v>2301</v>
      </c>
      <c r="L1015" s="131" t="s">
        <v>749</v>
      </c>
      <c r="M1015" s="110" t="s">
        <v>321</v>
      </c>
      <c r="N1015" s="111"/>
    </row>
    <row r="1016" s="1" customFormat="1" spans="1:15">
      <c r="A1016" s="51">
        <v>45707</v>
      </c>
      <c r="B1016" s="110" t="s">
        <v>747</v>
      </c>
      <c r="C1016" s="51">
        <v>45676</v>
      </c>
      <c r="D1016" s="51"/>
      <c r="E1016" s="51"/>
      <c r="F1016" s="110" t="s">
        <v>312</v>
      </c>
      <c r="G1016" s="107">
        <v>1</v>
      </c>
      <c r="H1016" s="107">
        <v>185</v>
      </c>
      <c r="I1016" s="108">
        <f t="shared" si="118"/>
        <v>185</v>
      </c>
      <c r="J1016" s="109">
        <v>3.7</v>
      </c>
      <c r="K1016" s="109">
        <f>I1016*J1016</f>
        <v>684.5</v>
      </c>
      <c r="L1016" s="110"/>
      <c r="M1016" s="110" t="s">
        <v>346</v>
      </c>
      <c r="N1016" s="111"/>
    </row>
    <row r="1017" s="1" customFormat="1" spans="1:15">
      <c r="A1017" s="51">
        <v>45707</v>
      </c>
      <c r="B1017" s="110" t="s">
        <v>747</v>
      </c>
      <c r="C1017" s="51">
        <v>45676</v>
      </c>
      <c r="D1017" s="51"/>
      <c r="E1017" s="51"/>
      <c r="F1017" s="110" t="s">
        <v>313</v>
      </c>
      <c r="G1017" s="107">
        <v>1</v>
      </c>
      <c r="H1017" s="107">
        <v>7</v>
      </c>
      <c r="I1017" s="108">
        <f t="shared" si="118"/>
        <v>7</v>
      </c>
      <c r="J1017" s="109">
        <v>45</v>
      </c>
      <c r="K1017" s="109">
        <f t="shared" ref="K1017:K1022" si="119">I1017*J1017</f>
        <v>315</v>
      </c>
      <c r="L1017" s="110"/>
      <c r="M1017" s="110"/>
      <c r="N1017" s="110"/>
    </row>
    <row r="1018" s="1" customFormat="1" spans="1:15">
      <c r="A1018" s="51">
        <v>45707</v>
      </c>
      <c r="B1018" s="110" t="s">
        <v>747</v>
      </c>
      <c r="C1018" s="51">
        <v>45676</v>
      </c>
      <c r="D1018" s="51"/>
      <c r="E1018" s="51"/>
      <c r="F1018" s="110" t="s">
        <v>309</v>
      </c>
      <c r="G1018" s="107">
        <v>1</v>
      </c>
      <c r="H1018" s="107">
        <v>45</v>
      </c>
      <c r="I1018" s="108">
        <f t="shared" ref="I1017:I1042" si="120">G1018*H1018</f>
        <v>45</v>
      </c>
      <c r="J1018" s="109">
        <v>18</v>
      </c>
      <c r="K1018" s="109">
        <f t="shared" si="119"/>
        <v>810</v>
      </c>
      <c r="L1018" s="257" t="s">
        <v>750</v>
      </c>
      <c r="M1018" s="110"/>
      <c r="N1018" s="110"/>
    </row>
    <row r="1019" s="1" customFormat="1" spans="1:15">
      <c r="A1019" s="51">
        <v>45707</v>
      </c>
      <c r="B1019" s="110" t="s">
        <v>747</v>
      </c>
      <c r="C1019" s="51">
        <v>45676</v>
      </c>
      <c r="D1019" s="51"/>
      <c r="E1019" s="51"/>
      <c r="F1019" s="110" t="s">
        <v>751</v>
      </c>
      <c r="G1019" s="107">
        <v>1</v>
      </c>
      <c r="H1019" s="107">
        <f>SUM(H1011:H1018)</f>
        <v>935</v>
      </c>
      <c r="I1019" s="108">
        <f t="shared" si="120"/>
        <v>935</v>
      </c>
      <c r="J1019" s="109">
        <v>2</v>
      </c>
      <c r="K1019" s="109">
        <f t="shared" si="119"/>
        <v>1870</v>
      </c>
      <c r="L1019" s="110"/>
      <c r="M1019" s="110"/>
      <c r="N1019" s="111"/>
    </row>
    <row r="1020" s="1" customFormat="1" spans="1:15">
      <c r="A1020" s="51">
        <v>45707</v>
      </c>
      <c r="B1020" s="110" t="s">
        <v>747</v>
      </c>
      <c r="C1020" s="51">
        <v>45676</v>
      </c>
      <c r="D1020" s="51"/>
      <c r="E1020" s="51"/>
      <c r="F1020" s="110" t="s">
        <v>316</v>
      </c>
      <c r="G1020" s="107">
        <v>49</v>
      </c>
      <c r="H1020" s="107">
        <v>1</v>
      </c>
      <c r="I1020" s="108">
        <f t="shared" si="120"/>
        <v>49</v>
      </c>
      <c r="J1020" s="109">
        <v>12.5</v>
      </c>
      <c r="K1020" s="109">
        <f t="shared" si="119"/>
        <v>612.5</v>
      </c>
      <c r="L1020" s="110">
        <f>SUM(K1011:K1020)</f>
        <v>7007</v>
      </c>
      <c r="M1020" s="110"/>
      <c r="N1020" s="111"/>
    </row>
    <row r="1021" s="2" customFormat="1" spans="1:15">
      <c r="A1021" s="126">
        <v>45707</v>
      </c>
      <c r="B1021" s="131" t="s">
        <v>752</v>
      </c>
      <c r="C1021" s="126">
        <v>45676</v>
      </c>
      <c r="D1021" s="126"/>
      <c r="E1021" s="126"/>
      <c r="F1021" s="131" t="s">
        <v>753</v>
      </c>
      <c r="G1021" s="134">
        <v>1</v>
      </c>
      <c r="H1021" s="134">
        <v>65</v>
      </c>
      <c r="I1021" s="136">
        <f t="shared" si="120"/>
        <v>65</v>
      </c>
      <c r="J1021" s="135">
        <v>13.5</v>
      </c>
      <c r="K1021" s="135"/>
      <c r="L1021" s="131"/>
      <c r="M1021" s="131"/>
      <c r="N1021" s="134"/>
      <c r="O1021" s="2">
        <v>126</v>
      </c>
    </row>
    <row r="1022" s="2" customFormat="1" spans="1:15">
      <c r="A1022" s="126">
        <v>45707</v>
      </c>
      <c r="B1022" s="131" t="s">
        <v>752</v>
      </c>
      <c r="C1022" s="126">
        <v>45676</v>
      </c>
      <c r="D1022" s="126"/>
      <c r="E1022" s="126"/>
      <c r="F1022" s="131" t="s">
        <v>404</v>
      </c>
      <c r="G1022" s="134">
        <v>1</v>
      </c>
      <c r="H1022" s="134">
        <v>13</v>
      </c>
      <c r="I1022" s="136">
        <f t="shared" si="120"/>
        <v>13</v>
      </c>
      <c r="J1022" s="135">
        <v>12.2</v>
      </c>
      <c r="K1022" s="135"/>
      <c r="L1022" s="131"/>
      <c r="M1022" s="131"/>
      <c r="N1022" s="134"/>
    </row>
    <row r="1023" s="2" customFormat="1" spans="1:15">
      <c r="A1023" s="126">
        <v>45707</v>
      </c>
      <c r="B1023" s="131" t="s">
        <v>752</v>
      </c>
      <c r="C1023" s="126">
        <v>45676</v>
      </c>
      <c r="D1023" s="126"/>
      <c r="E1023" s="126"/>
      <c r="F1023" s="131" t="s">
        <v>120</v>
      </c>
      <c r="G1023" s="134">
        <v>1</v>
      </c>
      <c r="H1023" s="134">
        <v>5</v>
      </c>
      <c r="I1023" s="136">
        <f t="shared" si="120"/>
        <v>5</v>
      </c>
      <c r="J1023" s="135">
        <v>21</v>
      </c>
      <c r="K1023" s="135">
        <f t="shared" ref="K1023:K1040" si="121">I1023*J1023</f>
        <v>105</v>
      </c>
      <c r="L1023" s="131" t="s">
        <v>749</v>
      </c>
      <c r="M1023" s="131"/>
      <c r="N1023" s="132"/>
    </row>
    <row r="1024" s="2" customFormat="1" spans="1:15">
      <c r="A1024" s="126">
        <v>45707</v>
      </c>
      <c r="B1024" s="131" t="s">
        <v>752</v>
      </c>
      <c r="C1024" s="126">
        <v>45676</v>
      </c>
      <c r="D1024" s="126"/>
      <c r="E1024" s="126"/>
      <c r="F1024" s="131" t="s">
        <v>310</v>
      </c>
      <c r="G1024" s="134">
        <v>1</v>
      </c>
      <c r="H1024" s="134">
        <v>15</v>
      </c>
      <c r="I1024" s="136">
        <f t="shared" si="120"/>
        <v>15</v>
      </c>
      <c r="J1024" s="135">
        <v>0.6</v>
      </c>
      <c r="K1024" s="135">
        <f t="shared" si="121"/>
        <v>9</v>
      </c>
      <c r="L1024" s="131"/>
      <c r="M1024" s="131"/>
      <c r="N1024" s="132"/>
    </row>
    <row r="1025" s="2" customFormat="1" spans="1:15">
      <c r="A1025" s="126">
        <v>45707</v>
      </c>
      <c r="B1025" s="131" t="s">
        <v>752</v>
      </c>
      <c r="C1025" s="126">
        <v>45676</v>
      </c>
      <c r="D1025" s="126"/>
      <c r="E1025" s="126"/>
      <c r="F1025" s="131" t="s">
        <v>311</v>
      </c>
      <c r="G1025" s="134">
        <v>1</v>
      </c>
      <c r="H1025" s="134">
        <v>73</v>
      </c>
      <c r="I1025" s="136">
        <f t="shared" si="120"/>
        <v>73</v>
      </c>
      <c r="J1025" s="135">
        <v>7.8</v>
      </c>
      <c r="K1025" s="135">
        <f t="shared" si="121"/>
        <v>569.4</v>
      </c>
      <c r="L1025" s="131"/>
      <c r="M1025" s="131" t="s">
        <v>321</v>
      </c>
      <c r="N1025" s="132"/>
    </row>
    <row r="1026" s="2" customFormat="1" spans="1:15">
      <c r="A1026" s="126">
        <v>45707</v>
      </c>
      <c r="B1026" s="131" t="s">
        <v>752</v>
      </c>
      <c r="C1026" s="126">
        <v>45676</v>
      </c>
      <c r="D1026" s="126"/>
      <c r="E1026" s="126"/>
      <c r="F1026" s="131" t="s">
        <v>312</v>
      </c>
      <c r="G1026" s="134">
        <v>1</v>
      </c>
      <c r="H1026" s="134">
        <v>40</v>
      </c>
      <c r="I1026" s="136">
        <f t="shared" si="120"/>
        <v>40</v>
      </c>
      <c r="J1026" s="135">
        <v>3.7</v>
      </c>
      <c r="K1026" s="135">
        <f t="shared" si="121"/>
        <v>148</v>
      </c>
      <c r="L1026" s="131"/>
      <c r="M1026" s="131" t="s">
        <v>346</v>
      </c>
      <c r="N1026" s="132"/>
    </row>
    <row r="1027" s="2" customFormat="1" spans="1:15">
      <c r="A1027" s="126">
        <v>45707</v>
      </c>
      <c r="B1027" s="131" t="s">
        <v>752</v>
      </c>
      <c r="C1027" s="126">
        <v>45676</v>
      </c>
      <c r="D1027" s="126"/>
      <c r="E1027" s="126"/>
      <c r="F1027" s="137" t="s">
        <v>754</v>
      </c>
      <c r="G1027" s="134">
        <v>1</v>
      </c>
      <c r="H1027" s="262">
        <v>9</v>
      </c>
      <c r="I1027" s="136">
        <f t="shared" si="120"/>
        <v>9</v>
      </c>
      <c r="J1027" s="135">
        <v>6.5</v>
      </c>
      <c r="K1027" s="135">
        <f t="shared" si="121"/>
        <v>58.5</v>
      </c>
      <c r="L1027" s="131"/>
      <c r="M1027" s="137" t="s">
        <v>755</v>
      </c>
      <c r="N1027" s="132"/>
    </row>
    <row r="1028" s="2" customFormat="1" spans="1:15">
      <c r="A1028" s="126">
        <v>45707</v>
      </c>
      <c r="B1028" s="131" t="s">
        <v>752</v>
      </c>
      <c r="C1028" s="126">
        <v>45676</v>
      </c>
      <c r="D1028" s="126"/>
      <c r="E1028" s="126"/>
      <c r="F1028" s="131" t="s">
        <v>323</v>
      </c>
      <c r="G1028" s="134">
        <v>1</v>
      </c>
      <c r="H1028" s="134">
        <v>2.5</v>
      </c>
      <c r="I1028" s="136">
        <f t="shared" si="120"/>
        <v>2.5</v>
      </c>
      <c r="J1028" s="135">
        <v>18</v>
      </c>
      <c r="K1028" s="135">
        <f t="shared" si="121"/>
        <v>45</v>
      </c>
      <c r="L1028" s="131"/>
      <c r="M1028" s="131"/>
      <c r="N1028" s="131"/>
    </row>
    <row r="1029" s="2" customFormat="1" spans="1:15">
      <c r="A1029" s="126">
        <v>45707</v>
      </c>
      <c r="B1029" s="131" t="s">
        <v>752</v>
      </c>
      <c r="C1029" s="126">
        <v>45676</v>
      </c>
      <c r="D1029" s="126"/>
      <c r="E1029" s="126"/>
      <c r="F1029" s="131" t="s">
        <v>625</v>
      </c>
      <c r="G1029" s="134">
        <v>1</v>
      </c>
      <c r="H1029" s="134">
        <v>25</v>
      </c>
      <c r="I1029" s="136">
        <f t="shared" si="120"/>
        <v>25</v>
      </c>
      <c r="J1029" s="135">
        <v>12</v>
      </c>
      <c r="K1029" s="135"/>
      <c r="L1029" s="256" t="s">
        <v>756</v>
      </c>
      <c r="M1029" s="131"/>
      <c r="N1029" s="131"/>
    </row>
    <row r="1030" s="2" customFormat="1" spans="1:15">
      <c r="A1030" s="126">
        <v>45707</v>
      </c>
      <c r="B1030" s="131" t="s">
        <v>752</v>
      </c>
      <c r="C1030" s="126">
        <v>45676</v>
      </c>
      <c r="D1030" s="126"/>
      <c r="E1030" s="126"/>
      <c r="F1030" s="131" t="s">
        <v>757</v>
      </c>
      <c r="G1030" s="134">
        <v>1</v>
      </c>
      <c r="H1030" s="134">
        <f>SUM(H1021:H1029)</f>
        <v>247.5</v>
      </c>
      <c r="I1030" s="136">
        <f t="shared" si="120"/>
        <v>247.5</v>
      </c>
      <c r="J1030" s="135">
        <v>2</v>
      </c>
      <c r="K1030" s="135">
        <f t="shared" si="121"/>
        <v>495</v>
      </c>
      <c r="L1030" s="131"/>
      <c r="M1030" s="131"/>
      <c r="N1030" s="132"/>
    </row>
    <row r="1031" s="2" customFormat="1" spans="1:15">
      <c r="A1031" s="126">
        <v>45707</v>
      </c>
      <c r="B1031" s="131" t="s">
        <v>752</v>
      </c>
      <c r="C1031" s="126">
        <v>45676</v>
      </c>
      <c r="D1031" s="126"/>
      <c r="E1031" s="126"/>
      <c r="F1031" s="131" t="s">
        <v>316</v>
      </c>
      <c r="G1031" s="134">
        <v>13</v>
      </c>
      <c r="H1031" s="134">
        <v>1</v>
      </c>
      <c r="I1031" s="136">
        <f t="shared" si="120"/>
        <v>13</v>
      </c>
      <c r="J1031" s="135">
        <v>12.5</v>
      </c>
      <c r="K1031" s="135">
        <f t="shared" si="121"/>
        <v>162.5</v>
      </c>
      <c r="L1031" s="131">
        <f>SUM(K1021:K1031)</f>
        <v>1592.4</v>
      </c>
      <c r="M1031" s="131"/>
      <c r="N1031" s="132"/>
    </row>
    <row r="1032" s="1" customFormat="1" spans="1:15">
      <c r="A1032" s="51">
        <v>45707</v>
      </c>
      <c r="B1032" s="110" t="s">
        <v>758</v>
      </c>
      <c r="C1032" s="51">
        <v>45706</v>
      </c>
      <c r="D1032" s="51"/>
      <c r="E1032" s="51"/>
      <c r="F1032" s="110" t="s">
        <v>743</v>
      </c>
      <c r="G1032" s="107">
        <v>1</v>
      </c>
      <c r="H1032" s="107">
        <v>46</v>
      </c>
      <c r="I1032" s="108">
        <f t="shared" si="120"/>
        <v>46</v>
      </c>
      <c r="J1032" s="109">
        <v>13.5</v>
      </c>
      <c r="K1032" s="109"/>
      <c r="L1032" s="110"/>
      <c r="M1032" s="110"/>
      <c r="N1032" s="107"/>
      <c r="O1032" s="1">
        <v>126</v>
      </c>
    </row>
    <row r="1033" s="1" customFormat="1" spans="1:15">
      <c r="A1033" s="51">
        <v>45707</v>
      </c>
      <c r="B1033" s="110" t="s">
        <v>758</v>
      </c>
      <c r="C1033" s="51">
        <v>45706</v>
      </c>
      <c r="D1033" s="51"/>
      <c r="E1033" s="51"/>
      <c r="F1033" s="110" t="s">
        <v>404</v>
      </c>
      <c r="G1033" s="107">
        <v>1</v>
      </c>
      <c r="H1033" s="107">
        <v>13</v>
      </c>
      <c r="I1033" s="108">
        <f t="shared" si="120"/>
        <v>13</v>
      </c>
      <c r="J1033" s="109">
        <v>12.2</v>
      </c>
      <c r="K1033" s="109"/>
      <c r="L1033" s="110"/>
      <c r="M1033" s="110"/>
      <c r="N1033" s="107"/>
    </row>
    <row r="1034" s="1" customFormat="1" spans="1:15">
      <c r="A1034" s="51">
        <v>45707</v>
      </c>
      <c r="B1034" s="110" t="s">
        <v>758</v>
      </c>
      <c r="C1034" s="51">
        <v>45706</v>
      </c>
      <c r="D1034" s="51"/>
      <c r="E1034" s="51"/>
      <c r="F1034" s="110" t="s">
        <v>120</v>
      </c>
      <c r="G1034" s="107">
        <v>1</v>
      </c>
      <c r="H1034" s="107">
        <v>3.5</v>
      </c>
      <c r="I1034" s="108">
        <f t="shared" si="120"/>
        <v>3.5</v>
      </c>
      <c r="J1034" s="109">
        <v>21</v>
      </c>
      <c r="K1034" s="109">
        <f t="shared" si="121"/>
        <v>73.5</v>
      </c>
      <c r="L1034" s="110" t="s">
        <v>759</v>
      </c>
      <c r="M1034" s="110"/>
      <c r="N1034" s="111"/>
    </row>
    <row r="1035" s="1" customFormat="1" spans="1:15">
      <c r="A1035" s="51">
        <v>45707</v>
      </c>
      <c r="B1035" s="110" t="s">
        <v>758</v>
      </c>
      <c r="C1035" s="51">
        <v>45706</v>
      </c>
      <c r="D1035" s="51"/>
      <c r="E1035" s="51"/>
      <c r="F1035" s="110" t="s">
        <v>310</v>
      </c>
      <c r="G1035" s="107">
        <v>1</v>
      </c>
      <c r="H1035" s="107">
        <v>17</v>
      </c>
      <c r="I1035" s="108">
        <f t="shared" si="120"/>
        <v>17</v>
      </c>
      <c r="J1035" s="109">
        <v>0.6</v>
      </c>
      <c r="K1035" s="109">
        <f t="shared" si="121"/>
        <v>10.2</v>
      </c>
      <c r="L1035" s="110"/>
      <c r="M1035" s="110"/>
      <c r="N1035" s="111"/>
    </row>
    <row r="1036" s="1" customFormat="1" spans="1:15">
      <c r="A1036" s="51">
        <v>45707</v>
      </c>
      <c r="B1036" s="110" t="s">
        <v>758</v>
      </c>
      <c r="C1036" s="51">
        <v>45706</v>
      </c>
      <c r="D1036" s="51"/>
      <c r="E1036" s="51"/>
      <c r="F1036" s="110" t="s">
        <v>311</v>
      </c>
      <c r="G1036" s="107">
        <v>1</v>
      </c>
      <c r="H1036" s="107">
        <v>46</v>
      </c>
      <c r="I1036" s="108">
        <f t="shared" si="120"/>
        <v>46</v>
      </c>
      <c r="J1036" s="109">
        <v>7.8</v>
      </c>
      <c r="K1036" s="109">
        <f t="shared" si="121"/>
        <v>358.8</v>
      </c>
      <c r="L1036" s="110"/>
      <c r="M1036" s="110" t="s">
        <v>321</v>
      </c>
      <c r="N1036" s="111"/>
    </row>
    <row r="1037" s="1" customFormat="1" spans="1:15">
      <c r="A1037" s="51">
        <v>45707</v>
      </c>
      <c r="B1037" s="110" t="s">
        <v>758</v>
      </c>
      <c r="C1037" s="51">
        <v>45706</v>
      </c>
      <c r="D1037" s="51"/>
      <c r="E1037" s="51"/>
      <c r="F1037" s="110" t="s">
        <v>312</v>
      </c>
      <c r="G1037" s="107">
        <v>1</v>
      </c>
      <c r="H1037" s="107">
        <v>33</v>
      </c>
      <c r="I1037" s="108">
        <f t="shared" si="120"/>
        <v>33</v>
      </c>
      <c r="J1037" s="109">
        <v>3.7</v>
      </c>
      <c r="K1037" s="109">
        <f t="shared" si="121"/>
        <v>122.1</v>
      </c>
      <c r="L1037" s="110" t="s">
        <v>760</v>
      </c>
      <c r="M1037" s="110" t="s">
        <v>346</v>
      </c>
      <c r="N1037" s="111"/>
    </row>
    <row r="1038" s="1" customFormat="1" spans="1:15">
      <c r="A1038" s="51">
        <v>45707</v>
      </c>
      <c r="B1038" s="110" t="s">
        <v>758</v>
      </c>
      <c r="C1038" s="51">
        <v>45706</v>
      </c>
      <c r="D1038" s="51"/>
      <c r="E1038" s="51"/>
      <c r="F1038" s="110" t="s">
        <v>309</v>
      </c>
      <c r="G1038" s="107">
        <v>1</v>
      </c>
      <c r="H1038" s="107">
        <v>27</v>
      </c>
      <c r="I1038" s="108">
        <f t="shared" si="120"/>
        <v>27</v>
      </c>
      <c r="J1038" s="109">
        <v>18</v>
      </c>
      <c r="K1038" s="109">
        <f t="shared" si="121"/>
        <v>486</v>
      </c>
      <c r="L1038" s="110"/>
      <c r="M1038" s="110" t="s">
        <v>380</v>
      </c>
      <c r="N1038" s="110"/>
    </row>
    <row r="1039" s="1" customFormat="1" spans="1:15">
      <c r="A1039" s="51">
        <v>45707</v>
      </c>
      <c r="B1039" s="110" t="s">
        <v>758</v>
      </c>
      <c r="C1039" s="51">
        <v>45706</v>
      </c>
      <c r="D1039" s="51"/>
      <c r="E1039" s="51"/>
      <c r="F1039" s="110" t="s">
        <v>761</v>
      </c>
      <c r="G1039" s="107">
        <v>1</v>
      </c>
      <c r="H1039" s="107">
        <f>SUM(H1032:H1038)</f>
        <v>185.5</v>
      </c>
      <c r="I1039" s="108">
        <f t="shared" si="120"/>
        <v>185.5</v>
      </c>
      <c r="J1039" s="109">
        <v>2</v>
      </c>
      <c r="K1039" s="109">
        <f t="shared" si="121"/>
        <v>371</v>
      </c>
      <c r="L1039" s="110"/>
      <c r="M1039" s="110"/>
      <c r="N1039" s="111"/>
    </row>
    <row r="1040" s="1" customFormat="1" spans="1:15">
      <c r="A1040" s="51">
        <v>45707</v>
      </c>
      <c r="B1040" s="110" t="s">
        <v>758</v>
      </c>
      <c r="C1040" s="51">
        <v>45706</v>
      </c>
      <c r="D1040" s="51"/>
      <c r="E1040" s="51"/>
      <c r="F1040" s="110" t="s">
        <v>316</v>
      </c>
      <c r="G1040" s="107">
        <v>10</v>
      </c>
      <c r="H1040" s="107">
        <v>1</v>
      </c>
      <c r="I1040" s="108">
        <f t="shared" si="120"/>
        <v>10</v>
      </c>
      <c r="J1040" s="109">
        <v>12.5</v>
      </c>
      <c r="K1040" s="109">
        <f t="shared" si="121"/>
        <v>125</v>
      </c>
      <c r="L1040" s="110">
        <f>SUM(K1032:K1040)</f>
        <v>1546.6</v>
      </c>
      <c r="M1040" s="110"/>
      <c r="N1040" s="111"/>
    </row>
    <row r="1041" s="2" customFormat="1" spans="1:15">
      <c r="A1041" s="126">
        <v>45707</v>
      </c>
      <c r="B1041" s="131" t="s">
        <v>762</v>
      </c>
      <c r="C1041" s="126">
        <v>45706</v>
      </c>
      <c r="D1041" s="126"/>
      <c r="E1041" s="126"/>
      <c r="F1041" s="131" t="s">
        <v>743</v>
      </c>
      <c r="G1041" s="134">
        <v>1</v>
      </c>
      <c r="H1041" s="134">
        <v>110</v>
      </c>
      <c r="I1041" s="136">
        <f t="shared" si="120"/>
        <v>110</v>
      </c>
      <c r="J1041" s="135">
        <v>13.5</v>
      </c>
      <c r="K1041" s="135"/>
      <c r="L1041" s="131"/>
      <c r="M1041" s="131"/>
      <c r="N1041" s="134"/>
      <c r="O1041" s="2">
        <v>126</v>
      </c>
    </row>
    <row r="1042" s="2" customFormat="1" spans="1:15">
      <c r="A1042" s="126">
        <v>45707</v>
      </c>
      <c r="B1042" s="131" t="s">
        <v>762</v>
      </c>
      <c r="C1042" s="126">
        <v>45706</v>
      </c>
      <c r="D1042" s="126"/>
      <c r="E1042" s="126"/>
      <c r="F1042" s="131" t="s">
        <v>404</v>
      </c>
      <c r="G1042" s="134">
        <v>1</v>
      </c>
      <c r="H1042" s="134">
        <v>22</v>
      </c>
      <c r="I1042" s="136">
        <f t="shared" ref="I1042:I1057" si="122">G1042*H1042</f>
        <v>22</v>
      </c>
      <c r="J1042" s="135">
        <v>12.2</v>
      </c>
      <c r="K1042" s="135"/>
      <c r="L1042" s="131"/>
      <c r="M1042" s="131"/>
      <c r="N1042" s="134"/>
    </row>
    <row r="1043" s="2" customFormat="1" spans="1:15">
      <c r="A1043" s="126">
        <v>45707</v>
      </c>
      <c r="B1043" s="131" t="s">
        <v>762</v>
      </c>
      <c r="C1043" s="126">
        <v>45706</v>
      </c>
      <c r="D1043" s="126"/>
      <c r="E1043" s="126"/>
      <c r="F1043" s="131" t="s">
        <v>120</v>
      </c>
      <c r="G1043" s="134">
        <v>1</v>
      </c>
      <c r="H1043" s="134">
        <v>8</v>
      </c>
      <c r="I1043" s="136">
        <f t="shared" si="122"/>
        <v>8</v>
      </c>
      <c r="J1043" s="135">
        <v>21</v>
      </c>
      <c r="K1043" s="135">
        <f t="shared" ref="K1043:K1051" si="123">I1043*J1043</f>
        <v>168</v>
      </c>
      <c r="L1043" s="131"/>
      <c r="M1043" s="131"/>
      <c r="N1043" s="134"/>
      <c r="O1043" s="2">
        <v>6</v>
      </c>
    </row>
    <row r="1044" s="2" customFormat="1" spans="1:15">
      <c r="A1044" s="126">
        <v>45707</v>
      </c>
      <c r="B1044" s="131" t="s">
        <v>762</v>
      </c>
      <c r="C1044" s="126">
        <v>45706</v>
      </c>
      <c r="D1044" s="126"/>
      <c r="E1044" s="126"/>
      <c r="F1044" s="131" t="s">
        <v>310</v>
      </c>
      <c r="G1044" s="134">
        <v>1</v>
      </c>
      <c r="H1044" s="134">
        <v>48</v>
      </c>
      <c r="I1044" s="136">
        <f t="shared" si="122"/>
        <v>48</v>
      </c>
      <c r="J1044" s="135">
        <v>0.6</v>
      </c>
      <c r="K1044" s="135">
        <f t="shared" si="123"/>
        <v>28.8</v>
      </c>
      <c r="L1044" s="256" t="s">
        <v>763</v>
      </c>
      <c r="M1044" s="131"/>
      <c r="N1044" s="134"/>
      <c r="O1044" s="2">
        <v>36</v>
      </c>
    </row>
    <row r="1045" s="2" customFormat="1" spans="1:15">
      <c r="A1045" s="126">
        <v>45707</v>
      </c>
      <c r="B1045" s="131" t="s">
        <v>762</v>
      </c>
      <c r="C1045" s="126">
        <v>45706</v>
      </c>
      <c r="D1045" s="126"/>
      <c r="E1045" s="126"/>
      <c r="F1045" s="131" t="s">
        <v>311</v>
      </c>
      <c r="G1045" s="134">
        <v>1</v>
      </c>
      <c r="H1045" s="134">
        <v>110</v>
      </c>
      <c r="I1045" s="136">
        <f t="shared" si="122"/>
        <v>110</v>
      </c>
      <c r="J1045" s="135">
        <v>7.8</v>
      </c>
      <c r="K1045" s="135">
        <f t="shared" si="123"/>
        <v>858</v>
      </c>
      <c r="L1045" s="131" t="s">
        <v>321</v>
      </c>
      <c r="M1045" s="131"/>
      <c r="N1045" s="134"/>
      <c r="O1045" s="2">
        <v>117</v>
      </c>
    </row>
    <row r="1046" s="2" customFormat="1" spans="1:15">
      <c r="A1046" s="126">
        <v>45707</v>
      </c>
      <c r="B1046" s="131" t="s">
        <v>762</v>
      </c>
      <c r="C1046" s="126">
        <v>45706</v>
      </c>
      <c r="D1046" s="126"/>
      <c r="E1046" s="126"/>
      <c r="F1046" s="131" t="s">
        <v>312</v>
      </c>
      <c r="G1046" s="134">
        <v>1</v>
      </c>
      <c r="H1046" s="134">
        <v>75</v>
      </c>
      <c r="I1046" s="136">
        <f t="shared" si="122"/>
        <v>75</v>
      </c>
      <c r="J1046" s="135">
        <v>3.7</v>
      </c>
      <c r="K1046" s="135">
        <f t="shared" si="123"/>
        <v>277.5</v>
      </c>
      <c r="L1046" s="131" t="s">
        <v>346</v>
      </c>
      <c r="M1046" s="131"/>
      <c r="N1046" s="134"/>
      <c r="O1046" s="2">
        <v>133</v>
      </c>
    </row>
    <row r="1047" s="2" customFormat="1" spans="1:15">
      <c r="A1047" s="126">
        <v>45707</v>
      </c>
      <c r="B1047" s="131" t="s">
        <v>762</v>
      </c>
      <c r="C1047" s="126">
        <v>45706</v>
      </c>
      <c r="D1047" s="126"/>
      <c r="E1047" s="126"/>
      <c r="F1047" s="131" t="s">
        <v>125</v>
      </c>
      <c r="G1047" s="134">
        <v>1</v>
      </c>
      <c r="H1047" s="134">
        <v>10.5</v>
      </c>
      <c r="I1047" s="136">
        <f t="shared" si="122"/>
        <v>10.5</v>
      </c>
      <c r="J1047" s="135">
        <v>25</v>
      </c>
      <c r="K1047" s="135">
        <f t="shared" si="123"/>
        <v>262.5</v>
      </c>
      <c r="L1047" s="131" t="s">
        <v>745</v>
      </c>
      <c r="M1047" s="131" t="s">
        <v>717</v>
      </c>
      <c r="N1047" s="134"/>
      <c r="O1047" s="2">
        <v>3</v>
      </c>
    </row>
    <row r="1048" s="2" customFormat="1" spans="1:15">
      <c r="A1048" s="126">
        <v>45707</v>
      </c>
      <c r="B1048" s="131" t="s">
        <v>762</v>
      </c>
      <c r="C1048" s="126">
        <v>45706</v>
      </c>
      <c r="D1048" s="126"/>
      <c r="E1048" s="126"/>
      <c r="F1048" s="131" t="s">
        <v>313</v>
      </c>
      <c r="G1048" s="134">
        <v>1</v>
      </c>
      <c r="H1048" s="134">
        <v>6.5</v>
      </c>
      <c r="I1048" s="136">
        <f t="shared" si="122"/>
        <v>6.5</v>
      </c>
      <c r="J1048" s="135">
        <v>45</v>
      </c>
      <c r="K1048" s="135">
        <f t="shared" si="123"/>
        <v>292.5</v>
      </c>
      <c r="N1048" s="134"/>
      <c r="O1048" s="2">
        <v>3</v>
      </c>
    </row>
    <row r="1049" s="2" customFormat="1" spans="1:15">
      <c r="A1049" s="126">
        <v>45707</v>
      </c>
      <c r="B1049" s="131" t="s">
        <v>762</v>
      </c>
      <c r="C1049" s="126">
        <v>45706</v>
      </c>
      <c r="D1049" s="126"/>
      <c r="E1049" s="126"/>
      <c r="F1049" s="131" t="s">
        <v>309</v>
      </c>
      <c r="G1049" s="134">
        <v>1</v>
      </c>
      <c r="H1049" s="134">
        <v>10</v>
      </c>
      <c r="I1049" s="136">
        <f t="shared" si="122"/>
        <v>10</v>
      </c>
      <c r="J1049" s="135">
        <v>18</v>
      </c>
      <c r="K1049" s="135">
        <f t="shared" si="123"/>
        <v>180</v>
      </c>
      <c r="N1049" s="134"/>
      <c r="O1049" s="2">
        <v>5</v>
      </c>
    </row>
    <row r="1050" s="2" customFormat="1" spans="1:15">
      <c r="A1050" s="126">
        <v>45707</v>
      </c>
      <c r="B1050" s="131" t="s">
        <v>762</v>
      </c>
      <c r="C1050" s="126">
        <v>45706</v>
      </c>
      <c r="D1050" s="126"/>
      <c r="E1050" s="126"/>
      <c r="F1050" s="131" t="s">
        <v>715</v>
      </c>
      <c r="G1050" s="134">
        <v>1</v>
      </c>
      <c r="H1050" s="134">
        <f>SUM(H1041:H1049)</f>
        <v>400</v>
      </c>
      <c r="I1050" s="136">
        <f t="shared" si="122"/>
        <v>400</v>
      </c>
      <c r="J1050" s="135">
        <v>2</v>
      </c>
      <c r="K1050" s="135">
        <f t="shared" si="123"/>
        <v>800</v>
      </c>
      <c r="N1050" s="134"/>
      <c r="O1050" s="2">
        <v>14</v>
      </c>
    </row>
    <row r="1051" s="2" customFormat="1" spans="1:15">
      <c r="A1051" s="126">
        <v>45707</v>
      </c>
      <c r="B1051" s="131" t="s">
        <v>762</v>
      </c>
      <c r="C1051" s="126">
        <v>45706</v>
      </c>
      <c r="D1051" s="126"/>
      <c r="E1051" s="126"/>
      <c r="F1051" s="131" t="s">
        <v>316</v>
      </c>
      <c r="G1051" s="134">
        <v>22</v>
      </c>
      <c r="H1051" s="134">
        <v>1</v>
      </c>
      <c r="I1051" s="136">
        <f t="shared" si="122"/>
        <v>22</v>
      </c>
      <c r="J1051" s="135">
        <v>12.5</v>
      </c>
      <c r="K1051" s="135">
        <f t="shared" si="123"/>
        <v>275</v>
      </c>
      <c r="L1051" s="2">
        <f>SUM(K1041:K1051)</f>
        <v>3142.3</v>
      </c>
      <c r="N1051" s="134"/>
    </row>
    <row r="1052" s="1" customFormat="1" spans="1:15">
      <c r="A1052" s="51">
        <v>45707</v>
      </c>
      <c r="B1052" s="110" t="s">
        <v>764</v>
      </c>
      <c r="C1052" s="51">
        <v>45706</v>
      </c>
      <c r="D1052" s="51"/>
      <c r="E1052" s="51"/>
      <c r="F1052" s="110" t="s">
        <v>743</v>
      </c>
      <c r="G1052" s="107">
        <v>1</v>
      </c>
      <c r="H1052" s="107">
        <v>55</v>
      </c>
      <c r="I1052" s="108">
        <f t="shared" si="122"/>
        <v>55</v>
      </c>
      <c r="J1052" s="109">
        <v>13.5</v>
      </c>
      <c r="K1052" s="109"/>
      <c r="L1052" s="110"/>
      <c r="M1052" s="110"/>
      <c r="N1052" s="107"/>
      <c r="O1052" s="1">
        <v>126</v>
      </c>
    </row>
    <row r="1053" s="1" customFormat="1" ht="21" customHeight="1" spans="1:15">
      <c r="A1053" s="51">
        <v>45707</v>
      </c>
      <c r="B1053" s="110" t="s">
        <v>764</v>
      </c>
      <c r="C1053" s="51">
        <v>45706</v>
      </c>
      <c r="D1053" s="51"/>
      <c r="E1053" s="51"/>
      <c r="F1053" s="110" t="s">
        <v>404</v>
      </c>
      <c r="G1053" s="107">
        <v>1</v>
      </c>
      <c r="H1053" s="107">
        <v>11</v>
      </c>
      <c r="I1053" s="108">
        <f t="shared" si="122"/>
        <v>11</v>
      </c>
      <c r="J1053" s="109">
        <v>12.2</v>
      </c>
      <c r="K1053" s="109"/>
      <c r="L1053" s="110"/>
      <c r="M1053" s="110"/>
      <c r="N1053" s="107"/>
    </row>
    <row r="1054" s="1" customFormat="1" spans="1:15">
      <c r="A1054" s="51">
        <v>45707</v>
      </c>
      <c r="B1054" s="110" t="s">
        <v>764</v>
      </c>
      <c r="C1054" s="51">
        <v>45706</v>
      </c>
      <c r="D1054" s="51"/>
      <c r="E1054" s="51"/>
      <c r="F1054" s="110" t="s">
        <v>120</v>
      </c>
      <c r="G1054" s="107">
        <v>1</v>
      </c>
      <c r="H1054" s="107">
        <v>4</v>
      </c>
      <c r="I1054" s="108">
        <f t="shared" si="122"/>
        <v>4</v>
      </c>
      <c r="J1054" s="109">
        <v>21</v>
      </c>
      <c r="K1054" s="109">
        <f t="shared" ref="K1054:K1062" si="124">I1054*J1054</f>
        <v>84</v>
      </c>
      <c r="L1054" s="110"/>
      <c r="M1054" s="110"/>
      <c r="N1054" s="111"/>
    </row>
    <row r="1055" s="1" customFormat="1" spans="1:15">
      <c r="A1055" s="51">
        <v>45707</v>
      </c>
      <c r="B1055" s="110" t="s">
        <v>764</v>
      </c>
      <c r="C1055" s="51">
        <v>45706</v>
      </c>
      <c r="D1055" s="51"/>
      <c r="E1055" s="51"/>
      <c r="F1055" s="110" t="s">
        <v>310</v>
      </c>
      <c r="G1055" s="107">
        <v>1</v>
      </c>
      <c r="H1055" s="107">
        <v>24</v>
      </c>
      <c r="I1055" s="108">
        <f t="shared" si="122"/>
        <v>24</v>
      </c>
      <c r="J1055" s="109">
        <v>0.6</v>
      </c>
      <c r="K1055" s="109">
        <f t="shared" si="124"/>
        <v>14.4</v>
      </c>
      <c r="L1055" s="110"/>
      <c r="M1055" s="110"/>
      <c r="N1055" s="111"/>
    </row>
    <row r="1056" s="1" customFormat="1" spans="1:15">
      <c r="A1056" s="51">
        <v>45707</v>
      </c>
      <c r="B1056" s="110" t="s">
        <v>764</v>
      </c>
      <c r="C1056" s="51">
        <v>45706</v>
      </c>
      <c r="D1056" s="51"/>
      <c r="E1056" s="51"/>
      <c r="F1056" s="110" t="s">
        <v>311</v>
      </c>
      <c r="G1056" s="107">
        <v>1</v>
      </c>
      <c r="H1056" s="107">
        <v>55</v>
      </c>
      <c r="I1056" s="108">
        <f t="shared" si="122"/>
        <v>55</v>
      </c>
      <c r="J1056" s="109">
        <v>7.8</v>
      </c>
      <c r="K1056" s="109">
        <f t="shared" si="124"/>
        <v>429</v>
      </c>
      <c r="L1056" s="110"/>
      <c r="M1056" s="110" t="s">
        <v>321</v>
      </c>
      <c r="N1056" s="111"/>
    </row>
    <row r="1057" s="1" customFormat="1" spans="1:15">
      <c r="A1057" s="51">
        <v>45707</v>
      </c>
      <c r="B1057" s="110" t="s">
        <v>764</v>
      </c>
      <c r="C1057" s="51">
        <v>45706</v>
      </c>
      <c r="D1057" s="51"/>
      <c r="E1057" s="51"/>
      <c r="F1057" s="110" t="s">
        <v>312</v>
      </c>
      <c r="G1057" s="107">
        <v>1</v>
      </c>
      <c r="H1057" s="107">
        <v>40</v>
      </c>
      <c r="I1057" s="108">
        <f t="shared" si="122"/>
        <v>40</v>
      </c>
      <c r="J1057" s="109">
        <v>3.7</v>
      </c>
      <c r="K1057" s="109">
        <f t="shared" si="124"/>
        <v>148</v>
      </c>
      <c r="L1057" s="110"/>
      <c r="M1057" s="110" t="s">
        <v>346</v>
      </c>
      <c r="N1057" s="111"/>
    </row>
    <row r="1058" s="1" customFormat="1" spans="1:15">
      <c r="A1058" s="51">
        <v>45707</v>
      </c>
      <c r="B1058" s="110" t="s">
        <v>764</v>
      </c>
      <c r="C1058" s="51">
        <v>45706</v>
      </c>
      <c r="D1058" s="51"/>
      <c r="E1058" s="51"/>
      <c r="F1058" s="110" t="s">
        <v>125</v>
      </c>
      <c r="G1058" s="107">
        <v>1</v>
      </c>
      <c r="H1058" s="107">
        <v>3.8</v>
      </c>
      <c r="I1058" s="108">
        <f t="shared" ref="I1058:I1085" si="125">G1058*H1058</f>
        <v>3.8</v>
      </c>
      <c r="J1058" s="109">
        <v>25</v>
      </c>
      <c r="K1058" s="109">
        <f t="shared" si="124"/>
        <v>95</v>
      </c>
      <c r="L1058" s="110"/>
      <c r="M1058" s="110" t="s">
        <v>737</v>
      </c>
      <c r="N1058" s="111"/>
    </row>
    <row r="1059" s="1" customFormat="1" spans="1:15">
      <c r="A1059" s="51">
        <v>45707</v>
      </c>
      <c r="B1059" s="110" t="s">
        <v>764</v>
      </c>
      <c r="C1059" s="51">
        <v>45706</v>
      </c>
      <c r="D1059" s="51"/>
      <c r="E1059" s="51"/>
      <c r="F1059" s="110" t="s">
        <v>313</v>
      </c>
      <c r="G1059" s="107">
        <v>1</v>
      </c>
      <c r="H1059" s="107">
        <v>2.2</v>
      </c>
      <c r="I1059" s="108">
        <f t="shared" si="125"/>
        <v>2.2</v>
      </c>
      <c r="J1059" s="109">
        <v>45</v>
      </c>
      <c r="K1059" s="109">
        <f t="shared" si="124"/>
        <v>99</v>
      </c>
      <c r="L1059" s="110"/>
      <c r="M1059" s="110" t="s">
        <v>717</v>
      </c>
      <c r="N1059" s="110"/>
    </row>
    <row r="1060" s="1" customFormat="1" spans="1:15">
      <c r="A1060" s="51">
        <v>45707</v>
      </c>
      <c r="B1060" s="110" t="s">
        <v>764</v>
      </c>
      <c r="C1060" s="51">
        <v>45706</v>
      </c>
      <c r="D1060" s="51"/>
      <c r="E1060" s="51"/>
      <c r="F1060" s="110" t="s">
        <v>309</v>
      </c>
      <c r="G1060" s="107">
        <v>1</v>
      </c>
      <c r="H1060" s="107">
        <v>5</v>
      </c>
      <c r="I1060" s="108">
        <f t="shared" si="125"/>
        <v>5</v>
      </c>
      <c r="J1060" s="109">
        <v>18</v>
      </c>
      <c r="K1060" s="109">
        <f t="shared" si="124"/>
        <v>90</v>
      </c>
      <c r="L1060" s="257" t="s">
        <v>756</v>
      </c>
      <c r="M1060" s="110"/>
      <c r="N1060" s="110"/>
    </row>
    <row r="1061" s="1" customFormat="1" spans="1:15">
      <c r="A1061" s="51">
        <v>45707</v>
      </c>
      <c r="B1061" s="110" t="s">
        <v>764</v>
      </c>
      <c r="C1061" s="51">
        <v>45706</v>
      </c>
      <c r="D1061" s="51"/>
      <c r="E1061" s="51"/>
      <c r="F1061" s="110" t="s">
        <v>720</v>
      </c>
      <c r="G1061" s="107">
        <v>1</v>
      </c>
      <c r="H1061" s="107">
        <f>SUM(H1052:H1060)</f>
        <v>200</v>
      </c>
      <c r="I1061" s="108">
        <f t="shared" si="125"/>
        <v>200</v>
      </c>
      <c r="J1061" s="109">
        <v>2</v>
      </c>
      <c r="K1061" s="109">
        <f t="shared" si="124"/>
        <v>400</v>
      </c>
      <c r="L1061" s="110"/>
      <c r="M1061" s="110"/>
      <c r="N1061" s="111"/>
    </row>
    <row r="1062" s="1" customFormat="1" spans="1:15">
      <c r="A1062" s="51">
        <v>45707</v>
      </c>
      <c r="B1062" s="110" t="s">
        <v>764</v>
      </c>
      <c r="C1062" s="51">
        <v>45706</v>
      </c>
      <c r="D1062" s="51"/>
      <c r="E1062" s="51"/>
      <c r="F1062" s="110" t="s">
        <v>316</v>
      </c>
      <c r="G1062" s="107">
        <v>11</v>
      </c>
      <c r="H1062" s="107">
        <v>1</v>
      </c>
      <c r="I1062" s="108">
        <f t="shared" si="125"/>
        <v>11</v>
      </c>
      <c r="J1062" s="109">
        <v>12.5</v>
      </c>
      <c r="K1062" s="109">
        <f t="shared" si="124"/>
        <v>137.5</v>
      </c>
      <c r="L1062" s="110">
        <f>SUM(K1052:K1062)</f>
        <v>1496.9</v>
      </c>
      <c r="M1062" s="110"/>
      <c r="N1062" s="111"/>
    </row>
    <row r="1063" s="2" customFormat="1" spans="1:15">
      <c r="A1063" s="126">
        <v>45707</v>
      </c>
      <c r="B1063" s="131" t="s">
        <v>765</v>
      </c>
      <c r="C1063" s="126">
        <v>45706</v>
      </c>
      <c r="D1063" s="126"/>
      <c r="E1063" s="126"/>
      <c r="F1063" s="131" t="s">
        <v>743</v>
      </c>
      <c r="G1063" s="134">
        <v>1</v>
      </c>
      <c r="H1063" s="134">
        <v>25</v>
      </c>
      <c r="I1063" s="136">
        <f t="shared" si="125"/>
        <v>25</v>
      </c>
      <c r="J1063" s="135">
        <v>13.5</v>
      </c>
      <c r="K1063" s="135"/>
      <c r="L1063" s="131"/>
      <c r="M1063" s="131"/>
      <c r="N1063" s="134"/>
      <c r="O1063" s="2">
        <v>126</v>
      </c>
    </row>
    <row r="1064" s="2" customFormat="1" spans="1:15">
      <c r="A1064" s="126">
        <v>45707</v>
      </c>
      <c r="B1064" s="131" t="s">
        <v>765</v>
      </c>
      <c r="C1064" s="126">
        <v>45706</v>
      </c>
      <c r="D1064" s="126"/>
      <c r="E1064" s="126"/>
      <c r="F1064" s="131" t="s">
        <v>404</v>
      </c>
      <c r="G1064" s="134">
        <v>1</v>
      </c>
      <c r="H1064" s="134">
        <v>5</v>
      </c>
      <c r="I1064" s="136">
        <f t="shared" si="125"/>
        <v>5</v>
      </c>
      <c r="J1064" s="135">
        <v>12.2</v>
      </c>
      <c r="K1064" s="135"/>
      <c r="L1064" s="131"/>
      <c r="M1064" s="131"/>
      <c r="N1064" s="134"/>
    </row>
    <row r="1065" s="2" customFormat="1" spans="1:15">
      <c r="A1065" s="126">
        <v>45707</v>
      </c>
      <c r="B1065" s="131" t="s">
        <v>765</v>
      </c>
      <c r="C1065" s="126">
        <v>45706</v>
      </c>
      <c r="D1065" s="126"/>
      <c r="E1065" s="126"/>
      <c r="F1065" s="131" t="s">
        <v>120</v>
      </c>
      <c r="G1065" s="134">
        <v>1</v>
      </c>
      <c r="H1065" s="134">
        <v>2</v>
      </c>
      <c r="I1065" s="136">
        <f t="shared" si="125"/>
        <v>2</v>
      </c>
      <c r="J1065" s="135">
        <v>21</v>
      </c>
      <c r="K1065" s="135">
        <f t="shared" ref="K1065:K1074" si="126">I1065*J1065</f>
        <v>42</v>
      </c>
      <c r="L1065" s="131" t="s">
        <v>759</v>
      </c>
      <c r="M1065" s="131"/>
      <c r="N1065" s="132"/>
    </row>
    <row r="1066" s="2" customFormat="1" spans="1:15">
      <c r="A1066" s="126">
        <v>45707</v>
      </c>
      <c r="B1066" s="131" t="s">
        <v>765</v>
      </c>
      <c r="C1066" s="126">
        <v>45706</v>
      </c>
      <c r="D1066" s="126"/>
      <c r="E1066" s="126"/>
      <c r="F1066" s="131" t="s">
        <v>310</v>
      </c>
      <c r="G1066" s="134">
        <v>1</v>
      </c>
      <c r="H1066" s="134">
        <v>11</v>
      </c>
      <c r="I1066" s="136">
        <f t="shared" si="125"/>
        <v>11</v>
      </c>
      <c r="J1066" s="135">
        <v>0.6</v>
      </c>
      <c r="K1066" s="135">
        <f t="shared" si="126"/>
        <v>6.6</v>
      </c>
      <c r="L1066" s="131"/>
      <c r="M1066" s="131"/>
      <c r="N1066" s="132"/>
    </row>
    <row r="1067" s="2" customFormat="1" spans="1:15">
      <c r="A1067" s="126">
        <v>45707</v>
      </c>
      <c r="B1067" s="131" t="s">
        <v>765</v>
      </c>
      <c r="C1067" s="126">
        <v>45706</v>
      </c>
      <c r="D1067" s="126"/>
      <c r="E1067" s="126"/>
      <c r="F1067" s="131" t="s">
        <v>311</v>
      </c>
      <c r="G1067" s="134">
        <v>1</v>
      </c>
      <c r="H1067" s="134">
        <v>26</v>
      </c>
      <c r="I1067" s="136">
        <f t="shared" si="125"/>
        <v>26</v>
      </c>
      <c r="J1067" s="135">
        <v>7.8</v>
      </c>
      <c r="K1067" s="135">
        <f t="shared" si="126"/>
        <v>202.8</v>
      </c>
      <c r="L1067" s="131"/>
      <c r="M1067" s="131" t="s">
        <v>321</v>
      </c>
      <c r="N1067" s="132"/>
    </row>
    <row r="1068" s="2" customFormat="1" spans="1:15">
      <c r="A1068" s="126">
        <v>45707</v>
      </c>
      <c r="B1068" s="131" t="s">
        <v>765</v>
      </c>
      <c r="C1068" s="126">
        <v>45706</v>
      </c>
      <c r="D1068" s="126"/>
      <c r="E1068" s="126"/>
      <c r="F1068" s="131" t="s">
        <v>312</v>
      </c>
      <c r="G1068" s="134">
        <v>1</v>
      </c>
      <c r="H1068" s="134">
        <v>19</v>
      </c>
      <c r="I1068" s="136">
        <f t="shared" si="125"/>
        <v>19</v>
      </c>
      <c r="J1068" s="135">
        <v>3.7</v>
      </c>
      <c r="K1068" s="135">
        <f t="shared" si="126"/>
        <v>70.3</v>
      </c>
      <c r="L1068" s="131"/>
      <c r="M1068" s="131" t="s">
        <v>346</v>
      </c>
      <c r="N1068" s="132"/>
    </row>
    <row r="1069" s="2" customFormat="1" spans="1:15">
      <c r="A1069" s="126">
        <v>45707</v>
      </c>
      <c r="B1069" s="131" t="s">
        <v>765</v>
      </c>
      <c r="C1069" s="126">
        <v>45706</v>
      </c>
      <c r="D1069" s="126"/>
      <c r="E1069" s="126"/>
      <c r="F1069" s="131" t="s">
        <v>309</v>
      </c>
      <c r="G1069" s="134">
        <v>1</v>
      </c>
      <c r="H1069" s="134">
        <v>3</v>
      </c>
      <c r="I1069" s="136">
        <f t="shared" si="125"/>
        <v>3</v>
      </c>
      <c r="J1069" s="135">
        <v>18</v>
      </c>
      <c r="K1069" s="135">
        <f t="shared" si="126"/>
        <v>54</v>
      </c>
      <c r="L1069" s="131"/>
      <c r="M1069" s="131" t="s">
        <v>380</v>
      </c>
      <c r="N1069" s="131"/>
    </row>
    <row r="1070" s="2" customFormat="1" spans="1:15">
      <c r="A1070" s="126">
        <v>45707</v>
      </c>
      <c r="B1070" s="131" t="s">
        <v>765</v>
      </c>
      <c r="C1070" s="126">
        <v>45706</v>
      </c>
      <c r="D1070" s="126"/>
      <c r="E1070" s="126"/>
      <c r="F1070" s="131" t="s">
        <v>323</v>
      </c>
      <c r="G1070" s="134">
        <v>1</v>
      </c>
      <c r="H1070" s="134">
        <v>13</v>
      </c>
      <c r="I1070" s="136">
        <f t="shared" si="125"/>
        <v>13</v>
      </c>
      <c r="J1070" s="135">
        <v>18</v>
      </c>
      <c r="K1070" s="135">
        <f t="shared" si="126"/>
        <v>234</v>
      </c>
      <c r="L1070" s="131"/>
      <c r="M1070" s="131"/>
      <c r="N1070" s="131"/>
    </row>
    <row r="1071" s="2" customFormat="1" spans="1:15">
      <c r="A1071" s="126">
        <v>45707</v>
      </c>
      <c r="B1071" s="131" t="s">
        <v>765</v>
      </c>
      <c r="C1071" s="126">
        <v>45706</v>
      </c>
      <c r="D1071" s="126"/>
      <c r="E1071" s="126"/>
      <c r="F1071" s="131" t="s">
        <v>351</v>
      </c>
      <c r="G1071" s="134">
        <v>1</v>
      </c>
      <c r="H1071" s="134">
        <v>3</v>
      </c>
      <c r="I1071" s="136">
        <f t="shared" si="125"/>
        <v>3</v>
      </c>
      <c r="J1071" s="135">
        <v>25</v>
      </c>
      <c r="K1071" s="135">
        <f t="shared" si="126"/>
        <v>75</v>
      </c>
      <c r="L1071" s="131"/>
      <c r="M1071" s="131"/>
      <c r="N1071" s="131"/>
    </row>
    <row r="1072" s="2" customFormat="1" spans="1:15">
      <c r="A1072" s="126">
        <v>45707</v>
      </c>
      <c r="B1072" s="131" t="s">
        <v>765</v>
      </c>
      <c r="C1072" s="126">
        <v>45706</v>
      </c>
      <c r="D1072" s="126"/>
      <c r="E1072" s="126"/>
      <c r="F1072" s="131" t="s">
        <v>432</v>
      </c>
      <c r="G1072" s="134">
        <v>1</v>
      </c>
      <c r="H1072" s="134">
        <v>0.5</v>
      </c>
      <c r="I1072" s="136">
        <f t="shared" si="125"/>
        <v>0.5</v>
      </c>
      <c r="J1072" s="135">
        <v>25</v>
      </c>
      <c r="K1072" s="135">
        <f t="shared" si="126"/>
        <v>12.5</v>
      </c>
      <c r="L1072" s="131"/>
      <c r="M1072" s="131"/>
      <c r="N1072" s="131"/>
    </row>
    <row r="1073" s="2" customFormat="1" spans="1:15">
      <c r="A1073" s="126">
        <v>45707</v>
      </c>
      <c r="B1073" s="131" t="s">
        <v>765</v>
      </c>
      <c r="C1073" s="126">
        <v>45706</v>
      </c>
      <c r="D1073" s="126"/>
      <c r="E1073" s="126"/>
      <c r="F1073" s="137" t="s">
        <v>766</v>
      </c>
      <c r="G1073" s="134">
        <v>1</v>
      </c>
      <c r="H1073" s="134">
        <f>SUM(H1063:H1069)</f>
        <v>91</v>
      </c>
      <c r="I1073" s="136">
        <f t="shared" si="125"/>
        <v>91</v>
      </c>
      <c r="J1073" s="135">
        <v>2</v>
      </c>
      <c r="K1073" s="135">
        <f t="shared" si="126"/>
        <v>182</v>
      </c>
      <c r="L1073" s="131"/>
      <c r="M1073" s="131"/>
      <c r="N1073" s="132"/>
    </row>
    <row r="1074" s="1" customFormat="1" spans="1:15">
      <c r="A1074" s="126">
        <v>45707</v>
      </c>
      <c r="B1074" s="131" t="s">
        <v>765</v>
      </c>
      <c r="C1074" s="126">
        <v>45706</v>
      </c>
      <c r="D1074" s="126"/>
      <c r="E1074" s="126"/>
      <c r="F1074" s="131" t="s">
        <v>316</v>
      </c>
      <c r="G1074" s="134">
        <v>5</v>
      </c>
      <c r="H1074" s="134">
        <v>1</v>
      </c>
      <c r="I1074" s="136">
        <f t="shared" si="125"/>
        <v>5</v>
      </c>
      <c r="J1074" s="135">
        <v>12.5</v>
      </c>
      <c r="K1074" s="135">
        <f t="shared" si="126"/>
        <v>62.5</v>
      </c>
      <c r="L1074" s="110">
        <f>SUM(K1063:K1074)</f>
        <v>941.7</v>
      </c>
      <c r="M1074" s="110"/>
      <c r="N1074" s="111"/>
    </row>
    <row r="1075" s="1" customFormat="1" spans="1:15">
      <c r="A1075" s="51">
        <v>45707</v>
      </c>
      <c r="B1075" s="110" t="s">
        <v>767</v>
      </c>
      <c r="C1075" s="51">
        <v>45706</v>
      </c>
      <c r="D1075" s="51"/>
      <c r="E1075" s="51"/>
      <c r="F1075" s="110" t="s">
        <v>743</v>
      </c>
      <c r="G1075" s="107">
        <v>1</v>
      </c>
      <c r="H1075" s="107">
        <v>20</v>
      </c>
      <c r="I1075" s="108">
        <f t="shared" si="125"/>
        <v>20</v>
      </c>
      <c r="J1075" s="109">
        <v>13.5</v>
      </c>
      <c r="K1075" s="109"/>
      <c r="L1075" s="110"/>
      <c r="M1075" s="110"/>
      <c r="N1075" s="107"/>
      <c r="O1075" s="1">
        <v>126</v>
      </c>
    </row>
    <row r="1076" s="1" customFormat="1" spans="1:15">
      <c r="A1076" s="51">
        <v>45707</v>
      </c>
      <c r="B1076" s="110" t="s">
        <v>767</v>
      </c>
      <c r="C1076" s="51">
        <v>45706</v>
      </c>
      <c r="D1076" s="51"/>
      <c r="E1076" s="51"/>
      <c r="F1076" s="110" t="s">
        <v>404</v>
      </c>
      <c r="G1076" s="107">
        <v>1</v>
      </c>
      <c r="H1076" s="107">
        <v>4</v>
      </c>
      <c r="I1076" s="108">
        <f t="shared" si="125"/>
        <v>4</v>
      </c>
      <c r="J1076" s="109">
        <v>12.2</v>
      </c>
      <c r="K1076" s="109"/>
      <c r="L1076" s="110"/>
      <c r="M1076" s="110"/>
      <c r="N1076" s="107"/>
    </row>
    <row r="1077" s="1" customFormat="1" spans="1:15">
      <c r="A1077" s="51">
        <v>45707</v>
      </c>
      <c r="B1077" s="110" t="s">
        <v>767</v>
      </c>
      <c r="C1077" s="51">
        <v>45706</v>
      </c>
      <c r="D1077" s="51"/>
      <c r="E1077" s="51"/>
      <c r="F1077" s="110" t="s">
        <v>120</v>
      </c>
      <c r="G1077" s="107">
        <v>1</v>
      </c>
      <c r="H1077" s="107">
        <v>1.6</v>
      </c>
      <c r="I1077" s="108">
        <f t="shared" si="125"/>
        <v>1.6</v>
      </c>
      <c r="J1077" s="109">
        <v>21</v>
      </c>
      <c r="K1077" s="109">
        <f t="shared" ref="K1077:K1088" si="127">I1077*J1077</f>
        <v>33.6</v>
      </c>
      <c r="L1077" s="110" t="s">
        <v>759</v>
      </c>
      <c r="M1077" s="110"/>
      <c r="N1077" s="111"/>
    </row>
    <row r="1078" s="1" customFormat="1" spans="1:15">
      <c r="A1078" s="51">
        <v>45707</v>
      </c>
      <c r="B1078" s="110" t="s">
        <v>767</v>
      </c>
      <c r="C1078" s="51">
        <v>45706</v>
      </c>
      <c r="D1078" s="51"/>
      <c r="E1078" s="51"/>
      <c r="F1078" s="110" t="s">
        <v>310</v>
      </c>
      <c r="G1078" s="107">
        <v>1</v>
      </c>
      <c r="H1078" s="107">
        <v>9</v>
      </c>
      <c r="I1078" s="108">
        <f t="shared" si="125"/>
        <v>9</v>
      </c>
      <c r="J1078" s="109">
        <v>0.6</v>
      </c>
      <c r="K1078" s="109">
        <f t="shared" si="127"/>
        <v>5.4</v>
      </c>
      <c r="L1078" s="110"/>
      <c r="M1078" s="110"/>
      <c r="N1078" s="111"/>
    </row>
    <row r="1079" s="1" customFormat="1" spans="1:15">
      <c r="A1079" s="51">
        <v>45707</v>
      </c>
      <c r="B1079" s="110" t="s">
        <v>767</v>
      </c>
      <c r="C1079" s="51">
        <v>45706</v>
      </c>
      <c r="D1079" s="51"/>
      <c r="E1079" s="51"/>
      <c r="F1079" s="110" t="s">
        <v>311</v>
      </c>
      <c r="G1079" s="107">
        <v>1</v>
      </c>
      <c r="H1079" s="107">
        <v>18</v>
      </c>
      <c r="I1079" s="108">
        <f t="shared" si="125"/>
        <v>18</v>
      </c>
      <c r="J1079" s="109">
        <v>7.8</v>
      </c>
      <c r="K1079" s="109">
        <f t="shared" si="127"/>
        <v>140.4</v>
      </c>
      <c r="L1079" s="110"/>
      <c r="M1079" s="110" t="s">
        <v>321</v>
      </c>
      <c r="N1079" s="111"/>
    </row>
    <row r="1080" s="1" customFormat="1" spans="1:15">
      <c r="A1080" s="51">
        <v>45707</v>
      </c>
      <c r="B1080" s="110" t="s">
        <v>767</v>
      </c>
      <c r="C1080" s="51">
        <v>45706</v>
      </c>
      <c r="D1080" s="51"/>
      <c r="E1080" s="51"/>
      <c r="F1080" s="110" t="s">
        <v>312</v>
      </c>
      <c r="G1080" s="107">
        <v>1</v>
      </c>
      <c r="H1080" s="107">
        <v>14</v>
      </c>
      <c r="I1080" s="108">
        <f t="shared" si="125"/>
        <v>14</v>
      </c>
      <c r="J1080" s="109">
        <v>3.7</v>
      </c>
      <c r="K1080" s="109">
        <f t="shared" si="127"/>
        <v>51.8</v>
      </c>
      <c r="L1080" s="110"/>
      <c r="M1080" s="110" t="s">
        <v>346</v>
      </c>
      <c r="N1080" s="111"/>
    </row>
    <row r="1081" s="1" customFormat="1" spans="1:15">
      <c r="A1081" s="51">
        <v>45707</v>
      </c>
      <c r="B1081" s="110" t="s">
        <v>767</v>
      </c>
      <c r="C1081" s="51">
        <v>45706</v>
      </c>
      <c r="D1081" s="51"/>
      <c r="E1081" s="51"/>
      <c r="F1081" s="110" t="s">
        <v>309</v>
      </c>
      <c r="G1081" s="107">
        <v>1</v>
      </c>
      <c r="H1081" s="107">
        <v>2.5</v>
      </c>
      <c r="I1081" s="108">
        <f t="shared" si="125"/>
        <v>2.5</v>
      </c>
      <c r="J1081" s="109">
        <v>18</v>
      </c>
      <c r="K1081" s="109">
        <f t="shared" si="127"/>
        <v>45</v>
      </c>
      <c r="L1081" s="110"/>
      <c r="M1081" s="110" t="s">
        <v>380</v>
      </c>
      <c r="N1081" s="110"/>
    </row>
    <row r="1082" s="1" customFormat="1" spans="1:15">
      <c r="A1082" s="51">
        <v>45707</v>
      </c>
      <c r="B1082" s="110" t="s">
        <v>767</v>
      </c>
      <c r="C1082" s="51">
        <v>45706</v>
      </c>
      <c r="D1082" s="51"/>
      <c r="E1082" s="51"/>
      <c r="F1082" s="110" t="s">
        <v>432</v>
      </c>
      <c r="G1082" s="107">
        <v>1</v>
      </c>
      <c r="H1082" s="107">
        <v>1</v>
      </c>
      <c r="I1082" s="108">
        <f t="shared" ref="I1082:I1087" si="128">G1082*H1082</f>
        <v>1</v>
      </c>
      <c r="J1082" s="109">
        <v>25</v>
      </c>
      <c r="K1082" s="109">
        <f t="shared" si="127"/>
        <v>25</v>
      </c>
      <c r="L1082" s="110"/>
      <c r="M1082" s="110"/>
      <c r="N1082" s="110"/>
    </row>
    <row r="1083" s="1" customFormat="1" spans="1:15">
      <c r="A1083" s="51">
        <v>45707</v>
      </c>
      <c r="B1083" s="110" t="s">
        <v>767</v>
      </c>
      <c r="C1083" s="51">
        <v>45706</v>
      </c>
      <c r="D1083" s="51"/>
      <c r="E1083" s="51"/>
      <c r="F1083" s="110" t="s">
        <v>385</v>
      </c>
      <c r="G1083" s="107">
        <v>1</v>
      </c>
      <c r="H1083" s="107">
        <v>1</v>
      </c>
      <c r="I1083" s="108">
        <f t="shared" si="128"/>
        <v>1</v>
      </c>
      <c r="J1083" s="109">
        <v>45</v>
      </c>
      <c r="K1083" s="109">
        <f t="shared" si="127"/>
        <v>45</v>
      </c>
      <c r="L1083" s="110"/>
      <c r="M1083" s="110"/>
      <c r="N1083" s="110"/>
    </row>
    <row r="1084" s="1" customFormat="1" spans="1:15">
      <c r="A1084" s="51">
        <v>45707</v>
      </c>
      <c r="B1084" s="110" t="s">
        <v>767</v>
      </c>
      <c r="C1084" s="51">
        <v>45706</v>
      </c>
      <c r="D1084" s="51"/>
      <c r="E1084" s="51"/>
      <c r="F1084" s="110" t="s">
        <v>351</v>
      </c>
      <c r="G1084" s="107">
        <v>1</v>
      </c>
      <c r="H1084" s="107">
        <v>1</v>
      </c>
      <c r="I1084" s="108">
        <f t="shared" si="128"/>
        <v>1</v>
      </c>
      <c r="J1084" s="109">
        <v>25</v>
      </c>
      <c r="K1084" s="109">
        <f t="shared" si="127"/>
        <v>25</v>
      </c>
      <c r="L1084" s="110"/>
      <c r="M1084" s="110"/>
      <c r="N1084" s="110"/>
    </row>
    <row r="1085" s="1" customFormat="1" spans="1:15">
      <c r="A1085" s="51">
        <v>45707</v>
      </c>
      <c r="B1085" s="110" t="s">
        <v>767</v>
      </c>
      <c r="C1085" s="51">
        <v>45706</v>
      </c>
      <c r="D1085" s="51"/>
      <c r="E1085" s="51"/>
      <c r="F1085" s="110" t="s">
        <v>768</v>
      </c>
      <c r="G1085" s="107">
        <v>1</v>
      </c>
      <c r="H1085" s="107">
        <v>3</v>
      </c>
      <c r="I1085" s="108">
        <f t="shared" si="128"/>
        <v>3</v>
      </c>
      <c r="J1085" s="109">
        <v>18</v>
      </c>
      <c r="K1085" s="109">
        <f t="shared" si="127"/>
        <v>54</v>
      </c>
      <c r="L1085" s="110"/>
      <c r="M1085" s="110"/>
      <c r="N1085" s="110"/>
    </row>
    <row r="1086" s="1" customFormat="1" spans="1:15">
      <c r="A1086" s="51">
        <v>45707</v>
      </c>
      <c r="B1086" s="110" t="s">
        <v>767</v>
      </c>
      <c r="C1086" s="51">
        <v>45706</v>
      </c>
      <c r="D1086" s="51"/>
      <c r="E1086" s="51"/>
      <c r="F1086" s="137" t="s">
        <v>769</v>
      </c>
      <c r="G1086" s="107">
        <v>1</v>
      </c>
      <c r="H1086" s="107">
        <f>SUM(H1075:H1085)</f>
        <v>75.1</v>
      </c>
      <c r="I1086" s="108">
        <f t="shared" si="128"/>
        <v>75.1</v>
      </c>
      <c r="J1086" s="109">
        <v>2</v>
      </c>
      <c r="K1086" s="109">
        <f t="shared" si="127"/>
        <v>150.2</v>
      </c>
      <c r="L1086" s="110"/>
      <c r="M1086" s="110"/>
      <c r="N1086" s="111"/>
    </row>
    <row r="1087" s="1" customFormat="1" spans="1:15">
      <c r="A1087" s="51">
        <v>45707</v>
      </c>
      <c r="B1087" s="110" t="s">
        <v>767</v>
      </c>
      <c r="C1087" s="51">
        <v>45706</v>
      </c>
      <c r="D1087" s="51"/>
      <c r="E1087" s="51"/>
      <c r="F1087" s="110" t="s">
        <v>316</v>
      </c>
      <c r="G1087" s="107">
        <v>4</v>
      </c>
      <c r="H1087" s="107">
        <v>1</v>
      </c>
      <c r="I1087" s="108">
        <f t="shared" si="128"/>
        <v>4</v>
      </c>
      <c r="J1087" s="109">
        <v>12.5</v>
      </c>
      <c r="K1087" s="109">
        <f t="shared" si="127"/>
        <v>50</v>
      </c>
      <c r="L1087" s="110">
        <f>SUM(K1075:K1087)</f>
        <v>625.4</v>
      </c>
      <c r="M1087" s="110"/>
      <c r="N1087" s="111"/>
    </row>
    <row r="1088" s="243" customFormat="1" spans="1:15">
      <c r="A1088" s="263">
        <v>45707</v>
      </c>
      <c r="B1088" s="131" t="s">
        <v>770</v>
      </c>
      <c r="C1088" s="258">
        <v>45707</v>
      </c>
      <c r="D1088" s="136"/>
      <c r="E1088" s="136"/>
      <c r="F1088" s="133" t="s">
        <v>308</v>
      </c>
      <c r="G1088" s="136">
        <v>1</v>
      </c>
      <c r="H1088" s="136">
        <v>12.5</v>
      </c>
      <c r="I1088" s="136">
        <f t="shared" ref="I1088:I1121" si="129">G1088*H1088</f>
        <v>12.5</v>
      </c>
      <c r="J1088" s="135">
        <v>13</v>
      </c>
      <c r="K1088" s="135">
        <f t="shared" si="127"/>
        <v>162.5</v>
      </c>
      <c r="L1088" s="264"/>
      <c r="M1088" s="264"/>
      <c r="N1088" s="131"/>
    </row>
    <row r="1089" s="243" customFormat="1" spans="1:15">
      <c r="A1089" s="263">
        <v>45707</v>
      </c>
      <c r="B1089" s="131" t="s">
        <v>770</v>
      </c>
      <c r="C1089" s="258">
        <v>45707</v>
      </c>
      <c r="D1089" s="136"/>
      <c r="E1089" s="136"/>
      <c r="F1089" s="133" t="s">
        <v>430</v>
      </c>
      <c r="G1089" s="136">
        <v>1</v>
      </c>
      <c r="H1089" s="136">
        <v>0.5</v>
      </c>
      <c r="I1089" s="136">
        <f t="shared" si="129"/>
        <v>0.5</v>
      </c>
      <c r="J1089" s="135">
        <v>26</v>
      </c>
      <c r="K1089" s="135">
        <f t="shared" ref="K1089:K1099" si="130">I1089*J1089</f>
        <v>13</v>
      </c>
      <c r="L1089" s="265" t="s">
        <v>439</v>
      </c>
      <c r="M1089" s="264"/>
      <c r="N1089" s="131"/>
    </row>
    <row r="1090" s="243" customFormat="1" spans="1:15">
      <c r="A1090" s="263">
        <v>45707</v>
      </c>
      <c r="B1090" s="131" t="s">
        <v>770</v>
      </c>
      <c r="C1090" s="258">
        <v>45707</v>
      </c>
      <c r="D1090" s="136"/>
      <c r="E1090" s="136"/>
      <c r="F1090" s="133" t="s">
        <v>434</v>
      </c>
      <c r="G1090" s="136">
        <v>1</v>
      </c>
      <c r="H1090" s="136">
        <v>2.5</v>
      </c>
      <c r="I1090" s="136">
        <f t="shared" si="129"/>
        <v>2.5</v>
      </c>
      <c r="J1090" s="135">
        <v>7.8</v>
      </c>
      <c r="K1090" s="135">
        <f t="shared" si="130"/>
        <v>19.5</v>
      </c>
      <c r="L1090" s="264"/>
      <c r="M1090" s="264"/>
      <c r="N1090" s="131"/>
    </row>
    <row r="1091" s="243" customFormat="1" spans="1:15">
      <c r="A1091" s="263">
        <v>45707</v>
      </c>
      <c r="B1091" s="131" t="s">
        <v>770</v>
      </c>
      <c r="C1091" s="258">
        <v>45707</v>
      </c>
      <c r="D1091" s="136"/>
      <c r="E1091" s="136"/>
      <c r="F1091" s="131" t="s">
        <v>122</v>
      </c>
      <c r="G1091" s="136">
        <v>1</v>
      </c>
      <c r="H1091" s="136">
        <v>3</v>
      </c>
      <c r="I1091" s="136">
        <f t="shared" si="129"/>
        <v>3</v>
      </c>
      <c r="J1091" s="135">
        <v>7.8</v>
      </c>
      <c r="K1091" s="135">
        <f t="shared" si="130"/>
        <v>23.4</v>
      </c>
      <c r="L1091" s="264"/>
      <c r="M1091" s="264"/>
      <c r="N1091" s="131"/>
    </row>
    <row r="1092" s="243" customFormat="1" spans="1:15">
      <c r="A1092" s="263">
        <v>45707</v>
      </c>
      <c r="B1092" s="131" t="s">
        <v>770</v>
      </c>
      <c r="C1092" s="258">
        <v>45707</v>
      </c>
      <c r="D1092" s="136"/>
      <c r="E1092" s="136"/>
      <c r="F1092" s="133">
        <v>2038</v>
      </c>
      <c r="G1092" s="136">
        <v>1</v>
      </c>
      <c r="H1092" s="136">
        <v>0.03</v>
      </c>
      <c r="I1092" s="136">
        <f t="shared" si="129"/>
        <v>0.03</v>
      </c>
      <c r="J1092" s="135">
        <v>55</v>
      </c>
      <c r="K1092" s="135">
        <f t="shared" si="130"/>
        <v>1.65</v>
      </c>
      <c r="L1092" s="264"/>
      <c r="M1092" s="264"/>
      <c r="N1092" s="131"/>
    </row>
    <row r="1093" s="243" customFormat="1" spans="1:15">
      <c r="A1093" s="263">
        <v>45707</v>
      </c>
      <c r="B1093" s="131" t="s">
        <v>770</v>
      </c>
      <c r="C1093" s="258">
        <v>45707</v>
      </c>
      <c r="D1093" s="136"/>
      <c r="E1093" s="136"/>
      <c r="F1093" s="133">
        <v>3033</v>
      </c>
      <c r="G1093" s="136">
        <v>1</v>
      </c>
      <c r="H1093" s="136">
        <v>0.03</v>
      </c>
      <c r="I1093" s="136">
        <f t="shared" si="129"/>
        <v>0.03</v>
      </c>
      <c r="J1093" s="135">
        <v>60</v>
      </c>
      <c r="K1093" s="135">
        <f t="shared" si="130"/>
        <v>1.8</v>
      </c>
      <c r="L1093" s="264"/>
      <c r="M1093" s="264"/>
      <c r="N1093" s="131"/>
    </row>
    <row r="1094" s="243" customFormat="1" spans="1:15">
      <c r="A1094" s="263">
        <v>45707</v>
      </c>
      <c r="B1094" s="131" t="s">
        <v>770</v>
      </c>
      <c r="C1094" s="258">
        <v>45707</v>
      </c>
      <c r="D1094" s="136"/>
      <c r="E1094" s="136"/>
      <c r="F1094" s="131" t="s">
        <v>440</v>
      </c>
      <c r="G1094" s="136">
        <v>1</v>
      </c>
      <c r="H1094" s="136">
        <v>1.5</v>
      </c>
      <c r="I1094" s="136">
        <f t="shared" si="129"/>
        <v>1.5</v>
      </c>
      <c r="J1094" s="135">
        <v>65</v>
      </c>
      <c r="K1094" s="135">
        <f t="shared" si="130"/>
        <v>97.5</v>
      </c>
      <c r="L1094" s="264" t="s">
        <v>441</v>
      </c>
      <c r="M1094" s="264"/>
      <c r="N1094" s="131"/>
    </row>
    <row r="1095" s="243" customFormat="1" spans="1:15">
      <c r="A1095" s="263">
        <v>45707</v>
      </c>
      <c r="B1095" s="131" t="s">
        <v>770</v>
      </c>
      <c r="C1095" s="258">
        <v>45707</v>
      </c>
      <c r="D1095" s="136"/>
      <c r="E1095" s="136"/>
      <c r="F1095" s="254" t="s">
        <v>442</v>
      </c>
      <c r="G1095" s="114">
        <v>1</v>
      </c>
      <c r="H1095" s="114">
        <f>SUM(H1088:H1094)</f>
        <v>20.06</v>
      </c>
      <c r="I1095" s="114">
        <f t="shared" si="129"/>
        <v>20.06</v>
      </c>
      <c r="J1095" s="115">
        <v>2</v>
      </c>
      <c r="K1095" s="135">
        <f t="shared" si="130"/>
        <v>40.12</v>
      </c>
      <c r="L1095" s="264"/>
      <c r="M1095" s="264"/>
      <c r="N1095" s="131"/>
    </row>
    <row r="1096" s="243" customFormat="1" spans="1:15">
      <c r="A1096" s="263">
        <v>45707</v>
      </c>
      <c r="B1096" s="131" t="s">
        <v>770</v>
      </c>
      <c r="C1096" s="258">
        <v>45707</v>
      </c>
      <c r="D1096" s="136"/>
      <c r="E1096" s="136"/>
      <c r="F1096" s="131" t="s">
        <v>443</v>
      </c>
      <c r="G1096" s="136">
        <v>1</v>
      </c>
      <c r="H1096" s="136">
        <v>1</v>
      </c>
      <c r="I1096" s="136">
        <f t="shared" si="129"/>
        <v>1</v>
      </c>
      <c r="J1096" s="135">
        <v>12.5</v>
      </c>
      <c r="K1096" s="135">
        <f t="shared" si="130"/>
        <v>12.5</v>
      </c>
      <c r="L1096" s="266"/>
      <c r="M1096" s="264"/>
      <c r="N1096" s="131"/>
    </row>
    <row r="1097" s="243" customFormat="1" spans="1:15">
      <c r="A1097" s="263">
        <v>45707</v>
      </c>
      <c r="B1097" s="131" t="s">
        <v>770</v>
      </c>
      <c r="C1097" s="258">
        <v>45707</v>
      </c>
      <c r="D1097" s="136"/>
      <c r="E1097" s="136"/>
      <c r="F1097" s="118" t="s">
        <v>677</v>
      </c>
      <c r="G1097" s="136">
        <v>1</v>
      </c>
      <c r="H1097" s="136">
        <v>4</v>
      </c>
      <c r="I1097" s="136">
        <f t="shared" si="129"/>
        <v>4</v>
      </c>
      <c r="J1097" s="135">
        <v>14.5</v>
      </c>
      <c r="K1097" s="135">
        <f t="shared" si="130"/>
        <v>58</v>
      </c>
      <c r="L1097" s="266"/>
      <c r="M1097" s="264"/>
      <c r="N1097" s="131"/>
    </row>
    <row r="1098" s="243" customFormat="1" spans="1:15">
      <c r="A1098" s="263">
        <v>45707</v>
      </c>
      <c r="B1098" s="131" t="s">
        <v>770</v>
      </c>
      <c r="C1098" s="258">
        <v>45707</v>
      </c>
      <c r="D1098" s="136"/>
      <c r="E1098" s="136"/>
      <c r="F1098" s="131" t="s">
        <v>641</v>
      </c>
      <c r="G1098" s="136">
        <v>1</v>
      </c>
      <c r="H1098" s="136">
        <v>1</v>
      </c>
      <c r="I1098" s="136">
        <f t="shared" si="129"/>
        <v>1</v>
      </c>
      <c r="J1098" s="135">
        <v>5.5</v>
      </c>
      <c r="K1098" s="135">
        <f t="shared" si="130"/>
        <v>5.5</v>
      </c>
      <c r="L1098" s="266"/>
      <c r="M1098" s="264"/>
      <c r="N1098" s="131"/>
    </row>
    <row r="1099" s="243" customFormat="1" spans="1:15">
      <c r="A1099" s="263">
        <v>45707</v>
      </c>
      <c r="B1099" s="131" t="s">
        <v>770</v>
      </c>
      <c r="C1099" s="258">
        <v>45707</v>
      </c>
      <c r="D1099" s="136"/>
      <c r="E1099" s="136"/>
      <c r="F1099" s="118" t="s">
        <v>771</v>
      </c>
      <c r="G1099" s="136">
        <v>1</v>
      </c>
      <c r="H1099" s="136">
        <v>10</v>
      </c>
      <c r="I1099" s="136">
        <f t="shared" si="129"/>
        <v>10</v>
      </c>
      <c r="J1099" s="135">
        <v>8</v>
      </c>
      <c r="K1099" s="135">
        <f t="shared" si="130"/>
        <v>80</v>
      </c>
      <c r="L1099" s="266">
        <f>SUM(K1088:K1099)</f>
        <v>515.47</v>
      </c>
      <c r="M1099" s="264"/>
      <c r="N1099" s="131"/>
    </row>
    <row r="1100" s="1" customFormat="1" spans="1:15">
      <c r="A1100" s="51">
        <v>45708</v>
      </c>
      <c r="B1100" s="110" t="s">
        <v>772</v>
      </c>
      <c r="C1100" s="51">
        <v>45708</v>
      </c>
      <c r="D1100" s="51"/>
      <c r="E1100" s="51"/>
      <c r="F1100" s="110" t="s">
        <v>743</v>
      </c>
      <c r="G1100" s="107">
        <v>1</v>
      </c>
      <c r="H1100" s="107">
        <v>65</v>
      </c>
      <c r="I1100" s="108">
        <f t="shared" si="129"/>
        <v>65</v>
      </c>
      <c r="J1100" s="109">
        <v>13.5</v>
      </c>
      <c r="K1100" s="109"/>
      <c r="L1100" s="110"/>
      <c r="M1100" s="110"/>
      <c r="N1100" s="107"/>
      <c r="O1100" s="1">
        <v>126</v>
      </c>
    </row>
    <row r="1101" s="1" customFormat="1" spans="1:15">
      <c r="A1101" s="51">
        <v>45708</v>
      </c>
      <c r="B1101" s="110" t="s">
        <v>772</v>
      </c>
      <c r="C1101" s="51">
        <v>45708</v>
      </c>
      <c r="D1101" s="51"/>
      <c r="E1101" s="51"/>
      <c r="F1101" s="110" t="s">
        <v>404</v>
      </c>
      <c r="G1101" s="107">
        <v>1</v>
      </c>
      <c r="H1101" s="107">
        <v>13</v>
      </c>
      <c r="I1101" s="108">
        <f t="shared" si="129"/>
        <v>13</v>
      </c>
      <c r="J1101" s="109">
        <v>12.2</v>
      </c>
      <c r="K1101" s="109"/>
      <c r="L1101" s="110"/>
      <c r="M1101" s="110"/>
      <c r="N1101" s="107"/>
    </row>
    <row r="1102" s="1" customFormat="1" spans="1:15">
      <c r="A1102" s="51">
        <v>45708</v>
      </c>
      <c r="B1102" s="110" t="s">
        <v>772</v>
      </c>
      <c r="C1102" s="51">
        <v>45708</v>
      </c>
      <c r="D1102" s="51"/>
      <c r="E1102" s="51"/>
      <c r="F1102" s="110" t="s">
        <v>120</v>
      </c>
      <c r="G1102" s="107">
        <v>1</v>
      </c>
      <c r="H1102" s="107">
        <v>5</v>
      </c>
      <c r="I1102" s="108">
        <f t="shared" si="129"/>
        <v>5</v>
      </c>
      <c r="J1102" s="109">
        <v>21</v>
      </c>
      <c r="K1102" s="109">
        <f>I1102*J1102</f>
        <v>105</v>
      </c>
      <c r="L1102" s="110"/>
      <c r="M1102" s="110"/>
      <c r="N1102" s="107"/>
      <c r="O1102" s="1">
        <v>6</v>
      </c>
    </row>
    <row r="1103" s="1" customFormat="1" spans="1:15">
      <c r="A1103" s="51">
        <v>45708</v>
      </c>
      <c r="B1103" s="110" t="s">
        <v>772</v>
      </c>
      <c r="C1103" s="51">
        <v>45708</v>
      </c>
      <c r="D1103" s="51"/>
      <c r="E1103" s="51"/>
      <c r="F1103" s="110" t="s">
        <v>310</v>
      </c>
      <c r="G1103" s="107">
        <v>1</v>
      </c>
      <c r="H1103" s="107">
        <v>28</v>
      </c>
      <c r="I1103" s="108">
        <f t="shared" si="129"/>
        <v>28</v>
      </c>
      <c r="J1103" s="109">
        <v>0.6</v>
      </c>
      <c r="K1103" s="109">
        <f t="shared" ref="K1103:K1112" si="131">I1103*J1103</f>
        <v>16.8</v>
      </c>
      <c r="L1103" s="257"/>
      <c r="M1103" s="110"/>
      <c r="N1103" s="107"/>
      <c r="O1103" s="1">
        <v>36</v>
      </c>
    </row>
    <row r="1104" s="1" customFormat="1" spans="1:15">
      <c r="A1104" s="51">
        <v>45708</v>
      </c>
      <c r="B1104" s="110" t="s">
        <v>772</v>
      </c>
      <c r="C1104" s="51">
        <v>45708</v>
      </c>
      <c r="D1104" s="51"/>
      <c r="E1104" s="51"/>
      <c r="F1104" s="110" t="s">
        <v>311</v>
      </c>
      <c r="G1104" s="107">
        <v>1</v>
      </c>
      <c r="H1104" s="107">
        <v>65</v>
      </c>
      <c r="I1104" s="108">
        <f t="shared" si="129"/>
        <v>65</v>
      </c>
      <c r="J1104" s="109">
        <v>7.8</v>
      </c>
      <c r="K1104" s="109">
        <f t="shared" si="131"/>
        <v>507</v>
      </c>
      <c r="L1104" s="110" t="s">
        <v>321</v>
      </c>
      <c r="M1104" s="110"/>
      <c r="N1104" s="107"/>
      <c r="O1104" s="1">
        <v>117</v>
      </c>
    </row>
    <row r="1105" s="1" customFormat="1" spans="1:15">
      <c r="A1105" s="51">
        <v>45708</v>
      </c>
      <c r="B1105" s="110" t="s">
        <v>772</v>
      </c>
      <c r="C1105" s="51">
        <v>45708</v>
      </c>
      <c r="D1105" s="51"/>
      <c r="E1105" s="51"/>
      <c r="F1105" s="110" t="s">
        <v>312</v>
      </c>
      <c r="G1105" s="107">
        <v>1</v>
      </c>
      <c r="H1105" s="107">
        <v>44</v>
      </c>
      <c r="I1105" s="108">
        <f t="shared" si="129"/>
        <v>44</v>
      </c>
      <c r="J1105" s="109">
        <v>3.7</v>
      </c>
      <c r="K1105" s="109">
        <f t="shared" si="131"/>
        <v>162.8</v>
      </c>
      <c r="L1105" s="110" t="s">
        <v>346</v>
      </c>
      <c r="M1105" s="110"/>
      <c r="N1105" s="107"/>
      <c r="O1105" s="1">
        <v>133</v>
      </c>
    </row>
    <row r="1106" s="1" customFormat="1" spans="1:15">
      <c r="A1106" s="51">
        <v>45708</v>
      </c>
      <c r="B1106" s="110" t="s">
        <v>772</v>
      </c>
      <c r="C1106" s="51">
        <v>45708</v>
      </c>
      <c r="D1106" s="51"/>
      <c r="E1106" s="51"/>
      <c r="F1106" s="110" t="s">
        <v>125</v>
      </c>
      <c r="G1106" s="107">
        <v>1</v>
      </c>
      <c r="H1106" s="107">
        <v>6</v>
      </c>
      <c r="I1106" s="108">
        <f t="shared" si="129"/>
        <v>6</v>
      </c>
      <c r="J1106" s="109">
        <v>25</v>
      </c>
      <c r="K1106" s="109">
        <f t="shared" si="131"/>
        <v>150</v>
      </c>
      <c r="L1106" s="118" t="s">
        <v>773</v>
      </c>
      <c r="M1106" s="110" t="s">
        <v>717</v>
      </c>
      <c r="N1106" s="107"/>
      <c r="O1106" s="1">
        <v>3</v>
      </c>
    </row>
    <row r="1107" s="1" customFormat="1" spans="1:15">
      <c r="A1107" s="51">
        <v>45708</v>
      </c>
      <c r="B1107" s="110" t="s">
        <v>772</v>
      </c>
      <c r="C1107" s="51">
        <v>45708</v>
      </c>
      <c r="D1107" s="51"/>
      <c r="E1107" s="51"/>
      <c r="F1107" s="110" t="s">
        <v>313</v>
      </c>
      <c r="G1107" s="107">
        <v>1</v>
      </c>
      <c r="H1107" s="107">
        <v>4</v>
      </c>
      <c r="I1107" s="108">
        <f t="shared" si="129"/>
        <v>4</v>
      </c>
      <c r="J1107" s="109">
        <v>45</v>
      </c>
      <c r="K1107" s="109">
        <f t="shared" si="131"/>
        <v>180</v>
      </c>
      <c r="L1107" s="110"/>
      <c r="M1107" s="110"/>
      <c r="N1107" s="107"/>
      <c r="O1107" s="1">
        <v>3</v>
      </c>
    </row>
    <row r="1108" s="1" customFormat="1" spans="1:15">
      <c r="A1108" s="51">
        <v>45708</v>
      </c>
      <c r="B1108" s="110" t="s">
        <v>772</v>
      </c>
      <c r="C1108" s="51">
        <v>45708</v>
      </c>
      <c r="D1108" s="51"/>
      <c r="E1108" s="51"/>
      <c r="F1108" s="110" t="s">
        <v>309</v>
      </c>
      <c r="G1108" s="107">
        <v>1</v>
      </c>
      <c r="H1108" s="107">
        <v>6</v>
      </c>
      <c r="I1108" s="108">
        <f t="shared" si="129"/>
        <v>6</v>
      </c>
      <c r="J1108" s="109">
        <v>18</v>
      </c>
      <c r="K1108" s="109">
        <f t="shared" si="131"/>
        <v>108</v>
      </c>
      <c r="L1108" s="110"/>
      <c r="M1108" s="110"/>
      <c r="N1108" s="107"/>
      <c r="O1108" s="1">
        <v>5</v>
      </c>
    </row>
    <row r="1109" s="1" customFormat="1" spans="1:15">
      <c r="A1109" s="51">
        <v>45708</v>
      </c>
      <c r="B1109" s="110" t="s">
        <v>772</v>
      </c>
      <c r="C1109" s="51">
        <v>45708</v>
      </c>
      <c r="D1109" s="51"/>
      <c r="E1109" s="51"/>
      <c r="F1109" s="110" t="s">
        <v>715</v>
      </c>
      <c r="G1109" s="107">
        <v>1</v>
      </c>
      <c r="H1109" s="107">
        <f>SUM(H1100:H1108)</f>
        <v>236</v>
      </c>
      <c r="I1109" s="108">
        <f t="shared" si="129"/>
        <v>236</v>
      </c>
      <c r="J1109" s="109">
        <v>2</v>
      </c>
      <c r="K1109" s="109">
        <f t="shared" si="131"/>
        <v>472</v>
      </c>
      <c r="L1109" s="110"/>
      <c r="M1109" s="110"/>
      <c r="N1109" s="107"/>
      <c r="O1109" s="1">
        <v>14</v>
      </c>
    </row>
    <row r="1110" s="1" customFormat="1" spans="1:15">
      <c r="A1110" s="51">
        <v>45708</v>
      </c>
      <c r="B1110" s="110" t="s">
        <v>772</v>
      </c>
      <c r="C1110" s="51">
        <v>45708</v>
      </c>
      <c r="D1110" s="51"/>
      <c r="E1110" s="51"/>
      <c r="F1110" s="137" t="s">
        <v>774</v>
      </c>
      <c r="G1110" s="262">
        <v>1</v>
      </c>
      <c r="H1110" s="262">
        <v>270</v>
      </c>
      <c r="I1110" s="108">
        <f t="shared" si="129"/>
        <v>270</v>
      </c>
      <c r="J1110" s="109">
        <v>1</v>
      </c>
      <c r="K1110" s="109">
        <f t="shared" si="131"/>
        <v>270</v>
      </c>
      <c r="L1110" s="110"/>
      <c r="M1110" s="110"/>
      <c r="N1110" s="107"/>
    </row>
    <row r="1111" s="1" customFormat="1" spans="1:15">
      <c r="A1111" s="51">
        <v>45708</v>
      </c>
      <c r="B1111" s="110" t="s">
        <v>772</v>
      </c>
      <c r="C1111" s="51">
        <v>45708</v>
      </c>
      <c r="D1111" s="51"/>
      <c r="E1111" s="51"/>
      <c r="F1111" s="137" t="s">
        <v>538</v>
      </c>
      <c r="G1111" s="262">
        <v>12</v>
      </c>
      <c r="H1111" s="262">
        <v>1</v>
      </c>
      <c r="I1111" s="108">
        <f t="shared" si="129"/>
        <v>12</v>
      </c>
      <c r="J1111" s="109"/>
      <c r="K1111" s="109"/>
      <c r="L1111" s="110"/>
      <c r="M1111" s="110"/>
      <c r="N1111" s="107"/>
    </row>
    <row r="1112" s="1" customFormat="1" spans="1:15">
      <c r="A1112" s="51">
        <v>45708</v>
      </c>
      <c r="B1112" s="110" t="s">
        <v>772</v>
      </c>
      <c r="C1112" s="51">
        <v>45708</v>
      </c>
      <c r="D1112" s="51"/>
      <c r="E1112" s="51"/>
      <c r="F1112" s="110" t="s">
        <v>316</v>
      </c>
      <c r="G1112" s="107">
        <v>16</v>
      </c>
      <c r="H1112" s="107">
        <v>1</v>
      </c>
      <c r="I1112" s="108">
        <f t="shared" si="129"/>
        <v>16</v>
      </c>
      <c r="J1112" s="109">
        <v>12.5</v>
      </c>
      <c r="K1112" s="109">
        <f t="shared" si="131"/>
        <v>200</v>
      </c>
      <c r="L1112" s="1">
        <f>SUM(K1100:K1112)</f>
        <v>2171.6</v>
      </c>
      <c r="M1112" s="110"/>
      <c r="N1112" s="107"/>
    </row>
    <row r="1113" s="244" customFormat="1" spans="1:15">
      <c r="A1113" s="267">
        <v>45708</v>
      </c>
      <c r="B1113" s="268" t="s">
        <v>775</v>
      </c>
      <c r="C1113" s="267">
        <v>45708</v>
      </c>
      <c r="D1113" s="267"/>
      <c r="E1113" s="267"/>
      <c r="F1113" s="268" t="s">
        <v>743</v>
      </c>
      <c r="G1113" s="121">
        <v>1</v>
      </c>
      <c r="H1113" s="121">
        <v>55</v>
      </c>
      <c r="I1113" s="122">
        <f t="shared" si="129"/>
        <v>55</v>
      </c>
      <c r="J1113" s="123">
        <v>13.5</v>
      </c>
      <c r="K1113" s="123"/>
      <c r="L1113" s="268"/>
      <c r="M1113" s="268"/>
      <c r="N1113" s="121"/>
      <c r="O1113" s="244">
        <v>126</v>
      </c>
    </row>
    <row r="1114" s="244" customFormat="1" ht="21" customHeight="1" spans="1:15">
      <c r="A1114" s="267">
        <v>45708</v>
      </c>
      <c r="B1114" s="268" t="s">
        <v>775</v>
      </c>
      <c r="C1114" s="267">
        <v>45708</v>
      </c>
      <c r="D1114" s="267"/>
      <c r="E1114" s="267"/>
      <c r="F1114" s="268" t="s">
        <v>404</v>
      </c>
      <c r="G1114" s="121">
        <v>1</v>
      </c>
      <c r="H1114" s="121">
        <v>11</v>
      </c>
      <c r="I1114" s="122">
        <f t="shared" si="129"/>
        <v>11</v>
      </c>
      <c r="J1114" s="123">
        <v>12.2</v>
      </c>
      <c r="K1114" s="123"/>
      <c r="L1114" s="268"/>
      <c r="M1114" s="268"/>
      <c r="N1114" s="121"/>
    </row>
    <row r="1115" s="244" customFormat="1" spans="1:15">
      <c r="A1115" s="267">
        <v>45708</v>
      </c>
      <c r="B1115" s="268" t="s">
        <v>775</v>
      </c>
      <c r="C1115" s="267">
        <v>45708</v>
      </c>
      <c r="D1115" s="267"/>
      <c r="E1115" s="267"/>
      <c r="F1115" s="268" t="s">
        <v>120</v>
      </c>
      <c r="G1115" s="121">
        <v>1</v>
      </c>
      <c r="H1115" s="121">
        <v>4</v>
      </c>
      <c r="I1115" s="122">
        <f t="shared" si="129"/>
        <v>4</v>
      </c>
      <c r="J1115" s="123">
        <v>21</v>
      </c>
      <c r="K1115" s="123">
        <f>I1115*J1115</f>
        <v>84</v>
      </c>
      <c r="L1115" s="268"/>
      <c r="M1115" s="268"/>
      <c r="N1115" s="269"/>
    </row>
    <row r="1116" s="244" customFormat="1" spans="1:15">
      <c r="A1116" s="267">
        <v>45708</v>
      </c>
      <c r="B1116" s="268" t="s">
        <v>775</v>
      </c>
      <c r="C1116" s="267">
        <v>45708</v>
      </c>
      <c r="D1116" s="267"/>
      <c r="E1116" s="267"/>
      <c r="F1116" s="268" t="s">
        <v>310</v>
      </c>
      <c r="G1116" s="121">
        <v>1</v>
      </c>
      <c r="H1116" s="121">
        <v>24</v>
      </c>
      <c r="I1116" s="122">
        <f t="shared" si="129"/>
        <v>24</v>
      </c>
      <c r="J1116" s="123">
        <v>0.6</v>
      </c>
      <c r="K1116" s="123">
        <f t="shared" ref="K1116:K1123" si="132">I1116*J1116</f>
        <v>14.4</v>
      </c>
      <c r="L1116" s="268"/>
      <c r="M1116" s="268"/>
      <c r="N1116" s="269"/>
    </row>
    <row r="1117" s="244" customFormat="1" spans="1:15">
      <c r="A1117" s="267">
        <v>45708</v>
      </c>
      <c r="B1117" s="268" t="s">
        <v>775</v>
      </c>
      <c r="C1117" s="267">
        <v>45708</v>
      </c>
      <c r="D1117" s="267"/>
      <c r="E1117" s="267"/>
      <c r="F1117" s="268" t="s">
        <v>311</v>
      </c>
      <c r="G1117" s="121">
        <v>1</v>
      </c>
      <c r="H1117" s="121">
        <v>55</v>
      </c>
      <c r="I1117" s="122">
        <f t="shared" si="129"/>
        <v>55</v>
      </c>
      <c r="J1117" s="123">
        <v>7.8</v>
      </c>
      <c r="K1117" s="123">
        <f t="shared" si="132"/>
        <v>429</v>
      </c>
      <c r="L1117" s="268"/>
      <c r="M1117" s="268" t="s">
        <v>321</v>
      </c>
      <c r="N1117" s="269"/>
    </row>
    <row r="1118" s="244" customFormat="1" spans="1:15">
      <c r="A1118" s="267">
        <v>45708</v>
      </c>
      <c r="B1118" s="268" t="s">
        <v>775</v>
      </c>
      <c r="C1118" s="267">
        <v>45708</v>
      </c>
      <c r="D1118" s="267"/>
      <c r="E1118" s="267"/>
      <c r="F1118" s="268" t="s">
        <v>312</v>
      </c>
      <c r="G1118" s="121">
        <v>1</v>
      </c>
      <c r="H1118" s="121">
        <v>40</v>
      </c>
      <c r="I1118" s="122">
        <f t="shared" si="129"/>
        <v>40</v>
      </c>
      <c r="J1118" s="123">
        <v>3.7</v>
      </c>
      <c r="K1118" s="123">
        <f t="shared" si="132"/>
        <v>148</v>
      </c>
      <c r="L1118" s="268"/>
      <c r="M1118" s="268" t="s">
        <v>346</v>
      </c>
      <c r="N1118" s="269"/>
    </row>
    <row r="1119" s="244" customFormat="1" spans="1:15">
      <c r="A1119" s="267">
        <v>45708</v>
      </c>
      <c r="B1119" s="268" t="s">
        <v>775</v>
      </c>
      <c r="C1119" s="267">
        <v>45708</v>
      </c>
      <c r="D1119" s="267"/>
      <c r="E1119" s="267"/>
      <c r="F1119" s="268" t="s">
        <v>125</v>
      </c>
      <c r="G1119" s="121">
        <v>1</v>
      </c>
      <c r="H1119" s="121">
        <v>3.8</v>
      </c>
      <c r="I1119" s="122">
        <f t="shared" si="129"/>
        <v>3.8</v>
      </c>
      <c r="J1119" s="123">
        <v>25</v>
      </c>
      <c r="K1119" s="123">
        <f t="shared" si="132"/>
        <v>95</v>
      </c>
      <c r="L1119" s="268"/>
      <c r="M1119" s="118" t="s">
        <v>776</v>
      </c>
      <c r="N1119" s="269"/>
    </row>
    <row r="1120" s="244" customFormat="1" spans="1:15">
      <c r="A1120" s="267">
        <v>45708</v>
      </c>
      <c r="B1120" s="268" t="s">
        <v>775</v>
      </c>
      <c r="C1120" s="267">
        <v>45708</v>
      </c>
      <c r="D1120" s="267"/>
      <c r="E1120" s="267"/>
      <c r="F1120" s="268" t="s">
        <v>313</v>
      </c>
      <c r="G1120" s="121">
        <v>1</v>
      </c>
      <c r="H1120" s="121">
        <v>2.2</v>
      </c>
      <c r="I1120" s="122">
        <f t="shared" si="129"/>
        <v>2.2</v>
      </c>
      <c r="J1120" s="123">
        <v>45</v>
      </c>
      <c r="K1120" s="123">
        <f t="shared" si="132"/>
        <v>99</v>
      </c>
      <c r="L1120" s="268"/>
      <c r="M1120" s="268" t="s">
        <v>717</v>
      </c>
      <c r="N1120" s="268"/>
    </row>
    <row r="1121" s="244" customFormat="1" spans="1:15">
      <c r="A1121" s="267">
        <v>45708</v>
      </c>
      <c r="B1121" s="268" t="s">
        <v>775</v>
      </c>
      <c r="C1121" s="267">
        <v>45708</v>
      </c>
      <c r="D1121" s="267"/>
      <c r="E1121" s="267"/>
      <c r="F1121" s="268" t="s">
        <v>309</v>
      </c>
      <c r="G1121" s="121">
        <v>1</v>
      </c>
      <c r="H1121" s="121">
        <v>5</v>
      </c>
      <c r="I1121" s="122">
        <f t="shared" ref="I1121:I1134" si="133">G1121*H1121</f>
        <v>5</v>
      </c>
      <c r="J1121" s="123">
        <v>18</v>
      </c>
      <c r="K1121" s="123">
        <f t="shared" si="132"/>
        <v>90</v>
      </c>
      <c r="L1121" s="270"/>
      <c r="M1121" s="268"/>
      <c r="N1121" s="268"/>
    </row>
    <row r="1122" s="244" customFormat="1" spans="1:15">
      <c r="A1122" s="267">
        <v>45708</v>
      </c>
      <c r="B1122" s="268" t="s">
        <v>775</v>
      </c>
      <c r="C1122" s="267">
        <v>45706</v>
      </c>
      <c r="D1122" s="267"/>
      <c r="E1122" s="267"/>
      <c r="F1122" s="268" t="s">
        <v>720</v>
      </c>
      <c r="G1122" s="121">
        <v>1</v>
      </c>
      <c r="H1122" s="121">
        <f>SUM(H1113:H1121)</f>
        <v>200</v>
      </c>
      <c r="I1122" s="122">
        <f t="shared" si="133"/>
        <v>200</v>
      </c>
      <c r="J1122" s="123">
        <v>2</v>
      </c>
      <c r="K1122" s="123">
        <f t="shared" si="132"/>
        <v>400</v>
      </c>
      <c r="L1122" s="268"/>
      <c r="M1122" s="268"/>
      <c r="N1122" s="269"/>
    </row>
    <row r="1123" s="244" customFormat="1" spans="1:15">
      <c r="A1123" s="267">
        <v>45708</v>
      </c>
      <c r="B1123" s="268" t="s">
        <v>775</v>
      </c>
      <c r="C1123" s="267">
        <v>45708</v>
      </c>
      <c r="D1123" s="267"/>
      <c r="E1123" s="267"/>
      <c r="F1123" s="137" t="s">
        <v>777</v>
      </c>
      <c r="G1123" s="262">
        <v>1</v>
      </c>
      <c r="H1123" s="262">
        <v>252</v>
      </c>
      <c r="I1123" s="122">
        <f t="shared" si="133"/>
        <v>252</v>
      </c>
      <c r="J1123" s="123">
        <v>1</v>
      </c>
      <c r="K1123" s="123">
        <f t="shared" si="132"/>
        <v>252</v>
      </c>
      <c r="L1123" s="270"/>
      <c r="M1123" s="268"/>
      <c r="N1123" s="268"/>
    </row>
    <row r="1124" s="244" customFormat="1" spans="1:15">
      <c r="A1124" s="267">
        <v>45708</v>
      </c>
      <c r="B1124" s="268" t="s">
        <v>775</v>
      </c>
      <c r="C1124" s="267">
        <v>45708</v>
      </c>
      <c r="D1124" s="267"/>
      <c r="E1124" s="267"/>
      <c r="F1124" s="137" t="s">
        <v>538</v>
      </c>
      <c r="G1124" s="262">
        <v>12</v>
      </c>
      <c r="H1124" s="262">
        <v>1</v>
      </c>
      <c r="I1124" s="122">
        <f t="shared" si="133"/>
        <v>12</v>
      </c>
      <c r="J1124" s="123"/>
      <c r="K1124" s="123"/>
      <c r="L1124" s="270"/>
      <c r="M1124" s="268"/>
      <c r="N1124" s="268"/>
    </row>
    <row r="1125" s="244" customFormat="1" spans="1:15">
      <c r="A1125" s="267">
        <v>45708</v>
      </c>
      <c r="B1125" s="268" t="s">
        <v>775</v>
      </c>
      <c r="C1125" s="267">
        <v>45708</v>
      </c>
      <c r="D1125" s="267"/>
      <c r="E1125" s="267"/>
      <c r="F1125" s="268" t="s">
        <v>316</v>
      </c>
      <c r="G1125" s="121">
        <v>13</v>
      </c>
      <c r="H1125" s="121">
        <v>1</v>
      </c>
      <c r="I1125" s="122">
        <f t="shared" si="133"/>
        <v>13</v>
      </c>
      <c r="J1125" s="123">
        <v>12.5</v>
      </c>
      <c r="K1125" s="123">
        <f t="shared" ref="K1125:K1134" si="134">I1125*J1125</f>
        <v>162.5</v>
      </c>
      <c r="L1125" s="268">
        <f>SUM(K1113:K1125)</f>
        <v>1773.9</v>
      </c>
      <c r="M1125" s="268"/>
      <c r="N1125" s="269"/>
    </row>
    <row r="1126" s="1" customFormat="1" spans="1:15">
      <c r="A1126" s="51">
        <v>45708</v>
      </c>
      <c r="B1126" s="110" t="s">
        <v>778</v>
      </c>
      <c r="C1126" s="51">
        <v>45708</v>
      </c>
      <c r="D1126" s="51"/>
      <c r="E1126" s="51"/>
      <c r="F1126" s="110" t="s">
        <v>743</v>
      </c>
      <c r="G1126" s="107">
        <v>1</v>
      </c>
      <c r="H1126" s="107">
        <v>18</v>
      </c>
      <c r="I1126" s="108">
        <f t="shared" si="133"/>
        <v>18</v>
      </c>
      <c r="J1126" s="109">
        <v>13.5</v>
      </c>
      <c r="K1126" s="109"/>
      <c r="L1126" s="110"/>
      <c r="M1126" s="110"/>
      <c r="N1126" s="107"/>
      <c r="O1126" s="1">
        <v>126</v>
      </c>
    </row>
    <row r="1127" s="1" customFormat="1" spans="1:15">
      <c r="A1127" s="51">
        <v>45708</v>
      </c>
      <c r="B1127" s="110" t="s">
        <v>778</v>
      </c>
      <c r="C1127" s="51">
        <v>45708</v>
      </c>
      <c r="D1127" s="51"/>
      <c r="E1127" s="51"/>
      <c r="F1127" s="110" t="s">
        <v>404</v>
      </c>
      <c r="G1127" s="107">
        <v>1</v>
      </c>
      <c r="H1127" s="107">
        <v>5</v>
      </c>
      <c r="I1127" s="108">
        <f t="shared" si="133"/>
        <v>5</v>
      </c>
      <c r="J1127" s="109">
        <v>12.2</v>
      </c>
      <c r="K1127" s="109"/>
      <c r="L1127" s="110"/>
      <c r="M1127" s="110"/>
      <c r="N1127" s="107"/>
    </row>
    <row r="1128" s="1" customFormat="1" spans="1:15">
      <c r="A1128" s="51">
        <v>45708</v>
      </c>
      <c r="B1128" s="110" t="s">
        <v>778</v>
      </c>
      <c r="C1128" s="51">
        <v>45708</v>
      </c>
      <c r="D1128" s="51"/>
      <c r="E1128" s="51"/>
      <c r="F1128" s="110" t="s">
        <v>120</v>
      </c>
      <c r="G1128" s="107">
        <v>1</v>
      </c>
      <c r="H1128" s="107">
        <v>1.5</v>
      </c>
      <c r="I1128" s="108">
        <f t="shared" si="133"/>
        <v>1.5</v>
      </c>
      <c r="J1128" s="109">
        <v>21</v>
      </c>
      <c r="K1128" s="109">
        <f t="shared" si="134"/>
        <v>31.5</v>
      </c>
      <c r="L1128" s="110" t="s">
        <v>759</v>
      </c>
      <c r="M1128" s="110"/>
      <c r="N1128" s="111"/>
    </row>
    <row r="1129" s="1" customFormat="1" spans="1:15">
      <c r="A1129" s="51">
        <v>45708</v>
      </c>
      <c r="B1129" s="110" t="s">
        <v>778</v>
      </c>
      <c r="C1129" s="51">
        <v>45708</v>
      </c>
      <c r="D1129" s="51"/>
      <c r="E1129" s="51"/>
      <c r="F1129" s="110" t="s">
        <v>310</v>
      </c>
      <c r="G1129" s="107">
        <v>1</v>
      </c>
      <c r="H1129" s="107">
        <v>6.5</v>
      </c>
      <c r="I1129" s="108">
        <f t="shared" si="133"/>
        <v>6.5</v>
      </c>
      <c r="J1129" s="109">
        <v>0.6</v>
      </c>
      <c r="K1129" s="109">
        <f t="shared" si="134"/>
        <v>3.9</v>
      </c>
      <c r="L1129" s="110"/>
      <c r="M1129" s="110"/>
      <c r="N1129" s="111"/>
    </row>
    <row r="1130" s="1" customFormat="1" spans="1:15">
      <c r="A1130" s="51">
        <v>45708</v>
      </c>
      <c r="B1130" s="110" t="s">
        <v>778</v>
      </c>
      <c r="C1130" s="51">
        <v>45708</v>
      </c>
      <c r="D1130" s="51"/>
      <c r="E1130" s="51"/>
      <c r="F1130" s="110" t="s">
        <v>311</v>
      </c>
      <c r="G1130" s="107">
        <v>1</v>
      </c>
      <c r="H1130" s="107">
        <v>18</v>
      </c>
      <c r="I1130" s="108">
        <f t="shared" si="133"/>
        <v>18</v>
      </c>
      <c r="J1130" s="109">
        <v>7.8</v>
      </c>
      <c r="K1130" s="109">
        <f t="shared" si="134"/>
        <v>140.4</v>
      </c>
      <c r="L1130" s="110"/>
      <c r="M1130" s="110" t="s">
        <v>321</v>
      </c>
      <c r="N1130" s="111"/>
    </row>
    <row r="1131" s="1" customFormat="1" spans="1:15">
      <c r="A1131" s="51">
        <v>45708</v>
      </c>
      <c r="B1131" s="110" t="s">
        <v>778</v>
      </c>
      <c r="C1131" s="51">
        <v>45708</v>
      </c>
      <c r="D1131" s="51"/>
      <c r="E1131" s="51"/>
      <c r="F1131" s="110" t="s">
        <v>312</v>
      </c>
      <c r="G1131" s="107">
        <v>1</v>
      </c>
      <c r="H1131" s="107">
        <v>13</v>
      </c>
      <c r="I1131" s="108">
        <f t="shared" si="133"/>
        <v>13</v>
      </c>
      <c r="J1131" s="109">
        <v>3.7</v>
      </c>
      <c r="K1131" s="109">
        <f t="shared" si="134"/>
        <v>48.1</v>
      </c>
      <c r="L1131" s="110"/>
      <c r="M1131" s="110" t="s">
        <v>346</v>
      </c>
      <c r="N1131" s="111"/>
    </row>
    <row r="1132" s="1" customFormat="1" spans="1:15">
      <c r="A1132" s="51">
        <v>45708</v>
      </c>
      <c r="B1132" s="110" t="s">
        <v>778</v>
      </c>
      <c r="C1132" s="51">
        <v>45708</v>
      </c>
      <c r="D1132" s="51"/>
      <c r="E1132" s="51"/>
      <c r="F1132" s="110" t="s">
        <v>309</v>
      </c>
      <c r="G1132" s="107">
        <v>1</v>
      </c>
      <c r="H1132" s="107">
        <v>11</v>
      </c>
      <c r="I1132" s="108">
        <f t="shared" si="133"/>
        <v>11</v>
      </c>
      <c r="J1132" s="109">
        <v>18</v>
      </c>
      <c r="K1132" s="109">
        <f t="shared" si="134"/>
        <v>198</v>
      </c>
      <c r="L1132" s="110"/>
      <c r="M1132" s="110" t="s">
        <v>380</v>
      </c>
      <c r="N1132" s="110"/>
    </row>
    <row r="1133" s="1" customFormat="1" spans="1:15">
      <c r="A1133" s="51">
        <v>45708</v>
      </c>
      <c r="B1133" s="110" t="s">
        <v>778</v>
      </c>
      <c r="C1133" s="51">
        <v>45708</v>
      </c>
      <c r="D1133" s="51"/>
      <c r="E1133" s="51"/>
      <c r="F1133" s="110" t="s">
        <v>761</v>
      </c>
      <c r="G1133" s="107">
        <v>1</v>
      </c>
      <c r="H1133" s="107">
        <f>SUM(H1126:H1132)</f>
        <v>73</v>
      </c>
      <c r="I1133" s="108">
        <f t="shared" si="133"/>
        <v>73</v>
      </c>
      <c r="J1133" s="109">
        <v>2</v>
      </c>
      <c r="K1133" s="109">
        <f t="shared" si="134"/>
        <v>146</v>
      </c>
      <c r="L1133" s="110"/>
      <c r="M1133" s="110"/>
      <c r="N1133" s="111"/>
    </row>
    <row r="1134" s="1" customFormat="1" spans="1:15">
      <c r="A1134" s="51">
        <v>45708</v>
      </c>
      <c r="B1134" s="110" t="s">
        <v>778</v>
      </c>
      <c r="C1134" s="51">
        <v>45708</v>
      </c>
      <c r="D1134" s="51"/>
      <c r="E1134" s="51"/>
      <c r="F1134" s="110" t="s">
        <v>316</v>
      </c>
      <c r="G1134" s="107">
        <v>4</v>
      </c>
      <c r="H1134" s="107">
        <v>1</v>
      </c>
      <c r="I1134" s="108">
        <f t="shared" si="133"/>
        <v>4</v>
      </c>
      <c r="J1134" s="109">
        <v>12.5</v>
      </c>
      <c r="K1134" s="109">
        <f t="shared" si="134"/>
        <v>50</v>
      </c>
      <c r="L1134" s="110">
        <f>SUM(K1126:K1134)</f>
        <v>617.9</v>
      </c>
      <c r="M1134" s="110"/>
      <c r="N1134" s="111"/>
    </row>
  </sheetData>
  <autoFilter xmlns:etc="http://www.wps.cn/officeDocument/2017/etCustomData" ref="A2:Q523" etc:filterBottomFollowUsedRange="0">
    <extLst/>
  </autoFilter>
  <mergeCells count="1132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7:E117"/>
    <mergeCell ref="C118:E118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4:E244"/>
    <mergeCell ref="C245:E245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A391:I391"/>
    <mergeCell ref="B392:I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C490:E490"/>
    <mergeCell ref="C491:E491"/>
    <mergeCell ref="A492:I492"/>
    <mergeCell ref="B493:I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M569:O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M592:O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A619:I619"/>
    <mergeCell ref="B620:I620"/>
    <mergeCell ref="C621:E621"/>
    <mergeCell ref="C622:E622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5:E635"/>
    <mergeCell ref="C636:E636"/>
    <mergeCell ref="C637:E637"/>
    <mergeCell ref="C638:E638"/>
    <mergeCell ref="C639:E639"/>
    <mergeCell ref="C640:E640"/>
    <mergeCell ref="C641:E641"/>
    <mergeCell ref="C642:E642"/>
    <mergeCell ref="C643:E643"/>
    <mergeCell ref="M643:O643"/>
    <mergeCell ref="C644:E644"/>
    <mergeCell ref="C645:E645"/>
    <mergeCell ref="C646:E646"/>
    <mergeCell ref="C647:E647"/>
    <mergeCell ref="M647:O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  <mergeCell ref="C670:E670"/>
    <mergeCell ref="C671:E671"/>
    <mergeCell ref="C672:E672"/>
    <mergeCell ref="C673:E673"/>
    <mergeCell ref="C674:E674"/>
    <mergeCell ref="C675:E675"/>
    <mergeCell ref="C676:E676"/>
    <mergeCell ref="C677:E677"/>
    <mergeCell ref="C678:E678"/>
    <mergeCell ref="C679:E679"/>
    <mergeCell ref="C680:E680"/>
    <mergeCell ref="C681:E681"/>
    <mergeCell ref="C682:E682"/>
    <mergeCell ref="C683:E683"/>
    <mergeCell ref="C684:E684"/>
    <mergeCell ref="C685:E685"/>
    <mergeCell ref="C686:E686"/>
    <mergeCell ref="C687:E687"/>
    <mergeCell ref="C688:E688"/>
    <mergeCell ref="C689:E689"/>
    <mergeCell ref="C690:E690"/>
    <mergeCell ref="C691:E691"/>
    <mergeCell ref="C692:E692"/>
    <mergeCell ref="C693:E693"/>
    <mergeCell ref="C694:E694"/>
    <mergeCell ref="C695:E695"/>
    <mergeCell ref="M695:O695"/>
    <mergeCell ref="C696:E696"/>
    <mergeCell ref="C697:E697"/>
    <mergeCell ref="C698:E698"/>
    <mergeCell ref="C699:E699"/>
    <mergeCell ref="C700:E700"/>
    <mergeCell ref="C701:E701"/>
    <mergeCell ref="M701:O701"/>
    <mergeCell ref="C702:E702"/>
    <mergeCell ref="C703:E703"/>
    <mergeCell ref="C704:E704"/>
    <mergeCell ref="C705:E705"/>
    <mergeCell ref="C706:E706"/>
    <mergeCell ref="C707:E707"/>
    <mergeCell ref="C708:E708"/>
    <mergeCell ref="C709:E709"/>
    <mergeCell ref="C710:E710"/>
    <mergeCell ref="C711:E711"/>
    <mergeCell ref="C712:E712"/>
    <mergeCell ref="C713:E713"/>
    <mergeCell ref="C714:E714"/>
    <mergeCell ref="C715:E715"/>
    <mergeCell ref="C716:E716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3:E743"/>
    <mergeCell ref="C744:E744"/>
    <mergeCell ref="C745:E745"/>
    <mergeCell ref="C746:E746"/>
    <mergeCell ref="C747:E747"/>
    <mergeCell ref="C748:E748"/>
    <mergeCell ref="C749:E749"/>
    <mergeCell ref="C750:E750"/>
    <mergeCell ref="C751:E751"/>
    <mergeCell ref="C752:E752"/>
    <mergeCell ref="C753:E753"/>
    <mergeCell ref="C754:E754"/>
    <mergeCell ref="C755:E755"/>
    <mergeCell ref="C756:E756"/>
    <mergeCell ref="C757:E757"/>
    <mergeCell ref="C758:E758"/>
    <mergeCell ref="C759:E759"/>
    <mergeCell ref="C760:E760"/>
    <mergeCell ref="C761:E761"/>
    <mergeCell ref="C762:E762"/>
    <mergeCell ref="C763:E763"/>
    <mergeCell ref="C764:E764"/>
    <mergeCell ref="C765:E765"/>
    <mergeCell ref="C766:E766"/>
    <mergeCell ref="C767:E767"/>
    <mergeCell ref="C768:E768"/>
    <mergeCell ref="C769:E769"/>
    <mergeCell ref="C770:E770"/>
    <mergeCell ref="C771:E771"/>
    <mergeCell ref="C772:E772"/>
    <mergeCell ref="C773:E773"/>
    <mergeCell ref="C774:E774"/>
    <mergeCell ref="C775:E775"/>
    <mergeCell ref="C776:E776"/>
    <mergeCell ref="C777:E777"/>
    <mergeCell ref="C778:E778"/>
    <mergeCell ref="C779:E779"/>
    <mergeCell ref="C780:E780"/>
    <mergeCell ref="C781:E781"/>
    <mergeCell ref="C782:E782"/>
    <mergeCell ref="C783:E783"/>
    <mergeCell ref="C784:E784"/>
    <mergeCell ref="C785:E785"/>
    <mergeCell ref="C786:E786"/>
    <mergeCell ref="C787:E787"/>
    <mergeCell ref="C788:E788"/>
    <mergeCell ref="C789:E789"/>
    <mergeCell ref="C790:E790"/>
    <mergeCell ref="C791:E791"/>
    <mergeCell ref="C792:E792"/>
    <mergeCell ref="C793:E793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C805:E805"/>
    <mergeCell ref="C806:E806"/>
    <mergeCell ref="C807:E807"/>
    <mergeCell ref="C808:E808"/>
    <mergeCell ref="C809:E809"/>
    <mergeCell ref="C810:E810"/>
    <mergeCell ref="C811:E811"/>
    <mergeCell ref="C812:E812"/>
    <mergeCell ref="C813:E813"/>
    <mergeCell ref="C814:E814"/>
    <mergeCell ref="C815:E815"/>
    <mergeCell ref="C816:E816"/>
    <mergeCell ref="C817:E817"/>
    <mergeCell ref="C818:E818"/>
    <mergeCell ref="C819:E819"/>
    <mergeCell ref="C820:E820"/>
    <mergeCell ref="C821:E821"/>
    <mergeCell ref="C822:E822"/>
    <mergeCell ref="C823:E823"/>
    <mergeCell ref="C824:E824"/>
    <mergeCell ref="C825:E825"/>
    <mergeCell ref="C826:E826"/>
    <mergeCell ref="C827:E827"/>
    <mergeCell ref="C829:E829"/>
    <mergeCell ref="C830:E830"/>
    <mergeCell ref="C831:E831"/>
    <mergeCell ref="C832:E832"/>
    <mergeCell ref="C833:E833"/>
    <mergeCell ref="C834:E834"/>
    <mergeCell ref="C835:E835"/>
    <mergeCell ref="C836:E836"/>
    <mergeCell ref="C837:E837"/>
    <mergeCell ref="C838:E838"/>
    <mergeCell ref="C839:E839"/>
    <mergeCell ref="C840:E840"/>
    <mergeCell ref="C841:E841"/>
    <mergeCell ref="C842:E842"/>
    <mergeCell ref="C843:E843"/>
    <mergeCell ref="C844:E844"/>
    <mergeCell ref="C845:E845"/>
    <mergeCell ref="C846:E846"/>
    <mergeCell ref="C847:E847"/>
    <mergeCell ref="C848:E848"/>
    <mergeCell ref="C849:E849"/>
    <mergeCell ref="C850:E850"/>
    <mergeCell ref="C851:E851"/>
    <mergeCell ref="C852:E852"/>
    <mergeCell ref="C853:E853"/>
    <mergeCell ref="C854:E854"/>
    <mergeCell ref="C855:E855"/>
    <mergeCell ref="C856:E856"/>
    <mergeCell ref="C857:E857"/>
    <mergeCell ref="C858:E858"/>
    <mergeCell ref="C859:E859"/>
    <mergeCell ref="C860:E860"/>
    <mergeCell ref="C861:E861"/>
    <mergeCell ref="C862:E862"/>
    <mergeCell ref="C863:E863"/>
    <mergeCell ref="C864:E864"/>
    <mergeCell ref="C865:E865"/>
    <mergeCell ref="C866:E866"/>
    <mergeCell ref="C867:E867"/>
    <mergeCell ref="C868:E868"/>
    <mergeCell ref="C869:E869"/>
    <mergeCell ref="C870:E870"/>
    <mergeCell ref="C871:E871"/>
    <mergeCell ref="C872:E872"/>
    <mergeCell ref="C873:E873"/>
    <mergeCell ref="C874:E874"/>
    <mergeCell ref="C875:E875"/>
    <mergeCell ref="C876:E876"/>
    <mergeCell ref="C877:E877"/>
    <mergeCell ref="C878:E878"/>
    <mergeCell ref="C879:E879"/>
    <mergeCell ref="C880:E880"/>
    <mergeCell ref="C881:E881"/>
    <mergeCell ref="C882:E882"/>
    <mergeCell ref="C883:E883"/>
    <mergeCell ref="C884:E884"/>
    <mergeCell ref="C885:E885"/>
    <mergeCell ref="C886:E886"/>
    <mergeCell ref="C887:E887"/>
    <mergeCell ref="C888:E888"/>
    <mergeCell ref="C889:E889"/>
    <mergeCell ref="C890:E890"/>
    <mergeCell ref="C891:E891"/>
    <mergeCell ref="C892:E892"/>
    <mergeCell ref="C893:E893"/>
    <mergeCell ref="C897:E897"/>
    <mergeCell ref="C898:E898"/>
    <mergeCell ref="C899:E899"/>
    <mergeCell ref="C900:E900"/>
    <mergeCell ref="C901:E901"/>
    <mergeCell ref="C902:E902"/>
    <mergeCell ref="C903:E903"/>
    <mergeCell ref="C904:E904"/>
    <mergeCell ref="C905:E905"/>
    <mergeCell ref="C906:E906"/>
    <mergeCell ref="C907:E907"/>
    <mergeCell ref="C908:E908"/>
    <mergeCell ref="C909:E909"/>
    <mergeCell ref="C910:E910"/>
    <mergeCell ref="C911:E911"/>
    <mergeCell ref="C912:E912"/>
    <mergeCell ref="C913:E913"/>
    <mergeCell ref="C914:E914"/>
    <mergeCell ref="C915:E915"/>
    <mergeCell ref="C916:E916"/>
    <mergeCell ref="C917:E917"/>
    <mergeCell ref="C918:E918"/>
    <mergeCell ref="C919:E919"/>
    <mergeCell ref="C920:E920"/>
    <mergeCell ref="C921:E921"/>
    <mergeCell ref="C922:E922"/>
    <mergeCell ref="C923:E923"/>
    <mergeCell ref="C924:E924"/>
    <mergeCell ref="C925:E925"/>
    <mergeCell ref="C926:E926"/>
    <mergeCell ref="C927:E927"/>
    <mergeCell ref="C928:E928"/>
    <mergeCell ref="C929:E929"/>
    <mergeCell ref="C930:E930"/>
    <mergeCell ref="C931:E931"/>
    <mergeCell ref="C932:E932"/>
    <mergeCell ref="C933:E933"/>
    <mergeCell ref="C934:E934"/>
    <mergeCell ref="C935:E935"/>
    <mergeCell ref="C936:E936"/>
    <mergeCell ref="C937:E937"/>
    <mergeCell ref="C938:E938"/>
    <mergeCell ref="C939:E939"/>
    <mergeCell ref="C940:E940"/>
    <mergeCell ref="C941:E941"/>
    <mergeCell ref="C942:E942"/>
    <mergeCell ref="C943:E943"/>
    <mergeCell ref="C944:E944"/>
    <mergeCell ref="C945:E945"/>
    <mergeCell ref="C946:E946"/>
    <mergeCell ref="C947:E947"/>
    <mergeCell ref="C948:E948"/>
    <mergeCell ref="C949:E949"/>
    <mergeCell ref="C950:E950"/>
    <mergeCell ref="C951:E951"/>
    <mergeCell ref="C952:E952"/>
    <mergeCell ref="C953:E953"/>
    <mergeCell ref="C954:E954"/>
    <mergeCell ref="C955:E955"/>
    <mergeCell ref="C956:E956"/>
    <mergeCell ref="C957:E957"/>
    <mergeCell ref="C958:E958"/>
    <mergeCell ref="C959:E959"/>
    <mergeCell ref="C960:E960"/>
    <mergeCell ref="C961:E961"/>
    <mergeCell ref="C962:E962"/>
    <mergeCell ref="C963:E963"/>
    <mergeCell ref="C964:E964"/>
    <mergeCell ref="C965:E965"/>
    <mergeCell ref="C966:E966"/>
    <mergeCell ref="C967:E967"/>
    <mergeCell ref="C968:E968"/>
    <mergeCell ref="C969:E969"/>
    <mergeCell ref="C970:E970"/>
    <mergeCell ref="C971:E971"/>
    <mergeCell ref="C972:E972"/>
    <mergeCell ref="C973:E973"/>
    <mergeCell ref="C974:E974"/>
    <mergeCell ref="C975:E975"/>
    <mergeCell ref="C976:E976"/>
    <mergeCell ref="C977:E977"/>
    <mergeCell ref="C978:E978"/>
    <mergeCell ref="C979:E979"/>
    <mergeCell ref="C980:E980"/>
    <mergeCell ref="C981:E981"/>
    <mergeCell ref="C982:E982"/>
    <mergeCell ref="C983:E983"/>
    <mergeCell ref="C984:E984"/>
    <mergeCell ref="C985:E985"/>
    <mergeCell ref="C986:E986"/>
    <mergeCell ref="C987:E987"/>
    <mergeCell ref="C988:E988"/>
    <mergeCell ref="C989:E989"/>
    <mergeCell ref="C990:E990"/>
    <mergeCell ref="C991:E991"/>
    <mergeCell ref="C992:E992"/>
    <mergeCell ref="C993:E993"/>
    <mergeCell ref="C994:E994"/>
    <mergeCell ref="C995:E995"/>
    <mergeCell ref="C996:E996"/>
    <mergeCell ref="C997:E997"/>
    <mergeCell ref="C998:E998"/>
    <mergeCell ref="C999:E999"/>
    <mergeCell ref="C1000:E1000"/>
    <mergeCell ref="C1001:E1001"/>
    <mergeCell ref="C1002:E1002"/>
    <mergeCell ref="C1003:E1003"/>
    <mergeCell ref="C1004:E1004"/>
    <mergeCell ref="C1005:E1005"/>
    <mergeCell ref="C1006:E1006"/>
    <mergeCell ref="C1007:E1007"/>
    <mergeCell ref="C1008:E1008"/>
    <mergeCell ref="C1009:E1009"/>
    <mergeCell ref="C1011:E1011"/>
    <mergeCell ref="C1012:E1012"/>
    <mergeCell ref="C1013:E1013"/>
    <mergeCell ref="C1014:E1014"/>
    <mergeCell ref="C1015:E1015"/>
    <mergeCell ref="C1016:E1016"/>
    <mergeCell ref="C1017:E1017"/>
    <mergeCell ref="C1018:E1018"/>
    <mergeCell ref="C1019:E1019"/>
    <mergeCell ref="C1020:E1020"/>
    <mergeCell ref="C1021:E1021"/>
    <mergeCell ref="C1022:E1022"/>
    <mergeCell ref="C1023:E1023"/>
    <mergeCell ref="C1024:E1024"/>
    <mergeCell ref="C1025:E1025"/>
    <mergeCell ref="C1026:E1026"/>
    <mergeCell ref="C1027:E1027"/>
    <mergeCell ref="C1028:E1028"/>
    <mergeCell ref="C1029:E1029"/>
    <mergeCell ref="C1030:E1030"/>
    <mergeCell ref="C1031:E1031"/>
    <mergeCell ref="C1032:E1032"/>
    <mergeCell ref="C1033:E1033"/>
    <mergeCell ref="C1034:E1034"/>
    <mergeCell ref="C1035:E1035"/>
    <mergeCell ref="C1036:E1036"/>
    <mergeCell ref="C1037:E1037"/>
    <mergeCell ref="C1038:E1038"/>
    <mergeCell ref="C1039:E1039"/>
    <mergeCell ref="C1040:E1040"/>
    <mergeCell ref="C1041:E1041"/>
    <mergeCell ref="C1042:E1042"/>
    <mergeCell ref="C1043:E1043"/>
    <mergeCell ref="C1044:E1044"/>
    <mergeCell ref="C1045:E1045"/>
    <mergeCell ref="C1046:E1046"/>
    <mergeCell ref="C1047:E1047"/>
    <mergeCell ref="C1048:E1048"/>
    <mergeCell ref="C1049:E1049"/>
    <mergeCell ref="C1050:E1050"/>
    <mergeCell ref="C1051:E1051"/>
    <mergeCell ref="C1052:E1052"/>
    <mergeCell ref="C1053:E1053"/>
    <mergeCell ref="C1054:E1054"/>
    <mergeCell ref="C1055:E1055"/>
    <mergeCell ref="C1056:E1056"/>
    <mergeCell ref="C1057:E1057"/>
    <mergeCell ref="C1058:E1058"/>
    <mergeCell ref="C1059:E1059"/>
    <mergeCell ref="C1060:E1060"/>
    <mergeCell ref="C1061:E1061"/>
    <mergeCell ref="C1062:E1062"/>
    <mergeCell ref="C1063:E1063"/>
    <mergeCell ref="C1064:E1064"/>
    <mergeCell ref="C1065:E1065"/>
    <mergeCell ref="C1066:E1066"/>
    <mergeCell ref="C1067:E1067"/>
    <mergeCell ref="C1068:E1068"/>
    <mergeCell ref="C1069:E1069"/>
    <mergeCell ref="C1070:E1070"/>
    <mergeCell ref="C1071:E1071"/>
    <mergeCell ref="C1072:E1072"/>
    <mergeCell ref="C1073:E1073"/>
    <mergeCell ref="C1074:E1074"/>
    <mergeCell ref="C1075:E1075"/>
    <mergeCell ref="C1076:E1076"/>
    <mergeCell ref="C1077:E1077"/>
    <mergeCell ref="C1078:E1078"/>
    <mergeCell ref="C1079:E1079"/>
    <mergeCell ref="C1080:E1080"/>
    <mergeCell ref="C1081:E1081"/>
    <mergeCell ref="C1082:E1082"/>
    <mergeCell ref="C1083:E1083"/>
    <mergeCell ref="C1084:E1084"/>
    <mergeCell ref="C1085:E1085"/>
    <mergeCell ref="C1086:E1086"/>
    <mergeCell ref="C1087:E1087"/>
    <mergeCell ref="C1088:E1088"/>
    <mergeCell ref="C1089:E1089"/>
    <mergeCell ref="C1090:E1090"/>
    <mergeCell ref="C1091:E1091"/>
    <mergeCell ref="C1092:E1092"/>
    <mergeCell ref="C1093:E1093"/>
    <mergeCell ref="C1094:E1094"/>
    <mergeCell ref="C1095:E1095"/>
    <mergeCell ref="C1096:E1096"/>
    <mergeCell ref="C1097:E1097"/>
    <mergeCell ref="C1098:E1098"/>
    <mergeCell ref="C1099:E1099"/>
    <mergeCell ref="C1100:E1100"/>
    <mergeCell ref="C1101:E1101"/>
    <mergeCell ref="C1102:E1102"/>
    <mergeCell ref="C1103:E1103"/>
    <mergeCell ref="C1104:E1104"/>
    <mergeCell ref="C1105:E1105"/>
    <mergeCell ref="C1106:E1106"/>
    <mergeCell ref="C1107:E1107"/>
    <mergeCell ref="C1108:E1108"/>
    <mergeCell ref="C1109:E1109"/>
    <mergeCell ref="C1110:E1110"/>
    <mergeCell ref="C1111:E1111"/>
    <mergeCell ref="C1112:E1112"/>
    <mergeCell ref="C1113:E1113"/>
    <mergeCell ref="C1114:E1114"/>
    <mergeCell ref="C1115:E1115"/>
    <mergeCell ref="C1116:E1116"/>
    <mergeCell ref="C1117:E1117"/>
    <mergeCell ref="C1118:E1118"/>
    <mergeCell ref="C1119:E1119"/>
    <mergeCell ref="C1120:E1120"/>
    <mergeCell ref="C1121:E1121"/>
    <mergeCell ref="C1122:E1122"/>
    <mergeCell ref="C1123:E1123"/>
    <mergeCell ref="C1124:E1124"/>
    <mergeCell ref="C1125:E1125"/>
    <mergeCell ref="C1126:E1126"/>
    <mergeCell ref="C1127:E1127"/>
    <mergeCell ref="C1128:E1128"/>
    <mergeCell ref="C1129:E1129"/>
    <mergeCell ref="C1130:E1130"/>
    <mergeCell ref="C1131:E1131"/>
    <mergeCell ref="C1132:E1132"/>
    <mergeCell ref="C1133:E1133"/>
    <mergeCell ref="C1134:E113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922"/>
  <sheetViews>
    <sheetView topLeftCell="A863" workbookViewId="0">
      <selection activeCell="C871" sqref="C871:K881"/>
    </sheetView>
  </sheetViews>
  <sheetFormatPr defaultColWidth="9" defaultRowHeight="14.25"/>
  <cols>
    <col min="1" max="1" width="12.625"/>
    <col min="3" max="3" width="4.875" customWidth="1"/>
    <col min="5" max="5" width="0.875" customWidth="1"/>
    <col min="6" max="6" width="52.625" customWidth="1"/>
    <col min="7" max="7" width="9.625"/>
    <col min="8" max="8" width="11.125"/>
    <col min="9" max="10" width="11.375"/>
    <col min="11" max="11" width="14.5"/>
    <col min="12" max="12" width="17.125" customWidth="1"/>
    <col min="13" max="13" width="8.875" customWidth="1"/>
    <col min="14" max="14" width="15.75" customWidth="1"/>
    <col min="15" max="15" width="10.375"/>
  </cols>
  <sheetData>
    <row r="1" s="241" customFormat="1" ht="20.25" spans="1:16">
      <c r="A1" s="37" t="s">
        <v>779</v>
      </c>
      <c r="B1" s="38"/>
      <c r="C1" s="37"/>
      <c r="D1" s="37"/>
      <c r="E1" s="37"/>
      <c r="F1" s="227"/>
      <c r="G1" s="40"/>
      <c r="H1" s="40"/>
      <c r="I1" s="40"/>
      <c r="J1" s="41" t="s">
        <v>499</v>
      </c>
      <c r="K1" s="41">
        <f>SUM(K4:K116)</f>
        <v>43374.5</v>
      </c>
      <c r="L1" s="227" t="s">
        <v>500</v>
      </c>
      <c r="M1" s="227">
        <v>19704.086</v>
      </c>
      <c r="N1" s="250" t="s">
        <v>302</v>
      </c>
      <c r="O1" s="241">
        <v>1550.6</v>
      </c>
      <c r="P1" s="241" t="s">
        <v>501</v>
      </c>
    </row>
    <row r="2" s="241" customFormat="1" ht="20.25" spans="1:16">
      <c r="A2" s="37"/>
      <c r="B2" s="38"/>
      <c r="C2" s="37"/>
      <c r="D2" s="37"/>
      <c r="E2" s="37"/>
      <c r="F2" s="227"/>
      <c r="G2" s="40"/>
      <c r="H2" s="40"/>
      <c r="I2" s="40"/>
      <c r="J2" s="41"/>
      <c r="K2" s="41"/>
      <c r="L2" s="227" t="s">
        <v>502</v>
      </c>
      <c r="M2" s="227">
        <v>4376.18</v>
      </c>
      <c r="N2" s="250" t="s">
        <v>503</v>
      </c>
      <c r="O2" s="241">
        <v>454.5</v>
      </c>
    </row>
    <row r="3" s="241" customFormat="1" ht="20.25" spans="1:16">
      <c r="A3" s="37" t="s">
        <v>1</v>
      </c>
      <c r="B3" s="38" t="s">
        <v>304</v>
      </c>
      <c r="C3" s="251" t="s">
        <v>305</v>
      </c>
      <c r="D3" s="252"/>
      <c r="E3" s="253"/>
      <c r="F3" s="227" t="s">
        <v>306</v>
      </c>
      <c r="G3" s="40" t="s">
        <v>113</v>
      </c>
      <c r="H3" s="40" t="s">
        <v>3</v>
      </c>
      <c r="I3" s="40" t="s">
        <v>5</v>
      </c>
      <c r="J3" s="41" t="s">
        <v>114</v>
      </c>
      <c r="K3" s="41" t="s">
        <v>115</v>
      </c>
      <c r="L3" s="227" t="s">
        <v>7</v>
      </c>
      <c r="M3" s="227" t="s">
        <v>303</v>
      </c>
      <c r="N3" s="250" t="s">
        <v>504</v>
      </c>
      <c r="O3" s="241">
        <v>26085.366</v>
      </c>
    </row>
    <row r="4" s="1" customFormat="1" ht="20.25" spans="1:16">
      <c r="A4" s="51">
        <v>45661</v>
      </c>
      <c r="B4" s="105">
        <v>24</v>
      </c>
      <c r="C4" s="51">
        <v>45661</v>
      </c>
      <c r="D4" s="51"/>
      <c r="E4" s="51"/>
      <c r="F4" s="110" t="s">
        <v>307</v>
      </c>
      <c r="G4" s="107">
        <v>1</v>
      </c>
      <c r="H4" s="107">
        <v>234</v>
      </c>
      <c r="I4" s="108">
        <f t="shared" ref="I4:I24" si="0">G4*H4</f>
        <v>234</v>
      </c>
      <c r="J4" s="109">
        <v>12.2</v>
      </c>
      <c r="K4" s="109"/>
      <c r="L4" s="110"/>
      <c r="M4" s="110"/>
      <c r="N4" s="134"/>
      <c r="O4" s="1">
        <v>126</v>
      </c>
    </row>
    <row r="5" s="1" customFormat="1" ht="20.25" spans="1:16">
      <c r="A5" s="51">
        <v>45661</v>
      </c>
      <c r="B5" s="105">
        <v>24</v>
      </c>
      <c r="C5" s="51">
        <v>45661</v>
      </c>
      <c r="D5" s="51"/>
      <c r="E5" s="51"/>
      <c r="F5" s="110" t="s">
        <v>308</v>
      </c>
      <c r="G5" s="107">
        <v>1</v>
      </c>
      <c r="H5" s="107">
        <v>36</v>
      </c>
      <c r="I5" s="108">
        <f t="shared" si="0"/>
        <v>36</v>
      </c>
      <c r="J5" s="109">
        <v>13</v>
      </c>
      <c r="K5" s="109">
        <f t="shared" ref="K5:K14" si="1">I5*J5</f>
        <v>468</v>
      </c>
      <c r="L5" s="110"/>
      <c r="M5" s="110"/>
      <c r="N5" s="134"/>
      <c r="O5" s="1">
        <v>28</v>
      </c>
    </row>
    <row r="6" s="1" customFormat="1" ht="20.25" spans="1:16">
      <c r="A6" s="51">
        <v>45661</v>
      </c>
      <c r="B6" s="105">
        <v>24</v>
      </c>
      <c r="C6" s="51">
        <v>45661</v>
      </c>
      <c r="D6" s="51"/>
      <c r="E6" s="51"/>
      <c r="F6" s="110" t="s">
        <v>120</v>
      </c>
      <c r="G6" s="107">
        <v>1</v>
      </c>
      <c r="H6" s="107">
        <v>17</v>
      </c>
      <c r="I6" s="108">
        <f t="shared" si="0"/>
        <v>17</v>
      </c>
      <c r="J6" s="109">
        <v>21</v>
      </c>
      <c r="K6" s="109">
        <f t="shared" si="1"/>
        <v>357</v>
      </c>
      <c r="L6" s="110"/>
      <c r="M6" s="110"/>
      <c r="N6" s="134"/>
      <c r="O6" s="1">
        <v>6</v>
      </c>
    </row>
    <row r="7" s="1" customFormat="1" ht="20.25" spans="1:16">
      <c r="A7" s="51">
        <v>45661</v>
      </c>
      <c r="B7" s="105">
        <v>24</v>
      </c>
      <c r="C7" s="51">
        <v>45661</v>
      </c>
      <c r="D7" s="51"/>
      <c r="E7" s="51"/>
      <c r="F7" s="110" t="s">
        <v>310</v>
      </c>
      <c r="G7" s="107">
        <v>1</v>
      </c>
      <c r="H7" s="107">
        <v>96</v>
      </c>
      <c r="I7" s="108">
        <f t="shared" si="0"/>
        <v>96</v>
      </c>
      <c r="J7" s="109">
        <v>0.6</v>
      </c>
      <c r="K7" s="109">
        <f t="shared" si="1"/>
        <v>57.6</v>
      </c>
      <c r="L7" s="110"/>
      <c r="M7" s="110"/>
      <c r="N7" s="134"/>
      <c r="O7" s="1">
        <v>36</v>
      </c>
    </row>
    <row r="8" s="1" customFormat="1" ht="20.25" spans="1:16">
      <c r="A8" s="51">
        <v>45661</v>
      </c>
      <c r="B8" s="105">
        <v>24</v>
      </c>
      <c r="C8" s="51">
        <v>45661</v>
      </c>
      <c r="D8" s="51"/>
      <c r="E8" s="51"/>
      <c r="F8" s="110" t="s">
        <v>311</v>
      </c>
      <c r="G8" s="107">
        <v>1</v>
      </c>
      <c r="H8" s="107">
        <v>175</v>
      </c>
      <c r="I8" s="108">
        <f t="shared" si="0"/>
        <v>175</v>
      </c>
      <c r="J8" s="109">
        <v>7.2</v>
      </c>
      <c r="K8" s="109">
        <f t="shared" si="1"/>
        <v>1260</v>
      </c>
      <c r="L8" s="110"/>
      <c r="M8" s="110"/>
      <c r="N8" s="134"/>
      <c r="O8" s="1">
        <v>117</v>
      </c>
    </row>
    <row r="9" s="1" customFormat="1" ht="20.25" spans="1:16">
      <c r="A9" s="51">
        <v>45661</v>
      </c>
      <c r="B9" s="105">
        <v>24</v>
      </c>
      <c r="C9" s="51">
        <v>45661</v>
      </c>
      <c r="D9" s="51"/>
      <c r="E9" s="51"/>
      <c r="F9" s="110" t="s">
        <v>312</v>
      </c>
      <c r="G9" s="107">
        <v>1</v>
      </c>
      <c r="H9" s="107">
        <v>153</v>
      </c>
      <c r="I9" s="108">
        <f t="shared" si="0"/>
        <v>153</v>
      </c>
      <c r="J9" s="109">
        <v>3.7</v>
      </c>
      <c r="K9" s="109">
        <f t="shared" si="1"/>
        <v>566.1</v>
      </c>
      <c r="L9" s="110"/>
      <c r="M9" s="110"/>
      <c r="N9" s="134"/>
      <c r="O9" s="1">
        <v>133</v>
      </c>
    </row>
    <row r="10" s="1" customFormat="1" ht="20.25" spans="1:16">
      <c r="A10" s="51">
        <v>45661</v>
      </c>
      <c r="B10" s="105">
        <v>24</v>
      </c>
      <c r="C10" s="51">
        <v>45661</v>
      </c>
      <c r="D10" s="51"/>
      <c r="E10" s="51"/>
      <c r="F10" s="110" t="s">
        <v>125</v>
      </c>
      <c r="G10" s="107">
        <v>1</v>
      </c>
      <c r="H10" s="107">
        <v>18.2</v>
      </c>
      <c r="I10" s="108">
        <f t="shared" si="0"/>
        <v>18.2</v>
      </c>
      <c r="J10" s="109">
        <v>25</v>
      </c>
      <c r="K10" s="109">
        <f t="shared" si="1"/>
        <v>455</v>
      </c>
      <c r="L10" s="110"/>
      <c r="M10" s="110"/>
      <c r="N10" s="134"/>
      <c r="O10" s="1">
        <v>3</v>
      </c>
    </row>
    <row r="11" s="1" customFormat="1" ht="20.25" spans="1:16">
      <c r="A11" s="51">
        <v>45661</v>
      </c>
      <c r="B11" s="105">
        <v>24</v>
      </c>
      <c r="C11" s="51">
        <v>45661</v>
      </c>
      <c r="D11" s="51"/>
      <c r="E11" s="51"/>
      <c r="F11" s="110" t="s">
        <v>313</v>
      </c>
      <c r="G11" s="107">
        <v>1</v>
      </c>
      <c r="H11" s="107">
        <v>11.8</v>
      </c>
      <c r="I11" s="108">
        <f t="shared" si="0"/>
        <v>11.8</v>
      </c>
      <c r="J11" s="109">
        <v>45</v>
      </c>
      <c r="K11" s="109">
        <f t="shared" si="1"/>
        <v>531</v>
      </c>
      <c r="L11" s="137">
        <v>11.75</v>
      </c>
      <c r="M11" s="110"/>
      <c r="N11" s="134"/>
      <c r="O11" s="1">
        <v>3</v>
      </c>
    </row>
    <row r="12" s="1" customFormat="1" ht="20.25" spans="1:16">
      <c r="A12" s="51">
        <v>45661</v>
      </c>
      <c r="B12" s="105">
        <v>24</v>
      </c>
      <c r="C12" s="51">
        <v>45661</v>
      </c>
      <c r="D12" s="51"/>
      <c r="E12" s="51"/>
      <c r="F12" s="110" t="s">
        <v>309</v>
      </c>
      <c r="G12" s="107">
        <v>1</v>
      </c>
      <c r="H12" s="107">
        <v>18</v>
      </c>
      <c r="I12" s="108">
        <f t="shared" si="0"/>
        <v>18</v>
      </c>
      <c r="J12" s="109">
        <v>18</v>
      </c>
      <c r="K12" s="109">
        <f t="shared" si="1"/>
        <v>324</v>
      </c>
      <c r="L12" s="110" t="s">
        <v>321</v>
      </c>
      <c r="M12" s="110"/>
      <c r="N12" s="134"/>
      <c r="O12" s="1">
        <v>5</v>
      </c>
    </row>
    <row r="13" s="1" customFormat="1" ht="20.25" spans="1:16">
      <c r="A13" s="51">
        <v>45661</v>
      </c>
      <c r="B13" s="105">
        <v>24</v>
      </c>
      <c r="C13" s="51">
        <v>45661</v>
      </c>
      <c r="D13" s="51"/>
      <c r="E13" s="51"/>
      <c r="F13" s="254" t="s">
        <v>715</v>
      </c>
      <c r="G13" s="139">
        <v>1</v>
      </c>
      <c r="H13" s="139">
        <f>SUM(H4:H12)</f>
        <v>759</v>
      </c>
      <c r="I13" s="114">
        <f t="shared" si="0"/>
        <v>759</v>
      </c>
      <c r="J13" s="115">
        <v>2</v>
      </c>
      <c r="K13" s="115">
        <f t="shared" si="1"/>
        <v>1518</v>
      </c>
      <c r="L13" s="110" t="s">
        <v>346</v>
      </c>
      <c r="M13" s="118"/>
      <c r="N13" s="134"/>
      <c r="O13" s="1">
        <v>14</v>
      </c>
    </row>
    <row r="14" s="1" customFormat="1" ht="20.25" spans="1:16">
      <c r="A14" s="51">
        <v>45661</v>
      </c>
      <c r="B14" s="105">
        <v>24</v>
      </c>
      <c r="C14" s="51">
        <v>45661</v>
      </c>
      <c r="D14" s="51"/>
      <c r="E14" s="51"/>
      <c r="F14" s="110" t="s">
        <v>316</v>
      </c>
      <c r="G14" s="107">
        <v>42</v>
      </c>
      <c r="H14" s="107">
        <v>1</v>
      </c>
      <c r="I14" s="108">
        <f t="shared" si="0"/>
        <v>42</v>
      </c>
      <c r="J14" s="109">
        <v>12.5</v>
      </c>
      <c r="K14" s="109">
        <f t="shared" si="1"/>
        <v>525</v>
      </c>
      <c r="L14" s="110" t="s">
        <v>716</v>
      </c>
      <c r="M14" s="131" t="s">
        <v>717</v>
      </c>
      <c r="N14" s="134"/>
    </row>
    <row r="15" s="2" customFormat="1" ht="20.25" spans="1:16">
      <c r="A15" s="126">
        <v>45661</v>
      </c>
      <c r="B15" s="127">
        <v>25</v>
      </c>
      <c r="C15" s="126">
        <v>45661</v>
      </c>
      <c r="D15" s="126"/>
      <c r="E15" s="126"/>
      <c r="F15" s="131" t="s">
        <v>307</v>
      </c>
      <c r="G15" s="134">
        <v>1</v>
      </c>
      <c r="H15" s="134">
        <v>175</v>
      </c>
      <c r="I15" s="136">
        <f t="shared" si="0"/>
        <v>175</v>
      </c>
      <c r="J15" s="135">
        <v>12.2</v>
      </c>
      <c r="K15" s="135"/>
      <c r="L15" s="131">
        <f>SUM(K4:K14)</f>
        <v>6061.7</v>
      </c>
      <c r="M15" s="131"/>
      <c r="N15" s="134"/>
      <c r="O15" s="2">
        <f>SUM(O4:O14)</f>
        <v>471</v>
      </c>
    </row>
    <row r="16" s="2" customFormat="1" ht="20.25" spans="1:16">
      <c r="A16" s="126">
        <v>45661</v>
      </c>
      <c r="B16" s="127">
        <v>25</v>
      </c>
      <c r="C16" s="126">
        <v>45661</v>
      </c>
      <c r="D16" s="126"/>
      <c r="E16" s="126"/>
      <c r="F16" s="131" t="s">
        <v>308</v>
      </c>
      <c r="G16" s="134">
        <v>1</v>
      </c>
      <c r="H16" s="134">
        <v>26</v>
      </c>
      <c r="I16" s="136">
        <f t="shared" si="0"/>
        <v>26</v>
      </c>
      <c r="J16" s="135">
        <v>13</v>
      </c>
      <c r="K16" s="135">
        <f t="shared" ref="K16:K24" si="2">I16*J16</f>
        <v>338</v>
      </c>
    </row>
    <row r="17" s="2" customFormat="1" ht="20.25" spans="1:15">
      <c r="A17" s="126">
        <v>45661</v>
      </c>
      <c r="B17" s="127">
        <v>25</v>
      </c>
      <c r="C17" s="126">
        <v>45661</v>
      </c>
      <c r="D17" s="126"/>
      <c r="E17" s="126"/>
      <c r="F17" s="131" t="s">
        <v>120</v>
      </c>
      <c r="G17" s="134">
        <v>1</v>
      </c>
      <c r="H17" s="134">
        <v>12</v>
      </c>
      <c r="I17" s="136">
        <f t="shared" si="0"/>
        <v>12</v>
      </c>
      <c r="J17" s="135">
        <v>21</v>
      </c>
      <c r="K17" s="135">
        <f t="shared" si="2"/>
        <v>252</v>
      </c>
    </row>
    <row r="18" s="2" customFormat="1" ht="20.25" spans="1:15">
      <c r="A18" s="126">
        <v>45661</v>
      </c>
      <c r="B18" s="127">
        <v>25</v>
      </c>
      <c r="C18" s="126">
        <v>45661</v>
      </c>
      <c r="D18" s="126"/>
      <c r="E18" s="126"/>
      <c r="F18" s="131" t="s">
        <v>310</v>
      </c>
      <c r="G18" s="134">
        <v>1</v>
      </c>
      <c r="H18" s="134">
        <v>70</v>
      </c>
      <c r="I18" s="136">
        <f t="shared" si="0"/>
        <v>70</v>
      </c>
      <c r="J18" s="135">
        <v>0.6</v>
      </c>
      <c r="K18" s="135">
        <f t="shared" si="2"/>
        <v>42</v>
      </c>
      <c r="L18" s="131" t="s">
        <v>321</v>
      </c>
      <c r="M18" s="131"/>
    </row>
    <row r="19" s="2" customFormat="1" ht="20.25" spans="1:15">
      <c r="A19" s="126">
        <v>45661</v>
      </c>
      <c r="B19" s="127">
        <v>25</v>
      </c>
      <c r="C19" s="126">
        <v>45661</v>
      </c>
      <c r="D19" s="126"/>
      <c r="E19" s="126"/>
      <c r="F19" s="131" t="s">
        <v>311</v>
      </c>
      <c r="G19" s="134">
        <v>1</v>
      </c>
      <c r="H19" s="134">
        <v>133</v>
      </c>
      <c r="I19" s="136">
        <f t="shared" si="0"/>
        <v>133</v>
      </c>
      <c r="J19" s="135">
        <v>7.2</v>
      </c>
      <c r="K19" s="135">
        <f t="shared" si="2"/>
        <v>957.6</v>
      </c>
      <c r="L19" s="131" t="s">
        <v>346</v>
      </c>
      <c r="M19" s="131"/>
    </row>
    <row r="20" s="2" customFormat="1" ht="20.25" spans="1:15">
      <c r="A20" s="126">
        <v>45661</v>
      </c>
      <c r="B20" s="127">
        <v>25</v>
      </c>
      <c r="C20" s="126">
        <v>45661</v>
      </c>
      <c r="D20" s="126"/>
      <c r="E20" s="126"/>
      <c r="F20" s="131" t="s">
        <v>312</v>
      </c>
      <c r="G20" s="134">
        <v>1</v>
      </c>
      <c r="H20" s="134">
        <v>120</v>
      </c>
      <c r="I20" s="136">
        <f t="shared" si="0"/>
        <v>120</v>
      </c>
      <c r="J20" s="135">
        <v>3.7</v>
      </c>
      <c r="K20" s="135">
        <f t="shared" si="2"/>
        <v>444</v>
      </c>
      <c r="L20" s="131" t="s">
        <v>718</v>
      </c>
      <c r="M20" s="131" t="s">
        <v>717</v>
      </c>
    </row>
    <row r="21" s="2" customFormat="1" ht="20.25" spans="1:15">
      <c r="A21" s="126">
        <v>45661</v>
      </c>
      <c r="B21" s="127">
        <v>25</v>
      </c>
      <c r="C21" s="126">
        <v>45661</v>
      </c>
      <c r="D21" s="126"/>
      <c r="E21" s="126"/>
      <c r="F21" s="131" t="s">
        <v>125</v>
      </c>
      <c r="G21" s="134">
        <v>1</v>
      </c>
      <c r="H21" s="134">
        <v>9.8</v>
      </c>
      <c r="I21" s="136">
        <f t="shared" si="0"/>
        <v>9.8</v>
      </c>
      <c r="J21" s="135">
        <v>25</v>
      </c>
      <c r="K21" s="135">
        <f t="shared" si="2"/>
        <v>245</v>
      </c>
    </row>
    <row r="22" s="2" customFormat="1" ht="20.25" spans="1:15">
      <c r="A22" s="126">
        <v>45661</v>
      </c>
      <c r="B22" s="127">
        <v>25</v>
      </c>
      <c r="C22" s="126">
        <v>45661</v>
      </c>
      <c r="D22" s="126"/>
      <c r="E22" s="126"/>
      <c r="F22" s="131" t="s">
        <v>313</v>
      </c>
      <c r="G22" s="134">
        <v>1</v>
      </c>
      <c r="H22" s="134">
        <v>5.2</v>
      </c>
      <c r="I22" s="136">
        <f t="shared" si="0"/>
        <v>5.2</v>
      </c>
      <c r="J22" s="135">
        <v>45</v>
      </c>
      <c r="K22" s="135">
        <f t="shared" si="2"/>
        <v>234</v>
      </c>
    </row>
    <row r="23" s="2" customFormat="1" ht="20.25" spans="1:15">
      <c r="A23" s="126">
        <v>45661</v>
      </c>
      <c r="B23" s="127">
        <v>25</v>
      </c>
      <c r="C23" s="126">
        <v>45661</v>
      </c>
      <c r="D23" s="126"/>
      <c r="E23" s="126"/>
      <c r="F23" s="131" t="s">
        <v>570</v>
      </c>
      <c r="G23" s="134">
        <v>1</v>
      </c>
      <c r="H23" s="134">
        <v>5</v>
      </c>
      <c r="I23" s="136">
        <f t="shared" si="0"/>
        <v>5</v>
      </c>
      <c r="J23" s="135">
        <v>25</v>
      </c>
      <c r="K23" s="135">
        <f t="shared" si="2"/>
        <v>125</v>
      </c>
    </row>
    <row r="24" s="2" customFormat="1" ht="20.25" spans="1:15">
      <c r="A24" s="126">
        <v>45661</v>
      </c>
      <c r="B24" s="127">
        <v>25</v>
      </c>
      <c r="C24" s="126">
        <v>45661</v>
      </c>
      <c r="D24" s="126"/>
      <c r="E24" s="126"/>
      <c r="F24" s="131" t="s">
        <v>309</v>
      </c>
      <c r="G24" s="134">
        <v>1</v>
      </c>
      <c r="H24" s="134">
        <v>14</v>
      </c>
      <c r="I24" s="136">
        <f t="shared" si="0"/>
        <v>14</v>
      </c>
      <c r="J24" s="135">
        <v>18</v>
      </c>
      <c r="K24" s="135">
        <f t="shared" si="2"/>
        <v>252</v>
      </c>
      <c r="L24" s="131">
        <v>11.75</v>
      </c>
    </row>
    <row r="25" s="2" customFormat="1" ht="20.25" spans="1:15">
      <c r="A25" s="126">
        <v>45661</v>
      </c>
      <c r="B25" s="127">
        <v>25</v>
      </c>
      <c r="C25" s="126">
        <v>45661</v>
      </c>
      <c r="D25" s="126"/>
      <c r="E25" s="126"/>
      <c r="F25" s="131" t="s">
        <v>719</v>
      </c>
      <c r="G25" s="134">
        <v>1</v>
      </c>
      <c r="H25" s="134">
        <v>10</v>
      </c>
      <c r="I25" s="136"/>
      <c r="J25" s="135"/>
      <c r="K25" s="135"/>
      <c r="L25" s="131"/>
      <c r="M25" s="131"/>
      <c r="N25" s="132"/>
    </row>
    <row r="26" s="2" customFormat="1" ht="20.25" spans="1:15">
      <c r="A26" s="126">
        <v>45661</v>
      </c>
      <c r="B26" s="127">
        <v>25</v>
      </c>
      <c r="C26" s="126">
        <v>45661</v>
      </c>
      <c r="D26" s="126"/>
      <c r="E26" s="126"/>
      <c r="F26" s="254" t="s">
        <v>720</v>
      </c>
      <c r="G26" s="139">
        <v>1</v>
      </c>
      <c r="H26" s="139">
        <f>SUM(H15:H25)</f>
        <v>580</v>
      </c>
      <c r="I26" s="114">
        <f t="shared" ref="I26:I89" si="3">G26*H26</f>
        <v>580</v>
      </c>
      <c r="J26" s="115">
        <v>2</v>
      </c>
      <c r="K26" s="115">
        <f t="shared" ref="K26:K36" si="4">I26*J26</f>
        <v>1160</v>
      </c>
      <c r="L26" s="131"/>
      <c r="M26" s="131"/>
      <c r="N26" s="132"/>
    </row>
    <row r="27" s="2" customFormat="1" ht="20.25" spans="1:15">
      <c r="A27" s="126">
        <v>45661</v>
      </c>
      <c r="B27" s="127">
        <v>25</v>
      </c>
      <c r="C27" s="126">
        <v>45661</v>
      </c>
      <c r="D27" s="126"/>
      <c r="E27" s="126"/>
      <c r="F27" s="131" t="s">
        <v>316</v>
      </c>
      <c r="G27" s="134">
        <v>32</v>
      </c>
      <c r="H27" s="134">
        <v>1</v>
      </c>
      <c r="I27" s="136">
        <f t="shared" si="3"/>
        <v>32</v>
      </c>
      <c r="J27" s="135">
        <v>12.5</v>
      </c>
      <c r="K27" s="135">
        <f t="shared" si="4"/>
        <v>400</v>
      </c>
      <c r="L27" s="131">
        <f>SUM(K15:K27)</f>
        <v>4449.6</v>
      </c>
    </row>
    <row r="28" s="1" customFormat="1" ht="20.25" spans="1:15">
      <c r="A28" s="51">
        <v>45661</v>
      </c>
      <c r="B28" s="105">
        <v>26</v>
      </c>
      <c r="C28" s="51">
        <v>45661</v>
      </c>
      <c r="D28" s="51"/>
      <c r="E28" s="51"/>
      <c r="F28" s="110" t="s">
        <v>307</v>
      </c>
      <c r="G28" s="107">
        <v>1</v>
      </c>
      <c r="H28" s="107">
        <v>7</v>
      </c>
      <c r="I28" s="108">
        <f t="shared" si="3"/>
        <v>7</v>
      </c>
      <c r="J28" s="109">
        <v>12.2</v>
      </c>
      <c r="K28" s="109"/>
      <c r="L28" s="110"/>
      <c r="M28" s="110"/>
      <c r="N28" s="107">
        <v>42</v>
      </c>
      <c r="O28" s="1">
        <f>SUM(O17:O27)</f>
        <v>0</v>
      </c>
    </row>
    <row r="29" s="1" customFormat="1" ht="20.25" spans="1:15">
      <c r="A29" s="51">
        <v>45661</v>
      </c>
      <c r="B29" s="105">
        <v>26</v>
      </c>
      <c r="C29" s="51">
        <v>45661</v>
      </c>
      <c r="D29" s="51"/>
      <c r="E29" s="51"/>
      <c r="F29" s="110" t="s">
        <v>308</v>
      </c>
      <c r="G29" s="107">
        <v>1</v>
      </c>
      <c r="H29" s="107">
        <v>0.6</v>
      </c>
      <c r="I29" s="108">
        <f t="shared" si="3"/>
        <v>0.6</v>
      </c>
      <c r="J29" s="109">
        <v>13</v>
      </c>
      <c r="K29" s="109">
        <f t="shared" si="4"/>
        <v>7.8</v>
      </c>
      <c r="L29" s="131" t="s">
        <v>321</v>
      </c>
      <c r="M29" s="131"/>
      <c r="N29" s="111"/>
    </row>
    <row r="30" s="1" customFormat="1" ht="20.25" spans="1:15">
      <c r="A30" s="51">
        <v>45661</v>
      </c>
      <c r="B30" s="105">
        <v>26</v>
      </c>
      <c r="C30" s="51">
        <v>45661</v>
      </c>
      <c r="D30" s="51"/>
      <c r="E30" s="51"/>
      <c r="F30" s="110" t="s">
        <v>120</v>
      </c>
      <c r="G30" s="107">
        <v>1</v>
      </c>
      <c r="H30" s="107">
        <v>0.4</v>
      </c>
      <c r="I30" s="108">
        <f t="shared" si="3"/>
        <v>0.4</v>
      </c>
      <c r="J30" s="109">
        <v>21</v>
      </c>
      <c r="K30" s="109">
        <f t="shared" si="4"/>
        <v>8.4</v>
      </c>
      <c r="L30" s="131" t="s">
        <v>346</v>
      </c>
      <c r="M30" s="131"/>
      <c r="N30" s="111"/>
    </row>
    <row r="31" s="1" customFormat="1" ht="20.25" spans="1:15">
      <c r="A31" s="51">
        <v>45661</v>
      </c>
      <c r="B31" s="105">
        <v>26</v>
      </c>
      <c r="C31" s="51">
        <v>45661</v>
      </c>
      <c r="D31" s="51"/>
      <c r="E31" s="51"/>
      <c r="F31" s="110" t="s">
        <v>310</v>
      </c>
      <c r="G31" s="107">
        <v>1</v>
      </c>
      <c r="H31" s="107">
        <v>1.5</v>
      </c>
      <c r="I31" s="108">
        <f t="shared" si="3"/>
        <v>1.5</v>
      </c>
      <c r="J31" s="109">
        <v>0.6</v>
      </c>
      <c r="K31" s="109">
        <f t="shared" si="4"/>
        <v>0.9</v>
      </c>
      <c r="L31" s="131" t="s">
        <v>721</v>
      </c>
      <c r="M31" s="131"/>
      <c r="N31" s="111"/>
    </row>
    <row r="32" s="1" customFormat="1" ht="20.25" spans="1:15">
      <c r="A32" s="51">
        <v>45661</v>
      </c>
      <c r="B32" s="105">
        <v>26</v>
      </c>
      <c r="C32" s="51">
        <v>45661</v>
      </c>
      <c r="D32" s="51"/>
      <c r="E32" s="51"/>
      <c r="F32" s="110" t="s">
        <v>311</v>
      </c>
      <c r="G32" s="107">
        <v>1</v>
      </c>
      <c r="H32" s="107">
        <v>2.5</v>
      </c>
      <c r="I32" s="108">
        <f t="shared" si="3"/>
        <v>2.5</v>
      </c>
      <c r="J32" s="109">
        <v>7.2</v>
      </c>
      <c r="K32" s="109">
        <f t="shared" si="4"/>
        <v>18</v>
      </c>
      <c r="L32" s="131" t="s">
        <v>717</v>
      </c>
      <c r="M32" s="110"/>
      <c r="N32" s="111"/>
    </row>
    <row r="33" s="1" customFormat="1" ht="20.25" spans="1:15">
      <c r="A33" s="51">
        <v>45661</v>
      </c>
      <c r="B33" s="105">
        <v>26</v>
      </c>
      <c r="C33" s="51">
        <v>45661</v>
      </c>
      <c r="D33" s="51"/>
      <c r="E33" s="51"/>
      <c r="F33" s="110" t="s">
        <v>312</v>
      </c>
      <c r="G33" s="107">
        <v>1</v>
      </c>
      <c r="H33" s="107">
        <v>3</v>
      </c>
      <c r="I33" s="108">
        <f t="shared" si="3"/>
        <v>3</v>
      </c>
      <c r="J33" s="109">
        <v>3.7</v>
      </c>
      <c r="K33" s="109">
        <f t="shared" si="4"/>
        <v>11.1</v>
      </c>
      <c r="L33" s="110"/>
      <c r="M33" s="110"/>
      <c r="N33" s="111"/>
    </row>
    <row r="34" customFormat="1" ht="20.25" spans="1:15">
      <c r="A34" s="51">
        <v>45661</v>
      </c>
      <c r="B34" s="105">
        <v>26</v>
      </c>
      <c r="C34" s="51">
        <v>45661</v>
      </c>
      <c r="D34" s="51"/>
      <c r="E34" s="51"/>
      <c r="F34" s="110" t="s">
        <v>309</v>
      </c>
      <c r="G34" s="107">
        <v>1</v>
      </c>
      <c r="H34" s="107">
        <v>3</v>
      </c>
      <c r="I34" s="108">
        <f t="shared" si="3"/>
        <v>3</v>
      </c>
      <c r="J34" s="109">
        <v>18</v>
      </c>
      <c r="K34" s="109">
        <f t="shared" si="4"/>
        <v>54</v>
      </c>
      <c r="L34" s="131"/>
      <c r="M34" s="131"/>
      <c r="N34" s="132"/>
    </row>
    <row r="35" customFormat="1" ht="20.25" spans="1:15">
      <c r="A35" s="51">
        <v>45661</v>
      </c>
      <c r="B35" s="105">
        <v>26</v>
      </c>
      <c r="C35" s="51">
        <v>45661</v>
      </c>
      <c r="D35" s="51"/>
      <c r="E35" s="51"/>
      <c r="F35" s="254" t="s">
        <v>722</v>
      </c>
      <c r="G35" s="139">
        <v>1</v>
      </c>
      <c r="H35" s="139">
        <f>SUM(H28:H34)</f>
        <v>18</v>
      </c>
      <c r="I35" s="114">
        <f t="shared" si="3"/>
        <v>18</v>
      </c>
      <c r="J35" s="115">
        <v>2</v>
      </c>
      <c r="K35" s="115">
        <f t="shared" si="4"/>
        <v>36</v>
      </c>
      <c r="L35" s="131">
        <v>13</v>
      </c>
      <c r="M35" s="131"/>
      <c r="N35" s="132"/>
    </row>
    <row r="36" customFormat="1" ht="20.25" spans="1:15">
      <c r="A36" s="51">
        <v>45661</v>
      </c>
      <c r="B36" s="105">
        <v>26</v>
      </c>
      <c r="C36" s="51">
        <v>45661</v>
      </c>
      <c r="D36" s="51"/>
      <c r="E36" s="51"/>
      <c r="F36" s="110" t="s">
        <v>316</v>
      </c>
      <c r="G36" s="107">
        <v>1</v>
      </c>
      <c r="H36" s="107">
        <v>1</v>
      </c>
      <c r="I36" s="108">
        <f t="shared" si="3"/>
        <v>1</v>
      </c>
      <c r="J36" s="109">
        <v>12.5</v>
      </c>
      <c r="K36" s="109">
        <f t="shared" si="4"/>
        <v>12.5</v>
      </c>
      <c r="L36" s="131">
        <f>SUM(K28:K36)</f>
        <v>148.7</v>
      </c>
      <c r="M36" s="131"/>
      <c r="N36" s="132"/>
    </row>
    <row r="37" s="2" customFormat="1" ht="20.25" spans="1:15">
      <c r="A37" s="126">
        <v>45661</v>
      </c>
      <c r="B37" s="127">
        <v>27</v>
      </c>
      <c r="C37" s="126">
        <v>45661</v>
      </c>
      <c r="D37" s="126"/>
      <c r="E37" s="126"/>
      <c r="F37" s="131" t="s">
        <v>307</v>
      </c>
      <c r="G37" s="134">
        <v>1</v>
      </c>
      <c r="H37" s="134">
        <v>32</v>
      </c>
      <c r="I37" s="136">
        <f t="shared" si="3"/>
        <v>32</v>
      </c>
      <c r="J37" s="135">
        <v>12.2</v>
      </c>
      <c r="K37" s="135"/>
      <c r="L37" s="131"/>
      <c r="M37" s="131"/>
      <c r="N37" s="134">
        <v>42</v>
      </c>
      <c r="O37" s="2">
        <f>SUM(O26:O36)</f>
        <v>0</v>
      </c>
    </row>
    <row r="38" s="2" customFormat="1" ht="20.25" spans="1:15">
      <c r="A38" s="126">
        <v>45661</v>
      </c>
      <c r="B38" s="127">
        <v>27</v>
      </c>
      <c r="C38" s="126">
        <v>45661</v>
      </c>
      <c r="D38" s="126"/>
      <c r="E38" s="126"/>
      <c r="F38" s="131" t="s">
        <v>120</v>
      </c>
      <c r="G38" s="134">
        <v>1</v>
      </c>
      <c r="H38" s="134">
        <v>2</v>
      </c>
      <c r="I38" s="136">
        <f t="shared" si="3"/>
        <v>2</v>
      </c>
      <c r="J38" s="135">
        <v>21</v>
      </c>
      <c r="K38" s="135">
        <f t="shared" ref="K38:K45" si="5">I38*J38</f>
        <v>42</v>
      </c>
    </row>
    <row r="39" s="2" customFormat="1" ht="20.25" spans="1:15">
      <c r="A39" s="126">
        <v>45661</v>
      </c>
      <c r="B39" s="127">
        <v>27</v>
      </c>
      <c r="C39" s="126">
        <v>45661</v>
      </c>
      <c r="D39" s="126"/>
      <c r="E39" s="126"/>
      <c r="F39" s="131" t="s">
        <v>310</v>
      </c>
      <c r="G39" s="134">
        <v>1</v>
      </c>
      <c r="H39" s="134">
        <v>15</v>
      </c>
      <c r="I39" s="136">
        <f t="shared" si="3"/>
        <v>15</v>
      </c>
      <c r="J39" s="135">
        <v>0.6</v>
      </c>
      <c r="K39" s="135">
        <f t="shared" si="5"/>
        <v>9</v>
      </c>
      <c r="L39" s="131" t="s">
        <v>321</v>
      </c>
      <c r="M39" s="131"/>
    </row>
    <row r="40" s="2" customFormat="1" ht="20.25" spans="1:15">
      <c r="A40" s="126">
        <v>45661</v>
      </c>
      <c r="B40" s="127">
        <v>27</v>
      </c>
      <c r="C40" s="126">
        <v>45661</v>
      </c>
      <c r="D40" s="126"/>
      <c r="E40" s="126"/>
      <c r="F40" s="131" t="s">
        <v>311</v>
      </c>
      <c r="G40" s="134">
        <v>1</v>
      </c>
      <c r="H40" s="134">
        <v>24</v>
      </c>
      <c r="I40" s="136">
        <f t="shared" si="3"/>
        <v>24</v>
      </c>
      <c r="J40" s="135">
        <v>7.8</v>
      </c>
      <c r="K40" s="135">
        <f t="shared" si="5"/>
        <v>187.2</v>
      </c>
      <c r="L40" s="131" t="s">
        <v>346</v>
      </c>
      <c r="M40" s="131"/>
    </row>
    <row r="41" s="2" customFormat="1" ht="20.25" spans="1:15">
      <c r="A41" s="126">
        <v>45661</v>
      </c>
      <c r="B41" s="127">
        <v>27</v>
      </c>
      <c r="C41" s="126">
        <v>45661</v>
      </c>
      <c r="D41" s="126"/>
      <c r="E41" s="126"/>
      <c r="F41" s="131" t="s">
        <v>312</v>
      </c>
      <c r="G41" s="134">
        <v>1</v>
      </c>
      <c r="H41" s="134">
        <v>20</v>
      </c>
      <c r="I41" s="136">
        <f t="shared" si="3"/>
        <v>20</v>
      </c>
      <c r="J41" s="135">
        <v>3.7</v>
      </c>
      <c r="K41" s="135">
        <f t="shared" si="5"/>
        <v>74</v>
      </c>
      <c r="L41" s="131" t="s">
        <v>723</v>
      </c>
      <c r="M41" s="131" t="s">
        <v>717</v>
      </c>
    </row>
    <row r="42" s="2" customFormat="1" ht="20.25" spans="1:15">
      <c r="A42" s="126">
        <v>45661</v>
      </c>
      <c r="B42" s="127">
        <v>27</v>
      </c>
      <c r="C42" s="126">
        <v>45661</v>
      </c>
      <c r="D42" s="126"/>
      <c r="E42" s="126"/>
      <c r="F42" s="131" t="s">
        <v>313</v>
      </c>
      <c r="G42" s="134">
        <v>1</v>
      </c>
      <c r="H42" s="134">
        <v>0.8</v>
      </c>
      <c r="I42" s="136">
        <f t="shared" si="3"/>
        <v>0.8</v>
      </c>
      <c r="J42" s="135">
        <v>45</v>
      </c>
      <c r="K42" s="135">
        <f t="shared" si="5"/>
        <v>36</v>
      </c>
    </row>
    <row r="43" s="2" customFormat="1" ht="20.25" spans="1:15">
      <c r="A43" s="126">
        <v>45661</v>
      </c>
      <c r="B43" s="127">
        <v>27</v>
      </c>
      <c r="C43" s="126">
        <v>45661</v>
      </c>
      <c r="D43" s="126"/>
      <c r="E43" s="126"/>
      <c r="F43" s="131" t="s">
        <v>570</v>
      </c>
      <c r="G43" s="134">
        <v>1</v>
      </c>
      <c r="H43" s="134">
        <v>4.8</v>
      </c>
      <c r="I43" s="136">
        <f t="shared" si="3"/>
        <v>4.8</v>
      </c>
      <c r="J43" s="135">
        <v>25</v>
      </c>
      <c r="K43" s="135">
        <f t="shared" si="5"/>
        <v>120</v>
      </c>
    </row>
    <row r="44" s="2" customFormat="1" ht="20.25" spans="1:15">
      <c r="A44" s="126">
        <v>45661</v>
      </c>
      <c r="B44" s="127">
        <v>27</v>
      </c>
      <c r="C44" s="126">
        <v>45661</v>
      </c>
      <c r="D44" s="126"/>
      <c r="E44" s="126"/>
      <c r="F44" s="131" t="s">
        <v>323</v>
      </c>
      <c r="G44" s="134">
        <v>1</v>
      </c>
      <c r="H44" s="134">
        <v>5</v>
      </c>
      <c r="I44" s="136">
        <f t="shared" si="3"/>
        <v>5</v>
      </c>
      <c r="J44" s="135">
        <v>18</v>
      </c>
      <c r="K44" s="135">
        <f t="shared" si="5"/>
        <v>90</v>
      </c>
      <c r="L44" s="131"/>
      <c r="M44" s="2" t="s">
        <v>724</v>
      </c>
    </row>
    <row r="45" s="2" customFormat="1" ht="20.25" spans="1:15">
      <c r="A45" s="126">
        <v>45661</v>
      </c>
      <c r="B45" s="127">
        <v>27</v>
      </c>
      <c r="C45" s="126">
        <v>45661</v>
      </c>
      <c r="D45" s="126"/>
      <c r="E45" s="126"/>
      <c r="F45" s="131" t="s">
        <v>351</v>
      </c>
      <c r="G45" s="134">
        <v>1</v>
      </c>
      <c r="H45" s="134">
        <v>3.3</v>
      </c>
      <c r="I45" s="136">
        <f t="shared" si="3"/>
        <v>3.3</v>
      </c>
      <c r="J45" s="135">
        <v>25</v>
      </c>
      <c r="K45" s="135">
        <f t="shared" si="5"/>
        <v>82.5</v>
      </c>
      <c r="L45" s="131">
        <v>9.6</v>
      </c>
      <c r="M45" s="2" t="s">
        <v>725</v>
      </c>
      <c r="N45" s="132"/>
    </row>
    <row r="46" s="2" customFormat="1" ht="20.25" spans="1:15">
      <c r="A46" s="126">
        <v>45661</v>
      </c>
      <c r="B46" s="127">
        <v>27</v>
      </c>
      <c r="C46" s="126">
        <v>45661</v>
      </c>
      <c r="D46" s="126"/>
      <c r="E46" s="126"/>
      <c r="F46" s="131" t="s">
        <v>726</v>
      </c>
      <c r="G46" s="134">
        <v>1</v>
      </c>
      <c r="H46" s="134">
        <v>20</v>
      </c>
      <c r="I46" s="136">
        <f t="shared" si="3"/>
        <v>20</v>
      </c>
      <c r="J46" s="135"/>
      <c r="K46" s="135"/>
      <c r="L46" s="131"/>
      <c r="M46" s="131"/>
      <c r="N46" s="132"/>
    </row>
    <row r="47" s="2" customFormat="1" ht="20.25" spans="1:15">
      <c r="A47" s="126">
        <v>45661</v>
      </c>
      <c r="B47" s="127">
        <v>27</v>
      </c>
      <c r="C47" s="126">
        <v>45661</v>
      </c>
      <c r="D47" s="126"/>
      <c r="E47" s="126"/>
      <c r="F47" s="131" t="s">
        <v>727</v>
      </c>
      <c r="G47" s="134">
        <v>1</v>
      </c>
      <c r="H47" s="134">
        <v>19</v>
      </c>
      <c r="I47" s="136">
        <f t="shared" si="3"/>
        <v>19</v>
      </c>
      <c r="J47" s="135"/>
      <c r="K47" s="135"/>
      <c r="L47" s="131"/>
      <c r="M47" s="131"/>
      <c r="N47" s="132"/>
    </row>
    <row r="48" s="2" customFormat="1" ht="20.25" spans="1:15">
      <c r="A48" s="126">
        <v>45661</v>
      </c>
      <c r="B48" s="127">
        <v>27</v>
      </c>
      <c r="C48" s="126">
        <v>45661</v>
      </c>
      <c r="D48" s="126"/>
      <c r="E48" s="126"/>
      <c r="F48" s="131" t="s">
        <v>728</v>
      </c>
      <c r="G48" s="134">
        <v>1</v>
      </c>
      <c r="H48" s="139">
        <f>SUM(H37:H47)</f>
        <v>145.9</v>
      </c>
      <c r="I48" s="114">
        <f t="shared" si="3"/>
        <v>145.9</v>
      </c>
      <c r="J48" s="115">
        <v>2</v>
      </c>
      <c r="K48" s="115">
        <f t="shared" ref="K48:K56" si="6">I48*J48</f>
        <v>291.8</v>
      </c>
      <c r="L48" s="131"/>
      <c r="M48" s="131"/>
      <c r="N48" s="132"/>
    </row>
    <row r="49" s="2" customFormat="1" ht="20.25" spans="1:15">
      <c r="A49" s="126">
        <v>45661</v>
      </c>
      <c r="B49" s="127">
        <v>27</v>
      </c>
      <c r="C49" s="126">
        <v>45661</v>
      </c>
      <c r="D49" s="126"/>
      <c r="E49" s="126"/>
      <c r="F49" s="131" t="s">
        <v>316</v>
      </c>
      <c r="G49" s="134">
        <v>7</v>
      </c>
      <c r="H49" s="134">
        <v>1</v>
      </c>
      <c r="I49" s="136">
        <f t="shared" si="3"/>
        <v>7</v>
      </c>
      <c r="J49" s="135">
        <v>12.5</v>
      </c>
      <c r="K49" s="135">
        <f t="shared" si="6"/>
        <v>87.5</v>
      </c>
      <c r="L49" s="131">
        <f>SUM(K37:K49)</f>
        <v>1020</v>
      </c>
    </row>
    <row r="50" s="1" customFormat="1" ht="20.25" spans="1:15">
      <c r="A50" s="51">
        <v>45671</v>
      </c>
      <c r="B50" s="105">
        <v>46</v>
      </c>
      <c r="C50" s="51">
        <v>45670</v>
      </c>
      <c r="D50" s="51"/>
      <c r="E50" s="51"/>
      <c r="F50" s="110" t="s">
        <v>307</v>
      </c>
      <c r="G50" s="107">
        <v>1</v>
      </c>
      <c r="H50" s="107">
        <v>400</v>
      </c>
      <c r="I50" s="108">
        <f t="shared" si="3"/>
        <v>400</v>
      </c>
      <c r="J50" s="109">
        <v>12.2</v>
      </c>
      <c r="K50" s="109">
        <f t="shared" si="6"/>
        <v>4880</v>
      </c>
      <c r="L50" s="110"/>
      <c r="M50" s="110"/>
      <c r="N50" s="107">
        <v>42</v>
      </c>
      <c r="O50" s="1">
        <f>SUM(O39:O49)</f>
        <v>0</v>
      </c>
    </row>
    <row r="51" s="1" customFormat="1" ht="20.25" spans="1:15">
      <c r="A51" s="51">
        <v>45671</v>
      </c>
      <c r="B51" s="105">
        <v>46</v>
      </c>
      <c r="C51" s="51">
        <v>45670</v>
      </c>
      <c r="D51" s="51"/>
      <c r="E51" s="51"/>
      <c r="F51" s="106">
        <v>965</v>
      </c>
      <c r="G51" s="107">
        <v>1</v>
      </c>
      <c r="H51" s="107">
        <v>43</v>
      </c>
      <c r="I51" s="108">
        <f t="shared" si="3"/>
        <v>43</v>
      </c>
      <c r="J51" s="109">
        <v>13</v>
      </c>
      <c r="K51" s="109">
        <f t="shared" si="6"/>
        <v>559</v>
      </c>
      <c r="L51" s="110"/>
      <c r="M51" s="110"/>
      <c r="N51" s="107"/>
    </row>
    <row r="52" s="1" customFormat="1" ht="20.25" spans="1:15">
      <c r="A52" s="51">
        <v>45671</v>
      </c>
      <c r="B52" s="105">
        <v>46</v>
      </c>
      <c r="C52" s="51">
        <v>45670</v>
      </c>
      <c r="D52" s="51"/>
      <c r="E52" s="51"/>
      <c r="F52" s="110" t="s">
        <v>120</v>
      </c>
      <c r="G52" s="107">
        <v>1</v>
      </c>
      <c r="H52" s="107">
        <v>22</v>
      </c>
      <c r="I52" s="108">
        <f t="shared" si="3"/>
        <v>22</v>
      </c>
      <c r="J52" s="109">
        <v>21</v>
      </c>
      <c r="K52" s="109">
        <f t="shared" si="6"/>
        <v>462</v>
      </c>
      <c r="L52" s="1" t="s">
        <v>729</v>
      </c>
      <c r="M52" s="110"/>
      <c r="N52" s="111"/>
    </row>
    <row r="53" s="1" customFormat="1" ht="20.25" spans="1:15">
      <c r="A53" s="51">
        <v>45671</v>
      </c>
      <c r="B53" s="105">
        <v>46</v>
      </c>
      <c r="C53" s="51">
        <v>45670</v>
      </c>
      <c r="D53" s="51"/>
      <c r="E53" s="51"/>
      <c r="F53" s="110" t="s">
        <v>310</v>
      </c>
      <c r="G53" s="107">
        <v>1</v>
      </c>
      <c r="H53" s="107">
        <v>75</v>
      </c>
      <c r="I53" s="108">
        <f t="shared" si="3"/>
        <v>75</v>
      </c>
      <c r="J53" s="109">
        <v>0.6</v>
      </c>
      <c r="K53" s="109">
        <f t="shared" si="6"/>
        <v>45</v>
      </c>
      <c r="L53" s="255" t="s">
        <v>730</v>
      </c>
      <c r="M53" s="110"/>
      <c r="N53" s="111"/>
    </row>
    <row r="54" s="1" customFormat="1" ht="20.25" spans="1:15">
      <c r="A54" s="51">
        <v>45671</v>
      </c>
      <c r="B54" s="105">
        <v>46</v>
      </c>
      <c r="C54" s="51">
        <v>45670</v>
      </c>
      <c r="D54" s="51"/>
      <c r="E54" s="51"/>
      <c r="F54" s="110" t="s">
        <v>311</v>
      </c>
      <c r="G54" s="107">
        <v>1</v>
      </c>
      <c r="H54" s="107">
        <v>420</v>
      </c>
      <c r="I54" s="108">
        <f t="shared" si="3"/>
        <v>420</v>
      </c>
      <c r="J54" s="109">
        <v>7.2</v>
      </c>
      <c r="K54" s="109">
        <f t="shared" si="6"/>
        <v>3024</v>
      </c>
      <c r="L54" s="12" t="s">
        <v>731</v>
      </c>
      <c r="M54" s="110"/>
      <c r="N54" s="111"/>
    </row>
    <row r="55" s="1" customFormat="1" ht="20.25" spans="1:15">
      <c r="A55" s="51">
        <v>45671</v>
      </c>
      <c r="B55" s="105">
        <v>46</v>
      </c>
      <c r="C55" s="51">
        <v>45670</v>
      </c>
      <c r="D55" s="51"/>
      <c r="E55" s="51"/>
      <c r="F55" s="110" t="s">
        <v>312</v>
      </c>
      <c r="G55" s="107">
        <v>1</v>
      </c>
      <c r="H55" s="107">
        <v>60</v>
      </c>
      <c r="I55" s="108">
        <f t="shared" si="3"/>
        <v>60</v>
      </c>
      <c r="J55" s="109">
        <v>3.7</v>
      </c>
      <c r="K55" s="109">
        <f t="shared" si="6"/>
        <v>222</v>
      </c>
      <c r="M55" s="110"/>
      <c r="N55" s="111"/>
    </row>
    <row r="56" s="1" customFormat="1" ht="20.25" spans="1:15">
      <c r="A56" s="51">
        <v>45671</v>
      </c>
      <c r="B56" s="105">
        <v>46</v>
      </c>
      <c r="C56" s="51">
        <v>45670</v>
      </c>
      <c r="D56" s="51"/>
      <c r="E56" s="51"/>
      <c r="F56" s="110" t="s">
        <v>632</v>
      </c>
      <c r="G56" s="107">
        <v>1</v>
      </c>
      <c r="H56" s="107">
        <v>0.5</v>
      </c>
      <c r="I56" s="108">
        <f t="shared" si="3"/>
        <v>0.5</v>
      </c>
      <c r="J56" s="109">
        <v>55</v>
      </c>
      <c r="K56" s="109">
        <f t="shared" si="6"/>
        <v>27.5</v>
      </c>
      <c r="L56" s="1" t="s">
        <v>732</v>
      </c>
      <c r="M56" s="110"/>
      <c r="N56" s="111"/>
    </row>
    <row r="57" s="1" customFormat="1" ht="20.25" spans="1:15">
      <c r="A57" s="51">
        <v>45671</v>
      </c>
      <c r="B57" s="105">
        <v>46</v>
      </c>
      <c r="C57" s="51">
        <v>45670</v>
      </c>
      <c r="D57" s="51"/>
      <c r="E57" s="51"/>
      <c r="F57" s="110" t="s">
        <v>733</v>
      </c>
      <c r="G57" s="107">
        <v>1</v>
      </c>
      <c r="H57" s="107">
        <v>100</v>
      </c>
      <c r="I57" s="108">
        <f t="shared" si="3"/>
        <v>100</v>
      </c>
      <c r="J57" s="109">
        <v>6.7</v>
      </c>
      <c r="K57" s="109"/>
      <c r="M57" s="110"/>
      <c r="N57" s="111"/>
    </row>
    <row r="58" s="1" customFormat="1" ht="20.25" spans="1:15">
      <c r="A58" s="51">
        <v>45671</v>
      </c>
      <c r="B58" s="105">
        <v>46</v>
      </c>
      <c r="C58" s="51">
        <v>45670</v>
      </c>
      <c r="D58" s="51"/>
      <c r="E58" s="51"/>
      <c r="F58" s="110" t="s">
        <v>734</v>
      </c>
      <c r="G58" s="107">
        <v>1</v>
      </c>
      <c r="H58" s="107">
        <f>SUM(H50:H57)</f>
        <v>1120.5</v>
      </c>
      <c r="I58" s="108">
        <f t="shared" si="3"/>
        <v>1120.5</v>
      </c>
      <c r="J58" s="109">
        <v>2</v>
      </c>
      <c r="K58" s="109">
        <f t="shared" ref="K58:K69" si="7">I58*J58</f>
        <v>2241</v>
      </c>
      <c r="L58" s="110"/>
      <c r="M58" s="110"/>
      <c r="N58" s="111"/>
    </row>
    <row r="59" s="1" customFormat="1" ht="20.25" spans="1:15">
      <c r="A59" s="51">
        <v>45671</v>
      </c>
      <c r="B59" s="105">
        <v>46</v>
      </c>
      <c r="C59" s="51">
        <v>45670</v>
      </c>
      <c r="D59" s="51"/>
      <c r="E59" s="51"/>
      <c r="F59" s="110" t="s">
        <v>316</v>
      </c>
      <c r="G59" s="107">
        <v>62</v>
      </c>
      <c r="H59" s="107">
        <v>1</v>
      </c>
      <c r="I59" s="108">
        <f t="shared" si="3"/>
        <v>62</v>
      </c>
      <c r="J59" s="109">
        <v>12.5</v>
      </c>
      <c r="K59" s="109">
        <f t="shared" si="7"/>
        <v>775</v>
      </c>
      <c r="L59" s="110">
        <f>SUM(K50:K59)</f>
        <v>12235.5</v>
      </c>
      <c r="M59" s="110"/>
      <c r="N59" s="111"/>
    </row>
    <row r="60" s="2" customFormat="1" ht="20.25" spans="1:15">
      <c r="A60" s="126">
        <v>45672</v>
      </c>
      <c r="B60" s="127">
        <v>53</v>
      </c>
      <c r="C60" s="126">
        <v>45671</v>
      </c>
      <c r="D60" s="126"/>
      <c r="E60" s="126"/>
      <c r="F60" s="131" t="s">
        <v>735</v>
      </c>
      <c r="G60" s="134">
        <v>1</v>
      </c>
      <c r="H60" s="134">
        <v>133</v>
      </c>
      <c r="I60" s="136">
        <f t="shared" si="3"/>
        <v>133</v>
      </c>
      <c r="J60" s="135">
        <v>13.5</v>
      </c>
      <c r="K60" s="135"/>
      <c r="L60" s="131"/>
      <c r="M60" s="131"/>
      <c r="N60" s="134"/>
      <c r="O60" s="2">
        <v>126</v>
      </c>
    </row>
    <row r="61" s="2" customFormat="1" ht="20.25" spans="1:15">
      <c r="A61" s="126">
        <v>45672</v>
      </c>
      <c r="B61" s="127">
        <v>53</v>
      </c>
      <c r="C61" s="126">
        <v>45671</v>
      </c>
      <c r="D61" s="126"/>
      <c r="E61" s="126"/>
      <c r="F61" s="131" t="s">
        <v>120</v>
      </c>
      <c r="G61" s="134">
        <v>1</v>
      </c>
      <c r="H61" s="134">
        <v>8</v>
      </c>
      <c r="I61" s="136">
        <f t="shared" si="3"/>
        <v>8</v>
      </c>
      <c r="J61" s="135">
        <v>21</v>
      </c>
      <c r="K61" s="135">
        <f t="shared" si="7"/>
        <v>168</v>
      </c>
      <c r="L61" s="131"/>
      <c r="M61" s="131"/>
      <c r="N61" s="134"/>
      <c r="O61" s="2">
        <v>6</v>
      </c>
    </row>
    <row r="62" s="2" customFormat="1" ht="20.25" spans="1:15">
      <c r="A62" s="126">
        <v>45672</v>
      </c>
      <c r="B62" s="127">
        <v>53</v>
      </c>
      <c r="C62" s="126">
        <v>45671</v>
      </c>
      <c r="D62" s="126"/>
      <c r="E62" s="126"/>
      <c r="F62" s="131" t="s">
        <v>310</v>
      </c>
      <c r="G62" s="134">
        <v>1</v>
      </c>
      <c r="H62" s="134">
        <v>46</v>
      </c>
      <c r="I62" s="136">
        <f t="shared" si="3"/>
        <v>46</v>
      </c>
      <c r="J62" s="135">
        <v>0.6</v>
      </c>
      <c r="K62" s="135">
        <f t="shared" si="7"/>
        <v>27.6</v>
      </c>
      <c r="L62" s="131"/>
      <c r="M62" s="131"/>
      <c r="N62" s="134"/>
      <c r="O62" s="2">
        <v>36</v>
      </c>
    </row>
    <row r="63" s="2" customFormat="1" ht="20.25" spans="1:15">
      <c r="A63" s="126">
        <v>45672</v>
      </c>
      <c r="B63" s="127">
        <v>53</v>
      </c>
      <c r="C63" s="126">
        <v>45671</v>
      </c>
      <c r="D63" s="126"/>
      <c r="E63" s="126"/>
      <c r="F63" s="131" t="s">
        <v>311</v>
      </c>
      <c r="G63" s="134">
        <v>1</v>
      </c>
      <c r="H63" s="134">
        <v>82</v>
      </c>
      <c r="I63" s="136">
        <f t="shared" si="3"/>
        <v>82</v>
      </c>
      <c r="J63" s="135">
        <v>7.8</v>
      </c>
      <c r="K63" s="135">
        <f t="shared" si="7"/>
        <v>639.6</v>
      </c>
      <c r="L63" s="131"/>
      <c r="M63" s="131"/>
      <c r="N63" s="134"/>
      <c r="O63" s="2">
        <v>117</v>
      </c>
    </row>
    <row r="64" s="2" customFormat="1" ht="20.25" spans="1:15">
      <c r="A64" s="126">
        <v>45672</v>
      </c>
      <c r="B64" s="127">
        <v>53</v>
      </c>
      <c r="C64" s="126">
        <v>45671</v>
      </c>
      <c r="D64" s="126"/>
      <c r="E64" s="126"/>
      <c r="F64" s="131" t="s">
        <v>312</v>
      </c>
      <c r="G64" s="134">
        <v>1</v>
      </c>
      <c r="H64" s="134">
        <v>71</v>
      </c>
      <c r="I64" s="136">
        <f t="shared" si="3"/>
        <v>71</v>
      </c>
      <c r="J64" s="135">
        <v>3.7</v>
      </c>
      <c r="K64" s="135">
        <f t="shared" si="7"/>
        <v>262.7</v>
      </c>
      <c r="L64" s="131"/>
      <c r="M64" s="131"/>
      <c r="N64" s="134"/>
      <c r="O64" s="2">
        <v>133</v>
      </c>
    </row>
    <row r="65" s="2" customFormat="1" ht="20.25" spans="1:15">
      <c r="A65" s="126">
        <v>45672</v>
      </c>
      <c r="B65" s="127">
        <v>53</v>
      </c>
      <c r="C65" s="126">
        <v>45671</v>
      </c>
      <c r="D65" s="126"/>
      <c r="E65" s="126"/>
      <c r="F65" s="131" t="s">
        <v>125</v>
      </c>
      <c r="G65" s="134">
        <v>1</v>
      </c>
      <c r="H65" s="134">
        <v>9.6</v>
      </c>
      <c r="I65" s="136">
        <f t="shared" si="3"/>
        <v>9.6</v>
      </c>
      <c r="J65" s="135">
        <v>25</v>
      </c>
      <c r="K65" s="135">
        <f t="shared" si="7"/>
        <v>240</v>
      </c>
      <c r="L65" s="131"/>
      <c r="M65" s="131"/>
      <c r="N65" s="134"/>
      <c r="O65" s="2">
        <v>3</v>
      </c>
    </row>
    <row r="66" s="2" customFormat="1" ht="20.25" spans="1:15">
      <c r="A66" s="126">
        <v>45672</v>
      </c>
      <c r="B66" s="127">
        <v>53</v>
      </c>
      <c r="C66" s="126">
        <v>45671</v>
      </c>
      <c r="D66" s="126"/>
      <c r="E66" s="126"/>
      <c r="F66" s="131" t="s">
        <v>313</v>
      </c>
      <c r="G66" s="134">
        <v>1</v>
      </c>
      <c r="H66" s="134">
        <v>5.8</v>
      </c>
      <c r="I66" s="136">
        <f t="shared" si="3"/>
        <v>5.8</v>
      </c>
      <c r="J66" s="135">
        <v>45</v>
      </c>
      <c r="K66" s="135">
        <f t="shared" si="7"/>
        <v>261</v>
      </c>
      <c r="L66" s="256" t="s">
        <v>736</v>
      </c>
      <c r="M66" s="131"/>
      <c r="N66" s="134"/>
      <c r="O66" s="2">
        <v>3</v>
      </c>
    </row>
    <row r="67" s="2" customFormat="1" ht="20.25" spans="1:15">
      <c r="A67" s="126">
        <v>45672</v>
      </c>
      <c r="B67" s="127">
        <v>53</v>
      </c>
      <c r="C67" s="126">
        <v>45671</v>
      </c>
      <c r="D67" s="126"/>
      <c r="E67" s="126"/>
      <c r="F67" s="131" t="s">
        <v>309</v>
      </c>
      <c r="G67" s="134">
        <v>1</v>
      </c>
      <c r="H67" s="134">
        <v>9</v>
      </c>
      <c r="I67" s="136">
        <f t="shared" si="3"/>
        <v>9</v>
      </c>
      <c r="J67" s="135">
        <v>18</v>
      </c>
      <c r="K67" s="135">
        <f t="shared" si="7"/>
        <v>162</v>
      </c>
      <c r="L67" s="131" t="s">
        <v>321</v>
      </c>
      <c r="M67" s="131"/>
      <c r="N67" s="134"/>
      <c r="O67" s="2">
        <v>5</v>
      </c>
    </row>
    <row r="68" s="2" customFormat="1" ht="20.25" spans="1:15">
      <c r="A68" s="126">
        <v>45672</v>
      </c>
      <c r="B68" s="127">
        <v>53</v>
      </c>
      <c r="C68" s="126">
        <v>45671</v>
      </c>
      <c r="D68" s="126"/>
      <c r="E68" s="126"/>
      <c r="F68" s="131" t="s">
        <v>715</v>
      </c>
      <c r="G68" s="134">
        <v>1</v>
      </c>
      <c r="H68" s="134">
        <f>SUM(H60:H67)</f>
        <v>364.4</v>
      </c>
      <c r="I68" s="136">
        <f t="shared" si="3"/>
        <v>364.4</v>
      </c>
      <c r="J68" s="135">
        <v>2</v>
      </c>
      <c r="K68" s="135">
        <f t="shared" si="7"/>
        <v>728.8</v>
      </c>
      <c r="L68" s="131" t="s">
        <v>346</v>
      </c>
      <c r="M68" s="131"/>
      <c r="N68" s="134"/>
      <c r="O68" s="2">
        <v>14</v>
      </c>
    </row>
    <row r="69" s="2" customFormat="1" ht="20.25" spans="1:15">
      <c r="A69" s="126">
        <v>45672</v>
      </c>
      <c r="B69" s="127">
        <v>53</v>
      </c>
      <c r="C69" s="126">
        <v>45671</v>
      </c>
      <c r="D69" s="126"/>
      <c r="E69" s="126"/>
      <c r="F69" s="131" t="s">
        <v>316</v>
      </c>
      <c r="G69" s="134">
        <v>20</v>
      </c>
      <c r="H69" s="134">
        <v>1</v>
      </c>
      <c r="I69" s="136">
        <f t="shared" si="3"/>
        <v>20</v>
      </c>
      <c r="J69" s="135">
        <v>12.5</v>
      </c>
      <c r="K69" s="135">
        <f t="shared" si="7"/>
        <v>250</v>
      </c>
      <c r="L69" s="131" t="s">
        <v>737</v>
      </c>
      <c r="M69" s="131" t="s">
        <v>717</v>
      </c>
      <c r="N69" s="134"/>
    </row>
    <row r="70" s="1" customFormat="1" ht="20.25" spans="1:15">
      <c r="A70" s="51">
        <v>45672</v>
      </c>
      <c r="B70" s="105">
        <v>54</v>
      </c>
      <c r="C70" s="51">
        <v>45671</v>
      </c>
      <c r="D70" s="51"/>
      <c r="E70" s="51"/>
      <c r="F70" s="110" t="s">
        <v>735</v>
      </c>
      <c r="G70" s="107">
        <v>1</v>
      </c>
      <c r="H70" s="107">
        <v>67</v>
      </c>
      <c r="I70" s="108">
        <f t="shared" si="3"/>
        <v>67</v>
      </c>
      <c r="J70" s="109">
        <v>13.5</v>
      </c>
      <c r="K70" s="135"/>
      <c r="L70" s="110">
        <f>SUM(K60:K69)</f>
        <v>2739.7</v>
      </c>
      <c r="M70" s="110"/>
      <c r="N70" s="107"/>
      <c r="O70" s="1">
        <f>SUM(O60:O69)</f>
        <v>443</v>
      </c>
    </row>
    <row r="71" s="1" customFormat="1" ht="20.25" spans="1:15">
      <c r="A71" s="51">
        <v>45672</v>
      </c>
      <c r="B71" s="105">
        <v>54</v>
      </c>
      <c r="C71" s="51">
        <v>45671</v>
      </c>
      <c r="D71" s="51"/>
      <c r="E71" s="51"/>
      <c r="F71" s="110" t="s">
        <v>120</v>
      </c>
      <c r="G71" s="107">
        <v>1</v>
      </c>
      <c r="H71" s="107">
        <v>4</v>
      </c>
      <c r="I71" s="108">
        <f t="shared" si="3"/>
        <v>4</v>
      </c>
      <c r="J71" s="109">
        <v>21</v>
      </c>
      <c r="K71" s="135">
        <f t="shared" ref="K71:K92" si="8">I71*J71</f>
        <v>84</v>
      </c>
    </row>
    <row r="72" s="1" customFormat="1" ht="20.25" spans="1:15">
      <c r="A72" s="51">
        <v>45672</v>
      </c>
      <c r="B72" s="105">
        <v>54</v>
      </c>
      <c r="C72" s="51">
        <v>45671</v>
      </c>
      <c r="D72" s="51"/>
      <c r="E72" s="51"/>
      <c r="F72" s="110" t="s">
        <v>310</v>
      </c>
      <c r="G72" s="107">
        <v>1</v>
      </c>
      <c r="H72" s="107">
        <v>23</v>
      </c>
      <c r="I72" s="108">
        <f t="shared" si="3"/>
        <v>23</v>
      </c>
      <c r="J72" s="109">
        <v>0.6</v>
      </c>
      <c r="K72" s="135">
        <f t="shared" si="8"/>
        <v>13.8</v>
      </c>
    </row>
    <row r="73" s="1" customFormat="1" ht="20.25" spans="1:15">
      <c r="A73" s="51">
        <v>45672</v>
      </c>
      <c r="B73" s="105">
        <v>54</v>
      </c>
      <c r="C73" s="51">
        <v>45671</v>
      </c>
      <c r="D73" s="51"/>
      <c r="E73" s="51"/>
      <c r="F73" s="110" t="s">
        <v>311</v>
      </c>
      <c r="G73" s="107">
        <v>1</v>
      </c>
      <c r="H73" s="107">
        <v>44</v>
      </c>
      <c r="I73" s="108">
        <f t="shared" si="3"/>
        <v>44</v>
      </c>
      <c r="J73" s="109">
        <v>7.8</v>
      </c>
      <c r="K73" s="135">
        <f t="shared" si="8"/>
        <v>343.2</v>
      </c>
      <c r="M73" s="131" t="s">
        <v>321</v>
      </c>
    </row>
    <row r="74" s="1" customFormat="1" ht="20.25" spans="1:15">
      <c r="A74" s="51">
        <v>45672</v>
      </c>
      <c r="B74" s="105">
        <v>54</v>
      </c>
      <c r="C74" s="51">
        <v>45671</v>
      </c>
      <c r="D74" s="51"/>
      <c r="E74" s="51"/>
      <c r="F74" s="110" t="s">
        <v>312</v>
      </c>
      <c r="G74" s="107">
        <v>1</v>
      </c>
      <c r="H74" s="107">
        <v>36</v>
      </c>
      <c r="I74" s="108">
        <f t="shared" si="3"/>
        <v>36</v>
      </c>
      <c r="J74" s="109">
        <v>3.7</v>
      </c>
      <c r="K74" s="135">
        <f t="shared" si="8"/>
        <v>133.2</v>
      </c>
      <c r="M74" s="131" t="s">
        <v>346</v>
      </c>
    </row>
    <row r="75" s="1" customFormat="1" ht="20.25" spans="1:15">
      <c r="A75" s="51">
        <v>45672</v>
      </c>
      <c r="B75" s="105">
        <v>54</v>
      </c>
      <c r="C75" s="51">
        <v>45671</v>
      </c>
      <c r="D75" s="51"/>
      <c r="E75" s="51"/>
      <c r="F75" s="110" t="s">
        <v>125</v>
      </c>
      <c r="G75" s="107">
        <v>1</v>
      </c>
      <c r="H75" s="107">
        <v>3.5</v>
      </c>
      <c r="I75" s="108">
        <f t="shared" si="3"/>
        <v>3.5</v>
      </c>
      <c r="J75" s="109">
        <v>25</v>
      </c>
      <c r="K75" s="135">
        <f t="shared" si="8"/>
        <v>87.5</v>
      </c>
      <c r="M75" s="131" t="s">
        <v>738</v>
      </c>
    </row>
    <row r="76" s="1" customFormat="1" ht="20.25" spans="1:15">
      <c r="A76" s="51">
        <v>45672</v>
      </c>
      <c r="B76" s="105">
        <v>54</v>
      </c>
      <c r="C76" s="51">
        <v>45671</v>
      </c>
      <c r="D76" s="51"/>
      <c r="E76" s="51"/>
      <c r="F76" s="110" t="s">
        <v>313</v>
      </c>
      <c r="G76" s="107">
        <v>1</v>
      </c>
      <c r="H76" s="107">
        <v>2</v>
      </c>
      <c r="I76" s="108">
        <f t="shared" si="3"/>
        <v>2</v>
      </c>
      <c r="J76" s="109">
        <v>45</v>
      </c>
      <c r="K76" s="135">
        <f t="shared" si="8"/>
        <v>90</v>
      </c>
      <c r="M76" s="131" t="s">
        <v>717</v>
      </c>
      <c r="N76" s="131"/>
    </row>
    <row r="77" s="1" customFormat="1" ht="20.25" spans="1:15">
      <c r="A77" s="51">
        <v>45672</v>
      </c>
      <c r="B77" s="105">
        <v>54</v>
      </c>
      <c r="C77" s="51">
        <v>45671</v>
      </c>
      <c r="D77" s="51"/>
      <c r="E77" s="51"/>
      <c r="F77" s="110" t="s">
        <v>309</v>
      </c>
      <c r="G77" s="107">
        <v>1</v>
      </c>
      <c r="H77" s="107">
        <v>4.5</v>
      </c>
      <c r="I77" s="108">
        <f t="shared" si="3"/>
        <v>4.5</v>
      </c>
      <c r="J77" s="109">
        <v>18</v>
      </c>
      <c r="K77" s="135">
        <f t="shared" si="8"/>
        <v>81</v>
      </c>
      <c r="L77" s="257" t="s">
        <v>739</v>
      </c>
      <c r="N77" s="131"/>
    </row>
    <row r="78" s="1" customFormat="1" ht="20.25" spans="1:15">
      <c r="A78" s="51">
        <v>45672</v>
      </c>
      <c r="B78" s="105">
        <v>54</v>
      </c>
      <c r="C78" s="51">
        <v>45671</v>
      </c>
      <c r="D78" s="51"/>
      <c r="E78" s="51"/>
      <c r="F78" s="110" t="s">
        <v>720</v>
      </c>
      <c r="G78" s="107">
        <v>1</v>
      </c>
      <c r="H78" s="107">
        <f>SUM(H70:H77)</f>
        <v>184</v>
      </c>
      <c r="I78" s="108">
        <f t="shared" si="3"/>
        <v>184</v>
      </c>
      <c r="J78" s="109">
        <v>2</v>
      </c>
      <c r="K78" s="135">
        <f t="shared" si="8"/>
        <v>368</v>
      </c>
      <c r="L78" s="110"/>
    </row>
    <row r="79" s="1" customFormat="1" ht="20.25" spans="1:15">
      <c r="A79" s="51">
        <v>45672</v>
      </c>
      <c r="B79" s="105">
        <v>54</v>
      </c>
      <c r="C79" s="51">
        <v>45671</v>
      </c>
      <c r="D79" s="51"/>
      <c r="E79" s="51"/>
      <c r="F79" s="110" t="s">
        <v>316</v>
      </c>
      <c r="G79" s="107">
        <v>10</v>
      </c>
      <c r="H79" s="107">
        <v>1</v>
      </c>
      <c r="I79" s="108">
        <f t="shared" si="3"/>
        <v>10</v>
      </c>
      <c r="J79" s="109">
        <v>12.5</v>
      </c>
      <c r="K79" s="135">
        <f t="shared" si="8"/>
        <v>125</v>
      </c>
      <c r="L79" s="110">
        <f>SUM(K70:K79)</f>
        <v>1325.7</v>
      </c>
    </row>
    <row r="80" s="242" customFormat="1" ht="20.25" spans="1:15">
      <c r="A80" s="258">
        <v>45672</v>
      </c>
      <c r="B80" s="127">
        <v>55</v>
      </c>
      <c r="C80" s="258">
        <v>45672</v>
      </c>
      <c r="D80" s="258"/>
      <c r="E80" s="258"/>
      <c r="F80" s="243" t="s">
        <v>307</v>
      </c>
      <c r="G80" s="136">
        <v>1</v>
      </c>
      <c r="H80" s="136">
        <v>150</v>
      </c>
      <c r="I80" s="136">
        <f t="shared" si="3"/>
        <v>150</v>
      </c>
      <c r="J80" s="135">
        <v>12.2</v>
      </c>
      <c r="K80" s="135">
        <f t="shared" si="8"/>
        <v>1830</v>
      </c>
      <c r="L80" s="243"/>
      <c r="M80" s="243"/>
      <c r="N80" s="259"/>
    </row>
    <row r="81" s="242" customFormat="1" ht="20.25" spans="1:15">
      <c r="A81" s="258">
        <v>45672</v>
      </c>
      <c r="B81" s="127">
        <v>55</v>
      </c>
      <c r="C81" s="258">
        <v>45672</v>
      </c>
      <c r="D81" s="258"/>
      <c r="E81" s="258"/>
      <c r="F81" s="243" t="s">
        <v>308</v>
      </c>
      <c r="G81" s="136">
        <v>1</v>
      </c>
      <c r="H81" s="136">
        <v>30</v>
      </c>
      <c r="I81" s="136">
        <f t="shared" si="3"/>
        <v>30</v>
      </c>
      <c r="J81" s="135">
        <v>13</v>
      </c>
      <c r="K81" s="135">
        <f t="shared" si="8"/>
        <v>390</v>
      </c>
      <c r="L81" s="243"/>
      <c r="M81" s="243"/>
      <c r="N81" s="259"/>
    </row>
    <row r="82" s="242" customFormat="1" ht="20.25" spans="1:15">
      <c r="A82" s="258">
        <v>45672</v>
      </c>
      <c r="B82" s="127">
        <v>55</v>
      </c>
      <c r="C82" s="258">
        <v>45672</v>
      </c>
      <c r="D82" s="258"/>
      <c r="E82" s="258"/>
      <c r="F82" s="243" t="s">
        <v>735</v>
      </c>
      <c r="G82" s="136">
        <v>1</v>
      </c>
      <c r="H82" s="136">
        <v>17</v>
      </c>
      <c r="I82" s="136">
        <f t="shared" si="3"/>
        <v>17</v>
      </c>
      <c r="J82" s="135">
        <v>13.5</v>
      </c>
      <c r="K82" s="135">
        <f t="shared" si="8"/>
        <v>229.5</v>
      </c>
      <c r="L82" s="243"/>
      <c r="M82" s="243"/>
      <c r="N82" s="259"/>
    </row>
    <row r="83" s="242" customFormat="1" ht="20.25" spans="1:15">
      <c r="A83" s="258">
        <v>45672</v>
      </c>
      <c r="B83" s="127">
        <v>55</v>
      </c>
      <c r="C83" s="258">
        <v>45672</v>
      </c>
      <c r="D83" s="258"/>
      <c r="E83" s="258"/>
      <c r="F83" s="243" t="s">
        <v>309</v>
      </c>
      <c r="G83" s="136">
        <v>1</v>
      </c>
      <c r="H83" s="136">
        <v>32</v>
      </c>
      <c r="I83" s="136">
        <f t="shared" si="3"/>
        <v>32</v>
      </c>
      <c r="J83" s="135">
        <v>18</v>
      </c>
      <c r="K83" s="135">
        <f t="shared" si="8"/>
        <v>576</v>
      </c>
      <c r="L83" s="243"/>
      <c r="M83" s="243"/>
      <c r="N83" s="259"/>
    </row>
    <row r="84" s="242" customFormat="1" ht="20.25" spans="1:15">
      <c r="A84" s="258">
        <v>45672</v>
      </c>
      <c r="B84" s="127">
        <v>55</v>
      </c>
      <c r="C84" s="258">
        <v>45672</v>
      </c>
      <c r="D84" s="258"/>
      <c r="E84" s="258"/>
      <c r="F84" s="243" t="s">
        <v>120</v>
      </c>
      <c r="G84" s="136">
        <v>1</v>
      </c>
      <c r="H84" s="136">
        <v>7.2</v>
      </c>
      <c r="I84" s="136">
        <f t="shared" si="3"/>
        <v>7.2</v>
      </c>
      <c r="J84" s="135">
        <v>21</v>
      </c>
      <c r="K84" s="135">
        <f t="shared" si="8"/>
        <v>151.2</v>
      </c>
      <c r="L84" s="243"/>
      <c r="M84" s="243"/>
      <c r="N84" s="259"/>
    </row>
    <row r="85" s="242" customFormat="1" ht="20.25" spans="1:15">
      <c r="A85" s="258">
        <v>45672</v>
      </c>
      <c r="B85" s="127">
        <v>55</v>
      </c>
      <c r="C85" s="258">
        <v>45672</v>
      </c>
      <c r="D85" s="258"/>
      <c r="E85" s="258"/>
      <c r="F85" s="243" t="s">
        <v>310</v>
      </c>
      <c r="G85" s="136">
        <v>1</v>
      </c>
      <c r="H85" s="136">
        <v>77</v>
      </c>
      <c r="I85" s="136">
        <f t="shared" si="3"/>
        <v>77</v>
      </c>
      <c r="J85" s="135">
        <v>0.6</v>
      </c>
      <c r="K85" s="135">
        <f t="shared" si="8"/>
        <v>46.2</v>
      </c>
      <c r="L85" s="243" t="s">
        <v>616</v>
      </c>
      <c r="M85" s="243"/>
      <c r="N85" s="259"/>
    </row>
    <row r="86" s="242" customFormat="1" ht="20.25" spans="1:15">
      <c r="A86" s="258">
        <v>45672</v>
      </c>
      <c r="B86" s="127">
        <v>55</v>
      </c>
      <c r="C86" s="258">
        <v>45672</v>
      </c>
      <c r="D86" s="258"/>
      <c r="E86" s="258"/>
      <c r="F86" s="243" t="s">
        <v>122</v>
      </c>
      <c r="G86" s="136">
        <v>1</v>
      </c>
      <c r="H86" s="136">
        <v>150</v>
      </c>
      <c r="I86" s="136">
        <f t="shared" si="3"/>
        <v>150</v>
      </c>
      <c r="J86" s="135">
        <v>7.8</v>
      </c>
      <c r="K86" s="135">
        <f t="shared" si="8"/>
        <v>1170</v>
      </c>
      <c r="L86" s="243"/>
      <c r="M86" s="243"/>
      <c r="N86" s="259"/>
    </row>
    <row r="87" s="242" customFormat="1" ht="20.25" spans="1:15">
      <c r="A87" s="258">
        <v>45672</v>
      </c>
      <c r="B87" s="127">
        <v>55</v>
      </c>
      <c r="C87" s="258">
        <v>45672</v>
      </c>
      <c r="D87" s="258"/>
      <c r="E87" s="258"/>
      <c r="F87" s="243" t="s">
        <v>123</v>
      </c>
      <c r="G87" s="136">
        <v>1</v>
      </c>
      <c r="H87" s="136">
        <v>88</v>
      </c>
      <c r="I87" s="136">
        <f t="shared" si="3"/>
        <v>88</v>
      </c>
      <c r="J87" s="135">
        <v>3.7</v>
      </c>
      <c r="K87" s="135">
        <f t="shared" si="8"/>
        <v>325.6</v>
      </c>
      <c r="L87" s="260" t="s">
        <v>740</v>
      </c>
      <c r="M87" s="243"/>
      <c r="N87" s="259"/>
    </row>
    <row r="88" s="242" customFormat="1" ht="20.25" spans="1:15">
      <c r="A88" s="258">
        <v>45672</v>
      </c>
      <c r="B88" s="127">
        <v>55</v>
      </c>
      <c r="C88" s="258">
        <v>45672</v>
      </c>
      <c r="D88" s="258"/>
      <c r="E88" s="258"/>
      <c r="F88" s="243" t="s">
        <v>323</v>
      </c>
      <c r="G88" s="136">
        <v>1</v>
      </c>
      <c r="H88" s="136">
        <v>17</v>
      </c>
      <c r="I88" s="136">
        <f t="shared" si="3"/>
        <v>17</v>
      </c>
      <c r="J88" s="135">
        <v>18</v>
      </c>
      <c r="K88" s="135">
        <f t="shared" si="8"/>
        <v>306</v>
      </c>
      <c r="L88" s="243"/>
      <c r="M88" s="243"/>
      <c r="N88" s="259"/>
    </row>
    <row r="89" s="242" customFormat="1" ht="20.25" spans="1:15">
      <c r="A89" s="258">
        <v>45672</v>
      </c>
      <c r="B89" s="127">
        <v>55</v>
      </c>
      <c r="C89" s="258">
        <v>45672</v>
      </c>
      <c r="D89" s="258"/>
      <c r="E89" s="258"/>
      <c r="F89" s="243" t="s">
        <v>125</v>
      </c>
      <c r="G89" s="136">
        <v>1</v>
      </c>
      <c r="H89" s="136">
        <v>0.6</v>
      </c>
      <c r="I89" s="136">
        <f t="shared" si="3"/>
        <v>0.6</v>
      </c>
      <c r="J89" s="135">
        <v>25</v>
      </c>
      <c r="K89" s="135">
        <f t="shared" si="8"/>
        <v>15</v>
      </c>
      <c r="L89" s="261" t="s">
        <v>741</v>
      </c>
      <c r="M89" s="261"/>
      <c r="N89" s="259"/>
    </row>
    <row r="90" s="242" customFormat="1" ht="20.25" spans="1:15">
      <c r="A90" s="258">
        <v>45672</v>
      </c>
      <c r="B90" s="127">
        <v>55</v>
      </c>
      <c r="C90" s="258">
        <v>45672</v>
      </c>
      <c r="D90" s="258"/>
      <c r="E90" s="258"/>
      <c r="F90" s="243" t="s">
        <v>313</v>
      </c>
      <c r="G90" s="136">
        <v>1</v>
      </c>
      <c r="H90" s="136">
        <v>13.5</v>
      </c>
      <c r="I90" s="136">
        <f t="shared" ref="I90:I98" si="9">G90*H90</f>
        <v>13.5</v>
      </c>
      <c r="J90" s="135">
        <v>45</v>
      </c>
      <c r="K90" s="135">
        <f t="shared" si="8"/>
        <v>607.5</v>
      </c>
      <c r="L90" s="243" t="s">
        <v>321</v>
      </c>
      <c r="M90" s="243" t="s">
        <v>322</v>
      </c>
      <c r="N90" s="259"/>
    </row>
    <row r="91" s="242" customFormat="1" ht="20.25" spans="1:15">
      <c r="A91" s="258">
        <v>45672</v>
      </c>
      <c r="B91" s="127">
        <v>55</v>
      </c>
      <c r="C91" s="258">
        <v>45672</v>
      </c>
      <c r="D91" s="258"/>
      <c r="E91" s="258"/>
      <c r="F91" s="243" t="s">
        <v>325</v>
      </c>
      <c r="G91" s="136">
        <v>1</v>
      </c>
      <c r="H91" s="136">
        <f>SUM(H80:H90)</f>
        <v>582.3</v>
      </c>
      <c r="I91" s="136">
        <f t="shared" si="9"/>
        <v>582.3</v>
      </c>
      <c r="J91" s="135">
        <v>2</v>
      </c>
      <c r="K91" s="135">
        <f t="shared" si="8"/>
        <v>1164.6</v>
      </c>
      <c r="L91" s="243" t="s">
        <v>324</v>
      </c>
      <c r="M91" s="243"/>
      <c r="N91" s="259"/>
    </row>
    <row r="92" s="242" customFormat="1" ht="20.25" spans="1:15">
      <c r="A92" s="258">
        <v>45672</v>
      </c>
      <c r="B92" s="127">
        <v>55</v>
      </c>
      <c r="C92" s="258">
        <v>45672</v>
      </c>
      <c r="D92" s="258"/>
      <c r="E92" s="258"/>
      <c r="F92" s="243" t="s">
        <v>316</v>
      </c>
      <c r="G92" s="136">
        <v>32</v>
      </c>
      <c r="H92" s="136">
        <v>1</v>
      </c>
      <c r="I92" s="136">
        <f t="shared" si="9"/>
        <v>32</v>
      </c>
      <c r="J92" s="135">
        <v>12.5</v>
      </c>
      <c r="K92" s="135">
        <f t="shared" si="8"/>
        <v>400</v>
      </c>
      <c r="L92" s="242">
        <f>SUM(K80:K92)</f>
        <v>7211.6</v>
      </c>
      <c r="M92" s="243">
        <f>SUM(K80:K92)</f>
        <v>7211.6</v>
      </c>
      <c r="N92" s="259"/>
    </row>
    <row r="93" s="1" customFormat="1" ht="20.25" spans="1:15">
      <c r="A93" s="51">
        <v>45674</v>
      </c>
      <c r="B93" s="105">
        <v>64</v>
      </c>
      <c r="C93" s="51" t="s">
        <v>742</v>
      </c>
      <c r="D93" s="51"/>
      <c r="E93" s="51"/>
      <c r="F93" s="110" t="s">
        <v>743</v>
      </c>
      <c r="G93" s="107">
        <v>1</v>
      </c>
      <c r="H93" s="107">
        <v>126</v>
      </c>
      <c r="I93" s="108">
        <f t="shared" si="9"/>
        <v>126</v>
      </c>
      <c r="J93" s="109">
        <v>13.5</v>
      </c>
      <c r="K93" s="109"/>
      <c r="L93" s="110"/>
      <c r="M93" s="110"/>
      <c r="N93" s="107"/>
      <c r="O93" s="1">
        <v>126</v>
      </c>
    </row>
    <row r="94" s="1" customFormat="1" ht="20.25" spans="1:15">
      <c r="A94" s="51">
        <v>45674</v>
      </c>
      <c r="B94" s="105">
        <v>64</v>
      </c>
      <c r="C94" s="51" t="s">
        <v>742</v>
      </c>
      <c r="D94" s="51"/>
      <c r="E94" s="51"/>
      <c r="F94" s="110" t="s">
        <v>404</v>
      </c>
      <c r="G94" s="107">
        <v>1</v>
      </c>
      <c r="H94" s="107">
        <v>56</v>
      </c>
      <c r="I94" s="108">
        <f t="shared" si="9"/>
        <v>56</v>
      </c>
      <c r="J94" s="109">
        <v>12.2</v>
      </c>
      <c r="K94" s="109"/>
      <c r="L94" s="110"/>
      <c r="M94" s="110"/>
      <c r="N94" s="107"/>
    </row>
    <row r="95" s="1" customFormat="1" ht="20.25" spans="1:15">
      <c r="A95" s="51">
        <v>45674</v>
      </c>
      <c r="B95" s="105">
        <v>64</v>
      </c>
      <c r="C95" s="51" t="s">
        <v>742</v>
      </c>
      <c r="D95" s="51"/>
      <c r="E95" s="51"/>
      <c r="F95" s="106">
        <v>965</v>
      </c>
      <c r="G95" s="107">
        <v>1</v>
      </c>
      <c r="H95" s="107">
        <v>42</v>
      </c>
      <c r="I95" s="108">
        <f t="shared" si="9"/>
        <v>42</v>
      </c>
      <c r="J95" s="109">
        <v>13</v>
      </c>
      <c r="K95" s="109">
        <f t="shared" ref="K95:K104" si="10">I95*J95</f>
        <v>546</v>
      </c>
      <c r="L95" s="110"/>
      <c r="M95" s="110"/>
      <c r="N95" s="107"/>
    </row>
    <row r="96" s="1" customFormat="1" ht="20.25" spans="1:15">
      <c r="A96" s="51">
        <v>45674</v>
      </c>
      <c r="B96" s="105">
        <v>64</v>
      </c>
      <c r="C96" s="51" t="s">
        <v>742</v>
      </c>
      <c r="D96" s="51"/>
      <c r="E96" s="51"/>
      <c r="F96" s="110" t="s">
        <v>120</v>
      </c>
      <c r="G96" s="107">
        <v>1</v>
      </c>
      <c r="H96" s="107">
        <v>13</v>
      </c>
      <c r="I96" s="108">
        <f t="shared" si="9"/>
        <v>13</v>
      </c>
      <c r="J96" s="109">
        <v>21</v>
      </c>
      <c r="K96" s="109">
        <f t="shared" si="10"/>
        <v>273</v>
      </c>
      <c r="L96" s="110"/>
      <c r="M96" s="110"/>
      <c r="N96" s="107"/>
      <c r="O96" s="1">
        <v>6</v>
      </c>
    </row>
    <row r="97" s="1" customFormat="1" ht="20.25" spans="1:15">
      <c r="A97" s="51">
        <v>45674</v>
      </c>
      <c r="B97" s="105">
        <v>64</v>
      </c>
      <c r="C97" s="51" t="s">
        <v>742</v>
      </c>
      <c r="D97" s="51"/>
      <c r="E97" s="51"/>
      <c r="F97" s="110" t="s">
        <v>310</v>
      </c>
      <c r="G97" s="107">
        <v>1</v>
      </c>
      <c r="H97" s="107">
        <v>77</v>
      </c>
      <c r="I97" s="108">
        <f t="shared" si="9"/>
        <v>77</v>
      </c>
      <c r="J97" s="109">
        <v>0.6</v>
      </c>
      <c r="K97" s="109">
        <f t="shared" si="10"/>
        <v>46.2</v>
      </c>
      <c r="L97" s="257" t="s">
        <v>744</v>
      </c>
      <c r="M97" s="110"/>
      <c r="N97" s="107"/>
      <c r="O97" s="1">
        <v>36</v>
      </c>
    </row>
    <row r="98" s="1" customFormat="1" ht="20.25" spans="1:15">
      <c r="A98" s="51">
        <v>45674</v>
      </c>
      <c r="B98" s="105">
        <v>64</v>
      </c>
      <c r="C98" s="51" t="s">
        <v>742</v>
      </c>
      <c r="D98" s="51"/>
      <c r="E98" s="51"/>
      <c r="F98" s="110" t="s">
        <v>311</v>
      </c>
      <c r="G98" s="107">
        <v>1</v>
      </c>
      <c r="H98" s="107">
        <v>140</v>
      </c>
      <c r="I98" s="108">
        <f t="shared" si="9"/>
        <v>140</v>
      </c>
      <c r="J98" s="109">
        <v>7.8</v>
      </c>
      <c r="K98" s="109">
        <f t="shared" si="10"/>
        <v>1092</v>
      </c>
      <c r="L98" s="110" t="s">
        <v>321</v>
      </c>
      <c r="M98" s="110"/>
      <c r="N98" s="107"/>
      <c r="O98" s="1">
        <v>117</v>
      </c>
    </row>
    <row r="99" s="1" customFormat="1" ht="20.25" spans="1:15">
      <c r="A99" s="51">
        <v>45674</v>
      </c>
      <c r="B99" s="105">
        <v>64</v>
      </c>
      <c r="C99" s="51" t="s">
        <v>742</v>
      </c>
      <c r="D99" s="51"/>
      <c r="E99" s="51"/>
      <c r="F99" s="110" t="s">
        <v>312</v>
      </c>
      <c r="G99" s="107">
        <v>1</v>
      </c>
      <c r="H99" s="107">
        <v>122</v>
      </c>
      <c r="I99" s="108">
        <v>122</v>
      </c>
      <c r="J99" s="109">
        <v>3.7</v>
      </c>
      <c r="K99" s="109">
        <f t="shared" si="10"/>
        <v>451.4</v>
      </c>
      <c r="L99" s="110" t="s">
        <v>346</v>
      </c>
      <c r="M99" s="110"/>
      <c r="N99" s="107"/>
      <c r="O99" s="1">
        <v>133</v>
      </c>
    </row>
    <row r="100" s="1" customFormat="1" ht="20.25" spans="1:15">
      <c r="A100" s="51">
        <v>45674</v>
      </c>
      <c r="B100" s="105">
        <v>64</v>
      </c>
      <c r="C100" s="51" t="s">
        <v>742</v>
      </c>
      <c r="D100" s="51"/>
      <c r="E100" s="51"/>
      <c r="F100" s="110" t="s">
        <v>125</v>
      </c>
      <c r="G100" s="107">
        <v>1</v>
      </c>
      <c r="H100" s="107">
        <v>16.2</v>
      </c>
      <c r="I100" s="108">
        <f t="shared" ref="I100:I102" si="11">G100*H100</f>
        <v>16.2</v>
      </c>
      <c r="J100" s="109">
        <v>25</v>
      </c>
      <c r="K100" s="109">
        <f t="shared" si="10"/>
        <v>405</v>
      </c>
      <c r="L100" s="110" t="s">
        <v>745</v>
      </c>
      <c r="M100" s="110" t="s">
        <v>717</v>
      </c>
      <c r="N100" s="107"/>
      <c r="O100" s="1">
        <v>3</v>
      </c>
    </row>
    <row r="101" s="1" customFormat="1" ht="20.25" spans="1:15">
      <c r="A101" s="51">
        <v>45674</v>
      </c>
      <c r="B101" s="105">
        <v>64</v>
      </c>
      <c r="C101" s="51" t="s">
        <v>742</v>
      </c>
      <c r="D101" s="51"/>
      <c r="E101" s="51"/>
      <c r="F101" s="110" t="s">
        <v>313</v>
      </c>
      <c r="G101" s="107">
        <v>1</v>
      </c>
      <c r="H101" s="107">
        <v>9.8</v>
      </c>
      <c r="I101" s="108">
        <f t="shared" si="11"/>
        <v>9.8</v>
      </c>
      <c r="J101" s="109">
        <v>45</v>
      </c>
      <c r="K101" s="109">
        <f t="shared" si="10"/>
        <v>441</v>
      </c>
      <c r="N101" s="107"/>
      <c r="O101" s="1">
        <v>3</v>
      </c>
    </row>
    <row r="102" s="1" customFormat="1" ht="20.25" spans="1:15">
      <c r="A102" s="51">
        <v>45674</v>
      </c>
      <c r="B102" s="105">
        <v>64</v>
      </c>
      <c r="C102" s="51" t="s">
        <v>742</v>
      </c>
      <c r="D102" s="51"/>
      <c r="E102" s="51"/>
      <c r="F102" s="110" t="s">
        <v>309</v>
      </c>
      <c r="G102" s="107">
        <v>1</v>
      </c>
      <c r="H102" s="107">
        <v>16</v>
      </c>
      <c r="I102" s="108">
        <f t="shared" si="11"/>
        <v>16</v>
      </c>
      <c r="J102" s="109">
        <v>18</v>
      </c>
      <c r="K102" s="109">
        <f t="shared" si="10"/>
        <v>288</v>
      </c>
      <c r="N102" s="107"/>
      <c r="O102" s="1">
        <v>5</v>
      </c>
    </row>
    <row r="103" s="1" customFormat="1" ht="20.25" spans="1:15">
      <c r="A103" s="51">
        <v>45674</v>
      </c>
      <c r="B103" s="105">
        <v>64</v>
      </c>
      <c r="C103" s="51" t="s">
        <v>742</v>
      </c>
      <c r="D103" s="51"/>
      <c r="E103" s="51"/>
      <c r="F103" s="110" t="s">
        <v>715</v>
      </c>
      <c r="G103" s="107">
        <v>1</v>
      </c>
      <c r="H103" s="107">
        <f>SUM(H93:H102)</f>
        <v>618</v>
      </c>
      <c r="I103" s="108">
        <f>SUM(I93:I102)</f>
        <v>618</v>
      </c>
      <c r="J103" s="109">
        <v>2</v>
      </c>
      <c r="K103" s="109">
        <f t="shared" si="10"/>
        <v>1236</v>
      </c>
      <c r="N103" s="107"/>
      <c r="O103" s="1">
        <v>14</v>
      </c>
    </row>
    <row r="104" s="1" customFormat="1" ht="20.25" spans="1:15">
      <c r="A104" s="51">
        <v>45674</v>
      </c>
      <c r="B104" s="105">
        <v>64</v>
      </c>
      <c r="C104" s="51" t="s">
        <v>742</v>
      </c>
      <c r="D104" s="51"/>
      <c r="E104" s="51"/>
      <c r="F104" s="110" t="s">
        <v>316</v>
      </c>
      <c r="G104" s="107">
        <v>34</v>
      </c>
      <c r="H104" s="107">
        <v>1</v>
      </c>
      <c r="I104" s="108">
        <f t="shared" ref="I104:I116" si="12">G104*H104</f>
        <v>34</v>
      </c>
      <c r="J104" s="109">
        <v>12.5</v>
      </c>
      <c r="K104" s="109">
        <f t="shared" si="10"/>
        <v>425</v>
      </c>
      <c r="L104" s="1">
        <f>SUM(K93:K104)</f>
        <v>5203.6</v>
      </c>
      <c r="N104" s="107"/>
    </row>
    <row r="105" s="2" customFormat="1" ht="20.25" spans="1:15">
      <c r="A105" s="126">
        <v>45674</v>
      </c>
      <c r="B105" s="127">
        <v>65</v>
      </c>
      <c r="C105" s="126" t="s">
        <v>742</v>
      </c>
      <c r="D105" s="126"/>
      <c r="E105" s="126"/>
      <c r="F105" s="131" t="s">
        <v>743</v>
      </c>
      <c r="G105" s="134">
        <v>1</v>
      </c>
      <c r="H105" s="134">
        <v>74</v>
      </c>
      <c r="I105" s="136">
        <f t="shared" si="12"/>
        <v>74</v>
      </c>
      <c r="J105" s="135">
        <v>13.5</v>
      </c>
      <c r="K105" s="135"/>
      <c r="L105" s="131"/>
      <c r="M105" s="131"/>
      <c r="N105" s="134"/>
      <c r="O105" s="2">
        <v>126</v>
      </c>
    </row>
    <row r="106" s="2" customFormat="1" ht="20.25" spans="1:15">
      <c r="A106" s="126">
        <v>45674</v>
      </c>
      <c r="B106" s="127">
        <v>65</v>
      </c>
      <c r="C106" s="126" t="s">
        <v>742</v>
      </c>
      <c r="D106" s="126"/>
      <c r="E106" s="126"/>
      <c r="F106" s="131" t="s">
        <v>404</v>
      </c>
      <c r="G106" s="134">
        <v>1</v>
      </c>
      <c r="H106" s="134">
        <v>36</v>
      </c>
      <c r="I106" s="136">
        <f t="shared" si="12"/>
        <v>36</v>
      </c>
      <c r="J106" s="135">
        <v>12.2</v>
      </c>
      <c r="K106" s="135"/>
      <c r="L106" s="131"/>
      <c r="M106" s="131"/>
      <c r="N106" s="134"/>
    </row>
    <row r="107" s="2" customFormat="1" ht="20.25" spans="1:15">
      <c r="A107" s="126">
        <v>45674</v>
      </c>
      <c r="B107" s="127">
        <v>65</v>
      </c>
      <c r="C107" s="126" t="s">
        <v>742</v>
      </c>
      <c r="D107" s="126"/>
      <c r="E107" s="126"/>
      <c r="F107" s="133">
        <v>965</v>
      </c>
      <c r="G107" s="134">
        <v>1</v>
      </c>
      <c r="H107" s="134">
        <v>25</v>
      </c>
      <c r="I107" s="136">
        <f t="shared" si="12"/>
        <v>25</v>
      </c>
      <c r="J107" s="135">
        <v>13</v>
      </c>
      <c r="K107" s="135">
        <f t="shared" ref="K107:K116" si="13">I107*J107</f>
        <v>325</v>
      </c>
      <c r="L107" s="131"/>
      <c r="M107" s="131"/>
      <c r="N107" s="134"/>
    </row>
    <row r="108" s="2" customFormat="1" ht="20.25" spans="1:15">
      <c r="A108" s="126">
        <v>45674</v>
      </c>
      <c r="B108" s="127">
        <v>65</v>
      </c>
      <c r="C108" s="126" t="s">
        <v>742</v>
      </c>
      <c r="D108" s="126"/>
      <c r="E108" s="126"/>
      <c r="F108" s="131" t="s">
        <v>120</v>
      </c>
      <c r="G108" s="134">
        <v>1</v>
      </c>
      <c r="H108" s="134">
        <v>8</v>
      </c>
      <c r="I108" s="136">
        <f t="shared" si="12"/>
        <v>8</v>
      </c>
      <c r="J108" s="135">
        <v>21</v>
      </c>
      <c r="K108" s="135">
        <f t="shared" si="13"/>
        <v>168</v>
      </c>
    </row>
    <row r="109" s="2" customFormat="1" ht="20.25" spans="1:15">
      <c r="A109" s="126">
        <v>45674</v>
      </c>
      <c r="B109" s="127">
        <v>65</v>
      </c>
      <c r="C109" s="126" t="s">
        <v>742</v>
      </c>
      <c r="D109" s="126"/>
      <c r="E109" s="126"/>
      <c r="F109" s="131" t="s">
        <v>310</v>
      </c>
      <c r="G109" s="134">
        <v>1</v>
      </c>
      <c r="H109" s="134">
        <v>46</v>
      </c>
      <c r="I109" s="136">
        <f t="shared" si="12"/>
        <v>46</v>
      </c>
      <c r="J109" s="135">
        <v>0.6</v>
      </c>
      <c r="K109" s="135">
        <f t="shared" si="13"/>
        <v>27.6</v>
      </c>
    </row>
    <row r="110" s="2" customFormat="1" ht="20.25" spans="1:15">
      <c r="A110" s="126">
        <v>45674</v>
      </c>
      <c r="B110" s="127">
        <v>65</v>
      </c>
      <c r="C110" s="126" t="s">
        <v>742</v>
      </c>
      <c r="D110" s="126"/>
      <c r="E110" s="126"/>
      <c r="F110" s="131" t="s">
        <v>311</v>
      </c>
      <c r="G110" s="134">
        <v>1</v>
      </c>
      <c r="H110" s="134">
        <v>88</v>
      </c>
      <c r="I110" s="136">
        <f t="shared" si="12"/>
        <v>88</v>
      </c>
      <c r="J110" s="135">
        <v>7.8</v>
      </c>
      <c r="K110" s="135">
        <f t="shared" si="13"/>
        <v>686.4</v>
      </c>
      <c r="M110" s="131" t="s">
        <v>321</v>
      </c>
    </row>
    <row r="111" s="2" customFormat="1" ht="20.25" spans="1:15">
      <c r="A111" s="126">
        <v>45674</v>
      </c>
      <c r="B111" s="127">
        <v>65</v>
      </c>
      <c r="C111" s="126" t="s">
        <v>742</v>
      </c>
      <c r="D111" s="126"/>
      <c r="E111" s="126"/>
      <c r="F111" s="131" t="s">
        <v>312</v>
      </c>
      <c r="G111" s="134">
        <v>1</v>
      </c>
      <c r="H111" s="134">
        <v>72</v>
      </c>
      <c r="I111" s="136">
        <f t="shared" si="12"/>
        <v>72</v>
      </c>
      <c r="J111" s="135">
        <v>3.7</v>
      </c>
      <c r="K111" s="135">
        <f t="shared" si="13"/>
        <v>266.4</v>
      </c>
      <c r="M111" s="131" t="s">
        <v>346</v>
      </c>
    </row>
    <row r="112" s="2" customFormat="1" ht="20.25" spans="1:15">
      <c r="A112" s="126">
        <v>45674</v>
      </c>
      <c r="B112" s="127">
        <v>65</v>
      </c>
      <c r="C112" s="126" t="s">
        <v>742</v>
      </c>
      <c r="D112" s="126"/>
      <c r="E112" s="126"/>
      <c r="F112" s="131" t="s">
        <v>125</v>
      </c>
      <c r="G112" s="134">
        <v>1</v>
      </c>
      <c r="H112" s="134">
        <v>7</v>
      </c>
      <c r="I112" s="136">
        <f t="shared" si="12"/>
        <v>7</v>
      </c>
      <c r="J112" s="135">
        <v>25</v>
      </c>
      <c r="K112" s="135">
        <f t="shared" si="13"/>
        <v>175</v>
      </c>
      <c r="M112" s="131" t="s">
        <v>737</v>
      </c>
    </row>
    <row r="113" s="2" customFormat="1" ht="20.25" spans="1:16">
      <c r="A113" s="126">
        <v>45674</v>
      </c>
      <c r="B113" s="127">
        <v>65</v>
      </c>
      <c r="C113" s="126" t="s">
        <v>742</v>
      </c>
      <c r="D113" s="126"/>
      <c r="E113" s="126"/>
      <c r="F113" s="131" t="s">
        <v>313</v>
      </c>
      <c r="G113" s="134">
        <v>1</v>
      </c>
      <c r="H113" s="134">
        <v>4</v>
      </c>
      <c r="I113" s="136">
        <f t="shared" si="12"/>
        <v>4</v>
      </c>
      <c r="J113" s="135">
        <v>45</v>
      </c>
      <c r="K113" s="135">
        <f t="shared" si="13"/>
        <v>180</v>
      </c>
      <c r="M113" s="131" t="s">
        <v>717</v>
      </c>
      <c r="N113" s="131"/>
    </row>
    <row r="114" s="2" customFormat="1" ht="20.25" spans="1:16">
      <c r="A114" s="126">
        <v>45674</v>
      </c>
      <c r="B114" s="127">
        <v>65</v>
      </c>
      <c r="C114" s="126" t="s">
        <v>742</v>
      </c>
      <c r="D114" s="126"/>
      <c r="E114" s="126"/>
      <c r="F114" s="131" t="s">
        <v>309</v>
      </c>
      <c r="G114" s="134">
        <v>1</v>
      </c>
      <c r="H114" s="134">
        <v>9</v>
      </c>
      <c r="I114" s="136">
        <f t="shared" si="12"/>
        <v>9</v>
      </c>
      <c r="J114" s="135">
        <v>18</v>
      </c>
      <c r="K114" s="135">
        <f t="shared" si="13"/>
        <v>162</v>
      </c>
      <c r="L114" s="256" t="s">
        <v>746</v>
      </c>
      <c r="N114" s="131"/>
    </row>
    <row r="115" s="2" customFormat="1" ht="20.25" spans="1:16">
      <c r="A115" s="126">
        <v>45674</v>
      </c>
      <c r="B115" s="127">
        <v>65</v>
      </c>
      <c r="C115" s="126" t="s">
        <v>742</v>
      </c>
      <c r="D115" s="126"/>
      <c r="E115" s="126"/>
      <c r="F115" s="131" t="s">
        <v>720</v>
      </c>
      <c r="G115" s="134">
        <v>1</v>
      </c>
      <c r="H115" s="134">
        <f>SUM(H105:H114)</f>
        <v>369</v>
      </c>
      <c r="I115" s="136">
        <f t="shared" si="12"/>
        <v>369</v>
      </c>
      <c r="J115" s="135">
        <v>2</v>
      </c>
      <c r="K115" s="135">
        <f t="shared" si="13"/>
        <v>738</v>
      </c>
      <c r="L115" s="131"/>
    </row>
    <row r="116" s="2" customFormat="1" ht="20.25" spans="1:16">
      <c r="A116" s="126">
        <v>45674</v>
      </c>
      <c r="B116" s="127">
        <v>65</v>
      </c>
      <c r="C116" s="126" t="s">
        <v>742</v>
      </c>
      <c r="D116" s="126"/>
      <c r="E116" s="126"/>
      <c r="F116" s="131" t="s">
        <v>316</v>
      </c>
      <c r="G116" s="134">
        <v>20</v>
      </c>
      <c r="H116" s="134">
        <v>1</v>
      </c>
      <c r="I116" s="136">
        <f t="shared" si="12"/>
        <v>20</v>
      </c>
      <c r="J116" s="135">
        <v>12.5</v>
      </c>
      <c r="K116" s="135">
        <f t="shared" si="13"/>
        <v>250</v>
      </c>
      <c r="L116" s="131">
        <f>SUM(K105:K116)</f>
        <v>2978.4</v>
      </c>
    </row>
    <row r="117" s="241" customFormat="1" ht="20.25" spans="1:16">
      <c r="A117" s="37" t="s">
        <v>779</v>
      </c>
      <c r="B117" s="38"/>
      <c r="C117" s="37"/>
      <c r="D117" s="37"/>
      <c r="E117" s="37"/>
      <c r="F117" s="227"/>
      <c r="G117" s="40"/>
      <c r="H117" s="40"/>
      <c r="I117" s="40"/>
      <c r="J117" s="41" t="s">
        <v>499</v>
      </c>
      <c r="K117" s="41">
        <f>SUM(K120:K243)</f>
        <v>21431.17</v>
      </c>
      <c r="L117" s="227" t="s">
        <v>500</v>
      </c>
      <c r="M117" s="227">
        <v>19704.086</v>
      </c>
      <c r="N117" s="250" t="s">
        <v>302</v>
      </c>
      <c r="O117" s="241">
        <v>1550.6</v>
      </c>
      <c r="P117" s="241" t="s">
        <v>501</v>
      </c>
    </row>
    <row r="118" s="241" customFormat="1" ht="20.25" spans="1:16">
      <c r="A118" s="37"/>
      <c r="B118" s="38"/>
      <c r="C118" s="37"/>
      <c r="D118" s="37"/>
      <c r="E118" s="37"/>
      <c r="F118" s="227"/>
      <c r="G118" s="40"/>
      <c r="H118" s="40"/>
      <c r="I118" s="40"/>
      <c r="J118" s="41"/>
      <c r="K118" s="41"/>
      <c r="L118" s="227" t="s">
        <v>502</v>
      </c>
      <c r="M118" s="227">
        <v>4376.18</v>
      </c>
      <c r="N118" s="250" t="s">
        <v>503</v>
      </c>
      <c r="O118" s="241">
        <v>454.5</v>
      </c>
    </row>
    <row r="119" s="241" customFormat="1" ht="20.25" spans="1:16">
      <c r="A119" s="37" t="s">
        <v>1</v>
      </c>
      <c r="B119" s="38" t="s">
        <v>304</v>
      </c>
      <c r="C119" s="251" t="s">
        <v>305</v>
      </c>
      <c r="D119" s="252"/>
      <c r="E119" s="253"/>
      <c r="F119" s="227" t="s">
        <v>306</v>
      </c>
      <c r="G119" s="40" t="s">
        <v>113</v>
      </c>
      <c r="H119" s="40" t="s">
        <v>3</v>
      </c>
      <c r="I119" s="40" t="s">
        <v>5</v>
      </c>
      <c r="J119" s="41" t="s">
        <v>114</v>
      </c>
      <c r="K119" s="41" t="s">
        <v>115</v>
      </c>
      <c r="L119" s="227" t="s">
        <v>7</v>
      </c>
      <c r="M119" s="227" t="s">
        <v>303</v>
      </c>
      <c r="N119" s="250" t="s">
        <v>504</v>
      </c>
      <c r="O119" s="241">
        <v>26085.366</v>
      </c>
    </row>
    <row r="120" s="1" customFormat="1" ht="20.25" spans="1:16">
      <c r="A120" s="51">
        <v>45707</v>
      </c>
      <c r="B120" s="110" t="s">
        <v>747</v>
      </c>
      <c r="C120" s="51">
        <v>45676</v>
      </c>
      <c r="D120" s="51"/>
      <c r="E120" s="51"/>
      <c r="F120" s="110" t="s">
        <v>743</v>
      </c>
      <c r="G120" s="107">
        <v>1</v>
      </c>
      <c r="H120" s="107">
        <v>230</v>
      </c>
      <c r="I120" s="108">
        <f t="shared" ref="I120:I183" si="14">G120*H120</f>
        <v>230</v>
      </c>
      <c r="J120" s="109">
        <v>13.5</v>
      </c>
      <c r="K120" s="109"/>
      <c r="L120" s="110"/>
      <c r="M120" s="110"/>
      <c r="N120" s="107"/>
      <c r="O120" s="1">
        <v>126</v>
      </c>
    </row>
    <row r="121" s="1" customFormat="1" ht="20.25" spans="1:16">
      <c r="A121" s="51">
        <v>45707</v>
      </c>
      <c r="B121" s="110" t="s">
        <v>747</v>
      </c>
      <c r="C121" s="51">
        <v>45676</v>
      </c>
      <c r="D121" s="51"/>
      <c r="E121" s="51"/>
      <c r="F121" s="110" t="s">
        <v>404</v>
      </c>
      <c r="G121" s="107">
        <v>1</v>
      </c>
      <c r="H121" s="107">
        <v>95</v>
      </c>
      <c r="I121" s="108">
        <f t="shared" si="14"/>
        <v>95</v>
      </c>
      <c r="J121" s="109">
        <v>12.2</v>
      </c>
      <c r="K121" s="109"/>
      <c r="L121" s="110"/>
      <c r="M121" s="110"/>
      <c r="N121" s="107"/>
    </row>
    <row r="122" s="1" customFormat="1" ht="20.25" spans="1:16">
      <c r="A122" s="51">
        <v>45707</v>
      </c>
      <c r="B122" s="110" t="s">
        <v>747</v>
      </c>
      <c r="C122" s="51">
        <v>45676</v>
      </c>
      <c r="D122" s="51"/>
      <c r="E122" s="51"/>
      <c r="F122" s="110" t="s">
        <v>120</v>
      </c>
      <c r="G122" s="107">
        <v>1</v>
      </c>
      <c r="H122" s="107">
        <v>18</v>
      </c>
      <c r="I122" s="108">
        <f t="shared" si="14"/>
        <v>18</v>
      </c>
      <c r="J122" s="109">
        <v>21</v>
      </c>
      <c r="K122" s="109">
        <f t="shared" ref="K122:K129" si="15">I122*J122</f>
        <v>378</v>
      </c>
      <c r="L122" s="110"/>
      <c r="M122" s="110"/>
      <c r="N122" s="111"/>
    </row>
    <row r="123" s="1" customFormat="1" ht="20.25" spans="1:16">
      <c r="A123" s="51">
        <v>45707</v>
      </c>
      <c r="B123" s="110" t="s">
        <v>747</v>
      </c>
      <c r="C123" s="51">
        <v>45676</v>
      </c>
      <c r="D123" s="51"/>
      <c r="E123" s="51"/>
      <c r="F123" s="110" t="s">
        <v>310</v>
      </c>
      <c r="G123" s="107">
        <v>1</v>
      </c>
      <c r="H123" s="107">
        <v>60</v>
      </c>
      <c r="I123" s="108">
        <f t="shared" si="14"/>
        <v>60</v>
      </c>
      <c r="J123" s="109">
        <v>0.6</v>
      </c>
      <c r="K123" s="109">
        <f t="shared" si="15"/>
        <v>36</v>
      </c>
      <c r="L123" s="110"/>
      <c r="M123" s="137" t="s">
        <v>748</v>
      </c>
      <c r="N123" s="111"/>
    </row>
    <row r="124" s="1" customFormat="1" ht="20.25" spans="1:16">
      <c r="A124" s="51">
        <v>45707</v>
      </c>
      <c r="B124" s="110" t="s">
        <v>747</v>
      </c>
      <c r="C124" s="51">
        <v>45676</v>
      </c>
      <c r="D124" s="51"/>
      <c r="E124" s="51"/>
      <c r="F124" s="110" t="s">
        <v>311</v>
      </c>
      <c r="G124" s="107">
        <v>1</v>
      </c>
      <c r="H124" s="107">
        <v>295</v>
      </c>
      <c r="I124" s="108">
        <f t="shared" si="14"/>
        <v>295</v>
      </c>
      <c r="J124" s="109">
        <v>7.8</v>
      </c>
      <c r="K124" s="109">
        <f t="shared" si="15"/>
        <v>2301</v>
      </c>
      <c r="L124" s="131" t="s">
        <v>749</v>
      </c>
      <c r="M124" s="110" t="s">
        <v>321</v>
      </c>
      <c r="N124" s="111"/>
    </row>
    <row r="125" s="1" customFormat="1" ht="20.25" spans="1:16">
      <c r="A125" s="51">
        <v>45707</v>
      </c>
      <c r="B125" s="110" t="s">
        <v>747</v>
      </c>
      <c r="C125" s="51">
        <v>45676</v>
      </c>
      <c r="D125" s="51"/>
      <c r="E125" s="51"/>
      <c r="F125" s="110" t="s">
        <v>312</v>
      </c>
      <c r="G125" s="107">
        <v>1</v>
      </c>
      <c r="H125" s="107">
        <v>185</v>
      </c>
      <c r="I125" s="108">
        <f t="shared" si="14"/>
        <v>185</v>
      </c>
      <c r="J125" s="109">
        <v>3.7</v>
      </c>
      <c r="K125" s="109">
        <f t="shared" si="15"/>
        <v>684.5</v>
      </c>
      <c r="L125" s="110"/>
      <c r="M125" s="110" t="s">
        <v>346</v>
      </c>
      <c r="N125" s="111"/>
    </row>
    <row r="126" s="1" customFormat="1" ht="20.25" spans="1:16">
      <c r="A126" s="51">
        <v>45707</v>
      </c>
      <c r="B126" s="110" t="s">
        <v>747</v>
      </c>
      <c r="C126" s="51">
        <v>45676</v>
      </c>
      <c r="D126" s="51"/>
      <c r="E126" s="51"/>
      <c r="F126" s="110" t="s">
        <v>313</v>
      </c>
      <c r="G126" s="107">
        <v>1</v>
      </c>
      <c r="H126" s="107">
        <v>7</v>
      </c>
      <c r="I126" s="108">
        <f t="shared" si="14"/>
        <v>7</v>
      </c>
      <c r="J126" s="109">
        <v>45</v>
      </c>
      <c r="K126" s="109">
        <f t="shared" si="15"/>
        <v>315</v>
      </c>
      <c r="L126" s="110"/>
      <c r="M126" s="110"/>
      <c r="N126" s="110"/>
    </row>
    <row r="127" s="1" customFormat="1" ht="20.25" spans="1:16">
      <c r="A127" s="51">
        <v>45707</v>
      </c>
      <c r="B127" s="110" t="s">
        <v>747</v>
      </c>
      <c r="C127" s="51">
        <v>45676</v>
      </c>
      <c r="D127" s="51"/>
      <c r="E127" s="51"/>
      <c r="F127" s="110" t="s">
        <v>309</v>
      </c>
      <c r="G127" s="107">
        <v>1</v>
      </c>
      <c r="H127" s="107">
        <v>45</v>
      </c>
      <c r="I127" s="108">
        <f t="shared" si="14"/>
        <v>45</v>
      </c>
      <c r="J127" s="109">
        <v>18</v>
      </c>
      <c r="K127" s="109">
        <f t="shared" si="15"/>
        <v>810</v>
      </c>
      <c r="L127" s="257" t="s">
        <v>750</v>
      </c>
      <c r="M127" s="110"/>
      <c r="N127" s="110"/>
    </row>
    <row r="128" s="1" customFormat="1" ht="20.25" spans="1:16">
      <c r="A128" s="51">
        <v>45707</v>
      </c>
      <c r="B128" s="110" t="s">
        <v>747</v>
      </c>
      <c r="C128" s="51">
        <v>45676</v>
      </c>
      <c r="D128" s="51"/>
      <c r="E128" s="51"/>
      <c r="F128" s="110" t="s">
        <v>751</v>
      </c>
      <c r="G128" s="107">
        <v>1</v>
      </c>
      <c r="H128" s="107">
        <f>SUM(H120:H127)</f>
        <v>935</v>
      </c>
      <c r="I128" s="108">
        <f t="shared" si="14"/>
        <v>935</v>
      </c>
      <c r="J128" s="109">
        <v>2</v>
      </c>
      <c r="K128" s="109">
        <f t="shared" si="15"/>
        <v>1870</v>
      </c>
      <c r="L128" s="110"/>
      <c r="M128" s="110"/>
      <c r="N128" s="111"/>
    </row>
    <row r="129" s="1" customFormat="1" ht="20.25" spans="1:15">
      <c r="A129" s="51">
        <v>45707</v>
      </c>
      <c r="B129" s="110" t="s">
        <v>747</v>
      </c>
      <c r="C129" s="51">
        <v>45676</v>
      </c>
      <c r="D129" s="51"/>
      <c r="E129" s="51"/>
      <c r="F129" s="110" t="s">
        <v>316</v>
      </c>
      <c r="G129" s="107">
        <v>49</v>
      </c>
      <c r="H129" s="107">
        <v>1</v>
      </c>
      <c r="I129" s="108">
        <f t="shared" si="14"/>
        <v>49</v>
      </c>
      <c r="J129" s="109">
        <v>12.5</v>
      </c>
      <c r="K129" s="109">
        <f t="shared" si="15"/>
        <v>612.5</v>
      </c>
      <c r="L129" s="110">
        <f>SUM(K120:K129)</f>
        <v>7007</v>
      </c>
      <c r="M129" s="110"/>
      <c r="N129" s="111"/>
    </row>
    <row r="130" s="2" customFormat="1" ht="20.25" spans="1:15">
      <c r="A130" s="126">
        <v>45707</v>
      </c>
      <c r="B130" s="131" t="s">
        <v>752</v>
      </c>
      <c r="C130" s="126">
        <v>45676</v>
      </c>
      <c r="D130" s="126"/>
      <c r="E130" s="126"/>
      <c r="F130" s="131" t="s">
        <v>753</v>
      </c>
      <c r="G130" s="134">
        <v>1</v>
      </c>
      <c r="H130" s="134">
        <v>65</v>
      </c>
      <c r="I130" s="136">
        <f t="shared" si="14"/>
        <v>65</v>
      </c>
      <c r="J130" s="135">
        <v>13.5</v>
      </c>
      <c r="K130" s="135"/>
      <c r="L130" s="131"/>
      <c r="M130" s="131"/>
      <c r="N130" s="134"/>
      <c r="O130" s="2">
        <v>126</v>
      </c>
    </row>
    <row r="131" s="2" customFormat="1" ht="20.25" spans="1:15">
      <c r="A131" s="126">
        <v>45707</v>
      </c>
      <c r="B131" s="131" t="s">
        <v>752</v>
      </c>
      <c r="C131" s="126">
        <v>45676</v>
      </c>
      <c r="D131" s="126"/>
      <c r="E131" s="126"/>
      <c r="F131" s="131" t="s">
        <v>404</v>
      </c>
      <c r="G131" s="134">
        <v>1</v>
      </c>
      <c r="H131" s="134">
        <v>13</v>
      </c>
      <c r="I131" s="136">
        <f t="shared" si="14"/>
        <v>13</v>
      </c>
      <c r="J131" s="135">
        <v>12.2</v>
      </c>
      <c r="K131" s="135"/>
      <c r="L131" s="131"/>
      <c r="M131" s="131"/>
      <c r="N131" s="134"/>
    </row>
    <row r="132" s="2" customFormat="1" ht="20.25" spans="1:15">
      <c r="A132" s="126">
        <v>45707</v>
      </c>
      <c r="B132" s="131" t="s">
        <v>752</v>
      </c>
      <c r="C132" s="126">
        <v>45676</v>
      </c>
      <c r="D132" s="126"/>
      <c r="E132" s="126"/>
      <c r="F132" s="131" t="s">
        <v>120</v>
      </c>
      <c r="G132" s="134">
        <v>1</v>
      </c>
      <c r="H132" s="134">
        <v>5</v>
      </c>
      <c r="I132" s="136">
        <f t="shared" si="14"/>
        <v>5</v>
      </c>
      <c r="J132" s="135">
        <v>21</v>
      </c>
      <c r="K132" s="135">
        <f t="shared" ref="K132:K137" si="16">I132*J132</f>
        <v>105</v>
      </c>
      <c r="L132" s="131" t="s">
        <v>749</v>
      </c>
      <c r="M132" s="131"/>
      <c r="N132" s="132"/>
    </row>
    <row r="133" s="2" customFormat="1" ht="20.25" spans="1:15">
      <c r="A133" s="126">
        <v>45707</v>
      </c>
      <c r="B133" s="131" t="s">
        <v>752</v>
      </c>
      <c r="C133" s="126">
        <v>45676</v>
      </c>
      <c r="D133" s="126"/>
      <c r="E133" s="126"/>
      <c r="F133" s="131" t="s">
        <v>310</v>
      </c>
      <c r="G133" s="134">
        <v>1</v>
      </c>
      <c r="H133" s="134">
        <v>15</v>
      </c>
      <c r="I133" s="136">
        <f t="shared" si="14"/>
        <v>15</v>
      </c>
      <c r="J133" s="135">
        <v>0.6</v>
      </c>
      <c r="K133" s="135">
        <f t="shared" si="16"/>
        <v>9</v>
      </c>
      <c r="L133" s="131"/>
      <c r="M133" s="131"/>
      <c r="N133" s="132"/>
    </row>
    <row r="134" s="2" customFormat="1" ht="20.25" spans="1:15">
      <c r="A134" s="126">
        <v>45707</v>
      </c>
      <c r="B134" s="131" t="s">
        <v>752</v>
      </c>
      <c r="C134" s="126">
        <v>45676</v>
      </c>
      <c r="D134" s="126"/>
      <c r="E134" s="126"/>
      <c r="F134" s="131" t="s">
        <v>311</v>
      </c>
      <c r="G134" s="134">
        <v>1</v>
      </c>
      <c r="H134" s="134">
        <v>73</v>
      </c>
      <c r="I134" s="136">
        <f t="shared" si="14"/>
        <v>73</v>
      </c>
      <c r="J134" s="135">
        <v>7.8</v>
      </c>
      <c r="K134" s="135">
        <f t="shared" si="16"/>
        <v>569.4</v>
      </c>
      <c r="L134" s="131"/>
      <c r="M134" s="131" t="s">
        <v>321</v>
      </c>
      <c r="N134" s="132"/>
    </row>
    <row r="135" s="2" customFormat="1" ht="20.25" spans="1:15">
      <c r="A135" s="126">
        <v>45707</v>
      </c>
      <c r="B135" s="131" t="s">
        <v>752</v>
      </c>
      <c r="C135" s="126">
        <v>45676</v>
      </c>
      <c r="D135" s="126"/>
      <c r="E135" s="126"/>
      <c r="F135" s="131" t="s">
        <v>312</v>
      </c>
      <c r="G135" s="134">
        <v>1</v>
      </c>
      <c r="H135" s="134">
        <v>40</v>
      </c>
      <c r="I135" s="136">
        <f t="shared" si="14"/>
        <v>40</v>
      </c>
      <c r="J135" s="135">
        <v>3.7</v>
      </c>
      <c r="K135" s="135">
        <f t="shared" si="16"/>
        <v>148</v>
      </c>
      <c r="L135" s="131"/>
      <c r="M135" s="131" t="s">
        <v>346</v>
      </c>
      <c r="N135" s="132"/>
    </row>
    <row r="136" s="2" customFormat="1" ht="20.25" spans="1:15">
      <c r="A136" s="126">
        <v>45707</v>
      </c>
      <c r="B136" s="131" t="s">
        <v>752</v>
      </c>
      <c r="C136" s="126">
        <v>45676</v>
      </c>
      <c r="D136" s="126"/>
      <c r="E136" s="126"/>
      <c r="F136" s="137" t="s">
        <v>754</v>
      </c>
      <c r="G136" s="134">
        <v>1</v>
      </c>
      <c r="H136" s="262">
        <v>9</v>
      </c>
      <c r="I136" s="136">
        <f t="shared" si="14"/>
        <v>9</v>
      </c>
      <c r="J136" s="135">
        <v>6.5</v>
      </c>
      <c r="K136" s="135">
        <f t="shared" si="16"/>
        <v>58.5</v>
      </c>
      <c r="L136" s="131"/>
      <c r="M136" s="137" t="s">
        <v>755</v>
      </c>
      <c r="N136" s="132"/>
    </row>
    <row r="137" s="2" customFormat="1" ht="20.25" spans="1:15">
      <c r="A137" s="126">
        <v>45707</v>
      </c>
      <c r="B137" s="131" t="s">
        <v>752</v>
      </c>
      <c r="C137" s="126">
        <v>45676</v>
      </c>
      <c r="D137" s="126"/>
      <c r="E137" s="126"/>
      <c r="F137" s="131" t="s">
        <v>323</v>
      </c>
      <c r="G137" s="134">
        <v>1</v>
      </c>
      <c r="H137" s="134">
        <v>2.5</v>
      </c>
      <c r="I137" s="136">
        <f t="shared" si="14"/>
        <v>2.5</v>
      </c>
      <c r="J137" s="135">
        <v>18</v>
      </c>
      <c r="K137" s="135">
        <f t="shared" si="16"/>
        <v>45</v>
      </c>
      <c r="L137" s="131"/>
      <c r="M137" s="131"/>
      <c r="N137" s="131"/>
    </row>
    <row r="138" s="2" customFormat="1" ht="20.25" spans="1:15">
      <c r="A138" s="126">
        <v>45707</v>
      </c>
      <c r="B138" s="131" t="s">
        <v>752</v>
      </c>
      <c r="C138" s="126">
        <v>45676</v>
      </c>
      <c r="D138" s="126"/>
      <c r="E138" s="126"/>
      <c r="F138" s="131" t="s">
        <v>625</v>
      </c>
      <c r="G138" s="134">
        <v>1</v>
      </c>
      <c r="H138" s="134">
        <v>25</v>
      </c>
      <c r="I138" s="136">
        <f t="shared" si="14"/>
        <v>25</v>
      </c>
      <c r="J138" s="135">
        <v>12</v>
      </c>
      <c r="K138" s="135"/>
      <c r="L138" s="256" t="s">
        <v>756</v>
      </c>
      <c r="M138" s="131"/>
      <c r="N138" s="131"/>
    </row>
    <row r="139" s="2" customFormat="1" ht="20.25" spans="1:15">
      <c r="A139" s="126">
        <v>45707</v>
      </c>
      <c r="B139" s="131" t="s">
        <v>752</v>
      </c>
      <c r="C139" s="126">
        <v>45676</v>
      </c>
      <c r="D139" s="126"/>
      <c r="E139" s="126"/>
      <c r="F139" s="131" t="s">
        <v>757</v>
      </c>
      <c r="G139" s="134">
        <v>1</v>
      </c>
      <c r="H139" s="134">
        <f>SUM(H130:H138)</f>
        <v>247.5</v>
      </c>
      <c r="I139" s="136">
        <f t="shared" si="14"/>
        <v>247.5</v>
      </c>
      <c r="J139" s="135">
        <v>2</v>
      </c>
      <c r="K139" s="135">
        <f t="shared" ref="K139:K149" si="17">I139*J139</f>
        <v>495</v>
      </c>
      <c r="L139" s="131"/>
      <c r="M139" s="131"/>
      <c r="N139" s="132"/>
    </row>
    <row r="140" s="2" customFormat="1" ht="20.25" spans="1:15">
      <c r="A140" s="126">
        <v>45707</v>
      </c>
      <c r="B140" s="131" t="s">
        <v>752</v>
      </c>
      <c r="C140" s="126">
        <v>45676</v>
      </c>
      <c r="D140" s="126"/>
      <c r="E140" s="126"/>
      <c r="F140" s="131" t="s">
        <v>316</v>
      </c>
      <c r="G140" s="134">
        <v>13</v>
      </c>
      <c r="H140" s="134">
        <v>1</v>
      </c>
      <c r="I140" s="136">
        <f t="shared" si="14"/>
        <v>13</v>
      </c>
      <c r="J140" s="135">
        <v>12.5</v>
      </c>
      <c r="K140" s="135">
        <f t="shared" si="17"/>
        <v>162.5</v>
      </c>
      <c r="L140" s="131">
        <f>SUM(K130:K140)</f>
        <v>1592.4</v>
      </c>
      <c r="M140" s="131"/>
      <c r="N140" s="132"/>
    </row>
    <row r="141" s="1" customFormat="1" ht="20.25" spans="1:15">
      <c r="A141" s="51">
        <v>45707</v>
      </c>
      <c r="B141" s="110" t="s">
        <v>758</v>
      </c>
      <c r="C141" s="51">
        <v>45706</v>
      </c>
      <c r="D141" s="51"/>
      <c r="E141" s="51"/>
      <c r="F141" s="110" t="s">
        <v>743</v>
      </c>
      <c r="G141" s="107">
        <v>1</v>
      </c>
      <c r="H141" s="107">
        <v>46</v>
      </c>
      <c r="I141" s="108">
        <f t="shared" si="14"/>
        <v>46</v>
      </c>
      <c r="J141" s="109">
        <v>13.5</v>
      </c>
      <c r="K141" s="109"/>
      <c r="L141" s="110"/>
      <c r="M141" s="110"/>
      <c r="N141" s="107"/>
      <c r="O141" s="1">
        <v>126</v>
      </c>
    </row>
    <row r="142" s="1" customFormat="1" ht="20.25" spans="1:15">
      <c r="A142" s="51">
        <v>45707</v>
      </c>
      <c r="B142" s="110" t="s">
        <v>758</v>
      </c>
      <c r="C142" s="51">
        <v>45706</v>
      </c>
      <c r="D142" s="51"/>
      <c r="E142" s="51"/>
      <c r="F142" s="110" t="s">
        <v>404</v>
      </c>
      <c r="G142" s="107">
        <v>1</v>
      </c>
      <c r="H142" s="107">
        <v>13</v>
      </c>
      <c r="I142" s="108">
        <f t="shared" si="14"/>
        <v>13</v>
      </c>
      <c r="J142" s="109">
        <v>12.2</v>
      </c>
      <c r="K142" s="109"/>
      <c r="L142" s="110"/>
      <c r="M142" s="110"/>
      <c r="N142" s="107"/>
    </row>
    <row r="143" s="1" customFormat="1" ht="20.25" spans="1:15">
      <c r="A143" s="51">
        <v>45707</v>
      </c>
      <c r="B143" s="110" t="s">
        <v>758</v>
      </c>
      <c r="C143" s="51">
        <v>45706</v>
      </c>
      <c r="D143" s="51"/>
      <c r="E143" s="51"/>
      <c r="F143" s="110" t="s">
        <v>120</v>
      </c>
      <c r="G143" s="107">
        <v>1</v>
      </c>
      <c r="H143" s="107">
        <v>3.5</v>
      </c>
      <c r="I143" s="108">
        <f t="shared" si="14"/>
        <v>3.5</v>
      </c>
      <c r="J143" s="109">
        <v>21</v>
      </c>
      <c r="K143" s="109">
        <f t="shared" si="17"/>
        <v>73.5</v>
      </c>
      <c r="L143" s="110" t="s">
        <v>759</v>
      </c>
      <c r="M143" s="110"/>
      <c r="N143" s="111"/>
    </row>
    <row r="144" s="1" customFormat="1" ht="20.25" spans="1:15">
      <c r="A144" s="51">
        <v>45707</v>
      </c>
      <c r="B144" s="110" t="s">
        <v>758</v>
      </c>
      <c r="C144" s="51">
        <v>45706</v>
      </c>
      <c r="D144" s="51"/>
      <c r="E144" s="51"/>
      <c r="F144" s="110" t="s">
        <v>310</v>
      </c>
      <c r="G144" s="107">
        <v>1</v>
      </c>
      <c r="H144" s="107">
        <v>17</v>
      </c>
      <c r="I144" s="108">
        <f t="shared" si="14"/>
        <v>17</v>
      </c>
      <c r="J144" s="109">
        <v>0.6</v>
      </c>
      <c r="K144" s="109">
        <f t="shared" si="17"/>
        <v>10.2</v>
      </c>
      <c r="L144" s="110"/>
      <c r="M144" s="110"/>
      <c r="N144" s="111"/>
    </row>
    <row r="145" s="1" customFormat="1" ht="20.25" spans="1:15">
      <c r="A145" s="51">
        <v>45707</v>
      </c>
      <c r="B145" s="110" t="s">
        <v>758</v>
      </c>
      <c r="C145" s="51">
        <v>45706</v>
      </c>
      <c r="D145" s="51"/>
      <c r="E145" s="51"/>
      <c r="F145" s="110" t="s">
        <v>311</v>
      </c>
      <c r="G145" s="107">
        <v>1</v>
      </c>
      <c r="H145" s="107">
        <v>46</v>
      </c>
      <c r="I145" s="108">
        <f t="shared" si="14"/>
        <v>46</v>
      </c>
      <c r="J145" s="109">
        <v>7.8</v>
      </c>
      <c r="K145" s="109">
        <f t="shared" si="17"/>
        <v>358.8</v>
      </c>
      <c r="L145" s="110"/>
      <c r="M145" s="110" t="s">
        <v>321</v>
      </c>
      <c r="N145" s="111"/>
    </row>
    <row r="146" s="1" customFormat="1" ht="20.25" spans="1:15">
      <c r="A146" s="51">
        <v>45707</v>
      </c>
      <c r="B146" s="110" t="s">
        <v>758</v>
      </c>
      <c r="C146" s="51">
        <v>45706</v>
      </c>
      <c r="D146" s="51"/>
      <c r="E146" s="51"/>
      <c r="F146" s="110" t="s">
        <v>312</v>
      </c>
      <c r="G146" s="107">
        <v>1</v>
      </c>
      <c r="H146" s="107">
        <v>33</v>
      </c>
      <c r="I146" s="108">
        <f t="shared" si="14"/>
        <v>33</v>
      </c>
      <c r="J146" s="109">
        <v>3.7</v>
      </c>
      <c r="K146" s="109">
        <f t="shared" si="17"/>
        <v>122.1</v>
      </c>
      <c r="L146" s="110" t="s">
        <v>760</v>
      </c>
      <c r="M146" s="110" t="s">
        <v>346</v>
      </c>
      <c r="N146" s="111"/>
    </row>
    <row r="147" s="1" customFormat="1" ht="20.25" spans="1:15">
      <c r="A147" s="51">
        <v>45707</v>
      </c>
      <c r="B147" s="110" t="s">
        <v>758</v>
      </c>
      <c r="C147" s="51">
        <v>45706</v>
      </c>
      <c r="D147" s="51"/>
      <c r="E147" s="51"/>
      <c r="F147" s="110" t="s">
        <v>309</v>
      </c>
      <c r="G147" s="107">
        <v>1</v>
      </c>
      <c r="H147" s="107">
        <v>27</v>
      </c>
      <c r="I147" s="108">
        <f t="shared" si="14"/>
        <v>27</v>
      </c>
      <c r="J147" s="109">
        <v>18</v>
      </c>
      <c r="K147" s="109">
        <f t="shared" si="17"/>
        <v>486</v>
      </c>
      <c r="L147" s="110"/>
      <c r="M147" s="110" t="s">
        <v>380</v>
      </c>
      <c r="N147" s="110"/>
    </row>
    <row r="148" s="1" customFormat="1" ht="20.25" spans="1:15">
      <c r="A148" s="51">
        <v>45707</v>
      </c>
      <c r="B148" s="110" t="s">
        <v>758</v>
      </c>
      <c r="C148" s="51">
        <v>45706</v>
      </c>
      <c r="D148" s="51"/>
      <c r="E148" s="51"/>
      <c r="F148" s="110" t="s">
        <v>761</v>
      </c>
      <c r="G148" s="107">
        <v>1</v>
      </c>
      <c r="H148" s="107">
        <f>SUM(H141:H147)</f>
        <v>185.5</v>
      </c>
      <c r="I148" s="108">
        <f t="shared" si="14"/>
        <v>185.5</v>
      </c>
      <c r="J148" s="109">
        <v>2</v>
      </c>
      <c r="K148" s="109">
        <f t="shared" si="17"/>
        <v>371</v>
      </c>
      <c r="L148" s="110"/>
      <c r="M148" s="110"/>
      <c r="N148" s="111"/>
    </row>
    <row r="149" s="1" customFormat="1" ht="20.25" spans="1:15">
      <c r="A149" s="51">
        <v>45707</v>
      </c>
      <c r="B149" s="110" t="s">
        <v>758</v>
      </c>
      <c r="C149" s="51">
        <v>45706</v>
      </c>
      <c r="D149" s="51"/>
      <c r="E149" s="51"/>
      <c r="F149" s="110" t="s">
        <v>316</v>
      </c>
      <c r="G149" s="107">
        <v>10</v>
      </c>
      <c r="H149" s="107">
        <v>1</v>
      </c>
      <c r="I149" s="108">
        <f t="shared" si="14"/>
        <v>10</v>
      </c>
      <c r="J149" s="109">
        <v>12.5</v>
      </c>
      <c r="K149" s="109">
        <f t="shared" si="17"/>
        <v>125</v>
      </c>
      <c r="L149" s="110">
        <f>SUM(K141:K149)</f>
        <v>1546.6</v>
      </c>
      <c r="M149" s="110"/>
      <c r="N149" s="111"/>
    </row>
    <row r="150" s="2" customFormat="1" ht="20.25" spans="1:15">
      <c r="A150" s="126">
        <v>45707</v>
      </c>
      <c r="B150" s="131" t="s">
        <v>762</v>
      </c>
      <c r="C150" s="126">
        <v>45706</v>
      </c>
      <c r="D150" s="126"/>
      <c r="E150" s="126"/>
      <c r="F150" s="131" t="s">
        <v>743</v>
      </c>
      <c r="G150" s="134">
        <v>1</v>
      </c>
      <c r="H150" s="134">
        <v>110</v>
      </c>
      <c r="I150" s="136">
        <f t="shared" si="14"/>
        <v>110</v>
      </c>
      <c r="J150" s="135">
        <v>13.5</v>
      </c>
      <c r="K150" s="135"/>
      <c r="L150" s="131"/>
      <c r="M150" s="131"/>
      <c r="N150" s="134"/>
      <c r="O150" s="2">
        <v>126</v>
      </c>
    </row>
    <row r="151" s="2" customFormat="1" ht="20.25" spans="1:15">
      <c r="A151" s="126">
        <v>45707</v>
      </c>
      <c r="B151" s="131" t="s">
        <v>762</v>
      </c>
      <c r="C151" s="126">
        <v>45706</v>
      </c>
      <c r="D151" s="126"/>
      <c r="E151" s="126"/>
      <c r="F151" s="131" t="s">
        <v>404</v>
      </c>
      <c r="G151" s="134">
        <v>1</v>
      </c>
      <c r="H151" s="134">
        <v>22</v>
      </c>
      <c r="I151" s="136">
        <f t="shared" si="14"/>
        <v>22</v>
      </c>
      <c r="J151" s="135">
        <v>12.2</v>
      </c>
      <c r="K151" s="135"/>
      <c r="L151" s="131"/>
      <c r="M151" s="131"/>
      <c r="N151" s="134"/>
    </row>
    <row r="152" s="2" customFormat="1" ht="20.25" spans="1:15">
      <c r="A152" s="126">
        <v>45707</v>
      </c>
      <c r="B152" s="131" t="s">
        <v>762</v>
      </c>
      <c r="C152" s="126">
        <v>45706</v>
      </c>
      <c r="D152" s="126"/>
      <c r="E152" s="126"/>
      <c r="F152" s="131" t="s">
        <v>120</v>
      </c>
      <c r="G152" s="134">
        <v>1</v>
      </c>
      <c r="H152" s="134">
        <v>8</v>
      </c>
      <c r="I152" s="136">
        <f t="shared" si="14"/>
        <v>8</v>
      </c>
      <c r="J152" s="135">
        <v>21</v>
      </c>
      <c r="K152" s="135">
        <f t="shared" ref="K152:K160" si="18">I152*J152</f>
        <v>168</v>
      </c>
      <c r="L152" s="131"/>
      <c r="M152" s="131"/>
      <c r="N152" s="134"/>
      <c r="O152" s="2">
        <v>6</v>
      </c>
    </row>
    <row r="153" s="2" customFormat="1" ht="20.25" spans="1:15">
      <c r="A153" s="126">
        <v>45707</v>
      </c>
      <c r="B153" s="131" t="s">
        <v>762</v>
      </c>
      <c r="C153" s="126">
        <v>45706</v>
      </c>
      <c r="D153" s="126"/>
      <c r="E153" s="126"/>
      <c r="F153" s="131" t="s">
        <v>310</v>
      </c>
      <c r="G153" s="134">
        <v>1</v>
      </c>
      <c r="H153" s="134">
        <v>48</v>
      </c>
      <c r="I153" s="136">
        <f t="shared" si="14"/>
        <v>48</v>
      </c>
      <c r="J153" s="135">
        <v>0.6</v>
      </c>
      <c r="K153" s="135">
        <f t="shared" si="18"/>
        <v>28.8</v>
      </c>
      <c r="L153" s="256" t="s">
        <v>763</v>
      </c>
      <c r="M153" s="131"/>
      <c r="N153" s="134"/>
      <c r="O153" s="2">
        <v>36</v>
      </c>
    </row>
    <row r="154" s="2" customFormat="1" ht="20.25" spans="1:15">
      <c r="A154" s="126">
        <v>45707</v>
      </c>
      <c r="B154" s="131" t="s">
        <v>762</v>
      </c>
      <c r="C154" s="126">
        <v>45706</v>
      </c>
      <c r="D154" s="126"/>
      <c r="E154" s="126"/>
      <c r="F154" s="131" t="s">
        <v>311</v>
      </c>
      <c r="G154" s="134">
        <v>1</v>
      </c>
      <c r="H154" s="134">
        <v>110</v>
      </c>
      <c r="I154" s="136">
        <f t="shared" si="14"/>
        <v>110</v>
      </c>
      <c r="J154" s="135">
        <v>7.8</v>
      </c>
      <c r="K154" s="135">
        <f t="shared" si="18"/>
        <v>858</v>
      </c>
      <c r="L154" s="131" t="s">
        <v>321</v>
      </c>
      <c r="M154" s="131"/>
      <c r="N154" s="134"/>
      <c r="O154" s="2">
        <v>117</v>
      </c>
    </row>
    <row r="155" s="2" customFormat="1" ht="20.25" spans="1:15">
      <c r="A155" s="126">
        <v>45707</v>
      </c>
      <c r="B155" s="131" t="s">
        <v>762</v>
      </c>
      <c r="C155" s="126">
        <v>45706</v>
      </c>
      <c r="D155" s="126"/>
      <c r="E155" s="126"/>
      <c r="F155" s="131" t="s">
        <v>312</v>
      </c>
      <c r="G155" s="134">
        <v>1</v>
      </c>
      <c r="H155" s="134">
        <v>75</v>
      </c>
      <c r="I155" s="136">
        <f t="shared" si="14"/>
        <v>75</v>
      </c>
      <c r="J155" s="135">
        <v>3.7</v>
      </c>
      <c r="K155" s="135">
        <f t="shared" si="18"/>
        <v>277.5</v>
      </c>
      <c r="L155" s="131" t="s">
        <v>346</v>
      </c>
      <c r="M155" s="131"/>
      <c r="N155" s="134"/>
      <c r="O155" s="2">
        <v>133</v>
      </c>
    </row>
    <row r="156" s="2" customFormat="1" ht="20.25" spans="1:15">
      <c r="A156" s="126">
        <v>45707</v>
      </c>
      <c r="B156" s="131" t="s">
        <v>762</v>
      </c>
      <c r="C156" s="126">
        <v>45706</v>
      </c>
      <c r="D156" s="126"/>
      <c r="E156" s="126"/>
      <c r="F156" s="131" t="s">
        <v>125</v>
      </c>
      <c r="G156" s="134">
        <v>1</v>
      </c>
      <c r="H156" s="134">
        <v>10.5</v>
      </c>
      <c r="I156" s="136">
        <f t="shared" si="14"/>
        <v>10.5</v>
      </c>
      <c r="J156" s="135">
        <v>25</v>
      </c>
      <c r="K156" s="135">
        <f t="shared" si="18"/>
        <v>262.5</v>
      </c>
      <c r="L156" s="131" t="s">
        <v>745</v>
      </c>
      <c r="M156" s="131" t="s">
        <v>717</v>
      </c>
      <c r="N156" s="134"/>
      <c r="O156" s="2">
        <v>3</v>
      </c>
    </row>
    <row r="157" s="2" customFormat="1" ht="20.25" spans="1:15">
      <c r="A157" s="126">
        <v>45707</v>
      </c>
      <c r="B157" s="131" t="s">
        <v>762</v>
      </c>
      <c r="C157" s="126">
        <v>45706</v>
      </c>
      <c r="D157" s="126"/>
      <c r="E157" s="126"/>
      <c r="F157" s="131" t="s">
        <v>313</v>
      </c>
      <c r="G157" s="134">
        <v>1</v>
      </c>
      <c r="H157" s="134">
        <v>6.5</v>
      </c>
      <c r="I157" s="136">
        <f t="shared" si="14"/>
        <v>6.5</v>
      </c>
      <c r="J157" s="135">
        <v>45</v>
      </c>
      <c r="K157" s="135">
        <f t="shared" si="18"/>
        <v>292.5</v>
      </c>
      <c r="N157" s="134"/>
      <c r="O157" s="2">
        <v>3</v>
      </c>
    </row>
    <row r="158" s="2" customFormat="1" ht="20.25" spans="1:15">
      <c r="A158" s="126">
        <v>45707</v>
      </c>
      <c r="B158" s="131" t="s">
        <v>762</v>
      </c>
      <c r="C158" s="126">
        <v>45706</v>
      </c>
      <c r="D158" s="126"/>
      <c r="E158" s="126"/>
      <c r="F158" s="131" t="s">
        <v>309</v>
      </c>
      <c r="G158" s="134">
        <v>1</v>
      </c>
      <c r="H158" s="134">
        <v>10</v>
      </c>
      <c r="I158" s="136">
        <f t="shared" si="14"/>
        <v>10</v>
      </c>
      <c r="J158" s="135">
        <v>18</v>
      </c>
      <c r="K158" s="135">
        <f t="shared" si="18"/>
        <v>180</v>
      </c>
      <c r="N158" s="134"/>
      <c r="O158" s="2">
        <v>5</v>
      </c>
    </row>
    <row r="159" s="2" customFormat="1" ht="20.25" spans="1:15">
      <c r="A159" s="126">
        <v>45707</v>
      </c>
      <c r="B159" s="131" t="s">
        <v>762</v>
      </c>
      <c r="C159" s="126">
        <v>45706</v>
      </c>
      <c r="D159" s="126"/>
      <c r="E159" s="126"/>
      <c r="F159" s="131" t="s">
        <v>715</v>
      </c>
      <c r="G159" s="134">
        <v>1</v>
      </c>
      <c r="H159" s="134">
        <f>SUM(H150:H158)</f>
        <v>400</v>
      </c>
      <c r="I159" s="136">
        <f t="shared" si="14"/>
        <v>400</v>
      </c>
      <c r="J159" s="135">
        <v>2</v>
      </c>
      <c r="K159" s="135">
        <f t="shared" si="18"/>
        <v>800</v>
      </c>
      <c r="N159" s="134"/>
      <c r="O159" s="2">
        <v>14</v>
      </c>
    </row>
    <row r="160" s="2" customFormat="1" ht="20.25" spans="1:15">
      <c r="A160" s="126">
        <v>45707</v>
      </c>
      <c r="B160" s="131" t="s">
        <v>762</v>
      </c>
      <c r="C160" s="126">
        <v>45706</v>
      </c>
      <c r="D160" s="126"/>
      <c r="E160" s="126"/>
      <c r="F160" s="131" t="s">
        <v>316</v>
      </c>
      <c r="G160" s="134">
        <v>22</v>
      </c>
      <c r="H160" s="134">
        <v>1</v>
      </c>
      <c r="I160" s="136">
        <f t="shared" si="14"/>
        <v>22</v>
      </c>
      <c r="J160" s="135">
        <v>12.5</v>
      </c>
      <c r="K160" s="135">
        <f t="shared" si="18"/>
        <v>275</v>
      </c>
      <c r="L160" s="2">
        <f>SUM(K150:K160)</f>
        <v>3142.3</v>
      </c>
      <c r="N160" s="134"/>
    </row>
    <row r="161" s="1" customFormat="1" ht="20.25" spans="1:15">
      <c r="A161" s="51">
        <v>45707</v>
      </c>
      <c r="B161" s="110" t="s">
        <v>764</v>
      </c>
      <c r="C161" s="51">
        <v>45706</v>
      </c>
      <c r="D161" s="51"/>
      <c r="E161" s="51"/>
      <c r="F161" s="110" t="s">
        <v>743</v>
      </c>
      <c r="G161" s="107">
        <v>1</v>
      </c>
      <c r="H161" s="107">
        <v>55</v>
      </c>
      <c r="I161" s="108">
        <f t="shared" si="14"/>
        <v>55</v>
      </c>
      <c r="J161" s="109">
        <v>13.5</v>
      </c>
      <c r="K161" s="109"/>
      <c r="L161" s="110"/>
      <c r="M161" s="110"/>
      <c r="N161" s="107"/>
      <c r="O161" s="1">
        <v>126</v>
      </c>
    </row>
    <row r="162" s="1" customFormat="1" ht="21" customHeight="1" spans="1:15">
      <c r="A162" s="51">
        <v>45707</v>
      </c>
      <c r="B162" s="110" t="s">
        <v>764</v>
      </c>
      <c r="C162" s="51">
        <v>45706</v>
      </c>
      <c r="D162" s="51"/>
      <c r="E162" s="51"/>
      <c r="F162" s="110" t="s">
        <v>404</v>
      </c>
      <c r="G162" s="107">
        <v>1</v>
      </c>
      <c r="H162" s="107">
        <v>11</v>
      </c>
      <c r="I162" s="108">
        <f t="shared" si="14"/>
        <v>11</v>
      </c>
      <c r="J162" s="109">
        <v>12.2</v>
      </c>
      <c r="K162" s="109"/>
      <c r="L162" s="110"/>
      <c r="M162" s="110"/>
      <c r="N162" s="107"/>
    </row>
    <row r="163" s="1" customFormat="1" ht="20.25" spans="1:15">
      <c r="A163" s="51">
        <v>45707</v>
      </c>
      <c r="B163" s="110" t="s">
        <v>764</v>
      </c>
      <c r="C163" s="51">
        <v>45706</v>
      </c>
      <c r="D163" s="51"/>
      <c r="E163" s="51"/>
      <c r="F163" s="110" t="s">
        <v>120</v>
      </c>
      <c r="G163" s="107">
        <v>1</v>
      </c>
      <c r="H163" s="107">
        <v>4</v>
      </c>
      <c r="I163" s="108">
        <f t="shared" si="14"/>
        <v>4</v>
      </c>
      <c r="J163" s="109">
        <v>21</v>
      </c>
      <c r="K163" s="109">
        <f t="shared" ref="K163:K171" si="19">I163*J163</f>
        <v>84</v>
      </c>
      <c r="L163" s="110"/>
      <c r="M163" s="110"/>
      <c r="N163" s="111"/>
    </row>
    <row r="164" s="1" customFormat="1" ht="20.25" spans="1:15">
      <c r="A164" s="51">
        <v>45707</v>
      </c>
      <c r="B164" s="110" t="s">
        <v>764</v>
      </c>
      <c r="C164" s="51">
        <v>45706</v>
      </c>
      <c r="D164" s="51"/>
      <c r="E164" s="51"/>
      <c r="F164" s="110" t="s">
        <v>310</v>
      </c>
      <c r="G164" s="107">
        <v>1</v>
      </c>
      <c r="H164" s="107">
        <v>24</v>
      </c>
      <c r="I164" s="108">
        <f t="shared" si="14"/>
        <v>24</v>
      </c>
      <c r="J164" s="109">
        <v>0.6</v>
      </c>
      <c r="K164" s="109">
        <f t="shared" si="19"/>
        <v>14.4</v>
      </c>
      <c r="L164" s="110"/>
      <c r="M164" s="110"/>
      <c r="N164" s="111"/>
    </row>
    <row r="165" s="1" customFormat="1" ht="20.25" spans="1:15">
      <c r="A165" s="51">
        <v>45707</v>
      </c>
      <c r="B165" s="110" t="s">
        <v>764</v>
      </c>
      <c r="C165" s="51">
        <v>45706</v>
      </c>
      <c r="D165" s="51"/>
      <c r="E165" s="51"/>
      <c r="F165" s="110" t="s">
        <v>311</v>
      </c>
      <c r="G165" s="107">
        <v>1</v>
      </c>
      <c r="H165" s="107">
        <v>55</v>
      </c>
      <c r="I165" s="108">
        <f t="shared" si="14"/>
        <v>55</v>
      </c>
      <c r="J165" s="109">
        <v>7.8</v>
      </c>
      <c r="K165" s="109">
        <f t="shared" si="19"/>
        <v>429</v>
      </c>
      <c r="L165" s="110"/>
      <c r="M165" s="110" t="s">
        <v>321</v>
      </c>
      <c r="N165" s="111"/>
    </row>
    <row r="166" s="1" customFormat="1" ht="20.25" spans="1:15">
      <c r="A166" s="51">
        <v>45707</v>
      </c>
      <c r="B166" s="110" t="s">
        <v>764</v>
      </c>
      <c r="C166" s="51">
        <v>45706</v>
      </c>
      <c r="D166" s="51"/>
      <c r="E166" s="51"/>
      <c r="F166" s="110" t="s">
        <v>312</v>
      </c>
      <c r="G166" s="107">
        <v>1</v>
      </c>
      <c r="H166" s="107">
        <v>40</v>
      </c>
      <c r="I166" s="108">
        <f t="shared" si="14"/>
        <v>40</v>
      </c>
      <c r="J166" s="109">
        <v>3.7</v>
      </c>
      <c r="K166" s="109">
        <f t="shared" si="19"/>
        <v>148</v>
      </c>
      <c r="L166" s="110"/>
      <c r="M166" s="110" t="s">
        <v>346</v>
      </c>
      <c r="N166" s="111"/>
    </row>
    <row r="167" s="1" customFormat="1" ht="20.25" spans="1:15">
      <c r="A167" s="51">
        <v>45707</v>
      </c>
      <c r="B167" s="110" t="s">
        <v>764</v>
      </c>
      <c r="C167" s="51">
        <v>45706</v>
      </c>
      <c r="D167" s="51"/>
      <c r="E167" s="51"/>
      <c r="F167" s="110" t="s">
        <v>125</v>
      </c>
      <c r="G167" s="107">
        <v>1</v>
      </c>
      <c r="H167" s="107">
        <v>3.8</v>
      </c>
      <c r="I167" s="108">
        <f t="shared" si="14"/>
        <v>3.8</v>
      </c>
      <c r="J167" s="109">
        <v>25</v>
      </c>
      <c r="K167" s="109">
        <f t="shared" si="19"/>
        <v>95</v>
      </c>
      <c r="L167" s="110"/>
      <c r="M167" s="110" t="s">
        <v>737</v>
      </c>
      <c r="N167" s="111"/>
    </row>
    <row r="168" s="1" customFormat="1" ht="20.25" spans="1:15">
      <c r="A168" s="51">
        <v>45707</v>
      </c>
      <c r="B168" s="110" t="s">
        <v>764</v>
      </c>
      <c r="C168" s="51">
        <v>45706</v>
      </c>
      <c r="D168" s="51"/>
      <c r="E168" s="51"/>
      <c r="F168" s="110" t="s">
        <v>313</v>
      </c>
      <c r="G168" s="107">
        <v>1</v>
      </c>
      <c r="H168" s="107">
        <v>2.2</v>
      </c>
      <c r="I168" s="108">
        <f t="shared" si="14"/>
        <v>2.2</v>
      </c>
      <c r="J168" s="109">
        <v>45</v>
      </c>
      <c r="K168" s="109">
        <f t="shared" si="19"/>
        <v>99</v>
      </c>
      <c r="L168" s="110"/>
      <c r="M168" s="110" t="s">
        <v>717</v>
      </c>
      <c r="N168" s="110"/>
    </row>
    <row r="169" s="1" customFormat="1" ht="20.25" spans="1:15">
      <c r="A169" s="51">
        <v>45707</v>
      </c>
      <c r="B169" s="110" t="s">
        <v>764</v>
      </c>
      <c r="C169" s="51">
        <v>45706</v>
      </c>
      <c r="D169" s="51"/>
      <c r="E169" s="51"/>
      <c r="F169" s="110" t="s">
        <v>309</v>
      </c>
      <c r="G169" s="107">
        <v>1</v>
      </c>
      <c r="H169" s="107">
        <v>5</v>
      </c>
      <c r="I169" s="108">
        <f t="shared" si="14"/>
        <v>5</v>
      </c>
      <c r="J169" s="109">
        <v>18</v>
      </c>
      <c r="K169" s="109">
        <f t="shared" si="19"/>
        <v>90</v>
      </c>
      <c r="L169" s="257" t="s">
        <v>756</v>
      </c>
      <c r="M169" s="110"/>
      <c r="N169" s="110"/>
    </row>
    <row r="170" s="1" customFormat="1" ht="20.25" spans="1:15">
      <c r="A170" s="51">
        <v>45707</v>
      </c>
      <c r="B170" s="110" t="s">
        <v>764</v>
      </c>
      <c r="C170" s="51">
        <v>45706</v>
      </c>
      <c r="D170" s="51"/>
      <c r="E170" s="51"/>
      <c r="F170" s="110" t="s">
        <v>720</v>
      </c>
      <c r="G170" s="107">
        <v>1</v>
      </c>
      <c r="H170" s="107">
        <f>SUM(H161:H169)</f>
        <v>200</v>
      </c>
      <c r="I170" s="108">
        <f t="shared" si="14"/>
        <v>200</v>
      </c>
      <c r="J170" s="109">
        <v>2</v>
      </c>
      <c r="K170" s="109">
        <f t="shared" si="19"/>
        <v>400</v>
      </c>
      <c r="L170" s="110"/>
      <c r="M170" s="110"/>
      <c r="N170" s="111"/>
    </row>
    <row r="171" s="1" customFormat="1" ht="20.25" spans="1:15">
      <c r="A171" s="51">
        <v>45707</v>
      </c>
      <c r="B171" s="110" t="s">
        <v>764</v>
      </c>
      <c r="C171" s="51">
        <v>45706</v>
      </c>
      <c r="D171" s="51"/>
      <c r="E171" s="51"/>
      <c r="F171" s="110" t="s">
        <v>316</v>
      </c>
      <c r="G171" s="107">
        <v>11</v>
      </c>
      <c r="H171" s="107">
        <v>1</v>
      </c>
      <c r="I171" s="108">
        <f t="shared" si="14"/>
        <v>11</v>
      </c>
      <c r="J171" s="109">
        <v>12.5</v>
      </c>
      <c r="K171" s="109">
        <f t="shared" si="19"/>
        <v>137.5</v>
      </c>
      <c r="L171" s="110">
        <f>SUM(K161:K171)</f>
        <v>1496.9</v>
      </c>
      <c r="M171" s="110"/>
      <c r="N171" s="111"/>
    </row>
    <row r="172" s="2" customFormat="1" ht="20.25" spans="1:15">
      <c r="A172" s="126">
        <v>45707</v>
      </c>
      <c r="B172" s="131" t="s">
        <v>765</v>
      </c>
      <c r="C172" s="126">
        <v>45706</v>
      </c>
      <c r="D172" s="126"/>
      <c r="E172" s="126"/>
      <c r="F172" s="131" t="s">
        <v>743</v>
      </c>
      <c r="G172" s="134">
        <v>1</v>
      </c>
      <c r="H172" s="134">
        <v>25</v>
      </c>
      <c r="I172" s="136">
        <f t="shared" si="14"/>
        <v>25</v>
      </c>
      <c r="J172" s="135">
        <v>13.5</v>
      </c>
      <c r="K172" s="135"/>
      <c r="L172" s="131"/>
      <c r="M172" s="131"/>
      <c r="N172" s="134"/>
      <c r="O172" s="2">
        <v>126</v>
      </c>
    </row>
    <row r="173" s="2" customFormat="1" ht="20.25" spans="1:15">
      <c r="A173" s="126">
        <v>45707</v>
      </c>
      <c r="B173" s="131" t="s">
        <v>765</v>
      </c>
      <c r="C173" s="126">
        <v>45706</v>
      </c>
      <c r="D173" s="126"/>
      <c r="E173" s="126"/>
      <c r="F173" s="131" t="s">
        <v>404</v>
      </c>
      <c r="G173" s="134">
        <v>1</v>
      </c>
      <c r="H173" s="134">
        <v>5</v>
      </c>
      <c r="I173" s="136">
        <f t="shared" si="14"/>
        <v>5</v>
      </c>
      <c r="J173" s="135">
        <v>12.2</v>
      </c>
      <c r="K173" s="135"/>
      <c r="L173" s="131"/>
      <c r="M173" s="131"/>
      <c r="N173" s="134"/>
    </row>
    <row r="174" s="2" customFormat="1" ht="20.25" spans="1:15">
      <c r="A174" s="126">
        <v>45707</v>
      </c>
      <c r="B174" s="131" t="s">
        <v>765</v>
      </c>
      <c r="C174" s="126">
        <v>45706</v>
      </c>
      <c r="D174" s="126"/>
      <c r="E174" s="126"/>
      <c r="F174" s="131" t="s">
        <v>120</v>
      </c>
      <c r="G174" s="134">
        <v>1</v>
      </c>
      <c r="H174" s="134">
        <v>2</v>
      </c>
      <c r="I174" s="136">
        <f t="shared" si="14"/>
        <v>2</v>
      </c>
      <c r="J174" s="135">
        <v>21</v>
      </c>
      <c r="K174" s="135">
        <f t="shared" ref="K174:K183" si="20">I174*J174</f>
        <v>42</v>
      </c>
      <c r="L174" s="131" t="s">
        <v>759</v>
      </c>
      <c r="M174" s="131"/>
      <c r="N174" s="132"/>
    </row>
    <row r="175" s="2" customFormat="1" ht="20.25" spans="1:15">
      <c r="A175" s="126">
        <v>45707</v>
      </c>
      <c r="B175" s="131" t="s">
        <v>765</v>
      </c>
      <c r="C175" s="126">
        <v>45706</v>
      </c>
      <c r="D175" s="126"/>
      <c r="E175" s="126"/>
      <c r="F175" s="131" t="s">
        <v>310</v>
      </c>
      <c r="G175" s="134">
        <v>1</v>
      </c>
      <c r="H175" s="134">
        <v>11</v>
      </c>
      <c r="I175" s="136">
        <f t="shared" si="14"/>
        <v>11</v>
      </c>
      <c r="J175" s="135">
        <v>0.6</v>
      </c>
      <c r="K175" s="135">
        <f t="shared" si="20"/>
        <v>6.6</v>
      </c>
      <c r="L175" s="131"/>
      <c r="M175" s="131"/>
      <c r="N175" s="132"/>
    </row>
    <row r="176" s="2" customFormat="1" ht="20.25" spans="1:15">
      <c r="A176" s="126">
        <v>45707</v>
      </c>
      <c r="B176" s="131" t="s">
        <v>765</v>
      </c>
      <c r="C176" s="126">
        <v>45706</v>
      </c>
      <c r="D176" s="126"/>
      <c r="E176" s="126"/>
      <c r="F176" s="131" t="s">
        <v>311</v>
      </c>
      <c r="G176" s="134">
        <v>1</v>
      </c>
      <c r="H176" s="134">
        <v>26</v>
      </c>
      <c r="I176" s="136">
        <f t="shared" si="14"/>
        <v>26</v>
      </c>
      <c r="J176" s="135">
        <v>7.8</v>
      </c>
      <c r="K176" s="135">
        <f t="shared" si="20"/>
        <v>202.8</v>
      </c>
      <c r="L176" s="131"/>
      <c r="M176" s="131" t="s">
        <v>321</v>
      </c>
      <c r="N176" s="132"/>
    </row>
    <row r="177" s="2" customFormat="1" ht="20.25" spans="1:15">
      <c r="A177" s="126">
        <v>45707</v>
      </c>
      <c r="B177" s="131" t="s">
        <v>765</v>
      </c>
      <c r="C177" s="126">
        <v>45706</v>
      </c>
      <c r="D177" s="126"/>
      <c r="E177" s="126"/>
      <c r="F177" s="131" t="s">
        <v>312</v>
      </c>
      <c r="G177" s="134">
        <v>1</v>
      </c>
      <c r="H177" s="134">
        <v>19</v>
      </c>
      <c r="I177" s="136">
        <f t="shared" si="14"/>
        <v>19</v>
      </c>
      <c r="J177" s="135">
        <v>3.7</v>
      </c>
      <c r="K177" s="135">
        <f t="shared" si="20"/>
        <v>70.3</v>
      </c>
      <c r="L177" s="131"/>
      <c r="M177" s="131" t="s">
        <v>346</v>
      </c>
      <c r="N177" s="132"/>
    </row>
    <row r="178" s="2" customFormat="1" ht="20.25" spans="1:15">
      <c r="A178" s="126">
        <v>45707</v>
      </c>
      <c r="B178" s="131" t="s">
        <v>765</v>
      </c>
      <c r="C178" s="126">
        <v>45706</v>
      </c>
      <c r="D178" s="126"/>
      <c r="E178" s="126"/>
      <c r="F178" s="131" t="s">
        <v>309</v>
      </c>
      <c r="G178" s="134">
        <v>1</v>
      </c>
      <c r="H178" s="134">
        <v>3</v>
      </c>
      <c r="I178" s="136">
        <f t="shared" si="14"/>
        <v>3</v>
      </c>
      <c r="J178" s="135">
        <v>18</v>
      </c>
      <c r="K178" s="135">
        <f t="shared" si="20"/>
        <v>54</v>
      </c>
      <c r="L178" s="131"/>
      <c r="M178" s="131" t="s">
        <v>380</v>
      </c>
      <c r="N178" s="131"/>
    </row>
    <row r="179" s="2" customFormat="1" ht="20.25" spans="1:15">
      <c r="A179" s="126">
        <v>45707</v>
      </c>
      <c r="B179" s="131" t="s">
        <v>765</v>
      </c>
      <c r="C179" s="126">
        <v>45706</v>
      </c>
      <c r="D179" s="126"/>
      <c r="E179" s="126"/>
      <c r="F179" s="131" t="s">
        <v>323</v>
      </c>
      <c r="G179" s="134">
        <v>1</v>
      </c>
      <c r="H179" s="134">
        <v>13</v>
      </c>
      <c r="I179" s="136">
        <f t="shared" si="14"/>
        <v>13</v>
      </c>
      <c r="J179" s="135">
        <v>18</v>
      </c>
      <c r="K179" s="135">
        <f t="shared" si="20"/>
        <v>234</v>
      </c>
      <c r="L179" s="131"/>
      <c r="M179" s="131"/>
      <c r="N179" s="131"/>
    </row>
    <row r="180" s="2" customFormat="1" ht="20.25" spans="1:15">
      <c r="A180" s="126">
        <v>45707</v>
      </c>
      <c r="B180" s="131" t="s">
        <v>765</v>
      </c>
      <c r="C180" s="126">
        <v>45706</v>
      </c>
      <c r="D180" s="126"/>
      <c r="E180" s="126"/>
      <c r="F180" s="131" t="s">
        <v>351</v>
      </c>
      <c r="G180" s="134">
        <v>1</v>
      </c>
      <c r="H180" s="134">
        <v>3</v>
      </c>
      <c r="I180" s="136">
        <f t="shared" si="14"/>
        <v>3</v>
      </c>
      <c r="J180" s="135">
        <v>25</v>
      </c>
      <c r="K180" s="135">
        <f t="shared" si="20"/>
        <v>75</v>
      </c>
      <c r="L180" s="131"/>
      <c r="M180" s="131"/>
      <c r="N180" s="131"/>
    </row>
    <row r="181" s="2" customFormat="1" ht="20.25" spans="1:15">
      <c r="A181" s="126">
        <v>45707</v>
      </c>
      <c r="B181" s="131" t="s">
        <v>765</v>
      </c>
      <c r="C181" s="126">
        <v>45706</v>
      </c>
      <c r="D181" s="126"/>
      <c r="E181" s="126"/>
      <c r="F181" s="131" t="s">
        <v>432</v>
      </c>
      <c r="G181" s="134">
        <v>1</v>
      </c>
      <c r="H181" s="134">
        <v>0.5</v>
      </c>
      <c r="I181" s="136">
        <f t="shared" si="14"/>
        <v>0.5</v>
      </c>
      <c r="J181" s="135">
        <v>25</v>
      </c>
      <c r="K181" s="135">
        <f t="shared" si="20"/>
        <v>12.5</v>
      </c>
      <c r="L181" s="131"/>
      <c r="M181" s="131"/>
      <c r="N181" s="131"/>
    </row>
    <row r="182" s="2" customFormat="1" ht="20.25" spans="1:15">
      <c r="A182" s="126">
        <v>45707</v>
      </c>
      <c r="B182" s="131" t="s">
        <v>765</v>
      </c>
      <c r="C182" s="126">
        <v>45706</v>
      </c>
      <c r="D182" s="126"/>
      <c r="E182" s="126"/>
      <c r="F182" s="137" t="s">
        <v>766</v>
      </c>
      <c r="G182" s="134">
        <v>1</v>
      </c>
      <c r="H182" s="134">
        <f>SUM(H172:H178)</f>
        <v>91</v>
      </c>
      <c r="I182" s="136">
        <f t="shared" si="14"/>
        <v>91</v>
      </c>
      <c r="J182" s="135">
        <v>2</v>
      </c>
      <c r="K182" s="135">
        <f t="shared" si="20"/>
        <v>182</v>
      </c>
      <c r="L182" s="131"/>
      <c r="M182" s="131"/>
      <c r="N182" s="132"/>
    </row>
    <row r="183" s="1" customFormat="1" ht="20.25" spans="1:15">
      <c r="A183" s="126">
        <v>45707</v>
      </c>
      <c r="B183" s="131" t="s">
        <v>765</v>
      </c>
      <c r="C183" s="126">
        <v>45706</v>
      </c>
      <c r="D183" s="126"/>
      <c r="E183" s="126"/>
      <c r="F183" s="131" t="s">
        <v>316</v>
      </c>
      <c r="G183" s="134">
        <v>5</v>
      </c>
      <c r="H183" s="134">
        <v>1</v>
      </c>
      <c r="I183" s="136">
        <f t="shared" si="14"/>
        <v>5</v>
      </c>
      <c r="J183" s="135">
        <v>12.5</v>
      </c>
      <c r="K183" s="135">
        <f t="shared" si="20"/>
        <v>62.5</v>
      </c>
      <c r="L183" s="110">
        <f>SUM(K172:K183)</f>
        <v>941.7</v>
      </c>
      <c r="M183" s="110"/>
      <c r="N183" s="111"/>
    </row>
    <row r="184" s="1" customFormat="1" ht="20.25" spans="1:15">
      <c r="A184" s="51">
        <v>45707</v>
      </c>
      <c r="B184" s="110" t="s">
        <v>767</v>
      </c>
      <c r="C184" s="51">
        <v>45706</v>
      </c>
      <c r="D184" s="51"/>
      <c r="E184" s="51"/>
      <c r="F184" s="110" t="s">
        <v>743</v>
      </c>
      <c r="G184" s="107">
        <v>1</v>
      </c>
      <c r="H184" s="107">
        <v>20</v>
      </c>
      <c r="I184" s="108">
        <f t="shared" ref="I184:I243" si="21">G184*H184</f>
        <v>20</v>
      </c>
      <c r="J184" s="109">
        <v>13.5</v>
      </c>
      <c r="K184" s="109"/>
      <c r="L184" s="110"/>
      <c r="M184" s="110"/>
      <c r="N184" s="107"/>
      <c r="O184" s="1">
        <v>126</v>
      </c>
    </row>
    <row r="185" s="1" customFormat="1" ht="20.25" spans="1:15">
      <c r="A185" s="51">
        <v>45707</v>
      </c>
      <c r="B185" s="110" t="s">
        <v>767</v>
      </c>
      <c r="C185" s="51">
        <v>45706</v>
      </c>
      <c r="D185" s="51"/>
      <c r="E185" s="51"/>
      <c r="F185" s="110" t="s">
        <v>404</v>
      </c>
      <c r="G185" s="107">
        <v>1</v>
      </c>
      <c r="H185" s="107">
        <v>4</v>
      </c>
      <c r="I185" s="108">
        <f t="shared" si="21"/>
        <v>4</v>
      </c>
      <c r="J185" s="109">
        <v>12.2</v>
      </c>
      <c r="K185" s="109"/>
      <c r="L185" s="110"/>
      <c r="M185" s="110"/>
      <c r="N185" s="107"/>
    </row>
    <row r="186" s="1" customFormat="1" ht="20.25" spans="1:15">
      <c r="A186" s="51">
        <v>45707</v>
      </c>
      <c r="B186" s="110" t="s">
        <v>767</v>
      </c>
      <c r="C186" s="51">
        <v>45706</v>
      </c>
      <c r="D186" s="51"/>
      <c r="E186" s="51"/>
      <c r="F186" s="110" t="s">
        <v>120</v>
      </c>
      <c r="G186" s="107">
        <v>1</v>
      </c>
      <c r="H186" s="107">
        <v>1.6</v>
      </c>
      <c r="I186" s="108">
        <f t="shared" si="21"/>
        <v>1.6</v>
      </c>
      <c r="J186" s="109">
        <v>21</v>
      </c>
      <c r="K186" s="109">
        <f t="shared" ref="K186:K208" si="22">I186*J186</f>
        <v>33.6</v>
      </c>
      <c r="L186" s="110" t="s">
        <v>759</v>
      </c>
      <c r="M186" s="110"/>
      <c r="N186" s="111"/>
    </row>
    <row r="187" s="1" customFormat="1" ht="20.25" spans="1:15">
      <c r="A187" s="51">
        <v>45707</v>
      </c>
      <c r="B187" s="110" t="s">
        <v>767</v>
      </c>
      <c r="C187" s="51">
        <v>45706</v>
      </c>
      <c r="D187" s="51"/>
      <c r="E187" s="51"/>
      <c r="F187" s="110" t="s">
        <v>310</v>
      </c>
      <c r="G187" s="107">
        <v>1</v>
      </c>
      <c r="H187" s="107">
        <v>9</v>
      </c>
      <c r="I187" s="108">
        <f t="shared" si="21"/>
        <v>9</v>
      </c>
      <c r="J187" s="109">
        <v>0.6</v>
      </c>
      <c r="K187" s="109">
        <f t="shared" si="22"/>
        <v>5.4</v>
      </c>
      <c r="L187" s="110"/>
      <c r="M187" s="110"/>
      <c r="N187" s="111"/>
    </row>
    <row r="188" s="1" customFormat="1" ht="20.25" spans="1:15">
      <c r="A188" s="51">
        <v>45707</v>
      </c>
      <c r="B188" s="110" t="s">
        <v>767</v>
      </c>
      <c r="C188" s="51">
        <v>45706</v>
      </c>
      <c r="D188" s="51"/>
      <c r="E188" s="51"/>
      <c r="F188" s="110" t="s">
        <v>311</v>
      </c>
      <c r="G188" s="107">
        <v>1</v>
      </c>
      <c r="H188" s="107">
        <v>18</v>
      </c>
      <c r="I188" s="108">
        <f t="shared" si="21"/>
        <v>18</v>
      </c>
      <c r="J188" s="109">
        <v>7.8</v>
      </c>
      <c r="K188" s="109">
        <f t="shared" si="22"/>
        <v>140.4</v>
      </c>
      <c r="L188" s="110"/>
      <c r="M188" s="110" t="s">
        <v>321</v>
      </c>
      <c r="N188" s="111"/>
    </row>
    <row r="189" s="1" customFormat="1" ht="20.25" spans="1:15">
      <c r="A189" s="51">
        <v>45707</v>
      </c>
      <c r="B189" s="110" t="s">
        <v>767</v>
      </c>
      <c r="C189" s="51">
        <v>45706</v>
      </c>
      <c r="D189" s="51"/>
      <c r="E189" s="51"/>
      <c r="F189" s="110" t="s">
        <v>312</v>
      </c>
      <c r="G189" s="107">
        <v>1</v>
      </c>
      <c r="H189" s="107">
        <v>14</v>
      </c>
      <c r="I189" s="108">
        <f t="shared" si="21"/>
        <v>14</v>
      </c>
      <c r="J189" s="109">
        <v>3.7</v>
      </c>
      <c r="K189" s="109">
        <f t="shared" si="22"/>
        <v>51.8</v>
      </c>
      <c r="L189" s="110"/>
      <c r="M189" s="110" t="s">
        <v>346</v>
      </c>
      <c r="N189" s="111"/>
    </row>
    <row r="190" s="1" customFormat="1" ht="20.25" spans="1:15">
      <c r="A190" s="51">
        <v>45707</v>
      </c>
      <c r="B190" s="110" t="s">
        <v>767</v>
      </c>
      <c r="C190" s="51">
        <v>45706</v>
      </c>
      <c r="D190" s="51"/>
      <c r="E190" s="51"/>
      <c r="F190" s="110" t="s">
        <v>309</v>
      </c>
      <c r="G190" s="107">
        <v>1</v>
      </c>
      <c r="H190" s="107">
        <v>2.5</v>
      </c>
      <c r="I190" s="108">
        <f t="shared" si="21"/>
        <v>2.5</v>
      </c>
      <c r="J190" s="109">
        <v>18</v>
      </c>
      <c r="K190" s="109">
        <f t="shared" si="22"/>
        <v>45</v>
      </c>
      <c r="L190" s="110"/>
      <c r="M190" s="110" t="s">
        <v>380</v>
      </c>
      <c r="N190" s="110"/>
    </row>
    <row r="191" s="1" customFormat="1" ht="20.25" spans="1:15">
      <c r="A191" s="51">
        <v>45707</v>
      </c>
      <c r="B191" s="110" t="s">
        <v>767</v>
      </c>
      <c r="C191" s="51">
        <v>45706</v>
      </c>
      <c r="D191" s="51"/>
      <c r="E191" s="51"/>
      <c r="F191" s="110" t="s">
        <v>432</v>
      </c>
      <c r="G191" s="107">
        <v>1</v>
      </c>
      <c r="H191" s="107">
        <v>1</v>
      </c>
      <c r="I191" s="108">
        <f t="shared" si="21"/>
        <v>1</v>
      </c>
      <c r="J191" s="109">
        <v>25</v>
      </c>
      <c r="K191" s="109">
        <f t="shared" si="22"/>
        <v>25</v>
      </c>
      <c r="L191" s="110"/>
      <c r="M191" s="110"/>
      <c r="N191" s="110"/>
    </row>
    <row r="192" s="1" customFormat="1" ht="20.25" spans="1:15">
      <c r="A192" s="51">
        <v>45707</v>
      </c>
      <c r="B192" s="110" t="s">
        <v>767</v>
      </c>
      <c r="C192" s="51">
        <v>45706</v>
      </c>
      <c r="D192" s="51"/>
      <c r="E192" s="51"/>
      <c r="F192" s="110" t="s">
        <v>385</v>
      </c>
      <c r="G192" s="107">
        <v>1</v>
      </c>
      <c r="H192" s="107">
        <v>1</v>
      </c>
      <c r="I192" s="108">
        <f t="shared" si="21"/>
        <v>1</v>
      </c>
      <c r="J192" s="109">
        <v>45</v>
      </c>
      <c r="K192" s="109">
        <f t="shared" si="22"/>
        <v>45</v>
      </c>
      <c r="L192" s="110"/>
      <c r="M192" s="110"/>
      <c r="N192" s="110"/>
    </row>
    <row r="193" s="1" customFormat="1" ht="20.25" spans="1:14">
      <c r="A193" s="51">
        <v>45707</v>
      </c>
      <c r="B193" s="110" t="s">
        <v>767</v>
      </c>
      <c r="C193" s="51">
        <v>45706</v>
      </c>
      <c r="D193" s="51"/>
      <c r="E193" s="51"/>
      <c r="F193" s="110" t="s">
        <v>351</v>
      </c>
      <c r="G193" s="107">
        <v>1</v>
      </c>
      <c r="H193" s="107">
        <v>1</v>
      </c>
      <c r="I193" s="108">
        <f t="shared" si="21"/>
        <v>1</v>
      </c>
      <c r="J193" s="109">
        <v>25</v>
      </c>
      <c r="K193" s="109">
        <f t="shared" si="22"/>
        <v>25</v>
      </c>
      <c r="L193" s="110"/>
      <c r="M193" s="110"/>
      <c r="N193" s="110"/>
    </row>
    <row r="194" s="1" customFormat="1" ht="20.25" spans="1:14">
      <c r="A194" s="51">
        <v>45707</v>
      </c>
      <c r="B194" s="110" t="s">
        <v>767</v>
      </c>
      <c r="C194" s="51">
        <v>45706</v>
      </c>
      <c r="D194" s="51"/>
      <c r="E194" s="51"/>
      <c r="F194" s="110" t="s">
        <v>768</v>
      </c>
      <c r="G194" s="107">
        <v>1</v>
      </c>
      <c r="H194" s="107">
        <v>3</v>
      </c>
      <c r="I194" s="108">
        <f t="shared" si="21"/>
        <v>3</v>
      </c>
      <c r="J194" s="109">
        <v>18</v>
      </c>
      <c r="K194" s="109">
        <f t="shared" si="22"/>
        <v>54</v>
      </c>
      <c r="L194" s="110"/>
      <c r="M194" s="110"/>
      <c r="N194" s="110"/>
    </row>
    <row r="195" s="1" customFormat="1" ht="20.25" spans="1:14">
      <c r="A195" s="51">
        <v>45707</v>
      </c>
      <c r="B195" s="110" t="s">
        <v>767</v>
      </c>
      <c r="C195" s="51">
        <v>45706</v>
      </c>
      <c r="D195" s="51"/>
      <c r="E195" s="51"/>
      <c r="F195" s="137" t="s">
        <v>769</v>
      </c>
      <c r="G195" s="107">
        <v>1</v>
      </c>
      <c r="H195" s="107">
        <f>SUM(H184:H194)</f>
        <v>75.1</v>
      </c>
      <c r="I195" s="108">
        <f t="shared" si="21"/>
        <v>75.1</v>
      </c>
      <c r="J195" s="109">
        <v>2</v>
      </c>
      <c r="K195" s="109">
        <f t="shared" si="22"/>
        <v>150.2</v>
      </c>
      <c r="L195" s="110"/>
      <c r="M195" s="110"/>
      <c r="N195" s="111"/>
    </row>
    <row r="196" s="1" customFormat="1" ht="20.25" spans="1:14">
      <c r="A196" s="51">
        <v>45707</v>
      </c>
      <c r="B196" s="110" t="s">
        <v>767</v>
      </c>
      <c r="C196" s="51">
        <v>45706</v>
      </c>
      <c r="D196" s="51"/>
      <c r="E196" s="51"/>
      <c r="F196" s="110" t="s">
        <v>316</v>
      </c>
      <c r="G196" s="107">
        <v>4</v>
      </c>
      <c r="H196" s="107">
        <v>1</v>
      </c>
      <c r="I196" s="108">
        <f t="shared" si="21"/>
        <v>4</v>
      </c>
      <c r="J196" s="109">
        <v>12.5</v>
      </c>
      <c r="K196" s="109">
        <f t="shared" si="22"/>
        <v>50</v>
      </c>
      <c r="L196" s="110">
        <f>SUM(K184:K196)</f>
        <v>625.4</v>
      </c>
      <c r="M196" s="110"/>
      <c r="N196" s="111"/>
    </row>
    <row r="197" s="243" customFormat="1" ht="20.25" spans="1:14">
      <c r="A197" s="263">
        <v>45707</v>
      </c>
      <c r="B197" s="131" t="s">
        <v>770</v>
      </c>
      <c r="C197" s="258">
        <v>45707</v>
      </c>
      <c r="D197" s="136"/>
      <c r="E197" s="136"/>
      <c r="F197" s="133" t="s">
        <v>308</v>
      </c>
      <c r="G197" s="136">
        <v>1</v>
      </c>
      <c r="H197" s="136">
        <v>12.5</v>
      </c>
      <c r="I197" s="136">
        <f t="shared" si="21"/>
        <v>12.5</v>
      </c>
      <c r="J197" s="135">
        <v>13</v>
      </c>
      <c r="K197" s="135">
        <f t="shared" si="22"/>
        <v>162.5</v>
      </c>
      <c r="L197" s="264"/>
      <c r="M197" s="264"/>
      <c r="N197" s="131"/>
    </row>
    <row r="198" s="243" customFormat="1" ht="20.25" spans="1:14">
      <c r="A198" s="263">
        <v>45707</v>
      </c>
      <c r="B198" s="131" t="s">
        <v>770</v>
      </c>
      <c r="C198" s="258">
        <v>45707</v>
      </c>
      <c r="D198" s="136"/>
      <c r="E198" s="136"/>
      <c r="F198" s="133" t="s">
        <v>430</v>
      </c>
      <c r="G198" s="136">
        <v>1</v>
      </c>
      <c r="H198" s="136">
        <v>0.5</v>
      </c>
      <c r="I198" s="136">
        <f t="shared" si="21"/>
        <v>0.5</v>
      </c>
      <c r="J198" s="135">
        <v>26</v>
      </c>
      <c r="K198" s="135">
        <f t="shared" si="22"/>
        <v>13</v>
      </c>
      <c r="L198" s="265" t="s">
        <v>439</v>
      </c>
      <c r="M198" s="264"/>
      <c r="N198" s="131"/>
    </row>
    <row r="199" s="243" customFormat="1" ht="20.25" spans="1:14">
      <c r="A199" s="263">
        <v>45707</v>
      </c>
      <c r="B199" s="131" t="s">
        <v>770</v>
      </c>
      <c r="C199" s="258">
        <v>45707</v>
      </c>
      <c r="D199" s="136"/>
      <c r="E199" s="136"/>
      <c r="F199" s="133" t="s">
        <v>434</v>
      </c>
      <c r="G199" s="136">
        <v>1</v>
      </c>
      <c r="H199" s="136">
        <v>2.5</v>
      </c>
      <c r="I199" s="136">
        <f t="shared" si="21"/>
        <v>2.5</v>
      </c>
      <c r="J199" s="135">
        <v>7.8</v>
      </c>
      <c r="K199" s="135">
        <f t="shared" si="22"/>
        <v>19.5</v>
      </c>
      <c r="L199" s="264"/>
      <c r="M199" s="264"/>
      <c r="N199" s="131"/>
    </row>
    <row r="200" s="243" customFormat="1" ht="20.25" spans="1:14">
      <c r="A200" s="263">
        <v>45707</v>
      </c>
      <c r="B200" s="131" t="s">
        <v>770</v>
      </c>
      <c r="C200" s="258">
        <v>45707</v>
      </c>
      <c r="D200" s="136"/>
      <c r="E200" s="136"/>
      <c r="F200" s="131" t="s">
        <v>122</v>
      </c>
      <c r="G200" s="136">
        <v>1</v>
      </c>
      <c r="H200" s="136">
        <v>3</v>
      </c>
      <c r="I200" s="136">
        <f t="shared" si="21"/>
        <v>3</v>
      </c>
      <c r="J200" s="135">
        <v>7.8</v>
      </c>
      <c r="K200" s="135">
        <f t="shared" si="22"/>
        <v>23.4</v>
      </c>
      <c r="L200" s="264"/>
      <c r="M200" s="264"/>
      <c r="N200" s="131"/>
    </row>
    <row r="201" s="243" customFormat="1" ht="20.25" spans="1:14">
      <c r="A201" s="263">
        <v>45707</v>
      </c>
      <c r="B201" s="131" t="s">
        <v>770</v>
      </c>
      <c r="C201" s="258">
        <v>45707</v>
      </c>
      <c r="D201" s="136"/>
      <c r="E201" s="136"/>
      <c r="F201" s="133">
        <v>2038</v>
      </c>
      <c r="G201" s="136">
        <v>1</v>
      </c>
      <c r="H201" s="136">
        <v>0.03</v>
      </c>
      <c r="I201" s="136">
        <f t="shared" si="21"/>
        <v>0.03</v>
      </c>
      <c r="J201" s="135">
        <v>55</v>
      </c>
      <c r="K201" s="135">
        <f t="shared" si="22"/>
        <v>1.65</v>
      </c>
      <c r="L201" s="264"/>
      <c r="M201" s="264"/>
      <c r="N201" s="131"/>
    </row>
    <row r="202" s="243" customFormat="1" ht="20.25" spans="1:14">
      <c r="A202" s="263">
        <v>45707</v>
      </c>
      <c r="B202" s="131" t="s">
        <v>770</v>
      </c>
      <c r="C202" s="258">
        <v>45707</v>
      </c>
      <c r="D202" s="136"/>
      <c r="E202" s="136"/>
      <c r="F202" s="133">
        <v>3033</v>
      </c>
      <c r="G202" s="136">
        <v>1</v>
      </c>
      <c r="H202" s="136">
        <v>0.03</v>
      </c>
      <c r="I202" s="136">
        <f t="shared" si="21"/>
        <v>0.03</v>
      </c>
      <c r="J202" s="135">
        <v>60</v>
      </c>
      <c r="K202" s="135">
        <f t="shared" si="22"/>
        <v>1.8</v>
      </c>
      <c r="L202" s="264"/>
      <c r="M202" s="264"/>
      <c r="N202" s="131"/>
    </row>
    <row r="203" s="243" customFormat="1" ht="20.25" spans="1:14">
      <c r="A203" s="263">
        <v>45707</v>
      </c>
      <c r="B203" s="131" t="s">
        <v>770</v>
      </c>
      <c r="C203" s="258">
        <v>45707</v>
      </c>
      <c r="D203" s="136"/>
      <c r="E203" s="136"/>
      <c r="F203" s="131" t="s">
        <v>440</v>
      </c>
      <c r="G203" s="136">
        <v>1</v>
      </c>
      <c r="H203" s="136">
        <v>1.5</v>
      </c>
      <c r="I203" s="136">
        <f t="shared" si="21"/>
        <v>1.5</v>
      </c>
      <c r="J203" s="135">
        <v>65</v>
      </c>
      <c r="K203" s="135">
        <f t="shared" si="22"/>
        <v>97.5</v>
      </c>
      <c r="L203" s="264" t="s">
        <v>441</v>
      </c>
      <c r="M203" s="264"/>
      <c r="N203" s="131"/>
    </row>
    <row r="204" s="243" customFormat="1" ht="20.25" spans="1:14">
      <c r="A204" s="263">
        <v>45707</v>
      </c>
      <c r="B204" s="131" t="s">
        <v>770</v>
      </c>
      <c r="C204" s="258">
        <v>45707</v>
      </c>
      <c r="D204" s="136"/>
      <c r="E204" s="136"/>
      <c r="F204" s="254" t="s">
        <v>442</v>
      </c>
      <c r="G204" s="114">
        <v>1</v>
      </c>
      <c r="H204" s="114">
        <f>SUM(H197:H203)</f>
        <v>20.06</v>
      </c>
      <c r="I204" s="114">
        <f t="shared" si="21"/>
        <v>20.06</v>
      </c>
      <c r="J204" s="115">
        <v>2</v>
      </c>
      <c r="K204" s="135">
        <f t="shared" si="22"/>
        <v>40.12</v>
      </c>
      <c r="L204" s="264"/>
      <c r="M204" s="264"/>
      <c r="N204" s="131"/>
    </row>
    <row r="205" s="243" customFormat="1" ht="20.25" spans="1:14">
      <c r="A205" s="263">
        <v>45707</v>
      </c>
      <c r="B205" s="131" t="s">
        <v>770</v>
      </c>
      <c r="C205" s="258">
        <v>45707</v>
      </c>
      <c r="D205" s="136"/>
      <c r="E205" s="136"/>
      <c r="F205" s="131" t="s">
        <v>443</v>
      </c>
      <c r="G205" s="136">
        <v>1</v>
      </c>
      <c r="H205" s="136">
        <v>1</v>
      </c>
      <c r="I205" s="136">
        <f t="shared" si="21"/>
        <v>1</v>
      </c>
      <c r="J205" s="135">
        <v>12.5</v>
      </c>
      <c r="K205" s="135">
        <f t="shared" si="22"/>
        <v>12.5</v>
      </c>
      <c r="L205" s="266"/>
      <c r="M205" s="264"/>
      <c r="N205" s="131"/>
    </row>
    <row r="206" s="243" customFormat="1" ht="20.25" spans="1:14">
      <c r="A206" s="263">
        <v>45707</v>
      </c>
      <c r="B206" s="131" t="s">
        <v>770</v>
      </c>
      <c r="C206" s="258">
        <v>45707</v>
      </c>
      <c r="D206" s="136"/>
      <c r="E206" s="136"/>
      <c r="F206" s="118" t="s">
        <v>677</v>
      </c>
      <c r="G206" s="136">
        <v>1</v>
      </c>
      <c r="H206" s="136">
        <v>4</v>
      </c>
      <c r="I206" s="136">
        <f t="shared" si="21"/>
        <v>4</v>
      </c>
      <c r="J206" s="135">
        <v>14.5</v>
      </c>
      <c r="K206" s="135">
        <f t="shared" si="22"/>
        <v>58</v>
      </c>
      <c r="L206" s="266"/>
      <c r="M206" s="264"/>
      <c r="N206" s="131"/>
    </row>
    <row r="207" s="243" customFormat="1" ht="20.25" spans="1:14">
      <c r="A207" s="263">
        <v>45707</v>
      </c>
      <c r="B207" s="131" t="s">
        <v>770</v>
      </c>
      <c r="C207" s="258">
        <v>45707</v>
      </c>
      <c r="D207" s="136"/>
      <c r="E207" s="136"/>
      <c r="F207" s="131" t="s">
        <v>641</v>
      </c>
      <c r="G207" s="136">
        <v>1</v>
      </c>
      <c r="H207" s="136">
        <v>1</v>
      </c>
      <c r="I207" s="136">
        <f t="shared" si="21"/>
        <v>1</v>
      </c>
      <c r="J207" s="135">
        <v>5.5</v>
      </c>
      <c r="K207" s="135">
        <f t="shared" si="22"/>
        <v>5.5</v>
      </c>
      <c r="L207" s="266"/>
      <c r="M207" s="264"/>
      <c r="N207" s="131"/>
    </row>
    <row r="208" s="243" customFormat="1" ht="20.25" spans="1:14">
      <c r="A208" s="263">
        <v>45707</v>
      </c>
      <c r="B208" s="131" t="s">
        <v>770</v>
      </c>
      <c r="C208" s="258">
        <v>45707</v>
      </c>
      <c r="D208" s="136"/>
      <c r="E208" s="136"/>
      <c r="F208" s="118" t="s">
        <v>771</v>
      </c>
      <c r="G208" s="136">
        <v>1</v>
      </c>
      <c r="H208" s="136">
        <v>10</v>
      </c>
      <c r="I208" s="136">
        <f t="shared" si="21"/>
        <v>10</v>
      </c>
      <c r="J208" s="135">
        <v>8</v>
      </c>
      <c r="K208" s="135">
        <f t="shared" si="22"/>
        <v>80</v>
      </c>
      <c r="L208" s="266">
        <f>SUM(K197:K208)</f>
        <v>515.47</v>
      </c>
      <c r="M208" s="264"/>
      <c r="N208" s="131"/>
    </row>
    <row r="209" s="1" customFormat="1" ht="20.25" spans="1:15">
      <c r="A209" s="51">
        <v>45708</v>
      </c>
      <c r="B209" s="110" t="s">
        <v>772</v>
      </c>
      <c r="C209" s="51">
        <v>45708</v>
      </c>
      <c r="D209" s="51"/>
      <c r="E209" s="51"/>
      <c r="F209" s="110" t="s">
        <v>743</v>
      </c>
      <c r="G209" s="107">
        <v>1</v>
      </c>
      <c r="H209" s="107">
        <v>65</v>
      </c>
      <c r="I209" s="108">
        <f t="shared" si="21"/>
        <v>65</v>
      </c>
      <c r="J209" s="109">
        <v>13.5</v>
      </c>
      <c r="K209" s="109"/>
      <c r="L209" s="110"/>
      <c r="M209" s="110"/>
      <c r="N209" s="107"/>
      <c r="O209" s="1">
        <v>126</v>
      </c>
    </row>
    <row r="210" s="1" customFormat="1" ht="20.25" spans="1:15">
      <c r="A210" s="51">
        <v>45708</v>
      </c>
      <c r="B210" s="110" t="s">
        <v>772</v>
      </c>
      <c r="C210" s="51">
        <v>45708</v>
      </c>
      <c r="D210" s="51"/>
      <c r="E210" s="51"/>
      <c r="F210" s="110" t="s">
        <v>404</v>
      </c>
      <c r="G210" s="107">
        <v>1</v>
      </c>
      <c r="H210" s="107">
        <v>13</v>
      </c>
      <c r="I210" s="108">
        <f t="shared" si="21"/>
        <v>13</v>
      </c>
      <c r="J210" s="109">
        <v>12.2</v>
      </c>
      <c r="K210" s="109"/>
      <c r="L210" s="110"/>
      <c r="M210" s="110"/>
      <c r="N210" s="107"/>
    </row>
    <row r="211" s="1" customFormat="1" ht="20.25" spans="1:15">
      <c r="A211" s="51">
        <v>45708</v>
      </c>
      <c r="B211" s="110" t="s">
        <v>772</v>
      </c>
      <c r="C211" s="51">
        <v>45708</v>
      </c>
      <c r="D211" s="51"/>
      <c r="E211" s="51"/>
      <c r="F211" s="110" t="s">
        <v>120</v>
      </c>
      <c r="G211" s="107">
        <v>1</v>
      </c>
      <c r="H211" s="107">
        <v>5</v>
      </c>
      <c r="I211" s="108">
        <f t="shared" si="21"/>
        <v>5</v>
      </c>
      <c r="J211" s="109">
        <v>21</v>
      </c>
      <c r="K211" s="109">
        <f t="shared" ref="K211:K219" si="23">I211*J211</f>
        <v>105</v>
      </c>
      <c r="L211" s="110"/>
      <c r="M211" s="110"/>
      <c r="N211" s="107"/>
      <c r="O211" s="1">
        <v>6</v>
      </c>
    </row>
    <row r="212" s="1" customFormat="1" ht="20.25" spans="1:15">
      <c r="A212" s="51">
        <v>45708</v>
      </c>
      <c r="B212" s="110" t="s">
        <v>772</v>
      </c>
      <c r="C212" s="51">
        <v>45708</v>
      </c>
      <c r="D212" s="51"/>
      <c r="E212" s="51"/>
      <c r="F212" s="110" t="s">
        <v>310</v>
      </c>
      <c r="G212" s="107">
        <v>1</v>
      </c>
      <c r="H212" s="107">
        <v>28</v>
      </c>
      <c r="I212" s="108">
        <f t="shared" si="21"/>
        <v>28</v>
      </c>
      <c r="J212" s="109">
        <v>0.6</v>
      </c>
      <c r="K212" s="109">
        <f t="shared" si="23"/>
        <v>16.8</v>
      </c>
      <c r="L212" s="257"/>
      <c r="M212" s="110"/>
      <c r="N212" s="107"/>
      <c r="O212" s="1">
        <v>36</v>
      </c>
    </row>
    <row r="213" s="1" customFormat="1" ht="20.25" spans="1:15">
      <c r="A213" s="51">
        <v>45708</v>
      </c>
      <c r="B213" s="110" t="s">
        <v>772</v>
      </c>
      <c r="C213" s="51">
        <v>45708</v>
      </c>
      <c r="D213" s="51"/>
      <c r="E213" s="51"/>
      <c r="F213" s="110" t="s">
        <v>311</v>
      </c>
      <c r="G213" s="107">
        <v>1</v>
      </c>
      <c r="H213" s="107">
        <v>65</v>
      </c>
      <c r="I213" s="108">
        <f t="shared" si="21"/>
        <v>65</v>
      </c>
      <c r="J213" s="109">
        <v>7.8</v>
      </c>
      <c r="K213" s="109">
        <f t="shared" si="23"/>
        <v>507</v>
      </c>
      <c r="L213" s="110" t="s">
        <v>321</v>
      </c>
      <c r="M213" s="110"/>
      <c r="N213" s="107"/>
      <c r="O213" s="1">
        <v>117</v>
      </c>
    </row>
    <row r="214" s="1" customFormat="1" ht="20.25" spans="1:15">
      <c r="A214" s="51">
        <v>45708</v>
      </c>
      <c r="B214" s="110" t="s">
        <v>772</v>
      </c>
      <c r="C214" s="51">
        <v>45708</v>
      </c>
      <c r="D214" s="51"/>
      <c r="E214" s="51"/>
      <c r="F214" s="110" t="s">
        <v>312</v>
      </c>
      <c r="G214" s="107">
        <v>1</v>
      </c>
      <c r="H214" s="107">
        <v>44</v>
      </c>
      <c r="I214" s="108">
        <f t="shared" si="21"/>
        <v>44</v>
      </c>
      <c r="J214" s="109">
        <v>3.7</v>
      </c>
      <c r="K214" s="109">
        <f t="shared" si="23"/>
        <v>162.8</v>
      </c>
      <c r="L214" s="110" t="s">
        <v>346</v>
      </c>
      <c r="M214" s="110"/>
      <c r="N214" s="107"/>
      <c r="O214" s="1">
        <v>133</v>
      </c>
    </row>
    <row r="215" s="1" customFormat="1" ht="20.25" spans="1:15">
      <c r="A215" s="51">
        <v>45708</v>
      </c>
      <c r="B215" s="110" t="s">
        <v>772</v>
      </c>
      <c r="C215" s="51">
        <v>45708</v>
      </c>
      <c r="D215" s="51"/>
      <c r="E215" s="51"/>
      <c r="F215" s="110" t="s">
        <v>125</v>
      </c>
      <c r="G215" s="107">
        <v>1</v>
      </c>
      <c r="H215" s="107">
        <v>6</v>
      </c>
      <c r="I215" s="108">
        <f t="shared" si="21"/>
        <v>6</v>
      </c>
      <c r="J215" s="109">
        <v>25</v>
      </c>
      <c r="K215" s="109">
        <f t="shared" si="23"/>
        <v>150</v>
      </c>
      <c r="L215" s="118" t="s">
        <v>773</v>
      </c>
      <c r="M215" s="110" t="s">
        <v>717</v>
      </c>
      <c r="N215" s="107"/>
      <c r="O215" s="1">
        <v>3</v>
      </c>
    </row>
    <row r="216" s="1" customFormat="1" ht="20.25" spans="1:15">
      <c r="A216" s="51">
        <v>45708</v>
      </c>
      <c r="B216" s="110" t="s">
        <v>772</v>
      </c>
      <c r="C216" s="51">
        <v>45708</v>
      </c>
      <c r="D216" s="51"/>
      <c r="E216" s="51"/>
      <c r="F216" s="110" t="s">
        <v>313</v>
      </c>
      <c r="G216" s="107">
        <v>1</v>
      </c>
      <c r="H216" s="107">
        <v>4</v>
      </c>
      <c r="I216" s="108">
        <f t="shared" si="21"/>
        <v>4</v>
      </c>
      <c r="J216" s="109">
        <v>45</v>
      </c>
      <c r="K216" s="109">
        <f t="shared" si="23"/>
        <v>180</v>
      </c>
      <c r="L216" s="110"/>
      <c r="M216" s="110"/>
      <c r="N216" s="107"/>
      <c r="O216" s="1">
        <v>3</v>
      </c>
    </row>
    <row r="217" s="1" customFormat="1" ht="20.25" spans="1:15">
      <c r="A217" s="51">
        <v>45708</v>
      </c>
      <c r="B217" s="110" t="s">
        <v>772</v>
      </c>
      <c r="C217" s="51">
        <v>45708</v>
      </c>
      <c r="D217" s="51"/>
      <c r="E217" s="51"/>
      <c r="F217" s="110" t="s">
        <v>309</v>
      </c>
      <c r="G217" s="107">
        <v>1</v>
      </c>
      <c r="H217" s="107">
        <v>6</v>
      </c>
      <c r="I217" s="108">
        <f t="shared" si="21"/>
        <v>6</v>
      </c>
      <c r="J217" s="109">
        <v>18</v>
      </c>
      <c r="K217" s="109">
        <f t="shared" si="23"/>
        <v>108</v>
      </c>
      <c r="L217" s="110"/>
      <c r="M217" s="110"/>
      <c r="N217" s="107"/>
      <c r="O217" s="1">
        <v>5</v>
      </c>
    </row>
    <row r="218" s="1" customFormat="1" ht="20.25" spans="1:15">
      <c r="A218" s="51">
        <v>45708</v>
      </c>
      <c r="B218" s="110" t="s">
        <v>772</v>
      </c>
      <c r="C218" s="51">
        <v>45708</v>
      </c>
      <c r="D218" s="51"/>
      <c r="E218" s="51"/>
      <c r="F218" s="110" t="s">
        <v>715</v>
      </c>
      <c r="G218" s="107">
        <v>1</v>
      </c>
      <c r="H218" s="107">
        <f>SUM(H209:H217)</f>
        <v>236</v>
      </c>
      <c r="I218" s="108">
        <f t="shared" si="21"/>
        <v>236</v>
      </c>
      <c r="J218" s="109">
        <v>2</v>
      </c>
      <c r="K218" s="109">
        <f t="shared" si="23"/>
        <v>472</v>
      </c>
      <c r="L218" s="110"/>
      <c r="M218" s="110"/>
      <c r="N218" s="107"/>
      <c r="O218" s="1">
        <v>14</v>
      </c>
    </row>
    <row r="219" s="1" customFormat="1" ht="20.25" spans="1:15">
      <c r="A219" s="51">
        <v>45708</v>
      </c>
      <c r="B219" s="110" t="s">
        <v>772</v>
      </c>
      <c r="C219" s="51">
        <v>45708</v>
      </c>
      <c r="D219" s="51"/>
      <c r="E219" s="51"/>
      <c r="F219" s="137" t="s">
        <v>774</v>
      </c>
      <c r="G219" s="262">
        <v>1</v>
      </c>
      <c r="H219" s="262">
        <v>270</v>
      </c>
      <c r="I219" s="108">
        <f t="shared" si="21"/>
        <v>270</v>
      </c>
      <c r="J219" s="109">
        <v>1</v>
      </c>
      <c r="K219" s="109">
        <f t="shared" si="23"/>
        <v>270</v>
      </c>
      <c r="L219" s="110"/>
      <c r="M219" s="110"/>
      <c r="N219" s="107"/>
    </row>
    <row r="220" s="1" customFormat="1" ht="20.25" spans="1:15">
      <c r="A220" s="51">
        <v>45708</v>
      </c>
      <c r="B220" s="110" t="s">
        <v>772</v>
      </c>
      <c r="C220" s="51">
        <v>45708</v>
      </c>
      <c r="D220" s="51"/>
      <c r="E220" s="51"/>
      <c r="F220" s="137" t="s">
        <v>538</v>
      </c>
      <c r="G220" s="262">
        <v>12</v>
      </c>
      <c r="H220" s="262">
        <v>1</v>
      </c>
      <c r="I220" s="108">
        <f t="shared" si="21"/>
        <v>12</v>
      </c>
      <c r="J220" s="109"/>
      <c r="K220" s="109"/>
      <c r="L220" s="110"/>
      <c r="M220" s="110"/>
      <c r="N220" s="107"/>
    </row>
    <row r="221" s="1" customFormat="1" ht="20.25" spans="1:15">
      <c r="A221" s="51">
        <v>45708</v>
      </c>
      <c r="B221" s="110" t="s">
        <v>772</v>
      </c>
      <c r="C221" s="51">
        <v>45708</v>
      </c>
      <c r="D221" s="51"/>
      <c r="E221" s="51"/>
      <c r="F221" s="110" t="s">
        <v>316</v>
      </c>
      <c r="G221" s="107">
        <v>16</v>
      </c>
      <c r="H221" s="107">
        <v>1</v>
      </c>
      <c r="I221" s="108">
        <f t="shared" si="21"/>
        <v>16</v>
      </c>
      <c r="J221" s="109">
        <v>12.5</v>
      </c>
      <c r="K221" s="109">
        <f t="shared" ref="K221:K232" si="24">I221*J221</f>
        <v>200</v>
      </c>
      <c r="L221" s="1">
        <f>SUM(K209:K221)</f>
        <v>2171.6</v>
      </c>
      <c r="M221" s="110"/>
      <c r="N221" s="107"/>
    </row>
    <row r="222" s="244" customFormat="1" ht="20.25" spans="1:15">
      <c r="A222" s="267">
        <v>45708</v>
      </c>
      <c r="B222" s="268" t="s">
        <v>775</v>
      </c>
      <c r="C222" s="267">
        <v>45708</v>
      </c>
      <c r="D222" s="267"/>
      <c r="E222" s="267"/>
      <c r="F222" s="268" t="s">
        <v>743</v>
      </c>
      <c r="G222" s="121">
        <v>1</v>
      </c>
      <c r="H222" s="121">
        <v>55</v>
      </c>
      <c r="I222" s="122">
        <f t="shared" si="21"/>
        <v>55</v>
      </c>
      <c r="J222" s="123">
        <v>13.5</v>
      </c>
      <c r="K222" s="123"/>
      <c r="L222" s="268"/>
      <c r="M222" s="268"/>
      <c r="N222" s="121"/>
      <c r="O222" s="244">
        <v>126</v>
      </c>
    </row>
    <row r="223" s="244" customFormat="1" ht="21" customHeight="1" spans="1:15">
      <c r="A223" s="267">
        <v>45708</v>
      </c>
      <c r="B223" s="268" t="s">
        <v>775</v>
      </c>
      <c r="C223" s="267">
        <v>45708</v>
      </c>
      <c r="D223" s="267"/>
      <c r="E223" s="267"/>
      <c r="F223" s="268" t="s">
        <v>404</v>
      </c>
      <c r="G223" s="121">
        <v>1</v>
      </c>
      <c r="H223" s="121">
        <v>11</v>
      </c>
      <c r="I223" s="122">
        <f t="shared" si="21"/>
        <v>11</v>
      </c>
      <c r="J223" s="123">
        <v>12.2</v>
      </c>
      <c r="K223" s="123"/>
      <c r="L223" s="268"/>
      <c r="M223" s="268"/>
      <c r="N223" s="121"/>
    </row>
    <row r="224" s="244" customFormat="1" ht="20.25" spans="1:15">
      <c r="A224" s="267">
        <v>45708</v>
      </c>
      <c r="B224" s="268" t="s">
        <v>775</v>
      </c>
      <c r="C224" s="267">
        <v>45708</v>
      </c>
      <c r="D224" s="267"/>
      <c r="E224" s="267"/>
      <c r="F224" s="268" t="s">
        <v>120</v>
      </c>
      <c r="G224" s="121">
        <v>1</v>
      </c>
      <c r="H224" s="121">
        <v>4</v>
      </c>
      <c r="I224" s="122">
        <f t="shared" si="21"/>
        <v>4</v>
      </c>
      <c r="J224" s="123">
        <v>21</v>
      </c>
      <c r="K224" s="123">
        <f t="shared" si="24"/>
        <v>84</v>
      </c>
      <c r="L224" s="268"/>
      <c r="M224" s="268"/>
      <c r="N224" s="269"/>
    </row>
    <row r="225" s="244" customFormat="1" ht="20.25" spans="1:15">
      <c r="A225" s="267">
        <v>45708</v>
      </c>
      <c r="B225" s="268" t="s">
        <v>775</v>
      </c>
      <c r="C225" s="267">
        <v>45708</v>
      </c>
      <c r="D225" s="267"/>
      <c r="E225" s="267"/>
      <c r="F225" s="268" t="s">
        <v>310</v>
      </c>
      <c r="G225" s="121">
        <v>1</v>
      </c>
      <c r="H225" s="121">
        <v>24</v>
      </c>
      <c r="I225" s="122">
        <f t="shared" si="21"/>
        <v>24</v>
      </c>
      <c r="J225" s="123">
        <v>0.6</v>
      </c>
      <c r="K225" s="123">
        <f t="shared" si="24"/>
        <v>14.4</v>
      </c>
      <c r="L225" s="268"/>
      <c r="M225" s="268"/>
      <c r="N225" s="269"/>
    </row>
    <row r="226" s="244" customFormat="1" ht="20.25" spans="1:15">
      <c r="A226" s="267">
        <v>45708</v>
      </c>
      <c r="B226" s="268" t="s">
        <v>775</v>
      </c>
      <c r="C226" s="267">
        <v>45708</v>
      </c>
      <c r="D226" s="267"/>
      <c r="E226" s="267"/>
      <c r="F226" s="268" t="s">
        <v>311</v>
      </c>
      <c r="G226" s="121">
        <v>1</v>
      </c>
      <c r="H226" s="121">
        <v>55</v>
      </c>
      <c r="I226" s="122">
        <f t="shared" si="21"/>
        <v>55</v>
      </c>
      <c r="J226" s="123">
        <v>7.8</v>
      </c>
      <c r="K226" s="123">
        <f t="shared" si="24"/>
        <v>429</v>
      </c>
      <c r="L226" s="268"/>
      <c r="M226" s="268" t="s">
        <v>321</v>
      </c>
      <c r="N226" s="269"/>
    </row>
    <row r="227" s="244" customFormat="1" ht="20.25" spans="1:15">
      <c r="A227" s="267">
        <v>45708</v>
      </c>
      <c r="B227" s="268" t="s">
        <v>775</v>
      </c>
      <c r="C227" s="267">
        <v>45708</v>
      </c>
      <c r="D227" s="267"/>
      <c r="E227" s="267"/>
      <c r="F227" s="268" t="s">
        <v>312</v>
      </c>
      <c r="G227" s="121">
        <v>1</v>
      </c>
      <c r="H227" s="121">
        <v>40</v>
      </c>
      <c r="I227" s="122">
        <f t="shared" si="21"/>
        <v>40</v>
      </c>
      <c r="J227" s="123">
        <v>3.7</v>
      </c>
      <c r="K227" s="123">
        <f t="shared" si="24"/>
        <v>148</v>
      </c>
      <c r="L227" s="268"/>
      <c r="M227" s="268" t="s">
        <v>346</v>
      </c>
      <c r="N227" s="269"/>
    </row>
    <row r="228" s="244" customFormat="1" ht="20.25" spans="1:15">
      <c r="A228" s="267">
        <v>45708</v>
      </c>
      <c r="B228" s="268" t="s">
        <v>775</v>
      </c>
      <c r="C228" s="267">
        <v>45708</v>
      </c>
      <c r="D228" s="267"/>
      <c r="E228" s="267"/>
      <c r="F228" s="268" t="s">
        <v>125</v>
      </c>
      <c r="G228" s="121">
        <v>1</v>
      </c>
      <c r="H228" s="121">
        <v>3.8</v>
      </c>
      <c r="I228" s="122">
        <f t="shared" si="21"/>
        <v>3.8</v>
      </c>
      <c r="J228" s="123">
        <v>25</v>
      </c>
      <c r="K228" s="123">
        <f t="shared" si="24"/>
        <v>95</v>
      </c>
      <c r="L228" s="268"/>
      <c r="M228" s="118" t="s">
        <v>776</v>
      </c>
      <c r="N228" s="269"/>
    </row>
    <row r="229" s="244" customFormat="1" ht="20.25" spans="1:15">
      <c r="A229" s="267">
        <v>45708</v>
      </c>
      <c r="B229" s="268" t="s">
        <v>775</v>
      </c>
      <c r="C229" s="267">
        <v>45708</v>
      </c>
      <c r="D229" s="267"/>
      <c r="E229" s="267"/>
      <c r="F229" s="268" t="s">
        <v>313</v>
      </c>
      <c r="G229" s="121">
        <v>1</v>
      </c>
      <c r="H229" s="121">
        <v>2.2</v>
      </c>
      <c r="I229" s="122">
        <f t="shared" si="21"/>
        <v>2.2</v>
      </c>
      <c r="J229" s="123">
        <v>45</v>
      </c>
      <c r="K229" s="123">
        <f t="shared" si="24"/>
        <v>99</v>
      </c>
      <c r="L229" s="268"/>
      <c r="M229" s="268" t="s">
        <v>717</v>
      </c>
      <c r="N229" s="268"/>
    </row>
    <row r="230" s="244" customFormat="1" ht="20.25" spans="1:15">
      <c r="A230" s="267">
        <v>45708</v>
      </c>
      <c r="B230" s="268" t="s">
        <v>775</v>
      </c>
      <c r="C230" s="267">
        <v>45708</v>
      </c>
      <c r="D230" s="267"/>
      <c r="E230" s="267"/>
      <c r="F230" s="268" t="s">
        <v>309</v>
      </c>
      <c r="G230" s="121">
        <v>1</v>
      </c>
      <c r="H230" s="121">
        <v>5</v>
      </c>
      <c r="I230" s="122">
        <f t="shared" si="21"/>
        <v>5</v>
      </c>
      <c r="J230" s="123">
        <v>18</v>
      </c>
      <c r="K230" s="123">
        <f t="shared" si="24"/>
        <v>90</v>
      </c>
      <c r="L230" s="270"/>
      <c r="M230" s="268"/>
      <c r="N230" s="268"/>
    </row>
    <row r="231" s="244" customFormat="1" ht="20.25" spans="1:15">
      <c r="A231" s="267">
        <v>45708</v>
      </c>
      <c r="B231" s="268" t="s">
        <v>775</v>
      </c>
      <c r="C231" s="267">
        <v>45706</v>
      </c>
      <c r="D231" s="267"/>
      <c r="E231" s="267"/>
      <c r="F231" s="268" t="s">
        <v>720</v>
      </c>
      <c r="G231" s="121">
        <v>1</v>
      </c>
      <c r="H231" s="121">
        <f>SUM(H222:H230)</f>
        <v>200</v>
      </c>
      <c r="I231" s="122">
        <f t="shared" si="21"/>
        <v>200</v>
      </c>
      <c r="J231" s="123">
        <v>2</v>
      </c>
      <c r="K231" s="123">
        <f t="shared" si="24"/>
        <v>400</v>
      </c>
      <c r="L231" s="268"/>
      <c r="M231" s="268"/>
      <c r="N231" s="269"/>
    </row>
    <row r="232" s="244" customFormat="1" ht="20.25" spans="1:15">
      <c r="A232" s="267">
        <v>45708</v>
      </c>
      <c r="B232" s="268" t="s">
        <v>775</v>
      </c>
      <c r="C232" s="267">
        <v>45708</v>
      </c>
      <c r="D232" s="267"/>
      <c r="E232" s="267"/>
      <c r="F232" s="137" t="s">
        <v>777</v>
      </c>
      <c r="G232" s="262">
        <v>1</v>
      </c>
      <c r="H232" s="262">
        <v>252</v>
      </c>
      <c r="I232" s="122">
        <f t="shared" si="21"/>
        <v>252</v>
      </c>
      <c r="J232" s="123">
        <v>1</v>
      </c>
      <c r="K232" s="123">
        <f t="shared" si="24"/>
        <v>252</v>
      </c>
      <c r="L232" s="270"/>
      <c r="M232" s="268"/>
      <c r="N232" s="268"/>
    </row>
    <row r="233" s="244" customFormat="1" ht="20.25" spans="1:15">
      <c r="A233" s="267">
        <v>45708</v>
      </c>
      <c r="B233" s="268" t="s">
        <v>775</v>
      </c>
      <c r="C233" s="267">
        <v>45708</v>
      </c>
      <c r="D233" s="267"/>
      <c r="E233" s="267"/>
      <c r="F233" s="137" t="s">
        <v>538</v>
      </c>
      <c r="G233" s="262">
        <v>12</v>
      </c>
      <c r="H233" s="262">
        <v>1</v>
      </c>
      <c r="I233" s="122">
        <f t="shared" si="21"/>
        <v>12</v>
      </c>
      <c r="J233" s="123"/>
      <c r="K233" s="123"/>
      <c r="L233" s="270"/>
      <c r="M233" s="268"/>
      <c r="N233" s="268"/>
    </row>
    <row r="234" s="244" customFormat="1" ht="20.25" spans="1:15">
      <c r="A234" s="267">
        <v>45708</v>
      </c>
      <c r="B234" s="268" t="s">
        <v>775</v>
      </c>
      <c r="C234" s="267">
        <v>45708</v>
      </c>
      <c r="D234" s="267"/>
      <c r="E234" s="267"/>
      <c r="F234" s="268" t="s">
        <v>316</v>
      </c>
      <c r="G234" s="121">
        <v>13</v>
      </c>
      <c r="H234" s="121">
        <v>1</v>
      </c>
      <c r="I234" s="122">
        <f t="shared" si="21"/>
        <v>13</v>
      </c>
      <c r="J234" s="123">
        <v>12.5</v>
      </c>
      <c r="K234" s="123">
        <f t="shared" ref="K234:K243" si="25">I234*J234</f>
        <v>162.5</v>
      </c>
      <c r="L234" s="268">
        <f>SUM(K222:K234)</f>
        <v>1773.9</v>
      </c>
      <c r="M234" s="268"/>
      <c r="N234" s="269"/>
    </row>
    <row r="235" s="1" customFormat="1" ht="20.25" spans="1:15">
      <c r="A235" s="51">
        <v>45708</v>
      </c>
      <c r="B235" s="110" t="s">
        <v>778</v>
      </c>
      <c r="C235" s="51">
        <v>45708</v>
      </c>
      <c r="D235" s="51"/>
      <c r="E235" s="51"/>
      <c r="F235" s="110" t="s">
        <v>743</v>
      </c>
      <c r="G235" s="107">
        <v>1</v>
      </c>
      <c r="H235" s="107">
        <v>18</v>
      </c>
      <c r="I235" s="108">
        <f t="shared" si="21"/>
        <v>18</v>
      </c>
      <c r="J235" s="109">
        <v>13.5</v>
      </c>
      <c r="K235" s="109"/>
      <c r="L235" s="110"/>
      <c r="M235" s="110"/>
      <c r="N235" s="107"/>
      <c r="O235" s="1">
        <v>126</v>
      </c>
    </row>
    <row r="236" s="1" customFormat="1" ht="20.25" spans="1:15">
      <c r="A236" s="51">
        <v>45708</v>
      </c>
      <c r="B236" s="110" t="s">
        <v>778</v>
      </c>
      <c r="C236" s="51">
        <v>45708</v>
      </c>
      <c r="D236" s="51"/>
      <c r="E236" s="51"/>
      <c r="F236" s="110" t="s">
        <v>404</v>
      </c>
      <c r="G236" s="107">
        <v>1</v>
      </c>
      <c r="H236" s="107">
        <v>5</v>
      </c>
      <c r="I236" s="108">
        <f t="shared" si="21"/>
        <v>5</v>
      </c>
      <c r="J236" s="109">
        <v>12.2</v>
      </c>
      <c r="K236" s="109"/>
      <c r="L236" s="110"/>
      <c r="M236" s="110"/>
      <c r="N236" s="107"/>
    </row>
    <row r="237" s="1" customFormat="1" ht="20.25" spans="1:15">
      <c r="A237" s="51">
        <v>45708</v>
      </c>
      <c r="B237" s="110" t="s">
        <v>778</v>
      </c>
      <c r="C237" s="51">
        <v>45708</v>
      </c>
      <c r="D237" s="51"/>
      <c r="E237" s="51"/>
      <c r="F237" s="110" t="s">
        <v>120</v>
      </c>
      <c r="G237" s="107">
        <v>1</v>
      </c>
      <c r="H237" s="107">
        <v>1.5</v>
      </c>
      <c r="I237" s="108">
        <f t="shared" si="21"/>
        <v>1.5</v>
      </c>
      <c r="J237" s="109">
        <v>21</v>
      </c>
      <c r="K237" s="109">
        <f t="shared" si="25"/>
        <v>31.5</v>
      </c>
      <c r="L237" s="110" t="s">
        <v>759</v>
      </c>
      <c r="M237" s="110"/>
      <c r="N237" s="111"/>
    </row>
    <row r="238" s="1" customFormat="1" ht="20.25" spans="1:15">
      <c r="A238" s="51">
        <v>45708</v>
      </c>
      <c r="B238" s="110" t="s">
        <v>778</v>
      </c>
      <c r="C238" s="51">
        <v>45708</v>
      </c>
      <c r="D238" s="51"/>
      <c r="E238" s="51"/>
      <c r="F238" s="110" t="s">
        <v>310</v>
      </c>
      <c r="G238" s="107">
        <v>1</v>
      </c>
      <c r="H238" s="107">
        <v>6.5</v>
      </c>
      <c r="I238" s="108">
        <f t="shared" si="21"/>
        <v>6.5</v>
      </c>
      <c r="J238" s="109">
        <v>0.6</v>
      </c>
      <c r="K238" s="109">
        <f t="shared" si="25"/>
        <v>3.9</v>
      </c>
      <c r="L238" s="110"/>
      <c r="M238" s="110"/>
      <c r="N238" s="111"/>
    </row>
    <row r="239" s="1" customFormat="1" ht="20.25" spans="1:15">
      <c r="A239" s="51">
        <v>45708</v>
      </c>
      <c r="B239" s="110" t="s">
        <v>778</v>
      </c>
      <c r="C239" s="51">
        <v>45708</v>
      </c>
      <c r="D239" s="51"/>
      <c r="E239" s="51"/>
      <c r="F239" s="110" t="s">
        <v>311</v>
      </c>
      <c r="G239" s="107">
        <v>1</v>
      </c>
      <c r="H239" s="107">
        <v>18</v>
      </c>
      <c r="I239" s="108">
        <f t="shared" si="21"/>
        <v>18</v>
      </c>
      <c r="J239" s="109">
        <v>7.8</v>
      </c>
      <c r="K239" s="109">
        <f t="shared" si="25"/>
        <v>140.4</v>
      </c>
      <c r="L239" s="110"/>
      <c r="M239" s="110" t="s">
        <v>321</v>
      </c>
      <c r="N239" s="111"/>
    </row>
    <row r="240" s="1" customFormat="1" ht="20.25" spans="1:15">
      <c r="A240" s="51">
        <v>45708</v>
      </c>
      <c r="B240" s="110" t="s">
        <v>778</v>
      </c>
      <c r="C240" s="51">
        <v>45708</v>
      </c>
      <c r="D240" s="51"/>
      <c r="E240" s="51"/>
      <c r="F240" s="110" t="s">
        <v>312</v>
      </c>
      <c r="G240" s="107">
        <v>1</v>
      </c>
      <c r="H240" s="107">
        <v>13</v>
      </c>
      <c r="I240" s="108">
        <f t="shared" si="21"/>
        <v>13</v>
      </c>
      <c r="J240" s="109">
        <v>3.7</v>
      </c>
      <c r="K240" s="109">
        <f t="shared" si="25"/>
        <v>48.1</v>
      </c>
      <c r="L240" s="110"/>
      <c r="M240" s="110" t="s">
        <v>346</v>
      </c>
      <c r="N240" s="111"/>
    </row>
    <row r="241" s="1" customFormat="1" ht="20.25" spans="1:16">
      <c r="A241" s="51">
        <v>45708</v>
      </c>
      <c r="B241" s="110" t="s">
        <v>778</v>
      </c>
      <c r="C241" s="51">
        <v>45708</v>
      </c>
      <c r="D241" s="51"/>
      <c r="E241" s="51"/>
      <c r="F241" s="110" t="s">
        <v>309</v>
      </c>
      <c r="G241" s="107">
        <v>1</v>
      </c>
      <c r="H241" s="107">
        <v>11</v>
      </c>
      <c r="I241" s="108">
        <f t="shared" si="21"/>
        <v>11</v>
      </c>
      <c r="J241" s="109">
        <v>18</v>
      </c>
      <c r="K241" s="109">
        <f t="shared" si="25"/>
        <v>198</v>
      </c>
      <c r="L241" s="110"/>
      <c r="M241" s="110" t="s">
        <v>380</v>
      </c>
      <c r="N241" s="110"/>
    </row>
    <row r="242" s="1" customFormat="1" ht="20.25" spans="1:16">
      <c r="A242" s="51">
        <v>45708</v>
      </c>
      <c r="B242" s="110" t="s">
        <v>778</v>
      </c>
      <c r="C242" s="51">
        <v>45708</v>
      </c>
      <c r="D242" s="51"/>
      <c r="E242" s="51"/>
      <c r="F242" s="110" t="s">
        <v>761</v>
      </c>
      <c r="G242" s="107">
        <v>1</v>
      </c>
      <c r="H242" s="107">
        <f>SUM(H235:H241)</f>
        <v>73</v>
      </c>
      <c r="I242" s="108">
        <f t="shared" si="21"/>
        <v>73</v>
      </c>
      <c r="J242" s="109">
        <v>2</v>
      </c>
      <c r="K242" s="109">
        <f t="shared" si="25"/>
        <v>146</v>
      </c>
      <c r="L242" s="110"/>
      <c r="M242" s="110"/>
      <c r="N242" s="111"/>
    </row>
    <row r="243" s="1" customFormat="1" ht="20.25" spans="1:16">
      <c r="A243" s="51">
        <v>45708</v>
      </c>
      <c r="B243" s="110" t="s">
        <v>778</v>
      </c>
      <c r="C243" s="51">
        <v>45708</v>
      </c>
      <c r="D243" s="51"/>
      <c r="E243" s="51"/>
      <c r="F243" s="110" t="s">
        <v>316</v>
      </c>
      <c r="G243" s="107">
        <v>4</v>
      </c>
      <c r="H243" s="107">
        <v>1</v>
      </c>
      <c r="I243" s="108">
        <f t="shared" si="21"/>
        <v>4</v>
      </c>
      <c r="J243" s="109">
        <v>12.5</v>
      </c>
      <c r="K243" s="109">
        <f t="shared" si="25"/>
        <v>50</v>
      </c>
      <c r="L243" s="110">
        <f>SUM(K235:K243)</f>
        <v>617.9</v>
      </c>
      <c r="M243" s="110"/>
      <c r="N243" s="111"/>
    </row>
    <row r="244" s="241" customFormat="1" ht="20.25" spans="1:16">
      <c r="A244" s="37" t="s">
        <v>189</v>
      </c>
      <c r="B244" s="38"/>
      <c r="C244" s="37"/>
      <c r="D244" s="37"/>
      <c r="E244" s="37"/>
      <c r="F244" s="227"/>
      <c r="G244" s="40"/>
      <c r="H244" s="40"/>
      <c r="I244" s="40"/>
      <c r="J244" s="41" t="s">
        <v>499</v>
      </c>
      <c r="K244" s="41">
        <f>SUM(K247:K538)</f>
        <v>72687.12</v>
      </c>
      <c r="L244" s="227" t="s">
        <v>500</v>
      </c>
      <c r="M244" s="227">
        <v>19704.086</v>
      </c>
      <c r="N244" s="250" t="s">
        <v>302</v>
      </c>
      <c r="O244" s="241">
        <v>1550.6</v>
      </c>
      <c r="P244" s="241" t="s">
        <v>501</v>
      </c>
    </row>
    <row r="245" s="241" customFormat="1" ht="20.25" spans="1:16">
      <c r="A245" s="37"/>
      <c r="B245" s="38"/>
      <c r="C245" s="37"/>
      <c r="D245" s="37"/>
      <c r="E245" s="37"/>
      <c r="F245" s="227"/>
      <c r="G245" s="40"/>
      <c r="H245" s="40"/>
      <c r="I245" s="40"/>
      <c r="J245" s="41"/>
      <c r="K245" s="41"/>
      <c r="L245" s="227" t="s">
        <v>502</v>
      </c>
      <c r="M245" s="227">
        <v>4376.18</v>
      </c>
      <c r="N245" s="250" t="s">
        <v>503</v>
      </c>
      <c r="O245" s="241">
        <v>454.5</v>
      </c>
    </row>
    <row r="246" s="241" customFormat="1" ht="20.25" spans="1:16">
      <c r="A246" s="37" t="s">
        <v>1</v>
      </c>
      <c r="B246" s="38" t="s">
        <v>304</v>
      </c>
      <c r="C246" s="251" t="s">
        <v>305</v>
      </c>
      <c r="D246" s="252"/>
      <c r="E246" s="253"/>
      <c r="F246" s="227" t="s">
        <v>306</v>
      </c>
      <c r="G246" s="40" t="s">
        <v>113</v>
      </c>
      <c r="H246" s="40" t="s">
        <v>3</v>
      </c>
      <c r="I246" s="40" t="s">
        <v>5</v>
      </c>
      <c r="J246" s="41" t="s">
        <v>114</v>
      </c>
      <c r="K246" s="41" t="s">
        <v>115</v>
      </c>
      <c r="L246" s="227" t="s">
        <v>7</v>
      </c>
      <c r="M246" s="227" t="s">
        <v>303</v>
      </c>
      <c r="N246" s="250" t="s">
        <v>504</v>
      </c>
      <c r="O246" s="241">
        <v>26085.366</v>
      </c>
    </row>
    <row r="247" s="1" customFormat="1" ht="20.25" spans="1:16">
      <c r="A247" s="51">
        <v>45726</v>
      </c>
      <c r="B247" s="105">
        <v>31</v>
      </c>
      <c r="C247" s="51">
        <v>45726</v>
      </c>
      <c r="D247" s="51"/>
      <c r="E247" s="51"/>
      <c r="F247" s="110" t="s">
        <v>307</v>
      </c>
      <c r="G247" s="107">
        <v>1</v>
      </c>
      <c r="H247" s="107">
        <v>114</v>
      </c>
      <c r="I247" s="108">
        <f t="shared" ref="I247:I266" si="26">G247*H247</f>
        <v>114</v>
      </c>
      <c r="J247" s="109">
        <v>12.2</v>
      </c>
      <c r="K247" s="271"/>
      <c r="L247" s="110"/>
      <c r="M247" s="110"/>
      <c r="N247" s="111"/>
    </row>
    <row r="248" s="1" customFormat="1" ht="20.25" spans="1:16">
      <c r="A248" s="51">
        <v>45726</v>
      </c>
      <c r="B248" s="105">
        <v>31</v>
      </c>
      <c r="C248" s="51">
        <v>45726</v>
      </c>
      <c r="D248" s="51"/>
      <c r="E248" s="51"/>
      <c r="F248" s="110" t="s">
        <v>780</v>
      </c>
      <c r="G248" s="107">
        <v>1</v>
      </c>
      <c r="H248" s="107">
        <v>114</v>
      </c>
      <c r="I248" s="108">
        <f t="shared" si="26"/>
        <v>114</v>
      </c>
      <c r="J248" s="109">
        <v>13.5</v>
      </c>
      <c r="K248" s="271"/>
      <c r="L248" s="110"/>
      <c r="M248" s="110"/>
      <c r="N248" s="111"/>
    </row>
    <row r="249" s="1" customFormat="1" ht="20.25" spans="1:16">
      <c r="A249" s="51">
        <v>45726</v>
      </c>
      <c r="B249" s="105">
        <v>31</v>
      </c>
      <c r="C249" s="51">
        <v>45726</v>
      </c>
      <c r="D249" s="51"/>
      <c r="E249" s="51"/>
      <c r="F249" s="110" t="s">
        <v>120</v>
      </c>
      <c r="G249" s="107">
        <v>1</v>
      </c>
      <c r="H249" s="107">
        <v>12</v>
      </c>
      <c r="I249" s="108">
        <f t="shared" si="26"/>
        <v>12</v>
      </c>
      <c r="J249" s="109">
        <v>21</v>
      </c>
      <c r="K249" s="271">
        <f>I249*J249</f>
        <v>252</v>
      </c>
      <c r="L249" s="110"/>
      <c r="M249" s="110"/>
      <c r="N249" s="111"/>
    </row>
    <row r="250" s="1" customFormat="1" ht="20.25" spans="1:16">
      <c r="A250" s="51">
        <v>45726</v>
      </c>
      <c r="B250" s="105">
        <v>31</v>
      </c>
      <c r="C250" s="51">
        <v>45726</v>
      </c>
      <c r="D250" s="51"/>
      <c r="E250" s="51"/>
      <c r="F250" s="110" t="s">
        <v>339</v>
      </c>
      <c r="G250" s="107">
        <v>1</v>
      </c>
      <c r="H250" s="107">
        <v>100</v>
      </c>
      <c r="I250" s="108">
        <f t="shared" si="26"/>
        <v>100</v>
      </c>
      <c r="J250" s="109">
        <v>0.6</v>
      </c>
      <c r="K250" s="271">
        <f t="shared" ref="K250:K256" si="27">I250*J250</f>
        <v>60</v>
      </c>
      <c r="L250" s="110"/>
      <c r="M250" s="110"/>
      <c r="N250" s="111"/>
    </row>
    <row r="251" s="1" customFormat="1" ht="20.25" spans="1:16">
      <c r="A251" s="51">
        <v>45726</v>
      </c>
      <c r="B251" s="105">
        <v>31</v>
      </c>
      <c r="C251" s="51">
        <v>45726</v>
      </c>
      <c r="D251" s="51"/>
      <c r="E251" s="51"/>
      <c r="F251" s="110" t="s">
        <v>311</v>
      </c>
      <c r="G251" s="107">
        <v>1</v>
      </c>
      <c r="H251" s="107">
        <v>190</v>
      </c>
      <c r="I251" s="108">
        <f t="shared" si="26"/>
        <v>190</v>
      </c>
      <c r="J251" s="109">
        <v>7.8</v>
      </c>
      <c r="K251" s="271">
        <f t="shared" si="27"/>
        <v>1482</v>
      </c>
      <c r="L251" s="110"/>
      <c r="M251" s="110"/>
      <c r="N251" s="111"/>
    </row>
    <row r="252" s="1" customFormat="1" ht="20.25" spans="1:16">
      <c r="A252" s="51">
        <v>45726</v>
      </c>
      <c r="B252" s="105">
        <v>31</v>
      </c>
      <c r="C252" s="51">
        <v>45726</v>
      </c>
      <c r="D252" s="51"/>
      <c r="E252" s="51"/>
      <c r="F252" s="110" t="s">
        <v>312</v>
      </c>
      <c r="G252" s="107">
        <v>1</v>
      </c>
      <c r="H252" s="107">
        <v>122</v>
      </c>
      <c r="I252" s="108">
        <f t="shared" si="26"/>
        <v>122</v>
      </c>
      <c r="J252" s="109">
        <v>3.7</v>
      </c>
      <c r="K252" s="271">
        <f t="shared" si="27"/>
        <v>451.4</v>
      </c>
      <c r="L252" s="110" t="s">
        <v>781</v>
      </c>
      <c r="M252" s="110"/>
      <c r="N252" s="111"/>
    </row>
    <row r="253" s="1" customFormat="1" ht="20.25" spans="1:16">
      <c r="A253" s="51">
        <v>45726</v>
      </c>
      <c r="B253" s="105">
        <v>31</v>
      </c>
      <c r="C253" s="51">
        <v>45726</v>
      </c>
      <c r="D253" s="51"/>
      <c r="E253" s="51"/>
      <c r="F253" s="110" t="s">
        <v>782</v>
      </c>
      <c r="G253" s="107">
        <v>1</v>
      </c>
      <c r="H253" s="107">
        <v>75</v>
      </c>
      <c r="I253" s="108">
        <f t="shared" si="26"/>
        <v>75</v>
      </c>
      <c r="J253" s="109">
        <v>25.5</v>
      </c>
      <c r="K253" s="271"/>
      <c r="L253" s="110"/>
      <c r="M253" s="110"/>
      <c r="N253" s="111"/>
    </row>
    <row r="254" s="1" customFormat="1" ht="20.25" spans="1:16">
      <c r="A254" s="51">
        <v>45726</v>
      </c>
      <c r="B254" s="105">
        <v>31</v>
      </c>
      <c r="C254" s="51">
        <v>45726</v>
      </c>
      <c r="D254" s="51"/>
      <c r="E254" s="51"/>
      <c r="F254" s="110" t="s">
        <v>309</v>
      </c>
      <c r="G254" s="107">
        <v>1</v>
      </c>
      <c r="H254" s="107">
        <v>3</v>
      </c>
      <c r="I254" s="108">
        <f t="shared" si="26"/>
        <v>3</v>
      </c>
      <c r="J254" s="109">
        <v>18</v>
      </c>
      <c r="K254" s="271">
        <f t="shared" si="27"/>
        <v>54</v>
      </c>
      <c r="L254" s="131" t="s">
        <v>783</v>
      </c>
      <c r="M254" s="110"/>
      <c r="N254" s="111"/>
    </row>
    <row r="255" s="1" customFormat="1" ht="20.25" spans="1:16">
      <c r="A255" s="51">
        <v>45726</v>
      </c>
      <c r="B255" s="105">
        <v>31</v>
      </c>
      <c r="C255" s="51">
        <v>45726</v>
      </c>
      <c r="D255" s="51"/>
      <c r="E255" s="51"/>
      <c r="F255" s="254" t="s">
        <v>784</v>
      </c>
      <c r="G255" s="139">
        <v>1</v>
      </c>
      <c r="H255" s="139">
        <f>SUM(H247:H254)</f>
        <v>730</v>
      </c>
      <c r="I255" s="114">
        <f t="shared" si="26"/>
        <v>730</v>
      </c>
      <c r="J255" s="115">
        <v>2</v>
      </c>
      <c r="K255" s="271">
        <f t="shared" si="27"/>
        <v>1460</v>
      </c>
      <c r="L255" s="110" t="s">
        <v>343</v>
      </c>
      <c r="M255" s="110" t="s">
        <v>344</v>
      </c>
      <c r="N255" s="111"/>
    </row>
    <row r="256" s="1" customFormat="1" ht="20.25" spans="1:16">
      <c r="A256" s="51">
        <v>45726</v>
      </c>
      <c r="B256" s="105">
        <v>31</v>
      </c>
      <c r="C256" s="51">
        <v>45726</v>
      </c>
      <c r="D256" s="51"/>
      <c r="E256" s="51"/>
      <c r="F256" s="110" t="s">
        <v>316</v>
      </c>
      <c r="G256" s="107">
        <v>40</v>
      </c>
      <c r="H256" s="107">
        <v>1</v>
      </c>
      <c r="I256" s="108">
        <f t="shared" si="26"/>
        <v>40</v>
      </c>
      <c r="J256" s="109">
        <v>12.5</v>
      </c>
      <c r="K256" s="271">
        <f t="shared" si="27"/>
        <v>500</v>
      </c>
      <c r="L256" s="110">
        <f>SUM(K247:K256)</f>
        <v>4259.4</v>
      </c>
      <c r="M256" s="110"/>
      <c r="N256" s="111"/>
    </row>
    <row r="257" s="2" customFormat="1" ht="20.25" spans="1:14">
      <c r="A257" s="126">
        <v>45735</v>
      </c>
      <c r="B257" s="127">
        <v>72</v>
      </c>
      <c r="C257" s="126">
        <v>45734</v>
      </c>
      <c r="D257" s="126"/>
      <c r="E257" s="126"/>
      <c r="F257" s="131" t="s">
        <v>307</v>
      </c>
      <c r="G257" s="134">
        <v>1</v>
      </c>
      <c r="H257" s="134">
        <v>78</v>
      </c>
      <c r="I257" s="136">
        <f t="shared" si="26"/>
        <v>78</v>
      </c>
      <c r="J257" s="135">
        <v>12.2</v>
      </c>
      <c r="K257" s="135"/>
      <c r="L257" s="131"/>
      <c r="M257" s="131"/>
      <c r="N257" s="132"/>
    </row>
    <row r="258" s="2" customFormat="1" ht="20.25" spans="1:14">
      <c r="A258" s="126">
        <v>45735</v>
      </c>
      <c r="B258" s="127">
        <v>72</v>
      </c>
      <c r="C258" s="126">
        <v>45734</v>
      </c>
      <c r="D258" s="126"/>
      <c r="E258" s="126"/>
      <c r="F258" s="131" t="s">
        <v>780</v>
      </c>
      <c r="G258" s="134">
        <v>1</v>
      </c>
      <c r="H258" s="134">
        <v>78</v>
      </c>
      <c r="I258" s="136">
        <f t="shared" si="26"/>
        <v>78</v>
      </c>
      <c r="J258" s="135">
        <v>13.5</v>
      </c>
      <c r="K258" s="135"/>
      <c r="L258" s="131"/>
      <c r="M258" s="131"/>
      <c r="N258" s="132"/>
    </row>
    <row r="259" s="2" customFormat="1" ht="20.25" spans="1:14">
      <c r="A259" s="126">
        <v>45735</v>
      </c>
      <c r="B259" s="127">
        <v>72</v>
      </c>
      <c r="C259" s="126">
        <v>45734</v>
      </c>
      <c r="D259" s="126"/>
      <c r="E259" s="126"/>
      <c r="F259" s="131" t="s">
        <v>120</v>
      </c>
      <c r="G259" s="134">
        <v>1</v>
      </c>
      <c r="H259" s="134">
        <v>9</v>
      </c>
      <c r="I259" s="136">
        <f t="shared" si="26"/>
        <v>9</v>
      </c>
      <c r="J259" s="135">
        <v>21</v>
      </c>
      <c r="K259" s="135">
        <f t="shared" ref="K258:K270" si="28">I259*J259</f>
        <v>189</v>
      </c>
      <c r="L259" s="131"/>
      <c r="M259" s="131"/>
      <c r="N259" s="132"/>
    </row>
    <row r="260" s="2" customFormat="1" ht="20.25" spans="1:14">
      <c r="A260" s="126">
        <v>45735</v>
      </c>
      <c r="B260" s="127">
        <v>72</v>
      </c>
      <c r="C260" s="126">
        <v>45734</v>
      </c>
      <c r="D260" s="126"/>
      <c r="E260" s="126"/>
      <c r="F260" s="131" t="s">
        <v>785</v>
      </c>
      <c r="G260" s="134">
        <v>1</v>
      </c>
      <c r="H260" s="134">
        <v>69</v>
      </c>
      <c r="I260" s="136">
        <f t="shared" si="26"/>
        <v>69</v>
      </c>
      <c r="J260" s="135">
        <v>0.6</v>
      </c>
      <c r="K260" s="135">
        <f t="shared" si="28"/>
        <v>41.4</v>
      </c>
      <c r="L260" s="131"/>
      <c r="M260" s="131"/>
      <c r="N260" s="132"/>
    </row>
    <row r="261" s="2" customFormat="1" ht="20.25" spans="1:14">
      <c r="A261" s="126">
        <v>45735</v>
      </c>
      <c r="B261" s="127">
        <v>72</v>
      </c>
      <c r="C261" s="126">
        <v>45734</v>
      </c>
      <c r="D261" s="126"/>
      <c r="E261" s="126"/>
      <c r="F261" s="131" t="s">
        <v>311</v>
      </c>
      <c r="G261" s="134">
        <v>1</v>
      </c>
      <c r="H261" s="134">
        <v>135</v>
      </c>
      <c r="I261" s="136">
        <f t="shared" si="26"/>
        <v>135</v>
      </c>
      <c r="J261" s="135">
        <v>7.8</v>
      </c>
      <c r="K261" s="135">
        <f t="shared" si="28"/>
        <v>1053</v>
      </c>
      <c r="L261" s="131"/>
      <c r="M261" s="131"/>
      <c r="N261" s="132"/>
    </row>
    <row r="262" s="2" customFormat="1" ht="20.25" spans="1:14">
      <c r="A262" s="126">
        <v>45735</v>
      </c>
      <c r="B262" s="127">
        <v>72</v>
      </c>
      <c r="C262" s="126">
        <v>45734</v>
      </c>
      <c r="D262" s="126"/>
      <c r="E262" s="126"/>
      <c r="F262" s="131" t="s">
        <v>312</v>
      </c>
      <c r="G262" s="134">
        <v>1</v>
      </c>
      <c r="H262" s="134">
        <v>80</v>
      </c>
      <c r="I262" s="136">
        <f t="shared" si="26"/>
        <v>80</v>
      </c>
      <c r="J262" s="135">
        <v>3.7</v>
      </c>
      <c r="K262" s="135">
        <f t="shared" si="28"/>
        <v>296</v>
      </c>
      <c r="L262" s="131" t="s">
        <v>739</v>
      </c>
      <c r="M262" s="132" t="s">
        <v>786</v>
      </c>
      <c r="N262" s="132"/>
    </row>
    <row r="263" s="2" customFormat="1" ht="20.25" spans="1:14">
      <c r="A263" s="126">
        <v>45735</v>
      </c>
      <c r="B263" s="127">
        <v>72</v>
      </c>
      <c r="C263" s="126">
        <v>45734</v>
      </c>
      <c r="D263" s="126"/>
      <c r="E263" s="126"/>
      <c r="F263" s="131" t="s">
        <v>787</v>
      </c>
      <c r="G263" s="134">
        <v>1</v>
      </c>
      <c r="H263" s="134">
        <v>8</v>
      </c>
      <c r="I263" s="136">
        <f t="shared" si="26"/>
        <v>8</v>
      </c>
      <c r="J263" s="135">
        <v>45</v>
      </c>
      <c r="K263" s="135">
        <f t="shared" si="28"/>
        <v>360</v>
      </c>
      <c r="L263" s="131"/>
      <c r="M263" s="131"/>
      <c r="N263" s="132"/>
    </row>
    <row r="264" s="2" customFormat="1" ht="20.25" spans="1:14">
      <c r="A264" s="126">
        <v>45735</v>
      </c>
      <c r="B264" s="127">
        <v>72</v>
      </c>
      <c r="C264" s="126">
        <v>45734</v>
      </c>
      <c r="D264" s="126"/>
      <c r="E264" s="126"/>
      <c r="F264" s="131" t="s">
        <v>432</v>
      </c>
      <c r="G264" s="134">
        <v>1</v>
      </c>
      <c r="H264" s="134">
        <v>3</v>
      </c>
      <c r="I264" s="136">
        <f t="shared" ref="I264:I288" si="29">G264*H264</f>
        <v>3</v>
      </c>
      <c r="J264" s="135">
        <v>25</v>
      </c>
      <c r="K264" s="135">
        <f t="shared" si="28"/>
        <v>75</v>
      </c>
      <c r="L264" s="131"/>
      <c r="M264" s="131"/>
      <c r="N264" s="132"/>
    </row>
    <row r="265" s="2" customFormat="1" ht="20.25" spans="1:14">
      <c r="A265" s="126">
        <v>45735</v>
      </c>
      <c r="B265" s="127">
        <v>72</v>
      </c>
      <c r="C265" s="126">
        <v>45734</v>
      </c>
      <c r="D265" s="126"/>
      <c r="E265" s="126"/>
      <c r="F265" s="131" t="s">
        <v>632</v>
      </c>
      <c r="G265" s="134">
        <v>1</v>
      </c>
      <c r="H265" s="134">
        <v>3</v>
      </c>
      <c r="I265" s="136">
        <f t="shared" si="29"/>
        <v>3</v>
      </c>
      <c r="J265" s="135">
        <v>55</v>
      </c>
      <c r="K265" s="135">
        <f t="shared" si="28"/>
        <v>165</v>
      </c>
      <c r="L265" s="131"/>
      <c r="M265" s="131"/>
      <c r="N265" s="132"/>
    </row>
    <row r="266" s="2" customFormat="1" ht="20.25" spans="1:14">
      <c r="A266" s="126">
        <v>45735</v>
      </c>
      <c r="B266" s="127">
        <v>72</v>
      </c>
      <c r="C266" s="126">
        <v>45734</v>
      </c>
      <c r="D266" s="126"/>
      <c r="E266" s="126"/>
      <c r="F266" s="131" t="s">
        <v>309</v>
      </c>
      <c r="G266" s="134">
        <v>1</v>
      </c>
      <c r="H266" s="134">
        <v>26</v>
      </c>
      <c r="I266" s="136">
        <f t="shared" si="29"/>
        <v>26</v>
      </c>
      <c r="J266" s="135">
        <v>18</v>
      </c>
      <c r="K266" s="135">
        <f t="shared" si="28"/>
        <v>468</v>
      </c>
      <c r="L266" s="131" t="s">
        <v>788</v>
      </c>
      <c r="M266" s="131"/>
      <c r="N266" s="132"/>
    </row>
    <row r="267" s="2" customFormat="1" ht="20.25" spans="1:14">
      <c r="A267" s="126">
        <v>45735</v>
      </c>
      <c r="B267" s="127">
        <v>72</v>
      </c>
      <c r="C267" s="126">
        <v>45734</v>
      </c>
      <c r="D267" s="126"/>
      <c r="E267" s="126"/>
      <c r="F267" s="131" t="s">
        <v>789</v>
      </c>
      <c r="G267" s="134">
        <v>1</v>
      </c>
      <c r="H267" s="134">
        <f>SUM(H257:H266)</f>
        <v>489</v>
      </c>
      <c r="I267" s="136">
        <f t="shared" si="29"/>
        <v>489</v>
      </c>
      <c r="J267" s="135">
        <v>2</v>
      </c>
      <c r="K267" s="135">
        <f t="shared" si="28"/>
        <v>978</v>
      </c>
      <c r="L267" s="131" t="s">
        <v>343</v>
      </c>
      <c r="M267" s="131" t="s">
        <v>344</v>
      </c>
      <c r="N267" s="132"/>
    </row>
    <row r="268" s="2" customFormat="1" ht="20.25" spans="1:14">
      <c r="A268" s="126">
        <v>45735</v>
      </c>
      <c r="B268" s="127">
        <v>72</v>
      </c>
      <c r="C268" s="126">
        <v>45734</v>
      </c>
      <c r="D268" s="126"/>
      <c r="E268" s="126"/>
      <c r="F268" s="131" t="s">
        <v>316</v>
      </c>
      <c r="G268" s="134">
        <v>27</v>
      </c>
      <c r="H268" s="134">
        <v>1</v>
      </c>
      <c r="I268" s="136">
        <f t="shared" si="29"/>
        <v>27</v>
      </c>
      <c r="J268" s="135">
        <v>12.5</v>
      </c>
      <c r="K268" s="135">
        <f t="shared" si="28"/>
        <v>337.5</v>
      </c>
      <c r="L268" s="131">
        <f>SUM(K257:K268)</f>
        <v>3962.9</v>
      </c>
      <c r="M268" s="131"/>
      <c r="N268" s="132"/>
    </row>
    <row r="269" s="1" customFormat="1" ht="20.25" spans="1:14">
      <c r="A269" s="51">
        <v>45735</v>
      </c>
      <c r="B269" s="105">
        <v>73</v>
      </c>
      <c r="C269" s="51">
        <v>45734</v>
      </c>
      <c r="D269" s="51"/>
      <c r="E269" s="51"/>
      <c r="F269" s="110" t="s">
        <v>307</v>
      </c>
      <c r="G269" s="107">
        <v>1</v>
      </c>
      <c r="H269" s="107">
        <v>64</v>
      </c>
      <c r="I269" s="108">
        <f t="shared" si="29"/>
        <v>64</v>
      </c>
      <c r="J269" s="109">
        <v>12.2</v>
      </c>
      <c r="K269" s="135"/>
      <c r="L269" s="110"/>
      <c r="M269" s="110"/>
      <c r="N269" s="111"/>
    </row>
    <row r="270" s="1" customFormat="1" ht="20.25" spans="1:14">
      <c r="A270" s="51">
        <v>45735</v>
      </c>
      <c r="B270" s="105">
        <v>73</v>
      </c>
      <c r="C270" s="51">
        <v>45734</v>
      </c>
      <c r="D270" s="51"/>
      <c r="E270" s="51"/>
      <c r="F270" s="110" t="s">
        <v>780</v>
      </c>
      <c r="G270" s="107">
        <v>1</v>
      </c>
      <c r="H270" s="107">
        <v>64</v>
      </c>
      <c r="I270" s="108">
        <f t="shared" si="29"/>
        <v>64</v>
      </c>
      <c r="J270" s="109">
        <v>13.5</v>
      </c>
      <c r="K270" s="135"/>
      <c r="L270" s="110"/>
      <c r="M270" s="110"/>
      <c r="N270" s="111"/>
    </row>
    <row r="271" s="1" customFormat="1" ht="20.25" spans="1:14">
      <c r="A271" s="51">
        <v>45735</v>
      </c>
      <c r="B271" s="105">
        <v>73</v>
      </c>
      <c r="C271" s="51">
        <v>45734</v>
      </c>
      <c r="D271" s="51"/>
      <c r="E271" s="51"/>
      <c r="F271" s="110" t="s">
        <v>120</v>
      </c>
      <c r="G271" s="107">
        <v>1</v>
      </c>
      <c r="H271" s="107">
        <v>7</v>
      </c>
      <c r="I271" s="108">
        <f t="shared" si="29"/>
        <v>7</v>
      </c>
      <c r="J271" s="109">
        <v>21</v>
      </c>
      <c r="K271" s="109">
        <f t="shared" ref="K270:K282" si="30">I271*J271</f>
        <v>147</v>
      </c>
      <c r="L271" s="110"/>
      <c r="M271" s="110"/>
      <c r="N271" s="111"/>
    </row>
    <row r="272" s="1" customFormat="1" ht="20.25" spans="1:14">
      <c r="A272" s="51">
        <v>45735</v>
      </c>
      <c r="B272" s="105">
        <v>73</v>
      </c>
      <c r="C272" s="51">
        <v>45734</v>
      </c>
      <c r="D272" s="51"/>
      <c r="E272" s="51"/>
      <c r="F272" s="110" t="s">
        <v>785</v>
      </c>
      <c r="G272" s="107">
        <v>1</v>
      </c>
      <c r="H272" s="107">
        <v>57</v>
      </c>
      <c r="I272" s="108">
        <f t="shared" si="29"/>
        <v>57</v>
      </c>
      <c r="J272" s="109">
        <v>0.6</v>
      </c>
      <c r="K272" s="109">
        <f t="shared" si="30"/>
        <v>34.2</v>
      </c>
      <c r="L272" s="110"/>
      <c r="M272" s="132" t="s">
        <v>786</v>
      </c>
      <c r="N272" s="111"/>
    </row>
    <row r="273" s="1" customFormat="1" ht="20.25" spans="1:15">
      <c r="A273" s="51">
        <v>45735</v>
      </c>
      <c r="B273" s="105">
        <v>73</v>
      </c>
      <c r="C273" s="51">
        <v>45734</v>
      </c>
      <c r="D273" s="51"/>
      <c r="E273" s="51"/>
      <c r="F273" s="110" t="s">
        <v>311</v>
      </c>
      <c r="G273" s="107">
        <v>1</v>
      </c>
      <c r="H273" s="107">
        <v>127</v>
      </c>
      <c r="I273" s="108">
        <f t="shared" si="29"/>
        <v>127</v>
      </c>
      <c r="J273" s="109">
        <v>7.8</v>
      </c>
      <c r="K273" s="109">
        <f t="shared" si="30"/>
        <v>990.6</v>
      </c>
      <c r="L273" s="110"/>
      <c r="M273" s="110" t="s">
        <v>790</v>
      </c>
      <c r="N273" s="110"/>
      <c r="O273" s="111"/>
    </row>
    <row r="274" s="1" customFormat="1" ht="20.25" spans="1:15">
      <c r="A274" s="51">
        <v>45735</v>
      </c>
      <c r="B274" s="105">
        <v>73</v>
      </c>
      <c r="C274" s="51">
        <v>45734</v>
      </c>
      <c r="D274" s="51"/>
      <c r="E274" s="51"/>
      <c r="F274" s="110" t="s">
        <v>312</v>
      </c>
      <c r="G274" s="107">
        <v>1</v>
      </c>
      <c r="H274" s="107">
        <v>65</v>
      </c>
      <c r="I274" s="108">
        <f t="shared" si="29"/>
        <v>65</v>
      </c>
      <c r="J274" s="109">
        <v>3.7</v>
      </c>
      <c r="K274" s="109">
        <f t="shared" si="30"/>
        <v>240.5</v>
      </c>
      <c r="L274" s="110" t="s">
        <v>791</v>
      </c>
      <c r="M274" s="110" t="s">
        <v>343</v>
      </c>
      <c r="N274" s="110" t="s">
        <v>344</v>
      </c>
      <c r="O274" s="111"/>
    </row>
    <row r="275" s="1" customFormat="1" ht="20.25" spans="1:15">
      <c r="A275" s="51">
        <v>45735</v>
      </c>
      <c r="B275" s="105">
        <v>73</v>
      </c>
      <c r="C275" s="51">
        <v>45734</v>
      </c>
      <c r="D275" s="51"/>
      <c r="E275" s="51"/>
      <c r="F275" s="110" t="s">
        <v>576</v>
      </c>
      <c r="G275" s="107">
        <v>1</v>
      </c>
      <c r="H275" s="107">
        <v>16</v>
      </c>
      <c r="I275" s="108">
        <f t="shared" si="29"/>
        <v>16</v>
      </c>
      <c r="J275" s="109">
        <v>25</v>
      </c>
      <c r="K275" s="109">
        <f t="shared" si="30"/>
        <v>400</v>
      </c>
      <c r="L275" s="110"/>
      <c r="M275" s="110"/>
      <c r="N275" s="111"/>
    </row>
    <row r="276" s="1" customFormat="1" ht="20.25" spans="1:15">
      <c r="A276" s="51">
        <v>45735</v>
      </c>
      <c r="B276" s="105">
        <v>73</v>
      </c>
      <c r="C276" s="51">
        <v>45734</v>
      </c>
      <c r="D276" s="51"/>
      <c r="E276" s="51"/>
      <c r="F276" s="110" t="s">
        <v>309</v>
      </c>
      <c r="G276" s="107">
        <v>1</v>
      </c>
      <c r="H276" s="107">
        <v>36</v>
      </c>
      <c r="I276" s="108">
        <f t="shared" si="29"/>
        <v>36</v>
      </c>
      <c r="J276" s="109">
        <v>18</v>
      </c>
      <c r="K276" s="109">
        <f t="shared" si="30"/>
        <v>648</v>
      </c>
      <c r="L276" s="110"/>
      <c r="M276" s="110"/>
      <c r="N276" s="111"/>
    </row>
    <row r="277" s="1" customFormat="1" ht="20.25" spans="1:15">
      <c r="A277" s="51">
        <v>45735</v>
      </c>
      <c r="B277" s="105">
        <v>73</v>
      </c>
      <c r="C277" s="51">
        <v>45734</v>
      </c>
      <c r="D277" s="51"/>
      <c r="E277" s="51"/>
      <c r="F277" s="110" t="s">
        <v>792</v>
      </c>
      <c r="G277" s="107">
        <v>1</v>
      </c>
      <c r="H277" s="107">
        <f>SUM(H269:H276)</f>
        <v>436</v>
      </c>
      <c r="I277" s="108">
        <f t="shared" si="29"/>
        <v>436</v>
      </c>
      <c r="J277" s="109">
        <v>2</v>
      </c>
      <c r="K277" s="109">
        <f t="shared" si="30"/>
        <v>872</v>
      </c>
    </row>
    <row r="278" s="1" customFormat="1" ht="20.25" spans="1:15">
      <c r="A278" s="51">
        <v>45735</v>
      </c>
      <c r="B278" s="105">
        <v>73</v>
      </c>
      <c r="C278" s="51">
        <v>45734</v>
      </c>
      <c r="D278" s="51"/>
      <c r="E278" s="51"/>
      <c r="F278" s="110" t="s">
        <v>316</v>
      </c>
      <c r="G278" s="107">
        <v>24</v>
      </c>
      <c r="H278" s="107">
        <v>1</v>
      </c>
      <c r="I278" s="108">
        <f t="shared" si="29"/>
        <v>24</v>
      </c>
      <c r="J278" s="109">
        <v>12.5</v>
      </c>
      <c r="K278" s="109">
        <f t="shared" si="30"/>
        <v>300</v>
      </c>
      <c r="L278" s="110">
        <f>SUM(K269:K278)</f>
        <v>3632.3</v>
      </c>
      <c r="M278" s="110"/>
      <c r="N278" s="111"/>
    </row>
    <row r="279" s="13" customFormat="1" ht="20.25" spans="1:15">
      <c r="A279" s="272">
        <v>45749</v>
      </c>
      <c r="B279" s="273">
        <v>12</v>
      </c>
      <c r="C279" s="272">
        <v>45362</v>
      </c>
      <c r="D279" s="272"/>
      <c r="E279" s="272"/>
      <c r="F279" s="137" t="s">
        <v>327</v>
      </c>
      <c r="G279" s="262">
        <v>6</v>
      </c>
      <c r="H279" s="262">
        <v>25</v>
      </c>
      <c r="I279" s="274">
        <f t="shared" si="29"/>
        <v>150</v>
      </c>
      <c r="J279" s="275">
        <v>14.5</v>
      </c>
      <c r="K279" s="275">
        <f t="shared" si="30"/>
        <v>2175</v>
      </c>
      <c r="L279" s="137" t="s">
        <v>328</v>
      </c>
      <c r="M279" s="137" t="s">
        <v>793</v>
      </c>
      <c r="N279" s="276"/>
    </row>
    <row r="280" s="13" customFormat="1" ht="20.25" spans="1:15">
      <c r="A280" s="272">
        <v>45749</v>
      </c>
      <c r="B280" s="273">
        <v>12</v>
      </c>
      <c r="C280" s="272">
        <v>45362</v>
      </c>
      <c r="D280" s="272"/>
      <c r="E280" s="272"/>
      <c r="F280" s="137" t="s">
        <v>329</v>
      </c>
      <c r="G280" s="262">
        <v>4</v>
      </c>
      <c r="H280" s="262">
        <v>10</v>
      </c>
      <c r="I280" s="274">
        <f t="shared" si="29"/>
        <v>40</v>
      </c>
      <c r="J280" s="275">
        <v>14.5</v>
      </c>
      <c r="K280" s="275">
        <f t="shared" si="30"/>
        <v>580</v>
      </c>
      <c r="L280" s="137">
        <f>SUM(K279:K280)</f>
        <v>2755</v>
      </c>
      <c r="M280" s="137" t="s">
        <v>793</v>
      </c>
      <c r="N280" s="276"/>
    </row>
    <row r="281" s="243" customFormat="1" ht="20.25" spans="1:15">
      <c r="A281" s="263">
        <v>45758</v>
      </c>
      <c r="B281" s="127">
        <v>37</v>
      </c>
      <c r="C281" s="258">
        <v>45758</v>
      </c>
      <c r="D281" s="136"/>
      <c r="E281" s="136"/>
      <c r="F281" s="133" t="s">
        <v>308</v>
      </c>
      <c r="G281" s="136">
        <v>1</v>
      </c>
      <c r="H281" s="136">
        <v>15</v>
      </c>
      <c r="I281" s="136">
        <f t="shared" si="29"/>
        <v>15</v>
      </c>
      <c r="J281" s="135">
        <v>12.6</v>
      </c>
      <c r="K281" s="135">
        <f t="shared" si="30"/>
        <v>189</v>
      </c>
      <c r="L281" s="264"/>
      <c r="M281" s="264"/>
      <c r="N281" s="131"/>
    </row>
    <row r="282" s="243" customFormat="1" ht="20.25" spans="1:15">
      <c r="A282" s="263">
        <v>45758</v>
      </c>
      <c r="B282" s="127">
        <v>37</v>
      </c>
      <c r="C282" s="258">
        <v>45758</v>
      </c>
      <c r="D282" s="136"/>
      <c r="E282" s="136"/>
      <c r="F282" s="133" t="s">
        <v>434</v>
      </c>
      <c r="G282" s="136">
        <v>1</v>
      </c>
      <c r="H282" s="136">
        <v>1.5</v>
      </c>
      <c r="I282" s="136">
        <f t="shared" si="29"/>
        <v>1.5</v>
      </c>
      <c r="J282" s="135">
        <v>7.6</v>
      </c>
      <c r="K282" s="135">
        <f t="shared" si="30"/>
        <v>11.4</v>
      </c>
      <c r="L282" s="264"/>
      <c r="M282" s="264"/>
      <c r="N282" s="131"/>
    </row>
    <row r="283" s="243" customFormat="1" ht="20.25" spans="1:15">
      <c r="A283" s="263">
        <v>45758</v>
      </c>
      <c r="B283" s="127">
        <v>37</v>
      </c>
      <c r="C283" s="258">
        <v>45758</v>
      </c>
      <c r="D283" s="136"/>
      <c r="E283" s="136"/>
      <c r="F283" s="131" t="s">
        <v>122</v>
      </c>
      <c r="G283" s="136">
        <v>1</v>
      </c>
      <c r="H283" s="136">
        <v>2.5</v>
      </c>
      <c r="I283" s="136">
        <f t="shared" si="29"/>
        <v>2.5</v>
      </c>
      <c r="J283" s="135">
        <v>7.6</v>
      </c>
      <c r="K283" s="135">
        <f t="shared" ref="K283:K290" si="31">I283*J283</f>
        <v>19</v>
      </c>
      <c r="L283" s="264"/>
      <c r="M283" s="264"/>
      <c r="N283" s="131"/>
    </row>
    <row r="284" s="243" customFormat="1" ht="20.25" spans="1:15">
      <c r="A284" s="263">
        <v>45758</v>
      </c>
      <c r="B284" s="127">
        <v>37</v>
      </c>
      <c r="C284" s="258">
        <v>45758</v>
      </c>
      <c r="D284" s="136"/>
      <c r="E284" s="136"/>
      <c r="F284" s="133" t="s">
        <v>430</v>
      </c>
      <c r="G284" s="136">
        <v>1</v>
      </c>
      <c r="H284" s="136">
        <v>0.2</v>
      </c>
      <c r="I284" s="136">
        <f t="shared" ref="I284:I290" si="32">G284*H284</f>
        <v>0.2</v>
      </c>
      <c r="J284" s="135">
        <v>26</v>
      </c>
      <c r="K284" s="135">
        <f t="shared" si="31"/>
        <v>5.2</v>
      </c>
      <c r="L284" s="264" t="s">
        <v>794</v>
      </c>
      <c r="M284" s="264"/>
      <c r="N284" s="131"/>
    </row>
    <row r="285" s="243" customFormat="1" ht="20.25" spans="1:15">
      <c r="A285" s="263">
        <v>45758</v>
      </c>
      <c r="B285" s="127">
        <v>37</v>
      </c>
      <c r="C285" s="258">
        <v>45758</v>
      </c>
      <c r="D285" s="136"/>
      <c r="E285" s="136"/>
      <c r="F285" s="131" t="s">
        <v>433</v>
      </c>
      <c r="G285" s="136">
        <v>1</v>
      </c>
      <c r="H285" s="136">
        <v>1</v>
      </c>
      <c r="I285" s="136">
        <f t="shared" si="32"/>
        <v>1</v>
      </c>
      <c r="J285" s="135">
        <v>15</v>
      </c>
      <c r="K285" s="135">
        <f t="shared" si="31"/>
        <v>15</v>
      </c>
      <c r="L285" s="264"/>
      <c r="M285" s="264"/>
      <c r="N285" s="131"/>
    </row>
    <row r="286" s="243" customFormat="1" ht="20.25" spans="1:15">
      <c r="A286" s="263">
        <v>45758</v>
      </c>
      <c r="B286" s="127">
        <v>37</v>
      </c>
      <c r="C286" s="258">
        <v>45758</v>
      </c>
      <c r="D286" s="136"/>
      <c r="E286" s="136"/>
      <c r="F286" s="254" t="s">
        <v>795</v>
      </c>
      <c r="G286" s="114">
        <v>1</v>
      </c>
      <c r="H286" s="114">
        <f>SUM(H281:H285)</f>
        <v>20.2</v>
      </c>
      <c r="I286" s="114">
        <f t="shared" si="32"/>
        <v>20.2</v>
      </c>
      <c r="J286" s="115">
        <v>2</v>
      </c>
      <c r="K286" s="115">
        <f t="shared" si="31"/>
        <v>40.4</v>
      </c>
      <c r="L286" s="264"/>
      <c r="M286" s="264"/>
      <c r="N286" s="131"/>
    </row>
    <row r="287" s="243" customFormat="1" ht="20.25" spans="1:15">
      <c r="A287" s="263">
        <v>45758</v>
      </c>
      <c r="B287" s="127">
        <v>37</v>
      </c>
      <c r="C287" s="258">
        <v>45758</v>
      </c>
      <c r="D287" s="136"/>
      <c r="E287" s="136"/>
      <c r="F287" s="131" t="s">
        <v>438</v>
      </c>
      <c r="G287" s="136">
        <v>1</v>
      </c>
      <c r="H287" s="136">
        <v>1</v>
      </c>
      <c r="I287" s="136">
        <f t="shared" si="32"/>
        <v>1</v>
      </c>
      <c r="J287" s="135">
        <v>12.5</v>
      </c>
      <c r="K287" s="115">
        <f t="shared" si="31"/>
        <v>12.5</v>
      </c>
      <c r="L287" s="277">
        <f>SUM(K281:K287)</f>
        <v>292.5</v>
      </c>
      <c r="M287" s="264"/>
      <c r="N287" s="131"/>
    </row>
    <row r="288" s="1" customFormat="1" ht="20.25" spans="1:15">
      <c r="A288" s="263">
        <v>45758</v>
      </c>
      <c r="B288" s="127">
        <v>37</v>
      </c>
      <c r="C288" s="258">
        <v>45758</v>
      </c>
      <c r="D288" s="136"/>
      <c r="E288" s="136"/>
      <c r="F288" s="110" t="s">
        <v>677</v>
      </c>
      <c r="G288" s="107">
        <v>1</v>
      </c>
      <c r="H288" s="107">
        <v>5</v>
      </c>
      <c r="I288" s="108">
        <f t="shared" si="32"/>
        <v>5</v>
      </c>
      <c r="J288" s="109">
        <v>14.5</v>
      </c>
      <c r="K288" s="109">
        <f t="shared" si="31"/>
        <v>72.5</v>
      </c>
      <c r="L288" s="110" t="s">
        <v>618</v>
      </c>
      <c r="M288" s="110"/>
      <c r="N288" s="111"/>
    </row>
    <row r="289" s="1" customFormat="1" ht="20.25" spans="1:14">
      <c r="A289" s="263">
        <v>45758</v>
      </c>
      <c r="B289" s="127">
        <v>37</v>
      </c>
      <c r="C289" s="258">
        <v>45758</v>
      </c>
      <c r="D289" s="136"/>
      <c r="E289" s="136"/>
      <c r="F289" s="110" t="s">
        <v>677</v>
      </c>
      <c r="G289" s="107">
        <v>3</v>
      </c>
      <c r="H289" s="107">
        <v>4</v>
      </c>
      <c r="I289" s="108">
        <f t="shared" si="32"/>
        <v>12</v>
      </c>
      <c r="J289" s="109">
        <v>14.5</v>
      </c>
      <c r="K289" s="109">
        <f t="shared" si="31"/>
        <v>174</v>
      </c>
      <c r="L289" s="110" t="s">
        <v>618</v>
      </c>
      <c r="M289" s="110"/>
      <c r="N289" s="111"/>
    </row>
    <row r="290" s="1" customFormat="1" ht="20.25" spans="1:14">
      <c r="A290" s="263">
        <v>45758</v>
      </c>
      <c r="B290" s="127">
        <v>37</v>
      </c>
      <c r="C290" s="258">
        <v>45758</v>
      </c>
      <c r="D290" s="136"/>
      <c r="E290" s="136"/>
      <c r="F290" s="110" t="s">
        <v>677</v>
      </c>
      <c r="G290" s="107">
        <v>2</v>
      </c>
      <c r="H290" s="107">
        <v>2</v>
      </c>
      <c r="I290" s="108">
        <f t="shared" si="32"/>
        <v>4</v>
      </c>
      <c r="J290" s="109">
        <v>14.5</v>
      </c>
      <c r="K290" s="109">
        <f t="shared" si="31"/>
        <v>58</v>
      </c>
      <c r="L290" s="110" t="s">
        <v>618</v>
      </c>
      <c r="M290" s="110"/>
      <c r="N290" s="111"/>
    </row>
    <row r="291" s="1" customFormat="1" ht="20.25" spans="1:14">
      <c r="A291" s="263">
        <v>45758</v>
      </c>
      <c r="B291" s="127">
        <v>37</v>
      </c>
      <c r="C291" s="258">
        <v>45758</v>
      </c>
      <c r="D291" s="136"/>
      <c r="E291" s="136"/>
      <c r="F291" s="110" t="s">
        <v>796</v>
      </c>
      <c r="G291" s="107">
        <v>1</v>
      </c>
      <c r="H291" s="107">
        <v>1</v>
      </c>
      <c r="I291" s="108">
        <f t="shared" ref="I291:I308" si="33">G291*H291</f>
        <v>1</v>
      </c>
      <c r="J291" s="109">
        <v>9</v>
      </c>
      <c r="K291" s="109">
        <f t="shared" ref="K291:K301" si="34">I291*J291</f>
        <v>9</v>
      </c>
      <c r="L291" s="110"/>
      <c r="M291" s="110"/>
      <c r="N291" s="111"/>
    </row>
    <row r="292" s="1" customFormat="1" ht="20.25" spans="1:14">
      <c r="A292" s="263">
        <v>45758</v>
      </c>
      <c r="B292" s="127">
        <v>37</v>
      </c>
      <c r="C292" s="258">
        <v>45758</v>
      </c>
      <c r="D292" s="136"/>
      <c r="E292" s="136"/>
      <c r="F292" s="110" t="s">
        <v>641</v>
      </c>
      <c r="G292" s="107">
        <v>3</v>
      </c>
      <c r="H292" s="107">
        <v>1</v>
      </c>
      <c r="I292" s="108">
        <f t="shared" si="33"/>
        <v>3</v>
      </c>
      <c r="J292" s="109">
        <v>5.5</v>
      </c>
      <c r="K292" s="109">
        <f t="shared" si="34"/>
        <v>16.5</v>
      </c>
      <c r="L292" s="110"/>
      <c r="M292" s="110"/>
      <c r="N292" s="111"/>
    </row>
    <row r="293" s="1" customFormat="1" ht="24" customHeight="1" spans="1:14">
      <c r="A293" s="263">
        <v>45758</v>
      </c>
      <c r="B293" s="127">
        <v>37</v>
      </c>
      <c r="C293" s="258">
        <v>45758</v>
      </c>
      <c r="D293" s="136"/>
      <c r="E293" s="136"/>
      <c r="F293" s="110" t="s">
        <v>651</v>
      </c>
      <c r="G293" s="107">
        <v>2</v>
      </c>
      <c r="H293" s="107">
        <v>1</v>
      </c>
      <c r="I293" s="108">
        <f t="shared" si="33"/>
        <v>2</v>
      </c>
      <c r="J293" s="109">
        <v>3.5</v>
      </c>
      <c r="K293" s="109">
        <f t="shared" si="34"/>
        <v>7</v>
      </c>
      <c r="L293" s="110"/>
      <c r="M293" s="110"/>
      <c r="N293" s="111"/>
    </row>
    <row r="294" s="243" customFormat="1" ht="20.25" spans="1:14">
      <c r="A294" s="263">
        <v>45758</v>
      </c>
      <c r="B294" s="127">
        <v>37</v>
      </c>
      <c r="C294" s="258">
        <v>45758</v>
      </c>
      <c r="D294" s="136"/>
      <c r="E294" s="136"/>
      <c r="F294" s="131" t="s">
        <v>122</v>
      </c>
      <c r="G294" s="136">
        <v>1</v>
      </c>
      <c r="H294" s="136">
        <v>10</v>
      </c>
      <c r="I294" s="136">
        <f t="shared" si="33"/>
        <v>10</v>
      </c>
      <c r="J294" s="135">
        <v>7.6</v>
      </c>
      <c r="K294" s="135">
        <f t="shared" si="34"/>
        <v>76</v>
      </c>
      <c r="L294" s="264"/>
      <c r="M294" s="264"/>
      <c r="N294" s="131"/>
    </row>
    <row r="295" s="243" customFormat="1" ht="20.25" spans="1:14">
      <c r="A295" s="263">
        <v>45758</v>
      </c>
      <c r="B295" s="127">
        <v>37</v>
      </c>
      <c r="C295" s="258">
        <v>45758</v>
      </c>
      <c r="D295" s="136"/>
      <c r="E295" s="136"/>
      <c r="F295" s="131" t="s">
        <v>434</v>
      </c>
      <c r="G295" s="136">
        <v>1</v>
      </c>
      <c r="H295" s="136">
        <v>1</v>
      </c>
      <c r="I295" s="136">
        <f t="shared" si="33"/>
        <v>1</v>
      </c>
      <c r="J295" s="135">
        <v>7.6</v>
      </c>
      <c r="K295" s="135">
        <f t="shared" si="34"/>
        <v>7.6</v>
      </c>
      <c r="L295" s="264"/>
      <c r="M295" s="264"/>
      <c r="N295" s="131"/>
    </row>
    <row r="296" s="243" customFormat="1" ht="20.25" spans="1:14">
      <c r="A296" s="263">
        <v>45758</v>
      </c>
      <c r="B296" s="127">
        <v>37</v>
      </c>
      <c r="C296" s="258">
        <v>45758</v>
      </c>
      <c r="D296" s="136"/>
      <c r="E296" s="136"/>
      <c r="F296" s="131" t="s">
        <v>123</v>
      </c>
      <c r="G296" s="136">
        <v>1</v>
      </c>
      <c r="H296" s="136">
        <v>4</v>
      </c>
      <c r="I296" s="136">
        <f t="shared" si="33"/>
        <v>4</v>
      </c>
      <c r="J296" s="135">
        <v>3.7</v>
      </c>
      <c r="K296" s="135">
        <f t="shared" si="34"/>
        <v>14.8</v>
      </c>
      <c r="L296" s="264"/>
      <c r="M296" s="264"/>
      <c r="N296" s="131"/>
    </row>
    <row r="297" s="131" customFormat="1" ht="20.25" spans="1:14">
      <c r="A297" s="263">
        <v>45758</v>
      </c>
      <c r="B297" s="127">
        <v>37</v>
      </c>
      <c r="C297" s="258">
        <v>45758</v>
      </c>
      <c r="D297" s="136"/>
      <c r="E297" s="136"/>
      <c r="F297" s="131" t="s">
        <v>797</v>
      </c>
      <c r="G297" s="134">
        <v>1</v>
      </c>
      <c r="H297" s="134">
        <f>SUM(H294:H296)</f>
        <v>15</v>
      </c>
      <c r="I297" s="136">
        <f t="shared" si="33"/>
        <v>15</v>
      </c>
      <c r="J297" s="135">
        <v>0.7</v>
      </c>
      <c r="K297" s="135">
        <f t="shared" si="34"/>
        <v>10.5</v>
      </c>
      <c r="L297" s="133"/>
      <c r="M297" s="133"/>
    </row>
    <row r="298" s="2" customFormat="1" ht="20.25" spans="1:14">
      <c r="A298" s="263">
        <v>45758</v>
      </c>
      <c r="B298" s="127">
        <v>37</v>
      </c>
      <c r="C298" s="258">
        <v>45758</v>
      </c>
      <c r="D298" s="136"/>
      <c r="E298" s="136"/>
      <c r="F298" s="131" t="s">
        <v>423</v>
      </c>
      <c r="G298" s="134">
        <v>1</v>
      </c>
      <c r="H298" s="134">
        <v>1</v>
      </c>
      <c r="I298" s="136">
        <f t="shared" si="33"/>
        <v>1</v>
      </c>
      <c r="J298" s="135">
        <v>12</v>
      </c>
      <c r="K298" s="135">
        <f t="shared" si="34"/>
        <v>12</v>
      </c>
      <c r="L298" s="137">
        <f>SUM(K281:K298)</f>
        <v>750.4</v>
      </c>
      <c r="M298" s="137" t="s">
        <v>798</v>
      </c>
      <c r="N298" s="276"/>
    </row>
    <row r="299" s="1" customFormat="1" ht="20.25" spans="1:14">
      <c r="A299" s="51">
        <v>45758</v>
      </c>
      <c r="B299" s="105">
        <v>38</v>
      </c>
      <c r="C299" s="51">
        <v>45758</v>
      </c>
      <c r="D299" s="51"/>
      <c r="E299" s="51"/>
      <c r="F299" s="110" t="s">
        <v>307</v>
      </c>
      <c r="G299" s="107">
        <v>1</v>
      </c>
      <c r="H299" s="107">
        <v>126</v>
      </c>
      <c r="I299" s="108">
        <f t="shared" si="33"/>
        <v>126</v>
      </c>
      <c r="J299" s="109">
        <v>12.2</v>
      </c>
      <c r="K299" s="109"/>
      <c r="L299" s="110"/>
      <c r="M299" s="110"/>
      <c r="N299" s="111"/>
    </row>
    <row r="300" s="1" customFormat="1" ht="20.25" spans="1:14">
      <c r="A300" s="51">
        <v>45758</v>
      </c>
      <c r="B300" s="105">
        <v>38</v>
      </c>
      <c r="C300" s="51">
        <v>45758</v>
      </c>
      <c r="D300" s="51"/>
      <c r="E300" s="51"/>
      <c r="F300" s="106" t="s">
        <v>799</v>
      </c>
      <c r="G300" s="107">
        <v>1</v>
      </c>
      <c r="H300" s="107">
        <v>60</v>
      </c>
      <c r="I300" s="108">
        <f t="shared" si="33"/>
        <v>60</v>
      </c>
      <c r="J300" s="109">
        <v>13.5</v>
      </c>
      <c r="K300" s="109"/>
      <c r="L300" s="110"/>
      <c r="M300" s="110"/>
      <c r="N300" s="111"/>
    </row>
    <row r="301" s="1" customFormat="1" ht="20.25" spans="1:14">
      <c r="A301" s="51">
        <v>45758</v>
      </c>
      <c r="B301" s="105">
        <v>38</v>
      </c>
      <c r="C301" s="51">
        <v>45758</v>
      </c>
      <c r="D301" s="51"/>
      <c r="E301" s="51"/>
      <c r="F301" s="106" t="s">
        <v>800</v>
      </c>
      <c r="G301" s="107">
        <v>1</v>
      </c>
      <c r="H301" s="107">
        <v>126</v>
      </c>
      <c r="I301" s="108">
        <f t="shared" si="33"/>
        <v>126</v>
      </c>
      <c r="J301" s="109">
        <v>11.6</v>
      </c>
      <c r="K301" s="109"/>
      <c r="L301" s="110"/>
      <c r="M301" s="110"/>
      <c r="N301" s="111"/>
    </row>
    <row r="302" s="1" customFormat="1" ht="20.25" spans="1:14">
      <c r="A302" s="51">
        <v>45758</v>
      </c>
      <c r="B302" s="105">
        <v>38</v>
      </c>
      <c r="C302" s="51">
        <v>45758</v>
      </c>
      <c r="D302" s="51"/>
      <c r="E302" s="51"/>
      <c r="F302" s="110" t="s">
        <v>417</v>
      </c>
      <c r="G302" s="107">
        <v>1</v>
      </c>
      <c r="H302" s="107">
        <v>25</v>
      </c>
      <c r="I302" s="108">
        <f t="shared" si="33"/>
        <v>25</v>
      </c>
      <c r="J302" s="109">
        <v>18</v>
      </c>
      <c r="K302" s="109">
        <f t="shared" ref="K300:K313" si="35">I302*J302</f>
        <v>450</v>
      </c>
      <c r="L302" s="110"/>
      <c r="M302" s="110"/>
      <c r="N302" s="111"/>
    </row>
    <row r="303" s="1" customFormat="1" ht="20.25" spans="1:14">
      <c r="A303" s="51">
        <v>45758</v>
      </c>
      <c r="B303" s="105">
        <v>38</v>
      </c>
      <c r="C303" s="51">
        <v>45758</v>
      </c>
      <c r="D303" s="51"/>
      <c r="E303" s="51"/>
      <c r="F303" s="110" t="s">
        <v>120</v>
      </c>
      <c r="G303" s="107">
        <v>1</v>
      </c>
      <c r="H303" s="107">
        <v>14.5</v>
      </c>
      <c r="I303" s="108">
        <f t="shared" si="33"/>
        <v>14.5</v>
      </c>
      <c r="J303" s="109">
        <v>21</v>
      </c>
      <c r="K303" s="109">
        <f t="shared" si="35"/>
        <v>304.5</v>
      </c>
      <c r="L303" s="110"/>
      <c r="M303" s="110"/>
      <c r="N303" s="111"/>
    </row>
    <row r="304" s="1" customFormat="1" ht="20.25" spans="1:14">
      <c r="A304" s="51">
        <v>45758</v>
      </c>
      <c r="B304" s="105">
        <v>38</v>
      </c>
      <c r="C304" s="51">
        <v>45758</v>
      </c>
      <c r="D304" s="51"/>
      <c r="E304" s="51"/>
      <c r="F304" s="110" t="s">
        <v>785</v>
      </c>
      <c r="G304" s="107">
        <v>1</v>
      </c>
      <c r="H304" s="107">
        <v>85</v>
      </c>
      <c r="I304" s="108">
        <f t="shared" ref="I304:I327" si="36">G304*H304</f>
        <v>85</v>
      </c>
      <c r="J304" s="109">
        <v>0.6</v>
      </c>
      <c r="K304" s="109">
        <f t="shared" si="35"/>
        <v>51</v>
      </c>
      <c r="L304" s="110"/>
      <c r="M304" s="132" t="s">
        <v>786</v>
      </c>
      <c r="N304" s="111"/>
    </row>
    <row r="305" s="1" customFormat="1" ht="20.25" spans="1:15">
      <c r="A305" s="51">
        <v>45758</v>
      </c>
      <c r="B305" s="105">
        <v>38</v>
      </c>
      <c r="C305" s="51">
        <v>45758</v>
      </c>
      <c r="D305" s="51"/>
      <c r="E305" s="51"/>
      <c r="F305" s="110" t="s">
        <v>311</v>
      </c>
      <c r="G305" s="107">
        <v>1</v>
      </c>
      <c r="H305" s="107">
        <v>180</v>
      </c>
      <c r="I305" s="108">
        <f t="shared" si="36"/>
        <v>180</v>
      </c>
      <c r="J305" s="109">
        <v>7.6</v>
      </c>
      <c r="K305" s="109">
        <f t="shared" si="35"/>
        <v>1368</v>
      </c>
      <c r="L305" s="110"/>
      <c r="M305" s="110" t="s">
        <v>801</v>
      </c>
      <c r="N305" s="110"/>
      <c r="O305" s="111"/>
    </row>
    <row r="306" s="1" customFormat="1" ht="20.25" spans="1:15">
      <c r="A306" s="51">
        <v>45758</v>
      </c>
      <c r="B306" s="105">
        <v>38</v>
      </c>
      <c r="C306" s="51">
        <v>45758</v>
      </c>
      <c r="D306" s="51"/>
      <c r="E306" s="51"/>
      <c r="F306" s="110" t="s">
        <v>312</v>
      </c>
      <c r="G306" s="107">
        <v>1</v>
      </c>
      <c r="H306" s="107">
        <v>133</v>
      </c>
      <c r="I306" s="108">
        <f t="shared" si="36"/>
        <v>133</v>
      </c>
      <c r="J306" s="109">
        <v>3.7</v>
      </c>
      <c r="K306" s="109">
        <f t="shared" si="35"/>
        <v>492.1</v>
      </c>
      <c r="L306" s="110" t="s">
        <v>756</v>
      </c>
      <c r="M306" s="110" t="s">
        <v>343</v>
      </c>
      <c r="N306" s="110" t="s">
        <v>802</v>
      </c>
      <c r="O306" s="111"/>
    </row>
    <row r="307" s="1" customFormat="1" ht="20.25" spans="1:15">
      <c r="A307" s="51">
        <v>45758</v>
      </c>
      <c r="B307" s="105">
        <v>38</v>
      </c>
      <c r="C307" s="51">
        <v>45758</v>
      </c>
      <c r="D307" s="51"/>
      <c r="E307" s="51"/>
      <c r="F307" s="110" t="s">
        <v>432</v>
      </c>
      <c r="G307" s="107">
        <v>1</v>
      </c>
      <c r="H307" s="107">
        <v>10</v>
      </c>
      <c r="I307" s="108">
        <f t="shared" si="36"/>
        <v>10</v>
      </c>
      <c r="J307" s="109">
        <v>25</v>
      </c>
      <c r="K307" s="109">
        <f t="shared" si="35"/>
        <v>250</v>
      </c>
      <c r="L307" s="110"/>
      <c r="M307" s="110" t="s">
        <v>803</v>
      </c>
      <c r="N307" s="111"/>
    </row>
    <row r="308" s="1" customFormat="1" ht="20.25" spans="1:15">
      <c r="A308" s="51">
        <v>45758</v>
      </c>
      <c r="B308" s="105">
        <v>38</v>
      </c>
      <c r="C308" s="51">
        <v>45758</v>
      </c>
      <c r="D308" s="51"/>
      <c r="E308" s="51"/>
      <c r="F308" s="110" t="s">
        <v>787</v>
      </c>
      <c r="G308" s="107">
        <v>1</v>
      </c>
      <c r="H308" s="107">
        <v>1</v>
      </c>
      <c r="I308" s="108">
        <f t="shared" si="36"/>
        <v>1</v>
      </c>
      <c r="J308" s="109">
        <v>45</v>
      </c>
      <c r="K308" s="109">
        <f t="shared" si="35"/>
        <v>45</v>
      </c>
      <c r="L308" s="110"/>
      <c r="M308" s="110" t="s">
        <v>804</v>
      </c>
      <c r="N308" s="111"/>
    </row>
    <row r="309" s="1" customFormat="1" ht="20.25" spans="1:15">
      <c r="A309" s="51">
        <v>45758</v>
      </c>
      <c r="B309" s="105">
        <v>38</v>
      </c>
      <c r="C309" s="51">
        <v>45758</v>
      </c>
      <c r="D309" s="51"/>
      <c r="E309" s="51"/>
      <c r="F309" s="110" t="s">
        <v>633</v>
      </c>
      <c r="G309" s="107">
        <v>1</v>
      </c>
      <c r="H309" s="107">
        <v>1</v>
      </c>
      <c r="I309" s="108">
        <f t="shared" si="36"/>
        <v>1</v>
      </c>
      <c r="J309" s="109">
        <v>45</v>
      </c>
      <c r="K309" s="109">
        <f t="shared" si="35"/>
        <v>45</v>
      </c>
      <c r="L309" s="110"/>
      <c r="M309" s="110"/>
      <c r="N309" s="111"/>
    </row>
    <row r="310" s="1" customFormat="1" ht="20.25" spans="1:15">
      <c r="A310" s="51">
        <v>45758</v>
      </c>
      <c r="B310" s="105">
        <v>38</v>
      </c>
      <c r="C310" s="51">
        <v>45758</v>
      </c>
      <c r="D310" s="51"/>
      <c r="E310" s="51"/>
      <c r="F310" s="110" t="s">
        <v>805</v>
      </c>
      <c r="G310" s="107">
        <v>1</v>
      </c>
      <c r="H310" s="107">
        <v>72</v>
      </c>
      <c r="I310" s="108">
        <f t="shared" si="36"/>
        <v>72</v>
      </c>
      <c r="J310" s="109">
        <v>12</v>
      </c>
      <c r="K310" s="109"/>
      <c r="L310" s="110"/>
      <c r="M310" s="1">
        <f>SUM(K299:K306)</f>
        <v>2665.6</v>
      </c>
      <c r="N310" s="111"/>
    </row>
    <row r="311" s="1" customFormat="1" ht="20.25" spans="1:15">
      <c r="A311" s="51">
        <v>45758</v>
      </c>
      <c r="B311" s="105">
        <v>38</v>
      </c>
      <c r="C311" s="51">
        <v>45758</v>
      </c>
      <c r="D311" s="51"/>
      <c r="E311" s="51"/>
      <c r="F311" s="110" t="s">
        <v>806</v>
      </c>
      <c r="G311" s="107">
        <v>1</v>
      </c>
      <c r="H311" s="107">
        <v>24</v>
      </c>
      <c r="I311" s="108">
        <f t="shared" si="36"/>
        <v>24</v>
      </c>
      <c r="J311" s="109">
        <v>12</v>
      </c>
      <c r="K311" s="109"/>
      <c r="L311" s="110"/>
      <c r="M311" s="110"/>
      <c r="N311" s="111"/>
    </row>
    <row r="312" s="1" customFormat="1" ht="20.25" spans="1:15">
      <c r="A312" s="51">
        <v>45758</v>
      </c>
      <c r="B312" s="105">
        <v>38</v>
      </c>
      <c r="C312" s="51">
        <v>45758</v>
      </c>
      <c r="D312" s="51"/>
      <c r="E312" s="51"/>
      <c r="F312" s="254" t="s">
        <v>807</v>
      </c>
      <c r="G312" s="139">
        <v>1</v>
      </c>
      <c r="H312" s="139">
        <f>SUM(H299:H311)</f>
        <v>857.5</v>
      </c>
      <c r="I312" s="114">
        <f t="shared" si="36"/>
        <v>857.5</v>
      </c>
      <c r="J312" s="115">
        <v>2</v>
      </c>
      <c r="K312" s="115">
        <f t="shared" si="35"/>
        <v>1715</v>
      </c>
      <c r="L312" s="110"/>
    </row>
    <row r="313" s="1" customFormat="1" ht="20.25" spans="1:15">
      <c r="A313" s="51">
        <v>45758</v>
      </c>
      <c r="B313" s="105">
        <v>38</v>
      </c>
      <c r="C313" s="51">
        <v>45758</v>
      </c>
      <c r="D313" s="51"/>
      <c r="E313" s="51"/>
      <c r="F313" s="110" t="s">
        <v>316</v>
      </c>
      <c r="G313" s="107">
        <v>37</v>
      </c>
      <c r="H313" s="107">
        <v>1</v>
      </c>
      <c r="I313" s="108">
        <f t="shared" si="36"/>
        <v>37</v>
      </c>
      <c r="J313" s="109">
        <v>12.5</v>
      </c>
      <c r="K313" s="109">
        <f t="shared" si="35"/>
        <v>462.5</v>
      </c>
      <c r="L313" s="110">
        <f>SUM(K299:K314)</f>
        <v>5183.1</v>
      </c>
      <c r="M313" s="110"/>
      <c r="N313" s="111"/>
    </row>
    <row r="314" s="1" customFormat="1" ht="20.25" spans="1:15">
      <c r="A314" s="51">
        <v>45758</v>
      </c>
      <c r="B314" s="105">
        <v>38</v>
      </c>
      <c r="C314" s="51">
        <v>45758</v>
      </c>
      <c r="D314" s="51"/>
      <c r="E314" s="51"/>
      <c r="F314" s="110" t="s">
        <v>538</v>
      </c>
      <c r="G314" s="107">
        <v>4</v>
      </c>
      <c r="H314" s="107">
        <v>1</v>
      </c>
      <c r="I314" s="108">
        <f t="shared" si="36"/>
        <v>4</v>
      </c>
      <c r="J314" s="109">
        <v>12.5</v>
      </c>
      <c r="K314" s="109"/>
      <c r="L314" s="110"/>
      <c r="M314" s="110"/>
      <c r="N314" s="111"/>
    </row>
    <row r="315" s="243" customFormat="1" ht="20.25" spans="1:15">
      <c r="A315" s="263">
        <v>45769</v>
      </c>
      <c r="B315" s="127">
        <v>65</v>
      </c>
      <c r="C315" s="258">
        <v>45768</v>
      </c>
      <c r="D315" s="136"/>
      <c r="E315" s="136"/>
      <c r="F315" s="131" t="s">
        <v>308</v>
      </c>
      <c r="G315" s="136">
        <v>1</v>
      </c>
      <c r="H315" s="136">
        <v>1.8</v>
      </c>
      <c r="I315" s="136">
        <f t="shared" si="36"/>
        <v>1.8</v>
      </c>
      <c r="J315" s="135">
        <v>12.6</v>
      </c>
      <c r="K315" s="135">
        <f t="shared" ref="K315:K327" si="37">I315*J315</f>
        <v>22.68</v>
      </c>
      <c r="L315" s="278" t="s">
        <v>453</v>
      </c>
      <c r="M315" s="279"/>
      <c r="N315" s="132"/>
    </row>
    <row r="316" s="243" customFormat="1" ht="20.25" spans="1:15">
      <c r="A316" s="263">
        <v>45769</v>
      </c>
      <c r="B316" s="127">
        <v>65</v>
      </c>
      <c r="C316" s="258">
        <v>45768</v>
      </c>
      <c r="D316" s="136"/>
      <c r="E316" s="136"/>
      <c r="F316" s="133" t="s">
        <v>430</v>
      </c>
      <c r="G316" s="136">
        <v>1</v>
      </c>
      <c r="H316" s="136">
        <v>0.1</v>
      </c>
      <c r="I316" s="136">
        <f t="shared" si="36"/>
        <v>0.1</v>
      </c>
      <c r="J316" s="135">
        <v>26</v>
      </c>
      <c r="K316" s="135">
        <f t="shared" si="37"/>
        <v>2.6</v>
      </c>
      <c r="L316" s="280" t="s">
        <v>439</v>
      </c>
      <c r="M316" s="279"/>
      <c r="N316" s="132"/>
    </row>
    <row r="317" s="243" customFormat="1" ht="20.25" spans="1:15">
      <c r="A317" s="263">
        <v>45769</v>
      </c>
      <c r="B317" s="127">
        <v>65</v>
      </c>
      <c r="C317" s="258">
        <v>45768</v>
      </c>
      <c r="D317" s="136"/>
      <c r="E317" s="136"/>
      <c r="F317" s="133" t="s">
        <v>434</v>
      </c>
      <c r="G317" s="136">
        <v>1</v>
      </c>
      <c r="H317" s="136">
        <v>0.4</v>
      </c>
      <c r="I317" s="136">
        <f t="shared" si="36"/>
        <v>0.4</v>
      </c>
      <c r="J317" s="135">
        <v>7.6</v>
      </c>
      <c r="K317" s="135">
        <f t="shared" si="37"/>
        <v>3.04</v>
      </c>
      <c r="L317" s="278"/>
      <c r="M317" s="279"/>
      <c r="N317" s="132"/>
    </row>
    <row r="318" s="243" customFormat="1" ht="20.25" spans="1:15">
      <c r="A318" s="263">
        <v>45769</v>
      </c>
      <c r="B318" s="127">
        <v>65</v>
      </c>
      <c r="C318" s="258">
        <v>45768</v>
      </c>
      <c r="D318" s="136"/>
      <c r="E318" s="136"/>
      <c r="F318" s="131" t="s">
        <v>122</v>
      </c>
      <c r="G318" s="136">
        <v>1</v>
      </c>
      <c r="H318" s="136">
        <v>0.5</v>
      </c>
      <c r="I318" s="136">
        <f t="shared" si="36"/>
        <v>0.5</v>
      </c>
      <c r="J318" s="135">
        <v>7.6</v>
      </c>
      <c r="K318" s="135">
        <f t="shared" si="37"/>
        <v>3.8</v>
      </c>
      <c r="L318" s="278"/>
      <c r="M318" s="279"/>
      <c r="N318" s="132"/>
    </row>
    <row r="319" s="243" customFormat="1" ht="20.25" spans="1:15">
      <c r="A319" s="263">
        <v>45769</v>
      </c>
      <c r="B319" s="127">
        <v>65</v>
      </c>
      <c r="C319" s="258">
        <v>45768</v>
      </c>
      <c r="D319" s="136"/>
      <c r="E319" s="136"/>
      <c r="F319" s="133">
        <v>2038</v>
      </c>
      <c r="G319" s="136">
        <v>1</v>
      </c>
      <c r="H319" s="136">
        <v>0.06</v>
      </c>
      <c r="I319" s="136">
        <f t="shared" si="36"/>
        <v>0.06</v>
      </c>
      <c r="J319" s="135">
        <v>55</v>
      </c>
      <c r="K319" s="135">
        <f t="shared" si="37"/>
        <v>3.3</v>
      </c>
      <c r="L319" s="278"/>
      <c r="M319" s="279"/>
      <c r="N319" s="132"/>
    </row>
    <row r="320" s="243" customFormat="1" ht="20.25" spans="1:15">
      <c r="A320" s="263">
        <v>45769</v>
      </c>
      <c r="B320" s="127">
        <v>65</v>
      </c>
      <c r="C320" s="258">
        <v>45768</v>
      </c>
      <c r="D320" s="136"/>
      <c r="E320" s="136"/>
      <c r="F320" s="133">
        <v>3033</v>
      </c>
      <c r="G320" s="136">
        <v>1</v>
      </c>
      <c r="H320" s="136">
        <v>0.06</v>
      </c>
      <c r="I320" s="136">
        <f t="shared" si="36"/>
        <v>0.06</v>
      </c>
      <c r="J320" s="135">
        <v>60</v>
      </c>
      <c r="K320" s="135">
        <f t="shared" si="37"/>
        <v>3.6</v>
      </c>
      <c r="L320" s="278"/>
      <c r="M320" s="279"/>
      <c r="N320" s="132"/>
    </row>
    <row r="321" s="243" customFormat="1" ht="20.25" spans="1:14">
      <c r="A321" s="263">
        <v>45769</v>
      </c>
      <c r="B321" s="127">
        <v>65</v>
      </c>
      <c r="C321" s="258">
        <v>45768</v>
      </c>
      <c r="D321" s="136"/>
      <c r="E321" s="136"/>
      <c r="F321" s="131" t="s">
        <v>454</v>
      </c>
      <c r="G321" s="136">
        <v>1</v>
      </c>
      <c r="H321" s="136">
        <v>0.21</v>
      </c>
      <c r="I321" s="136">
        <f t="shared" si="36"/>
        <v>0.21</v>
      </c>
      <c r="J321" s="135">
        <v>50</v>
      </c>
      <c r="K321" s="135">
        <f t="shared" si="37"/>
        <v>10.5</v>
      </c>
      <c r="L321" s="278" t="s">
        <v>455</v>
      </c>
      <c r="M321" s="279"/>
      <c r="N321" s="132"/>
    </row>
    <row r="322" s="243" customFormat="1" ht="20.25" spans="1:14">
      <c r="A322" s="263">
        <v>45769</v>
      </c>
      <c r="B322" s="127">
        <v>65</v>
      </c>
      <c r="C322" s="258">
        <v>45768</v>
      </c>
      <c r="D322" s="136"/>
      <c r="E322" s="136"/>
      <c r="F322" s="254" t="s">
        <v>456</v>
      </c>
      <c r="G322" s="114">
        <v>1</v>
      </c>
      <c r="H322" s="115">
        <f>SUM(H315:H321)</f>
        <v>3.13</v>
      </c>
      <c r="I322" s="281">
        <f t="shared" si="36"/>
        <v>3.13</v>
      </c>
      <c r="J322" s="115">
        <v>2</v>
      </c>
      <c r="K322" s="115">
        <f t="shared" si="37"/>
        <v>6.26</v>
      </c>
      <c r="L322" s="278"/>
      <c r="M322" s="279"/>
      <c r="N322" s="132"/>
    </row>
    <row r="323" s="243" customFormat="1" ht="20.25" spans="1:14">
      <c r="A323" s="263">
        <v>45769</v>
      </c>
      <c r="B323" s="127">
        <v>65</v>
      </c>
      <c r="C323" s="258">
        <v>45768</v>
      </c>
      <c r="D323" s="136"/>
      <c r="E323" s="136"/>
      <c r="F323" s="131" t="s">
        <v>808</v>
      </c>
      <c r="G323" s="136">
        <v>1</v>
      </c>
      <c r="H323" s="136">
        <v>1</v>
      </c>
      <c r="I323" s="136">
        <f t="shared" si="36"/>
        <v>1</v>
      </c>
      <c r="J323" s="135">
        <v>5.5</v>
      </c>
      <c r="K323" s="135">
        <f t="shared" si="37"/>
        <v>5.5</v>
      </c>
      <c r="L323" s="278"/>
      <c r="M323" s="279"/>
      <c r="N323" s="132"/>
    </row>
    <row r="324" s="243" customFormat="1" ht="20.25" spans="1:14">
      <c r="A324" s="263">
        <v>45769</v>
      </c>
      <c r="B324" s="127">
        <v>65</v>
      </c>
      <c r="C324" s="258">
        <v>45768</v>
      </c>
      <c r="D324" s="136"/>
      <c r="E324" s="136"/>
      <c r="F324" s="248" t="s">
        <v>677</v>
      </c>
      <c r="G324" s="136">
        <v>1</v>
      </c>
      <c r="H324" s="136">
        <v>0.8</v>
      </c>
      <c r="I324" s="282">
        <f t="shared" si="36"/>
        <v>0.8</v>
      </c>
      <c r="J324" s="135">
        <v>14.5</v>
      </c>
      <c r="K324" s="135">
        <f t="shared" si="37"/>
        <v>11.6</v>
      </c>
      <c r="L324" s="278" t="s">
        <v>675</v>
      </c>
      <c r="M324" s="279"/>
      <c r="N324" s="132"/>
    </row>
    <row r="325" s="243" customFormat="1" ht="20.25" spans="1:14">
      <c r="A325" s="263">
        <v>45769</v>
      </c>
      <c r="B325" s="127">
        <v>65</v>
      </c>
      <c r="C325" s="258">
        <v>45768</v>
      </c>
      <c r="D325" s="136"/>
      <c r="E325" s="136"/>
      <c r="F325" s="248" t="s">
        <v>678</v>
      </c>
      <c r="G325" s="136">
        <v>1</v>
      </c>
      <c r="H325" s="136">
        <v>2</v>
      </c>
      <c r="I325" s="282">
        <f t="shared" si="36"/>
        <v>2</v>
      </c>
      <c r="J325" s="135">
        <v>8.5</v>
      </c>
      <c r="K325" s="135">
        <f t="shared" si="37"/>
        <v>17</v>
      </c>
      <c r="L325" s="283" t="s">
        <v>809</v>
      </c>
      <c r="M325" s="279"/>
      <c r="N325" s="132"/>
    </row>
    <row r="326" s="243" customFormat="1" ht="20.25" spans="1:14">
      <c r="A326" s="263">
        <v>45769</v>
      </c>
      <c r="B326" s="127">
        <v>65</v>
      </c>
      <c r="C326" s="258">
        <v>45768</v>
      </c>
      <c r="D326" s="136"/>
      <c r="E326" s="136"/>
      <c r="F326" s="243" t="s">
        <v>680</v>
      </c>
      <c r="G326" s="136">
        <v>2</v>
      </c>
      <c r="H326" s="136">
        <v>1</v>
      </c>
      <c r="I326" s="282">
        <f t="shared" si="36"/>
        <v>2</v>
      </c>
      <c r="J326" s="135">
        <v>3.5</v>
      </c>
      <c r="K326" s="135">
        <f t="shared" si="37"/>
        <v>7</v>
      </c>
      <c r="L326" s="283"/>
      <c r="M326" s="278">
        <f>SUM(K315:K326)</f>
        <v>96.88</v>
      </c>
      <c r="N326" s="132"/>
    </row>
    <row r="327" s="245" customFormat="1" ht="20.25" spans="1:14">
      <c r="A327" s="284">
        <v>45790</v>
      </c>
      <c r="B327" s="105">
        <v>27</v>
      </c>
      <c r="C327" s="285">
        <v>45789</v>
      </c>
      <c r="D327" s="108"/>
      <c r="E327" s="108"/>
      <c r="F327" s="286" t="s">
        <v>688</v>
      </c>
      <c r="G327" s="108">
        <v>1</v>
      </c>
      <c r="H327" s="108">
        <v>342</v>
      </c>
      <c r="I327" s="282">
        <f t="shared" si="36"/>
        <v>342</v>
      </c>
      <c r="J327" s="109">
        <v>12</v>
      </c>
      <c r="K327" s="135"/>
      <c r="L327" s="287"/>
      <c r="M327" s="288"/>
      <c r="N327" s="111"/>
    </row>
    <row r="328" s="245" customFormat="1" ht="20.25" spans="1:14">
      <c r="A328" s="284">
        <v>45790</v>
      </c>
      <c r="B328" s="105">
        <v>27</v>
      </c>
      <c r="C328" s="285">
        <v>45789</v>
      </c>
      <c r="D328" s="108"/>
      <c r="E328" s="108"/>
      <c r="F328" s="245" t="s">
        <v>120</v>
      </c>
      <c r="G328" s="108">
        <v>1</v>
      </c>
      <c r="H328" s="108">
        <v>18.2</v>
      </c>
      <c r="I328" s="282">
        <f t="shared" ref="I328:I345" si="38">G328*H328</f>
        <v>18.2</v>
      </c>
      <c r="J328" s="109">
        <v>17</v>
      </c>
      <c r="K328" s="135">
        <f t="shared" ref="K327:K344" si="39">I328*J328</f>
        <v>309.4</v>
      </c>
      <c r="L328" s="287"/>
      <c r="M328" s="288"/>
      <c r="N328" s="111"/>
    </row>
    <row r="329" s="245" customFormat="1" ht="20.25" spans="1:14">
      <c r="A329" s="284">
        <v>45790</v>
      </c>
      <c r="B329" s="105">
        <v>27</v>
      </c>
      <c r="C329" s="285">
        <v>45789</v>
      </c>
      <c r="D329" s="108"/>
      <c r="E329" s="108"/>
      <c r="F329" s="245" t="s">
        <v>121</v>
      </c>
      <c r="G329" s="108">
        <v>1</v>
      </c>
      <c r="H329" s="108">
        <v>75</v>
      </c>
      <c r="I329" s="282">
        <f t="shared" si="38"/>
        <v>75</v>
      </c>
      <c r="J329" s="109">
        <v>0.6</v>
      </c>
      <c r="K329" s="135">
        <f t="shared" si="39"/>
        <v>45</v>
      </c>
      <c r="L329" s="287"/>
      <c r="M329" s="108"/>
      <c r="N329" s="111"/>
    </row>
    <row r="330" s="245" customFormat="1" ht="20.25" spans="1:14">
      <c r="A330" s="284">
        <v>45790</v>
      </c>
      <c r="B330" s="105">
        <v>27</v>
      </c>
      <c r="C330" s="285">
        <v>45789</v>
      </c>
      <c r="D330" s="108"/>
      <c r="E330" s="108"/>
      <c r="F330" s="245" t="s">
        <v>122</v>
      </c>
      <c r="G330" s="108">
        <v>1</v>
      </c>
      <c r="H330" s="108">
        <v>242</v>
      </c>
      <c r="I330" s="282">
        <f t="shared" si="38"/>
        <v>242</v>
      </c>
      <c r="J330" s="109">
        <v>6.8</v>
      </c>
      <c r="K330" s="135">
        <f t="shared" si="39"/>
        <v>1645.6</v>
      </c>
      <c r="L330" s="287"/>
      <c r="M330" s="108"/>
      <c r="N330" s="111"/>
    </row>
    <row r="331" s="245" customFormat="1" ht="20.25" spans="1:14">
      <c r="A331" s="284">
        <v>45790</v>
      </c>
      <c r="B331" s="105">
        <v>27</v>
      </c>
      <c r="C331" s="285">
        <v>45789</v>
      </c>
      <c r="D331" s="108"/>
      <c r="E331" s="108"/>
      <c r="F331" s="245" t="s">
        <v>434</v>
      </c>
      <c r="G331" s="108">
        <v>1</v>
      </c>
      <c r="H331" s="108">
        <v>13</v>
      </c>
      <c r="I331" s="282">
        <f t="shared" si="38"/>
        <v>13</v>
      </c>
      <c r="J331" s="109">
        <v>6.9</v>
      </c>
      <c r="K331" s="135">
        <f t="shared" si="39"/>
        <v>89.7</v>
      </c>
      <c r="L331" s="287"/>
      <c r="M331" s="288"/>
      <c r="N331" s="111"/>
    </row>
    <row r="332" s="245" customFormat="1" ht="20.25" spans="1:14">
      <c r="A332" s="284">
        <v>45790</v>
      </c>
      <c r="B332" s="105">
        <v>27</v>
      </c>
      <c r="C332" s="285">
        <v>45789</v>
      </c>
      <c r="D332" s="108"/>
      <c r="E332" s="108"/>
      <c r="F332" s="245" t="s">
        <v>810</v>
      </c>
      <c r="G332" s="108">
        <v>1</v>
      </c>
      <c r="H332" s="108">
        <v>107</v>
      </c>
      <c r="I332" s="282">
        <f t="shared" si="38"/>
        <v>107</v>
      </c>
      <c r="J332" s="109">
        <v>3.6</v>
      </c>
      <c r="K332" s="135">
        <f t="shared" si="39"/>
        <v>385.2</v>
      </c>
      <c r="L332" s="287"/>
      <c r="M332" s="288"/>
      <c r="N332" s="111"/>
    </row>
    <row r="333" s="245" customFormat="1" ht="20.25" spans="1:14">
      <c r="A333" s="284">
        <v>45790</v>
      </c>
      <c r="B333" s="105">
        <v>27</v>
      </c>
      <c r="C333" s="285">
        <v>45789</v>
      </c>
      <c r="D333" s="108"/>
      <c r="E333" s="108"/>
      <c r="F333" s="261" t="s">
        <v>811</v>
      </c>
      <c r="G333" s="108">
        <v>1</v>
      </c>
      <c r="H333" s="108">
        <v>58</v>
      </c>
      <c r="I333" s="282">
        <f t="shared" si="38"/>
        <v>58</v>
      </c>
      <c r="J333" s="275">
        <v>10</v>
      </c>
      <c r="K333" s="135"/>
      <c r="L333" s="287" t="s">
        <v>812</v>
      </c>
      <c r="M333" s="288"/>
      <c r="N333" s="111"/>
    </row>
    <row r="334" s="245" customFormat="1" ht="20.25" spans="1:14">
      <c r="A334" s="284">
        <v>45790</v>
      </c>
      <c r="B334" s="105">
        <v>27</v>
      </c>
      <c r="C334" s="285">
        <v>45789</v>
      </c>
      <c r="D334" s="108"/>
      <c r="E334" s="108"/>
      <c r="F334" s="245" t="s">
        <v>813</v>
      </c>
      <c r="G334" s="108">
        <v>1</v>
      </c>
      <c r="H334" s="108">
        <v>90</v>
      </c>
      <c r="I334" s="282">
        <f t="shared" si="38"/>
        <v>90</v>
      </c>
      <c r="J334" s="275">
        <v>8.6</v>
      </c>
      <c r="K334" s="135"/>
      <c r="L334" s="287" t="s">
        <v>814</v>
      </c>
      <c r="M334" s="288"/>
      <c r="N334" s="111"/>
    </row>
    <row r="335" s="1" customFormat="1" ht="20.25" spans="1:14">
      <c r="A335" s="284">
        <v>45790</v>
      </c>
      <c r="B335" s="105">
        <v>27</v>
      </c>
      <c r="C335" s="285">
        <v>45789</v>
      </c>
      <c r="D335" s="108"/>
      <c r="E335" s="108"/>
      <c r="F335" s="110" t="s">
        <v>432</v>
      </c>
      <c r="G335" s="107">
        <v>1</v>
      </c>
      <c r="H335" s="107">
        <v>3</v>
      </c>
      <c r="I335" s="282">
        <f t="shared" si="38"/>
        <v>3</v>
      </c>
      <c r="J335" s="109">
        <v>23</v>
      </c>
      <c r="K335" s="135">
        <f t="shared" si="39"/>
        <v>69</v>
      </c>
      <c r="L335" s="110"/>
      <c r="M335" s="108"/>
      <c r="N335" s="111"/>
    </row>
    <row r="336" s="1" customFormat="1" ht="20.25" spans="1:14">
      <c r="A336" s="284">
        <v>45790</v>
      </c>
      <c r="B336" s="105">
        <v>27</v>
      </c>
      <c r="C336" s="285">
        <v>45789</v>
      </c>
      <c r="D336" s="108"/>
      <c r="E336" s="108"/>
      <c r="F336" s="110" t="s">
        <v>787</v>
      </c>
      <c r="G336" s="107">
        <v>1</v>
      </c>
      <c r="H336" s="107">
        <v>40</v>
      </c>
      <c r="I336" s="282">
        <f t="shared" si="38"/>
        <v>40</v>
      </c>
      <c r="J336" s="109">
        <v>40</v>
      </c>
      <c r="K336" s="135">
        <f t="shared" si="39"/>
        <v>1600</v>
      </c>
      <c r="L336" s="110" t="s">
        <v>815</v>
      </c>
      <c r="M336" s="108"/>
      <c r="N336" s="111"/>
    </row>
    <row r="337" s="1" customFormat="1" ht="20.25" spans="1:14">
      <c r="A337" s="284">
        <v>45790</v>
      </c>
      <c r="B337" s="105">
        <v>27</v>
      </c>
      <c r="C337" s="285">
        <v>45789</v>
      </c>
      <c r="D337" s="108"/>
      <c r="E337" s="108"/>
      <c r="F337" s="110" t="s">
        <v>633</v>
      </c>
      <c r="G337" s="107">
        <v>1</v>
      </c>
      <c r="H337" s="107">
        <v>3</v>
      </c>
      <c r="I337" s="282">
        <f t="shared" si="38"/>
        <v>3</v>
      </c>
      <c r="J337" s="109">
        <v>40</v>
      </c>
      <c r="K337" s="135">
        <f t="shared" si="39"/>
        <v>120</v>
      </c>
      <c r="L337" s="110"/>
      <c r="M337" s="110"/>
      <c r="N337" s="111"/>
    </row>
    <row r="338" s="245" customFormat="1" ht="20.25" spans="1:14">
      <c r="A338" s="284">
        <v>45790</v>
      </c>
      <c r="B338" s="105">
        <v>27</v>
      </c>
      <c r="C338" s="285">
        <v>45789</v>
      </c>
      <c r="D338" s="108"/>
      <c r="E338" s="108"/>
      <c r="F338" s="245" t="s">
        <v>816</v>
      </c>
      <c r="G338" s="108">
        <v>1</v>
      </c>
      <c r="H338" s="108">
        <v>20</v>
      </c>
      <c r="I338" s="282">
        <f t="shared" si="38"/>
        <v>20</v>
      </c>
      <c r="J338" s="109">
        <v>16</v>
      </c>
      <c r="K338" s="135">
        <f t="shared" si="39"/>
        <v>320</v>
      </c>
      <c r="L338" s="287" t="s">
        <v>817</v>
      </c>
      <c r="M338" s="289" t="s">
        <v>818</v>
      </c>
      <c r="N338" s="111"/>
    </row>
    <row r="339" s="245" customFormat="1" ht="20.25" spans="1:14">
      <c r="A339" s="284">
        <v>45790</v>
      </c>
      <c r="B339" s="105">
        <v>27</v>
      </c>
      <c r="C339" s="285">
        <v>45789</v>
      </c>
      <c r="D339" s="108"/>
      <c r="E339" s="108"/>
      <c r="F339" s="245" t="s">
        <v>819</v>
      </c>
      <c r="G339" s="108">
        <v>1</v>
      </c>
      <c r="H339" s="108">
        <f>SUM(H327:H338)</f>
        <v>1011.2</v>
      </c>
      <c r="I339" s="290">
        <f t="shared" si="38"/>
        <v>1011.2</v>
      </c>
      <c r="J339" s="109">
        <v>2</v>
      </c>
      <c r="K339" s="135">
        <f t="shared" si="39"/>
        <v>2022.4</v>
      </c>
      <c r="L339" s="287"/>
      <c r="M339" s="288"/>
      <c r="N339" s="111"/>
    </row>
    <row r="340" s="245" customFormat="1" ht="20.25" spans="1:14">
      <c r="A340" s="284">
        <v>45790</v>
      </c>
      <c r="B340" s="105">
        <v>27</v>
      </c>
      <c r="C340" s="285">
        <v>45789</v>
      </c>
      <c r="D340" s="108"/>
      <c r="E340" s="108"/>
      <c r="F340" s="245" t="s">
        <v>820</v>
      </c>
      <c r="G340" s="108">
        <v>62</v>
      </c>
      <c r="H340" s="108">
        <v>1</v>
      </c>
      <c r="I340" s="290">
        <f t="shared" si="38"/>
        <v>62</v>
      </c>
      <c r="J340" s="109">
        <v>12.5</v>
      </c>
      <c r="K340" s="135">
        <f t="shared" si="39"/>
        <v>775</v>
      </c>
      <c r="L340" s="287">
        <f>SUM(K327:K340)</f>
        <v>7381.3</v>
      </c>
      <c r="M340" s="288"/>
      <c r="N340" s="111"/>
    </row>
    <row r="341" s="243" customFormat="1" ht="20.25" spans="1:14">
      <c r="A341" s="263">
        <v>45790</v>
      </c>
      <c r="B341" s="127">
        <v>28</v>
      </c>
      <c r="C341" s="258">
        <v>45789</v>
      </c>
      <c r="D341" s="136"/>
      <c r="E341" s="136"/>
      <c r="F341" s="243" t="s">
        <v>688</v>
      </c>
      <c r="G341" s="136">
        <v>1</v>
      </c>
      <c r="H341" s="136">
        <v>60</v>
      </c>
      <c r="I341" s="282">
        <f t="shared" si="38"/>
        <v>60</v>
      </c>
      <c r="J341" s="135">
        <v>12</v>
      </c>
      <c r="K341" s="135">
        <f t="shared" si="39"/>
        <v>720</v>
      </c>
      <c r="L341" s="283"/>
      <c r="M341" s="278"/>
      <c r="N341" s="132"/>
    </row>
    <row r="342" s="243" customFormat="1" ht="20.25" spans="1:14">
      <c r="A342" s="263">
        <v>45790</v>
      </c>
      <c r="B342" s="127">
        <v>28</v>
      </c>
      <c r="C342" s="258">
        <v>45789</v>
      </c>
      <c r="D342" s="136"/>
      <c r="E342" s="136"/>
      <c r="F342" s="243" t="s">
        <v>309</v>
      </c>
      <c r="G342" s="136">
        <v>1</v>
      </c>
      <c r="H342" s="136">
        <v>75</v>
      </c>
      <c r="I342" s="282">
        <f t="shared" si="38"/>
        <v>75</v>
      </c>
      <c r="J342" s="135">
        <v>15</v>
      </c>
      <c r="K342" s="135">
        <f t="shared" si="39"/>
        <v>1125</v>
      </c>
      <c r="L342" s="283"/>
      <c r="M342" s="278"/>
      <c r="N342" s="132"/>
    </row>
    <row r="343" s="243" customFormat="1" ht="20.25" spans="1:14">
      <c r="A343" s="263">
        <v>45790</v>
      </c>
      <c r="B343" s="127">
        <v>28</v>
      </c>
      <c r="C343" s="258">
        <v>45789</v>
      </c>
      <c r="D343" s="136"/>
      <c r="E343" s="136"/>
      <c r="F343" s="243" t="s">
        <v>434</v>
      </c>
      <c r="G343" s="136">
        <v>1</v>
      </c>
      <c r="H343" s="136">
        <v>15</v>
      </c>
      <c r="I343" s="282">
        <f t="shared" si="38"/>
        <v>15</v>
      </c>
      <c r="J343" s="135">
        <v>6.9</v>
      </c>
      <c r="K343" s="135">
        <f t="shared" si="39"/>
        <v>103.5</v>
      </c>
      <c r="L343" s="283"/>
      <c r="M343" s="278"/>
      <c r="N343" s="132"/>
    </row>
    <row r="344" s="243" customFormat="1" ht="20.25" spans="1:14">
      <c r="A344" s="263">
        <v>45790</v>
      </c>
      <c r="B344" s="127">
        <v>28</v>
      </c>
      <c r="C344" s="258">
        <v>45789</v>
      </c>
      <c r="D344" s="136"/>
      <c r="E344" s="136"/>
      <c r="F344" s="243" t="s">
        <v>821</v>
      </c>
      <c r="G344" s="136">
        <v>1</v>
      </c>
      <c r="H344" s="136">
        <f>SUM(H341:H343)</f>
        <v>150</v>
      </c>
      <c r="I344" s="282">
        <f t="shared" si="38"/>
        <v>150</v>
      </c>
      <c r="J344" s="135">
        <v>2</v>
      </c>
      <c r="K344" s="135">
        <f t="shared" si="39"/>
        <v>300</v>
      </c>
      <c r="L344" s="283">
        <f>SUM(K341:K344)</f>
        <v>2248.5</v>
      </c>
      <c r="M344" s="278"/>
      <c r="N344" s="132"/>
    </row>
    <row r="345" s="245" customFormat="1" ht="20.25" spans="1:14">
      <c r="A345" s="284">
        <v>45790</v>
      </c>
      <c r="B345" s="105">
        <v>29</v>
      </c>
      <c r="C345" s="285">
        <v>45789</v>
      </c>
      <c r="D345" s="108"/>
      <c r="E345" s="108"/>
      <c r="F345" s="286" t="s">
        <v>688</v>
      </c>
      <c r="G345" s="108">
        <v>1</v>
      </c>
      <c r="H345" s="108">
        <v>216</v>
      </c>
      <c r="I345" s="290">
        <f t="shared" si="38"/>
        <v>216</v>
      </c>
      <c r="J345" s="109">
        <v>12</v>
      </c>
      <c r="K345" s="109"/>
      <c r="L345" s="287"/>
      <c r="M345" s="288"/>
      <c r="N345" s="111"/>
    </row>
    <row r="346" s="245" customFormat="1" ht="20.25" spans="1:14">
      <c r="A346" s="284">
        <v>45790</v>
      </c>
      <c r="B346" s="105">
        <v>29</v>
      </c>
      <c r="C346" s="285">
        <v>45789</v>
      </c>
      <c r="D346" s="108"/>
      <c r="E346" s="108"/>
      <c r="F346" s="245" t="s">
        <v>120</v>
      </c>
      <c r="G346" s="108">
        <v>1</v>
      </c>
      <c r="H346" s="108">
        <v>11</v>
      </c>
      <c r="I346" s="290">
        <f t="shared" ref="I346:I358" si="40">G346*H346</f>
        <v>11</v>
      </c>
      <c r="J346" s="109">
        <v>17</v>
      </c>
      <c r="K346" s="109">
        <f>I346*J346</f>
        <v>187</v>
      </c>
      <c r="L346" s="287"/>
      <c r="M346" s="288"/>
      <c r="N346" s="111"/>
    </row>
    <row r="347" s="245" customFormat="1" ht="20.25" spans="1:14">
      <c r="A347" s="284">
        <v>45790</v>
      </c>
      <c r="B347" s="105">
        <v>29</v>
      </c>
      <c r="C347" s="285">
        <v>45789</v>
      </c>
      <c r="D347" s="108"/>
      <c r="E347" s="108"/>
      <c r="F347" s="245" t="s">
        <v>121</v>
      </c>
      <c r="G347" s="108">
        <v>1</v>
      </c>
      <c r="H347" s="108">
        <v>48</v>
      </c>
      <c r="I347" s="290">
        <f t="shared" si="40"/>
        <v>48</v>
      </c>
      <c r="J347" s="109">
        <v>0.6</v>
      </c>
      <c r="K347" s="109">
        <f>I347*J347</f>
        <v>28.8</v>
      </c>
      <c r="L347" s="287"/>
      <c r="M347" s="288"/>
      <c r="N347" s="111"/>
    </row>
    <row r="348" s="245" customFormat="1" ht="20.25" spans="1:14">
      <c r="A348" s="284">
        <v>45790</v>
      </c>
      <c r="B348" s="105">
        <v>29</v>
      </c>
      <c r="C348" s="285">
        <v>45789</v>
      </c>
      <c r="D348" s="108"/>
      <c r="E348" s="108"/>
      <c r="F348" s="245" t="s">
        <v>122</v>
      </c>
      <c r="G348" s="108">
        <v>1</v>
      </c>
      <c r="H348" s="108">
        <v>164</v>
      </c>
      <c r="I348" s="290">
        <f t="shared" si="40"/>
        <v>164</v>
      </c>
      <c r="J348" s="109">
        <v>6.8</v>
      </c>
      <c r="K348" s="109">
        <f>I348*J348</f>
        <v>1115.2</v>
      </c>
      <c r="L348" s="287"/>
      <c r="M348" s="288"/>
      <c r="N348" s="111"/>
    </row>
    <row r="349" s="245" customFormat="1" ht="20.25" spans="1:14">
      <c r="A349" s="284">
        <v>45790</v>
      </c>
      <c r="B349" s="105">
        <v>29</v>
      </c>
      <c r="C349" s="285">
        <v>45789</v>
      </c>
      <c r="D349" s="108"/>
      <c r="E349" s="108"/>
      <c r="F349" s="245" t="s">
        <v>434</v>
      </c>
      <c r="G349" s="108">
        <v>1</v>
      </c>
      <c r="H349" s="108">
        <v>22</v>
      </c>
      <c r="I349" s="290">
        <f t="shared" si="40"/>
        <v>22</v>
      </c>
      <c r="J349" s="109">
        <v>6.9</v>
      </c>
      <c r="K349" s="109">
        <f>I349*J349</f>
        <v>151.8</v>
      </c>
      <c r="L349" s="287"/>
      <c r="M349" s="288"/>
      <c r="N349" s="111"/>
    </row>
    <row r="350" s="245" customFormat="1" ht="20.25" spans="1:14">
      <c r="A350" s="284">
        <v>45790</v>
      </c>
      <c r="B350" s="105">
        <v>29</v>
      </c>
      <c r="C350" s="285">
        <v>45789</v>
      </c>
      <c r="D350" s="108"/>
      <c r="E350" s="108"/>
      <c r="F350" s="245" t="s">
        <v>810</v>
      </c>
      <c r="G350" s="108">
        <v>1</v>
      </c>
      <c r="H350" s="108">
        <v>83</v>
      </c>
      <c r="I350" s="290">
        <f t="shared" si="40"/>
        <v>83</v>
      </c>
      <c r="J350" s="109">
        <v>3.6</v>
      </c>
      <c r="K350" s="109">
        <f>I350*J350</f>
        <v>298.8</v>
      </c>
      <c r="L350" s="287"/>
      <c r="M350" s="288"/>
      <c r="N350" s="111"/>
    </row>
    <row r="351" s="245" customFormat="1" ht="20.25" spans="1:14">
      <c r="A351" s="284">
        <v>45790</v>
      </c>
      <c r="B351" s="105">
        <v>29</v>
      </c>
      <c r="C351" s="285">
        <v>45789</v>
      </c>
      <c r="D351" s="108"/>
      <c r="E351" s="108"/>
      <c r="F351" s="245" t="s">
        <v>811</v>
      </c>
      <c r="G351" s="108">
        <v>1</v>
      </c>
      <c r="H351" s="108">
        <v>55</v>
      </c>
      <c r="I351" s="290">
        <f t="shared" si="40"/>
        <v>55</v>
      </c>
      <c r="J351" s="109">
        <v>10</v>
      </c>
      <c r="K351" s="109"/>
      <c r="L351" s="287" t="s">
        <v>812</v>
      </c>
      <c r="M351" s="288"/>
      <c r="N351" s="111"/>
    </row>
    <row r="352" s="1" customFormat="1" ht="20.25" spans="1:14">
      <c r="A352" s="284">
        <v>45790</v>
      </c>
      <c r="B352" s="105">
        <v>29</v>
      </c>
      <c r="C352" s="285">
        <v>45789</v>
      </c>
      <c r="D352" s="108"/>
      <c r="E352" s="108"/>
      <c r="F352" s="110" t="s">
        <v>432</v>
      </c>
      <c r="G352" s="107">
        <v>1</v>
      </c>
      <c r="H352" s="107">
        <v>1.5</v>
      </c>
      <c r="I352" s="290">
        <f t="shared" si="40"/>
        <v>1.5</v>
      </c>
      <c r="J352" s="109">
        <v>23</v>
      </c>
      <c r="K352" s="109">
        <f>I352*J352</f>
        <v>34.5</v>
      </c>
      <c r="L352" s="110"/>
      <c r="M352" s="108"/>
      <c r="N352" s="111"/>
    </row>
    <row r="353" s="1" customFormat="1" ht="20.25" spans="1:14">
      <c r="A353" s="284">
        <v>45790</v>
      </c>
      <c r="B353" s="105">
        <v>29</v>
      </c>
      <c r="C353" s="285">
        <v>45789</v>
      </c>
      <c r="D353" s="108"/>
      <c r="E353" s="108"/>
      <c r="F353" s="110" t="s">
        <v>787</v>
      </c>
      <c r="G353" s="107">
        <v>1</v>
      </c>
      <c r="H353" s="107">
        <v>20</v>
      </c>
      <c r="I353" s="290">
        <f t="shared" si="40"/>
        <v>20</v>
      </c>
      <c r="J353" s="109">
        <v>40</v>
      </c>
      <c r="K353" s="109">
        <f>I353*J353</f>
        <v>800</v>
      </c>
      <c r="L353" s="110" t="s">
        <v>822</v>
      </c>
      <c r="M353" s="108"/>
      <c r="N353" s="111"/>
    </row>
    <row r="354" s="1" customFormat="1" ht="20.25" spans="1:14">
      <c r="A354" s="284">
        <v>45790</v>
      </c>
      <c r="B354" s="105">
        <v>29</v>
      </c>
      <c r="C354" s="285">
        <v>45789</v>
      </c>
      <c r="D354" s="108"/>
      <c r="E354" s="108"/>
      <c r="F354" s="110" t="s">
        <v>633</v>
      </c>
      <c r="G354" s="107">
        <v>1</v>
      </c>
      <c r="H354" s="107">
        <v>10.4</v>
      </c>
      <c r="I354" s="290">
        <f t="shared" si="40"/>
        <v>10.4</v>
      </c>
      <c r="J354" s="109">
        <v>40</v>
      </c>
      <c r="K354" s="109">
        <f>I354*J354</f>
        <v>416</v>
      </c>
      <c r="L354" s="110"/>
      <c r="M354" s="110"/>
      <c r="N354" s="111"/>
    </row>
    <row r="355" s="245" customFormat="1" ht="20.25" spans="1:14">
      <c r="A355" s="284">
        <v>45790</v>
      </c>
      <c r="B355" s="105">
        <v>29</v>
      </c>
      <c r="C355" s="285">
        <v>45789</v>
      </c>
      <c r="D355" s="108"/>
      <c r="E355" s="108"/>
      <c r="F355" s="245" t="s">
        <v>124</v>
      </c>
      <c r="G355" s="108">
        <v>1</v>
      </c>
      <c r="H355" s="108">
        <v>76</v>
      </c>
      <c r="I355" s="290">
        <f t="shared" si="40"/>
        <v>76</v>
      </c>
      <c r="J355" s="109">
        <v>15</v>
      </c>
      <c r="K355" s="109"/>
      <c r="L355" s="287" t="s">
        <v>823</v>
      </c>
      <c r="M355" s="288" t="s">
        <v>824</v>
      </c>
      <c r="N355" s="111"/>
    </row>
    <row r="356" s="245" customFormat="1" ht="20.25" spans="1:14">
      <c r="A356" s="284">
        <v>45790</v>
      </c>
      <c r="B356" s="105">
        <v>29</v>
      </c>
      <c r="C356" s="285">
        <v>45789</v>
      </c>
      <c r="D356" s="108"/>
      <c r="E356" s="108"/>
      <c r="F356" s="245" t="s">
        <v>825</v>
      </c>
      <c r="G356" s="108">
        <v>1</v>
      </c>
      <c r="H356" s="108">
        <f>SUM(H345:H355)</f>
        <v>706.9</v>
      </c>
      <c r="I356" s="290">
        <f t="shared" si="40"/>
        <v>706.9</v>
      </c>
      <c r="J356" s="109">
        <v>2</v>
      </c>
      <c r="K356" s="109">
        <f>I356*J356</f>
        <v>1413.8</v>
      </c>
      <c r="L356" s="287"/>
      <c r="M356" s="288"/>
      <c r="N356" s="111"/>
    </row>
    <row r="357" s="245" customFormat="1" ht="20.25" spans="1:14">
      <c r="A357" s="284">
        <v>45790</v>
      </c>
      <c r="B357" s="105">
        <v>29</v>
      </c>
      <c r="C357" s="285">
        <v>45789</v>
      </c>
      <c r="D357" s="108"/>
      <c r="E357" s="108"/>
      <c r="F357" s="245" t="s">
        <v>128</v>
      </c>
      <c r="G357" s="108">
        <v>43</v>
      </c>
      <c r="H357" s="108">
        <v>1</v>
      </c>
      <c r="I357" s="290">
        <f t="shared" si="40"/>
        <v>43</v>
      </c>
      <c r="J357" s="109">
        <v>12.5</v>
      </c>
      <c r="K357" s="109">
        <f>I357*J357</f>
        <v>537.5</v>
      </c>
      <c r="L357" s="287">
        <f>SUM(K345:K357)</f>
        <v>4983.4</v>
      </c>
      <c r="M357" s="288"/>
      <c r="N357" s="111"/>
    </row>
    <row r="358" s="243" customFormat="1" ht="20.25" spans="1:14">
      <c r="A358" s="263">
        <v>45790</v>
      </c>
      <c r="B358" s="127">
        <v>30</v>
      </c>
      <c r="C358" s="258">
        <v>45789</v>
      </c>
      <c r="D358" s="136"/>
      <c r="E358" s="136"/>
      <c r="F358" s="264" t="s">
        <v>688</v>
      </c>
      <c r="G358" s="136">
        <v>1</v>
      </c>
      <c r="H358" s="136">
        <v>183</v>
      </c>
      <c r="I358" s="282">
        <f t="shared" si="40"/>
        <v>183</v>
      </c>
      <c r="J358" s="135">
        <v>12</v>
      </c>
      <c r="K358" s="135"/>
      <c r="L358" s="283"/>
      <c r="M358" s="278"/>
      <c r="N358" s="132"/>
    </row>
    <row r="359" s="243" customFormat="1" ht="20.25" spans="1:14">
      <c r="A359" s="263">
        <v>45790</v>
      </c>
      <c r="B359" s="127">
        <v>30</v>
      </c>
      <c r="C359" s="258">
        <v>45789</v>
      </c>
      <c r="D359" s="136"/>
      <c r="E359" s="136"/>
      <c r="F359" s="243" t="s">
        <v>120</v>
      </c>
      <c r="G359" s="136">
        <v>1</v>
      </c>
      <c r="H359" s="136">
        <v>10.2</v>
      </c>
      <c r="I359" s="282">
        <f t="shared" ref="I359:I371" si="41">G359*H359</f>
        <v>10.2</v>
      </c>
      <c r="J359" s="135">
        <v>17</v>
      </c>
      <c r="K359" s="135">
        <f t="shared" ref="K359:K370" si="42">I359*J359</f>
        <v>173.4</v>
      </c>
      <c r="L359" s="283"/>
      <c r="M359" s="278"/>
      <c r="N359" s="132"/>
    </row>
    <row r="360" s="243" customFormat="1" ht="20.25" spans="1:14">
      <c r="A360" s="263">
        <v>45790</v>
      </c>
      <c r="B360" s="127">
        <v>30</v>
      </c>
      <c r="C360" s="258">
        <v>45789</v>
      </c>
      <c r="D360" s="136"/>
      <c r="E360" s="136"/>
      <c r="F360" s="243" t="s">
        <v>121</v>
      </c>
      <c r="G360" s="136">
        <v>1</v>
      </c>
      <c r="H360" s="136">
        <v>40</v>
      </c>
      <c r="I360" s="282">
        <f t="shared" si="41"/>
        <v>40</v>
      </c>
      <c r="J360" s="135">
        <v>0.6</v>
      </c>
      <c r="K360" s="135">
        <f t="shared" si="42"/>
        <v>24</v>
      </c>
      <c r="L360" s="283"/>
      <c r="M360" s="136">
        <v>66</v>
      </c>
      <c r="N360" s="132"/>
    </row>
    <row r="361" s="243" customFormat="1" ht="20.25" spans="1:14">
      <c r="A361" s="263">
        <v>45790</v>
      </c>
      <c r="B361" s="127">
        <v>30</v>
      </c>
      <c r="C361" s="258">
        <v>45789</v>
      </c>
      <c r="D361" s="136"/>
      <c r="E361" s="136"/>
      <c r="F361" s="243" t="s">
        <v>122</v>
      </c>
      <c r="G361" s="136">
        <v>1</v>
      </c>
      <c r="H361" s="136">
        <v>129</v>
      </c>
      <c r="I361" s="282">
        <f t="shared" si="41"/>
        <v>129</v>
      </c>
      <c r="J361" s="135">
        <v>6.8</v>
      </c>
      <c r="K361" s="135">
        <f t="shared" si="42"/>
        <v>877.2</v>
      </c>
      <c r="L361" s="283"/>
      <c r="M361" s="136">
        <v>90</v>
      </c>
      <c r="N361" s="132"/>
    </row>
    <row r="362" s="243" customFormat="1" ht="20.25" spans="1:14">
      <c r="A362" s="263">
        <v>45790</v>
      </c>
      <c r="B362" s="127">
        <v>30</v>
      </c>
      <c r="C362" s="258">
        <v>45789</v>
      </c>
      <c r="D362" s="136"/>
      <c r="E362" s="136"/>
      <c r="F362" s="243" t="s">
        <v>434</v>
      </c>
      <c r="G362" s="136">
        <v>1</v>
      </c>
      <c r="H362" s="136">
        <v>10</v>
      </c>
      <c r="I362" s="282">
        <f t="shared" si="41"/>
        <v>10</v>
      </c>
      <c r="J362" s="135">
        <v>6.9</v>
      </c>
      <c r="K362" s="135">
        <f t="shared" si="42"/>
        <v>69</v>
      </c>
      <c r="L362" s="283" t="s">
        <v>826</v>
      </c>
      <c r="M362" s="278"/>
      <c r="N362" s="132"/>
    </row>
    <row r="363" s="243" customFormat="1" ht="20.25" spans="1:14">
      <c r="A363" s="263">
        <v>45790</v>
      </c>
      <c r="B363" s="127">
        <v>30</v>
      </c>
      <c r="C363" s="258">
        <v>45789</v>
      </c>
      <c r="D363" s="136"/>
      <c r="E363" s="136"/>
      <c r="F363" s="243" t="s">
        <v>810</v>
      </c>
      <c r="G363" s="136">
        <v>1</v>
      </c>
      <c r="H363" s="136">
        <v>73</v>
      </c>
      <c r="I363" s="282">
        <f t="shared" si="41"/>
        <v>73</v>
      </c>
      <c r="J363" s="135">
        <v>3.6</v>
      </c>
      <c r="K363" s="135">
        <f t="shared" si="42"/>
        <v>262.8</v>
      </c>
      <c r="L363" s="283"/>
      <c r="M363" s="278"/>
      <c r="N363" s="132"/>
    </row>
    <row r="364" s="243" customFormat="1" ht="20.25" spans="1:14">
      <c r="A364" s="263">
        <v>45790</v>
      </c>
      <c r="B364" s="127">
        <v>30</v>
      </c>
      <c r="C364" s="258">
        <v>45789</v>
      </c>
      <c r="D364" s="136"/>
      <c r="E364" s="136"/>
      <c r="F364" s="243" t="s">
        <v>811</v>
      </c>
      <c r="G364" s="136">
        <v>1</v>
      </c>
      <c r="H364" s="136">
        <v>48</v>
      </c>
      <c r="I364" s="282">
        <f t="shared" si="41"/>
        <v>48</v>
      </c>
      <c r="J364" s="135">
        <v>10</v>
      </c>
      <c r="K364" s="135"/>
      <c r="L364" s="283" t="s">
        <v>812</v>
      </c>
      <c r="M364" s="278"/>
      <c r="N364" s="132"/>
    </row>
    <row r="365" s="2" customFormat="1" ht="20.25" spans="1:14">
      <c r="A365" s="263">
        <v>45790</v>
      </c>
      <c r="B365" s="127">
        <v>30</v>
      </c>
      <c r="C365" s="258">
        <v>45789</v>
      </c>
      <c r="D365" s="136"/>
      <c r="E365" s="136"/>
      <c r="F365" s="131" t="s">
        <v>432</v>
      </c>
      <c r="G365" s="134">
        <v>1</v>
      </c>
      <c r="H365" s="134">
        <v>0.3</v>
      </c>
      <c r="I365" s="282">
        <f t="shared" si="41"/>
        <v>0.3</v>
      </c>
      <c r="J365" s="135">
        <v>23</v>
      </c>
      <c r="K365" s="135">
        <f t="shared" si="42"/>
        <v>6.9</v>
      </c>
      <c r="L365" s="131"/>
      <c r="M365" s="136"/>
      <c r="N365" s="132"/>
    </row>
    <row r="366" s="2" customFormat="1" ht="20.25" spans="1:14">
      <c r="A366" s="263">
        <v>45790</v>
      </c>
      <c r="B366" s="127">
        <v>30</v>
      </c>
      <c r="C366" s="258">
        <v>45789</v>
      </c>
      <c r="D366" s="136"/>
      <c r="E366" s="136"/>
      <c r="F366" s="131" t="s">
        <v>787</v>
      </c>
      <c r="G366" s="134">
        <v>1</v>
      </c>
      <c r="H366" s="134">
        <v>47</v>
      </c>
      <c r="I366" s="282">
        <f t="shared" si="41"/>
        <v>47</v>
      </c>
      <c r="J366" s="135">
        <v>40</v>
      </c>
      <c r="K366" s="135">
        <f t="shared" si="42"/>
        <v>1880</v>
      </c>
      <c r="L366" s="131"/>
      <c r="M366" s="136"/>
      <c r="N366" s="132"/>
    </row>
    <row r="367" s="2" customFormat="1" ht="20.25" spans="1:14">
      <c r="A367" s="263">
        <v>45790</v>
      </c>
      <c r="B367" s="127">
        <v>30</v>
      </c>
      <c r="C367" s="258">
        <v>45789</v>
      </c>
      <c r="D367" s="136"/>
      <c r="E367" s="136"/>
      <c r="F367" s="131" t="s">
        <v>632</v>
      </c>
      <c r="G367" s="134">
        <v>1</v>
      </c>
      <c r="H367" s="134">
        <v>0.3</v>
      </c>
      <c r="I367" s="282">
        <f t="shared" si="41"/>
        <v>0.3</v>
      </c>
      <c r="J367" s="135">
        <v>50</v>
      </c>
      <c r="K367" s="135">
        <f t="shared" si="42"/>
        <v>15</v>
      </c>
      <c r="L367" s="131"/>
      <c r="M367" s="131"/>
      <c r="N367" s="132"/>
    </row>
    <row r="368" s="243" customFormat="1" ht="20.25" spans="1:14">
      <c r="A368" s="263">
        <v>45790</v>
      </c>
      <c r="B368" s="127">
        <v>30</v>
      </c>
      <c r="C368" s="258">
        <v>45789</v>
      </c>
      <c r="D368" s="136"/>
      <c r="E368" s="136"/>
      <c r="F368" s="243" t="s">
        <v>124</v>
      </c>
      <c r="G368" s="136">
        <v>1</v>
      </c>
      <c r="H368" s="136">
        <v>5</v>
      </c>
      <c r="I368" s="282">
        <f t="shared" si="41"/>
        <v>5</v>
      </c>
      <c r="J368" s="135">
        <v>15</v>
      </c>
      <c r="K368" s="135"/>
      <c r="L368" s="283" t="s">
        <v>827</v>
      </c>
      <c r="M368" s="278"/>
      <c r="N368" s="132"/>
    </row>
    <row r="369" s="243" customFormat="1" ht="20.25" spans="1:14">
      <c r="A369" s="263">
        <v>45790</v>
      </c>
      <c r="B369" s="127">
        <v>30</v>
      </c>
      <c r="C369" s="258">
        <v>45789</v>
      </c>
      <c r="D369" s="136"/>
      <c r="E369" s="136"/>
      <c r="F369" s="243" t="s">
        <v>828</v>
      </c>
      <c r="G369" s="136">
        <v>1</v>
      </c>
      <c r="H369" s="136">
        <f>SUM(H358:H368)</f>
        <v>545.8</v>
      </c>
      <c r="I369" s="282">
        <f t="shared" si="41"/>
        <v>545.8</v>
      </c>
      <c r="J369" s="135">
        <v>2</v>
      </c>
      <c r="K369" s="135">
        <f t="shared" si="42"/>
        <v>1091.6</v>
      </c>
      <c r="L369" s="283" t="s">
        <v>829</v>
      </c>
      <c r="M369" s="278"/>
      <c r="N369" s="132"/>
    </row>
    <row r="370" s="243" customFormat="1" ht="20.25" spans="1:14">
      <c r="A370" s="263">
        <v>45790</v>
      </c>
      <c r="B370" s="127">
        <v>30</v>
      </c>
      <c r="C370" s="258">
        <v>45789</v>
      </c>
      <c r="D370" s="136"/>
      <c r="E370" s="136"/>
      <c r="F370" s="243" t="s">
        <v>128</v>
      </c>
      <c r="G370" s="136">
        <v>33</v>
      </c>
      <c r="H370" s="136">
        <v>1</v>
      </c>
      <c r="I370" s="282">
        <f t="shared" si="41"/>
        <v>33</v>
      </c>
      <c r="J370" s="135">
        <v>12.5</v>
      </c>
      <c r="K370" s="135">
        <f t="shared" si="42"/>
        <v>412.5</v>
      </c>
      <c r="L370" s="283">
        <f>SUM(K358:K370)</f>
        <v>4812.4</v>
      </c>
      <c r="M370" s="278"/>
      <c r="N370" s="132"/>
    </row>
    <row r="371" s="245" customFormat="1" ht="20.25" spans="1:14">
      <c r="A371" s="284">
        <v>45790</v>
      </c>
      <c r="B371" s="105">
        <v>31</v>
      </c>
      <c r="C371" s="285">
        <v>45789</v>
      </c>
      <c r="D371" s="108"/>
      <c r="E371" s="108"/>
      <c r="F371" s="286" t="s">
        <v>688</v>
      </c>
      <c r="G371" s="108">
        <v>1</v>
      </c>
      <c r="H371" s="274">
        <v>168</v>
      </c>
      <c r="I371" s="290">
        <f t="shared" si="41"/>
        <v>168</v>
      </c>
      <c r="J371" s="109">
        <v>12</v>
      </c>
      <c r="K371" s="109"/>
      <c r="L371" s="287"/>
      <c r="M371" s="288"/>
      <c r="N371" s="111"/>
    </row>
    <row r="372" s="245" customFormat="1" ht="20.25" spans="1:14">
      <c r="A372" s="284">
        <v>45790</v>
      </c>
      <c r="B372" s="105">
        <v>31</v>
      </c>
      <c r="C372" s="285">
        <v>45789</v>
      </c>
      <c r="D372" s="108"/>
      <c r="E372" s="108"/>
      <c r="F372" s="245" t="s">
        <v>120</v>
      </c>
      <c r="G372" s="108">
        <v>1</v>
      </c>
      <c r="H372" s="108">
        <v>9</v>
      </c>
      <c r="I372" s="290">
        <f t="shared" ref="I372:I383" si="43">G372*H372</f>
        <v>9</v>
      </c>
      <c r="J372" s="109">
        <v>17</v>
      </c>
      <c r="K372" s="109">
        <f t="shared" ref="K372:K377" si="44">I372*J372</f>
        <v>153</v>
      </c>
      <c r="L372" s="287"/>
      <c r="M372" s="288"/>
      <c r="N372" s="111"/>
    </row>
    <row r="373" s="245" customFormat="1" ht="20.25" spans="1:14">
      <c r="A373" s="284">
        <v>45790</v>
      </c>
      <c r="B373" s="105">
        <v>31</v>
      </c>
      <c r="C373" s="285">
        <v>45789</v>
      </c>
      <c r="D373" s="108"/>
      <c r="E373" s="108"/>
      <c r="F373" s="245" t="s">
        <v>121</v>
      </c>
      <c r="G373" s="108">
        <v>1</v>
      </c>
      <c r="H373" s="108">
        <v>37</v>
      </c>
      <c r="I373" s="290">
        <f t="shared" si="43"/>
        <v>37</v>
      </c>
      <c r="J373" s="109">
        <v>0.6</v>
      </c>
      <c r="K373" s="109">
        <f t="shared" si="44"/>
        <v>22.2</v>
      </c>
      <c r="L373" s="287"/>
      <c r="M373" s="288"/>
      <c r="N373" s="111"/>
    </row>
    <row r="374" s="245" customFormat="1" ht="20.25" spans="1:14">
      <c r="A374" s="284">
        <v>45790</v>
      </c>
      <c r="B374" s="105">
        <v>31</v>
      </c>
      <c r="C374" s="285">
        <v>45789</v>
      </c>
      <c r="D374" s="108"/>
      <c r="E374" s="108"/>
      <c r="F374" s="245" t="s">
        <v>122</v>
      </c>
      <c r="G374" s="108">
        <v>1</v>
      </c>
      <c r="H374" s="108">
        <v>124</v>
      </c>
      <c r="I374" s="290">
        <f t="shared" si="43"/>
        <v>124</v>
      </c>
      <c r="J374" s="109">
        <v>6.8</v>
      </c>
      <c r="K374" s="109">
        <f t="shared" si="44"/>
        <v>843.2</v>
      </c>
      <c r="L374" s="287"/>
      <c r="M374" s="288"/>
      <c r="N374" s="111"/>
    </row>
    <row r="375" s="245" customFormat="1" ht="20.25" spans="1:14">
      <c r="A375" s="284">
        <v>45790</v>
      </c>
      <c r="B375" s="105">
        <v>31</v>
      </c>
      <c r="C375" s="285">
        <v>45789</v>
      </c>
      <c r="D375" s="108"/>
      <c r="E375" s="108"/>
      <c r="F375" s="245" t="s">
        <v>434</v>
      </c>
      <c r="G375" s="108">
        <v>1</v>
      </c>
      <c r="H375" s="108">
        <v>13</v>
      </c>
      <c r="I375" s="290">
        <f t="shared" si="43"/>
        <v>13</v>
      </c>
      <c r="J375" s="109">
        <v>6.9</v>
      </c>
      <c r="K375" s="109">
        <f t="shared" si="44"/>
        <v>89.7</v>
      </c>
      <c r="L375" s="287" t="s">
        <v>822</v>
      </c>
      <c r="M375" s="288"/>
      <c r="N375" s="111"/>
    </row>
    <row r="376" s="245" customFormat="1" ht="20.25" spans="1:14">
      <c r="A376" s="284">
        <v>45790</v>
      </c>
      <c r="B376" s="105">
        <v>31</v>
      </c>
      <c r="C376" s="285">
        <v>45789</v>
      </c>
      <c r="D376" s="108"/>
      <c r="E376" s="108"/>
      <c r="F376" s="245" t="s">
        <v>810</v>
      </c>
      <c r="G376" s="108">
        <v>1</v>
      </c>
      <c r="H376" s="108">
        <v>58</v>
      </c>
      <c r="I376" s="290">
        <f t="shared" si="43"/>
        <v>58</v>
      </c>
      <c r="J376" s="109">
        <v>3.6</v>
      </c>
      <c r="K376" s="109">
        <f t="shared" si="44"/>
        <v>208.8</v>
      </c>
      <c r="L376" s="287"/>
      <c r="M376" s="288"/>
      <c r="N376" s="111"/>
    </row>
    <row r="377" s="1" customFormat="1" ht="20.25" spans="1:14">
      <c r="A377" s="284">
        <v>45790</v>
      </c>
      <c r="B377" s="105">
        <v>31</v>
      </c>
      <c r="C377" s="285">
        <v>45789</v>
      </c>
      <c r="D377" s="108"/>
      <c r="E377" s="108"/>
      <c r="F377" s="110" t="s">
        <v>830</v>
      </c>
      <c r="G377" s="107">
        <v>1</v>
      </c>
      <c r="H377" s="107">
        <v>43</v>
      </c>
      <c r="I377" s="290">
        <f t="shared" si="43"/>
        <v>43</v>
      </c>
      <c r="J377" s="109">
        <v>17.5</v>
      </c>
      <c r="K377" s="109">
        <f t="shared" si="44"/>
        <v>752.5</v>
      </c>
      <c r="L377" s="110"/>
      <c r="M377" s="108"/>
      <c r="N377" s="111"/>
    </row>
    <row r="378" s="1" customFormat="1" ht="20.25" spans="1:14">
      <c r="A378" s="284">
        <v>45790</v>
      </c>
      <c r="B378" s="105">
        <v>31</v>
      </c>
      <c r="C378" s="285">
        <v>45789</v>
      </c>
      <c r="D378" s="108"/>
      <c r="E378" s="108"/>
      <c r="F378" s="110" t="s">
        <v>831</v>
      </c>
      <c r="G378" s="107">
        <v>1</v>
      </c>
      <c r="H378" s="262">
        <v>46</v>
      </c>
      <c r="I378" s="290">
        <f t="shared" si="43"/>
        <v>46</v>
      </c>
      <c r="J378" s="109">
        <v>17.4</v>
      </c>
      <c r="K378" s="109"/>
      <c r="L378" s="110"/>
      <c r="M378" s="108"/>
      <c r="N378" s="111"/>
    </row>
    <row r="379" s="245" customFormat="1" ht="20.25" spans="1:14">
      <c r="A379" s="284">
        <v>45790</v>
      </c>
      <c r="B379" s="105">
        <v>31</v>
      </c>
      <c r="C379" s="285">
        <v>45789</v>
      </c>
      <c r="D379" s="108"/>
      <c r="E379" s="108"/>
      <c r="F379" s="245" t="s">
        <v>124</v>
      </c>
      <c r="G379" s="108">
        <v>1</v>
      </c>
      <c r="H379" s="274">
        <v>40</v>
      </c>
      <c r="I379" s="290">
        <f t="shared" si="43"/>
        <v>40</v>
      </c>
      <c r="J379" s="109">
        <v>15</v>
      </c>
      <c r="K379" s="109"/>
      <c r="L379" s="287" t="s">
        <v>832</v>
      </c>
      <c r="M379" s="288"/>
      <c r="N379" s="111"/>
    </row>
    <row r="380" s="245" customFormat="1" ht="20.25" spans="1:14">
      <c r="A380" s="284">
        <v>45790</v>
      </c>
      <c r="B380" s="105">
        <v>31</v>
      </c>
      <c r="C380" s="285">
        <v>45789</v>
      </c>
      <c r="D380" s="108"/>
      <c r="E380" s="108"/>
      <c r="F380" s="245" t="s">
        <v>833</v>
      </c>
      <c r="G380" s="108">
        <v>1</v>
      </c>
      <c r="H380" s="274">
        <v>36</v>
      </c>
      <c r="I380" s="290">
        <f t="shared" si="43"/>
        <v>36</v>
      </c>
      <c r="J380" s="109">
        <v>11</v>
      </c>
      <c r="K380" s="109"/>
      <c r="L380" s="287"/>
      <c r="M380" s="288"/>
      <c r="N380" s="111"/>
    </row>
    <row r="381" s="245" customFormat="1" ht="20.25" spans="1:14">
      <c r="A381" s="284">
        <v>45790</v>
      </c>
      <c r="B381" s="105">
        <v>31</v>
      </c>
      <c r="C381" s="285">
        <v>45789</v>
      </c>
      <c r="D381" s="108"/>
      <c r="E381" s="108"/>
      <c r="F381" s="245" t="s">
        <v>834</v>
      </c>
      <c r="G381" s="108">
        <v>1</v>
      </c>
      <c r="H381" s="274">
        <v>17</v>
      </c>
      <c r="I381" s="290">
        <f t="shared" si="43"/>
        <v>17</v>
      </c>
      <c r="J381" s="109">
        <v>11</v>
      </c>
      <c r="K381" s="109"/>
      <c r="L381" s="287"/>
      <c r="M381" s="288"/>
      <c r="N381" s="111"/>
    </row>
    <row r="382" s="245" customFormat="1" ht="20.25" spans="1:14">
      <c r="A382" s="284">
        <v>45790</v>
      </c>
      <c r="B382" s="105">
        <v>31</v>
      </c>
      <c r="C382" s="285">
        <v>45789</v>
      </c>
      <c r="D382" s="108"/>
      <c r="E382" s="108"/>
      <c r="F382" s="245" t="s">
        <v>835</v>
      </c>
      <c r="G382" s="108">
        <v>1</v>
      </c>
      <c r="H382" s="108">
        <f>SUM(H371:H381)</f>
        <v>591</v>
      </c>
      <c r="I382" s="290">
        <f t="shared" si="43"/>
        <v>591</v>
      </c>
      <c r="J382" s="109">
        <v>2</v>
      </c>
      <c r="K382" s="109">
        <f>I382*J382</f>
        <v>1182</v>
      </c>
      <c r="L382" s="287"/>
      <c r="M382" s="288"/>
      <c r="N382" s="111"/>
    </row>
    <row r="383" s="245" customFormat="1" ht="20.25" spans="1:14">
      <c r="A383" s="284">
        <v>45790</v>
      </c>
      <c r="B383" s="105">
        <v>31</v>
      </c>
      <c r="C383" s="285">
        <v>45789</v>
      </c>
      <c r="D383" s="108"/>
      <c r="E383" s="108"/>
      <c r="F383" s="245" t="s">
        <v>128</v>
      </c>
      <c r="G383" s="108">
        <v>36</v>
      </c>
      <c r="H383" s="108">
        <v>1</v>
      </c>
      <c r="I383" s="290">
        <f t="shared" si="43"/>
        <v>36</v>
      </c>
      <c r="J383" s="109">
        <v>12.5</v>
      </c>
      <c r="K383" s="109">
        <f>I383*J383</f>
        <v>450</v>
      </c>
      <c r="L383" s="287">
        <f>SUM(K371:K383)</f>
        <v>3701.4</v>
      </c>
      <c r="M383" s="288"/>
      <c r="N383" s="111"/>
    </row>
    <row r="384" s="243" customFormat="1" ht="20.25" spans="1:14">
      <c r="A384" s="263">
        <v>45790</v>
      </c>
      <c r="B384" s="127">
        <v>32</v>
      </c>
      <c r="C384" s="258">
        <v>45789</v>
      </c>
      <c r="D384" s="136"/>
      <c r="E384" s="136"/>
      <c r="F384" s="243" t="s">
        <v>688</v>
      </c>
      <c r="G384" s="136">
        <v>1</v>
      </c>
      <c r="H384" s="136">
        <v>50</v>
      </c>
      <c r="I384" s="282">
        <f t="shared" ref="I383:I407" si="45">G384*H384</f>
        <v>50</v>
      </c>
      <c r="J384" s="135">
        <v>12</v>
      </c>
      <c r="K384" s="135"/>
      <c r="L384" s="283"/>
      <c r="M384" s="278"/>
      <c r="N384" s="132"/>
    </row>
    <row r="385" s="243" customFormat="1" ht="20.25" spans="1:14">
      <c r="A385" s="263">
        <v>45789</v>
      </c>
      <c r="B385" s="127">
        <v>32</v>
      </c>
      <c r="C385" s="258">
        <v>45789</v>
      </c>
      <c r="D385" s="136"/>
      <c r="E385" s="136"/>
      <c r="F385" s="243" t="s">
        <v>836</v>
      </c>
      <c r="G385" s="136">
        <v>1</v>
      </c>
      <c r="H385" s="136">
        <v>50</v>
      </c>
      <c r="I385" s="282">
        <f t="shared" si="45"/>
        <v>50</v>
      </c>
      <c r="J385" s="135">
        <v>18</v>
      </c>
      <c r="K385" s="135"/>
      <c r="L385" s="283" t="s">
        <v>837</v>
      </c>
      <c r="M385" s="278"/>
      <c r="N385" s="132"/>
    </row>
    <row r="386" s="243" customFormat="1" ht="20.25" spans="1:14">
      <c r="A386" s="263">
        <v>45789</v>
      </c>
      <c r="B386" s="127">
        <v>32</v>
      </c>
      <c r="C386" s="258">
        <v>45789</v>
      </c>
      <c r="D386" s="136"/>
      <c r="E386" s="136"/>
      <c r="F386" s="243" t="s">
        <v>434</v>
      </c>
      <c r="G386" s="136">
        <v>1</v>
      </c>
      <c r="H386" s="136">
        <v>8</v>
      </c>
      <c r="I386" s="282">
        <f t="shared" si="45"/>
        <v>8</v>
      </c>
      <c r="J386" s="135">
        <v>6.9</v>
      </c>
      <c r="K386" s="135">
        <f>I386*J386</f>
        <v>55.2</v>
      </c>
      <c r="L386" s="283"/>
      <c r="M386" s="278"/>
      <c r="N386" s="132"/>
    </row>
    <row r="387" s="243" customFormat="1" ht="20.25" spans="1:14">
      <c r="A387" s="263">
        <v>45789</v>
      </c>
      <c r="B387" s="127">
        <v>32</v>
      </c>
      <c r="C387" s="258">
        <v>45789</v>
      </c>
      <c r="D387" s="136"/>
      <c r="E387" s="136"/>
      <c r="F387" s="243" t="s">
        <v>838</v>
      </c>
      <c r="G387" s="136">
        <v>1</v>
      </c>
      <c r="H387" s="136">
        <f>SUM(H384:H386)</f>
        <v>108</v>
      </c>
      <c r="I387" s="282">
        <f t="shared" si="45"/>
        <v>108</v>
      </c>
      <c r="J387" s="135">
        <v>3</v>
      </c>
      <c r="K387" s="135">
        <f>I387*J387</f>
        <v>324</v>
      </c>
      <c r="L387" s="283">
        <f>SUM(K384:K387)</f>
        <v>379.2</v>
      </c>
      <c r="M387" s="278"/>
      <c r="N387" s="132"/>
    </row>
    <row r="388" s="245" customFormat="1" ht="20.25" spans="1:14">
      <c r="A388" s="284">
        <v>45790</v>
      </c>
      <c r="B388" s="105">
        <v>33</v>
      </c>
      <c r="C388" s="285">
        <v>45790</v>
      </c>
      <c r="D388" s="108"/>
      <c r="E388" s="108"/>
      <c r="F388" s="245" t="s">
        <v>839</v>
      </c>
      <c r="G388" s="108">
        <v>1</v>
      </c>
      <c r="H388" s="108">
        <v>191</v>
      </c>
      <c r="I388" s="290">
        <f t="shared" si="45"/>
        <v>191</v>
      </c>
      <c r="J388" s="109">
        <v>12</v>
      </c>
      <c r="K388" s="109">
        <f>I388*J388</f>
        <v>2292</v>
      </c>
      <c r="L388" s="287"/>
      <c r="M388" s="288"/>
      <c r="N388" s="111"/>
    </row>
    <row r="389" s="245" customFormat="1" ht="20.25" spans="1:14">
      <c r="A389" s="284">
        <v>45790</v>
      </c>
      <c r="B389" s="105">
        <v>33</v>
      </c>
      <c r="C389" s="285">
        <v>45790</v>
      </c>
      <c r="D389" s="108"/>
      <c r="E389" s="108"/>
      <c r="F389" s="245" t="s">
        <v>840</v>
      </c>
      <c r="G389" s="108">
        <v>1</v>
      </c>
      <c r="H389" s="108">
        <v>80</v>
      </c>
      <c r="I389" s="290">
        <f t="shared" si="45"/>
        <v>80</v>
      </c>
      <c r="J389" s="109">
        <v>10.8</v>
      </c>
      <c r="K389" s="109"/>
      <c r="L389" s="287"/>
      <c r="M389" s="288"/>
      <c r="N389" s="111"/>
    </row>
    <row r="390" s="245" customFormat="1" ht="20.25" spans="1:14">
      <c r="A390" s="284">
        <v>45790</v>
      </c>
      <c r="B390" s="105">
        <v>33</v>
      </c>
      <c r="C390" s="285">
        <v>45790</v>
      </c>
      <c r="D390" s="108"/>
      <c r="E390" s="108"/>
      <c r="F390" s="245" t="s">
        <v>841</v>
      </c>
      <c r="G390" s="108">
        <v>1</v>
      </c>
      <c r="H390" s="108">
        <v>10</v>
      </c>
      <c r="I390" s="290">
        <f t="shared" si="45"/>
        <v>10</v>
      </c>
      <c r="J390" s="109">
        <v>9.5</v>
      </c>
      <c r="K390" s="109">
        <f t="shared" ref="K390:K397" si="46">I390*J390</f>
        <v>95</v>
      </c>
      <c r="L390" s="287"/>
      <c r="M390" s="288"/>
      <c r="N390" s="111"/>
    </row>
    <row r="391" s="245" customFormat="1" ht="20.25" spans="1:14">
      <c r="A391" s="284">
        <v>45790</v>
      </c>
      <c r="B391" s="105">
        <v>33</v>
      </c>
      <c r="C391" s="285">
        <v>45790</v>
      </c>
      <c r="D391" s="108"/>
      <c r="E391" s="108"/>
      <c r="F391" s="245" t="s">
        <v>434</v>
      </c>
      <c r="G391" s="108">
        <v>1</v>
      </c>
      <c r="H391" s="108">
        <v>229</v>
      </c>
      <c r="I391" s="290">
        <f t="shared" si="45"/>
        <v>229</v>
      </c>
      <c r="J391" s="109">
        <v>6.9</v>
      </c>
      <c r="K391" s="109">
        <f t="shared" si="46"/>
        <v>1580.1</v>
      </c>
      <c r="L391" s="287"/>
      <c r="M391" s="288"/>
      <c r="N391" s="111"/>
    </row>
    <row r="392" s="245" customFormat="1" ht="20.25" spans="1:14">
      <c r="A392" s="284">
        <v>45790</v>
      </c>
      <c r="B392" s="105">
        <v>33</v>
      </c>
      <c r="C392" s="285">
        <v>45790</v>
      </c>
      <c r="D392" s="108"/>
      <c r="E392" s="108"/>
      <c r="F392" s="245" t="s">
        <v>842</v>
      </c>
      <c r="G392" s="108">
        <v>1</v>
      </c>
      <c r="H392" s="108">
        <f>SUM(H388:H391)</f>
        <v>510</v>
      </c>
      <c r="I392" s="290">
        <f t="shared" si="45"/>
        <v>510</v>
      </c>
      <c r="J392" s="109">
        <v>1.5</v>
      </c>
      <c r="K392" s="109">
        <f t="shared" si="46"/>
        <v>765</v>
      </c>
      <c r="L392" s="287" t="s">
        <v>843</v>
      </c>
      <c r="M392" s="288"/>
      <c r="N392" s="111"/>
    </row>
    <row r="393" s="245" customFormat="1" ht="20.25" spans="1:14">
      <c r="A393" s="284">
        <v>45790</v>
      </c>
      <c r="B393" s="105">
        <v>33</v>
      </c>
      <c r="C393" s="285">
        <v>45790</v>
      </c>
      <c r="D393" s="108"/>
      <c r="E393" s="108"/>
      <c r="F393" s="245" t="s">
        <v>844</v>
      </c>
      <c r="G393" s="108">
        <v>1</v>
      </c>
      <c r="H393" s="108">
        <v>170</v>
      </c>
      <c r="I393" s="290">
        <f t="shared" si="45"/>
        <v>170</v>
      </c>
      <c r="J393" s="109">
        <v>5</v>
      </c>
      <c r="K393" s="109">
        <f t="shared" si="46"/>
        <v>850</v>
      </c>
      <c r="L393" s="287">
        <f>SUM(K388:K393)</f>
        <v>5582.1</v>
      </c>
      <c r="M393" s="288"/>
      <c r="N393" s="111"/>
    </row>
    <row r="394" s="243" customFormat="1" ht="20.25" spans="1:14">
      <c r="A394" s="263">
        <v>45790</v>
      </c>
      <c r="B394" s="127">
        <v>34</v>
      </c>
      <c r="C394" s="258">
        <v>45790</v>
      </c>
      <c r="D394" s="136"/>
      <c r="E394" s="136"/>
      <c r="F394" s="243" t="s">
        <v>122</v>
      </c>
      <c r="G394" s="136">
        <v>1</v>
      </c>
      <c r="H394" s="136">
        <v>48</v>
      </c>
      <c r="I394" s="282">
        <f t="shared" si="45"/>
        <v>48</v>
      </c>
      <c r="J394" s="135">
        <v>6.8</v>
      </c>
      <c r="K394" s="135">
        <f t="shared" si="46"/>
        <v>326.4</v>
      </c>
      <c r="L394" s="283"/>
      <c r="M394" s="278"/>
      <c r="N394" s="132"/>
    </row>
    <row r="395" s="243" customFormat="1" ht="20.25" spans="1:14">
      <c r="A395" s="263">
        <v>45790</v>
      </c>
      <c r="B395" s="127">
        <v>34</v>
      </c>
      <c r="C395" s="258">
        <v>45790</v>
      </c>
      <c r="D395" s="136"/>
      <c r="E395" s="136"/>
      <c r="F395" s="243" t="s">
        <v>434</v>
      </c>
      <c r="G395" s="136">
        <v>1</v>
      </c>
      <c r="H395" s="136">
        <v>12</v>
      </c>
      <c r="I395" s="282">
        <f t="shared" si="45"/>
        <v>12</v>
      </c>
      <c r="J395" s="135">
        <v>6.9</v>
      </c>
      <c r="K395" s="135">
        <f t="shared" si="46"/>
        <v>82.8</v>
      </c>
      <c r="L395" s="283"/>
      <c r="M395" s="278"/>
      <c r="N395" s="132"/>
    </row>
    <row r="396" s="243" customFormat="1" ht="20.25" spans="1:14">
      <c r="A396" s="263">
        <v>45790</v>
      </c>
      <c r="B396" s="127">
        <v>34</v>
      </c>
      <c r="C396" s="258">
        <v>45790</v>
      </c>
      <c r="D396" s="136"/>
      <c r="E396" s="136"/>
      <c r="F396" s="243" t="s">
        <v>845</v>
      </c>
      <c r="G396" s="136">
        <v>1</v>
      </c>
      <c r="H396" s="136">
        <f>SUM(H394:H395)</f>
        <v>60</v>
      </c>
      <c r="I396" s="282">
        <f t="shared" si="45"/>
        <v>60</v>
      </c>
      <c r="J396" s="135">
        <v>0.7</v>
      </c>
      <c r="K396" s="135">
        <f t="shared" si="46"/>
        <v>42</v>
      </c>
      <c r="L396" s="283" t="s">
        <v>846</v>
      </c>
      <c r="M396" s="278"/>
      <c r="N396" s="132"/>
    </row>
    <row r="397" s="243" customFormat="1" ht="20.25" spans="1:14">
      <c r="A397" s="263">
        <v>45790</v>
      </c>
      <c r="B397" s="127">
        <v>34</v>
      </c>
      <c r="C397" s="258">
        <v>45790</v>
      </c>
      <c r="D397" s="136"/>
      <c r="E397" s="136"/>
      <c r="F397" s="243" t="s">
        <v>847</v>
      </c>
      <c r="G397" s="136">
        <v>4</v>
      </c>
      <c r="H397" s="136">
        <v>1</v>
      </c>
      <c r="I397" s="282">
        <f t="shared" si="45"/>
        <v>4</v>
      </c>
      <c r="J397" s="135">
        <v>11.5</v>
      </c>
      <c r="K397" s="135">
        <f t="shared" si="46"/>
        <v>46</v>
      </c>
      <c r="L397" s="283">
        <f>SUM(K394:K397)</f>
        <v>497.2</v>
      </c>
      <c r="M397" s="278"/>
      <c r="N397" s="132"/>
    </row>
    <row r="398" s="245" customFormat="1" ht="20.25" spans="1:14">
      <c r="A398" s="284">
        <v>45806</v>
      </c>
      <c r="B398" s="105">
        <v>77</v>
      </c>
      <c r="C398" s="285">
        <v>45806</v>
      </c>
      <c r="D398" s="108"/>
      <c r="E398" s="108"/>
      <c r="F398" s="110" t="s">
        <v>416</v>
      </c>
      <c r="G398" s="108">
        <v>1</v>
      </c>
      <c r="H398" s="108">
        <v>6</v>
      </c>
      <c r="I398" s="108">
        <f t="shared" si="45"/>
        <v>6</v>
      </c>
      <c r="J398" s="109">
        <v>12</v>
      </c>
      <c r="K398" s="109"/>
      <c r="L398" s="288"/>
      <c r="M398" s="291"/>
      <c r="N398" s="111"/>
    </row>
    <row r="399" s="245" customFormat="1" ht="20.25" spans="1:14">
      <c r="A399" s="284">
        <v>45806</v>
      </c>
      <c r="B399" s="105">
        <v>77</v>
      </c>
      <c r="C399" s="285">
        <v>45806</v>
      </c>
      <c r="D399" s="108"/>
      <c r="E399" s="108"/>
      <c r="F399" s="106" t="s">
        <v>120</v>
      </c>
      <c r="G399" s="108">
        <v>1</v>
      </c>
      <c r="H399" s="108">
        <v>0.15</v>
      </c>
      <c r="I399" s="108">
        <f t="shared" si="45"/>
        <v>0.15</v>
      </c>
      <c r="J399" s="109">
        <v>17</v>
      </c>
      <c r="K399" s="109">
        <f t="shared" ref="K399:K406" si="47">I399*J399</f>
        <v>2.55</v>
      </c>
      <c r="L399" s="288"/>
      <c r="M399" s="291"/>
      <c r="N399" s="111"/>
    </row>
    <row r="400" s="245" customFormat="1" ht="20.25" spans="1:14">
      <c r="A400" s="284">
        <v>45806</v>
      </c>
      <c r="B400" s="105">
        <v>77</v>
      </c>
      <c r="C400" s="285">
        <v>45806</v>
      </c>
      <c r="D400" s="108"/>
      <c r="E400" s="108"/>
      <c r="F400" s="110" t="s">
        <v>309</v>
      </c>
      <c r="G400" s="108">
        <v>1</v>
      </c>
      <c r="H400" s="108">
        <v>2.5</v>
      </c>
      <c r="I400" s="108">
        <f t="shared" si="45"/>
        <v>2.5</v>
      </c>
      <c r="J400" s="109">
        <v>15</v>
      </c>
      <c r="K400" s="109">
        <f t="shared" si="47"/>
        <v>37.5</v>
      </c>
      <c r="L400" s="288" t="s">
        <v>459</v>
      </c>
      <c r="M400" s="291"/>
      <c r="N400" s="111"/>
    </row>
    <row r="401" s="245" customFormat="1" ht="20.25" spans="1:16">
      <c r="A401" s="284">
        <v>45806</v>
      </c>
      <c r="B401" s="105">
        <v>77</v>
      </c>
      <c r="C401" s="285">
        <v>45806</v>
      </c>
      <c r="D401" s="108"/>
      <c r="E401" s="108"/>
      <c r="F401" s="110" t="s">
        <v>406</v>
      </c>
      <c r="G401" s="108">
        <v>1</v>
      </c>
      <c r="H401" s="108">
        <v>1</v>
      </c>
      <c r="I401" s="108">
        <f t="shared" si="45"/>
        <v>1</v>
      </c>
      <c r="J401" s="109">
        <v>6.8</v>
      </c>
      <c r="K401" s="109">
        <f t="shared" si="47"/>
        <v>6.8</v>
      </c>
      <c r="L401" s="288" t="s">
        <v>601</v>
      </c>
      <c r="M401" s="291"/>
      <c r="N401" s="111"/>
    </row>
    <row r="402" s="245" customFormat="1" ht="20.25" spans="1:16">
      <c r="A402" s="284">
        <v>45806</v>
      </c>
      <c r="B402" s="105">
        <v>77</v>
      </c>
      <c r="C402" s="285">
        <v>45806</v>
      </c>
      <c r="D402" s="108"/>
      <c r="E402" s="108"/>
      <c r="F402" s="110" t="s">
        <v>848</v>
      </c>
      <c r="G402" s="108">
        <v>1</v>
      </c>
      <c r="H402" s="108">
        <v>0.2</v>
      </c>
      <c r="I402" s="108">
        <f t="shared" si="45"/>
        <v>0.2</v>
      </c>
      <c r="J402" s="109">
        <v>17</v>
      </c>
      <c r="K402" s="109">
        <f t="shared" si="47"/>
        <v>3.4</v>
      </c>
      <c r="L402" s="288"/>
      <c r="M402" s="291"/>
      <c r="N402" s="111"/>
    </row>
    <row r="403" s="245" customFormat="1" ht="20.25" spans="1:16">
      <c r="A403" s="284">
        <v>45806</v>
      </c>
      <c r="B403" s="105">
        <v>77</v>
      </c>
      <c r="C403" s="285">
        <v>45806</v>
      </c>
      <c r="D403" s="108"/>
      <c r="E403" s="108"/>
      <c r="F403" s="110" t="s">
        <v>311</v>
      </c>
      <c r="G403" s="108">
        <v>1</v>
      </c>
      <c r="H403" s="108">
        <v>1.2</v>
      </c>
      <c r="I403" s="108">
        <f t="shared" si="45"/>
        <v>1.2</v>
      </c>
      <c r="J403" s="109">
        <v>6.8</v>
      </c>
      <c r="K403" s="109">
        <f t="shared" si="47"/>
        <v>8.16</v>
      </c>
      <c r="L403" s="288"/>
      <c r="M403" s="291"/>
      <c r="N403" s="111"/>
    </row>
    <row r="404" s="245" customFormat="1" ht="20.25" spans="1:16">
      <c r="A404" s="284">
        <v>45806</v>
      </c>
      <c r="B404" s="105">
        <v>77</v>
      </c>
      <c r="C404" s="285">
        <v>45806</v>
      </c>
      <c r="D404" s="108"/>
      <c r="E404" s="108"/>
      <c r="F404" s="110" t="s">
        <v>849</v>
      </c>
      <c r="G404" s="108">
        <v>1</v>
      </c>
      <c r="H404" s="108">
        <v>0.05</v>
      </c>
      <c r="I404" s="108">
        <f t="shared" si="45"/>
        <v>0.05</v>
      </c>
      <c r="J404" s="109">
        <v>170</v>
      </c>
      <c r="K404" s="109">
        <f t="shared" si="47"/>
        <v>8.5</v>
      </c>
      <c r="L404" s="288">
        <v>8333</v>
      </c>
      <c r="M404" s="291"/>
      <c r="N404" s="111"/>
    </row>
    <row r="405" s="245" customFormat="1" ht="20.25" spans="1:16">
      <c r="A405" s="284">
        <v>45806</v>
      </c>
      <c r="B405" s="105">
        <v>77</v>
      </c>
      <c r="C405" s="285">
        <v>45806</v>
      </c>
      <c r="D405" s="108"/>
      <c r="E405" s="108"/>
      <c r="F405" s="110" t="s">
        <v>632</v>
      </c>
      <c r="G405" s="108">
        <v>1</v>
      </c>
      <c r="H405" s="108">
        <v>0.05</v>
      </c>
      <c r="I405" s="108">
        <f t="shared" si="45"/>
        <v>0.05</v>
      </c>
      <c r="J405" s="109">
        <v>50</v>
      </c>
      <c r="K405" s="109">
        <f t="shared" si="47"/>
        <v>2.5</v>
      </c>
      <c r="L405" s="288" t="s">
        <v>850</v>
      </c>
      <c r="M405" s="291"/>
      <c r="N405" s="111"/>
    </row>
    <row r="406" s="245" customFormat="1" ht="20.25" spans="1:16">
      <c r="A406" s="284">
        <v>45806</v>
      </c>
      <c r="B406" s="105">
        <v>77</v>
      </c>
      <c r="C406" s="285">
        <v>45806</v>
      </c>
      <c r="D406" s="108"/>
      <c r="E406" s="108"/>
      <c r="F406" s="110" t="s">
        <v>787</v>
      </c>
      <c r="G406" s="108">
        <v>1</v>
      </c>
      <c r="H406" s="108">
        <v>0.05</v>
      </c>
      <c r="I406" s="108">
        <f t="shared" si="45"/>
        <v>0.05</v>
      </c>
      <c r="J406" s="109">
        <v>40</v>
      </c>
      <c r="K406" s="109">
        <f t="shared" si="47"/>
        <v>2</v>
      </c>
      <c r="L406" s="288" t="s">
        <v>851</v>
      </c>
      <c r="M406" s="291"/>
      <c r="N406" s="111"/>
    </row>
    <row r="407" s="245" customFormat="1" ht="20.25" spans="1:16">
      <c r="A407" s="284">
        <v>45806</v>
      </c>
      <c r="B407" s="105">
        <v>77</v>
      </c>
      <c r="C407" s="285">
        <v>45806</v>
      </c>
      <c r="D407" s="108"/>
      <c r="E407" s="108"/>
      <c r="F407" s="292" t="s">
        <v>852</v>
      </c>
      <c r="G407" s="293">
        <v>1</v>
      </c>
      <c r="H407" s="294">
        <f>SUM(H398:H406)</f>
        <v>11.2</v>
      </c>
      <c r="I407" s="294">
        <f t="shared" ref="I407:I427" si="48">G407*H407</f>
        <v>11.2</v>
      </c>
      <c r="J407" s="295">
        <v>2</v>
      </c>
      <c r="K407" s="295">
        <f t="shared" ref="K407:K414" si="49">I407*J407</f>
        <v>22.4</v>
      </c>
      <c r="L407" s="288"/>
      <c r="M407" s="291"/>
      <c r="N407" s="111"/>
    </row>
    <row r="408" s="245" customFormat="1" ht="20.25" spans="1:16">
      <c r="A408" s="284">
        <v>45806</v>
      </c>
      <c r="B408" s="105">
        <v>77</v>
      </c>
      <c r="C408" s="285">
        <v>45806</v>
      </c>
      <c r="D408" s="108"/>
      <c r="E408" s="108"/>
      <c r="F408" s="110" t="s">
        <v>462</v>
      </c>
      <c r="G408" s="108">
        <v>1</v>
      </c>
      <c r="H408" s="108">
        <v>1</v>
      </c>
      <c r="I408" s="108">
        <f t="shared" si="48"/>
        <v>1</v>
      </c>
      <c r="J408" s="109">
        <v>12.5</v>
      </c>
      <c r="K408" s="109">
        <f t="shared" si="49"/>
        <v>12.5</v>
      </c>
      <c r="L408" s="277">
        <f>SUM(K398:K408)</f>
        <v>106.31</v>
      </c>
      <c r="M408" s="286"/>
      <c r="N408" s="110"/>
    </row>
    <row r="409" s="245" customFormat="1" ht="20.25" spans="1:16">
      <c r="A409" s="284">
        <v>45806</v>
      </c>
      <c r="B409" s="105">
        <v>77</v>
      </c>
      <c r="C409" s="285">
        <v>45806</v>
      </c>
      <c r="D409" s="108"/>
      <c r="E409" s="108"/>
      <c r="F409" s="118" t="s">
        <v>853</v>
      </c>
      <c r="G409" s="108">
        <v>1</v>
      </c>
      <c r="H409" s="108">
        <v>3</v>
      </c>
      <c r="I409" s="108">
        <f t="shared" si="48"/>
        <v>3</v>
      </c>
      <c r="J409" s="109">
        <v>14.5</v>
      </c>
      <c r="K409" s="109">
        <f t="shared" si="49"/>
        <v>43.5</v>
      </c>
      <c r="L409" s="110"/>
      <c r="M409" s="288"/>
      <c r="N409" s="111"/>
      <c r="O409" s="245">
        <f t="shared" ref="O409:O414" si="50">SUM(K409)</f>
        <v>43.5</v>
      </c>
      <c r="P409" s="245" t="s">
        <v>587</v>
      </c>
    </row>
    <row r="410" s="245" customFormat="1" ht="20.25" spans="1:16">
      <c r="A410" s="284">
        <v>45806</v>
      </c>
      <c r="B410" s="105">
        <v>77</v>
      </c>
      <c r="C410" s="285">
        <v>45806</v>
      </c>
      <c r="D410" s="108"/>
      <c r="E410" s="108"/>
      <c r="F410" s="118" t="s">
        <v>641</v>
      </c>
      <c r="G410" s="108">
        <v>1</v>
      </c>
      <c r="H410" s="108">
        <v>1</v>
      </c>
      <c r="I410" s="108">
        <f t="shared" si="48"/>
        <v>1</v>
      </c>
      <c r="J410" s="109">
        <v>5</v>
      </c>
      <c r="K410" s="109">
        <f t="shared" si="49"/>
        <v>5</v>
      </c>
      <c r="L410" s="110" t="s">
        <v>618</v>
      </c>
      <c r="M410" s="288">
        <f>SUM(K398:K410)</f>
        <v>154.81</v>
      </c>
      <c r="N410" s="111"/>
      <c r="O410" s="245">
        <f t="shared" si="50"/>
        <v>5</v>
      </c>
      <c r="P410" s="245" t="s">
        <v>587</v>
      </c>
    </row>
    <row r="411" s="245" customFormat="1" ht="20.25" spans="1:16">
      <c r="A411" s="284">
        <v>45806</v>
      </c>
      <c r="B411" s="105">
        <v>77</v>
      </c>
      <c r="C411" s="285">
        <v>45806</v>
      </c>
      <c r="D411" s="108"/>
      <c r="E411" s="108"/>
      <c r="F411" s="110" t="s">
        <v>406</v>
      </c>
      <c r="G411" s="108">
        <v>1</v>
      </c>
      <c r="H411" s="108">
        <v>2</v>
      </c>
      <c r="I411" s="108">
        <f t="shared" si="48"/>
        <v>2</v>
      </c>
      <c r="J411" s="109">
        <v>6.8</v>
      </c>
      <c r="K411" s="109">
        <f t="shared" si="49"/>
        <v>13.6</v>
      </c>
      <c r="L411" s="288" t="s">
        <v>601</v>
      </c>
      <c r="M411" s="291"/>
      <c r="N411" s="111"/>
    </row>
    <row r="412" s="245" customFormat="1" ht="20.25" spans="1:16">
      <c r="A412" s="284">
        <v>45806</v>
      </c>
      <c r="B412" s="105">
        <v>77</v>
      </c>
      <c r="C412" s="285">
        <v>45806</v>
      </c>
      <c r="D412" s="108"/>
      <c r="E412" s="108"/>
      <c r="F412" s="110" t="s">
        <v>311</v>
      </c>
      <c r="G412" s="108">
        <v>1</v>
      </c>
      <c r="H412" s="108">
        <v>4</v>
      </c>
      <c r="I412" s="108">
        <f t="shared" si="48"/>
        <v>4</v>
      </c>
      <c r="J412" s="109">
        <v>6.8</v>
      </c>
      <c r="K412" s="109">
        <f t="shared" si="49"/>
        <v>27.2</v>
      </c>
      <c r="L412" s="288"/>
      <c r="M412" s="291"/>
      <c r="N412" s="111"/>
    </row>
    <row r="413" s="245" customFormat="1" ht="20.25" spans="1:16">
      <c r="A413" s="284">
        <v>45806</v>
      </c>
      <c r="B413" s="105">
        <v>77</v>
      </c>
      <c r="C413" s="285">
        <v>45806</v>
      </c>
      <c r="D413" s="108"/>
      <c r="E413" s="108"/>
      <c r="F413" s="296" t="s">
        <v>854</v>
      </c>
      <c r="G413" s="293">
        <v>1</v>
      </c>
      <c r="H413" s="293">
        <v>6</v>
      </c>
      <c r="I413" s="293">
        <f t="shared" si="48"/>
        <v>6</v>
      </c>
      <c r="J413" s="295">
        <v>0.7</v>
      </c>
      <c r="K413" s="295">
        <f t="shared" si="49"/>
        <v>4.2</v>
      </c>
      <c r="L413" s="297" t="s">
        <v>855</v>
      </c>
      <c r="M413" s="288"/>
      <c r="N413" s="111"/>
    </row>
    <row r="414" s="245" customFormat="1" ht="20.25" spans="1:16">
      <c r="A414" s="284">
        <v>45806</v>
      </c>
      <c r="B414" s="105">
        <v>77</v>
      </c>
      <c r="C414" s="285">
        <v>45806</v>
      </c>
      <c r="D414" s="108"/>
      <c r="E414" s="108"/>
      <c r="F414" s="110" t="s">
        <v>796</v>
      </c>
      <c r="G414" s="108">
        <v>1</v>
      </c>
      <c r="H414" s="108">
        <v>1</v>
      </c>
      <c r="I414" s="108">
        <f t="shared" si="48"/>
        <v>1</v>
      </c>
      <c r="J414" s="109">
        <v>9</v>
      </c>
      <c r="K414" s="109">
        <f t="shared" si="49"/>
        <v>9</v>
      </c>
      <c r="L414" s="110"/>
      <c r="M414" s="288">
        <f>SUM(K398:K414)</f>
        <v>208.81</v>
      </c>
      <c r="N414" s="111"/>
      <c r="O414" s="245">
        <f t="shared" si="50"/>
        <v>9</v>
      </c>
      <c r="P414" s="245" t="s">
        <v>587</v>
      </c>
    </row>
    <row r="415" s="243" customFormat="1" ht="20.25" spans="1:16">
      <c r="A415" s="263">
        <v>45811</v>
      </c>
      <c r="B415" s="127" t="s">
        <v>856</v>
      </c>
      <c r="C415" s="258">
        <v>45810</v>
      </c>
      <c r="D415" s="136"/>
      <c r="E415" s="136"/>
      <c r="F415" s="264" t="s">
        <v>688</v>
      </c>
      <c r="G415" s="136">
        <v>1</v>
      </c>
      <c r="H415" s="136">
        <v>19</v>
      </c>
      <c r="I415" s="282">
        <f t="shared" ref="I415:I454" si="51">G415*H415</f>
        <v>19</v>
      </c>
      <c r="J415" s="135">
        <v>12</v>
      </c>
      <c r="K415" s="135"/>
      <c r="L415" s="283"/>
      <c r="M415" s="278"/>
      <c r="N415" s="132"/>
    </row>
    <row r="416" s="243" customFormat="1" ht="20.25" spans="1:16">
      <c r="A416" s="263">
        <v>45811</v>
      </c>
      <c r="B416" s="127" t="s">
        <v>856</v>
      </c>
      <c r="C416" s="258">
        <v>45810</v>
      </c>
      <c r="D416" s="136"/>
      <c r="E416" s="136"/>
      <c r="F416" s="243" t="s">
        <v>120</v>
      </c>
      <c r="G416" s="136">
        <v>1</v>
      </c>
      <c r="H416" s="136">
        <v>1</v>
      </c>
      <c r="I416" s="282">
        <f t="shared" si="51"/>
        <v>1</v>
      </c>
      <c r="J416" s="135">
        <v>17</v>
      </c>
      <c r="K416" s="135">
        <f>I416*J416</f>
        <v>17</v>
      </c>
      <c r="L416" s="283"/>
      <c r="M416" s="278" t="s">
        <v>776</v>
      </c>
      <c r="N416" s="132"/>
    </row>
    <row r="417" s="243" customFormat="1" ht="20.25" spans="1:14">
      <c r="A417" s="263">
        <v>45811</v>
      </c>
      <c r="B417" s="127" t="s">
        <v>856</v>
      </c>
      <c r="C417" s="258">
        <v>45810</v>
      </c>
      <c r="D417" s="136"/>
      <c r="E417" s="136"/>
      <c r="F417" s="243" t="s">
        <v>121</v>
      </c>
      <c r="G417" s="136">
        <v>1</v>
      </c>
      <c r="H417" s="136">
        <v>4.4</v>
      </c>
      <c r="I417" s="282">
        <f t="shared" si="51"/>
        <v>4.4</v>
      </c>
      <c r="J417" s="135">
        <v>0.6</v>
      </c>
      <c r="K417" s="135">
        <f>I417*J417</f>
        <v>2.64</v>
      </c>
      <c r="L417" s="283"/>
      <c r="M417" s="278"/>
      <c r="N417" s="132"/>
    </row>
    <row r="418" s="243" customFormat="1" ht="20.25" spans="1:14">
      <c r="A418" s="263">
        <v>45811</v>
      </c>
      <c r="B418" s="127" t="s">
        <v>856</v>
      </c>
      <c r="C418" s="258">
        <v>45810</v>
      </c>
      <c r="D418" s="136"/>
      <c r="E418" s="136"/>
      <c r="F418" s="243" t="s">
        <v>122</v>
      </c>
      <c r="G418" s="136">
        <v>1</v>
      </c>
      <c r="H418" s="136">
        <v>15</v>
      </c>
      <c r="I418" s="282">
        <f t="shared" si="51"/>
        <v>15</v>
      </c>
      <c r="J418" s="135">
        <v>6.8</v>
      </c>
      <c r="K418" s="135">
        <f>I418*J418</f>
        <v>102</v>
      </c>
      <c r="L418" s="283"/>
      <c r="M418" s="278"/>
      <c r="N418" s="132"/>
    </row>
    <row r="419" s="243" customFormat="1" ht="20.25" spans="1:14">
      <c r="A419" s="263">
        <v>45811</v>
      </c>
      <c r="B419" s="127" t="s">
        <v>856</v>
      </c>
      <c r="C419" s="258">
        <v>45810</v>
      </c>
      <c r="D419" s="136"/>
      <c r="E419" s="136"/>
      <c r="F419" s="243" t="s">
        <v>434</v>
      </c>
      <c r="G419" s="136">
        <v>1</v>
      </c>
      <c r="H419" s="136">
        <v>2</v>
      </c>
      <c r="I419" s="282">
        <f t="shared" si="51"/>
        <v>2</v>
      </c>
      <c r="J419" s="135">
        <v>6.9</v>
      </c>
      <c r="K419" s="135">
        <f>I419*J419</f>
        <v>13.8</v>
      </c>
      <c r="L419" s="283"/>
      <c r="M419" s="278"/>
      <c r="N419" s="132"/>
    </row>
    <row r="420" s="243" customFormat="1" ht="20.25" spans="1:14">
      <c r="A420" s="263">
        <v>45811</v>
      </c>
      <c r="B420" s="127" t="s">
        <v>856</v>
      </c>
      <c r="C420" s="258">
        <v>45810</v>
      </c>
      <c r="D420" s="136"/>
      <c r="E420" s="136"/>
      <c r="F420" s="243" t="s">
        <v>810</v>
      </c>
      <c r="G420" s="136">
        <v>1</v>
      </c>
      <c r="H420" s="136">
        <v>6</v>
      </c>
      <c r="I420" s="282">
        <f t="shared" si="51"/>
        <v>6</v>
      </c>
      <c r="J420" s="135">
        <v>3.6</v>
      </c>
      <c r="K420" s="135">
        <f>I420*J420</f>
        <v>21.6</v>
      </c>
      <c r="L420" s="283"/>
      <c r="M420" s="278"/>
      <c r="N420" s="132"/>
    </row>
    <row r="421" s="243" customFormat="1" ht="20.25" spans="1:14">
      <c r="A421" s="263">
        <v>45811</v>
      </c>
      <c r="B421" s="127" t="s">
        <v>856</v>
      </c>
      <c r="C421" s="258">
        <v>45810</v>
      </c>
      <c r="D421" s="136"/>
      <c r="E421" s="136"/>
      <c r="F421" s="245" t="s">
        <v>625</v>
      </c>
      <c r="G421" s="136">
        <v>1</v>
      </c>
      <c r="H421" s="136">
        <v>9</v>
      </c>
      <c r="I421" s="282">
        <f t="shared" si="51"/>
        <v>9</v>
      </c>
      <c r="J421" s="135">
        <v>12</v>
      </c>
      <c r="K421" s="135"/>
      <c r="L421" s="283" t="s">
        <v>812</v>
      </c>
      <c r="M421" s="278"/>
      <c r="N421" s="132"/>
    </row>
    <row r="422" s="2" customFormat="1" ht="20.25" spans="1:14">
      <c r="A422" s="263">
        <v>45811</v>
      </c>
      <c r="B422" s="127" t="s">
        <v>856</v>
      </c>
      <c r="C422" s="258">
        <v>45810</v>
      </c>
      <c r="D422" s="136"/>
      <c r="E422" s="136"/>
      <c r="F422" s="131" t="s">
        <v>432</v>
      </c>
      <c r="G422" s="134">
        <v>1</v>
      </c>
      <c r="H422" s="134">
        <v>0.2</v>
      </c>
      <c r="I422" s="282">
        <f t="shared" si="51"/>
        <v>0.2</v>
      </c>
      <c r="J422" s="135">
        <v>23</v>
      </c>
      <c r="K422" s="135">
        <f t="shared" ref="K421:K427" si="52">I422*J422</f>
        <v>4.6</v>
      </c>
      <c r="L422" s="131"/>
      <c r="M422" s="136"/>
      <c r="N422" s="132"/>
    </row>
    <row r="423" s="2" customFormat="1" ht="20.25" spans="1:14">
      <c r="A423" s="263">
        <v>45811</v>
      </c>
      <c r="B423" s="127" t="s">
        <v>856</v>
      </c>
      <c r="C423" s="258">
        <v>45810</v>
      </c>
      <c r="D423" s="136"/>
      <c r="E423" s="136"/>
      <c r="F423" s="131" t="s">
        <v>787</v>
      </c>
      <c r="G423" s="134">
        <v>1</v>
      </c>
      <c r="H423" s="134">
        <v>1.8</v>
      </c>
      <c r="I423" s="282">
        <f t="shared" si="51"/>
        <v>1.8</v>
      </c>
      <c r="J423" s="135">
        <v>40</v>
      </c>
      <c r="K423" s="135">
        <f t="shared" si="52"/>
        <v>72</v>
      </c>
      <c r="L423" s="2" t="s">
        <v>822</v>
      </c>
      <c r="M423" s="131"/>
      <c r="N423" s="132"/>
    </row>
    <row r="424" s="2" customFormat="1" ht="20.25" spans="1:14">
      <c r="A424" s="263">
        <v>45811</v>
      </c>
      <c r="B424" s="127" t="s">
        <v>856</v>
      </c>
      <c r="C424" s="258">
        <v>45810</v>
      </c>
      <c r="D424" s="136"/>
      <c r="E424" s="136"/>
      <c r="F424" s="131" t="s">
        <v>633</v>
      </c>
      <c r="G424" s="134">
        <v>1</v>
      </c>
      <c r="H424" s="134">
        <v>1.5</v>
      </c>
      <c r="I424" s="282">
        <f t="shared" si="51"/>
        <v>1.5</v>
      </c>
      <c r="J424" s="135">
        <v>40</v>
      </c>
      <c r="K424" s="135">
        <f t="shared" si="52"/>
        <v>60</v>
      </c>
      <c r="L424" s="131"/>
      <c r="M424" s="131"/>
      <c r="N424" s="132"/>
    </row>
    <row r="425" s="243" customFormat="1" ht="20.25" spans="1:14">
      <c r="A425" s="263">
        <v>45811</v>
      </c>
      <c r="B425" s="127" t="s">
        <v>856</v>
      </c>
      <c r="C425" s="258">
        <v>45810</v>
      </c>
      <c r="D425" s="136"/>
      <c r="E425" s="136"/>
      <c r="F425" s="243" t="s">
        <v>813</v>
      </c>
      <c r="G425" s="136">
        <v>1</v>
      </c>
      <c r="H425" s="136">
        <v>6.5</v>
      </c>
      <c r="I425" s="282">
        <f t="shared" si="51"/>
        <v>6.5</v>
      </c>
      <c r="J425" s="135">
        <v>8.6</v>
      </c>
      <c r="K425" s="135"/>
      <c r="L425" s="283" t="s">
        <v>823</v>
      </c>
      <c r="M425" s="278" t="s">
        <v>824</v>
      </c>
      <c r="N425" s="132"/>
    </row>
    <row r="426" s="243" customFormat="1" ht="20.25" spans="1:14">
      <c r="A426" s="263">
        <v>45811</v>
      </c>
      <c r="B426" s="127" t="s">
        <v>856</v>
      </c>
      <c r="C426" s="258">
        <v>45810</v>
      </c>
      <c r="D426" s="136"/>
      <c r="E426" s="136"/>
      <c r="F426" s="243" t="s">
        <v>825</v>
      </c>
      <c r="G426" s="136">
        <v>1</v>
      </c>
      <c r="H426" s="136">
        <f>SUM(H415:H425)</f>
        <v>66.4</v>
      </c>
      <c r="I426" s="282">
        <f t="shared" si="51"/>
        <v>66.4</v>
      </c>
      <c r="J426" s="135">
        <v>2</v>
      </c>
      <c r="K426" s="135">
        <f t="shared" si="52"/>
        <v>132.8</v>
      </c>
      <c r="L426" s="283"/>
      <c r="M426" s="278"/>
      <c r="N426" s="132"/>
    </row>
    <row r="427" s="243" customFormat="1" ht="20.25" spans="1:14">
      <c r="A427" s="263">
        <v>45811</v>
      </c>
      <c r="B427" s="127" t="s">
        <v>856</v>
      </c>
      <c r="C427" s="258">
        <v>45810</v>
      </c>
      <c r="D427" s="136"/>
      <c r="E427" s="136"/>
      <c r="F427" s="243" t="s">
        <v>128</v>
      </c>
      <c r="G427" s="136">
        <v>4</v>
      </c>
      <c r="H427" s="136">
        <v>1</v>
      </c>
      <c r="I427" s="282">
        <f t="shared" si="51"/>
        <v>4</v>
      </c>
      <c r="J427" s="135">
        <v>12.5</v>
      </c>
      <c r="K427" s="135">
        <f t="shared" si="52"/>
        <v>50</v>
      </c>
      <c r="L427" s="283">
        <f>SUM(K415:K427)</f>
        <v>476.44</v>
      </c>
      <c r="M427" s="278"/>
      <c r="N427" s="132"/>
    </row>
    <row r="428" s="245" customFormat="1" ht="20.25" spans="1:14">
      <c r="A428" s="284">
        <v>45811</v>
      </c>
      <c r="B428" s="105" t="s">
        <v>857</v>
      </c>
      <c r="C428" s="285">
        <v>45810</v>
      </c>
      <c r="D428" s="108"/>
      <c r="E428" s="108"/>
      <c r="F428" s="286" t="s">
        <v>688</v>
      </c>
      <c r="G428" s="108">
        <v>1</v>
      </c>
      <c r="H428" s="107">
        <v>9</v>
      </c>
      <c r="I428" s="290">
        <f t="shared" si="51"/>
        <v>9</v>
      </c>
      <c r="J428" s="109">
        <v>12</v>
      </c>
      <c r="K428" s="135"/>
      <c r="L428" s="287"/>
      <c r="M428" s="288"/>
      <c r="N428" s="111"/>
    </row>
    <row r="429" s="245" customFormat="1" ht="20.25" spans="1:14">
      <c r="A429" s="284">
        <v>45811</v>
      </c>
      <c r="B429" s="105" t="s">
        <v>857</v>
      </c>
      <c r="C429" s="285">
        <v>45810</v>
      </c>
      <c r="D429" s="108"/>
      <c r="E429" s="108"/>
      <c r="F429" s="245" t="s">
        <v>120</v>
      </c>
      <c r="G429" s="108">
        <v>1</v>
      </c>
      <c r="H429" s="107">
        <v>0.6</v>
      </c>
      <c r="I429" s="290">
        <f t="shared" si="51"/>
        <v>0.6</v>
      </c>
      <c r="J429" s="109">
        <v>17</v>
      </c>
      <c r="K429" s="135">
        <f t="shared" ref="K428:K440" si="53">I429*J429</f>
        <v>10.2</v>
      </c>
      <c r="L429" s="287"/>
      <c r="M429" s="288"/>
      <c r="N429" s="111"/>
    </row>
    <row r="430" s="245" customFormat="1" ht="20.25" spans="1:14">
      <c r="A430" s="284">
        <v>45811</v>
      </c>
      <c r="B430" s="105" t="s">
        <v>857</v>
      </c>
      <c r="C430" s="285">
        <v>45810</v>
      </c>
      <c r="D430" s="108"/>
      <c r="E430" s="108"/>
      <c r="F430" s="245" t="s">
        <v>121</v>
      </c>
      <c r="G430" s="108">
        <v>1</v>
      </c>
      <c r="H430" s="107">
        <v>2</v>
      </c>
      <c r="I430" s="290">
        <f t="shared" si="51"/>
        <v>2</v>
      </c>
      <c r="J430" s="109">
        <v>0.6</v>
      </c>
      <c r="K430" s="135">
        <f t="shared" si="53"/>
        <v>1.2</v>
      </c>
      <c r="L430" s="287"/>
      <c r="M430" s="288"/>
      <c r="N430" s="111"/>
    </row>
    <row r="431" s="245" customFormat="1" ht="20.25" spans="1:14">
      <c r="A431" s="284">
        <v>45811</v>
      </c>
      <c r="B431" s="105" t="s">
        <v>857</v>
      </c>
      <c r="C431" s="285">
        <v>45810</v>
      </c>
      <c r="D431" s="108"/>
      <c r="E431" s="108"/>
      <c r="F431" s="245" t="s">
        <v>122</v>
      </c>
      <c r="G431" s="108">
        <v>1</v>
      </c>
      <c r="H431" s="107">
        <v>7</v>
      </c>
      <c r="I431" s="290">
        <f t="shared" si="51"/>
        <v>7</v>
      </c>
      <c r="J431" s="109">
        <v>6.8</v>
      </c>
      <c r="K431" s="135">
        <f t="shared" si="53"/>
        <v>47.6</v>
      </c>
      <c r="L431" s="287"/>
      <c r="M431" s="288"/>
      <c r="N431" s="111"/>
    </row>
    <row r="432" s="245" customFormat="1" ht="20.25" spans="1:14">
      <c r="A432" s="284">
        <v>45811</v>
      </c>
      <c r="B432" s="105" t="s">
        <v>857</v>
      </c>
      <c r="C432" s="285">
        <v>45810</v>
      </c>
      <c r="D432" s="108"/>
      <c r="E432" s="108"/>
      <c r="F432" s="245" t="s">
        <v>434</v>
      </c>
      <c r="G432" s="108">
        <v>1</v>
      </c>
      <c r="H432" s="107">
        <v>0.5</v>
      </c>
      <c r="I432" s="290">
        <f t="shared" si="51"/>
        <v>0.5</v>
      </c>
      <c r="J432" s="109">
        <v>6.8</v>
      </c>
      <c r="K432" s="135">
        <f t="shared" si="53"/>
        <v>3.4</v>
      </c>
      <c r="L432" s="287" t="s">
        <v>826</v>
      </c>
      <c r="M432" s="288"/>
      <c r="N432" s="111"/>
    </row>
    <row r="433" s="245" customFormat="1" ht="20.25" spans="1:14">
      <c r="A433" s="284">
        <v>45811</v>
      </c>
      <c r="B433" s="105" t="s">
        <v>857</v>
      </c>
      <c r="C433" s="285">
        <v>45810</v>
      </c>
      <c r="D433" s="108"/>
      <c r="E433" s="108"/>
      <c r="F433" s="245" t="s">
        <v>810</v>
      </c>
      <c r="G433" s="108">
        <v>1</v>
      </c>
      <c r="H433" s="107">
        <v>6</v>
      </c>
      <c r="I433" s="290">
        <f t="shared" si="51"/>
        <v>6</v>
      </c>
      <c r="J433" s="109">
        <v>3.6</v>
      </c>
      <c r="K433" s="135">
        <f t="shared" si="53"/>
        <v>21.6</v>
      </c>
      <c r="L433" s="287"/>
      <c r="M433" s="288"/>
      <c r="N433" s="111"/>
    </row>
    <row r="434" s="245" customFormat="1" ht="20.25" spans="1:14">
      <c r="A434" s="284">
        <v>45811</v>
      </c>
      <c r="B434" s="105" t="s">
        <v>857</v>
      </c>
      <c r="C434" s="285">
        <v>45810</v>
      </c>
      <c r="D434" s="108"/>
      <c r="E434" s="108"/>
      <c r="F434" s="245" t="s">
        <v>625</v>
      </c>
      <c r="G434" s="108">
        <v>1</v>
      </c>
      <c r="H434" s="108">
        <v>20</v>
      </c>
      <c r="I434" s="290">
        <f t="shared" si="51"/>
        <v>20</v>
      </c>
      <c r="J434" s="109">
        <v>12</v>
      </c>
      <c r="K434" s="135"/>
      <c r="L434" s="287" t="s">
        <v>812</v>
      </c>
      <c r="M434" s="288"/>
      <c r="N434" s="111"/>
    </row>
    <row r="435" s="1" customFormat="1" ht="20.25" spans="1:14">
      <c r="A435" s="284">
        <v>45811</v>
      </c>
      <c r="B435" s="105" t="s">
        <v>857</v>
      </c>
      <c r="C435" s="285">
        <v>45810</v>
      </c>
      <c r="D435" s="108"/>
      <c r="E435" s="108"/>
      <c r="F435" s="110" t="s">
        <v>432</v>
      </c>
      <c r="G435" s="107">
        <v>1</v>
      </c>
      <c r="H435" s="107">
        <v>0.2</v>
      </c>
      <c r="I435" s="290">
        <f t="shared" si="51"/>
        <v>0.2</v>
      </c>
      <c r="J435" s="109">
        <v>23</v>
      </c>
      <c r="K435" s="135">
        <f t="shared" si="53"/>
        <v>4.6</v>
      </c>
      <c r="L435" s="110"/>
      <c r="M435" s="108"/>
      <c r="N435" s="111"/>
    </row>
    <row r="436" s="1" customFormat="1" ht="20.25" spans="1:14">
      <c r="A436" s="284">
        <v>45811</v>
      </c>
      <c r="B436" s="105" t="s">
        <v>857</v>
      </c>
      <c r="C436" s="285">
        <v>45810</v>
      </c>
      <c r="D436" s="108"/>
      <c r="E436" s="108"/>
      <c r="F436" s="110" t="s">
        <v>787</v>
      </c>
      <c r="G436" s="107">
        <v>1</v>
      </c>
      <c r="H436" s="107">
        <v>2.4</v>
      </c>
      <c r="I436" s="290">
        <f t="shared" si="51"/>
        <v>2.4</v>
      </c>
      <c r="J436" s="109">
        <v>40</v>
      </c>
      <c r="K436" s="135">
        <f t="shared" si="53"/>
        <v>96</v>
      </c>
      <c r="L436" s="110"/>
      <c r="M436" s="108"/>
      <c r="N436" s="111"/>
    </row>
    <row r="437" s="1" customFormat="1" ht="20.25" spans="1:14">
      <c r="A437" s="284">
        <v>45811</v>
      </c>
      <c r="B437" s="105" t="s">
        <v>857</v>
      </c>
      <c r="C437" s="285">
        <v>45810</v>
      </c>
      <c r="D437" s="108"/>
      <c r="E437" s="108"/>
      <c r="F437" s="110" t="s">
        <v>632</v>
      </c>
      <c r="G437" s="107">
        <v>1</v>
      </c>
      <c r="H437" s="107">
        <v>0.2</v>
      </c>
      <c r="I437" s="290">
        <f t="shared" si="51"/>
        <v>0.2</v>
      </c>
      <c r="J437" s="109">
        <v>50</v>
      </c>
      <c r="K437" s="135">
        <f t="shared" si="53"/>
        <v>10</v>
      </c>
      <c r="L437" s="110"/>
      <c r="M437" s="110"/>
      <c r="N437" s="111"/>
    </row>
    <row r="438" s="245" customFormat="1" ht="20.25" spans="1:14">
      <c r="A438" s="284">
        <v>45811</v>
      </c>
      <c r="B438" s="105" t="s">
        <v>857</v>
      </c>
      <c r="C438" s="285">
        <v>45810</v>
      </c>
      <c r="D438" s="108"/>
      <c r="E438" s="108"/>
      <c r="F438" s="243" t="s">
        <v>813</v>
      </c>
      <c r="G438" s="108">
        <v>1</v>
      </c>
      <c r="H438" s="107">
        <v>0.3</v>
      </c>
      <c r="I438" s="290">
        <f t="shared" si="51"/>
        <v>0.3</v>
      </c>
      <c r="J438" s="109">
        <v>8.6</v>
      </c>
      <c r="K438" s="135"/>
      <c r="L438" s="287" t="s">
        <v>827</v>
      </c>
      <c r="M438" s="288"/>
      <c r="N438" s="111"/>
    </row>
    <row r="439" s="245" customFormat="1" ht="20.25" spans="1:14">
      <c r="A439" s="284">
        <v>45811</v>
      </c>
      <c r="B439" s="105" t="s">
        <v>857</v>
      </c>
      <c r="C439" s="285">
        <v>45810</v>
      </c>
      <c r="D439" s="108"/>
      <c r="E439" s="108"/>
      <c r="F439" s="245" t="s">
        <v>828</v>
      </c>
      <c r="G439" s="108">
        <v>1</v>
      </c>
      <c r="H439" s="108">
        <f>SUM(H428:H438)</f>
        <v>48.2</v>
      </c>
      <c r="I439" s="290">
        <f t="shared" si="51"/>
        <v>48.2</v>
      </c>
      <c r="J439" s="109">
        <v>2</v>
      </c>
      <c r="K439" s="135">
        <f t="shared" si="53"/>
        <v>96.4</v>
      </c>
      <c r="L439" s="287" t="s">
        <v>829</v>
      </c>
      <c r="M439" s="288"/>
      <c r="N439" s="111"/>
    </row>
    <row r="440" s="245" customFormat="1" ht="20.25" spans="1:14">
      <c r="A440" s="284">
        <v>45811</v>
      </c>
      <c r="B440" s="105" t="s">
        <v>857</v>
      </c>
      <c r="C440" s="285">
        <v>45810</v>
      </c>
      <c r="D440" s="108"/>
      <c r="E440" s="108"/>
      <c r="F440" s="245" t="s">
        <v>128</v>
      </c>
      <c r="G440" s="108">
        <v>3</v>
      </c>
      <c r="H440" s="108">
        <v>1</v>
      </c>
      <c r="I440" s="290">
        <f t="shared" si="51"/>
        <v>3</v>
      </c>
      <c r="J440" s="109">
        <v>12.5</v>
      </c>
      <c r="K440" s="135">
        <f t="shared" si="53"/>
        <v>37.5</v>
      </c>
      <c r="L440" s="287">
        <f>SUM(K428:K440)</f>
        <v>328.5</v>
      </c>
      <c r="M440" s="288"/>
      <c r="N440" s="111"/>
    </row>
    <row r="441" s="243" customFormat="1" ht="20.25" spans="1:14">
      <c r="A441" s="263">
        <v>45811</v>
      </c>
      <c r="B441" s="127" t="s">
        <v>858</v>
      </c>
      <c r="C441" s="258">
        <v>45810</v>
      </c>
      <c r="D441" s="136"/>
      <c r="E441" s="136"/>
      <c r="F441" s="264" t="s">
        <v>688</v>
      </c>
      <c r="G441" s="136">
        <v>1</v>
      </c>
      <c r="H441" s="131">
        <v>16</v>
      </c>
      <c r="I441" s="282">
        <f t="shared" si="51"/>
        <v>16</v>
      </c>
      <c r="J441" s="135">
        <v>12</v>
      </c>
      <c r="K441" s="135"/>
      <c r="L441" s="283"/>
      <c r="M441" s="278"/>
      <c r="N441" s="132"/>
    </row>
    <row r="442" s="243" customFormat="1" ht="20.25" spans="1:14">
      <c r="A442" s="263">
        <v>45811</v>
      </c>
      <c r="B442" s="127" t="s">
        <v>858</v>
      </c>
      <c r="C442" s="258">
        <v>45810</v>
      </c>
      <c r="D442" s="136"/>
      <c r="E442" s="136"/>
      <c r="F442" s="243" t="s">
        <v>120</v>
      </c>
      <c r="G442" s="136">
        <v>1</v>
      </c>
      <c r="H442" s="131">
        <v>1</v>
      </c>
      <c r="I442" s="282">
        <f t="shared" si="51"/>
        <v>1</v>
      </c>
      <c r="J442" s="135">
        <v>17</v>
      </c>
      <c r="K442" s="135">
        <f t="shared" ref="K442:K456" si="54">I442*J442</f>
        <v>17</v>
      </c>
      <c r="L442" s="283"/>
      <c r="M442" s="278"/>
      <c r="N442" s="132"/>
    </row>
    <row r="443" s="243" customFormat="1" ht="20.25" spans="1:14">
      <c r="A443" s="263">
        <v>45811</v>
      </c>
      <c r="B443" s="127" t="s">
        <v>858</v>
      </c>
      <c r="C443" s="258">
        <v>45810</v>
      </c>
      <c r="D443" s="136"/>
      <c r="E443" s="136"/>
      <c r="F443" s="243" t="s">
        <v>121</v>
      </c>
      <c r="G443" s="136">
        <v>1</v>
      </c>
      <c r="H443" s="131">
        <v>3.6</v>
      </c>
      <c r="I443" s="282">
        <f t="shared" si="51"/>
        <v>3.6</v>
      </c>
      <c r="J443" s="135">
        <v>0.6</v>
      </c>
      <c r="K443" s="135">
        <f t="shared" si="54"/>
        <v>2.16</v>
      </c>
      <c r="L443" s="283"/>
      <c r="M443" s="136"/>
      <c r="N443" s="132"/>
    </row>
    <row r="444" s="243" customFormat="1" ht="20.25" spans="1:14">
      <c r="A444" s="263">
        <v>45811</v>
      </c>
      <c r="B444" s="127" t="s">
        <v>858</v>
      </c>
      <c r="C444" s="258">
        <v>45810</v>
      </c>
      <c r="D444" s="136"/>
      <c r="E444" s="136"/>
      <c r="F444" s="243" t="s">
        <v>122</v>
      </c>
      <c r="G444" s="136">
        <v>1</v>
      </c>
      <c r="H444" s="131">
        <v>12</v>
      </c>
      <c r="I444" s="282">
        <f t="shared" si="51"/>
        <v>12</v>
      </c>
      <c r="J444" s="135">
        <v>6.8</v>
      </c>
      <c r="K444" s="135">
        <f t="shared" si="54"/>
        <v>81.6</v>
      </c>
      <c r="L444" s="283"/>
      <c r="M444" s="136"/>
      <c r="N444" s="132"/>
    </row>
    <row r="445" s="243" customFormat="1" ht="20.25" spans="1:14">
      <c r="A445" s="263">
        <v>45811</v>
      </c>
      <c r="B445" s="127" t="s">
        <v>858</v>
      </c>
      <c r="C445" s="258">
        <v>45810</v>
      </c>
      <c r="D445" s="136"/>
      <c r="E445" s="136"/>
      <c r="F445" s="243" t="s">
        <v>434</v>
      </c>
      <c r="G445" s="136">
        <v>1</v>
      </c>
      <c r="H445" s="131">
        <v>3</v>
      </c>
      <c r="I445" s="282">
        <f t="shared" si="51"/>
        <v>3</v>
      </c>
      <c r="J445" s="135">
        <v>6.8</v>
      </c>
      <c r="K445" s="135">
        <f t="shared" si="54"/>
        <v>20.4</v>
      </c>
      <c r="L445" s="283"/>
      <c r="M445" s="278"/>
      <c r="N445" s="132"/>
    </row>
    <row r="446" s="243" customFormat="1" ht="20.25" spans="1:14">
      <c r="A446" s="263">
        <v>45811</v>
      </c>
      <c r="B446" s="127" t="s">
        <v>858</v>
      </c>
      <c r="C446" s="258">
        <v>45810</v>
      </c>
      <c r="D446" s="136"/>
      <c r="E446" s="136"/>
      <c r="F446" s="243" t="s">
        <v>810</v>
      </c>
      <c r="G446" s="136">
        <v>1</v>
      </c>
      <c r="H446" s="131">
        <v>5</v>
      </c>
      <c r="I446" s="282">
        <f t="shared" si="51"/>
        <v>5</v>
      </c>
      <c r="J446" s="135">
        <v>3.6</v>
      </c>
      <c r="K446" s="135">
        <f t="shared" si="54"/>
        <v>18</v>
      </c>
      <c r="L446" s="283"/>
      <c r="M446" s="278"/>
      <c r="N446" s="132"/>
    </row>
    <row r="447" s="243" customFormat="1" ht="20.25" spans="1:14">
      <c r="A447" s="263">
        <v>45811</v>
      </c>
      <c r="B447" s="127" t="s">
        <v>858</v>
      </c>
      <c r="C447" s="258">
        <v>45810</v>
      </c>
      <c r="D447" s="136"/>
      <c r="E447" s="136"/>
      <c r="F447" s="243" t="s">
        <v>813</v>
      </c>
      <c r="G447" s="136">
        <v>1</v>
      </c>
      <c r="H447" s="131">
        <v>6</v>
      </c>
      <c r="I447" s="282">
        <f t="shared" si="51"/>
        <v>6</v>
      </c>
      <c r="J447" s="135">
        <v>8.6</v>
      </c>
      <c r="K447" s="135"/>
      <c r="L447" s="283" t="s">
        <v>812</v>
      </c>
      <c r="M447" s="278"/>
      <c r="N447" s="132"/>
    </row>
    <row r="448" s="243" customFormat="1" ht="20.25" spans="1:14">
      <c r="A448" s="263">
        <v>45811</v>
      </c>
      <c r="B448" s="127" t="s">
        <v>858</v>
      </c>
      <c r="C448" s="258">
        <v>45810</v>
      </c>
      <c r="D448" s="136"/>
      <c r="E448" s="136"/>
      <c r="F448" s="131" t="s">
        <v>432</v>
      </c>
      <c r="G448" s="134">
        <v>1</v>
      </c>
      <c r="H448" s="131">
        <v>0.25</v>
      </c>
      <c r="I448" s="282">
        <f t="shared" si="51"/>
        <v>0.25</v>
      </c>
      <c r="J448" s="135">
        <v>23</v>
      </c>
      <c r="K448" s="135">
        <f t="shared" si="54"/>
        <v>5.75</v>
      </c>
      <c r="L448" s="283" t="s">
        <v>814</v>
      </c>
      <c r="M448" s="278"/>
      <c r="N448" s="132"/>
    </row>
    <row r="449" s="2" customFormat="1" ht="20.25" spans="1:14">
      <c r="A449" s="263">
        <v>45811</v>
      </c>
      <c r="B449" s="127" t="s">
        <v>858</v>
      </c>
      <c r="C449" s="258">
        <v>45810</v>
      </c>
      <c r="D449" s="136"/>
      <c r="E449" s="136"/>
      <c r="F449" s="131" t="s">
        <v>787</v>
      </c>
      <c r="G449" s="134">
        <v>1</v>
      </c>
      <c r="H449" s="131">
        <v>2.3</v>
      </c>
      <c r="I449" s="282">
        <f t="shared" si="51"/>
        <v>2.3</v>
      </c>
      <c r="J449" s="135">
        <v>40</v>
      </c>
      <c r="K449" s="135">
        <f t="shared" si="54"/>
        <v>92</v>
      </c>
      <c r="L449" s="131"/>
      <c r="M449" s="136"/>
      <c r="N449" s="132"/>
    </row>
    <row r="450" s="2" customFormat="1" ht="20.25" spans="1:14">
      <c r="A450" s="263">
        <v>45811</v>
      </c>
      <c r="B450" s="127" t="s">
        <v>858</v>
      </c>
      <c r="C450" s="258">
        <v>45810</v>
      </c>
      <c r="D450" s="136"/>
      <c r="E450" s="136"/>
      <c r="F450" s="131" t="s">
        <v>633</v>
      </c>
      <c r="G450" s="134">
        <v>1</v>
      </c>
      <c r="H450" s="131">
        <v>0.25</v>
      </c>
      <c r="I450" s="282">
        <f t="shared" si="51"/>
        <v>0.25</v>
      </c>
      <c r="J450" s="135">
        <v>40</v>
      </c>
      <c r="K450" s="135">
        <f t="shared" si="54"/>
        <v>10</v>
      </c>
      <c r="L450" s="131" t="s">
        <v>815</v>
      </c>
      <c r="M450" s="136"/>
      <c r="N450" s="132"/>
    </row>
    <row r="451" s="2" customFormat="1" ht="20.25" spans="1:14">
      <c r="A451" s="263">
        <v>45811</v>
      </c>
      <c r="B451" s="127" t="s">
        <v>858</v>
      </c>
      <c r="C451" s="258">
        <v>45810</v>
      </c>
      <c r="D451" s="136"/>
      <c r="E451" s="136"/>
      <c r="F451" s="243" t="s">
        <v>819</v>
      </c>
      <c r="G451" s="136">
        <v>1</v>
      </c>
      <c r="H451" s="136">
        <f>SUM(H441:H450)</f>
        <v>49.4</v>
      </c>
      <c r="I451" s="282">
        <f t="shared" si="51"/>
        <v>49.4</v>
      </c>
      <c r="J451" s="135">
        <v>2</v>
      </c>
      <c r="K451" s="135">
        <f t="shared" si="54"/>
        <v>98.8</v>
      </c>
      <c r="L451" s="131"/>
      <c r="M451" s="131"/>
      <c r="N451" s="132"/>
    </row>
    <row r="452" s="243" customFormat="1" ht="20.25" spans="1:14">
      <c r="A452" s="263">
        <v>45811</v>
      </c>
      <c r="B452" s="127" t="s">
        <v>858</v>
      </c>
      <c r="C452" s="258">
        <v>45810</v>
      </c>
      <c r="D452" s="136"/>
      <c r="E452" s="136"/>
      <c r="F452" s="243" t="s">
        <v>820</v>
      </c>
      <c r="G452" s="136">
        <v>3</v>
      </c>
      <c r="H452" s="136">
        <v>1</v>
      </c>
      <c r="I452" s="282">
        <f t="shared" si="51"/>
        <v>3</v>
      </c>
      <c r="J452" s="135">
        <v>12.5</v>
      </c>
      <c r="K452" s="135">
        <f t="shared" si="54"/>
        <v>37.5</v>
      </c>
      <c r="L452" s="283" t="s">
        <v>817</v>
      </c>
      <c r="M452" s="278" t="s">
        <v>818</v>
      </c>
      <c r="N452" s="132"/>
    </row>
    <row r="453" s="245" customFormat="1" ht="20.25" spans="1:14">
      <c r="A453" s="284">
        <v>45811</v>
      </c>
      <c r="B453" s="105" t="s">
        <v>859</v>
      </c>
      <c r="C453" s="285">
        <v>45810</v>
      </c>
      <c r="D453" s="108"/>
      <c r="E453" s="108"/>
      <c r="F453" s="245" t="s">
        <v>839</v>
      </c>
      <c r="G453" s="108">
        <v>1</v>
      </c>
      <c r="H453" s="108">
        <v>14</v>
      </c>
      <c r="I453" s="290">
        <f t="shared" ref="I453:I499" si="55">G453*H453</f>
        <v>14</v>
      </c>
      <c r="J453" s="109">
        <v>12</v>
      </c>
      <c r="K453" s="109">
        <f t="shared" si="54"/>
        <v>168</v>
      </c>
      <c r="L453" s="287"/>
      <c r="M453" s="288"/>
      <c r="N453" s="111"/>
    </row>
    <row r="454" s="245" customFormat="1" ht="20.25" spans="1:14">
      <c r="A454" s="284">
        <v>45811</v>
      </c>
      <c r="B454" s="105" t="s">
        <v>859</v>
      </c>
      <c r="C454" s="285">
        <v>45810</v>
      </c>
      <c r="D454" s="108"/>
      <c r="E454" s="108"/>
      <c r="F454" s="245" t="s">
        <v>434</v>
      </c>
      <c r="G454" s="108">
        <v>1</v>
      </c>
      <c r="H454" s="108">
        <v>16</v>
      </c>
      <c r="I454" s="290">
        <f t="shared" si="55"/>
        <v>16</v>
      </c>
      <c r="J454" s="109">
        <v>6.8</v>
      </c>
      <c r="K454" s="109">
        <f t="shared" si="54"/>
        <v>108.8</v>
      </c>
      <c r="L454" s="287"/>
      <c r="M454" s="288"/>
      <c r="N454" s="111"/>
    </row>
    <row r="455" s="245" customFormat="1" ht="20.25" spans="1:14">
      <c r="A455" s="284">
        <v>45811</v>
      </c>
      <c r="B455" s="105" t="s">
        <v>859</v>
      </c>
      <c r="C455" s="285">
        <v>45810</v>
      </c>
      <c r="D455" s="108"/>
      <c r="E455" s="108"/>
      <c r="F455" s="245" t="s">
        <v>842</v>
      </c>
      <c r="G455" s="108">
        <v>1</v>
      </c>
      <c r="H455" s="108">
        <f>SUM(H453:H454)</f>
        <v>30</v>
      </c>
      <c r="I455" s="290">
        <f t="shared" si="55"/>
        <v>30</v>
      </c>
      <c r="J455" s="109">
        <v>1.5</v>
      </c>
      <c r="K455" s="109">
        <f t="shared" si="54"/>
        <v>45</v>
      </c>
      <c r="L455" s="287"/>
      <c r="M455" s="288"/>
      <c r="N455" s="111"/>
    </row>
    <row r="456" s="245" customFormat="1" ht="20.25" spans="1:14">
      <c r="A456" s="284">
        <v>45811</v>
      </c>
      <c r="B456" s="105" t="s">
        <v>859</v>
      </c>
      <c r="C456" s="285">
        <v>45810</v>
      </c>
      <c r="D456" s="108"/>
      <c r="E456" s="108"/>
      <c r="F456" s="245" t="s">
        <v>844</v>
      </c>
      <c r="G456" s="108">
        <v>1</v>
      </c>
      <c r="H456" s="108">
        <v>10</v>
      </c>
      <c r="I456" s="290">
        <f t="shared" si="55"/>
        <v>10</v>
      </c>
      <c r="J456" s="109">
        <v>5</v>
      </c>
      <c r="K456" s="109">
        <f t="shared" si="54"/>
        <v>50</v>
      </c>
      <c r="L456" s="287">
        <f>SUM(K453:K456)</f>
        <v>371.8</v>
      </c>
      <c r="M456" s="288"/>
      <c r="N456" s="111"/>
    </row>
    <row r="457" s="243" customFormat="1" ht="20.25" spans="1:14">
      <c r="A457" s="263">
        <v>45818</v>
      </c>
      <c r="B457" s="127">
        <v>34</v>
      </c>
      <c r="C457" s="258">
        <v>45818</v>
      </c>
      <c r="D457" s="136"/>
      <c r="E457" s="136"/>
      <c r="F457" s="131" t="s">
        <v>416</v>
      </c>
      <c r="G457" s="136">
        <v>1</v>
      </c>
      <c r="H457" s="136">
        <v>5.5</v>
      </c>
      <c r="I457" s="136">
        <f t="shared" si="55"/>
        <v>5.5</v>
      </c>
      <c r="J457" s="135">
        <v>12</v>
      </c>
      <c r="K457" s="135"/>
      <c r="L457" s="278"/>
      <c r="M457" s="279"/>
      <c r="N457" s="132"/>
    </row>
    <row r="458" s="243" customFormat="1" ht="20.25" spans="1:14">
      <c r="A458" s="263">
        <v>45818</v>
      </c>
      <c r="B458" s="127">
        <v>34</v>
      </c>
      <c r="C458" s="258">
        <v>45818</v>
      </c>
      <c r="D458" s="136"/>
      <c r="E458" s="136"/>
      <c r="F458" s="133" t="s">
        <v>120</v>
      </c>
      <c r="G458" s="136">
        <v>1</v>
      </c>
      <c r="H458" s="136">
        <v>0.2</v>
      </c>
      <c r="I458" s="136">
        <f t="shared" si="55"/>
        <v>0.2</v>
      </c>
      <c r="J458" s="135">
        <v>17</v>
      </c>
      <c r="K458" s="135">
        <f>I458*J458</f>
        <v>3.4</v>
      </c>
      <c r="L458" s="278"/>
      <c r="M458" s="279"/>
      <c r="N458" s="132"/>
    </row>
    <row r="459" s="243" customFormat="1" ht="20.25" spans="1:14">
      <c r="A459" s="263">
        <v>45818</v>
      </c>
      <c r="B459" s="127">
        <v>34</v>
      </c>
      <c r="C459" s="258">
        <v>45818</v>
      </c>
      <c r="D459" s="136"/>
      <c r="E459" s="136"/>
      <c r="F459" s="131" t="s">
        <v>309</v>
      </c>
      <c r="G459" s="136">
        <v>1</v>
      </c>
      <c r="H459" s="136">
        <v>2.5</v>
      </c>
      <c r="I459" s="136">
        <f t="shared" si="55"/>
        <v>2.5</v>
      </c>
      <c r="J459" s="135">
        <v>15</v>
      </c>
      <c r="K459" s="135">
        <f t="shared" ref="K459:K477" si="56">I459*J459</f>
        <v>37.5</v>
      </c>
      <c r="L459" s="278"/>
      <c r="M459" s="279"/>
      <c r="N459" s="132"/>
    </row>
    <row r="460" s="243" customFormat="1" ht="20.25" spans="1:14">
      <c r="A460" s="263">
        <v>45818</v>
      </c>
      <c r="B460" s="127">
        <v>34</v>
      </c>
      <c r="C460" s="258">
        <v>45818</v>
      </c>
      <c r="D460" s="136"/>
      <c r="E460" s="136"/>
      <c r="F460" s="131" t="s">
        <v>406</v>
      </c>
      <c r="G460" s="136">
        <v>1</v>
      </c>
      <c r="H460" s="136">
        <v>1</v>
      </c>
      <c r="I460" s="136">
        <f t="shared" si="55"/>
        <v>1</v>
      </c>
      <c r="J460" s="135">
        <v>6.8</v>
      </c>
      <c r="K460" s="135">
        <f t="shared" si="56"/>
        <v>6.8</v>
      </c>
      <c r="L460" s="278" t="s">
        <v>601</v>
      </c>
      <c r="M460" s="279"/>
      <c r="N460" s="132"/>
    </row>
    <row r="461" s="243" customFormat="1" ht="20.25" spans="1:14">
      <c r="A461" s="263">
        <v>45818</v>
      </c>
      <c r="B461" s="127">
        <v>34</v>
      </c>
      <c r="C461" s="258">
        <v>45818</v>
      </c>
      <c r="D461" s="136"/>
      <c r="E461" s="136"/>
      <c r="F461" s="131" t="s">
        <v>848</v>
      </c>
      <c r="G461" s="136">
        <v>1</v>
      </c>
      <c r="H461" s="136">
        <v>0.2</v>
      </c>
      <c r="I461" s="136">
        <f t="shared" si="55"/>
        <v>0.2</v>
      </c>
      <c r="J461" s="135">
        <v>17</v>
      </c>
      <c r="K461" s="135">
        <f t="shared" si="56"/>
        <v>3.4</v>
      </c>
      <c r="L461" s="278"/>
      <c r="M461" s="279"/>
      <c r="N461" s="132"/>
    </row>
    <row r="462" s="243" customFormat="1" ht="20.25" spans="1:14">
      <c r="A462" s="263">
        <v>45818</v>
      </c>
      <c r="B462" s="127">
        <v>34</v>
      </c>
      <c r="C462" s="258">
        <v>45818</v>
      </c>
      <c r="D462" s="136"/>
      <c r="E462" s="136"/>
      <c r="F462" s="131" t="s">
        <v>311</v>
      </c>
      <c r="G462" s="136">
        <v>1</v>
      </c>
      <c r="H462" s="136">
        <v>1</v>
      </c>
      <c r="I462" s="136">
        <f t="shared" si="55"/>
        <v>1</v>
      </c>
      <c r="J462" s="135">
        <v>6.8</v>
      </c>
      <c r="K462" s="135">
        <f t="shared" si="56"/>
        <v>6.8</v>
      </c>
      <c r="L462" s="278"/>
      <c r="M462" s="279"/>
      <c r="N462" s="132"/>
    </row>
    <row r="463" s="243" customFormat="1" ht="20.25" spans="1:14">
      <c r="A463" s="263">
        <v>45818</v>
      </c>
      <c r="B463" s="127">
        <v>34</v>
      </c>
      <c r="C463" s="258">
        <v>45818</v>
      </c>
      <c r="D463" s="136"/>
      <c r="E463" s="136"/>
      <c r="F463" s="133" t="s">
        <v>860</v>
      </c>
      <c r="G463" s="136">
        <v>1</v>
      </c>
      <c r="H463" s="136">
        <v>0.05</v>
      </c>
      <c r="I463" s="136">
        <f t="shared" si="55"/>
        <v>0.05</v>
      </c>
      <c r="J463" s="135">
        <v>170</v>
      </c>
      <c r="K463" s="135">
        <f t="shared" si="56"/>
        <v>8.5</v>
      </c>
      <c r="L463" s="278">
        <v>8333</v>
      </c>
      <c r="M463" s="279"/>
      <c r="N463" s="132"/>
    </row>
    <row r="464" s="243" customFormat="1" ht="20.25" spans="1:14">
      <c r="A464" s="263">
        <v>45818</v>
      </c>
      <c r="B464" s="127">
        <v>34</v>
      </c>
      <c r="C464" s="258">
        <v>45818</v>
      </c>
      <c r="D464" s="136"/>
      <c r="E464" s="136"/>
      <c r="F464" s="133" t="s">
        <v>861</v>
      </c>
      <c r="G464" s="136">
        <v>1</v>
      </c>
      <c r="H464" s="136">
        <v>0.02</v>
      </c>
      <c r="I464" s="136">
        <f t="shared" si="55"/>
        <v>0.02</v>
      </c>
      <c r="J464" s="135">
        <v>150</v>
      </c>
      <c r="K464" s="135">
        <f t="shared" si="56"/>
        <v>3</v>
      </c>
      <c r="L464" s="278"/>
      <c r="M464" s="279"/>
      <c r="N464" s="132"/>
    </row>
    <row r="465" s="243" customFormat="1" ht="20.25" spans="1:16">
      <c r="A465" s="263">
        <v>45818</v>
      </c>
      <c r="B465" s="127">
        <v>34</v>
      </c>
      <c r="C465" s="258">
        <v>45818</v>
      </c>
      <c r="D465" s="136"/>
      <c r="E465" s="136"/>
      <c r="F465" s="133" t="s">
        <v>862</v>
      </c>
      <c r="G465" s="136">
        <v>1</v>
      </c>
      <c r="H465" s="136">
        <v>0.05</v>
      </c>
      <c r="I465" s="136">
        <f t="shared" si="55"/>
        <v>0.05</v>
      </c>
      <c r="J465" s="135">
        <v>75</v>
      </c>
      <c r="K465" s="135">
        <f t="shared" si="56"/>
        <v>3.75</v>
      </c>
      <c r="L465" s="278"/>
      <c r="M465" s="279"/>
      <c r="N465" s="132"/>
    </row>
    <row r="466" s="243" customFormat="1" ht="20.25" spans="1:16">
      <c r="A466" s="263">
        <v>45818</v>
      </c>
      <c r="B466" s="127">
        <v>34</v>
      </c>
      <c r="C466" s="258">
        <v>45818</v>
      </c>
      <c r="D466" s="136"/>
      <c r="E466" s="136"/>
      <c r="F466" s="133" t="s">
        <v>863</v>
      </c>
      <c r="G466" s="136">
        <v>1</v>
      </c>
      <c r="H466" s="136">
        <v>0.05</v>
      </c>
      <c r="I466" s="136">
        <f t="shared" si="55"/>
        <v>0.05</v>
      </c>
      <c r="J466" s="135">
        <v>90</v>
      </c>
      <c r="K466" s="135">
        <f t="shared" si="56"/>
        <v>4.5</v>
      </c>
      <c r="L466" s="278"/>
      <c r="M466" s="279"/>
      <c r="N466" s="132"/>
    </row>
    <row r="467" s="243" customFormat="1" ht="20.25" spans="1:16">
      <c r="A467" s="263">
        <v>45818</v>
      </c>
      <c r="B467" s="127">
        <v>34</v>
      </c>
      <c r="C467" s="258">
        <v>45818</v>
      </c>
      <c r="D467" s="136"/>
      <c r="E467" s="136"/>
      <c r="F467" s="133" t="s">
        <v>432</v>
      </c>
      <c r="G467" s="136">
        <v>1</v>
      </c>
      <c r="H467" s="135">
        <v>0.1</v>
      </c>
      <c r="I467" s="136">
        <f t="shared" si="55"/>
        <v>0.1</v>
      </c>
      <c r="J467" s="130">
        <v>25</v>
      </c>
      <c r="K467" s="135">
        <f t="shared" si="56"/>
        <v>2.5</v>
      </c>
      <c r="L467" s="278"/>
      <c r="M467" s="279"/>
      <c r="N467" s="132"/>
    </row>
    <row r="468" s="243" customFormat="1" ht="20.25" spans="1:16">
      <c r="A468" s="263">
        <v>45818</v>
      </c>
      <c r="B468" s="127">
        <v>34</v>
      </c>
      <c r="C468" s="258">
        <v>45818</v>
      </c>
      <c r="D468" s="136"/>
      <c r="E468" s="136"/>
      <c r="F468" s="133" t="s">
        <v>787</v>
      </c>
      <c r="G468" s="136">
        <v>1</v>
      </c>
      <c r="H468" s="135">
        <v>0.1</v>
      </c>
      <c r="I468" s="136">
        <f t="shared" si="55"/>
        <v>0.1</v>
      </c>
      <c r="J468" s="130">
        <v>40</v>
      </c>
      <c r="K468" s="135">
        <f t="shared" si="56"/>
        <v>4</v>
      </c>
      <c r="L468" s="278"/>
      <c r="M468" s="279"/>
      <c r="N468" s="132"/>
    </row>
    <row r="469" s="243" customFormat="1" ht="20.25" spans="1:16">
      <c r="A469" s="263">
        <v>45818</v>
      </c>
      <c r="B469" s="127">
        <v>34</v>
      </c>
      <c r="C469" s="258">
        <v>45818</v>
      </c>
      <c r="D469" s="136"/>
      <c r="E469" s="136"/>
      <c r="F469" s="133" t="s">
        <v>864</v>
      </c>
      <c r="G469" s="136">
        <v>1</v>
      </c>
      <c r="H469" s="136">
        <v>0.03</v>
      </c>
      <c r="I469" s="140">
        <f t="shared" si="55"/>
        <v>0.03</v>
      </c>
      <c r="J469" s="130">
        <v>25</v>
      </c>
      <c r="K469" s="135">
        <f t="shared" si="56"/>
        <v>0.75</v>
      </c>
      <c r="L469" s="278" t="s">
        <v>851</v>
      </c>
      <c r="M469" s="279"/>
      <c r="N469" s="132"/>
    </row>
    <row r="470" s="243" customFormat="1" ht="20.25" spans="1:16">
      <c r="A470" s="263">
        <v>45818</v>
      </c>
      <c r="B470" s="127">
        <v>34</v>
      </c>
      <c r="C470" s="258">
        <v>45818</v>
      </c>
      <c r="D470" s="136"/>
      <c r="E470" s="136"/>
      <c r="F470" s="138" t="s">
        <v>865</v>
      </c>
      <c r="G470" s="114">
        <v>1</v>
      </c>
      <c r="H470" s="114">
        <f>SUM(H457:H469)</f>
        <v>10.8</v>
      </c>
      <c r="I470" s="114">
        <f t="shared" si="55"/>
        <v>10.8</v>
      </c>
      <c r="J470" s="115">
        <v>2</v>
      </c>
      <c r="K470" s="135">
        <f t="shared" si="56"/>
        <v>21.6</v>
      </c>
      <c r="L470" s="278"/>
      <c r="M470" s="279"/>
      <c r="N470" s="132"/>
    </row>
    <row r="471" s="243" customFormat="1" ht="20.25" spans="1:16">
      <c r="A471" s="263">
        <v>45818</v>
      </c>
      <c r="B471" s="127">
        <v>34</v>
      </c>
      <c r="C471" s="258">
        <v>45818</v>
      </c>
      <c r="D471" s="136"/>
      <c r="E471" s="136"/>
      <c r="F471" s="133" t="s">
        <v>462</v>
      </c>
      <c r="G471" s="136">
        <v>1</v>
      </c>
      <c r="H471" s="136">
        <v>1</v>
      </c>
      <c r="I471" s="136">
        <f t="shared" si="55"/>
        <v>1</v>
      </c>
      <c r="J471" s="135">
        <v>12.5</v>
      </c>
      <c r="K471" s="135">
        <f t="shared" si="56"/>
        <v>12.5</v>
      </c>
      <c r="L471" s="278"/>
      <c r="M471" s="279"/>
      <c r="N471" s="132"/>
    </row>
    <row r="472" s="243" customFormat="1" ht="20.25" spans="1:16">
      <c r="A472" s="263">
        <v>45818</v>
      </c>
      <c r="B472" s="127">
        <v>34</v>
      </c>
      <c r="C472" s="258">
        <v>45818</v>
      </c>
      <c r="D472" s="136"/>
      <c r="E472" s="136"/>
      <c r="F472" s="138" t="s">
        <v>866</v>
      </c>
      <c r="G472" s="136">
        <v>1</v>
      </c>
      <c r="H472" s="136">
        <v>3</v>
      </c>
      <c r="I472" s="136">
        <f t="shared" si="55"/>
        <v>3</v>
      </c>
      <c r="J472" s="135">
        <v>14.5</v>
      </c>
      <c r="K472" s="135">
        <f t="shared" si="56"/>
        <v>43.5</v>
      </c>
      <c r="L472" s="278"/>
      <c r="M472" s="279"/>
      <c r="N472" s="132"/>
      <c r="O472" s="243">
        <f t="shared" ref="O472:O477" si="57">SUM(K472)</f>
        <v>43.5</v>
      </c>
      <c r="P472" s="243" t="s">
        <v>587</v>
      </c>
    </row>
    <row r="473" s="243" customFormat="1" ht="20.25" spans="1:16">
      <c r="A473" s="263">
        <v>45818</v>
      </c>
      <c r="B473" s="127">
        <v>34</v>
      </c>
      <c r="C473" s="258">
        <v>45818</v>
      </c>
      <c r="D473" s="136"/>
      <c r="E473" s="136"/>
      <c r="F473" s="133" t="s">
        <v>641</v>
      </c>
      <c r="G473" s="136">
        <v>1</v>
      </c>
      <c r="H473" s="136">
        <v>1</v>
      </c>
      <c r="I473" s="136">
        <f t="shared" si="55"/>
        <v>1</v>
      </c>
      <c r="J473" s="135">
        <v>5</v>
      </c>
      <c r="K473" s="135">
        <f t="shared" si="56"/>
        <v>5</v>
      </c>
      <c r="L473" s="278" t="s">
        <v>618</v>
      </c>
      <c r="M473" s="279"/>
      <c r="N473" s="132"/>
      <c r="O473" s="243">
        <f t="shared" si="57"/>
        <v>5</v>
      </c>
      <c r="P473" s="243" t="s">
        <v>587</v>
      </c>
    </row>
    <row r="474" s="243" customFormat="1" ht="20.25" spans="1:16">
      <c r="A474" s="263">
        <v>45818</v>
      </c>
      <c r="B474" s="127">
        <v>34</v>
      </c>
      <c r="C474" s="258">
        <v>45818</v>
      </c>
      <c r="D474" s="136"/>
      <c r="E474" s="136"/>
      <c r="F474" s="131" t="s">
        <v>406</v>
      </c>
      <c r="G474" s="136">
        <v>1</v>
      </c>
      <c r="H474" s="136">
        <v>0.3</v>
      </c>
      <c r="I474" s="136">
        <f t="shared" si="55"/>
        <v>0.3</v>
      </c>
      <c r="J474" s="135">
        <v>6.8</v>
      </c>
      <c r="K474" s="135">
        <f t="shared" si="56"/>
        <v>2.04</v>
      </c>
      <c r="L474" s="278" t="s">
        <v>601</v>
      </c>
      <c r="M474" s="279"/>
      <c r="N474" s="132"/>
    </row>
    <row r="475" s="243" customFormat="1" ht="20.25" spans="1:16">
      <c r="A475" s="263">
        <v>45818</v>
      </c>
      <c r="B475" s="127">
        <v>34</v>
      </c>
      <c r="C475" s="258">
        <v>45818</v>
      </c>
      <c r="D475" s="136"/>
      <c r="E475" s="136"/>
      <c r="F475" s="131" t="s">
        <v>311</v>
      </c>
      <c r="G475" s="136">
        <v>1</v>
      </c>
      <c r="H475" s="136">
        <v>2.7</v>
      </c>
      <c r="I475" s="136">
        <f t="shared" si="55"/>
        <v>2.7</v>
      </c>
      <c r="J475" s="135">
        <v>6.8</v>
      </c>
      <c r="K475" s="135">
        <f t="shared" si="56"/>
        <v>18.36</v>
      </c>
      <c r="L475" s="278"/>
      <c r="M475" s="279"/>
      <c r="N475" s="132"/>
    </row>
    <row r="476" s="243" customFormat="1" ht="20.25" spans="1:16">
      <c r="A476" s="263">
        <v>45818</v>
      </c>
      <c r="B476" s="127">
        <v>34</v>
      </c>
      <c r="C476" s="258">
        <v>45818</v>
      </c>
      <c r="D476" s="136"/>
      <c r="E476" s="136"/>
      <c r="F476" s="247" t="s">
        <v>867</v>
      </c>
      <c r="G476" s="136">
        <v>1</v>
      </c>
      <c r="H476" s="136">
        <f>SUM(H474:H475)</f>
        <v>3</v>
      </c>
      <c r="I476" s="136">
        <f t="shared" si="55"/>
        <v>3</v>
      </c>
      <c r="J476" s="135">
        <v>0.7</v>
      </c>
      <c r="K476" s="135">
        <f t="shared" si="56"/>
        <v>2.1</v>
      </c>
      <c r="L476" s="283" t="s">
        <v>855</v>
      </c>
      <c r="M476" s="278"/>
      <c r="N476" s="132"/>
    </row>
    <row r="477" s="243" customFormat="1" ht="20.25" spans="1:16">
      <c r="A477" s="263">
        <v>45818</v>
      </c>
      <c r="B477" s="127">
        <v>34</v>
      </c>
      <c r="C477" s="258">
        <v>45818</v>
      </c>
      <c r="D477" s="136"/>
      <c r="E477" s="136"/>
      <c r="F477" s="131" t="s">
        <v>796</v>
      </c>
      <c r="G477" s="136">
        <v>1</v>
      </c>
      <c r="H477" s="136">
        <v>1</v>
      </c>
      <c r="I477" s="136">
        <f t="shared" si="55"/>
        <v>1</v>
      </c>
      <c r="J477" s="135">
        <v>5</v>
      </c>
      <c r="K477" s="135">
        <f t="shared" si="56"/>
        <v>5</v>
      </c>
      <c r="L477" s="131"/>
      <c r="M477" s="278">
        <f>SUM(K457:K477)</f>
        <v>195</v>
      </c>
      <c r="N477" s="132"/>
      <c r="O477" s="243">
        <f t="shared" si="57"/>
        <v>5</v>
      </c>
      <c r="P477" s="243" t="s">
        <v>587</v>
      </c>
    </row>
    <row r="478" s="245" customFormat="1" ht="20.25" spans="1:16">
      <c r="A478" s="284">
        <v>45853</v>
      </c>
      <c r="B478" s="105">
        <v>55</v>
      </c>
      <c r="C478" s="285">
        <v>45853</v>
      </c>
      <c r="D478" s="108"/>
      <c r="E478" s="108"/>
      <c r="F478" s="286" t="s">
        <v>688</v>
      </c>
      <c r="G478" s="108">
        <v>1</v>
      </c>
      <c r="H478" s="110">
        <v>8</v>
      </c>
      <c r="I478" s="290">
        <f t="shared" si="55"/>
        <v>8</v>
      </c>
      <c r="J478" s="109">
        <v>12</v>
      </c>
      <c r="K478" s="109"/>
      <c r="L478" s="287"/>
      <c r="M478" s="288"/>
      <c r="N478" s="111"/>
    </row>
    <row r="479" s="245" customFormat="1" ht="20.25" spans="1:16">
      <c r="A479" s="284">
        <v>45853</v>
      </c>
      <c r="B479" s="105">
        <v>55</v>
      </c>
      <c r="C479" s="285">
        <v>45853</v>
      </c>
      <c r="D479" s="108"/>
      <c r="E479" s="108"/>
      <c r="F479" s="245" t="s">
        <v>120</v>
      </c>
      <c r="G479" s="108">
        <v>1</v>
      </c>
      <c r="H479" s="110">
        <v>0.2</v>
      </c>
      <c r="I479" s="290">
        <f t="shared" si="55"/>
        <v>0.2</v>
      </c>
      <c r="J479" s="109">
        <v>17</v>
      </c>
      <c r="K479" s="109">
        <f t="shared" ref="K479:K487" si="58">I479*J479</f>
        <v>3.4</v>
      </c>
      <c r="L479" s="287"/>
      <c r="M479" s="288"/>
      <c r="N479" s="111"/>
    </row>
    <row r="480" s="245" customFormat="1" ht="20.25" spans="1:16">
      <c r="A480" s="284">
        <v>45853</v>
      </c>
      <c r="B480" s="105">
        <v>55</v>
      </c>
      <c r="C480" s="285">
        <v>45853</v>
      </c>
      <c r="D480" s="108"/>
      <c r="E480" s="108"/>
      <c r="F480" s="245" t="s">
        <v>868</v>
      </c>
      <c r="G480" s="108">
        <v>1</v>
      </c>
      <c r="H480" s="110">
        <v>2</v>
      </c>
      <c r="I480" s="290">
        <f t="shared" si="55"/>
        <v>2</v>
      </c>
      <c r="J480" s="109">
        <v>2</v>
      </c>
      <c r="K480" s="109">
        <f t="shared" si="58"/>
        <v>4</v>
      </c>
      <c r="L480" s="287"/>
      <c r="M480" s="108"/>
      <c r="N480" s="111"/>
    </row>
    <row r="481" s="245" customFormat="1" ht="20.25" spans="1:14">
      <c r="A481" s="284">
        <v>45853</v>
      </c>
      <c r="B481" s="105">
        <v>55</v>
      </c>
      <c r="C481" s="285">
        <v>45853</v>
      </c>
      <c r="D481" s="108"/>
      <c r="E481" s="108"/>
      <c r="F481" s="245" t="s">
        <v>122</v>
      </c>
      <c r="G481" s="108">
        <v>1</v>
      </c>
      <c r="H481" s="110">
        <v>1</v>
      </c>
      <c r="I481" s="290">
        <f t="shared" si="55"/>
        <v>1</v>
      </c>
      <c r="J481" s="109">
        <v>6.7</v>
      </c>
      <c r="K481" s="109">
        <f t="shared" si="58"/>
        <v>6.7</v>
      </c>
      <c r="L481" s="287"/>
      <c r="M481" s="108"/>
      <c r="N481" s="111"/>
    </row>
    <row r="482" s="245" customFormat="1" ht="20.25" spans="1:14">
      <c r="A482" s="284">
        <v>45853</v>
      </c>
      <c r="B482" s="105">
        <v>55</v>
      </c>
      <c r="C482" s="285">
        <v>45853</v>
      </c>
      <c r="D482" s="108"/>
      <c r="E482" s="108"/>
      <c r="F482" s="245" t="s">
        <v>434</v>
      </c>
      <c r="G482" s="108">
        <v>1</v>
      </c>
      <c r="H482" s="110">
        <v>0.8</v>
      </c>
      <c r="I482" s="290">
        <f t="shared" si="55"/>
        <v>0.8</v>
      </c>
      <c r="J482" s="109">
        <v>6.6</v>
      </c>
      <c r="K482" s="109">
        <f t="shared" si="58"/>
        <v>5.28</v>
      </c>
      <c r="L482" s="287"/>
      <c r="M482" s="288"/>
      <c r="N482" s="111"/>
    </row>
    <row r="483" s="245" customFormat="1" ht="20.25" spans="1:14">
      <c r="A483" s="284">
        <v>45853</v>
      </c>
      <c r="B483" s="105">
        <v>55</v>
      </c>
      <c r="C483" s="285">
        <v>45853</v>
      </c>
      <c r="D483" s="108"/>
      <c r="E483" s="108"/>
      <c r="F483" s="245" t="s">
        <v>323</v>
      </c>
      <c r="G483" s="108">
        <v>1</v>
      </c>
      <c r="H483" s="110">
        <v>8</v>
      </c>
      <c r="I483" s="290">
        <f t="shared" si="55"/>
        <v>8</v>
      </c>
      <c r="J483" s="109">
        <v>16</v>
      </c>
      <c r="K483" s="109">
        <f t="shared" si="58"/>
        <v>128</v>
      </c>
      <c r="L483" s="287"/>
      <c r="M483" s="288"/>
      <c r="N483" s="111"/>
    </row>
    <row r="484" s="245" customFormat="1" ht="20.25" spans="1:14">
      <c r="A484" s="284">
        <v>45853</v>
      </c>
      <c r="B484" s="105">
        <v>55</v>
      </c>
      <c r="C484" s="285">
        <v>45853</v>
      </c>
      <c r="D484" s="108"/>
      <c r="E484" s="108"/>
      <c r="F484" s="110" t="s">
        <v>848</v>
      </c>
      <c r="G484" s="107">
        <v>1</v>
      </c>
      <c r="H484" s="110">
        <v>0.2</v>
      </c>
      <c r="I484" s="290">
        <f t="shared" si="55"/>
        <v>0.2</v>
      </c>
      <c r="J484" s="109">
        <v>17</v>
      </c>
      <c r="K484" s="109">
        <f t="shared" si="58"/>
        <v>3.4</v>
      </c>
      <c r="L484" s="287" t="s">
        <v>812</v>
      </c>
      <c r="M484" s="288"/>
      <c r="N484" s="111"/>
    </row>
    <row r="485" s="245" customFormat="1" ht="20.25" spans="1:14">
      <c r="A485" s="284">
        <v>45853</v>
      </c>
      <c r="B485" s="105">
        <v>55</v>
      </c>
      <c r="C485" s="285">
        <v>45853</v>
      </c>
      <c r="D485" s="108"/>
      <c r="E485" s="108"/>
      <c r="F485" s="106">
        <v>2038</v>
      </c>
      <c r="G485" s="107">
        <v>1</v>
      </c>
      <c r="H485" s="110">
        <v>0.04</v>
      </c>
      <c r="I485" s="290">
        <f t="shared" si="55"/>
        <v>0.04</v>
      </c>
      <c r="J485" s="109">
        <v>55</v>
      </c>
      <c r="K485" s="109">
        <f t="shared" si="58"/>
        <v>2.2</v>
      </c>
      <c r="L485" s="287" t="s">
        <v>814</v>
      </c>
      <c r="M485" s="288"/>
      <c r="N485" s="111"/>
    </row>
    <row r="486" s="1" customFormat="1" ht="20.25" spans="1:14">
      <c r="A486" s="284">
        <v>45853</v>
      </c>
      <c r="B486" s="105">
        <v>55</v>
      </c>
      <c r="C486" s="285">
        <v>45853</v>
      </c>
      <c r="D486" s="108"/>
      <c r="E486" s="108"/>
      <c r="F486" s="106">
        <v>3033</v>
      </c>
      <c r="G486" s="107">
        <v>1</v>
      </c>
      <c r="H486" s="110">
        <v>0.04</v>
      </c>
      <c r="I486" s="290">
        <f t="shared" si="55"/>
        <v>0.04</v>
      </c>
      <c r="J486" s="109">
        <v>60</v>
      </c>
      <c r="K486" s="109">
        <f t="shared" si="58"/>
        <v>2.4</v>
      </c>
      <c r="L486" s="110"/>
      <c r="M486" s="108"/>
      <c r="N486" s="111"/>
    </row>
    <row r="487" s="1" customFormat="1" ht="20.25" spans="1:14">
      <c r="A487" s="284">
        <v>45853</v>
      </c>
      <c r="B487" s="105">
        <v>55</v>
      </c>
      <c r="C487" s="285">
        <v>45853</v>
      </c>
      <c r="D487" s="108"/>
      <c r="E487" s="108"/>
      <c r="F487" s="110" t="s">
        <v>860</v>
      </c>
      <c r="G487" s="107">
        <v>1</v>
      </c>
      <c r="H487" s="110">
        <v>0.02</v>
      </c>
      <c r="I487" s="290">
        <f t="shared" si="55"/>
        <v>0.02</v>
      </c>
      <c r="J487" s="109">
        <v>170</v>
      </c>
      <c r="K487" s="109">
        <f t="shared" si="58"/>
        <v>3.4</v>
      </c>
      <c r="L487" s="110" t="s">
        <v>815</v>
      </c>
      <c r="M487" s="108"/>
      <c r="N487" s="111"/>
    </row>
    <row r="488" s="1" customFormat="1" ht="20.25" spans="1:14">
      <c r="A488" s="284">
        <v>45853</v>
      </c>
      <c r="B488" s="105">
        <v>55</v>
      </c>
      <c r="C488" s="285">
        <v>45853</v>
      </c>
      <c r="D488" s="108"/>
      <c r="E488" s="108"/>
      <c r="F488" s="245" t="s">
        <v>869</v>
      </c>
      <c r="G488" s="108">
        <v>1</v>
      </c>
      <c r="H488" s="108">
        <f>SUM(H478:H487)</f>
        <v>20.3</v>
      </c>
      <c r="I488" s="290">
        <f t="shared" si="55"/>
        <v>20.3</v>
      </c>
      <c r="J488" s="109">
        <v>2</v>
      </c>
      <c r="K488" s="109">
        <f t="shared" ref="K488:K498" si="59">I488*J488</f>
        <v>40.6</v>
      </c>
      <c r="L488" s="110"/>
      <c r="M488" s="110"/>
      <c r="N488" s="111"/>
    </row>
    <row r="489" s="245" customFormat="1" ht="20.25" spans="1:14">
      <c r="A489" s="284">
        <v>45853</v>
      </c>
      <c r="B489" s="105">
        <v>55</v>
      </c>
      <c r="C489" s="285">
        <v>45853</v>
      </c>
      <c r="D489" s="108"/>
      <c r="E489" s="108"/>
      <c r="F489" s="245" t="s">
        <v>820</v>
      </c>
      <c r="G489" s="108">
        <v>1</v>
      </c>
      <c r="H489" s="108">
        <v>1</v>
      </c>
      <c r="I489" s="290">
        <f t="shared" si="55"/>
        <v>1</v>
      </c>
      <c r="J489" s="109">
        <v>12.5</v>
      </c>
      <c r="K489" s="109">
        <f t="shared" si="59"/>
        <v>12.5</v>
      </c>
      <c r="L489" s="287">
        <f>SUM(K478:K489)</f>
        <v>211.88</v>
      </c>
      <c r="M489" s="288"/>
      <c r="N489" s="111"/>
    </row>
    <row r="490" s="243" customFormat="1" ht="20.25" spans="1:14">
      <c r="A490" s="263">
        <v>45853</v>
      </c>
      <c r="B490" s="127">
        <v>56</v>
      </c>
      <c r="C490" s="258">
        <v>45853</v>
      </c>
      <c r="D490" s="136"/>
      <c r="E490" s="136"/>
      <c r="F490" s="264" t="s">
        <v>866</v>
      </c>
      <c r="G490" s="136">
        <v>1</v>
      </c>
      <c r="H490" s="136">
        <v>5</v>
      </c>
      <c r="I490" s="282">
        <f t="shared" si="55"/>
        <v>5</v>
      </c>
      <c r="J490" s="135">
        <v>16.5</v>
      </c>
      <c r="K490" s="135">
        <f t="shared" si="59"/>
        <v>82.5</v>
      </c>
      <c r="L490" s="283" t="s">
        <v>870</v>
      </c>
      <c r="M490" s="278"/>
      <c r="N490" s="132"/>
    </row>
    <row r="491" s="243" customFormat="1" ht="20.25" spans="1:14">
      <c r="A491" s="263">
        <v>45853</v>
      </c>
      <c r="B491" s="127">
        <v>56</v>
      </c>
      <c r="C491" s="258">
        <v>45853</v>
      </c>
      <c r="D491" s="136"/>
      <c r="E491" s="136"/>
      <c r="F491" s="264" t="s">
        <v>871</v>
      </c>
      <c r="G491" s="136">
        <v>1</v>
      </c>
      <c r="H491" s="136">
        <v>1</v>
      </c>
      <c r="I491" s="282">
        <f t="shared" si="55"/>
        <v>1</v>
      </c>
      <c r="J491" s="135">
        <v>9</v>
      </c>
      <c r="K491" s="135">
        <f t="shared" si="59"/>
        <v>9</v>
      </c>
      <c r="L491" s="283"/>
      <c r="M491" s="278"/>
      <c r="N491" s="132"/>
    </row>
    <row r="492" s="243" customFormat="1" ht="20.25" spans="1:14">
      <c r="A492" s="263">
        <v>45853</v>
      </c>
      <c r="B492" s="127">
        <v>56</v>
      </c>
      <c r="C492" s="258">
        <v>45853</v>
      </c>
      <c r="D492" s="136"/>
      <c r="E492" s="136"/>
      <c r="F492" s="264" t="s">
        <v>872</v>
      </c>
      <c r="G492" s="136">
        <v>1</v>
      </c>
      <c r="H492" s="136">
        <v>25</v>
      </c>
      <c r="I492" s="282">
        <f t="shared" si="55"/>
        <v>25</v>
      </c>
      <c r="J492" s="135">
        <v>12</v>
      </c>
      <c r="K492" s="135">
        <f t="shared" si="59"/>
        <v>300</v>
      </c>
      <c r="L492" s="283"/>
      <c r="M492" s="278"/>
      <c r="N492" s="132"/>
    </row>
    <row r="493" s="243" customFormat="1" ht="20.25" spans="1:14">
      <c r="A493" s="263">
        <v>45853</v>
      </c>
      <c r="B493" s="127">
        <v>56</v>
      </c>
      <c r="C493" s="258">
        <v>45853</v>
      </c>
      <c r="D493" s="136"/>
      <c r="E493" s="136"/>
      <c r="F493" s="243" t="s">
        <v>820</v>
      </c>
      <c r="G493" s="136">
        <v>1</v>
      </c>
      <c r="H493" s="136">
        <v>1</v>
      </c>
      <c r="I493" s="282">
        <f t="shared" si="55"/>
        <v>1</v>
      </c>
      <c r="J493" s="135">
        <v>12.5</v>
      </c>
      <c r="K493" s="135">
        <f t="shared" si="59"/>
        <v>12.5</v>
      </c>
      <c r="L493" s="283"/>
      <c r="M493" s="278"/>
      <c r="N493" s="132"/>
    </row>
    <row r="494" s="243" customFormat="1" ht="20.25" spans="1:14">
      <c r="A494" s="263">
        <v>45853</v>
      </c>
      <c r="B494" s="127">
        <v>56</v>
      </c>
      <c r="C494" s="258">
        <v>45853</v>
      </c>
      <c r="D494" s="136"/>
      <c r="E494" s="136"/>
      <c r="F494" s="264" t="s">
        <v>873</v>
      </c>
      <c r="G494" s="136">
        <v>1</v>
      </c>
      <c r="H494" s="136">
        <v>1.3</v>
      </c>
      <c r="I494" s="282">
        <f t="shared" si="55"/>
        <v>1.3</v>
      </c>
      <c r="J494" s="135">
        <v>15</v>
      </c>
      <c r="K494" s="135">
        <f t="shared" si="59"/>
        <v>19.5</v>
      </c>
      <c r="L494" s="283"/>
      <c r="M494" s="278"/>
      <c r="N494" s="132"/>
    </row>
    <row r="495" s="243" customFormat="1" ht="20.25" spans="1:14">
      <c r="A495" s="263">
        <v>45853</v>
      </c>
      <c r="B495" s="127">
        <v>56</v>
      </c>
      <c r="C495" s="258">
        <v>45853</v>
      </c>
      <c r="D495" s="136"/>
      <c r="E495" s="136"/>
      <c r="F495" s="264" t="s">
        <v>874</v>
      </c>
      <c r="G495" s="136">
        <v>1</v>
      </c>
      <c r="H495" s="136">
        <v>1</v>
      </c>
      <c r="I495" s="282">
        <f t="shared" si="55"/>
        <v>1</v>
      </c>
      <c r="J495" s="135">
        <v>6.6</v>
      </c>
      <c r="K495" s="135">
        <f t="shared" si="59"/>
        <v>6.6</v>
      </c>
      <c r="L495" s="283"/>
      <c r="M495" s="278"/>
      <c r="N495" s="132"/>
    </row>
    <row r="496" s="243" customFormat="1" ht="20.25" spans="1:14">
      <c r="A496" s="263">
        <v>45853</v>
      </c>
      <c r="B496" s="127">
        <v>56</v>
      </c>
      <c r="C496" s="258">
        <v>45853</v>
      </c>
      <c r="D496" s="136"/>
      <c r="E496" s="136"/>
      <c r="F496" s="264" t="s">
        <v>875</v>
      </c>
      <c r="G496" s="136">
        <v>1</v>
      </c>
      <c r="H496" s="136">
        <v>1</v>
      </c>
      <c r="I496" s="282">
        <f t="shared" si="55"/>
        <v>1</v>
      </c>
      <c r="J496" s="135">
        <v>6.7</v>
      </c>
      <c r="K496" s="135">
        <f t="shared" si="59"/>
        <v>6.7</v>
      </c>
      <c r="L496" s="283"/>
      <c r="N496" s="132"/>
    </row>
    <row r="497" s="243" customFormat="1" ht="20.25" spans="1:14">
      <c r="A497" s="263">
        <v>45853</v>
      </c>
      <c r="B497" s="127">
        <v>56</v>
      </c>
      <c r="C497" s="258">
        <v>45853</v>
      </c>
      <c r="D497" s="136"/>
      <c r="E497" s="136"/>
      <c r="F497" s="264" t="s">
        <v>876</v>
      </c>
      <c r="G497" s="136">
        <v>2</v>
      </c>
      <c r="H497" s="136">
        <v>1</v>
      </c>
      <c r="I497" s="282">
        <f t="shared" si="55"/>
        <v>2</v>
      </c>
      <c r="J497" s="135">
        <v>9</v>
      </c>
      <c r="K497" s="135">
        <f t="shared" si="59"/>
        <v>18</v>
      </c>
      <c r="L497" s="278"/>
      <c r="M497" s="278"/>
      <c r="N497" s="132"/>
    </row>
    <row r="498" s="243" customFormat="1" ht="20.25" spans="1:14">
      <c r="A498" s="263">
        <v>45853</v>
      </c>
      <c r="B498" s="127">
        <v>56</v>
      </c>
      <c r="C498" s="258">
        <v>45853</v>
      </c>
      <c r="D498" s="136"/>
      <c r="E498" s="136"/>
      <c r="F498" s="264" t="s">
        <v>877</v>
      </c>
      <c r="G498" s="136">
        <v>1</v>
      </c>
      <c r="H498" s="136">
        <v>1</v>
      </c>
      <c r="I498" s="282">
        <f t="shared" si="55"/>
        <v>1</v>
      </c>
      <c r="J498" s="135">
        <v>5</v>
      </c>
      <c r="K498" s="135">
        <f t="shared" si="59"/>
        <v>5</v>
      </c>
      <c r="L498" s="283">
        <f>SUM(K490:K498)</f>
        <v>459.8</v>
      </c>
      <c r="M498" s="278"/>
      <c r="N498" s="132"/>
    </row>
    <row r="499" s="245" customFormat="1" ht="20.25" spans="1:14">
      <c r="A499" s="284">
        <v>45854</v>
      </c>
      <c r="B499" s="105">
        <v>62</v>
      </c>
      <c r="C499" s="285">
        <v>45854</v>
      </c>
      <c r="D499" s="108"/>
      <c r="E499" s="108"/>
      <c r="F499" s="286" t="s">
        <v>878</v>
      </c>
      <c r="G499" s="108">
        <v>1</v>
      </c>
      <c r="H499" s="274">
        <v>120</v>
      </c>
      <c r="I499" s="290">
        <f t="shared" si="55"/>
        <v>120</v>
      </c>
      <c r="J499" s="109">
        <v>11.6</v>
      </c>
      <c r="K499" s="109"/>
      <c r="L499" s="287"/>
      <c r="M499" s="288">
        <v>3.6</v>
      </c>
      <c r="N499" s="111"/>
    </row>
    <row r="500" s="245" customFormat="1" ht="20.25" spans="1:14">
      <c r="A500" s="284">
        <v>45854</v>
      </c>
      <c r="B500" s="105">
        <v>62</v>
      </c>
      <c r="C500" s="285">
        <v>45854</v>
      </c>
      <c r="D500" s="108"/>
      <c r="E500" s="108"/>
      <c r="F500" s="245" t="s">
        <v>120</v>
      </c>
      <c r="G500" s="108">
        <v>1</v>
      </c>
      <c r="H500" s="108">
        <v>7.5</v>
      </c>
      <c r="I500" s="290">
        <f t="shared" ref="I500:I510" si="60">G500*H500</f>
        <v>7.5</v>
      </c>
      <c r="J500" s="109">
        <v>17</v>
      </c>
      <c r="K500" s="109">
        <f t="shared" ref="K500:K505" si="61">I500*J500</f>
        <v>127.5</v>
      </c>
      <c r="L500" s="287"/>
      <c r="M500" s="288">
        <v>0.3</v>
      </c>
      <c r="N500" s="111"/>
    </row>
    <row r="501" s="245" customFormat="1" ht="20.25" spans="1:14">
      <c r="A501" s="284">
        <v>45854</v>
      </c>
      <c r="B501" s="105">
        <v>62</v>
      </c>
      <c r="C501" s="285">
        <v>45854</v>
      </c>
      <c r="D501" s="108"/>
      <c r="E501" s="108"/>
      <c r="F501" s="245" t="s">
        <v>121</v>
      </c>
      <c r="G501" s="108">
        <v>1</v>
      </c>
      <c r="H501" s="108">
        <v>56</v>
      </c>
      <c r="I501" s="290">
        <f t="shared" si="60"/>
        <v>56</v>
      </c>
      <c r="J501" s="109">
        <v>0.6</v>
      </c>
      <c r="K501" s="109">
        <f t="shared" si="61"/>
        <v>33.6</v>
      </c>
      <c r="L501" s="287"/>
      <c r="M501" s="288">
        <v>1.7</v>
      </c>
      <c r="N501" s="111"/>
    </row>
    <row r="502" s="245" customFormat="1" ht="20.25" spans="1:14">
      <c r="A502" s="284">
        <v>45854</v>
      </c>
      <c r="B502" s="105">
        <v>62</v>
      </c>
      <c r="C502" s="285">
        <v>45854</v>
      </c>
      <c r="D502" s="108"/>
      <c r="E502" s="108"/>
      <c r="F502" s="245" t="s">
        <v>122</v>
      </c>
      <c r="G502" s="108">
        <v>1</v>
      </c>
      <c r="H502" s="108">
        <v>113</v>
      </c>
      <c r="I502" s="290">
        <f t="shared" si="60"/>
        <v>113</v>
      </c>
      <c r="J502" s="109">
        <v>6.7</v>
      </c>
      <c r="K502" s="109">
        <f t="shared" si="61"/>
        <v>757.1</v>
      </c>
      <c r="L502" s="287"/>
      <c r="M502" s="288">
        <v>3.5</v>
      </c>
      <c r="N502" s="111"/>
    </row>
    <row r="503" s="245" customFormat="1" ht="20.25" spans="1:14">
      <c r="A503" s="284">
        <v>45854</v>
      </c>
      <c r="B503" s="105">
        <v>62</v>
      </c>
      <c r="C503" s="285">
        <v>45854</v>
      </c>
      <c r="D503" s="108"/>
      <c r="E503" s="108"/>
      <c r="F503" s="286">
        <v>808</v>
      </c>
      <c r="G503" s="108">
        <v>1</v>
      </c>
      <c r="H503" s="108">
        <v>8</v>
      </c>
      <c r="I503" s="290">
        <f t="shared" si="60"/>
        <v>8</v>
      </c>
      <c r="J503" s="109">
        <v>8</v>
      </c>
      <c r="K503" s="109">
        <f t="shared" si="61"/>
        <v>64</v>
      </c>
      <c r="L503" s="287" t="s">
        <v>822</v>
      </c>
      <c r="M503" s="288">
        <v>0.3</v>
      </c>
      <c r="N503" s="111"/>
    </row>
    <row r="504" s="245" customFormat="1" ht="20.25" spans="1:14">
      <c r="A504" s="284">
        <v>45854</v>
      </c>
      <c r="B504" s="105">
        <v>62</v>
      </c>
      <c r="C504" s="285">
        <v>45854</v>
      </c>
      <c r="D504" s="108"/>
      <c r="E504" s="108"/>
      <c r="F504" s="245" t="s">
        <v>810</v>
      </c>
      <c r="G504" s="108">
        <v>1</v>
      </c>
      <c r="H504" s="108">
        <v>48</v>
      </c>
      <c r="I504" s="290">
        <f t="shared" si="60"/>
        <v>48</v>
      </c>
      <c r="J504" s="109">
        <v>3.4</v>
      </c>
      <c r="K504" s="109">
        <f t="shared" si="61"/>
        <v>163.2</v>
      </c>
      <c r="L504" s="287"/>
      <c r="M504" s="288">
        <v>1.5</v>
      </c>
      <c r="N504" s="111"/>
    </row>
    <row r="505" s="1" customFormat="1" ht="20.25" spans="1:14">
      <c r="A505" s="284">
        <v>45854</v>
      </c>
      <c r="B505" s="105">
        <v>62</v>
      </c>
      <c r="C505" s="285">
        <v>45854</v>
      </c>
      <c r="D505" s="108"/>
      <c r="E505" s="108"/>
      <c r="F505" s="110" t="s">
        <v>124</v>
      </c>
      <c r="G505" s="107">
        <v>1</v>
      </c>
      <c r="H505" s="107">
        <v>10</v>
      </c>
      <c r="I505" s="290">
        <f t="shared" si="60"/>
        <v>10</v>
      </c>
      <c r="J505" s="109"/>
      <c r="K505" s="109"/>
      <c r="L505" s="110"/>
      <c r="M505" s="108"/>
      <c r="N505" s="111"/>
    </row>
    <row r="506" s="1" customFormat="1" ht="20.25" spans="1:14">
      <c r="A506" s="284">
        <v>45854</v>
      </c>
      <c r="B506" s="105">
        <v>62</v>
      </c>
      <c r="C506" s="285">
        <v>45854</v>
      </c>
      <c r="D506" s="108"/>
      <c r="E506" s="108"/>
      <c r="F506" s="110" t="s">
        <v>323</v>
      </c>
      <c r="G506" s="107">
        <v>1</v>
      </c>
      <c r="H506" s="107">
        <v>51</v>
      </c>
      <c r="I506" s="290">
        <f t="shared" si="60"/>
        <v>51</v>
      </c>
      <c r="J506" s="109">
        <v>15</v>
      </c>
      <c r="K506" s="109">
        <f t="shared" ref="K505:K513" si="62">I506*J506</f>
        <v>765</v>
      </c>
      <c r="L506" s="110"/>
      <c r="M506" s="108">
        <v>1.9</v>
      </c>
      <c r="N506" s="111"/>
    </row>
    <row r="507" s="1" customFormat="1" ht="20.25" spans="1:14">
      <c r="A507" s="284">
        <v>45854</v>
      </c>
      <c r="B507" s="105">
        <v>62</v>
      </c>
      <c r="C507" s="285">
        <v>45854</v>
      </c>
      <c r="D507" s="108"/>
      <c r="E507" s="108"/>
      <c r="F507" s="110" t="s">
        <v>879</v>
      </c>
      <c r="G507" s="107">
        <v>1</v>
      </c>
      <c r="H507" s="107">
        <v>4</v>
      </c>
      <c r="I507" s="290">
        <f t="shared" si="60"/>
        <v>4</v>
      </c>
      <c r="J507" s="109">
        <v>40</v>
      </c>
      <c r="K507" s="109">
        <f t="shared" si="62"/>
        <v>160</v>
      </c>
      <c r="L507" s="110"/>
      <c r="M507" s="108">
        <v>0.1</v>
      </c>
      <c r="N507" s="111"/>
    </row>
    <row r="508" s="245" customFormat="1" ht="20.25" spans="1:14">
      <c r="A508" s="284">
        <v>45854</v>
      </c>
      <c r="B508" s="105">
        <v>62</v>
      </c>
      <c r="C508" s="285">
        <v>45854</v>
      </c>
      <c r="D508" s="108"/>
      <c r="E508" s="108"/>
      <c r="F508" s="245" t="s">
        <v>351</v>
      </c>
      <c r="G508" s="108">
        <v>1</v>
      </c>
      <c r="H508" s="108">
        <v>1</v>
      </c>
      <c r="I508" s="290">
        <f t="shared" si="60"/>
        <v>1</v>
      </c>
      <c r="J508" s="109">
        <v>25</v>
      </c>
      <c r="K508" s="109">
        <f t="shared" si="62"/>
        <v>25</v>
      </c>
      <c r="L508" s="287" t="s">
        <v>880</v>
      </c>
      <c r="M508" s="288">
        <v>0.3</v>
      </c>
      <c r="N508" s="111"/>
    </row>
    <row r="509" s="245" customFormat="1" ht="20.25" spans="1:14">
      <c r="A509" s="284">
        <v>45854</v>
      </c>
      <c r="B509" s="105">
        <v>62</v>
      </c>
      <c r="C509" s="285">
        <v>45854</v>
      </c>
      <c r="D509" s="108"/>
      <c r="E509" s="108"/>
      <c r="F509" s="245" t="s">
        <v>787</v>
      </c>
      <c r="G509" s="108">
        <v>1</v>
      </c>
      <c r="H509" s="108">
        <v>3</v>
      </c>
      <c r="I509" s="290">
        <f t="shared" si="60"/>
        <v>3</v>
      </c>
      <c r="J509" s="109">
        <v>38</v>
      </c>
      <c r="K509" s="109">
        <f t="shared" si="62"/>
        <v>114</v>
      </c>
      <c r="L509" s="287" t="s">
        <v>881</v>
      </c>
      <c r="M509" s="288">
        <v>0.1</v>
      </c>
      <c r="N509" s="111"/>
    </row>
    <row r="510" s="245" customFormat="1" ht="20.25" spans="1:14">
      <c r="A510" s="284">
        <v>45854</v>
      </c>
      <c r="B510" s="105">
        <v>62</v>
      </c>
      <c r="C510" s="285">
        <v>45854</v>
      </c>
      <c r="D510" s="108"/>
      <c r="E510" s="108"/>
      <c r="F510" s="245" t="s">
        <v>575</v>
      </c>
      <c r="G510" s="108">
        <v>1</v>
      </c>
      <c r="H510" s="108">
        <v>2</v>
      </c>
      <c r="I510" s="290">
        <f t="shared" si="60"/>
        <v>2</v>
      </c>
      <c r="J510" s="109">
        <v>25</v>
      </c>
      <c r="K510" s="109">
        <f t="shared" si="62"/>
        <v>50</v>
      </c>
      <c r="L510" s="287" t="s">
        <v>882</v>
      </c>
      <c r="M510" s="288"/>
      <c r="N510" s="111"/>
    </row>
    <row r="511" s="245" customFormat="1" ht="20.25" spans="1:14">
      <c r="A511" s="284">
        <v>45854</v>
      </c>
      <c r="B511" s="105">
        <v>62</v>
      </c>
      <c r="C511" s="285">
        <v>45854</v>
      </c>
      <c r="D511" s="108"/>
      <c r="E511" s="108"/>
      <c r="F511" s="245" t="s">
        <v>883</v>
      </c>
      <c r="G511" s="108">
        <v>1</v>
      </c>
      <c r="H511" s="108">
        <v>4</v>
      </c>
      <c r="I511" s="290">
        <f t="shared" ref="I511:I520" si="63">G511*H511</f>
        <v>4</v>
      </c>
      <c r="J511" s="109"/>
      <c r="K511" s="109"/>
      <c r="L511" s="287"/>
      <c r="M511" s="288"/>
      <c r="N511" s="111"/>
    </row>
    <row r="512" s="245" customFormat="1" ht="20.25" spans="1:14">
      <c r="A512" s="284">
        <v>45854</v>
      </c>
      <c r="B512" s="105">
        <v>62</v>
      </c>
      <c r="C512" s="285">
        <v>45854</v>
      </c>
      <c r="D512" s="108"/>
      <c r="E512" s="108"/>
      <c r="F512" s="245" t="s">
        <v>834</v>
      </c>
      <c r="G512" s="108">
        <v>1</v>
      </c>
      <c r="H512" s="108">
        <v>36</v>
      </c>
      <c r="I512" s="290">
        <f t="shared" si="63"/>
        <v>36</v>
      </c>
      <c r="J512" s="109"/>
      <c r="K512" s="109"/>
      <c r="L512" s="287"/>
      <c r="M512" s="288"/>
      <c r="N512" s="111"/>
    </row>
    <row r="513" s="245" customFormat="1" ht="20.25" spans="1:14">
      <c r="A513" s="284">
        <v>45854</v>
      </c>
      <c r="B513" s="105">
        <v>62</v>
      </c>
      <c r="C513" s="285">
        <v>45854</v>
      </c>
      <c r="D513" s="108"/>
      <c r="E513" s="108"/>
      <c r="F513" s="245" t="s">
        <v>884</v>
      </c>
      <c r="G513" s="108">
        <v>1</v>
      </c>
      <c r="H513" s="108">
        <v>32</v>
      </c>
      <c r="I513" s="290">
        <f t="shared" si="63"/>
        <v>32</v>
      </c>
      <c r="J513" s="109"/>
      <c r="K513" s="109"/>
      <c r="L513" s="287"/>
      <c r="M513" s="288"/>
      <c r="N513" s="111"/>
    </row>
    <row r="514" s="245" customFormat="1" ht="20.25" spans="1:14">
      <c r="A514" s="284">
        <v>45854</v>
      </c>
      <c r="B514" s="105">
        <v>62</v>
      </c>
      <c r="C514" s="285">
        <v>45854</v>
      </c>
      <c r="D514" s="108"/>
      <c r="E514" s="108"/>
      <c r="F514" s="245" t="s">
        <v>885</v>
      </c>
      <c r="G514" s="108">
        <v>1</v>
      </c>
      <c r="H514" s="108">
        <f>SUM(H499:H513)</f>
        <v>495.5</v>
      </c>
      <c r="I514" s="290">
        <f t="shared" si="63"/>
        <v>495.5</v>
      </c>
      <c r="J514" s="109">
        <v>2</v>
      </c>
      <c r="K514" s="109">
        <f t="shared" ref="K514:K520" si="64">I514*J514</f>
        <v>991</v>
      </c>
      <c r="L514" s="287"/>
      <c r="M514" s="288"/>
      <c r="N514" s="111"/>
    </row>
    <row r="515" s="245" customFormat="1" ht="20.25" spans="1:14">
      <c r="A515" s="284">
        <v>45854</v>
      </c>
      <c r="B515" s="105">
        <v>62</v>
      </c>
      <c r="C515" s="285">
        <v>45854</v>
      </c>
      <c r="D515" s="108"/>
      <c r="E515" s="108"/>
      <c r="F515" s="245" t="s">
        <v>128</v>
      </c>
      <c r="G515" s="108">
        <v>21</v>
      </c>
      <c r="H515" s="108">
        <v>1</v>
      </c>
      <c r="I515" s="290">
        <f t="shared" si="63"/>
        <v>21</v>
      </c>
      <c r="J515" s="109">
        <v>12.5</v>
      </c>
      <c r="K515" s="109">
        <f t="shared" si="64"/>
        <v>262.5</v>
      </c>
      <c r="L515" s="287">
        <f>SUM(K499:K515)</f>
        <v>3512.9</v>
      </c>
      <c r="M515" s="288"/>
      <c r="N515" s="111"/>
    </row>
    <row r="516" s="243" customFormat="1" ht="20.25" spans="1:14">
      <c r="A516" s="263">
        <v>45871</v>
      </c>
      <c r="B516" s="127" t="s">
        <v>858</v>
      </c>
      <c r="C516" s="258">
        <v>45870</v>
      </c>
      <c r="D516" s="136"/>
      <c r="E516" s="136"/>
      <c r="F516" s="243" t="s">
        <v>688</v>
      </c>
      <c r="G516" s="136">
        <v>1</v>
      </c>
      <c r="H516" s="136">
        <v>50</v>
      </c>
      <c r="I516" s="282">
        <f t="shared" si="63"/>
        <v>50</v>
      </c>
      <c r="J516" s="135">
        <v>12</v>
      </c>
      <c r="K516" s="135">
        <f t="shared" si="64"/>
        <v>600</v>
      </c>
      <c r="L516" s="283"/>
      <c r="M516" s="278"/>
      <c r="N516" s="132"/>
    </row>
    <row r="517" s="243" customFormat="1" ht="20.25" spans="1:14">
      <c r="A517" s="263">
        <v>45871</v>
      </c>
      <c r="B517" s="127" t="s">
        <v>858</v>
      </c>
      <c r="C517" s="258">
        <v>45870</v>
      </c>
      <c r="D517" s="136"/>
      <c r="E517" s="136"/>
      <c r="F517" s="243" t="s">
        <v>309</v>
      </c>
      <c r="G517" s="136">
        <v>1</v>
      </c>
      <c r="H517" s="136">
        <v>75</v>
      </c>
      <c r="I517" s="282">
        <f t="shared" si="63"/>
        <v>75</v>
      </c>
      <c r="J517" s="135">
        <v>15</v>
      </c>
      <c r="K517" s="135">
        <f t="shared" si="64"/>
        <v>1125</v>
      </c>
      <c r="L517" s="283"/>
      <c r="M517" s="278"/>
      <c r="N517" s="132"/>
    </row>
    <row r="518" s="243" customFormat="1" ht="20.25" spans="1:14">
      <c r="A518" s="263">
        <v>45871</v>
      </c>
      <c r="B518" s="127" t="s">
        <v>858</v>
      </c>
      <c r="C518" s="258">
        <v>45870</v>
      </c>
      <c r="D518" s="136"/>
      <c r="E518" s="136"/>
      <c r="F518" s="243" t="s">
        <v>434</v>
      </c>
      <c r="G518" s="136">
        <v>1</v>
      </c>
      <c r="H518" s="136">
        <v>8</v>
      </c>
      <c r="I518" s="282">
        <f t="shared" si="63"/>
        <v>8</v>
      </c>
      <c r="J518" s="135">
        <v>6.7</v>
      </c>
      <c r="K518" s="135">
        <f t="shared" si="64"/>
        <v>53.6</v>
      </c>
      <c r="L518" s="283" t="s">
        <v>886</v>
      </c>
      <c r="M518" s="278"/>
      <c r="N518" s="132"/>
    </row>
    <row r="519" s="243" customFormat="1" ht="20.25" spans="1:14">
      <c r="A519" s="263">
        <v>45871</v>
      </c>
      <c r="B519" s="127" t="s">
        <v>858</v>
      </c>
      <c r="C519" s="258">
        <v>45870</v>
      </c>
      <c r="D519" s="136"/>
      <c r="E519" s="136"/>
      <c r="F519" s="243" t="s">
        <v>122</v>
      </c>
      <c r="G519" s="136">
        <v>1</v>
      </c>
      <c r="H519" s="136">
        <v>7</v>
      </c>
      <c r="I519" s="282">
        <f t="shared" si="63"/>
        <v>7</v>
      </c>
      <c r="J519" s="135">
        <v>6.7</v>
      </c>
      <c r="K519" s="135">
        <f t="shared" si="64"/>
        <v>46.9</v>
      </c>
      <c r="L519" s="283"/>
      <c r="M519" s="278"/>
      <c r="N519" s="132"/>
    </row>
    <row r="520" s="243" customFormat="1" ht="20.25" spans="1:14">
      <c r="A520" s="263">
        <v>45871</v>
      </c>
      <c r="B520" s="127" t="s">
        <v>858</v>
      </c>
      <c r="C520" s="258">
        <v>45870</v>
      </c>
      <c r="D520" s="136"/>
      <c r="E520" s="136"/>
      <c r="F520" s="243" t="s">
        <v>821</v>
      </c>
      <c r="G520" s="136">
        <v>1</v>
      </c>
      <c r="H520" s="136">
        <f>SUM(H516:H519)</f>
        <v>140</v>
      </c>
      <c r="I520" s="282">
        <f t="shared" si="63"/>
        <v>140</v>
      </c>
      <c r="J520" s="135">
        <v>2</v>
      </c>
      <c r="K520" s="135">
        <f t="shared" si="64"/>
        <v>280</v>
      </c>
      <c r="L520" s="283">
        <f>SUM(K516:K520)</f>
        <v>2105.5</v>
      </c>
      <c r="M520" s="278"/>
      <c r="N520" s="132"/>
    </row>
    <row r="521" s="245" customFormat="1" ht="20.25" spans="1:14">
      <c r="A521" s="284">
        <v>45871</v>
      </c>
      <c r="B521" s="105" t="s">
        <v>859</v>
      </c>
      <c r="C521" s="285">
        <v>45871</v>
      </c>
      <c r="D521" s="108"/>
      <c r="E521" s="108"/>
      <c r="F521" s="286" t="s">
        <v>743</v>
      </c>
      <c r="G521" s="108">
        <v>1</v>
      </c>
      <c r="H521" s="110">
        <v>400</v>
      </c>
      <c r="I521" s="290">
        <f t="shared" ref="I521:I532" si="65">G521*H521</f>
        <v>400</v>
      </c>
      <c r="J521" s="109">
        <v>13.5</v>
      </c>
      <c r="K521" s="109"/>
      <c r="L521" s="287"/>
      <c r="M521" s="288"/>
      <c r="N521" s="111"/>
    </row>
    <row r="522" s="245" customFormat="1" ht="20.25" spans="1:14">
      <c r="A522" s="284">
        <v>45871</v>
      </c>
      <c r="B522" s="105" t="s">
        <v>859</v>
      </c>
      <c r="C522" s="285">
        <v>45871</v>
      </c>
      <c r="D522" s="108"/>
      <c r="E522" s="108"/>
      <c r="F522" s="286" t="s">
        <v>404</v>
      </c>
      <c r="G522" s="108">
        <v>1</v>
      </c>
      <c r="H522" s="110">
        <v>170</v>
      </c>
      <c r="I522" s="290">
        <f t="shared" si="65"/>
        <v>170</v>
      </c>
      <c r="J522" s="109">
        <v>12.2</v>
      </c>
      <c r="K522" s="109"/>
      <c r="L522" s="287"/>
      <c r="M522" s="288"/>
      <c r="N522" s="111"/>
    </row>
    <row r="523" s="245" customFormat="1" ht="20.25" spans="1:14">
      <c r="A523" s="284">
        <v>45871</v>
      </c>
      <c r="B523" s="105" t="s">
        <v>859</v>
      </c>
      <c r="C523" s="285">
        <v>45871</v>
      </c>
      <c r="D523" s="108"/>
      <c r="E523" s="108"/>
      <c r="F523" s="286" t="s">
        <v>887</v>
      </c>
      <c r="G523" s="108">
        <v>1</v>
      </c>
      <c r="H523" s="110">
        <v>140</v>
      </c>
      <c r="I523" s="290">
        <f t="shared" si="65"/>
        <v>140</v>
      </c>
      <c r="J523" s="109">
        <v>11.6</v>
      </c>
      <c r="K523" s="109"/>
      <c r="L523" s="287"/>
      <c r="M523" s="288"/>
      <c r="N523" s="111"/>
    </row>
    <row r="524" s="245" customFormat="1" ht="20.25" spans="1:14">
      <c r="A524" s="284">
        <v>45871</v>
      </c>
      <c r="B524" s="105" t="s">
        <v>859</v>
      </c>
      <c r="C524" s="285">
        <v>45871</v>
      </c>
      <c r="D524" s="108"/>
      <c r="E524" s="108"/>
      <c r="F524" s="245" t="s">
        <v>120</v>
      </c>
      <c r="G524" s="108">
        <v>1</v>
      </c>
      <c r="H524" s="110">
        <v>36</v>
      </c>
      <c r="I524" s="290">
        <f t="shared" si="65"/>
        <v>36</v>
      </c>
      <c r="J524" s="109">
        <v>17</v>
      </c>
      <c r="K524" s="109">
        <f t="shared" ref="K522:K532" si="66">I524*J524</f>
        <v>612</v>
      </c>
      <c r="L524" s="287"/>
      <c r="M524" s="288"/>
      <c r="N524" s="111"/>
    </row>
    <row r="525" s="245" customFormat="1" ht="20.25" spans="1:14">
      <c r="A525" s="284">
        <v>45871</v>
      </c>
      <c r="B525" s="105" t="s">
        <v>859</v>
      </c>
      <c r="C525" s="285">
        <v>45871</v>
      </c>
      <c r="D525" s="108"/>
      <c r="E525" s="108"/>
      <c r="F525" s="245" t="s">
        <v>310</v>
      </c>
      <c r="G525" s="108">
        <v>1</v>
      </c>
      <c r="H525" s="110">
        <v>50</v>
      </c>
      <c r="I525" s="290">
        <f t="shared" si="65"/>
        <v>50</v>
      </c>
      <c r="J525" s="109">
        <v>0.6</v>
      </c>
      <c r="K525" s="109">
        <f t="shared" si="66"/>
        <v>30</v>
      </c>
      <c r="L525" s="287"/>
      <c r="M525" s="108"/>
      <c r="N525" s="111"/>
    </row>
    <row r="526" s="245" customFormat="1" ht="20.25" spans="1:14">
      <c r="A526" s="284">
        <v>45871</v>
      </c>
      <c r="B526" s="105" t="s">
        <v>859</v>
      </c>
      <c r="C526" s="285">
        <v>45871</v>
      </c>
      <c r="D526" s="108"/>
      <c r="E526" s="108"/>
      <c r="F526" s="245" t="s">
        <v>122</v>
      </c>
      <c r="G526" s="108">
        <v>1</v>
      </c>
      <c r="H526" s="110">
        <v>610</v>
      </c>
      <c r="I526" s="290">
        <f t="shared" ref="I526:I546" si="67">G526*H526</f>
        <v>610</v>
      </c>
      <c r="J526" s="109">
        <v>6.7</v>
      </c>
      <c r="K526" s="109">
        <f t="shared" si="66"/>
        <v>4087</v>
      </c>
      <c r="L526" s="287" t="s">
        <v>881</v>
      </c>
      <c r="M526" s="108"/>
      <c r="N526" s="111"/>
    </row>
    <row r="527" s="245" customFormat="1" ht="20.25" spans="1:14">
      <c r="A527" s="284">
        <v>45871</v>
      </c>
      <c r="B527" s="105" t="s">
        <v>859</v>
      </c>
      <c r="C527" s="285">
        <v>45871</v>
      </c>
      <c r="D527" s="108"/>
      <c r="E527" s="108"/>
      <c r="F527" s="245" t="s">
        <v>123</v>
      </c>
      <c r="G527" s="108">
        <v>1</v>
      </c>
      <c r="H527" s="110">
        <v>345</v>
      </c>
      <c r="I527" s="290">
        <f t="shared" si="67"/>
        <v>345</v>
      </c>
      <c r="J527" s="109">
        <v>3.3</v>
      </c>
      <c r="K527" s="109">
        <f t="shared" si="66"/>
        <v>1138.5</v>
      </c>
      <c r="L527" s="287" t="s">
        <v>888</v>
      </c>
      <c r="M527" s="288"/>
      <c r="N527" s="111"/>
    </row>
    <row r="528" s="245" customFormat="1" ht="20.25" spans="1:14">
      <c r="A528" s="284">
        <v>45871</v>
      </c>
      <c r="B528" s="105" t="s">
        <v>859</v>
      </c>
      <c r="C528" s="285">
        <v>45871</v>
      </c>
      <c r="D528" s="108"/>
      <c r="E528" s="108"/>
      <c r="F528" s="245" t="s">
        <v>124</v>
      </c>
      <c r="G528" s="108">
        <v>1</v>
      </c>
      <c r="H528" s="110">
        <v>90</v>
      </c>
      <c r="I528" s="290">
        <f t="shared" si="67"/>
        <v>90</v>
      </c>
      <c r="J528" s="109">
        <v>15</v>
      </c>
      <c r="K528" s="109"/>
      <c r="L528" s="287"/>
      <c r="M528" s="288"/>
      <c r="N528" s="111"/>
    </row>
    <row r="529" s="245" customFormat="1" ht="20.25" spans="1:14">
      <c r="A529" s="284">
        <v>45871</v>
      </c>
      <c r="B529" s="105" t="s">
        <v>859</v>
      </c>
      <c r="C529" s="285">
        <v>45871</v>
      </c>
      <c r="D529" s="108"/>
      <c r="E529" s="108"/>
      <c r="F529" s="110" t="s">
        <v>889</v>
      </c>
      <c r="G529" s="107">
        <v>1</v>
      </c>
      <c r="H529" s="110">
        <v>53</v>
      </c>
      <c r="I529" s="290">
        <f t="shared" si="67"/>
        <v>53</v>
      </c>
      <c r="J529" s="109">
        <v>11</v>
      </c>
      <c r="K529" s="109"/>
      <c r="L529" s="287"/>
      <c r="M529" s="288"/>
      <c r="N529" s="111"/>
    </row>
    <row r="530" s="245" customFormat="1" ht="20.25" spans="1:14">
      <c r="A530" s="284">
        <v>45871</v>
      </c>
      <c r="B530" s="105" t="s">
        <v>859</v>
      </c>
      <c r="C530" s="285">
        <v>45871</v>
      </c>
      <c r="D530" s="108"/>
      <c r="E530" s="108"/>
      <c r="F530" s="106" t="s">
        <v>432</v>
      </c>
      <c r="G530" s="107">
        <v>1</v>
      </c>
      <c r="H530" s="110">
        <v>42</v>
      </c>
      <c r="I530" s="290">
        <f t="shared" si="67"/>
        <v>42</v>
      </c>
      <c r="J530" s="109">
        <v>25</v>
      </c>
      <c r="K530" s="109">
        <f t="shared" si="66"/>
        <v>1050</v>
      </c>
      <c r="L530" s="287"/>
      <c r="M530" s="288"/>
      <c r="N530" s="111"/>
    </row>
    <row r="531" s="245" customFormat="1" ht="20.25" spans="1:14">
      <c r="A531" s="284">
        <v>45871</v>
      </c>
      <c r="B531" s="105" t="s">
        <v>859</v>
      </c>
      <c r="C531" s="285">
        <v>45871</v>
      </c>
      <c r="D531" s="108"/>
      <c r="E531" s="108"/>
      <c r="F531" s="245" t="s">
        <v>890</v>
      </c>
      <c r="G531" s="108">
        <v>1</v>
      </c>
      <c r="H531" s="108">
        <f>SUM(H521:H530)</f>
        <v>1936</v>
      </c>
      <c r="I531" s="290">
        <f t="shared" si="67"/>
        <v>1936</v>
      </c>
      <c r="J531" s="109">
        <v>2</v>
      </c>
      <c r="K531" s="109">
        <f t="shared" si="66"/>
        <v>3872</v>
      </c>
      <c r="L531" s="287"/>
      <c r="M531" s="288"/>
      <c r="N531" s="111"/>
    </row>
    <row r="532" s="245" customFormat="1" ht="20.25" spans="1:14">
      <c r="A532" s="284">
        <v>45871</v>
      </c>
      <c r="B532" s="105" t="s">
        <v>859</v>
      </c>
      <c r="C532" s="285">
        <v>45871</v>
      </c>
      <c r="D532" s="108"/>
      <c r="E532" s="108"/>
      <c r="F532" s="245" t="s">
        <v>820</v>
      </c>
      <c r="G532" s="108">
        <v>99</v>
      </c>
      <c r="H532" s="108">
        <v>1</v>
      </c>
      <c r="I532" s="290">
        <f t="shared" si="67"/>
        <v>99</v>
      </c>
      <c r="J532" s="109">
        <v>12.5</v>
      </c>
      <c r="K532" s="109">
        <f t="shared" si="66"/>
        <v>1237.5</v>
      </c>
      <c r="L532" s="287"/>
      <c r="M532" s="288"/>
      <c r="N532" s="111"/>
    </row>
    <row r="533" s="245" customFormat="1" ht="20.25" spans="1:14">
      <c r="A533" s="284">
        <v>45871</v>
      </c>
      <c r="B533" s="105" t="s">
        <v>859</v>
      </c>
      <c r="C533" s="285">
        <v>45871</v>
      </c>
      <c r="D533" s="108"/>
      <c r="E533" s="108"/>
      <c r="F533" s="245" t="s">
        <v>538</v>
      </c>
      <c r="G533" s="108">
        <v>2</v>
      </c>
      <c r="H533" s="108">
        <v>2</v>
      </c>
      <c r="I533" s="290">
        <f t="shared" si="67"/>
        <v>4</v>
      </c>
      <c r="J533" s="109"/>
      <c r="K533" s="109"/>
      <c r="L533" s="287">
        <f>SUM(K521:K533)</f>
        <v>12027</v>
      </c>
      <c r="M533" s="288"/>
      <c r="N533" s="111"/>
    </row>
    <row r="534" s="243" customFormat="1" ht="20.25" spans="1:14">
      <c r="A534" s="263">
        <v>45878</v>
      </c>
      <c r="B534" s="127" t="s">
        <v>762</v>
      </c>
      <c r="C534" s="258">
        <v>45878</v>
      </c>
      <c r="D534" s="136"/>
      <c r="E534" s="136"/>
      <c r="F534" s="264" t="s">
        <v>743</v>
      </c>
      <c r="G534" s="136">
        <v>1</v>
      </c>
      <c r="H534" s="131">
        <v>80</v>
      </c>
      <c r="I534" s="282">
        <f t="shared" si="67"/>
        <v>80</v>
      </c>
      <c r="J534" s="135">
        <v>13.5</v>
      </c>
      <c r="K534" s="135">
        <f t="shared" ref="K534:K539" si="68">I534*J534</f>
        <v>1080</v>
      </c>
      <c r="L534" s="283"/>
      <c r="M534" s="278"/>
      <c r="N534" s="132"/>
    </row>
    <row r="535" s="243" customFormat="1" ht="20.25" spans="1:14">
      <c r="A535" s="263">
        <v>45878</v>
      </c>
      <c r="B535" s="127" t="s">
        <v>762</v>
      </c>
      <c r="C535" s="258">
        <v>45878</v>
      </c>
      <c r="D535" s="136"/>
      <c r="E535" s="136"/>
      <c r="F535" s="264" t="s">
        <v>404</v>
      </c>
      <c r="G535" s="136">
        <v>1</v>
      </c>
      <c r="H535" s="131">
        <v>26</v>
      </c>
      <c r="I535" s="282">
        <f t="shared" si="67"/>
        <v>26</v>
      </c>
      <c r="J535" s="135">
        <v>12.2</v>
      </c>
      <c r="K535" s="135">
        <f t="shared" si="68"/>
        <v>317.2</v>
      </c>
      <c r="L535" s="283"/>
      <c r="M535" s="278"/>
      <c r="N535" s="132"/>
    </row>
    <row r="536" s="243" customFormat="1" ht="20.25" spans="1:14">
      <c r="A536" s="263">
        <v>45878</v>
      </c>
      <c r="B536" s="127" t="s">
        <v>762</v>
      </c>
      <c r="C536" s="258">
        <v>45878</v>
      </c>
      <c r="D536" s="136"/>
      <c r="E536" s="136"/>
      <c r="F536" s="243" t="s">
        <v>120</v>
      </c>
      <c r="G536" s="136">
        <v>1</v>
      </c>
      <c r="H536" s="131">
        <v>3.5</v>
      </c>
      <c r="I536" s="282">
        <f t="shared" si="67"/>
        <v>3.5</v>
      </c>
      <c r="J536" s="135">
        <v>17</v>
      </c>
      <c r="K536" s="135">
        <f t="shared" si="68"/>
        <v>59.5</v>
      </c>
      <c r="L536" s="283"/>
      <c r="M536" s="278"/>
      <c r="N536" s="132"/>
    </row>
    <row r="537" s="243" customFormat="1" ht="20.25" spans="1:14">
      <c r="A537" s="263">
        <v>45878</v>
      </c>
      <c r="B537" s="127" t="s">
        <v>762</v>
      </c>
      <c r="C537" s="258">
        <v>45878</v>
      </c>
      <c r="D537" s="136"/>
      <c r="E537" s="136"/>
      <c r="F537" s="243" t="s">
        <v>122</v>
      </c>
      <c r="G537" s="136">
        <v>1</v>
      </c>
      <c r="H537" s="131">
        <v>80</v>
      </c>
      <c r="I537" s="282">
        <f t="shared" si="67"/>
        <v>80</v>
      </c>
      <c r="J537" s="135">
        <v>6.7</v>
      </c>
      <c r="K537" s="135">
        <f t="shared" si="68"/>
        <v>536</v>
      </c>
      <c r="L537" s="283" t="s">
        <v>881</v>
      </c>
      <c r="M537" s="136"/>
      <c r="N537" s="132"/>
    </row>
    <row r="538" s="243" customFormat="1" ht="20.25" spans="1:14">
      <c r="A538" s="263">
        <v>45878</v>
      </c>
      <c r="B538" s="127" t="s">
        <v>762</v>
      </c>
      <c r="C538" s="258">
        <v>45878</v>
      </c>
      <c r="D538" s="136"/>
      <c r="E538" s="136"/>
      <c r="F538" s="243" t="s">
        <v>123</v>
      </c>
      <c r="G538" s="136">
        <v>1</v>
      </c>
      <c r="H538" s="131">
        <v>57</v>
      </c>
      <c r="I538" s="282">
        <f t="shared" si="67"/>
        <v>57</v>
      </c>
      <c r="J538" s="135">
        <v>3.3</v>
      </c>
      <c r="K538" s="135">
        <f t="shared" si="68"/>
        <v>188.1</v>
      </c>
      <c r="L538" s="283" t="s">
        <v>891</v>
      </c>
      <c r="M538" s="278"/>
      <c r="N538" s="132"/>
    </row>
    <row r="539" s="243" customFormat="1" ht="20.25" spans="1:14">
      <c r="A539" s="263">
        <v>45878</v>
      </c>
      <c r="B539" s="127" t="s">
        <v>762</v>
      </c>
      <c r="C539" s="258">
        <v>45878</v>
      </c>
      <c r="D539" s="136"/>
      <c r="E539" s="136"/>
      <c r="F539" s="243" t="s">
        <v>754</v>
      </c>
      <c r="G539" s="136">
        <v>1</v>
      </c>
      <c r="H539" s="131">
        <v>20</v>
      </c>
      <c r="I539" s="282">
        <f t="shared" si="67"/>
        <v>20</v>
      </c>
      <c r="J539" s="135">
        <v>6.7</v>
      </c>
      <c r="K539" s="135">
        <f t="shared" si="68"/>
        <v>134</v>
      </c>
      <c r="L539" s="283"/>
      <c r="M539" s="278"/>
      <c r="N539" s="132"/>
    </row>
    <row r="540" s="243" customFormat="1" ht="20.25" spans="1:14">
      <c r="A540" s="263">
        <v>45878</v>
      </c>
      <c r="B540" s="127" t="s">
        <v>762</v>
      </c>
      <c r="C540" s="258">
        <v>45878</v>
      </c>
      <c r="D540" s="136"/>
      <c r="E540" s="136"/>
      <c r="F540" s="243" t="s">
        <v>734</v>
      </c>
      <c r="G540" s="136">
        <v>1</v>
      </c>
      <c r="H540" s="136">
        <f>SUM(H534:H539)</f>
        <v>266.5</v>
      </c>
      <c r="I540" s="282">
        <f t="shared" si="67"/>
        <v>266.5</v>
      </c>
      <c r="J540" s="135">
        <v>2</v>
      </c>
      <c r="K540" s="135">
        <f t="shared" ref="K540:K547" si="69">I540*J540</f>
        <v>533</v>
      </c>
      <c r="L540" s="283"/>
      <c r="M540" s="278"/>
      <c r="N540" s="132"/>
    </row>
    <row r="541" s="243" customFormat="1" ht="20.25" spans="1:14">
      <c r="A541" s="263">
        <v>45878</v>
      </c>
      <c r="B541" s="127" t="s">
        <v>762</v>
      </c>
      <c r="C541" s="258">
        <v>45878</v>
      </c>
      <c r="D541" s="136"/>
      <c r="E541" s="136"/>
      <c r="F541" s="243" t="s">
        <v>820</v>
      </c>
      <c r="G541" s="136">
        <v>13</v>
      </c>
      <c r="H541" s="136">
        <v>1</v>
      </c>
      <c r="I541" s="282">
        <f t="shared" si="67"/>
        <v>13</v>
      </c>
      <c r="J541" s="135">
        <v>12.5</v>
      </c>
      <c r="K541" s="135">
        <f t="shared" si="69"/>
        <v>162.5</v>
      </c>
      <c r="L541" s="283">
        <f>SUM(K534:K541)</f>
        <v>3010.3</v>
      </c>
      <c r="M541" s="278"/>
      <c r="N541" s="132"/>
    </row>
    <row r="542" s="245" customFormat="1" ht="20.25" spans="1:14">
      <c r="A542" s="284">
        <v>45883</v>
      </c>
      <c r="B542" s="105" t="s">
        <v>778</v>
      </c>
      <c r="C542" s="285">
        <v>45882</v>
      </c>
      <c r="D542" s="108"/>
      <c r="E542" s="108"/>
      <c r="F542" s="245" t="s">
        <v>892</v>
      </c>
      <c r="G542" s="108">
        <v>1</v>
      </c>
      <c r="H542" s="108">
        <v>22</v>
      </c>
      <c r="I542" s="290">
        <f t="shared" ref="I542:I547" si="70">G542*H542</f>
        <v>22</v>
      </c>
      <c r="J542" s="109">
        <v>12.5</v>
      </c>
      <c r="K542" s="109">
        <f t="shared" si="69"/>
        <v>275</v>
      </c>
      <c r="L542" s="287"/>
      <c r="M542" s="288" t="s">
        <v>893</v>
      </c>
      <c r="N542" s="111"/>
    </row>
    <row r="543" s="245" customFormat="1" ht="20.25" spans="1:14">
      <c r="A543" s="284">
        <v>45883</v>
      </c>
      <c r="B543" s="105" t="s">
        <v>778</v>
      </c>
      <c r="C543" s="285">
        <v>45882</v>
      </c>
      <c r="D543" s="108"/>
      <c r="E543" s="108"/>
      <c r="F543" s="245" t="s">
        <v>894</v>
      </c>
      <c r="G543" s="108">
        <v>1</v>
      </c>
      <c r="H543" s="108">
        <v>14</v>
      </c>
      <c r="I543" s="290">
        <f t="shared" si="70"/>
        <v>14</v>
      </c>
      <c r="J543" s="109">
        <v>14</v>
      </c>
      <c r="K543" s="109">
        <f t="shared" si="69"/>
        <v>196</v>
      </c>
      <c r="L543" s="287"/>
      <c r="M543" s="288" t="s">
        <v>893</v>
      </c>
      <c r="N543" s="111"/>
    </row>
    <row r="544" s="245" customFormat="1" ht="20.25" spans="1:14">
      <c r="A544" s="284">
        <v>45883</v>
      </c>
      <c r="B544" s="105" t="s">
        <v>778</v>
      </c>
      <c r="C544" s="285">
        <v>45882</v>
      </c>
      <c r="D544" s="108"/>
      <c r="E544" s="108"/>
      <c r="F544" s="245" t="s">
        <v>895</v>
      </c>
      <c r="G544" s="108">
        <v>1</v>
      </c>
      <c r="H544" s="108">
        <v>15</v>
      </c>
      <c r="I544" s="290">
        <f t="shared" si="70"/>
        <v>15</v>
      </c>
      <c r="J544" s="109">
        <v>7.5</v>
      </c>
      <c r="K544" s="109">
        <f t="shared" si="69"/>
        <v>112.5</v>
      </c>
      <c r="L544" s="287"/>
      <c r="M544" s="288" t="s">
        <v>893</v>
      </c>
      <c r="N544" s="111"/>
    </row>
    <row r="545" s="245" customFormat="1" ht="20.25" spans="1:14">
      <c r="A545" s="284">
        <v>45883</v>
      </c>
      <c r="B545" s="105" t="s">
        <v>778</v>
      </c>
      <c r="C545" s="285">
        <v>45882</v>
      </c>
      <c r="D545" s="108"/>
      <c r="E545" s="108"/>
      <c r="F545" s="245" t="s">
        <v>896</v>
      </c>
      <c r="G545" s="108">
        <v>2</v>
      </c>
      <c r="H545" s="108">
        <v>25</v>
      </c>
      <c r="I545" s="290">
        <f t="shared" si="70"/>
        <v>50</v>
      </c>
      <c r="J545" s="109">
        <v>12</v>
      </c>
      <c r="K545" s="109">
        <f t="shared" si="69"/>
        <v>600</v>
      </c>
      <c r="L545" s="287"/>
      <c r="M545" s="288" t="s">
        <v>893</v>
      </c>
      <c r="N545" s="111"/>
    </row>
    <row r="546" s="245" customFormat="1" ht="20.25" spans="1:14">
      <c r="A546" s="284">
        <v>45883</v>
      </c>
      <c r="B546" s="105" t="s">
        <v>778</v>
      </c>
      <c r="C546" s="285">
        <v>45882</v>
      </c>
      <c r="D546" s="108"/>
      <c r="E546" s="108"/>
      <c r="F546" s="245" t="s">
        <v>897</v>
      </c>
      <c r="G546" s="108">
        <v>2</v>
      </c>
      <c r="H546" s="108">
        <v>12</v>
      </c>
      <c r="I546" s="290">
        <f t="shared" si="70"/>
        <v>24</v>
      </c>
      <c r="J546" s="109">
        <v>14</v>
      </c>
      <c r="K546" s="109">
        <f t="shared" si="69"/>
        <v>336</v>
      </c>
      <c r="L546" s="297" t="s">
        <v>547</v>
      </c>
      <c r="M546" s="288" t="s">
        <v>893</v>
      </c>
      <c r="N546" s="111"/>
    </row>
    <row r="547" s="245" customFormat="1" ht="20.25" spans="1:14">
      <c r="A547" s="284">
        <v>45883</v>
      </c>
      <c r="B547" s="105" t="s">
        <v>778</v>
      </c>
      <c r="C547" s="285">
        <v>45882</v>
      </c>
      <c r="D547" s="108"/>
      <c r="E547" s="108"/>
      <c r="F547" s="245" t="s">
        <v>898</v>
      </c>
      <c r="G547" s="108">
        <v>2</v>
      </c>
      <c r="H547" s="108">
        <v>15</v>
      </c>
      <c r="I547" s="290">
        <f t="shared" si="70"/>
        <v>30</v>
      </c>
      <c r="J547" s="109">
        <v>7.5</v>
      </c>
      <c r="K547" s="109">
        <f t="shared" si="69"/>
        <v>225</v>
      </c>
      <c r="L547" s="297">
        <f>SUM(K542:K547)</f>
        <v>1744.5</v>
      </c>
      <c r="M547" s="288" t="s">
        <v>893</v>
      </c>
      <c r="N547" s="111"/>
    </row>
    <row r="548" s="245" customFormat="1" ht="20.25" spans="1:14">
      <c r="A548" s="284">
        <v>45883</v>
      </c>
      <c r="B548" s="105" t="s">
        <v>778</v>
      </c>
      <c r="C548" s="285" t="s">
        <v>899</v>
      </c>
      <c r="D548" s="108"/>
      <c r="E548" s="108"/>
      <c r="F548" s="245" t="s">
        <v>900</v>
      </c>
      <c r="G548" s="108"/>
      <c r="H548" s="108"/>
      <c r="I548" s="290"/>
      <c r="J548" s="109"/>
      <c r="K548" s="109"/>
      <c r="L548" s="287"/>
      <c r="M548" s="288" t="s">
        <v>893</v>
      </c>
      <c r="N548" s="111"/>
    </row>
    <row r="549" s="245" customFormat="1" ht="20.25" spans="1:14">
      <c r="A549" s="284">
        <v>45883</v>
      </c>
      <c r="B549" s="105" t="s">
        <v>778</v>
      </c>
      <c r="C549" s="285" t="s">
        <v>901</v>
      </c>
      <c r="D549" s="108"/>
      <c r="E549" s="108"/>
      <c r="F549" s="245" t="s">
        <v>902</v>
      </c>
      <c r="G549" s="108"/>
      <c r="H549" s="108"/>
      <c r="I549" s="290"/>
      <c r="J549" s="109"/>
      <c r="K549" s="109"/>
      <c r="L549" s="287"/>
      <c r="M549" s="288" t="s">
        <v>893</v>
      </c>
      <c r="N549" s="111"/>
    </row>
    <row r="550" s="245" customFormat="1" ht="20.25" spans="1:14">
      <c r="A550" s="284">
        <v>45883</v>
      </c>
      <c r="B550" s="105" t="s">
        <v>778</v>
      </c>
      <c r="C550" s="285" t="s">
        <v>903</v>
      </c>
      <c r="D550" s="108"/>
      <c r="E550" s="108"/>
      <c r="F550" s="245" t="s">
        <v>904</v>
      </c>
      <c r="G550" s="108"/>
      <c r="H550" s="108"/>
      <c r="I550" s="290"/>
      <c r="J550" s="109"/>
      <c r="K550" s="109"/>
      <c r="L550" s="287"/>
      <c r="M550" s="288" t="s">
        <v>893</v>
      </c>
      <c r="N550" s="111"/>
    </row>
    <row r="551" s="245" customFormat="1" ht="20.25" spans="1:14">
      <c r="A551" s="284">
        <v>45883</v>
      </c>
      <c r="B551" s="105" t="s">
        <v>778</v>
      </c>
      <c r="C551" s="285" t="s">
        <v>905</v>
      </c>
      <c r="D551" s="108"/>
      <c r="E551" s="108"/>
      <c r="F551" s="245" t="s">
        <v>906</v>
      </c>
      <c r="G551" s="108"/>
      <c r="H551" s="108"/>
      <c r="I551" s="290"/>
      <c r="J551" s="109"/>
      <c r="K551" s="109"/>
      <c r="L551" s="287"/>
      <c r="M551" s="288" t="s">
        <v>893</v>
      </c>
      <c r="N551" s="111"/>
    </row>
    <row r="552" s="243" customFormat="1" ht="20.25" spans="1:14">
      <c r="A552" s="263">
        <v>45883</v>
      </c>
      <c r="B552" s="127">
        <v>33</v>
      </c>
      <c r="C552" s="258">
        <v>45883</v>
      </c>
      <c r="D552" s="136"/>
      <c r="E552" s="136"/>
      <c r="F552" s="264" t="s">
        <v>735</v>
      </c>
      <c r="G552" s="136">
        <v>1</v>
      </c>
      <c r="H552" s="136">
        <v>3.3</v>
      </c>
      <c r="I552" s="282">
        <f t="shared" ref="I552:I577" si="71">G552*H552</f>
        <v>3.3</v>
      </c>
      <c r="J552" s="135"/>
      <c r="K552" s="135"/>
      <c r="L552" s="298"/>
      <c r="M552" s="278"/>
      <c r="N552" s="132"/>
    </row>
    <row r="553" s="243" customFormat="1" ht="20.25" spans="1:14">
      <c r="A553" s="263">
        <v>45883</v>
      </c>
      <c r="B553" s="127">
        <v>33</v>
      </c>
      <c r="C553" s="258">
        <v>45883</v>
      </c>
      <c r="D553" s="136"/>
      <c r="E553" s="136"/>
      <c r="F553" s="243" t="s">
        <v>120</v>
      </c>
      <c r="G553" s="136">
        <v>1</v>
      </c>
      <c r="H553" s="136">
        <v>0.32</v>
      </c>
      <c r="I553" s="282">
        <f t="shared" si="71"/>
        <v>0.32</v>
      </c>
      <c r="J553" s="135">
        <v>17</v>
      </c>
      <c r="K553" s="135">
        <f>I553*J553</f>
        <v>5.44</v>
      </c>
      <c r="L553" s="298"/>
      <c r="M553" s="278"/>
      <c r="N553" s="132"/>
    </row>
    <row r="554" s="243" customFormat="1" ht="20.25" spans="1:14">
      <c r="A554" s="263">
        <v>45883</v>
      </c>
      <c r="B554" s="127">
        <v>33</v>
      </c>
      <c r="C554" s="258">
        <v>45883</v>
      </c>
      <c r="D554" s="136"/>
      <c r="E554" s="136"/>
      <c r="F554" s="243" t="s">
        <v>121</v>
      </c>
      <c r="G554" s="136">
        <v>1</v>
      </c>
      <c r="H554" s="136">
        <v>1.83</v>
      </c>
      <c r="I554" s="282">
        <f t="shared" si="71"/>
        <v>1.83</v>
      </c>
      <c r="J554" s="135">
        <v>0.6</v>
      </c>
      <c r="K554" s="135">
        <f t="shared" ref="K554:K561" si="72">I554*J554</f>
        <v>1.098</v>
      </c>
      <c r="L554" s="298"/>
      <c r="M554" s="278"/>
      <c r="N554" s="132"/>
    </row>
    <row r="555" s="243" customFormat="1" ht="20.25" spans="1:14">
      <c r="A555" s="263">
        <v>45883</v>
      </c>
      <c r="B555" s="127">
        <v>33</v>
      </c>
      <c r="C555" s="258">
        <v>45883</v>
      </c>
      <c r="D555" s="136"/>
      <c r="E555" s="136"/>
      <c r="F555" s="243" t="s">
        <v>122</v>
      </c>
      <c r="G555" s="136">
        <v>1</v>
      </c>
      <c r="H555" s="136">
        <v>3</v>
      </c>
      <c r="I555" s="282">
        <f t="shared" si="71"/>
        <v>3</v>
      </c>
      <c r="J555" s="135">
        <v>6.7</v>
      </c>
      <c r="K555" s="135">
        <f t="shared" si="72"/>
        <v>20.1</v>
      </c>
      <c r="L555" s="298"/>
      <c r="M555" s="278"/>
      <c r="N555" s="132"/>
    </row>
    <row r="556" s="243" customFormat="1" ht="20.25" spans="1:14">
      <c r="A556" s="263">
        <v>45883</v>
      </c>
      <c r="B556" s="127">
        <v>33</v>
      </c>
      <c r="C556" s="258">
        <v>45883</v>
      </c>
      <c r="D556" s="136"/>
      <c r="E556" s="136"/>
      <c r="F556" s="264">
        <v>808</v>
      </c>
      <c r="G556" s="136">
        <v>1</v>
      </c>
      <c r="H556" s="136">
        <v>0.3</v>
      </c>
      <c r="I556" s="282">
        <f t="shared" si="71"/>
        <v>0.3</v>
      </c>
      <c r="J556" s="135">
        <v>8</v>
      </c>
      <c r="K556" s="135">
        <f t="shared" si="72"/>
        <v>2.4</v>
      </c>
      <c r="L556" s="298" t="s">
        <v>822</v>
      </c>
      <c r="M556" s="278"/>
      <c r="N556" s="132"/>
    </row>
    <row r="557" s="243" customFormat="1" ht="20.25" spans="1:14">
      <c r="A557" s="263">
        <v>45883</v>
      </c>
      <c r="B557" s="127">
        <v>33</v>
      </c>
      <c r="C557" s="258">
        <v>45883</v>
      </c>
      <c r="D557" s="136"/>
      <c r="E557" s="136"/>
      <c r="F557" s="243" t="s">
        <v>810</v>
      </c>
      <c r="G557" s="136">
        <v>1</v>
      </c>
      <c r="H557" s="136">
        <v>1.4</v>
      </c>
      <c r="I557" s="282">
        <f t="shared" si="71"/>
        <v>1.4</v>
      </c>
      <c r="J557" s="135">
        <v>3.3</v>
      </c>
      <c r="K557" s="135">
        <f t="shared" si="72"/>
        <v>4.62</v>
      </c>
      <c r="L557" s="298"/>
      <c r="M557" s="278"/>
      <c r="N557" s="132"/>
    </row>
    <row r="558" s="2" customFormat="1" ht="20.25" spans="1:14">
      <c r="A558" s="263">
        <v>45883</v>
      </c>
      <c r="B558" s="127">
        <v>33</v>
      </c>
      <c r="C558" s="258">
        <v>45883</v>
      </c>
      <c r="D558" s="136"/>
      <c r="E558" s="136"/>
      <c r="F558" s="131" t="s">
        <v>323</v>
      </c>
      <c r="G558" s="134">
        <v>1</v>
      </c>
      <c r="H558" s="136">
        <v>1.83</v>
      </c>
      <c r="I558" s="282">
        <f t="shared" si="71"/>
        <v>1.83</v>
      </c>
      <c r="J558" s="135">
        <v>15</v>
      </c>
      <c r="K558" s="135">
        <f t="shared" si="72"/>
        <v>27.45</v>
      </c>
      <c r="L558" s="131"/>
      <c r="M558" s="278"/>
      <c r="N558" s="132"/>
    </row>
    <row r="559" s="2" customFormat="1" ht="20.25" spans="1:14">
      <c r="A559" s="263">
        <v>45883</v>
      </c>
      <c r="B559" s="127">
        <v>33</v>
      </c>
      <c r="C559" s="258">
        <v>45883</v>
      </c>
      <c r="D559" s="136"/>
      <c r="E559" s="136"/>
      <c r="F559" s="131" t="s">
        <v>879</v>
      </c>
      <c r="G559" s="134">
        <v>1</v>
      </c>
      <c r="H559" s="136">
        <v>0.1</v>
      </c>
      <c r="I559" s="282">
        <f t="shared" si="71"/>
        <v>0.1</v>
      </c>
      <c r="J559" s="135">
        <v>40</v>
      </c>
      <c r="K559" s="135">
        <f t="shared" si="72"/>
        <v>4</v>
      </c>
      <c r="L559" s="131"/>
      <c r="M559" s="278"/>
      <c r="N559" s="132"/>
    </row>
    <row r="560" s="243" customFormat="1" ht="20.25" spans="1:14">
      <c r="A560" s="263">
        <v>45883</v>
      </c>
      <c r="B560" s="127">
        <v>33</v>
      </c>
      <c r="C560" s="258">
        <v>45883</v>
      </c>
      <c r="D560" s="136"/>
      <c r="E560" s="136"/>
      <c r="F560" s="243" t="s">
        <v>351</v>
      </c>
      <c r="G560" s="136">
        <v>1</v>
      </c>
      <c r="H560" s="136">
        <v>0.33</v>
      </c>
      <c r="I560" s="282">
        <f t="shared" si="71"/>
        <v>0.33</v>
      </c>
      <c r="J560" s="135">
        <v>25</v>
      </c>
      <c r="K560" s="135">
        <f t="shared" si="72"/>
        <v>8.25</v>
      </c>
      <c r="L560" s="298"/>
      <c r="M560" s="278"/>
      <c r="N560" s="132"/>
    </row>
    <row r="561" s="243" customFormat="1" ht="20.25" spans="1:14">
      <c r="A561" s="263">
        <v>45883</v>
      </c>
      <c r="B561" s="127">
        <v>33</v>
      </c>
      <c r="C561" s="258">
        <v>45883</v>
      </c>
      <c r="D561" s="136"/>
      <c r="E561" s="136"/>
      <c r="F561" s="243" t="s">
        <v>787</v>
      </c>
      <c r="G561" s="136">
        <v>1</v>
      </c>
      <c r="H561" s="136">
        <v>1.6</v>
      </c>
      <c r="I561" s="282">
        <f t="shared" si="71"/>
        <v>1.6</v>
      </c>
      <c r="J561" s="135">
        <v>38</v>
      </c>
      <c r="K561" s="135">
        <f t="shared" si="72"/>
        <v>60.8</v>
      </c>
      <c r="L561" s="298"/>
      <c r="M561" s="278"/>
      <c r="N561" s="132"/>
    </row>
    <row r="562" s="243" customFormat="1" ht="20.25" spans="1:14">
      <c r="A562" s="263">
        <v>45883</v>
      </c>
      <c r="B562" s="127">
        <v>33</v>
      </c>
      <c r="C562" s="258">
        <v>45883</v>
      </c>
      <c r="D562" s="136"/>
      <c r="E562" s="136"/>
      <c r="F562" s="243" t="s">
        <v>907</v>
      </c>
      <c r="G562" s="136">
        <v>1</v>
      </c>
      <c r="H562" s="136">
        <v>5</v>
      </c>
      <c r="I562" s="282">
        <f t="shared" si="71"/>
        <v>5</v>
      </c>
      <c r="J562" s="135"/>
      <c r="K562" s="135"/>
      <c r="L562" s="298"/>
      <c r="M562" s="278"/>
      <c r="N562" s="132"/>
    </row>
    <row r="563" s="243" customFormat="1" ht="20.25" spans="1:14">
      <c r="A563" s="263">
        <v>45883</v>
      </c>
      <c r="B563" s="127">
        <v>33</v>
      </c>
      <c r="C563" s="258">
        <v>45883</v>
      </c>
      <c r="D563" s="136"/>
      <c r="E563" s="136"/>
      <c r="F563" s="243" t="s">
        <v>908</v>
      </c>
      <c r="G563" s="136">
        <v>1</v>
      </c>
      <c r="H563" s="136">
        <f>SUM(H552:H562)</f>
        <v>19.01</v>
      </c>
      <c r="I563" s="282">
        <f t="shared" si="71"/>
        <v>19.01</v>
      </c>
      <c r="J563" s="135">
        <v>2</v>
      </c>
      <c r="K563" s="135">
        <f>I563*J563</f>
        <v>38.02</v>
      </c>
      <c r="L563" s="298"/>
      <c r="M563" s="278"/>
      <c r="N563" s="132"/>
    </row>
    <row r="564" s="243" customFormat="1" ht="20.25" spans="1:14">
      <c r="A564" s="263">
        <v>45883</v>
      </c>
      <c r="B564" s="127">
        <v>33</v>
      </c>
      <c r="C564" s="258">
        <v>45883</v>
      </c>
      <c r="D564" s="136"/>
      <c r="E564" s="136"/>
      <c r="F564" s="243" t="s">
        <v>128</v>
      </c>
      <c r="G564" s="136">
        <v>1</v>
      </c>
      <c r="H564" s="136">
        <v>1</v>
      </c>
      <c r="I564" s="282">
        <f t="shared" si="71"/>
        <v>1</v>
      </c>
      <c r="J564" s="135">
        <v>12.5</v>
      </c>
      <c r="K564" s="135">
        <f>I564*J564</f>
        <v>12.5</v>
      </c>
      <c r="L564" s="283">
        <f>SUM(K552:K564)</f>
        <v>184.678</v>
      </c>
      <c r="M564" s="278"/>
      <c r="N564" s="132"/>
    </row>
    <row r="565" s="245" customFormat="1" ht="20.25" spans="1:14">
      <c r="A565" s="284">
        <v>45891</v>
      </c>
      <c r="B565" s="105">
        <v>57</v>
      </c>
      <c r="C565" s="285">
        <v>45885</v>
      </c>
      <c r="D565" s="108"/>
      <c r="E565" s="108"/>
      <c r="F565" s="286" t="s">
        <v>688</v>
      </c>
      <c r="G565" s="108">
        <v>1</v>
      </c>
      <c r="H565" s="107">
        <v>9.8</v>
      </c>
      <c r="I565" s="290">
        <f t="shared" si="71"/>
        <v>9.8</v>
      </c>
      <c r="J565" s="109">
        <v>12</v>
      </c>
      <c r="K565" s="109"/>
      <c r="L565" s="287"/>
      <c r="M565" s="288"/>
      <c r="N565" s="111"/>
    </row>
    <row r="566" s="245" customFormat="1" ht="20.25" spans="1:14">
      <c r="A566" s="284">
        <v>45891</v>
      </c>
      <c r="B566" s="105">
        <v>57</v>
      </c>
      <c r="C566" s="285">
        <v>45885</v>
      </c>
      <c r="D566" s="108"/>
      <c r="E566" s="108"/>
      <c r="F566" s="245" t="s">
        <v>120</v>
      </c>
      <c r="G566" s="108">
        <v>1</v>
      </c>
      <c r="H566" s="107">
        <v>0.6</v>
      </c>
      <c r="I566" s="290">
        <f t="shared" si="71"/>
        <v>0.6</v>
      </c>
      <c r="J566" s="109">
        <v>17</v>
      </c>
      <c r="K566" s="109">
        <f>I566*J566</f>
        <v>10.2</v>
      </c>
      <c r="L566" s="287"/>
      <c r="M566" s="288"/>
      <c r="N566" s="111"/>
    </row>
    <row r="567" s="245" customFormat="1" ht="20.25" spans="1:14">
      <c r="A567" s="284">
        <v>45891</v>
      </c>
      <c r="B567" s="105">
        <v>57</v>
      </c>
      <c r="C567" s="285">
        <v>45885</v>
      </c>
      <c r="D567" s="108"/>
      <c r="E567" s="108"/>
      <c r="F567" s="245" t="s">
        <v>121</v>
      </c>
      <c r="G567" s="108">
        <v>1</v>
      </c>
      <c r="H567" s="107">
        <v>2.2</v>
      </c>
      <c r="I567" s="290">
        <f t="shared" si="71"/>
        <v>2.2</v>
      </c>
      <c r="J567" s="109">
        <v>0.6</v>
      </c>
      <c r="K567" s="109">
        <f t="shared" ref="K567:K573" si="73">I567*J567</f>
        <v>1.32</v>
      </c>
      <c r="L567" s="287"/>
      <c r="M567" s="288"/>
      <c r="N567" s="111"/>
    </row>
    <row r="568" s="245" customFormat="1" ht="20.25" spans="1:14">
      <c r="A568" s="284">
        <v>45891</v>
      </c>
      <c r="B568" s="105">
        <v>57</v>
      </c>
      <c r="C568" s="285">
        <v>45885</v>
      </c>
      <c r="D568" s="108"/>
      <c r="E568" s="108"/>
      <c r="F568" s="245" t="s">
        <v>122</v>
      </c>
      <c r="G568" s="108">
        <v>1</v>
      </c>
      <c r="H568" s="107">
        <v>7.5</v>
      </c>
      <c r="I568" s="290">
        <f t="shared" si="71"/>
        <v>7.5</v>
      </c>
      <c r="J568" s="109">
        <v>6.7</v>
      </c>
      <c r="K568" s="109">
        <f t="shared" si="73"/>
        <v>50.25</v>
      </c>
      <c r="L568" s="287"/>
      <c r="M568" s="288"/>
      <c r="N568" s="111"/>
    </row>
    <row r="569" s="245" customFormat="1" ht="20.25" spans="1:14">
      <c r="A569" s="284">
        <v>45891</v>
      </c>
      <c r="B569" s="105">
        <v>57</v>
      </c>
      <c r="C569" s="285">
        <v>45885</v>
      </c>
      <c r="D569" s="108"/>
      <c r="E569" s="108"/>
      <c r="F569" s="245" t="s">
        <v>434</v>
      </c>
      <c r="G569" s="108">
        <v>1</v>
      </c>
      <c r="H569" s="107">
        <v>1.3</v>
      </c>
      <c r="I569" s="290">
        <f t="shared" si="71"/>
        <v>1.3</v>
      </c>
      <c r="J569" s="109">
        <v>6.7</v>
      </c>
      <c r="K569" s="109">
        <f t="shared" si="73"/>
        <v>8.71</v>
      </c>
      <c r="L569" s="287" t="s">
        <v>826</v>
      </c>
      <c r="M569" s="288"/>
      <c r="N569" s="111"/>
    </row>
    <row r="570" s="245" customFormat="1" ht="20.25" spans="1:14">
      <c r="A570" s="284">
        <v>45891</v>
      </c>
      <c r="B570" s="105">
        <v>57</v>
      </c>
      <c r="C570" s="285">
        <v>45885</v>
      </c>
      <c r="D570" s="108"/>
      <c r="E570" s="108"/>
      <c r="F570" s="245" t="s">
        <v>810</v>
      </c>
      <c r="G570" s="108">
        <v>1</v>
      </c>
      <c r="H570" s="107">
        <v>4.3</v>
      </c>
      <c r="I570" s="290">
        <f t="shared" si="71"/>
        <v>4.3</v>
      </c>
      <c r="J570" s="109">
        <v>3.3</v>
      </c>
      <c r="K570" s="109">
        <f t="shared" si="73"/>
        <v>14.19</v>
      </c>
      <c r="L570" s="287"/>
      <c r="M570" s="288"/>
      <c r="N570" s="111"/>
    </row>
    <row r="571" s="245" customFormat="1" ht="20.25" spans="1:14">
      <c r="A571" s="284">
        <v>45891</v>
      </c>
      <c r="B571" s="105">
        <v>57</v>
      </c>
      <c r="C571" s="285">
        <v>45885</v>
      </c>
      <c r="D571" s="108"/>
      <c r="E571" s="108"/>
      <c r="F571" s="110" t="s">
        <v>432</v>
      </c>
      <c r="G571" s="107">
        <v>1</v>
      </c>
      <c r="H571" s="107">
        <v>0.23</v>
      </c>
      <c r="I571" s="107">
        <f t="shared" si="71"/>
        <v>0.23</v>
      </c>
      <c r="J571" s="109">
        <v>23</v>
      </c>
      <c r="K571" s="109">
        <f t="shared" si="73"/>
        <v>5.29</v>
      </c>
      <c r="L571" s="287" t="s">
        <v>812</v>
      </c>
      <c r="M571" s="288"/>
      <c r="N571" s="111"/>
    </row>
    <row r="572" s="1" customFormat="1" ht="20.25" spans="1:14">
      <c r="A572" s="284">
        <v>45891</v>
      </c>
      <c r="B572" s="105">
        <v>57</v>
      </c>
      <c r="C572" s="285">
        <v>45885</v>
      </c>
      <c r="D572" s="108"/>
      <c r="E572" s="108"/>
      <c r="F572" s="110" t="s">
        <v>787</v>
      </c>
      <c r="G572" s="107">
        <v>1</v>
      </c>
      <c r="H572" s="107">
        <v>1.8</v>
      </c>
      <c r="I572" s="290">
        <f t="shared" ref="I572:I578" si="74">G572*H572</f>
        <v>1.8</v>
      </c>
      <c r="J572" s="109">
        <v>38</v>
      </c>
      <c r="K572" s="109">
        <f t="shared" si="73"/>
        <v>68.4</v>
      </c>
      <c r="L572" s="110"/>
      <c r="M572" s="108"/>
      <c r="N572" s="111"/>
    </row>
    <row r="573" s="1" customFormat="1" ht="20.25" spans="1:14">
      <c r="A573" s="284">
        <v>45891</v>
      </c>
      <c r="B573" s="105">
        <v>57</v>
      </c>
      <c r="C573" s="285">
        <v>45885</v>
      </c>
      <c r="D573" s="108"/>
      <c r="E573" s="108"/>
      <c r="F573" s="110" t="s">
        <v>632</v>
      </c>
      <c r="G573" s="107">
        <v>1</v>
      </c>
      <c r="H573" s="107">
        <v>0.1</v>
      </c>
      <c r="I573" s="290">
        <f t="shared" si="74"/>
        <v>0.1</v>
      </c>
      <c r="J573" s="109">
        <v>50</v>
      </c>
      <c r="K573" s="109">
        <f t="shared" si="73"/>
        <v>5</v>
      </c>
      <c r="L573" s="110"/>
      <c r="M573" s="108"/>
      <c r="N573" s="111"/>
    </row>
    <row r="574" s="1" customFormat="1" ht="20.25" spans="1:14">
      <c r="A574" s="284">
        <v>45891</v>
      </c>
      <c r="B574" s="105">
        <v>57</v>
      </c>
      <c r="C574" s="285">
        <v>45885</v>
      </c>
      <c r="D574" s="108"/>
      <c r="E574" s="108"/>
      <c r="F574" s="245" t="s">
        <v>124</v>
      </c>
      <c r="G574" s="108">
        <v>1</v>
      </c>
      <c r="H574" s="107">
        <v>2.6</v>
      </c>
      <c r="I574" s="290">
        <f t="shared" si="74"/>
        <v>2.6</v>
      </c>
      <c r="J574" s="109">
        <v>15</v>
      </c>
      <c r="K574" s="109"/>
      <c r="L574" s="110"/>
      <c r="M574" s="110"/>
      <c r="N574" s="111"/>
    </row>
    <row r="575" s="1" customFormat="1" ht="20.25" spans="1:14">
      <c r="A575" s="284">
        <v>45891</v>
      </c>
      <c r="B575" s="105">
        <v>57</v>
      </c>
      <c r="C575" s="285">
        <v>45885</v>
      </c>
      <c r="D575" s="108"/>
      <c r="E575" s="108"/>
      <c r="F575" s="245" t="s">
        <v>633</v>
      </c>
      <c r="G575" s="108">
        <v>1</v>
      </c>
      <c r="H575" s="107">
        <v>0.3</v>
      </c>
      <c r="I575" s="290">
        <f t="shared" si="74"/>
        <v>0.3</v>
      </c>
      <c r="J575" s="109">
        <v>40</v>
      </c>
      <c r="K575" s="109">
        <f>I575*J575</f>
        <v>12</v>
      </c>
      <c r="L575" s="110"/>
      <c r="M575" s="110"/>
      <c r="N575" s="111"/>
    </row>
    <row r="576" s="245" customFormat="1" ht="20.25" spans="1:14">
      <c r="A576" s="284">
        <v>45891</v>
      </c>
      <c r="B576" s="105">
        <v>57</v>
      </c>
      <c r="C576" s="285">
        <v>45885</v>
      </c>
      <c r="D576" s="108"/>
      <c r="E576" s="108"/>
      <c r="F576" s="299" t="s">
        <v>909</v>
      </c>
      <c r="G576" s="108">
        <v>1</v>
      </c>
      <c r="H576" s="108">
        <f>SUM(H565:H575)</f>
        <v>30.73</v>
      </c>
      <c r="I576" s="290">
        <f t="shared" si="74"/>
        <v>30.73</v>
      </c>
      <c r="J576" s="109">
        <v>2</v>
      </c>
      <c r="K576" s="109">
        <f>I576*J576</f>
        <v>61.46</v>
      </c>
      <c r="L576" s="287"/>
      <c r="M576" s="288"/>
      <c r="N576" s="111"/>
    </row>
    <row r="577" s="245" customFormat="1" ht="20.25" spans="1:14">
      <c r="A577" s="284">
        <v>45891</v>
      </c>
      <c r="B577" s="105">
        <v>57</v>
      </c>
      <c r="C577" s="285">
        <v>45885</v>
      </c>
      <c r="D577" s="108"/>
      <c r="E577" s="108"/>
      <c r="F577" s="245" t="s">
        <v>128</v>
      </c>
      <c r="G577" s="108">
        <v>3</v>
      </c>
      <c r="H577" s="108">
        <v>1</v>
      </c>
      <c r="I577" s="290">
        <f t="shared" si="74"/>
        <v>3</v>
      </c>
      <c r="J577" s="109">
        <v>12.5</v>
      </c>
      <c r="K577" s="109">
        <f>I577*J577</f>
        <v>37.5</v>
      </c>
      <c r="L577" s="287">
        <f>SUM(K565:K577)</f>
        <v>274.32</v>
      </c>
      <c r="M577" s="288"/>
      <c r="N577" s="111"/>
    </row>
    <row r="578" s="242" customFormat="1" ht="20.25" spans="1:14">
      <c r="A578" s="258">
        <v>45892</v>
      </c>
      <c r="B578" s="127">
        <v>60</v>
      </c>
      <c r="C578" s="258">
        <v>45892</v>
      </c>
      <c r="D578" s="258"/>
      <c r="E578" s="258"/>
      <c r="F578" s="243" t="s">
        <v>307</v>
      </c>
      <c r="G578" s="136">
        <v>1</v>
      </c>
      <c r="H578" s="136">
        <v>70</v>
      </c>
      <c r="I578" s="136">
        <f t="shared" si="74"/>
        <v>70</v>
      </c>
      <c r="J578" s="135">
        <v>12.2</v>
      </c>
      <c r="K578" s="135">
        <f>I578*J578</f>
        <v>854</v>
      </c>
      <c r="L578" s="243"/>
      <c r="M578" s="243"/>
      <c r="N578" s="259"/>
    </row>
    <row r="579" s="242" customFormat="1" ht="20.25" spans="1:14">
      <c r="A579" s="258">
        <v>45892</v>
      </c>
      <c r="B579" s="127">
        <v>60</v>
      </c>
      <c r="C579" s="258">
        <v>45892</v>
      </c>
      <c r="D579" s="258"/>
      <c r="E579" s="258"/>
      <c r="F579" s="243" t="s">
        <v>887</v>
      </c>
      <c r="G579" s="136">
        <v>1</v>
      </c>
      <c r="H579" s="136">
        <v>190</v>
      </c>
      <c r="I579" s="136">
        <f t="shared" ref="I579:I603" si="75">G579*H579</f>
        <v>190</v>
      </c>
      <c r="J579" s="135">
        <v>11.6</v>
      </c>
      <c r="K579" s="135">
        <f t="shared" ref="K579:K603" si="76">I579*J579</f>
        <v>2204</v>
      </c>
      <c r="L579" s="243"/>
      <c r="M579" s="243"/>
      <c r="N579" s="259"/>
    </row>
    <row r="580" s="242" customFormat="1" ht="20.25" spans="1:14">
      <c r="A580" s="258">
        <v>45892</v>
      </c>
      <c r="B580" s="127">
        <v>60</v>
      </c>
      <c r="C580" s="258">
        <v>45892</v>
      </c>
      <c r="D580" s="258"/>
      <c r="E580" s="258"/>
      <c r="F580" s="243" t="s">
        <v>120</v>
      </c>
      <c r="G580" s="136">
        <v>1</v>
      </c>
      <c r="H580" s="136">
        <v>13.5</v>
      </c>
      <c r="I580" s="136">
        <f t="shared" si="75"/>
        <v>13.5</v>
      </c>
      <c r="J580" s="135">
        <v>17</v>
      </c>
      <c r="K580" s="135">
        <f t="shared" si="76"/>
        <v>229.5</v>
      </c>
      <c r="L580" s="243"/>
      <c r="M580" s="243"/>
      <c r="N580" s="259"/>
    </row>
    <row r="581" s="242" customFormat="1" ht="20.25" spans="1:14">
      <c r="A581" s="258">
        <v>45892</v>
      </c>
      <c r="B581" s="127">
        <v>60</v>
      </c>
      <c r="C581" s="258">
        <v>45892</v>
      </c>
      <c r="D581" s="258"/>
      <c r="E581" s="258"/>
      <c r="F581" s="243" t="s">
        <v>310</v>
      </c>
      <c r="G581" s="136">
        <v>1</v>
      </c>
      <c r="H581" s="136">
        <v>40</v>
      </c>
      <c r="I581" s="136">
        <f t="shared" si="75"/>
        <v>40</v>
      </c>
      <c r="J581" s="135">
        <v>0.6</v>
      </c>
      <c r="K581" s="135">
        <f t="shared" si="76"/>
        <v>24</v>
      </c>
      <c r="L581" s="243" t="s">
        <v>616</v>
      </c>
      <c r="M581" s="243"/>
      <c r="N581" s="259"/>
    </row>
    <row r="582" s="242" customFormat="1" ht="20.25" spans="1:14">
      <c r="A582" s="258">
        <v>45892</v>
      </c>
      <c r="B582" s="127">
        <v>60</v>
      </c>
      <c r="C582" s="258">
        <v>45892</v>
      </c>
      <c r="D582" s="258"/>
      <c r="E582" s="258"/>
      <c r="F582" s="243" t="s">
        <v>122</v>
      </c>
      <c r="G582" s="136">
        <v>1</v>
      </c>
      <c r="H582" s="136">
        <v>250</v>
      </c>
      <c r="I582" s="136">
        <f t="shared" si="75"/>
        <v>250</v>
      </c>
      <c r="J582" s="135">
        <v>6.7</v>
      </c>
      <c r="K582" s="135">
        <f t="shared" si="76"/>
        <v>1675</v>
      </c>
      <c r="L582" s="243"/>
      <c r="M582" s="243"/>
      <c r="N582" s="259"/>
    </row>
    <row r="583" s="242" customFormat="1" ht="20.25" spans="1:14">
      <c r="A583" s="258">
        <v>45892</v>
      </c>
      <c r="B583" s="127">
        <v>60</v>
      </c>
      <c r="C583" s="258">
        <v>45892</v>
      </c>
      <c r="D583" s="258"/>
      <c r="E583" s="258"/>
      <c r="F583" s="243" t="s">
        <v>123</v>
      </c>
      <c r="G583" s="136">
        <v>1</v>
      </c>
      <c r="H583" s="136">
        <v>117</v>
      </c>
      <c r="I583" s="136">
        <f t="shared" si="75"/>
        <v>117</v>
      </c>
      <c r="J583" s="135">
        <v>3.3</v>
      </c>
      <c r="K583" s="135">
        <f t="shared" si="76"/>
        <v>386.1</v>
      </c>
      <c r="L583" s="260" t="s">
        <v>910</v>
      </c>
      <c r="M583" s="243"/>
      <c r="N583" s="259"/>
    </row>
    <row r="584" s="242" customFormat="1" ht="20.25" spans="1:14">
      <c r="A584" s="258">
        <v>45892</v>
      </c>
      <c r="B584" s="127">
        <v>60</v>
      </c>
      <c r="C584" s="258">
        <v>45892</v>
      </c>
      <c r="D584" s="258"/>
      <c r="E584" s="258"/>
      <c r="F584" s="243" t="s">
        <v>124</v>
      </c>
      <c r="G584" s="136">
        <v>1</v>
      </c>
      <c r="H584" s="136">
        <v>30</v>
      </c>
      <c r="I584" s="136">
        <f t="shared" si="75"/>
        <v>30</v>
      </c>
      <c r="J584" s="135">
        <v>15</v>
      </c>
      <c r="K584" s="135">
        <f t="shared" si="76"/>
        <v>450</v>
      </c>
      <c r="L584" s="243"/>
      <c r="M584" s="243"/>
      <c r="N584" s="259"/>
    </row>
    <row r="585" s="242" customFormat="1" ht="20.25" spans="1:14">
      <c r="A585" s="258">
        <v>45892</v>
      </c>
      <c r="B585" s="127">
        <v>60</v>
      </c>
      <c r="C585" s="258">
        <v>45892</v>
      </c>
      <c r="D585" s="258"/>
      <c r="E585" s="258"/>
      <c r="F585" s="243" t="s">
        <v>323</v>
      </c>
      <c r="G585" s="136">
        <v>1</v>
      </c>
      <c r="H585" s="136">
        <v>31</v>
      </c>
      <c r="I585" s="136">
        <f t="shared" si="75"/>
        <v>31</v>
      </c>
      <c r="J585" s="135">
        <v>15</v>
      </c>
      <c r="K585" s="135">
        <f t="shared" si="76"/>
        <v>465</v>
      </c>
      <c r="L585" s="243"/>
      <c r="M585" s="243"/>
      <c r="N585" s="259"/>
    </row>
    <row r="586" s="242" customFormat="1" ht="20.25" spans="1:14">
      <c r="A586" s="258">
        <v>45892</v>
      </c>
      <c r="B586" s="127">
        <v>60</v>
      </c>
      <c r="C586" s="258">
        <v>45892</v>
      </c>
      <c r="D586" s="258"/>
      <c r="E586" s="258"/>
      <c r="F586" s="243" t="s">
        <v>125</v>
      </c>
      <c r="G586" s="136">
        <v>1</v>
      </c>
      <c r="H586" s="136">
        <v>1</v>
      </c>
      <c r="I586" s="136">
        <f t="shared" si="75"/>
        <v>1</v>
      </c>
      <c r="J586" s="135">
        <v>25</v>
      </c>
      <c r="K586" s="135">
        <f t="shared" si="76"/>
        <v>25</v>
      </c>
      <c r="L586" s="261" t="s">
        <v>911</v>
      </c>
      <c r="M586" s="261"/>
      <c r="N586" s="259"/>
    </row>
    <row r="587" s="242" customFormat="1" ht="20.25" spans="1:14">
      <c r="A587" s="258">
        <v>45892</v>
      </c>
      <c r="B587" s="127">
        <v>60</v>
      </c>
      <c r="C587" s="258">
        <v>45892</v>
      </c>
      <c r="D587" s="258"/>
      <c r="E587" s="258"/>
      <c r="F587" s="243" t="s">
        <v>313</v>
      </c>
      <c r="G587" s="136">
        <v>1</v>
      </c>
      <c r="H587" s="136">
        <v>7.5</v>
      </c>
      <c r="I587" s="136">
        <f t="shared" si="75"/>
        <v>7.5</v>
      </c>
      <c r="J587" s="135">
        <v>38</v>
      </c>
      <c r="K587" s="135">
        <f t="shared" si="76"/>
        <v>285</v>
      </c>
      <c r="L587" s="243" t="s">
        <v>321</v>
      </c>
      <c r="M587" s="243" t="s">
        <v>322</v>
      </c>
      <c r="N587" s="259"/>
    </row>
    <row r="588" s="242" customFormat="1" ht="20.25" spans="1:14">
      <c r="A588" s="258">
        <v>45892</v>
      </c>
      <c r="B588" s="127">
        <v>60</v>
      </c>
      <c r="C588" s="258">
        <v>45892</v>
      </c>
      <c r="D588" s="258"/>
      <c r="E588" s="258"/>
      <c r="F588" s="243" t="s">
        <v>912</v>
      </c>
      <c r="G588" s="136">
        <v>1</v>
      </c>
      <c r="H588" s="136">
        <v>17</v>
      </c>
      <c r="I588" s="136">
        <f t="shared" si="75"/>
        <v>17</v>
      </c>
      <c r="J588" s="135">
        <v>10</v>
      </c>
      <c r="K588" s="135">
        <f t="shared" si="76"/>
        <v>170</v>
      </c>
      <c r="L588" s="243"/>
      <c r="M588" s="243"/>
      <c r="N588" s="259"/>
    </row>
    <row r="589" s="242" customFormat="1" ht="20.25" spans="1:14">
      <c r="A589" s="258">
        <v>45892</v>
      </c>
      <c r="B589" s="127">
        <v>60</v>
      </c>
      <c r="C589" s="258">
        <v>45892</v>
      </c>
      <c r="D589" s="258"/>
      <c r="E589" s="258"/>
      <c r="F589" s="243" t="s">
        <v>913</v>
      </c>
      <c r="G589" s="136">
        <v>1</v>
      </c>
      <c r="H589" s="136">
        <f>SUM(H578:H588)</f>
        <v>767</v>
      </c>
      <c r="I589" s="136">
        <f t="shared" si="75"/>
        <v>767</v>
      </c>
      <c r="J589" s="135">
        <v>2</v>
      </c>
      <c r="K589" s="135">
        <f t="shared" si="76"/>
        <v>1534</v>
      </c>
      <c r="L589" s="243" t="s">
        <v>324</v>
      </c>
      <c r="M589" s="243"/>
      <c r="N589" s="259"/>
    </row>
    <row r="590" s="242" customFormat="1" ht="20.25" spans="1:14">
      <c r="A590" s="258">
        <v>45892</v>
      </c>
      <c r="B590" s="127">
        <v>60</v>
      </c>
      <c r="C590" s="258">
        <v>45892</v>
      </c>
      <c r="D590" s="258"/>
      <c r="E590" s="258"/>
      <c r="F590" s="243" t="s">
        <v>316</v>
      </c>
      <c r="G590" s="136">
        <v>42</v>
      </c>
      <c r="H590" s="136">
        <v>1</v>
      </c>
      <c r="I590" s="136">
        <f t="shared" si="75"/>
        <v>42</v>
      </c>
      <c r="J590" s="135">
        <v>12.5</v>
      </c>
      <c r="K590" s="135">
        <f t="shared" si="76"/>
        <v>525</v>
      </c>
      <c r="L590" s="300">
        <f>SUM(K578:K590)</f>
        <v>8826.6</v>
      </c>
      <c r="M590" s="243"/>
      <c r="N590" s="259"/>
    </row>
    <row r="591" s="246" customFormat="1" ht="20.25" spans="1:14">
      <c r="A591" s="285">
        <v>45892</v>
      </c>
      <c r="B591" s="105">
        <v>61</v>
      </c>
      <c r="C591" s="285">
        <v>45892</v>
      </c>
      <c r="D591" s="285"/>
      <c r="E591" s="285"/>
      <c r="F591" s="245" t="s">
        <v>914</v>
      </c>
      <c r="G591" s="108">
        <v>4</v>
      </c>
      <c r="H591" s="108">
        <v>25</v>
      </c>
      <c r="I591" s="108">
        <f t="shared" si="75"/>
        <v>100</v>
      </c>
      <c r="J591" s="109">
        <v>14.5</v>
      </c>
      <c r="K591" s="109">
        <f t="shared" si="76"/>
        <v>1450</v>
      </c>
      <c r="L591" s="301" t="s">
        <v>915</v>
      </c>
      <c r="M591" s="245" t="s">
        <v>916</v>
      </c>
      <c r="N591" s="302"/>
    </row>
    <row r="592" s="246" customFormat="1" ht="20.25" spans="1:14">
      <c r="A592" s="285">
        <v>45892</v>
      </c>
      <c r="B592" s="105">
        <v>61</v>
      </c>
      <c r="C592" s="285">
        <v>45892</v>
      </c>
      <c r="D592" s="285"/>
      <c r="E592" s="285"/>
      <c r="F592" s="245" t="s">
        <v>917</v>
      </c>
      <c r="G592" s="108">
        <v>4</v>
      </c>
      <c r="H592" s="108">
        <v>13</v>
      </c>
      <c r="I592" s="108">
        <f t="shared" si="75"/>
        <v>52</v>
      </c>
      <c r="J592" s="109">
        <v>14.5</v>
      </c>
      <c r="K592" s="109">
        <f t="shared" si="76"/>
        <v>754</v>
      </c>
      <c r="L592" s="301" t="s">
        <v>918</v>
      </c>
      <c r="M592" s="245" t="s">
        <v>916</v>
      </c>
      <c r="N592" s="302"/>
    </row>
    <row r="593" s="246" customFormat="1" ht="20.25" spans="1:14">
      <c r="A593" s="285">
        <v>45892</v>
      </c>
      <c r="B593" s="105">
        <v>61</v>
      </c>
      <c r="C593" s="285">
        <v>45892</v>
      </c>
      <c r="D593" s="285"/>
      <c r="E593" s="285"/>
      <c r="F593" s="245" t="s">
        <v>919</v>
      </c>
      <c r="G593" s="108">
        <v>7</v>
      </c>
      <c r="H593" s="108">
        <v>22</v>
      </c>
      <c r="I593" s="108">
        <f t="shared" si="75"/>
        <v>154</v>
      </c>
      <c r="J593" s="109">
        <v>14.5</v>
      </c>
      <c r="K593" s="109">
        <f t="shared" si="76"/>
        <v>2233</v>
      </c>
      <c r="L593" s="301" t="s">
        <v>915</v>
      </c>
      <c r="M593" s="245" t="s">
        <v>916</v>
      </c>
      <c r="N593" s="302"/>
    </row>
    <row r="594" s="246" customFormat="1" ht="20.25" spans="1:14">
      <c r="A594" s="285">
        <v>45892</v>
      </c>
      <c r="B594" s="105">
        <v>61</v>
      </c>
      <c r="C594" s="285">
        <v>45892</v>
      </c>
      <c r="D594" s="285"/>
      <c r="E594" s="285"/>
      <c r="F594" s="245" t="s">
        <v>920</v>
      </c>
      <c r="G594" s="108">
        <v>7</v>
      </c>
      <c r="H594" s="108">
        <v>12</v>
      </c>
      <c r="I594" s="108">
        <f t="shared" si="75"/>
        <v>84</v>
      </c>
      <c r="J594" s="109">
        <v>14.5</v>
      </c>
      <c r="K594" s="109">
        <f t="shared" si="76"/>
        <v>1218</v>
      </c>
      <c r="L594" s="301" t="s">
        <v>918</v>
      </c>
      <c r="M594" s="245" t="s">
        <v>916</v>
      </c>
      <c r="N594" s="302"/>
    </row>
    <row r="595" s="246" customFormat="1" ht="20.25" spans="1:14">
      <c r="A595" s="285">
        <v>45892</v>
      </c>
      <c r="B595" s="105">
        <v>61</v>
      </c>
      <c r="C595" s="285">
        <v>45892</v>
      </c>
      <c r="D595" s="285"/>
      <c r="E595" s="285"/>
      <c r="F595" s="245" t="s">
        <v>921</v>
      </c>
      <c r="G595" s="108">
        <v>11</v>
      </c>
      <c r="H595" s="108">
        <v>15</v>
      </c>
      <c r="I595" s="108">
        <f t="shared" si="75"/>
        <v>165</v>
      </c>
      <c r="J595" s="109">
        <v>7.5</v>
      </c>
      <c r="K595" s="109">
        <f t="shared" si="76"/>
        <v>1237.5</v>
      </c>
      <c r="L595" s="301" t="s">
        <v>922</v>
      </c>
      <c r="M595" s="245" t="s">
        <v>916</v>
      </c>
      <c r="N595" s="302"/>
    </row>
    <row r="596" s="242" customFormat="1" ht="20.25" spans="1:14">
      <c r="A596" s="258">
        <v>45894</v>
      </c>
      <c r="B596" s="127">
        <v>65</v>
      </c>
      <c r="C596" s="258">
        <v>45894</v>
      </c>
      <c r="D596" s="258"/>
      <c r="E596" s="258"/>
      <c r="F596" s="243" t="s">
        <v>923</v>
      </c>
      <c r="G596" s="136">
        <v>1</v>
      </c>
      <c r="H596" s="136">
        <v>7</v>
      </c>
      <c r="I596" s="136">
        <f t="shared" si="75"/>
        <v>7</v>
      </c>
      <c r="J596" s="135">
        <v>17</v>
      </c>
      <c r="K596" s="135">
        <f t="shared" si="76"/>
        <v>119</v>
      </c>
      <c r="L596" s="300" t="s">
        <v>915</v>
      </c>
      <c r="M596" s="243" t="s">
        <v>916</v>
      </c>
      <c r="N596" s="259" t="s">
        <v>924</v>
      </c>
    </row>
    <row r="597" s="246" customFormat="1" ht="20.25" spans="1:14">
      <c r="A597" s="285">
        <v>45901</v>
      </c>
      <c r="B597" s="105" t="s">
        <v>857</v>
      </c>
      <c r="C597" s="285">
        <v>45901</v>
      </c>
      <c r="D597" s="285"/>
      <c r="E597" s="285"/>
      <c r="F597" s="245" t="s">
        <v>925</v>
      </c>
      <c r="G597" s="108">
        <v>4</v>
      </c>
      <c r="H597" s="108">
        <v>4</v>
      </c>
      <c r="I597" s="108">
        <f t="shared" si="75"/>
        <v>16</v>
      </c>
      <c r="J597" s="109">
        <v>13.5</v>
      </c>
      <c r="K597" s="109">
        <f t="shared" si="76"/>
        <v>216</v>
      </c>
      <c r="M597" s="245"/>
      <c r="N597" s="303" t="s">
        <v>926</v>
      </c>
    </row>
    <row r="598" s="245" customFormat="1" ht="20.25" spans="1:14">
      <c r="A598" s="285">
        <v>45901</v>
      </c>
      <c r="B598" s="105">
        <v>4</v>
      </c>
      <c r="C598" s="285" t="s">
        <v>903</v>
      </c>
      <c r="D598" s="108"/>
      <c r="E598" s="108"/>
      <c r="F598" s="245" t="s">
        <v>927</v>
      </c>
      <c r="G598" s="108">
        <v>1</v>
      </c>
      <c r="H598" s="108">
        <v>5</v>
      </c>
      <c r="I598" s="108">
        <f t="shared" si="75"/>
        <v>5</v>
      </c>
      <c r="J598" s="109">
        <v>17</v>
      </c>
      <c r="K598" s="109">
        <f t="shared" si="76"/>
        <v>85</v>
      </c>
      <c r="L598" s="287"/>
      <c r="M598" s="288" t="s">
        <v>893</v>
      </c>
      <c r="N598" s="111"/>
    </row>
    <row r="599" s="243" customFormat="1" ht="20.25" spans="1:14">
      <c r="A599" s="258">
        <v>45912</v>
      </c>
      <c r="B599" s="127">
        <v>32</v>
      </c>
      <c r="C599" s="258">
        <v>45912</v>
      </c>
      <c r="D599" s="136"/>
      <c r="E599" s="136"/>
      <c r="F599" s="243" t="s">
        <v>308</v>
      </c>
      <c r="G599" s="136">
        <v>1</v>
      </c>
      <c r="H599" s="136">
        <v>2</v>
      </c>
      <c r="I599" s="136">
        <f t="shared" ref="I599:I611" si="77">G599*H599</f>
        <v>2</v>
      </c>
      <c r="J599" s="135">
        <v>12.6</v>
      </c>
      <c r="K599" s="135">
        <f t="shared" ref="K599:K613" si="78">I599*J599</f>
        <v>25.2</v>
      </c>
      <c r="L599" s="283"/>
      <c r="M599" s="278"/>
      <c r="N599" s="132"/>
    </row>
    <row r="600" s="243" customFormat="1" ht="20.25" spans="1:14">
      <c r="A600" s="258">
        <v>45912</v>
      </c>
      <c r="B600" s="127">
        <v>32</v>
      </c>
      <c r="C600" s="258">
        <v>45912</v>
      </c>
      <c r="D600" s="136"/>
      <c r="E600" s="136"/>
      <c r="F600" s="243" t="s">
        <v>323</v>
      </c>
      <c r="G600" s="136">
        <v>1</v>
      </c>
      <c r="H600" s="136">
        <v>2.5</v>
      </c>
      <c r="I600" s="136">
        <f t="shared" si="77"/>
        <v>2.5</v>
      </c>
      <c r="J600" s="135">
        <v>15</v>
      </c>
      <c r="K600" s="135">
        <f t="shared" si="78"/>
        <v>37.5</v>
      </c>
      <c r="L600" s="283"/>
      <c r="M600" s="278"/>
      <c r="N600" s="132"/>
    </row>
    <row r="601" s="243" customFormat="1" ht="20.25" spans="1:14">
      <c r="A601" s="258">
        <v>45912</v>
      </c>
      <c r="B601" s="127">
        <v>32</v>
      </c>
      <c r="C601" s="258">
        <v>45912</v>
      </c>
      <c r="D601" s="136"/>
      <c r="E601" s="136"/>
      <c r="F601" s="243" t="s">
        <v>925</v>
      </c>
      <c r="G601" s="136">
        <v>1</v>
      </c>
      <c r="H601" s="136">
        <v>0.2</v>
      </c>
      <c r="I601" s="136">
        <f t="shared" si="77"/>
        <v>0.2</v>
      </c>
      <c r="J601" s="135">
        <v>13.5</v>
      </c>
      <c r="K601" s="135">
        <f t="shared" si="78"/>
        <v>2.7</v>
      </c>
      <c r="L601" s="283"/>
      <c r="M601" s="278"/>
      <c r="N601" s="132"/>
    </row>
    <row r="602" s="243" customFormat="1" ht="20.25" spans="1:14">
      <c r="A602" s="258">
        <v>45912</v>
      </c>
      <c r="B602" s="127">
        <v>32</v>
      </c>
      <c r="C602" s="258">
        <v>45912</v>
      </c>
      <c r="D602" s="136"/>
      <c r="E602" s="136"/>
      <c r="F602" s="243" t="s">
        <v>928</v>
      </c>
      <c r="G602" s="136">
        <v>1</v>
      </c>
      <c r="H602" s="136">
        <v>0.1</v>
      </c>
      <c r="I602" s="136">
        <f t="shared" si="77"/>
        <v>0.1</v>
      </c>
      <c r="J602" s="135">
        <v>25</v>
      </c>
      <c r="K602" s="135">
        <f t="shared" si="78"/>
        <v>2.5</v>
      </c>
      <c r="L602" s="283"/>
      <c r="M602" s="278"/>
      <c r="N602" s="132"/>
    </row>
    <row r="603" s="243" customFormat="1" ht="20.25" spans="1:14">
      <c r="A603" s="258">
        <v>45912</v>
      </c>
      <c r="B603" s="127">
        <v>32</v>
      </c>
      <c r="C603" s="258">
        <v>45912</v>
      </c>
      <c r="D603" s="136"/>
      <c r="E603" s="136"/>
      <c r="F603" s="243" t="s">
        <v>122</v>
      </c>
      <c r="G603" s="136">
        <v>1</v>
      </c>
      <c r="H603" s="136">
        <v>0.5</v>
      </c>
      <c r="I603" s="136">
        <f t="shared" si="77"/>
        <v>0.5</v>
      </c>
      <c r="J603" s="135">
        <v>6.7</v>
      </c>
      <c r="K603" s="135">
        <f t="shared" si="78"/>
        <v>3.35</v>
      </c>
      <c r="L603" s="283"/>
      <c r="M603" s="278"/>
      <c r="N603" s="132"/>
    </row>
    <row r="604" s="243" customFormat="1" ht="20.25" spans="1:14">
      <c r="A604" s="258">
        <v>45912</v>
      </c>
      <c r="B604" s="127">
        <v>32</v>
      </c>
      <c r="C604" s="258">
        <v>45912</v>
      </c>
      <c r="D604" s="136"/>
      <c r="E604" s="136"/>
      <c r="F604" s="243" t="s">
        <v>434</v>
      </c>
      <c r="G604" s="136">
        <v>1</v>
      </c>
      <c r="H604" s="136">
        <v>0.5</v>
      </c>
      <c r="I604" s="136">
        <f t="shared" si="77"/>
        <v>0.5</v>
      </c>
      <c r="J604" s="135">
        <v>6.7</v>
      </c>
      <c r="K604" s="135">
        <f t="shared" si="78"/>
        <v>3.35</v>
      </c>
      <c r="L604" s="283"/>
      <c r="M604" s="278"/>
      <c r="N604" s="132"/>
    </row>
    <row r="605" s="243" customFormat="1" ht="20.25" spans="1:14">
      <c r="A605" s="258">
        <v>45912</v>
      </c>
      <c r="B605" s="127">
        <v>32</v>
      </c>
      <c r="C605" s="258">
        <v>45912</v>
      </c>
      <c r="D605" s="136"/>
      <c r="E605" s="136"/>
      <c r="F605" s="243" t="s">
        <v>929</v>
      </c>
      <c r="G605" s="136">
        <v>1</v>
      </c>
      <c r="H605" s="136">
        <f>SUM(H599:H604)</f>
        <v>5.8</v>
      </c>
      <c r="I605" s="136">
        <f t="shared" si="77"/>
        <v>5.8</v>
      </c>
      <c r="J605" s="135">
        <v>2</v>
      </c>
      <c r="K605" s="135">
        <f t="shared" si="78"/>
        <v>11.6</v>
      </c>
      <c r="L605" s="283"/>
      <c r="M605" s="278"/>
      <c r="N605" s="132"/>
    </row>
    <row r="606" s="243" customFormat="1" ht="20.25" spans="1:14">
      <c r="A606" s="258">
        <v>45912</v>
      </c>
      <c r="B606" s="127">
        <v>32</v>
      </c>
      <c r="C606" s="258">
        <v>45912</v>
      </c>
      <c r="D606" s="136"/>
      <c r="E606" s="136"/>
      <c r="F606" s="243" t="s">
        <v>316</v>
      </c>
      <c r="G606" s="136">
        <v>1</v>
      </c>
      <c r="H606" s="136">
        <v>1</v>
      </c>
      <c r="I606" s="136">
        <f t="shared" si="77"/>
        <v>1</v>
      </c>
      <c r="J606" s="135">
        <v>12.5</v>
      </c>
      <c r="K606" s="135">
        <f t="shared" si="78"/>
        <v>12.5</v>
      </c>
      <c r="L606" s="283" t="s">
        <v>930</v>
      </c>
      <c r="M606" s="304"/>
      <c r="N606" s="132"/>
    </row>
    <row r="607" s="243" customFormat="1" ht="20.25" spans="1:14">
      <c r="A607" s="258">
        <v>45912</v>
      </c>
      <c r="B607" s="127">
        <v>32</v>
      </c>
      <c r="C607" s="258">
        <v>45912</v>
      </c>
      <c r="D607" s="136"/>
      <c r="E607" s="136"/>
      <c r="F607" s="243" t="s">
        <v>931</v>
      </c>
      <c r="G607" s="136">
        <v>1</v>
      </c>
      <c r="H607" s="136">
        <v>2</v>
      </c>
      <c r="I607" s="136">
        <f t="shared" si="77"/>
        <v>2</v>
      </c>
      <c r="J607" s="135">
        <v>14.5</v>
      </c>
      <c r="K607" s="135">
        <f t="shared" si="78"/>
        <v>29</v>
      </c>
      <c r="L607" s="283" t="s">
        <v>932</v>
      </c>
      <c r="M607" s="278"/>
      <c r="N607" s="132"/>
    </row>
    <row r="608" s="243" customFormat="1" ht="20.25" spans="1:14">
      <c r="A608" s="258">
        <v>45912</v>
      </c>
      <c r="B608" s="127">
        <v>32</v>
      </c>
      <c r="C608" s="258">
        <v>45912</v>
      </c>
      <c r="D608" s="136"/>
      <c r="E608" s="136"/>
      <c r="F608" s="243" t="s">
        <v>933</v>
      </c>
      <c r="G608" s="136">
        <v>1</v>
      </c>
      <c r="H608" s="136">
        <v>3</v>
      </c>
      <c r="I608" s="136">
        <f t="shared" si="77"/>
        <v>3</v>
      </c>
      <c r="J608" s="135">
        <v>8.5</v>
      </c>
      <c r="K608" s="135">
        <f t="shared" si="78"/>
        <v>25.5</v>
      </c>
      <c r="L608" s="283" t="s">
        <v>934</v>
      </c>
      <c r="M608" s="278"/>
      <c r="N608" s="132"/>
    </row>
    <row r="609" s="243" customFormat="1" ht="20.25" spans="1:14">
      <c r="A609" s="258">
        <v>45912</v>
      </c>
      <c r="B609" s="127">
        <v>32</v>
      </c>
      <c r="C609" s="258">
        <v>45912</v>
      </c>
      <c r="D609" s="136"/>
      <c r="E609" s="136"/>
      <c r="F609" s="243" t="s">
        <v>316</v>
      </c>
      <c r="G609" s="136">
        <v>1</v>
      </c>
      <c r="H609" s="136">
        <v>1</v>
      </c>
      <c r="I609" s="136">
        <f t="shared" si="77"/>
        <v>1</v>
      </c>
      <c r="J609" s="135">
        <v>12.5</v>
      </c>
      <c r="K609" s="135">
        <f t="shared" si="78"/>
        <v>12.5</v>
      </c>
      <c r="L609" s="283"/>
      <c r="M609" s="278"/>
      <c r="N609" s="132"/>
    </row>
    <row r="610" s="243" customFormat="1" ht="20.25" spans="1:14">
      <c r="A610" s="258">
        <v>45912</v>
      </c>
      <c r="B610" s="127">
        <v>32</v>
      </c>
      <c r="C610" s="258">
        <v>45912</v>
      </c>
      <c r="D610" s="136"/>
      <c r="E610" s="136"/>
      <c r="F610" s="243" t="s">
        <v>935</v>
      </c>
      <c r="G610" s="136">
        <v>2</v>
      </c>
      <c r="H610" s="136">
        <v>1</v>
      </c>
      <c r="I610" s="136">
        <f t="shared" si="77"/>
        <v>2</v>
      </c>
      <c r="J610" s="135">
        <v>5</v>
      </c>
      <c r="K610" s="135">
        <f t="shared" si="78"/>
        <v>10</v>
      </c>
      <c r="L610" s="305">
        <f>SUM(K599:K610)</f>
        <v>175.7</v>
      </c>
      <c r="M610" s="278"/>
      <c r="N610" s="132"/>
    </row>
    <row r="611" s="246" customFormat="1" ht="20.25" spans="1:14">
      <c r="A611" s="285">
        <v>45937</v>
      </c>
      <c r="B611" s="105">
        <v>1</v>
      </c>
      <c r="C611" s="285">
        <v>45930</v>
      </c>
      <c r="D611" s="285"/>
      <c r="E611" s="285"/>
      <c r="F611" s="245" t="s">
        <v>936</v>
      </c>
      <c r="G611" s="108">
        <v>1</v>
      </c>
      <c r="H611" s="108">
        <v>50</v>
      </c>
      <c r="I611" s="108">
        <f t="shared" si="77"/>
        <v>50</v>
      </c>
      <c r="J611" s="109">
        <v>7.6</v>
      </c>
      <c r="K611" s="109"/>
      <c r="L611" s="245"/>
      <c r="M611" s="278"/>
      <c r="N611" s="302"/>
    </row>
    <row r="612" s="246" customFormat="1" ht="20.25" spans="1:14">
      <c r="A612" s="285">
        <v>45937</v>
      </c>
      <c r="B612" s="105">
        <v>1</v>
      </c>
      <c r="C612" s="285">
        <v>45930</v>
      </c>
      <c r="D612" s="285"/>
      <c r="E612" s="285"/>
      <c r="F612" s="245" t="s">
        <v>887</v>
      </c>
      <c r="G612" s="108">
        <v>1</v>
      </c>
      <c r="H612" s="108">
        <v>82</v>
      </c>
      <c r="I612" s="108">
        <f t="shared" ref="I612:I632" si="79">G612*H612</f>
        <v>82</v>
      </c>
      <c r="J612" s="109">
        <v>10.8</v>
      </c>
      <c r="K612" s="109"/>
      <c r="L612" s="245"/>
      <c r="M612" s="278"/>
      <c r="N612" s="302"/>
    </row>
    <row r="613" s="246" customFormat="1" ht="20.25" spans="1:14">
      <c r="A613" s="285">
        <v>45937</v>
      </c>
      <c r="B613" s="105">
        <v>1</v>
      </c>
      <c r="C613" s="285">
        <v>45930</v>
      </c>
      <c r="D613" s="285"/>
      <c r="E613" s="285"/>
      <c r="F613" s="245" t="s">
        <v>120</v>
      </c>
      <c r="G613" s="108">
        <v>1</v>
      </c>
      <c r="H613" s="108">
        <v>7</v>
      </c>
      <c r="I613" s="108">
        <f t="shared" si="79"/>
        <v>7</v>
      </c>
      <c r="J613" s="109">
        <v>17</v>
      </c>
      <c r="K613" s="109">
        <f t="shared" ref="K613:K625" si="80">I613*J613</f>
        <v>119</v>
      </c>
      <c r="L613" s="245"/>
      <c r="M613" s="278"/>
      <c r="N613" s="302"/>
    </row>
    <row r="614" s="246" customFormat="1" ht="20.25" spans="1:14">
      <c r="A614" s="285">
        <v>45937</v>
      </c>
      <c r="B614" s="105">
        <v>1</v>
      </c>
      <c r="C614" s="285">
        <v>45930</v>
      </c>
      <c r="D614" s="285"/>
      <c r="E614" s="285"/>
      <c r="F614" s="245" t="s">
        <v>310</v>
      </c>
      <c r="G614" s="108">
        <v>1</v>
      </c>
      <c r="H614" s="108">
        <v>10</v>
      </c>
      <c r="I614" s="108">
        <f t="shared" si="79"/>
        <v>10</v>
      </c>
      <c r="J614" s="109">
        <v>0.6</v>
      </c>
      <c r="K614" s="109">
        <f t="shared" si="80"/>
        <v>6</v>
      </c>
      <c r="L614" s="245" t="s">
        <v>937</v>
      </c>
      <c r="M614" s="245"/>
      <c r="N614" s="302"/>
    </row>
    <row r="615" s="246" customFormat="1" ht="20.25" spans="1:14">
      <c r="A615" s="285">
        <v>45937</v>
      </c>
      <c r="B615" s="105">
        <v>1</v>
      </c>
      <c r="C615" s="285">
        <v>45930</v>
      </c>
      <c r="D615" s="285"/>
      <c r="E615" s="285"/>
      <c r="F615" s="245" t="s">
        <v>122</v>
      </c>
      <c r="G615" s="108">
        <v>1</v>
      </c>
      <c r="H615" s="108">
        <v>132</v>
      </c>
      <c r="I615" s="108">
        <f t="shared" si="79"/>
        <v>132</v>
      </c>
      <c r="J615" s="109">
        <v>6.5</v>
      </c>
      <c r="K615" s="109">
        <f t="shared" si="80"/>
        <v>858</v>
      </c>
      <c r="L615" s="245"/>
      <c r="M615" s="245"/>
      <c r="N615" s="246" t="s">
        <v>321</v>
      </c>
    </row>
    <row r="616" s="246" customFormat="1" ht="20.25" spans="1:14">
      <c r="A616" s="285">
        <v>45937</v>
      </c>
      <c r="B616" s="105">
        <v>1</v>
      </c>
      <c r="C616" s="285">
        <v>45930</v>
      </c>
      <c r="D616" s="285"/>
      <c r="E616" s="285"/>
      <c r="F616" s="245" t="s">
        <v>123</v>
      </c>
      <c r="G616" s="108">
        <v>1</v>
      </c>
      <c r="H616" s="108">
        <v>60</v>
      </c>
      <c r="I616" s="108">
        <f t="shared" si="79"/>
        <v>60</v>
      </c>
      <c r="J616" s="109">
        <v>3.3</v>
      </c>
      <c r="K616" s="109">
        <f t="shared" si="80"/>
        <v>198</v>
      </c>
      <c r="L616" s="306" t="s">
        <v>938</v>
      </c>
      <c r="M616" s="245"/>
      <c r="N616" s="301" t="s">
        <v>939</v>
      </c>
    </row>
    <row r="617" s="246" customFormat="1" ht="20.25" spans="1:14">
      <c r="A617" s="285">
        <v>45937</v>
      </c>
      <c r="B617" s="105">
        <v>1</v>
      </c>
      <c r="C617" s="285">
        <v>45930</v>
      </c>
      <c r="D617" s="285"/>
      <c r="E617" s="285"/>
      <c r="F617" s="245" t="s">
        <v>940</v>
      </c>
      <c r="G617" s="108">
        <v>1</v>
      </c>
      <c r="H617" s="108">
        <v>20</v>
      </c>
      <c r="I617" s="108">
        <f t="shared" si="79"/>
        <v>20</v>
      </c>
      <c r="J617" s="109">
        <v>15</v>
      </c>
      <c r="K617" s="109">
        <f t="shared" si="80"/>
        <v>300</v>
      </c>
      <c r="L617" s="245"/>
      <c r="M617" s="245"/>
      <c r="N617" s="301" t="s">
        <v>941</v>
      </c>
    </row>
    <row r="618" s="246" customFormat="1" ht="20.25" spans="1:14">
      <c r="A618" s="285">
        <v>45937</v>
      </c>
      <c r="B618" s="105">
        <v>1</v>
      </c>
      <c r="C618" s="285">
        <v>45930</v>
      </c>
      <c r="D618" s="285"/>
      <c r="E618" s="285"/>
      <c r="F618" s="245" t="s">
        <v>787</v>
      </c>
      <c r="G618" s="108">
        <v>1</v>
      </c>
      <c r="H618" s="108">
        <v>14.5</v>
      </c>
      <c r="I618" s="108">
        <f t="shared" si="79"/>
        <v>14.5</v>
      </c>
      <c r="J618" s="109">
        <v>38</v>
      </c>
      <c r="K618" s="109">
        <f t="shared" si="80"/>
        <v>551</v>
      </c>
      <c r="L618" s="245"/>
      <c r="M618" s="245"/>
      <c r="N618" s="301" t="s">
        <v>942</v>
      </c>
    </row>
    <row r="619" s="246" customFormat="1" ht="20.25" spans="1:14">
      <c r="A619" s="285">
        <v>45937</v>
      </c>
      <c r="B619" s="105">
        <v>1</v>
      </c>
      <c r="C619" s="285">
        <v>45930</v>
      </c>
      <c r="D619" s="285"/>
      <c r="E619" s="285"/>
      <c r="F619" s="245" t="s">
        <v>633</v>
      </c>
      <c r="G619" s="108">
        <v>1</v>
      </c>
      <c r="H619" s="108">
        <v>0.5</v>
      </c>
      <c r="I619" s="108">
        <f t="shared" si="79"/>
        <v>0.5</v>
      </c>
      <c r="J619" s="109">
        <v>40</v>
      </c>
      <c r="K619" s="109">
        <f t="shared" si="80"/>
        <v>20</v>
      </c>
      <c r="L619" s="245"/>
      <c r="M619" s="245"/>
      <c r="N619" s="301" t="s">
        <v>943</v>
      </c>
    </row>
    <row r="620" s="246" customFormat="1" ht="20.25" spans="1:14">
      <c r="A620" s="285">
        <v>45937</v>
      </c>
      <c r="B620" s="105">
        <v>1</v>
      </c>
      <c r="C620" s="285">
        <v>45930</v>
      </c>
      <c r="D620" s="285"/>
      <c r="E620" s="285"/>
      <c r="F620" s="245" t="s">
        <v>576</v>
      </c>
      <c r="G620" s="108">
        <v>1</v>
      </c>
      <c r="H620" s="108">
        <v>1.3</v>
      </c>
      <c r="I620" s="108">
        <f t="shared" si="79"/>
        <v>1.3</v>
      </c>
      <c r="J620" s="109">
        <v>25</v>
      </c>
      <c r="K620" s="109">
        <f t="shared" si="80"/>
        <v>32.5</v>
      </c>
      <c r="L620" s="245"/>
      <c r="M620" s="245"/>
      <c r="N620" s="301" t="s">
        <v>944</v>
      </c>
    </row>
    <row r="621" s="246" customFormat="1" ht="20.25" spans="1:14">
      <c r="A621" s="285">
        <v>45937</v>
      </c>
      <c r="B621" s="105">
        <v>1</v>
      </c>
      <c r="C621" s="285">
        <v>45930</v>
      </c>
      <c r="D621" s="285"/>
      <c r="E621" s="285"/>
      <c r="F621" s="245" t="s">
        <v>351</v>
      </c>
      <c r="G621" s="108">
        <v>1</v>
      </c>
      <c r="H621" s="108">
        <v>3.2</v>
      </c>
      <c r="I621" s="108">
        <f t="shared" si="79"/>
        <v>3.2</v>
      </c>
      <c r="J621" s="109">
        <v>25</v>
      </c>
      <c r="K621" s="109">
        <f t="shared" si="80"/>
        <v>80</v>
      </c>
      <c r="L621" s="245"/>
      <c r="M621" s="245"/>
      <c r="N621" s="301" t="s">
        <v>945</v>
      </c>
    </row>
    <row r="622" s="246" customFormat="1" ht="20.25" spans="1:14">
      <c r="A622" s="285">
        <v>45937</v>
      </c>
      <c r="B622" s="105">
        <v>1</v>
      </c>
      <c r="C622" s="285">
        <v>45930</v>
      </c>
      <c r="D622" s="285"/>
      <c r="E622" s="285"/>
      <c r="F622" s="245" t="s">
        <v>125</v>
      </c>
      <c r="G622" s="108">
        <v>1</v>
      </c>
      <c r="H622" s="108">
        <v>0.7</v>
      </c>
      <c r="I622" s="108">
        <f t="shared" si="79"/>
        <v>0.7</v>
      </c>
      <c r="J622" s="109">
        <v>25</v>
      </c>
      <c r="K622" s="109">
        <f t="shared" si="80"/>
        <v>17.5</v>
      </c>
      <c r="L622" s="245"/>
      <c r="M622" s="245"/>
      <c r="N622" s="302"/>
    </row>
    <row r="623" s="246" customFormat="1" ht="20.25" spans="1:14">
      <c r="A623" s="285">
        <v>45937</v>
      </c>
      <c r="B623" s="105">
        <v>1</v>
      </c>
      <c r="C623" s="285">
        <v>45930</v>
      </c>
      <c r="D623" s="285"/>
      <c r="E623" s="285"/>
      <c r="F623" s="245" t="s">
        <v>575</v>
      </c>
      <c r="G623" s="108">
        <v>1</v>
      </c>
      <c r="H623" s="108">
        <v>1</v>
      </c>
      <c r="I623" s="108">
        <f t="shared" si="79"/>
        <v>1</v>
      </c>
      <c r="J623" s="109">
        <v>25</v>
      </c>
      <c r="K623" s="109">
        <f t="shared" si="80"/>
        <v>25</v>
      </c>
      <c r="L623" s="245"/>
      <c r="M623" s="245">
        <f>SUM(K617:K623)</f>
        <v>1026</v>
      </c>
      <c r="N623" s="302"/>
    </row>
    <row r="624" s="246" customFormat="1" ht="20.25" spans="1:14">
      <c r="A624" s="285">
        <v>45937</v>
      </c>
      <c r="B624" s="105">
        <v>1</v>
      </c>
      <c r="C624" s="285">
        <v>45930</v>
      </c>
      <c r="D624" s="285"/>
      <c r="E624" s="285"/>
      <c r="F624" s="245" t="s">
        <v>946</v>
      </c>
      <c r="G624" s="108">
        <v>1</v>
      </c>
      <c r="H624" s="108">
        <f>SUM(H611:H623)</f>
        <v>382.2</v>
      </c>
      <c r="I624" s="108">
        <f t="shared" si="79"/>
        <v>382.2</v>
      </c>
      <c r="J624" s="109">
        <v>2</v>
      </c>
      <c r="K624" s="109">
        <f t="shared" si="80"/>
        <v>764.4</v>
      </c>
      <c r="L624" s="245" t="s">
        <v>324</v>
      </c>
      <c r="M624" s="245"/>
      <c r="N624" s="302"/>
    </row>
    <row r="625" s="245" customFormat="1" ht="20.25" spans="1:14">
      <c r="A625" s="285">
        <v>45937</v>
      </c>
      <c r="B625" s="105">
        <v>1</v>
      </c>
      <c r="C625" s="285">
        <v>45930</v>
      </c>
      <c r="D625" s="285"/>
      <c r="E625" s="285"/>
      <c r="F625" s="245" t="s">
        <v>462</v>
      </c>
      <c r="G625" s="108">
        <v>16</v>
      </c>
      <c r="H625" s="108">
        <v>1</v>
      </c>
      <c r="I625" s="108">
        <f t="shared" si="79"/>
        <v>16</v>
      </c>
      <c r="J625" s="109">
        <v>12.5</v>
      </c>
      <c r="K625" s="109">
        <f t="shared" si="80"/>
        <v>200</v>
      </c>
      <c r="L625" s="307">
        <f>SUM(K611:K625)</f>
        <v>3171.4</v>
      </c>
      <c r="M625" s="288">
        <f>SUM(K611:K625)</f>
        <v>3171.4</v>
      </c>
      <c r="N625" s="111"/>
    </row>
    <row r="626" s="247" customFormat="1" ht="20.25" spans="1:14">
      <c r="A626" s="308">
        <v>45937</v>
      </c>
      <c r="B626" s="273" t="s">
        <v>947</v>
      </c>
      <c r="C626" s="308">
        <v>45930</v>
      </c>
      <c r="D626" s="114"/>
      <c r="E626" s="114"/>
      <c r="F626" s="247" t="s">
        <v>948</v>
      </c>
      <c r="G626" s="114">
        <v>1</v>
      </c>
      <c r="H626" s="114">
        <v>2</v>
      </c>
      <c r="I626" s="274">
        <f t="shared" si="79"/>
        <v>2</v>
      </c>
      <c r="J626" s="115">
        <v>14.5</v>
      </c>
      <c r="K626" s="275">
        <f t="shared" ref="K626:K633" si="81">I626*J626</f>
        <v>29</v>
      </c>
      <c r="L626" s="309"/>
      <c r="M626" s="310"/>
      <c r="N626" s="311"/>
    </row>
    <row r="627" s="247" customFormat="1" ht="20.25" spans="1:14">
      <c r="A627" s="308">
        <v>45937</v>
      </c>
      <c r="B627" s="273" t="s">
        <v>947</v>
      </c>
      <c r="C627" s="308">
        <v>45930</v>
      </c>
      <c r="D627" s="114"/>
      <c r="E627" s="114"/>
      <c r="F627" s="247" t="s">
        <v>949</v>
      </c>
      <c r="G627" s="114">
        <v>1</v>
      </c>
      <c r="H627" s="114">
        <v>2</v>
      </c>
      <c r="I627" s="274">
        <f t="shared" ref="I627:I641" si="82">G627*H627</f>
        <v>2</v>
      </c>
      <c r="J627" s="115">
        <v>14.5</v>
      </c>
      <c r="K627" s="275">
        <f t="shared" si="81"/>
        <v>29</v>
      </c>
      <c r="L627" s="309"/>
      <c r="M627" s="310"/>
      <c r="N627" s="311"/>
    </row>
    <row r="628" s="247" customFormat="1" ht="20.25" spans="1:14">
      <c r="A628" s="308">
        <v>45937</v>
      </c>
      <c r="B628" s="273" t="s">
        <v>947</v>
      </c>
      <c r="C628" s="308">
        <v>45930</v>
      </c>
      <c r="D628" s="114"/>
      <c r="E628" s="114"/>
      <c r="F628" s="247" t="s">
        <v>950</v>
      </c>
      <c r="G628" s="114">
        <v>1</v>
      </c>
      <c r="H628" s="114">
        <v>2</v>
      </c>
      <c r="I628" s="274">
        <f t="shared" si="82"/>
        <v>2</v>
      </c>
      <c r="J628" s="115">
        <v>14.5</v>
      </c>
      <c r="K628" s="275">
        <f t="shared" si="81"/>
        <v>29</v>
      </c>
      <c r="L628" s="309"/>
      <c r="M628" s="310"/>
      <c r="N628" s="311"/>
    </row>
    <row r="629" s="247" customFormat="1" ht="20.25" spans="1:14">
      <c r="A629" s="308">
        <v>45937</v>
      </c>
      <c r="B629" s="273" t="s">
        <v>947</v>
      </c>
      <c r="C629" s="308">
        <v>45930</v>
      </c>
      <c r="D629" s="114"/>
      <c r="E629" s="114"/>
      <c r="F629" s="247" t="s">
        <v>424</v>
      </c>
      <c r="G629" s="114">
        <v>1</v>
      </c>
      <c r="H629" s="114">
        <v>2</v>
      </c>
      <c r="I629" s="274">
        <f t="shared" si="82"/>
        <v>2</v>
      </c>
      <c r="J629" s="115">
        <v>14.5</v>
      </c>
      <c r="K629" s="275">
        <f t="shared" si="81"/>
        <v>29</v>
      </c>
      <c r="L629" s="309"/>
      <c r="M629" s="310"/>
      <c r="N629" s="311"/>
    </row>
    <row r="630" s="247" customFormat="1" ht="20.25" spans="1:14">
      <c r="A630" s="308">
        <v>45937</v>
      </c>
      <c r="B630" s="273" t="s">
        <v>947</v>
      </c>
      <c r="C630" s="308">
        <v>45930</v>
      </c>
      <c r="D630" s="114"/>
      <c r="E630" s="114"/>
      <c r="F630" s="247" t="s">
        <v>951</v>
      </c>
      <c r="G630" s="114">
        <v>1</v>
      </c>
      <c r="H630" s="114">
        <v>3</v>
      </c>
      <c r="I630" s="274">
        <f t="shared" si="82"/>
        <v>3</v>
      </c>
      <c r="J630" s="115">
        <v>7.5</v>
      </c>
      <c r="K630" s="275">
        <f t="shared" si="81"/>
        <v>22.5</v>
      </c>
      <c r="L630" s="309"/>
      <c r="M630" s="310"/>
      <c r="N630" s="311"/>
    </row>
    <row r="631" s="247" customFormat="1" ht="20.25" spans="1:14">
      <c r="A631" s="308">
        <v>45937</v>
      </c>
      <c r="B631" s="273" t="s">
        <v>947</v>
      </c>
      <c r="C631" s="308">
        <v>45930</v>
      </c>
      <c r="D631" s="114"/>
      <c r="E631" s="114"/>
      <c r="F631" s="247" t="s">
        <v>952</v>
      </c>
      <c r="G631" s="114">
        <v>3</v>
      </c>
      <c r="H631" s="114">
        <v>1</v>
      </c>
      <c r="I631" s="274">
        <f t="shared" si="82"/>
        <v>3</v>
      </c>
      <c r="J631" s="115">
        <v>5.5</v>
      </c>
      <c r="K631" s="275">
        <f t="shared" si="81"/>
        <v>16.5</v>
      </c>
      <c r="L631" s="309"/>
      <c r="M631" s="310"/>
      <c r="N631" s="311"/>
    </row>
    <row r="632" s="247" customFormat="1" ht="20.25" spans="1:14">
      <c r="A632" s="308">
        <v>45937</v>
      </c>
      <c r="B632" s="273" t="s">
        <v>947</v>
      </c>
      <c r="C632" s="308">
        <v>45930</v>
      </c>
      <c r="D632" s="114"/>
      <c r="E632" s="114"/>
      <c r="F632" s="247" t="s">
        <v>935</v>
      </c>
      <c r="G632" s="114">
        <v>1</v>
      </c>
      <c r="H632" s="114">
        <v>1</v>
      </c>
      <c r="I632" s="274">
        <f t="shared" si="82"/>
        <v>1</v>
      </c>
      <c r="J632" s="115">
        <v>5</v>
      </c>
      <c r="K632" s="275">
        <f t="shared" si="81"/>
        <v>5</v>
      </c>
      <c r="L632" s="309"/>
      <c r="M632" s="310"/>
      <c r="N632" s="311"/>
    </row>
    <row r="633" s="247" customFormat="1" ht="20.25" spans="1:14">
      <c r="A633" s="308">
        <v>45937</v>
      </c>
      <c r="B633" s="273" t="s">
        <v>947</v>
      </c>
      <c r="C633" s="308">
        <v>45930</v>
      </c>
      <c r="D633" s="114"/>
      <c r="E633" s="114"/>
      <c r="F633" s="247" t="s">
        <v>953</v>
      </c>
      <c r="G633" s="114">
        <v>1</v>
      </c>
      <c r="H633" s="114">
        <v>1</v>
      </c>
      <c r="I633" s="274">
        <f t="shared" si="82"/>
        <v>1</v>
      </c>
      <c r="J633" s="115">
        <v>4</v>
      </c>
      <c r="K633" s="275">
        <f t="shared" si="81"/>
        <v>4</v>
      </c>
      <c r="L633" s="309">
        <f>SUM(K626:K633)</f>
        <v>164</v>
      </c>
      <c r="M633" s="310"/>
      <c r="N633" s="311"/>
    </row>
    <row r="634" s="243" customFormat="1" ht="20.25" spans="1:14">
      <c r="A634" s="258">
        <v>45943</v>
      </c>
      <c r="B634" s="127">
        <v>21</v>
      </c>
      <c r="C634" s="258">
        <v>45941</v>
      </c>
      <c r="D634" s="136"/>
      <c r="E634" s="136"/>
      <c r="F634" s="243" t="s">
        <v>954</v>
      </c>
      <c r="G634" s="136">
        <v>1</v>
      </c>
      <c r="H634" s="136">
        <v>6</v>
      </c>
      <c r="I634" s="136">
        <f t="shared" si="82"/>
        <v>6</v>
      </c>
      <c r="J634" s="135"/>
      <c r="K634" s="135"/>
      <c r="L634" s="305"/>
      <c r="M634" s="278"/>
      <c r="N634" s="132"/>
    </row>
    <row r="635" s="243" customFormat="1" ht="20.25" spans="1:14">
      <c r="A635" s="258">
        <v>45943</v>
      </c>
      <c r="B635" s="127">
        <v>21</v>
      </c>
      <c r="C635" s="258">
        <v>45941</v>
      </c>
      <c r="D635" s="136"/>
      <c r="E635" s="136"/>
      <c r="F635" s="248" t="s">
        <v>955</v>
      </c>
      <c r="G635" s="140">
        <v>1</v>
      </c>
      <c r="H635" s="140">
        <v>22</v>
      </c>
      <c r="I635" s="140">
        <f t="shared" si="82"/>
        <v>22</v>
      </c>
      <c r="J635" s="130">
        <v>10</v>
      </c>
      <c r="K635" s="130"/>
      <c r="L635" s="305" t="s">
        <v>956</v>
      </c>
      <c r="M635" s="278"/>
      <c r="N635" s="132"/>
    </row>
    <row r="636" s="243" customFormat="1" ht="20.25" spans="1:14">
      <c r="A636" s="258">
        <v>45943</v>
      </c>
      <c r="B636" s="127">
        <v>21</v>
      </c>
      <c r="C636" s="258">
        <v>45941</v>
      </c>
      <c r="D636" s="136"/>
      <c r="E636" s="136"/>
      <c r="F636" s="243" t="s">
        <v>122</v>
      </c>
      <c r="G636" s="136">
        <v>1</v>
      </c>
      <c r="H636" s="136">
        <v>2</v>
      </c>
      <c r="I636" s="136">
        <f t="shared" si="82"/>
        <v>2</v>
      </c>
      <c r="J636" s="135">
        <v>6.5</v>
      </c>
      <c r="K636" s="135">
        <f t="shared" ref="K636:K639" si="83">I636*J636</f>
        <v>13</v>
      </c>
      <c r="L636" s="305"/>
      <c r="M636" s="278"/>
      <c r="N636" s="132"/>
    </row>
    <row r="637" s="243" customFormat="1" ht="20.25" spans="1:14">
      <c r="A637" s="258">
        <v>45943</v>
      </c>
      <c r="B637" s="127">
        <v>21</v>
      </c>
      <c r="C637" s="258">
        <v>45941</v>
      </c>
      <c r="D637" s="136"/>
      <c r="E637" s="136"/>
      <c r="F637" s="243" t="s">
        <v>957</v>
      </c>
      <c r="G637" s="136">
        <v>1</v>
      </c>
      <c r="H637" s="136">
        <f>SUM(H634:H636)</f>
        <v>30</v>
      </c>
      <c r="I637" s="136">
        <f t="shared" si="82"/>
        <v>30</v>
      </c>
      <c r="J637" s="135">
        <v>2</v>
      </c>
      <c r="K637" s="135">
        <f t="shared" si="83"/>
        <v>60</v>
      </c>
      <c r="L637" s="305" t="s">
        <v>958</v>
      </c>
      <c r="M637" s="278"/>
      <c r="N637" s="132"/>
    </row>
    <row r="638" s="243" customFormat="1" ht="20.25" spans="1:14">
      <c r="A638" s="258">
        <v>45943</v>
      </c>
      <c r="B638" s="127">
        <v>21</v>
      </c>
      <c r="C638" s="258">
        <v>45941</v>
      </c>
      <c r="D638" s="136"/>
      <c r="E638" s="136"/>
      <c r="F638" s="243" t="s">
        <v>959</v>
      </c>
      <c r="G638" s="136">
        <v>2</v>
      </c>
      <c r="H638" s="136">
        <v>1</v>
      </c>
      <c r="I638" s="136">
        <f t="shared" si="82"/>
        <v>2</v>
      </c>
      <c r="J638" s="135"/>
      <c r="K638" s="135"/>
      <c r="L638" s="312"/>
      <c r="M638" s="278"/>
      <c r="N638" s="132"/>
    </row>
    <row r="639" s="247" customFormat="1" ht="20.25" spans="1:14">
      <c r="A639" s="258">
        <v>45943</v>
      </c>
      <c r="B639" s="127">
        <v>21</v>
      </c>
      <c r="C639" s="258">
        <v>45941</v>
      </c>
      <c r="D639" s="136"/>
      <c r="E639" s="136"/>
      <c r="F639" s="247" t="s">
        <v>960</v>
      </c>
      <c r="G639" s="114">
        <v>2</v>
      </c>
      <c r="H639" s="114">
        <v>1</v>
      </c>
      <c r="I639" s="136">
        <f t="shared" si="82"/>
        <v>2</v>
      </c>
      <c r="J639" s="115">
        <v>3.5</v>
      </c>
      <c r="K639" s="135">
        <f t="shared" si="83"/>
        <v>7</v>
      </c>
      <c r="L639" s="309">
        <f>SUM(K634:K639)</f>
        <v>80</v>
      </c>
      <c r="M639" s="310"/>
      <c r="N639" s="311"/>
    </row>
    <row r="640" s="245" customFormat="1" ht="20.25" spans="1:14">
      <c r="A640" s="285">
        <v>45943</v>
      </c>
      <c r="B640" s="105" t="s">
        <v>770</v>
      </c>
      <c r="C640" s="285">
        <v>45941</v>
      </c>
      <c r="D640" s="108"/>
      <c r="E640" s="108"/>
      <c r="F640" s="245" t="s">
        <v>124</v>
      </c>
      <c r="G640" s="108">
        <v>1</v>
      </c>
      <c r="H640" s="108">
        <v>8</v>
      </c>
      <c r="I640" s="108">
        <f t="shared" si="82"/>
        <v>8</v>
      </c>
      <c r="J640" s="109">
        <v>15</v>
      </c>
      <c r="K640" s="109"/>
      <c r="L640" s="307"/>
      <c r="M640" s="288"/>
      <c r="N640" s="111"/>
    </row>
    <row r="641" s="245" customFormat="1" ht="20.25" spans="1:14">
      <c r="A641" s="285">
        <v>45943</v>
      </c>
      <c r="B641" s="105" t="s">
        <v>770</v>
      </c>
      <c r="C641" s="285">
        <v>45941</v>
      </c>
      <c r="D641" s="108"/>
      <c r="E641" s="108"/>
      <c r="F641" s="245" t="s">
        <v>120</v>
      </c>
      <c r="G641" s="108">
        <v>1</v>
      </c>
      <c r="H641" s="108">
        <v>8</v>
      </c>
      <c r="I641" s="108">
        <f t="shared" si="82"/>
        <v>8</v>
      </c>
      <c r="J641" s="109">
        <v>17</v>
      </c>
      <c r="K641" s="109">
        <f>I641*J641</f>
        <v>136</v>
      </c>
      <c r="L641" s="307" t="s">
        <v>937</v>
      </c>
      <c r="M641" s="288"/>
      <c r="N641" s="111"/>
    </row>
    <row r="642" s="245" customFormat="1" ht="20.25" spans="1:14">
      <c r="A642" s="285">
        <v>45943</v>
      </c>
      <c r="B642" s="105" t="s">
        <v>770</v>
      </c>
      <c r="C642" s="285">
        <v>45941</v>
      </c>
      <c r="D642" s="108"/>
      <c r="E642" s="108"/>
      <c r="F642" s="245" t="s">
        <v>122</v>
      </c>
      <c r="G642" s="108">
        <v>1</v>
      </c>
      <c r="H642" s="108">
        <v>32</v>
      </c>
      <c r="I642" s="108">
        <f t="shared" ref="I642:I649" si="84">G642*H642</f>
        <v>32</v>
      </c>
      <c r="J642" s="109">
        <v>6.5</v>
      </c>
      <c r="K642" s="109">
        <f t="shared" ref="K642:K647" si="85">I642*J642</f>
        <v>208</v>
      </c>
      <c r="L642" s="307"/>
      <c r="M642" s="288"/>
      <c r="N642" s="111"/>
    </row>
    <row r="643" s="245" customFormat="1" ht="20.25" spans="1:14">
      <c r="A643" s="285">
        <v>45943</v>
      </c>
      <c r="B643" s="105" t="s">
        <v>770</v>
      </c>
      <c r="C643" s="285">
        <v>45941</v>
      </c>
      <c r="D643" s="108"/>
      <c r="E643" s="108"/>
      <c r="F643" s="245" t="s">
        <v>434</v>
      </c>
      <c r="G643" s="108">
        <v>1</v>
      </c>
      <c r="H643" s="108">
        <v>52</v>
      </c>
      <c r="I643" s="108">
        <f t="shared" si="84"/>
        <v>52</v>
      </c>
      <c r="J643" s="109">
        <v>6.5</v>
      </c>
      <c r="K643" s="109">
        <f t="shared" si="85"/>
        <v>338</v>
      </c>
      <c r="L643" s="307"/>
      <c r="M643" s="288"/>
      <c r="N643" s="111"/>
    </row>
    <row r="644" s="245" customFormat="1" ht="20.25" spans="1:14">
      <c r="A644" s="285">
        <v>45943</v>
      </c>
      <c r="B644" s="105" t="s">
        <v>770</v>
      </c>
      <c r="C644" s="285">
        <v>45941</v>
      </c>
      <c r="D644" s="108"/>
      <c r="E644" s="108"/>
      <c r="F644" s="245" t="s">
        <v>570</v>
      </c>
      <c r="G644" s="108">
        <v>1</v>
      </c>
      <c r="H644" s="108">
        <v>10</v>
      </c>
      <c r="I644" s="108">
        <f t="shared" si="84"/>
        <v>10</v>
      </c>
      <c r="J644" s="109">
        <v>25</v>
      </c>
      <c r="K644" s="109">
        <f t="shared" si="85"/>
        <v>250</v>
      </c>
      <c r="L644" s="313">
        <f>SUM(H645:H646)</f>
        <v>422</v>
      </c>
      <c r="M644" s="288"/>
      <c r="N644" s="111"/>
    </row>
    <row r="645" s="245" customFormat="1" ht="20.25" spans="1:14">
      <c r="A645" s="285">
        <v>45943</v>
      </c>
      <c r="B645" s="105" t="s">
        <v>770</v>
      </c>
      <c r="C645" s="285">
        <v>45941</v>
      </c>
      <c r="D645" s="108"/>
      <c r="E645" s="108"/>
      <c r="F645" s="245" t="s">
        <v>961</v>
      </c>
      <c r="G645" s="108">
        <v>1</v>
      </c>
      <c r="H645" s="274">
        <f>SUM(H640:H644)</f>
        <v>110</v>
      </c>
      <c r="I645" s="108">
        <f t="shared" si="84"/>
        <v>110</v>
      </c>
      <c r="J645" s="109">
        <v>2</v>
      </c>
      <c r="K645" s="109">
        <f t="shared" si="85"/>
        <v>220</v>
      </c>
      <c r="L645" s="307" t="s">
        <v>962</v>
      </c>
      <c r="M645" s="288"/>
      <c r="N645" s="111"/>
    </row>
    <row r="646" s="245" customFormat="1" ht="20.25" spans="1:14">
      <c r="A646" s="285">
        <v>45943</v>
      </c>
      <c r="B646" s="105" t="s">
        <v>770</v>
      </c>
      <c r="C646" s="285">
        <v>45941</v>
      </c>
      <c r="D646" s="108"/>
      <c r="E646" s="108"/>
      <c r="F646" s="261" t="s">
        <v>963</v>
      </c>
      <c r="G646" s="108">
        <v>1</v>
      </c>
      <c r="H646" s="274">
        <v>312</v>
      </c>
      <c r="I646" s="108">
        <f t="shared" si="84"/>
        <v>312</v>
      </c>
      <c r="J646" s="109">
        <v>1.2</v>
      </c>
      <c r="K646" s="109">
        <f t="shared" si="85"/>
        <v>374.4</v>
      </c>
      <c r="L646" s="307"/>
      <c r="M646" s="288"/>
      <c r="N646" s="111"/>
    </row>
    <row r="647" s="245" customFormat="1" ht="20.25" spans="1:14">
      <c r="A647" s="285">
        <v>45943</v>
      </c>
      <c r="B647" s="105" t="s">
        <v>770</v>
      </c>
      <c r="C647" s="285">
        <v>45941</v>
      </c>
      <c r="D647" s="108"/>
      <c r="E647" s="108"/>
      <c r="F647" s="261" t="s">
        <v>964</v>
      </c>
      <c r="G647" s="108">
        <v>26</v>
      </c>
      <c r="H647" s="108">
        <v>1</v>
      </c>
      <c r="I647" s="108">
        <f t="shared" si="84"/>
        <v>26</v>
      </c>
      <c r="J647" s="109">
        <v>3.5</v>
      </c>
      <c r="K647" s="109">
        <f t="shared" si="85"/>
        <v>91</v>
      </c>
      <c r="L647" s="307">
        <f>SUM(K640:K648)</f>
        <v>1617.4</v>
      </c>
      <c r="M647" s="288"/>
      <c r="N647" s="111"/>
    </row>
    <row r="648" s="245" customFormat="1" ht="20.25" spans="1:14">
      <c r="A648" s="285">
        <v>45943</v>
      </c>
      <c r="B648" s="105" t="s">
        <v>770</v>
      </c>
      <c r="C648" s="285">
        <v>45941</v>
      </c>
      <c r="D648" s="108"/>
      <c r="E648" s="108"/>
      <c r="F648" s="245" t="s">
        <v>959</v>
      </c>
      <c r="G648" s="108">
        <v>21</v>
      </c>
      <c r="H648" s="108">
        <v>1</v>
      </c>
      <c r="I648" s="108">
        <f t="shared" si="84"/>
        <v>21</v>
      </c>
      <c r="J648" s="109"/>
      <c r="K648" s="109"/>
      <c r="L648" s="314"/>
      <c r="M648" s="288"/>
      <c r="N648" s="111"/>
    </row>
    <row r="649" s="245" customFormat="1" ht="20.25" spans="1:14">
      <c r="A649" s="315">
        <v>45943</v>
      </c>
      <c r="B649" s="142" t="s">
        <v>965</v>
      </c>
      <c r="C649" s="315">
        <v>45943</v>
      </c>
      <c r="D649" s="140"/>
      <c r="E649" s="140"/>
      <c r="F649" s="248" t="s">
        <v>966</v>
      </c>
      <c r="G649" s="140">
        <v>1</v>
      </c>
      <c r="H649" s="140">
        <v>30</v>
      </c>
      <c r="I649" s="140">
        <f t="shared" si="84"/>
        <v>30</v>
      </c>
      <c r="J649" s="130">
        <v>12.5</v>
      </c>
      <c r="K649" s="130"/>
      <c r="L649" s="314"/>
      <c r="M649" s="288"/>
      <c r="N649" s="111"/>
    </row>
    <row r="650" s="248" customFormat="1" ht="20.25" spans="1:14">
      <c r="A650" s="315">
        <v>45943</v>
      </c>
      <c r="B650" s="142" t="s">
        <v>965</v>
      </c>
      <c r="C650" s="315">
        <v>45943</v>
      </c>
      <c r="D650" s="140"/>
      <c r="E650" s="140"/>
      <c r="F650" s="248" t="s">
        <v>940</v>
      </c>
      <c r="G650" s="140">
        <v>1</v>
      </c>
      <c r="H650" s="140">
        <v>7</v>
      </c>
      <c r="I650" s="140">
        <f t="shared" ref="I650:I672" si="86">G650*H650</f>
        <v>7</v>
      </c>
      <c r="J650" s="130">
        <v>15</v>
      </c>
      <c r="K650" s="130">
        <f t="shared" ref="K650:K656" si="87">I650*J650</f>
        <v>105</v>
      </c>
      <c r="L650" s="316"/>
      <c r="M650" s="317"/>
      <c r="N650" s="151"/>
    </row>
    <row r="651" s="248" customFormat="1" ht="20.25" spans="1:14">
      <c r="A651" s="315">
        <v>45943</v>
      </c>
      <c r="B651" s="142" t="s">
        <v>965</v>
      </c>
      <c r="C651" s="315">
        <v>45943</v>
      </c>
      <c r="D651" s="140"/>
      <c r="E651" s="140"/>
      <c r="F651" s="248" t="s">
        <v>120</v>
      </c>
      <c r="G651" s="140">
        <v>1</v>
      </c>
      <c r="H651" s="140">
        <v>3.6</v>
      </c>
      <c r="I651" s="140">
        <f t="shared" si="86"/>
        <v>3.6</v>
      </c>
      <c r="J651" s="130">
        <v>17</v>
      </c>
      <c r="K651" s="130">
        <f t="shared" si="87"/>
        <v>61.2</v>
      </c>
      <c r="L651" s="316" t="s">
        <v>937</v>
      </c>
      <c r="M651" s="317"/>
      <c r="N651" s="151"/>
    </row>
    <row r="652" s="248" customFormat="1" ht="20.25" spans="1:14">
      <c r="A652" s="315">
        <v>45943</v>
      </c>
      <c r="B652" s="142" t="s">
        <v>965</v>
      </c>
      <c r="C652" s="315">
        <v>45943</v>
      </c>
      <c r="D652" s="140"/>
      <c r="E652" s="140"/>
      <c r="F652" s="248" t="s">
        <v>122</v>
      </c>
      <c r="G652" s="140">
        <v>1</v>
      </c>
      <c r="H652" s="140">
        <v>30</v>
      </c>
      <c r="I652" s="140">
        <f t="shared" si="86"/>
        <v>30</v>
      </c>
      <c r="J652" s="130">
        <v>6.5</v>
      </c>
      <c r="K652" s="130">
        <f t="shared" si="87"/>
        <v>195</v>
      </c>
      <c r="L652" s="316"/>
      <c r="M652" s="317"/>
      <c r="N652" s="151"/>
    </row>
    <row r="653" s="248" customFormat="1" ht="20.25" spans="1:14">
      <c r="A653" s="315">
        <v>45943</v>
      </c>
      <c r="B653" s="142" t="s">
        <v>965</v>
      </c>
      <c r="C653" s="315">
        <v>45943</v>
      </c>
      <c r="D653" s="140"/>
      <c r="E653" s="140"/>
      <c r="F653" s="248" t="s">
        <v>434</v>
      </c>
      <c r="G653" s="140">
        <v>1</v>
      </c>
      <c r="H653" s="140">
        <v>42</v>
      </c>
      <c r="I653" s="140">
        <f t="shared" si="86"/>
        <v>42</v>
      </c>
      <c r="J653" s="130">
        <v>6.5</v>
      </c>
      <c r="K653" s="130">
        <f t="shared" si="87"/>
        <v>273</v>
      </c>
      <c r="L653" s="318">
        <f>SUM(H655:H656)</f>
        <v>324.6</v>
      </c>
      <c r="M653" s="317"/>
      <c r="N653" s="151"/>
    </row>
    <row r="654" s="248" customFormat="1" ht="20.25" spans="1:14">
      <c r="A654" s="315">
        <v>45943</v>
      </c>
      <c r="B654" s="142" t="s">
        <v>965</v>
      </c>
      <c r="C654" s="315">
        <v>45943</v>
      </c>
      <c r="D654" s="140"/>
      <c r="E654" s="140"/>
      <c r="F654" s="248" t="s">
        <v>570</v>
      </c>
      <c r="G654" s="140">
        <v>1</v>
      </c>
      <c r="H654" s="140">
        <v>8</v>
      </c>
      <c r="I654" s="140">
        <f t="shared" si="86"/>
        <v>8</v>
      </c>
      <c r="J654" s="130">
        <v>25</v>
      </c>
      <c r="K654" s="130">
        <f t="shared" si="87"/>
        <v>200</v>
      </c>
      <c r="L654" s="316" t="s">
        <v>967</v>
      </c>
      <c r="M654" s="317"/>
      <c r="N654" s="151"/>
    </row>
    <row r="655" s="248" customFormat="1" ht="20.25" spans="1:14">
      <c r="A655" s="315">
        <v>45943</v>
      </c>
      <c r="B655" s="142" t="s">
        <v>965</v>
      </c>
      <c r="C655" s="315">
        <v>45943</v>
      </c>
      <c r="D655" s="140"/>
      <c r="E655" s="140"/>
      <c r="F655" s="248" t="s">
        <v>968</v>
      </c>
      <c r="G655" s="140">
        <v>1</v>
      </c>
      <c r="H655" s="274">
        <f>SUM(H649:H654)</f>
        <v>120.6</v>
      </c>
      <c r="I655" s="140">
        <f t="shared" si="86"/>
        <v>120.6</v>
      </c>
      <c r="J655" s="130">
        <v>2</v>
      </c>
      <c r="K655" s="130">
        <f t="shared" si="87"/>
        <v>241.2</v>
      </c>
      <c r="L655" s="316"/>
      <c r="M655" s="317"/>
      <c r="N655" s="151"/>
    </row>
    <row r="656" s="248" customFormat="1" ht="20.25" spans="1:14">
      <c r="A656" s="315">
        <v>45943</v>
      </c>
      <c r="B656" s="142" t="s">
        <v>965</v>
      </c>
      <c r="C656" s="315">
        <v>45943</v>
      </c>
      <c r="D656" s="140"/>
      <c r="E656" s="140"/>
      <c r="F656" s="248" t="s">
        <v>573</v>
      </c>
      <c r="G656" s="140">
        <v>1</v>
      </c>
      <c r="H656" s="274">
        <v>204</v>
      </c>
      <c r="I656" s="140">
        <f t="shared" si="86"/>
        <v>204</v>
      </c>
      <c r="J656" s="130">
        <v>1.2</v>
      </c>
      <c r="K656" s="130">
        <f t="shared" si="87"/>
        <v>244.8</v>
      </c>
      <c r="L656" s="316"/>
      <c r="M656" s="317"/>
      <c r="N656" s="151"/>
    </row>
    <row r="657" s="248" customFormat="1" ht="20.25" spans="1:14">
      <c r="A657" s="315">
        <v>45943</v>
      </c>
      <c r="B657" s="142" t="s">
        <v>965</v>
      </c>
      <c r="C657" s="315">
        <v>45943</v>
      </c>
      <c r="D657" s="140"/>
      <c r="E657" s="140"/>
      <c r="F657" s="248" t="s">
        <v>959</v>
      </c>
      <c r="G657" s="140">
        <v>16</v>
      </c>
      <c r="H657" s="140">
        <v>1</v>
      </c>
      <c r="I657" s="140">
        <f t="shared" si="86"/>
        <v>16</v>
      </c>
      <c r="J657" s="130"/>
      <c r="K657" s="130"/>
      <c r="L657" s="319">
        <f>SUM(K649:K657)</f>
        <v>1320.2</v>
      </c>
      <c r="M657" s="317"/>
      <c r="N657" s="151"/>
    </row>
    <row r="658" s="242" customFormat="1" ht="20.25" spans="1:14">
      <c r="A658" s="258">
        <v>45943</v>
      </c>
      <c r="B658" s="127">
        <v>24</v>
      </c>
      <c r="C658" s="258">
        <v>45943</v>
      </c>
      <c r="D658" s="258"/>
      <c r="E658" s="258"/>
      <c r="F658" s="243" t="s">
        <v>936</v>
      </c>
      <c r="G658" s="136">
        <v>1</v>
      </c>
      <c r="H658" s="136">
        <v>132</v>
      </c>
      <c r="I658" s="136">
        <f t="shared" si="86"/>
        <v>132</v>
      </c>
      <c r="J658" s="135">
        <v>7.6</v>
      </c>
      <c r="K658" s="135"/>
      <c r="L658" s="243"/>
      <c r="M658" s="278"/>
      <c r="N658" s="259"/>
    </row>
    <row r="659" s="242" customFormat="1" ht="20.25" spans="1:14">
      <c r="A659" s="258">
        <v>45943</v>
      </c>
      <c r="B659" s="127">
        <v>24</v>
      </c>
      <c r="C659" s="258">
        <v>45943</v>
      </c>
      <c r="D659" s="258"/>
      <c r="E659" s="258"/>
      <c r="F659" s="243" t="s">
        <v>887</v>
      </c>
      <c r="G659" s="136">
        <v>1</v>
      </c>
      <c r="H659" s="136">
        <v>172</v>
      </c>
      <c r="I659" s="136">
        <f t="shared" si="86"/>
        <v>172</v>
      </c>
      <c r="J659" s="135">
        <v>10.8</v>
      </c>
      <c r="K659" s="135"/>
      <c r="L659" s="243"/>
      <c r="M659" s="278"/>
      <c r="N659" s="259"/>
    </row>
    <row r="660" s="242" customFormat="1" ht="20.25" spans="1:14">
      <c r="A660" s="258">
        <v>45943</v>
      </c>
      <c r="B660" s="127">
        <v>24</v>
      </c>
      <c r="C660" s="258">
        <v>45943</v>
      </c>
      <c r="D660" s="258"/>
      <c r="E660" s="258"/>
      <c r="F660" s="243" t="s">
        <v>120</v>
      </c>
      <c r="G660" s="136">
        <v>1</v>
      </c>
      <c r="H660" s="136">
        <v>14</v>
      </c>
      <c r="I660" s="136">
        <f t="shared" si="86"/>
        <v>14</v>
      </c>
      <c r="J660" s="135">
        <v>17</v>
      </c>
      <c r="K660" s="135">
        <f t="shared" ref="K660:K665" si="88">I660*J660</f>
        <v>238</v>
      </c>
      <c r="L660" s="243"/>
      <c r="M660" s="278"/>
      <c r="N660" s="259"/>
    </row>
    <row r="661" s="242" customFormat="1" ht="20.25" spans="1:14">
      <c r="A661" s="258">
        <v>45943</v>
      </c>
      <c r="B661" s="127">
        <v>24</v>
      </c>
      <c r="C661" s="258">
        <v>45943</v>
      </c>
      <c r="D661" s="258"/>
      <c r="E661" s="258"/>
      <c r="F661" s="243" t="s">
        <v>310</v>
      </c>
      <c r="G661" s="136">
        <v>1</v>
      </c>
      <c r="H661" s="136">
        <v>20</v>
      </c>
      <c r="I661" s="136">
        <f t="shared" si="86"/>
        <v>20</v>
      </c>
      <c r="J661" s="135">
        <v>0.6</v>
      </c>
      <c r="K661" s="135">
        <f t="shared" si="88"/>
        <v>12</v>
      </c>
      <c r="L661" s="243" t="s">
        <v>937</v>
      </c>
      <c r="M661" s="243"/>
      <c r="N661" s="259"/>
    </row>
    <row r="662" s="242" customFormat="1" ht="20.25" spans="1:14">
      <c r="A662" s="258">
        <v>45943</v>
      </c>
      <c r="B662" s="127">
        <v>24</v>
      </c>
      <c r="C662" s="258">
        <v>45943</v>
      </c>
      <c r="D662" s="258"/>
      <c r="E662" s="258"/>
      <c r="F662" s="243" t="s">
        <v>969</v>
      </c>
      <c r="G662" s="136">
        <v>1</v>
      </c>
      <c r="H662" s="136">
        <v>75</v>
      </c>
      <c r="I662" s="136">
        <f t="shared" si="86"/>
        <v>75</v>
      </c>
      <c r="J662" s="135">
        <v>12.1</v>
      </c>
      <c r="K662" s="135">
        <f t="shared" si="88"/>
        <v>907.5</v>
      </c>
      <c r="L662" s="243"/>
      <c r="M662" s="243"/>
      <c r="N662" s="259"/>
    </row>
    <row r="663" s="242" customFormat="1" ht="20.25" spans="1:14">
      <c r="A663" s="258">
        <v>45943</v>
      </c>
      <c r="B663" s="127">
        <v>24</v>
      </c>
      <c r="C663" s="258">
        <v>45943</v>
      </c>
      <c r="D663" s="258"/>
      <c r="E663" s="258"/>
      <c r="F663" s="243" t="s">
        <v>122</v>
      </c>
      <c r="G663" s="136">
        <v>1</v>
      </c>
      <c r="H663" s="136">
        <v>252</v>
      </c>
      <c r="I663" s="136">
        <f t="shared" si="86"/>
        <v>252</v>
      </c>
      <c r="J663" s="135">
        <v>6.5</v>
      </c>
      <c r="K663" s="135">
        <f t="shared" si="88"/>
        <v>1638</v>
      </c>
      <c r="L663" s="243"/>
      <c r="M663" s="243"/>
    </row>
    <row r="664" s="242" customFormat="1" ht="20.25" spans="1:14">
      <c r="A664" s="258">
        <v>45943</v>
      </c>
      <c r="B664" s="127">
        <v>24</v>
      </c>
      <c r="C664" s="258">
        <v>45943</v>
      </c>
      <c r="D664" s="258"/>
      <c r="E664" s="258"/>
      <c r="F664" s="243" t="s">
        <v>434</v>
      </c>
      <c r="G664" s="136">
        <v>1</v>
      </c>
      <c r="H664" s="136">
        <v>10</v>
      </c>
      <c r="I664" s="136">
        <f t="shared" si="86"/>
        <v>10</v>
      </c>
      <c r="J664" s="135">
        <v>6.5</v>
      </c>
      <c r="K664" s="135">
        <f t="shared" si="88"/>
        <v>65</v>
      </c>
      <c r="L664" s="243"/>
      <c r="M664" s="243"/>
      <c r="N664" s="246" t="s">
        <v>321</v>
      </c>
    </row>
    <row r="665" s="242" customFormat="1" ht="20.25" spans="1:14">
      <c r="A665" s="258">
        <v>45943</v>
      </c>
      <c r="B665" s="127">
        <v>24</v>
      </c>
      <c r="C665" s="258">
        <v>45943</v>
      </c>
      <c r="D665" s="258"/>
      <c r="E665" s="258"/>
      <c r="F665" s="243" t="s">
        <v>123</v>
      </c>
      <c r="G665" s="136">
        <v>1</v>
      </c>
      <c r="H665" s="136">
        <v>110</v>
      </c>
      <c r="I665" s="136">
        <f t="shared" si="86"/>
        <v>110</v>
      </c>
      <c r="J665" s="135">
        <v>3.3</v>
      </c>
      <c r="K665" s="135">
        <f t="shared" si="88"/>
        <v>363</v>
      </c>
      <c r="L665" s="260" t="s">
        <v>970</v>
      </c>
      <c r="M665" s="243"/>
      <c r="N665" s="301" t="s">
        <v>971</v>
      </c>
    </row>
    <row r="666" s="242" customFormat="1" ht="20.25" spans="1:14">
      <c r="A666" s="258">
        <v>45943</v>
      </c>
      <c r="B666" s="127">
        <v>24</v>
      </c>
      <c r="C666" s="258">
        <v>45943</v>
      </c>
      <c r="D666" s="258"/>
      <c r="E666" s="258"/>
      <c r="F666" s="243" t="s">
        <v>972</v>
      </c>
      <c r="G666" s="136">
        <v>1</v>
      </c>
      <c r="H666" s="136">
        <v>8</v>
      </c>
      <c r="I666" s="136">
        <f t="shared" si="86"/>
        <v>8</v>
      </c>
      <c r="J666" s="135">
        <v>15</v>
      </c>
      <c r="K666" s="135"/>
      <c r="L666" s="243" t="s">
        <v>973</v>
      </c>
      <c r="M666" s="243"/>
      <c r="N666" s="301" t="s">
        <v>974</v>
      </c>
    </row>
    <row r="667" s="242" customFormat="1" ht="20.25" spans="1:14">
      <c r="A667" s="258">
        <v>45943</v>
      </c>
      <c r="B667" s="127">
        <v>24</v>
      </c>
      <c r="C667" s="258">
        <v>45943</v>
      </c>
      <c r="D667" s="258"/>
      <c r="E667" s="258"/>
      <c r="F667" s="243" t="s">
        <v>351</v>
      </c>
      <c r="G667" s="136">
        <v>1</v>
      </c>
      <c r="H667" s="136">
        <v>2</v>
      </c>
      <c r="I667" s="136">
        <f t="shared" si="86"/>
        <v>2</v>
      </c>
      <c r="J667" s="135">
        <v>38</v>
      </c>
      <c r="K667" s="135">
        <f>I667*J667</f>
        <v>76</v>
      </c>
      <c r="L667" s="249" t="s">
        <v>975</v>
      </c>
      <c r="M667" s="243"/>
      <c r="N667" s="301" t="s">
        <v>976</v>
      </c>
    </row>
    <row r="668" s="242" customFormat="1" ht="20.25" spans="1:14">
      <c r="A668" s="258">
        <v>45943</v>
      </c>
      <c r="B668" s="127">
        <v>24</v>
      </c>
      <c r="C668" s="258">
        <v>45943</v>
      </c>
      <c r="D668" s="258"/>
      <c r="E668" s="258"/>
      <c r="F668" s="243" t="s">
        <v>633</v>
      </c>
      <c r="G668" s="136">
        <v>1</v>
      </c>
      <c r="H668" s="136">
        <v>1</v>
      </c>
      <c r="I668" s="136">
        <f t="shared" si="86"/>
        <v>1</v>
      </c>
      <c r="J668" s="135">
        <v>40</v>
      </c>
      <c r="K668" s="135">
        <f>I668*J668</f>
        <v>40</v>
      </c>
      <c r="L668" s="243"/>
      <c r="M668" s="243"/>
      <c r="N668" s="301" t="s">
        <v>977</v>
      </c>
    </row>
    <row r="669" s="242" customFormat="1" ht="20.25" spans="1:14">
      <c r="A669" s="258">
        <v>45943</v>
      </c>
      <c r="B669" s="127">
        <v>24</v>
      </c>
      <c r="C669" s="258">
        <v>45943</v>
      </c>
      <c r="D669" s="258"/>
      <c r="E669" s="258"/>
      <c r="F669" s="243" t="s">
        <v>432</v>
      </c>
      <c r="G669" s="136">
        <v>1</v>
      </c>
      <c r="H669" s="136">
        <v>5</v>
      </c>
      <c r="I669" s="136">
        <f t="shared" si="86"/>
        <v>5</v>
      </c>
      <c r="J669" s="135">
        <v>25</v>
      </c>
      <c r="K669" s="135">
        <f>I669*J669</f>
        <v>125</v>
      </c>
      <c r="L669" s="243"/>
      <c r="M669" s="243"/>
      <c r="N669" s="301" t="s">
        <v>978</v>
      </c>
    </row>
    <row r="670" s="242" customFormat="1" ht="20.25" spans="1:14">
      <c r="A670" s="258">
        <v>45943</v>
      </c>
      <c r="B670" s="127">
        <v>24</v>
      </c>
      <c r="C670" s="258">
        <v>45943</v>
      </c>
      <c r="D670" s="258"/>
      <c r="E670" s="258"/>
      <c r="F670" s="243" t="s">
        <v>125</v>
      </c>
      <c r="G670" s="136">
        <v>1</v>
      </c>
      <c r="H670" s="136">
        <v>1</v>
      </c>
      <c r="I670" s="136">
        <f t="shared" si="86"/>
        <v>1</v>
      </c>
      <c r="J670" s="135">
        <v>25</v>
      </c>
      <c r="K670" s="135">
        <f>I670*J670</f>
        <v>25</v>
      </c>
      <c r="L670" s="243"/>
      <c r="M670" s="243"/>
      <c r="N670" s="259"/>
    </row>
    <row r="671" s="242" customFormat="1" ht="20.25" spans="1:14">
      <c r="A671" s="258">
        <v>45943</v>
      </c>
      <c r="B671" s="127">
        <v>24</v>
      </c>
      <c r="C671" s="258">
        <v>45943</v>
      </c>
      <c r="D671" s="258"/>
      <c r="E671" s="258"/>
      <c r="F671" s="243" t="s">
        <v>385</v>
      </c>
      <c r="G671" s="136">
        <v>1</v>
      </c>
      <c r="H671" s="136">
        <v>1</v>
      </c>
      <c r="I671" s="136">
        <f t="shared" si="86"/>
        <v>1</v>
      </c>
      <c r="J671" s="135">
        <v>40</v>
      </c>
      <c r="K671" s="135">
        <f>I671*J671</f>
        <v>40</v>
      </c>
      <c r="L671" s="243">
        <f>SUM(K658:K674)</f>
        <v>5441.5</v>
      </c>
      <c r="M671" s="243">
        <f>SUM(K666:K671)</f>
        <v>306</v>
      </c>
      <c r="N671" s="259"/>
    </row>
    <row r="672" s="242" customFormat="1" ht="20.25" spans="1:14">
      <c r="A672" s="258">
        <v>45943</v>
      </c>
      <c r="B672" s="127">
        <v>24</v>
      </c>
      <c r="C672" s="258">
        <v>45943</v>
      </c>
      <c r="D672" s="258"/>
      <c r="E672" s="258"/>
      <c r="F672" s="243" t="s">
        <v>979</v>
      </c>
      <c r="G672" s="136">
        <v>1</v>
      </c>
      <c r="H672" s="136">
        <v>28</v>
      </c>
      <c r="I672" s="136">
        <f t="shared" si="86"/>
        <v>28</v>
      </c>
      <c r="J672" s="135">
        <v>7.4</v>
      </c>
      <c r="K672" s="135"/>
      <c r="L672" s="243"/>
      <c r="M672" s="243"/>
      <c r="N672" s="259"/>
    </row>
    <row r="673" s="242" customFormat="1" ht="20.25" spans="1:14">
      <c r="A673" s="258">
        <v>45943</v>
      </c>
      <c r="B673" s="127">
        <v>24</v>
      </c>
      <c r="C673" s="258">
        <v>45943</v>
      </c>
      <c r="D673" s="258"/>
      <c r="E673" s="258"/>
      <c r="F673" s="243" t="s">
        <v>946</v>
      </c>
      <c r="G673" s="136">
        <v>1</v>
      </c>
      <c r="H673" s="136">
        <f>SUM(H658:H672)</f>
        <v>831</v>
      </c>
      <c r="I673" s="136">
        <f t="shared" ref="I673:I678" si="89">G673*H673</f>
        <v>831</v>
      </c>
      <c r="J673" s="135">
        <v>2</v>
      </c>
      <c r="K673" s="135">
        <f t="shared" ref="K673:K678" si="90">I673*J673</f>
        <v>1662</v>
      </c>
      <c r="L673" s="243" t="s">
        <v>324</v>
      </c>
      <c r="M673" s="243"/>
      <c r="N673" s="259"/>
    </row>
    <row r="674" s="243" customFormat="1" ht="20.25" spans="1:14">
      <c r="A674" s="258">
        <v>45943</v>
      </c>
      <c r="B674" s="127">
        <v>24</v>
      </c>
      <c r="C674" s="258">
        <v>45943</v>
      </c>
      <c r="D674" s="258"/>
      <c r="E674" s="258"/>
      <c r="F674" s="243" t="s">
        <v>462</v>
      </c>
      <c r="G674" s="136">
        <v>20</v>
      </c>
      <c r="H674" s="136">
        <v>1</v>
      </c>
      <c r="I674" s="136">
        <f t="shared" si="89"/>
        <v>20</v>
      </c>
      <c r="J674" s="135">
        <v>12.5</v>
      </c>
      <c r="K674" s="135">
        <f t="shared" si="90"/>
        <v>250</v>
      </c>
      <c r="L674" s="305">
        <f>SUM(K658:K674)</f>
        <v>5441.5</v>
      </c>
      <c r="M674" s="278">
        <f>SUM(K658:K674)</f>
        <v>5441.5</v>
      </c>
      <c r="N674" s="132"/>
    </row>
    <row r="675" s="245" customFormat="1" ht="20.25" spans="1:14">
      <c r="A675" s="285">
        <v>45943</v>
      </c>
      <c r="B675" s="105">
        <v>25</v>
      </c>
      <c r="C675" s="285">
        <v>45943</v>
      </c>
      <c r="D675" s="285"/>
      <c r="E675" s="285"/>
      <c r="F675" s="245" t="s">
        <v>980</v>
      </c>
      <c r="G675" s="108">
        <v>1</v>
      </c>
      <c r="H675" s="108">
        <v>30</v>
      </c>
      <c r="I675" s="108">
        <f t="shared" si="89"/>
        <v>30</v>
      </c>
      <c r="J675" s="109">
        <v>6</v>
      </c>
      <c r="K675" s="109">
        <f t="shared" si="90"/>
        <v>180</v>
      </c>
      <c r="L675" s="307"/>
      <c r="M675" s="288"/>
      <c r="N675" s="111"/>
    </row>
    <row r="676" s="245" customFormat="1" ht="20.25" spans="1:14">
      <c r="A676" s="285">
        <v>45943</v>
      </c>
      <c r="B676" s="105">
        <v>25</v>
      </c>
      <c r="C676" s="285">
        <v>45943</v>
      </c>
      <c r="D676" s="285"/>
      <c r="E676" s="285"/>
      <c r="F676" s="245" t="s">
        <v>981</v>
      </c>
      <c r="G676" s="108">
        <v>1</v>
      </c>
      <c r="H676" s="108">
        <v>91</v>
      </c>
      <c r="I676" s="108">
        <f t="shared" si="89"/>
        <v>91</v>
      </c>
      <c r="J676" s="109">
        <v>6</v>
      </c>
      <c r="K676" s="109">
        <f t="shared" si="90"/>
        <v>546</v>
      </c>
      <c r="L676" s="307">
        <f>SUM(K675:K676)</f>
        <v>726</v>
      </c>
      <c r="M676" s="288"/>
      <c r="N676" s="111"/>
    </row>
    <row r="677" s="249" customFormat="1" ht="20.25" spans="1:14">
      <c r="A677" s="320">
        <v>45946</v>
      </c>
      <c r="B677" s="273">
        <v>41</v>
      </c>
      <c r="C677" s="320">
        <v>45946</v>
      </c>
      <c r="D677" s="320"/>
      <c r="E677" s="320"/>
      <c r="F677" s="261" t="s">
        <v>920</v>
      </c>
      <c r="G677" s="274">
        <v>-4</v>
      </c>
      <c r="H677" s="274">
        <v>12</v>
      </c>
      <c r="I677" s="274">
        <f t="shared" si="89"/>
        <v>-48</v>
      </c>
      <c r="J677" s="275">
        <v>14.5</v>
      </c>
      <c r="K677" s="275">
        <f t="shared" si="90"/>
        <v>-696</v>
      </c>
      <c r="L677" s="321" t="s">
        <v>918</v>
      </c>
      <c r="M677" s="261" t="s">
        <v>916</v>
      </c>
      <c r="N677" s="322"/>
    </row>
    <row r="678" s="249" customFormat="1" ht="20.25" spans="1:14">
      <c r="A678" s="320">
        <v>45946</v>
      </c>
      <c r="B678" s="273">
        <v>41</v>
      </c>
      <c r="C678" s="320">
        <v>45946</v>
      </c>
      <c r="D678" s="320"/>
      <c r="E678" s="320"/>
      <c r="F678" s="261" t="s">
        <v>925</v>
      </c>
      <c r="G678" s="274">
        <v>-1</v>
      </c>
      <c r="H678" s="274">
        <v>4</v>
      </c>
      <c r="I678" s="274">
        <f t="shared" si="89"/>
        <v>-4</v>
      </c>
      <c r="J678" s="275">
        <v>13.5</v>
      </c>
      <c r="K678" s="275">
        <f t="shared" si="90"/>
        <v>-54</v>
      </c>
      <c r="M678" s="261">
        <f>SUM(K677:K678)</f>
        <v>-750</v>
      </c>
      <c r="N678" s="323" t="s">
        <v>926</v>
      </c>
    </row>
    <row r="679" s="243" customFormat="1" ht="20.25" spans="1:14">
      <c r="A679" s="263">
        <v>45948</v>
      </c>
      <c r="B679" s="127">
        <v>49</v>
      </c>
      <c r="C679" s="258">
        <v>45947</v>
      </c>
      <c r="D679" s="136"/>
      <c r="E679" s="136"/>
      <c r="F679" s="264" t="s">
        <v>982</v>
      </c>
      <c r="G679" s="136">
        <v>1</v>
      </c>
      <c r="H679" s="131">
        <v>25</v>
      </c>
      <c r="I679" s="282">
        <f t="shared" ref="I679:I699" si="91">G679*H679</f>
        <v>25</v>
      </c>
      <c r="J679" s="135">
        <v>10.8</v>
      </c>
      <c r="K679" s="135"/>
      <c r="L679" s="283"/>
      <c r="M679" s="278"/>
      <c r="N679" s="132"/>
    </row>
    <row r="680" s="243" customFormat="1" ht="20.25" spans="1:14">
      <c r="A680" s="263">
        <v>45948</v>
      </c>
      <c r="B680" s="127">
        <v>49</v>
      </c>
      <c r="C680" s="258">
        <v>45947</v>
      </c>
      <c r="D680" s="136"/>
      <c r="E680" s="136"/>
      <c r="F680" s="264" t="s">
        <v>936</v>
      </c>
      <c r="G680" s="136">
        <v>1</v>
      </c>
      <c r="H680" s="134">
        <v>25</v>
      </c>
      <c r="I680" s="282">
        <f t="shared" si="91"/>
        <v>25</v>
      </c>
      <c r="J680" s="135">
        <v>7.6</v>
      </c>
      <c r="K680" s="135"/>
      <c r="L680" s="283"/>
      <c r="M680" s="278"/>
      <c r="N680" s="132"/>
    </row>
    <row r="681" s="243" customFormat="1" ht="20.25" spans="1:14">
      <c r="A681" s="263">
        <v>45948</v>
      </c>
      <c r="B681" s="127">
        <v>49</v>
      </c>
      <c r="C681" s="258">
        <v>45947</v>
      </c>
      <c r="D681" s="136"/>
      <c r="E681" s="136"/>
      <c r="F681" s="243" t="s">
        <v>120</v>
      </c>
      <c r="G681" s="136">
        <v>1</v>
      </c>
      <c r="H681" s="131">
        <v>2.5</v>
      </c>
      <c r="I681" s="282">
        <f t="shared" si="91"/>
        <v>2.5</v>
      </c>
      <c r="J681" s="135">
        <v>17</v>
      </c>
      <c r="K681" s="135">
        <f>I681*J681</f>
        <v>42.5</v>
      </c>
      <c r="L681" s="283"/>
      <c r="M681" s="278"/>
      <c r="N681" s="132"/>
    </row>
    <row r="682" s="243" customFormat="1" ht="20.25" spans="1:14">
      <c r="A682" s="263">
        <v>45948</v>
      </c>
      <c r="B682" s="127">
        <v>49</v>
      </c>
      <c r="C682" s="258">
        <v>45947</v>
      </c>
      <c r="D682" s="136"/>
      <c r="E682" s="136"/>
      <c r="F682" s="243" t="s">
        <v>122</v>
      </c>
      <c r="G682" s="136">
        <v>1</v>
      </c>
      <c r="H682" s="131">
        <v>50</v>
      </c>
      <c r="I682" s="282">
        <f t="shared" si="91"/>
        <v>50</v>
      </c>
      <c r="J682" s="135">
        <v>6.5</v>
      </c>
      <c r="K682" s="135">
        <f>I682*J682</f>
        <v>325</v>
      </c>
      <c r="L682" s="283" t="s">
        <v>881</v>
      </c>
      <c r="M682" s="136"/>
      <c r="N682" s="132"/>
    </row>
    <row r="683" s="243" customFormat="1" ht="20.25" spans="1:14">
      <c r="A683" s="263">
        <v>45948</v>
      </c>
      <c r="B683" s="127">
        <v>49</v>
      </c>
      <c r="C683" s="258">
        <v>45947</v>
      </c>
      <c r="D683" s="136"/>
      <c r="E683" s="136"/>
      <c r="F683" s="243" t="s">
        <v>123</v>
      </c>
      <c r="G683" s="136">
        <v>1</v>
      </c>
      <c r="H683" s="131">
        <v>28</v>
      </c>
      <c r="I683" s="282">
        <f t="shared" si="91"/>
        <v>28</v>
      </c>
      <c r="J683" s="135">
        <v>3.3</v>
      </c>
      <c r="K683" s="135">
        <f>I683*J683</f>
        <v>92.4</v>
      </c>
      <c r="L683" s="283" t="s">
        <v>983</v>
      </c>
      <c r="M683" s="278"/>
      <c r="N683" s="132"/>
    </row>
    <row r="684" s="243" customFormat="1" ht="20.25" spans="1:14">
      <c r="A684" s="263">
        <v>45948</v>
      </c>
      <c r="B684" s="127">
        <v>49</v>
      </c>
      <c r="C684" s="258">
        <v>45947</v>
      </c>
      <c r="D684" s="136"/>
      <c r="E684" s="136"/>
      <c r="F684" s="243" t="s">
        <v>754</v>
      </c>
      <c r="G684" s="136">
        <v>1</v>
      </c>
      <c r="H684" s="131">
        <v>12</v>
      </c>
      <c r="I684" s="282">
        <f t="shared" si="91"/>
        <v>12</v>
      </c>
      <c r="J684" s="135">
        <v>6.7</v>
      </c>
      <c r="K684" s="135"/>
      <c r="L684" s="283"/>
      <c r="M684" s="278"/>
      <c r="N684" s="132"/>
    </row>
    <row r="685" s="243" customFormat="1" ht="20.25" spans="1:14">
      <c r="A685" s="263">
        <v>45948</v>
      </c>
      <c r="B685" s="127">
        <v>49</v>
      </c>
      <c r="C685" s="258">
        <v>45947</v>
      </c>
      <c r="D685" s="136"/>
      <c r="E685" s="136"/>
      <c r="F685" s="243" t="s">
        <v>979</v>
      </c>
      <c r="G685" s="136">
        <v>1</v>
      </c>
      <c r="H685" s="131">
        <v>14</v>
      </c>
      <c r="I685" s="282">
        <f t="shared" si="91"/>
        <v>14</v>
      </c>
      <c r="J685" s="135">
        <v>7.4</v>
      </c>
      <c r="K685" s="135"/>
      <c r="L685" s="283"/>
      <c r="M685" s="278"/>
      <c r="N685" s="132"/>
    </row>
    <row r="686" s="243" customFormat="1" ht="20.25" spans="1:14">
      <c r="A686" s="263">
        <v>45948</v>
      </c>
      <c r="B686" s="127">
        <v>49</v>
      </c>
      <c r="C686" s="258">
        <v>45947</v>
      </c>
      <c r="D686" s="136"/>
      <c r="E686" s="136"/>
      <c r="F686" s="243" t="s">
        <v>984</v>
      </c>
      <c r="G686" s="136">
        <v>1</v>
      </c>
      <c r="H686" s="136">
        <f>SUM(H679:H685)</f>
        <v>156.5</v>
      </c>
      <c r="I686" s="282">
        <f t="shared" si="91"/>
        <v>156.5</v>
      </c>
      <c r="J686" s="135">
        <v>2</v>
      </c>
      <c r="K686" s="135">
        <f>I686*J686</f>
        <v>313</v>
      </c>
      <c r="L686" s="283"/>
      <c r="M686" s="278"/>
      <c r="N686" s="132"/>
    </row>
    <row r="687" s="243" customFormat="1" ht="20.25" spans="1:14">
      <c r="A687" s="263">
        <v>45948</v>
      </c>
      <c r="B687" s="127">
        <v>49</v>
      </c>
      <c r="C687" s="258">
        <v>45947</v>
      </c>
      <c r="D687" s="136"/>
      <c r="E687" s="136"/>
      <c r="F687" s="243" t="s">
        <v>820</v>
      </c>
      <c r="G687" s="136">
        <v>8</v>
      </c>
      <c r="H687" s="136">
        <v>1</v>
      </c>
      <c r="I687" s="282">
        <f t="shared" si="91"/>
        <v>8</v>
      </c>
      <c r="J687" s="135">
        <v>12.5</v>
      </c>
      <c r="K687" s="135">
        <f>I687*J687</f>
        <v>100</v>
      </c>
      <c r="L687" s="283">
        <f>SUM(K679:K687)</f>
        <v>872.9</v>
      </c>
      <c r="M687" s="278"/>
      <c r="N687" s="132"/>
    </row>
    <row r="688" s="245" customFormat="1" ht="20.25" spans="1:14">
      <c r="A688" s="284">
        <v>45948</v>
      </c>
      <c r="B688" s="105" t="s">
        <v>985</v>
      </c>
      <c r="C688" s="285">
        <v>45947</v>
      </c>
      <c r="D688" s="108"/>
      <c r="E688" s="108"/>
      <c r="F688" s="286" t="s">
        <v>982</v>
      </c>
      <c r="G688" s="108">
        <v>1</v>
      </c>
      <c r="H688" s="107">
        <v>10</v>
      </c>
      <c r="I688" s="290">
        <f t="shared" si="91"/>
        <v>10</v>
      </c>
      <c r="J688" s="109">
        <v>10.8</v>
      </c>
      <c r="K688" s="109"/>
      <c r="L688" s="287"/>
      <c r="M688" s="288"/>
      <c r="N688" s="111"/>
    </row>
    <row r="689" s="245" customFormat="1" ht="20.25" spans="1:14">
      <c r="A689" s="284">
        <v>45948</v>
      </c>
      <c r="B689" s="105" t="s">
        <v>985</v>
      </c>
      <c r="C689" s="285">
        <v>45947</v>
      </c>
      <c r="D689" s="108"/>
      <c r="E689" s="108"/>
      <c r="F689" s="286" t="s">
        <v>936</v>
      </c>
      <c r="G689" s="108">
        <v>1</v>
      </c>
      <c r="H689" s="107">
        <v>10</v>
      </c>
      <c r="I689" s="290">
        <f t="shared" si="91"/>
        <v>10</v>
      </c>
      <c r="J689" s="109">
        <v>7.6</v>
      </c>
      <c r="K689" s="109"/>
      <c r="L689" s="287"/>
      <c r="M689" s="288"/>
      <c r="N689" s="111"/>
    </row>
    <row r="690" s="245" customFormat="1" ht="20.25" spans="1:14">
      <c r="A690" s="284">
        <v>45948</v>
      </c>
      <c r="B690" s="105" t="s">
        <v>985</v>
      </c>
      <c r="C690" s="285">
        <v>45947</v>
      </c>
      <c r="D690" s="108"/>
      <c r="E690" s="108"/>
      <c r="F690" s="245" t="s">
        <v>120</v>
      </c>
      <c r="G690" s="108">
        <v>1</v>
      </c>
      <c r="H690" s="107">
        <v>1.5</v>
      </c>
      <c r="I690" s="290">
        <f t="shared" si="91"/>
        <v>1.5</v>
      </c>
      <c r="J690" s="109">
        <v>17</v>
      </c>
      <c r="K690" s="109">
        <f t="shared" ref="K690:K695" si="92">I690*J690</f>
        <v>25.5</v>
      </c>
      <c r="L690" s="287"/>
      <c r="M690" s="288"/>
      <c r="N690" s="111"/>
    </row>
    <row r="691" s="245" customFormat="1" ht="20.25" spans="1:14">
      <c r="A691" s="284">
        <v>45948</v>
      </c>
      <c r="B691" s="105" t="s">
        <v>985</v>
      </c>
      <c r="C691" s="285">
        <v>45947</v>
      </c>
      <c r="D691" s="108"/>
      <c r="E691" s="108"/>
      <c r="F691" s="245" t="s">
        <v>122</v>
      </c>
      <c r="G691" s="108">
        <v>1</v>
      </c>
      <c r="H691" s="107">
        <v>25</v>
      </c>
      <c r="I691" s="290">
        <f t="shared" si="91"/>
        <v>25</v>
      </c>
      <c r="J691" s="109">
        <v>6.5</v>
      </c>
      <c r="K691" s="109">
        <f t="shared" si="92"/>
        <v>162.5</v>
      </c>
      <c r="L691" s="287" t="s">
        <v>881</v>
      </c>
      <c r="M691" s="108"/>
      <c r="N691" s="111"/>
    </row>
    <row r="692" s="245" customFormat="1" ht="20.25" spans="1:14">
      <c r="A692" s="284">
        <v>45948</v>
      </c>
      <c r="B692" s="105" t="s">
        <v>985</v>
      </c>
      <c r="C692" s="285">
        <v>45947</v>
      </c>
      <c r="D692" s="108"/>
      <c r="E692" s="108"/>
      <c r="F692" s="245" t="s">
        <v>123</v>
      </c>
      <c r="G692" s="108">
        <v>1</v>
      </c>
      <c r="H692" s="107">
        <v>15.5</v>
      </c>
      <c r="I692" s="290">
        <f t="shared" si="91"/>
        <v>15.5</v>
      </c>
      <c r="J692" s="109">
        <v>3.3</v>
      </c>
      <c r="K692" s="109">
        <f t="shared" si="92"/>
        <v>51.15</v>
      </c>
      <c r="L692" s="287" t="s">
        <v>983</v>
      </c>
      <c r="M692" s="288"/>
      <c r="N692" s="111"/>
    </row>
    <row r="693" s="245" customFormat="1" ht="20.25" spans="1:14">
      <c r="A693" s="284">
        <v>45948</v>
      </c>
      <c r="B693" s="105" t="s">
        <v>985</v>
      </c>
      <c r="C693" s="285">
        <v>45947</v>
      </c>
      <c r="D693" s="108"/>
      <c r="E693" s="108"/>
      <c r="F693" s="245" t="s">
        <v>323</v>
      </c>
      <c r="G693" s="108">
        <v>1</v>
      </c>
      <c r="H693" s="107">
        <v>6</v>
      </c>
      <c r="I693" s="290">
        <f t="shared" si="91"/>
        <v>6</v>
      </c>
      <c r="J693" s="109">
        <v>15</v>
      </c>
      <c r="K693" s="109">
        <f t="shared" si="92"/>
        <v>90</v>
      </c>
      <c r="L693" s="287"/>
      <c r="M693" s="288"/>
      <c r="N693" s="111"/>
    </row>
    <row r="694" s="245" customFormat="1" ht="20.25" spans="1:14">
      <c r="A694" s="284">
        <v>45948</v>
      </c>
      <c r="B694" s="105" t="s">
        <v>985</v>
      </c>
      <c r="C694" s="285">
        <v>45947</v>
      </c>
      <c r="D694" s="108"/>
      <c r="E694" s="108"/>
      <c r="F694" s="245" t="s">
        <v>432</v>
      </c>
      <c r="G694" s="108">
        <v>1</v>
      </c>
      <c r="H694" s="107">
        <v>3</v>
      </c>
      <c r="I694" s="290">
        <f t="shared" si="91"/>
        <v>3</v>
      </c>
      <c r="J694" s="109">
        <v>25</v>
      </c>
      <c r="K694" s="109">
        <f t="shared" si="92"/>
        <v>75</v>
      </c>
      <c r="L694" s="287"/>
      <c r="M694" s="288"/>
      <c r="N694" s="111"/>
    </row>
    <row r="695" s="245" customFormat="1" ht="20.25" spans="1:14">
      <c r="A695" s="284">
        <v>45948</v>
      </c>
      <c r="B695" s="105" t="s">
        <v>985</v>
      </c>
      <c r="C695" s="285">
        <v>45947</v>
      </c>
      <c r="D695" s="108"/>
      <c r="E695" s="108"/>
      <c r="F695" s="245" t="s">
        <v>787</v>
      </c>
      <c r="G695" s="108">
        <v>1</v>
      </c>
      <c r="H695" s="107">
        <v>0.5</v>
      </c>
      <c r="I695" s="290">
        <f t="shared" si="91"/>
        <v>0.5</v>
      </c>
      <c r="J695" s="109">
        <v>38</v>
      </c>
      <c r="K695" s="109">
        <f t="shared" si="92"/>
        <v>19</v>
      </c>
      <c r="L695" s="287"/>
      <c r="M695" s="288"/>
      <c r="N695" s="111"/>
    </row>
    <row r="696" s="245" customFormat="1" ht="20.25" spans="1:14">
      <c r="A696" s="284">
        <v>45948</v>
      </c>
      <c r="B696" s="105" t="s">
        <v>985</v>
      </c>
      <c r="C696" s="285">
        <v>45947</v>
      </c>
      <c r="D696" s="108"/>
      <c r="E696" s="108"/>
      <c r="F696" s="245" t="s">
        <v>979</v>
      </c>
      <c r="G696" s="108">
        <v>1</v>
      </c>
      <c r="H696" s="107">
        <v>6</v>
      </c>
      <c r="I696" s="290">
        <f t="shared" si="91"/>
        <v>6</v>
      </c>
      <c r="J696" s="109">
        <v>7.4</v>
      </c>
      <c r="K696" s="109"/>
      <c r="L696" s="287"/>
      <c r="M696" s="288"/>
      <c r="N696" s="111"/>
    </row>
    <row r="697" s="245" customFormat="1" ht="20.25" spans="1:14">
      <c r="A697" s="284">
        <v>45948</v>
      </c>
      <c r="B697" s="105" t="s">
        <v>985</v>
      </c>
      <c r="C697" s="285">
        <v>45947</v>
      </c>
      <c r="D697" s="108"/>
      <c r="E697" s="108"/>
      <c r="F697" s="245" t="s">
        <v>986</v>
      </c>
      <c r="G697" s="108">
        <v>1</v>
      </c>
      <c r="H697" s="108">
        <f>SUM(H688:H696)</f>
        <v>77.5</v>
      </c>
      <c r="I697" s="290">
        <f t="shared" si="91"/>
        <v>77.5</v>
      </c>
      <c r="J697" s="109">
        <v>2</v>
      </c>
      <c r="K697" s="109">
        <f>I697*J697</f>
        <v>155</v>
      </c>
      <c r="L697" s="287"/>
      <c r="M697" s="288"/>
      <c r="N697" s="111"/>
    </row>
    <row r="698" s="245" customFormat="1" ht="20.25" spans="1:14">
      <c r="A698" s="284">
        <v>45948</v>
      </c>
      <c r="B698" s="105" t="s">
        <v>985</v>
      </c>
      <c r="C698" s="285">
        <v>45947</v>
      </c>
      <c r="D698" s="108"/>
      <c r="E698" s="108"/>
      <c r="F698" s="245" t="s">
        <v>820</v>
      </c>
      <c r="G698" s="108">
        <v>4</v>
      </c>
      <c r="H698" s="108">
        <v>1</v>
      </c>
      <c r="I698" s="290">
        <f t="shared" si="91"/>
        <v>4</v>
      </c>
      <c r="J698" s="109">
        <v>12.5</v>
      </c>
      <c r="K698" s="109">
        <f>I698*J698</f>
        <v>50</v>
      </c>
      <c r="L698" s="287">
        <f>SUM(K688:K698)</f>
        <v>628.15</v>
      </c>
      <c r="M698" s="288"/>
      <c r="N698" s="111"/>
    </row>
    <row r="699" s="242" customFormat="1" ht="20.25" spans="1:14">
      <c r="A699" s="258">
        <v>45948</v>
      </c>
      <c r="B699" s="127" t="s">
        <v>987</v>
      </c>
      <c r="C699" s="258">
        <v>45948</v>
      </c>
      <c r="D699" s="258"/>
      <c r="E699" s="258"/>
      <c r="F699" s="243" t="s">
        <v>936</v>
      </c>
      <c r="G699" s="136">
        <v>1</v>
      </c>
      <c r="H699" s="136">
        <v>13</v>
      </c>
      <c r="I699" s="136">
        <f t="shared" si="91"/>
        <v>13</v>
      </c>
      <c r="J699" s="135">
        <v>7.6</v>
      </c>
      <c r="K699" s="135"/>
      <c r="L699" s="243"/>
      <c r="M699" s="278"/>
      <c r="N699" s="259"/>
    </row>
    <row r="700" s="242" customFormat="1" ht="20.25" spans="1:14">
      <c r="A700" s="258">
        <v>45948</v>
      </c>
      <c r="B700" s="127" t="s">
        <v>987</v>
      </c>
      <c r="C700" s="258">
        <v>45948</v>
      </c>
      <c r="D700" s="258"/>
      <c r="E700" s="258"/>
      <c r="F700" s="243" t="s">
        <v>887</v>
      </c>
      <c r="G700" s="136">
        <v>1</v>
      </c>
      <c r="H700" s="136">
        <v>13</v>
      </c>
      <c r="I700" s="136">
        <f t="shared" ref="I700:I754" si="93">G700*H700</f>
        <v>13</v>
      </c>
      <c r="J700" s="135">
        <v>10.8</v>
      </c>
      <c r="K700" s="135"/>
      <c r="L700" s="243"/>
      <c r="M700" s="278"/>
      <c r="N700" s="259"/>
    </row>
    <row r="701" s="242" customFormat="1" ht="20.25" spans="1:14">
      <c r="A701" s="258">
        <v>45948</v>
      </c>
      <c r="B701" s="127" t="s">
        <v>987</v>
      </c>
      <c r="C701" s="258">
        <v>45948</v>
      </c>
      <c r="D701" s="258"/>
      <c r="E701" s="258"/>
      <c r="F701" s="243" t="s">
        <v>120</v>
      </c>
      <c r="G701" s="136">
        <v>1</v>
      </c>
      <c r="H701" s="136">
        <v>1.5</v>
      </c>
      <c r="I701" s="136">
        <f t="shared" si="93"/>
        <v>1.5</v>
      </c>
      <c r="J701" s="135">
        <v>17</v>
      </c>
      <c r="K701" s="135">
        <f>I701*J701</f>
        <v>25.5</v>
      </c>
      <c r="L701" s="243"/>
      <c r="M701" s="278"/>
      <c r="N701" s="259"/>
    </row>
    <row r="702" s="242" customFormat="1" ht="20.25" spans="1:14">
      <c r="A702" s="258">
        <v>45948</v>
      </c>
      <c r="B702" s="127" t="s">
        <v>987</v>
      </c>
      <c r="C702" s="258">
        <v>45948</v>
      </c>
      <c r="D702" s="258"/>
      <c r="E702" s="258"/>
      <c r="F702" s="243" t="s">
        <v>310</v>
      </c>
      <c r="G702" s="136">
        <v>1</v>
      </c>
      <c r="H702" s="136">
        <v>2.4</v>
      </c>
      <c r="I702" s="136">
        <f t="shared" si="93"/>
        <v>2.4</v>
      </c>
      <c r="J702" s="135">
        <v>0.6</v>
      </c>
      <c r="K702" s="135">
        <f t="shared" ref="K702:K713" si="94">I702*J702</f>
        <v>1.44</v>
      </c>
      <c r="L702" s="243" t="s">
        <v>937</v>
      </c>
      <c r="M702" s="243"/>
      <c r="N702" s="259"/>
    </row>
    <row r="703" s="242" customFormat="1" ht="20.25" spans="1:14">
      <c r="A703" s="258">
        <v>45948</v>
      </c>
      <c r="B703" s="127" t="s">
        <v>987</v>
      </c>
      <c r="C703" s="258">
        <v>45948</v>
      </c>
      <c r="D703" s="258"/>
      <c r="E703" s="258"/>
      <c r="F703" s="243" t="s">
        <v>122</v>
      </c>
      <c r="G703" s="136">
        <v>1</v>
      </c>
      <c r="H703" s="136">
        <v>28</v>
      </c>
      <c r="I703" s="136">
        <f t="shared" si="93"/>
        <v>28</v>
      </c>
      <c r="J703" s="135">
        <v>6.5</v>
      </c>
      <c r="K703" s="135">
        <f t="shared" si="94"/>
        <v>182</v>
      </c>
      <c r="L703" s="243"/>
      <c r="M703" s="243"/>
      <c r="N703" s="242" t="s">
        <v>321</v>
      </c>
    </row>
    <row r="704" s="242" customFormat="1" ht="20.25" spans="1:14">
      <c r="A704" s="258">
        <v>45948</v>
      </c>
      <c r="B704" s="127" t="s">
        <v>987</v>
      </c>
      <c r="C704" s="258">
        <v>45948</v>
      </c>
      <c r="D704" s="258"/>
      <c r="E704" s="258"/>
      <c r="F704" s="243" t="s">
        <v>123</v>
      </c>
      <c r="G704" s="136">
        <v>1</v>
      </c>
      <c r="H704" s="136">
        <v>14</v>
      </c>
      <c r="I704" s="136">
        <f t="shared" si="93"/>
        <v>14</v>
      </c>
      <c r="J704" s="135">
        <v>3.3</v>
      </c>
      <c r="K704" s="135">
        <f t="shared" si="94"/>
        <v>46.2</v>
      </c>
      <c r="L704" s="260" t="s">
        <v>938</v>
      </c>
      <c r="M704" s="243"/>
      <c r="N704" s="300"/>
    </row>
    <row r="705" s="242" customFormat="1" ht="20.25" spans="1:15">
      <c r="A705" s="258">
        <v>45948</v>
      </c>
      <c r="B705" s="127" t="s">
        <v>987</v>
      </c>
      <c r="C705" s="258">
        <v>45948</v>
      </c>
      <c r="D705" s="258"/>
      <c r="E705" s="258"/>
      <c r="F705" s="243" t="s">
        <v>940</v>
      </c>
      <c r="G705" s="136">
        <v>1</v>
      </c>
      <c r="H705" s="136">
        <v>3.8</v>
      </c>
      <c r="I705" s="136">
        <f t="shared" si="93"/>
        <v>3.8</v>
      </c>
      <c r="J705" s="135">
        <v>15</v>
      </c>
      <c r="K705" s="135">
        <f t="shared" si="94"/>
        <v>57</v>
      </c>
      <c r="L705" s="243"/>
      <c r="M705" s="243"/>
      <c r="N705" s="300"/>
    </row>
    <row r="706" s="242" customFormat="1" ht="20.25" spans="1:15">
      <c r="A706" s="258">
        <v>45948</v>
      </c>
      <c r="B706" s="127" t="s">
        <v>987</v>
      </c>
      <c r="C706" s="258">
        <v>45948</v>
      </c>
      <c r="D706" s="258"/>
      <c r="E706" s="258"/>
      <c r="F706" s="243" t="s">
        <v>787</v>
      </c>
      <c r="G706" s="136">
        <v>1</v>
      </c>
      <c r="H706" s="136">
        <v>4.5</v>
      </c>
      <c r="I706" s="136">
        <f t="shared" si="93"/>
        <v>4.5</v>
      </c>
      <c r="J706" s="135">
        <v>38</v>
      </c>
      <c r="K706" s="135">
        <f t="shared" si="94"/>
        <v>171</v>
      </c>
      <c r="L706" s="243"/>
      <c r="M706" s="243"/>
      <c r="N706" s="300" t="s">
        <v>942</v>
      </c>
    </row>
    <row r="707" s="242" customFormat="1" ht="20.25" spans="1:15">
      <c r="A707" s="258">
        <v>45948</v>
      </c>
      <c r="B707" s="127" t="s">
        <v>987</v>
      </c>
      <c r="C707" s="258">
        <v>45948</v>
      </c>
      <c r="D707" s="258"/>
      <c r="E707" s="258"/>
      <c r="F707" s="243" t="s">
        <v>633</v>
      </c>
      <c r="G707" s="136">
        <v>1</v>
      </c>
      <c r="H707" s="136">
        <v>0.1</v>
      </c>
      <c r="I707" s="136">
        <f t="shared" si="93"/>
        <v>0.1</v>
      </c>
      <c r="J707" s="135">
        <v>40</v>
      </c>
      <c r="K707" s="135">
        <f t="shared" si="94"/>
        <v>4</v>
      </c>
      <c r="L707" s="243"/>
      <c r="M707" s="243"/>
      <c r="N707" s="300"/>
    </row>
    <row r="708" s="242" customFormat="1" ht="20.25" spans="1:15">
      <c r="A708" s="258">
        <v>45948</v>
      </c>
      <c r="B708" s="127" t="s">
        <v>987</v>
      </c>
      <c r="C708" s="258">
        <v>45948</v>
      </c>
      <c r="D708" s="258"/>
      <c r="E708" s="258"/>
      <c r="F708" s="243" t="s">
        <v>576</v>
      </c>
      <c r="G708" s="136">
        <v>1</v>
      </c>
      <c r="H708" s="136">
        <v>0.3</v>
      </c>
      <c r="I708" s="136">
        <f t="shared" si="93"/>
        <v>0.3</v>
      </c>
      <c r="J708" s="135">
        <v>25</v>
      </c>
      <c r="K708" s="135">
        <f t="shared" si="94"/>
        <v>7.5</v>
      </c>
      <c r="L708" s="243"/>
      <c r="M708" s="243"/>
      <c r="N708" s="300" t="s">
        <v>988</v>
      </c>
    </row>
    <row r="709" s="242" customFormat="1" ht="20.25" spans="1:15">
      <c r="A709" s="258">
        <v>45948</v>
      </c>
      <c r="B709" s="127" t="s">
        <v>987</v>
      </c>
      <c r="C709" s="258">
        <v>45948</v>
      </c>
      <c r="D709" s="258"/>
      <c r="E709" s="258"/>
      <c r="F709" s="243" t="s">
        <v>351</v>
      </c>
      <c r="G709" s="136">
        <v>1</v>
      </c>
      <c r="H709" s="136">
        <v>0.7</v>
      </c>
      <c r="I709" s="136">
        <f t="shared" si="93"/>
        <v>0.7</v>
      </c>
      <c r="J709" s="135">
        <v>25</v>
      </c>
      <c r="K709" s="135">
        <f t="shared" si="94"/>
        <v>17.5</v>
      </c>
      <c r="L709" s="243"/>
      <c r="M709" s="243"/>
      <c r="N709" s="300" t="s">
        <v>989</v>
      </c>
    </row>
    <row r="710" s="242" customFormat="1" ht="20.25" spans="1:15">
      <c r="A710" s="258">
        <v>45948</v>
      </c>
      <c r="B710" s="127" t="s">
        <v>987</v>
      </c>
      <c r="C710" s="258">
        <v>45948</v>
      </c>
      <c r="D710" s="258"/>
      <c r="E710" s="258"/>
      <c r="F710" s="243" t="s">
        <v>125</v>
      </c>
      <c r="G710" s="136">
        <v>1</v>
      </c>
      <c r="H710" s="136">
        <v>0.2</v>
      </c>
      <c r="I710" s="136">
        <f t="shared" si="93"/>
        <v>0.2</v>
      </c>
      <c r="J710" s="135">
        <v>25</v>
      </c>
      <c r="K710" s="135">
        <f t="shared" si="94"/>
        <v>5</v>
      </c>
      <c r="L710" s="243"/>
      <c r="M710" s="243"/>
      <c r="N710" s="300"/>
    </row>
    <row r="711" s="242" customFormat="1" ht="20.25" spans="1:15">
      <c r="A711" s="258">
        <v>45948</v>
      </c>
      <c r="B711" s="127" t="s">
        <v>987</v>
      </c>
      <c r="C711" s="258">
        <v>45948</v>
      </c>
      <c r="D711" s="258"/>
      <c r="E711" s="258"/>
      <c r="F711" s="243" t="s">
        <v>575</v>
      </c>
      <c r="G711" s="136">
        <v>1</v>
      </c>
      <c r="H711" s="136">
        <v>0.2</v>
      </c>
      <c r="I711" s="136">
        <f t="shared" si="93"/>
        <v>0.2</v>
      </c>
      <c r="J711" s="135">
        <v>25</v>
      </c>
      <c r="K711" s="135">
        <f t="shared" si="94"/>
        <v>5</v>
      </c>
      <c r="L711" s="243"/>
      <c r="M711" s="243"/>
      <c r="N711" s="300" t="s">
        <v>990</v>
      </c>
    </row>
    <row r="712" s="242" customFormat="1" ht="20.25" spans="1:15">
      <c r="A712" s="258">
        <v>45948</v>
      </c>
      <c r="B712" s="127" t="s">
        <v>987</v>
      </c>
      <c r="C712" s="258">
        <v>45948</v>
      </c>
      <c r="D712" s="258"/>
      <c r="E712" s="258"/>
      <c r="F712" s="243" t="s">
        <v>946</v>
      </c>
      <c r="G712" s="136">
        <v>1</v>
      </c>
      <c r="H712" s="136">
        <f>SUM(H699:H711)</f>
        <v>81.7</v>
      </c>
      <c r="I712" s="136">
        <f t="shared" si="93"/>
        <v>81.7</v>
      </c>
      <c r="J712" s="135">
        <v>2</v>
      </c>
      <c r="K712" s="135">
        <f t="shared" si="94"/>
        <v>163.4</v>
      </c>
      <c r="L712" s="243"/>
      <c r="M712" s="243"/>
      <c r="N712" s="259">
        <f>SUM(K699:K713)</f>
        <v>735.54</v>
      </c>
    </row>
    <row r="713" s="242" customFormat="1" ht="20.25" spans="1:15">
      <c r="A713" s="258">
        <v>45948</v>
      </c>
      <c r="B713" s="127" t="s">
        <v>987</v>
      </c>
      <c r="C713" s="258">
        <v>45948</v>
      </c>
      <c r="D713" s="258"/>
      <c r="E713" s="258"/>
      <c r="F713" s="243" t="s">
        <v>462</v>
      </c>
      <c r="G713" s="136">
        <v>4</v>
      </c>
      <c r="H713" s="136">
        <v>1</v>
      </c>
      <c r="I713" s="136">
        <f t="shared" si="93"/>
        <v>4</v>
      </c>
      <c r="J713" s="135">
        <v>12.5</v>
      </c>
      <c r="K713" s="135">
        <f t="shared" si="94"/>
        <v>50</v>
      </c>
      <c r="L713" s="243" t="s">
        <v>324</v>
      </c>
      <c r="M713" s="243"/>
      <c r="N713" s="259"/>
    </row>
    <row r="714" s="1" customFormat="1" ht="20.25" spans="1:15">
      <c r="A714" s="51">
        <v>45950</v>
      </c>
      <c r="B714" s="110" t="s">
        <v>991</v>
      </c>
      <c r="C714" s="51">
        <v>45950</v>
      </c>
      <c r="D714" s="51"/>
      <c r="E714" s="51"/>
      <c r="F714" s="110" t="s">
        <v>992</v>
      </c>
      <c r="G714" s="107">
        <v>1</v>
      </c>
      <c r="H714" s="107">
        <v>136</v>
      </c>
      <c r="I714" s="108">
        <f t="shared" si="93"/>
        <v>136</v>
      </c>
      <c r="J714" s="109">
        <v>10.8</v>
      </c>
      <c r="K714" s="109"/>
      <c r="L714" s="110"/>
      <c r="M714" s="110"/>
      <c r="N714" s="107"/>
      <c r="O714" s="1">
        <v>126</v>
      </c>
    </row>
    <row r="715" s="1" customFormat="1" ht="20.25" spans="1:15">
      <c r="A715" s="51">
        <v>45950</v>
      </c>
      <c r="B715" s="110" t="s">
        <v>991</v>
      </c>
      <c r="C715" s="51">
        <v>45950</v>
      </c>
      <c r="D715" s="51"/>
      <c r="E715" s="51"/>
      <c r="F715" s="110" t="s">
        <v>936</v>
      </c>
      <c r="G715" s="107">
        <v>1</v>
      </c>
      <c r="H715" s="107">
        <v>136</v>
      </c>
      <c r="I715" s="108">
        <f t="shared" si="93"/>
        <v>136</v>
      </c>
      <c r="J715" s="109">
        <v>7.6</v>
      </c>
      <c r="K715" s="109"/>
      <c r="L715" s="110">
        <f>SUBTOTAL(9,I611:I8130)</f>
        <v>15362.2</v>
      </c>
      <c r="M715" s="110"/>
      <c r="N715" s="107"/>
    </row>
    <row r="716" s="1" customFormat="1" ht="20.25" spans="1:15">
      <c r="A716" s="51">
        <v>45950</v>
      </c>
      <c r="B716" s="110" t="s">
        <v>991</v>
      </c>
      <c r="C716" s="51">
        <v>45950</v>
      </c>
      <c r="D716" s="51"/>
      <c r="E716" s="51"/>
      <c r="F716" s="110" t="s">
        <v>120</v>
      </c>
      <c r="G716" s="107">
        <v>1</v>
      </c>
      <c r="H716" s="107">
        <v>13</v>
      </c>
      <c r="I716" s="108">
        <f t="shared" si="93"/>
        <v>13</v>
      </c>
      <c r="J716" s="109">
        <v>17</v>
      </c>
      <c r="K716" s="109">
        <f>I716*J716</f>
        <v>221</v>
      </c>
      <c r="L716" s="110"/>
      <c r="M716" s="110"/>
      <c r="N716" s="111"/>
    </row>
    <row r="717" s="1" customFormat="1" ht="20.25" spans="1:15">
      <c r="A717" s="51">
        <v>45950</v>
      </c>
      <c r="B717" s="110" t="s">
        <v>991</v>
      </c>
      <c r="C717" s="51">
        <v>45950</v>
      </c>
      <c r="D717" s="51"/>
      <c r="E717" s="51"/>
      <c r="F717" s="110" t="s">
        <v>310</v>
      </c>
      <c r="G717" s="107">
        <v>1</v>
      </c>
      <c r="H717" s="107">
        <v>36</v>
      </c>
      <c r="I717" s="108">
        <f t="shared" si="93"/>
        <v>36</v>
      </c>
      <c r="J717" s="109">
        <v>0.6</v>
      </c>
      <c r="K717" s="109">
        <f t="shared" ref="K717:K724" si="95">I717*J717</f>
        <v>21.6</v>
      </c>
      <c r="L717" s="110"/>
      <c r="M717" s="110"/>
      <c r="N717" s="111"/>
    </row>
    <row r="718" s="1" customFormat="1" ht="20.25" spans="1:15">
      <c r="A718" s="51">
        <v>45950</v>
      </c>
      <c r="B718" s="110" t="s">
        <v>991</v>
      </c>
      <c r="C718" s="51">
        <v>45950</v>
      </c>
      <c r="D718" s="51"/>
      <c r="E718" s="51"/>
      <c r="F718" s="110" t="s">
        <v>311</v>
      </c>
      <c r="G718" s="107">
        <v>1</v>
      </c>
      <c r="H718" s="107">
        <v>155</v>
      </c>
      <c r="I718" s="108">
        <f t="shared" si="93"/>
        <v>155</v>
      </c>
      <c r="J718" s="109">
        <v>6.5</v>
      </c>
      <c r="K718" s="109">
        <f t="shared" si="95"/>
        <v>1007.5</v>
      </c>
      <c r="L718" s="110"/>
      <c r="M718" s="110" t="s">
        <v>321</v>
      </c>
      <c r="N718" s="111"/>
    </row>
    <row r="719" s="1" customFormat="1" ht="20.25" spans="1:15">
      <c r="A719" s="51">
        <v>45950</v>
      </c>
      <c r="B719" s="110" t="s">
        <v>991</v>
      </c>
      <c r="C719" s="51">
        <v>45950</v>
      </c>
      <c r="D719" s="51"/>
      <c r="E719" s="51"/>
      <c r="F719" s="110" t="s">
        <v>312</v>
      </c>
      <c r="G719" s="107">
        <v>1</v>
      </c>
      <c r="H719" s="107">
        <v>150</v>
      </c>
      <c r="I719" s="108">
        <f t="shared" si="93"/>
        <v>150</v>
      </c>
      <c r="J719" s="109">
        <v>3.3</v>
      </c>
      <c r="K719" s="109">
        <f t="shared" si="95"/>
        <v>495</v>
      </c>
      <c r="L719" s="110" t="s">
        <v>760</v>
      </c>
      <c r="M719" s="110" t="s">
        <v>346</v>
      </c>
      <c r="N719" s="111"/>
      <c r="O719" s="1" t="s">
        <v>993</v>
      </c>
    </row>
    <row r="720" s="1" customFormat="1" ht="20.25" spans="1:15">
      <c r="A720" s="51">
        <v>45950</v>
      </c>
      <c r="B720" s="110" t="s">
        <v>991</v>
      </c>
      <c r="C720" s="51">
        <v>45950</v>
      </c>
      <c r="D720" s="51"/>
      <c r="E720" s="51"/>
      <c r="F720" s="110" t="s">
        <v>969</v>
      </c>
      <c r="G720" s="107">
        <v>1</v>
      </c>
      <c r="H720" s="107">
        <v>100</v>
      </c>
      <c r="I720" s="108">
        <f t="shared" si="93"/>
        <v>100</v>
      </c>
      <c r="J720" s="109">
        <v>12.1</v>
      </c>
      <c r="K720" s="109">
        <f t="shared" si="95"/>
        <v>1210</v>
      </c>
      <c r="L720" s="110"/>
      <c r="M720" s="110" t="s">
        <v>994</v>
      </c>
      <c r="N720" s="110"/>
    </row>
    <row r="721" s="1" customFormat="1" ht="20.25" spans="1:14">
      <c r="A721" s="51">
        <v>45950</v>
      </c>
      <c r="B721" s="110" t="s">
        <v>991</v>
      </c>
      <c r="C721" s="51">
        <v>45950</v>
      </c>
      <c r="D721" s="51"/>
      <c r="E721" s="51"/>
      <c r="F721" s="110" t="s">
        <v>995</v>
      </c>
      <c r="G721" s="107">
        <v>1</v>
      </c>
      <c r="H721" s="107">
        <f>SUM(H714:H720)</f>
        <v>726</v>
      </c>
      <c r="I721" s="108">
        <f t="shared" si="93"/>
        <v>726</v>
      </c>
      <c r="J721" s="109">
        <v>2</v>
      </c>
      <c r="K721" s="109">
        <f t="shared" si="95"/>
        <v>1452</v>
      </c>
      <c r="L721" s="110"/>
      <c r="M721" s="110"/>
      <c r="N721" s="111"/>
    </row>
    <row r="722" s="1" customFormat="1" ht="20.25" spans="1:14">
      <c r="A722" s="51">
        <v>45950</v>
      </c>
      <c r="B722" s="110" t="s">
        <v>991</v>
      </c>
      <c r="C722" s="51">
        <v>45950</v>
      </c>
      <c r="D722" s="51"/>
      <c r="E722" s="51"/>
      <c r="F722" s="110" t="s">
        <v>316</v>
      </c>
      <c r="G722" s="107">
        <v>40</v>
      </c>
      <c r="H722" s="107">
        <v>1</v>
      </c>
      <c r="I722" s="108">
        <f t="shared" si="93"/>
        <v>40</v>
      </c>
      <c r="J722" s="109">
        <v>12.5</v>
      </c>
      <c r="K722" s="109">
        <f t="shared" si="95"/>
        <v>500</v>
      </c>
      <c r="L722" s="110">
        <f>SUM(K714:K722)</f>
        <v>4907.1</v>
      </c>
      <c r="M722" s="110"/>
      <c r="N722" s="111"/>
    </row>
    <row r="723" s="2" customFormat="1" ht="20.25" spans="1:14">
      <c r="A723" s="126">
        <v>45952</v>
      </c>
      <c r="B723" s="127">
        <v>63</v>
      </c>
      <c r="C723" s="126">
        <v>45952</v>
      </c>
      <c r="D723" s="126"/>
      <c r="E723" s="126"/>
      <c r="F723" s="131" t="s">
        <v>327</v>
      </c>
      <c r="G723" s="134">
        <v>5</v>
      </c>
      <c r="H723" s="134">
        <v>25</v>
      </c>
      <c r="I723" s="136">
        <f t="shared" si="93"/>
        <v>125</v>
      </c>
      <c r="J723" s="135">
        <v>13.5</v>
      </c>
      <c r="K723" s="135">
        <f t="shared" si="95"/>
        <v>1687.5</v>
      </c>
      <c r="L723" s="131" t="s">
        <v>328</v>
      </c>
      <c r="M723" s="131" t="s">
        <v>427</v>
      </c>
      <c r="N723" s="132"/>
    </row>
    <row r="724" s="2" customFormat="1" ht="20.25" spans="1:14">
      <c r="A724" s="126">
        <v>45952</v>
      </c>
      <c r="B724" s="127">
        <v>63</v>
      </c>
      <c r="C724" s="126">
        <v>45952</v>
      </c>
      <c r="D724" s="126"/>
      <c r="E724" s="126"/>
      <c r="F724" s="131" t="s">
        <v>329</v>
      </c>
      <c r="G724" s="134">
        <v>4</v>
      </c>
      <c r="H724" s="134">
        <v>10</v>
      </c>
      <c r="I724" s="136">
        <f t="shared" si="93"/>
        <v>40</v>
      </c>
      <c r="J724" s="135">
        <v>13.5</v>
      </c>
      <c r="K724" s="135">
        <f t="shared" si="95"/>
        <v>540</v>
      </c>
      <c r="L724" s="131">
        <f>SUM(K723:K724)</f>
        <v>2227.5</v>
      </c>
      <c r="M724" s="131" t="s">
        <v>427</v>
      </c>
      <c r="N724" s="132"/>
    </row>
    <row r="725" s="1" customFormat="1" ht="20.25" spans="1:14">
      <c r="A725" s="285">
        <v>45953</v>
      </c>
      <c r="B725" s="105">
        <v>67</v>
      </c>
      <c r="C725" s="285">
        <v>45953</v>
      </c>
      <c r="D725" s="108"/>
      <c r="E725" s="108"/>
      <c r="F725" s="324" t="s">
        <v>996</v>
      </c>
      <c r="G725" s="107">
        <v>1</v>
      </c>
      <c r="H725" s="107">
        <v>37</v>
      </c>
      <c r="I725" s="108">
        <f t="shared" si="93"/>
        <v>37</v>
      </c>
      <c r="J725" s="109">
        <v>10.8</v>
      </c>
      <c r="K725" s="109"/>
      <c r="L725" s="110"/>
      <c r="M725" s="110"/>
      <c r="N725" s="111"/>
    </row>
    <row r="726" s="1" customFormat="1" ht="20.25" spans="1:14">
      <c r="A726" s="285">
        <v>45953</v>
      </c>
      <c r="B726" s="105">
        <v>67</v>
      </c>
      <c r="C726" s="285">
        <v>45953</v>
      </c>
      <c r="D726" s="108"/>
      <c r="E726" s="108"/>
      <c r="F726" s="110" t="s">
        <v>936</v>
      </c>
      <c r="G726" s="107">
        <v>1</v>
      </c>
      <c r="H726" s="107">
        <v>70</v>
      </c>
      <c r="I726" s="108">
        <f t="shared" si="93"/>
        <v>70</v>
      </c>
      <c r="J726" s="109">
        <v>7.6</v>
      </c>
      <c r="K726" s="109"/>
      <c r="L726" s="110"/>
      <c r="M726" s="110"/>
      <c r="N726" s="111"/>
    </row>
    <row r="727" s="1" customFormat="1" ht="20.25" spans="1:14">
      <c r="A727" s="285">
        <v>45953</v>
      </c>
      <c r="B727" s="105">
        <v>67</v>
      </c>
      <c r="C727" s="285">
        <v>45953</v>
      </c>
      <c r="D727" s="108"/>
      <c r="E727" s="108"/>
      <c r="F727" s="110" t="s">
        <v>966</v>
      </c>
      <c r="G727" s="107">
        <v>1</v>
      </c>
      <c r="H727" s="107">
        <v>30</v>
      </c>
      <c r="I727" s="108">
        <f t="shared" si="93"/>
        <v>30</v>
      </c>
      <c r="J727" s="109"/>
      <c r="K727" s="109"/>
      <c r="L727" s="110"/>
      <c r="M727" s="110"/>
      <c r="N727" s="111"/>
    </row>
    <row r="728" s="245" customFormat="1" ht="20.25" spans="1:14">
      <c r="A728" s="285">
        <v>45953</v>
      </c>
      <c r="B728" s="105">
        <v>67</v>
      </c>
      <c r="C728" s="285">
        <v>45953</v>
      </c>
      <c r="D728" s="108"/>
      <c r="E728" s="108"/>
      <c r="F728" s="245" t="s">
        <v>997</v>
      </c>
      <c r="G728" s="107">
        <v>1</v>
      </c>
      <c r="H728" s="108">
        <v>36</v>
      </c>
      <c r="I728" s="108">
        <f t="shared" si="93"/>
        <v>36</v>
      </c>
      <c r="J728" s="109"/>
      <c r="K728" s="109"/>
      <c r="L728" s="307"/>
      <c r="M728" s="288"/>
      <c r="N728" s="111"/>
    </row>
    <row r="729" s="245" customFormat="1" ht="20.25" spans="1:14">
      <c r="A729" s="285">
        <v>45953</v>
      </c>
      <c r="B729" s="105">
        <v>67</v>
      </c>
      <c r="C729" s="285">
        <v>45953</v>
      </c>
      <c r="D729" s="108"/>
      <c r="E729" s="108"/>
      <c r="F729" s="245" t="s">
        <v>120</v>
      </c>
      <c r="G729" s="107">
        <v>1</v>
      </c>
      <c r="H729" s="108">
        <v>8.3</v>
      </c>
      <c r="I729" s="108">
        <f t="shared" si="93"/>
        <v>8.3</v>
      </c>
      <c r="J729" s="109">
        <v>17</v>
      </c>
      <c r="K729" s="109">
        <f>I729*J729</f>
        <v>141.1</v>
      </c>
      <c r="L729" s="307" t="s">
        <v>937</v>
      </c>
      <c r="M729" s="288"/>
      <c r="N729" s="111"/>
    </row>
    <row r="730" s="245" customFormat="1" ht="20.25" spans="1:14">
      <c r="A730" s="285">
        <v>45953</v>
      </c>
      <c r="B730" s="105">
        <v>67</v>
      </c>
      <c r="C730" s="285">
        <v>45953</v>
      </c>
      <c r="D730" s="108"/>
      <c r="E730" s="108"/>
      <c r="F730" s="245" t="s">
        <v>122</v>
      </c>
      <c r="G730" s="108">
        <v>1</v>
      </c>
      <c r="H730" s="108">
        <v>93</v>
      </c>
      <c r="I730" s="108">
        <f t="shared" si="93"/>
        <v>93</v>
      </c>
      <c r="J730" s="109">
        <v>6.5</v>
      </c>
      <c r="K730" s="109">
        <f t="shared" ref="K730:K745" si="96">I730*J730</f>
        <v>604.5</v>
      </c>
      <c r="L730" s="307"/>
      <c r="M730" s="288"/>
      <c r="N730" s="111"/>
    </row>
    <row r="731" s="245" customFormat="1" ht="20.25" spans="1:14">
      <c r="A731" s="285">
        <v>45953</v>
      </c>
      <c r="B731" s="105">
        <v>67</v>
      </c>
      <c r="C731" s="285">
        <v>45953</v>
      </c>
      <c r="D731" s="108"/>
      <c r="E731" s="108"/>
      <c r="F731" s="245" t="s">
        <v>123</v>
      </c>
      <c r="G731" s="108">
        <v>1</v>
      </c>
      <c r="H731" s="108">
        <v>85.5</v>
      </c>
      <c r="I731" s="108">
        <f t="shared" si="93"/>
        <v>85.5</v>
      </c>
      <c r="J731" s="109">
        <v>3.3</v>
      </c>
      <c r="K731" s="109">
        <f t="shared" si="96"/>
        <v>282.15</v>
      </c>
      <c r="L731" s="307"/>
      <c r="M731" s="288"/>
      <c r="N731" s="111"/>
    </row>
    <row r="732" s="245" customFormat="1" ht="20.25" spans="1:14">
      <c r="A732" s="285">
        <v>45953</v>
      </c>
      <c r="B732" s="105">
        <v>67</v>
      </c>
      <c r="C732" s="285">
        <v>45953</v>
      </c>
      <c r="D732" s="108"/>
      <c r="E732" s="108"/>
      <c r="F732" s="245" t="s">
        <v>570</v>
      </c>
      <c r="G732" s="108">
        <v>1</v>
      </c>
      <c r="H732" s="108">
        <v>4.5</v>
      </c>
      <c r="I732" s="108">
        <f t="shared" si="93"/>
        <v>4.5</v>
      </c>
      <c r="J732" s="109">
        <v>25</v>
      </c>
      <c r="K732" s="109">
        <f t="shared" si="96"/>
        <v>112.5</v>
      </c>
      <c r="L732" s="314"/>
      <c r="M732" s="288"/>
      <c r="N732" s="111"/>
    </row>
    <row r="733" s="245" customFormat="1" ht="20.25" spans="1:14">
      <c r="A733" s="285">
        <v>45953</v>
      </c>
      <c r="B733" s="105">
        <v>67</v>
      </c>
      <c r="C733" s="285">
        <v>45953</v>
      </c>
      <c r="D733" s="108"/>
      <c r="E733" s="108"/>
      <c r="F733" s="245" t="s">
        <v>787</v>
      </c>
      <c r="G733" s="108">
        <v>1</v>
      </c>
      <c r="H733" s="108">
        <v>1.5</v>
      </c>
      <c r="I733" s="108">
        <f t="shared" si="93"/>
        <v>1.5</v>
      </c>
      <c r="J733" s="109">
        <v>38</v>
      </c>
      <c r="K733" s="109">
        <f t="shared" si="96"/>
        <v>57</v>
      </c>
      <c r="L733" s="314" t="s">
        <v>998</v>
      </c>
      <c r="M733" s="288"/>
      <c r="N733" s="111"/>
    </row>
    <row r="734" s="245" customFormat="1" ht="20.25" spans="1:14">
      <c r="A734" s="285">
        <v>45953</v>
      </c>
      <c r="B734" s="105">
        <v>67</v>
      </c>
      <c r="C734" s="285">
        <v>45953</v>
      </c>
      <c r="D734" s="108"/>
      <c r="E734" s="108"/>
      <c r="F734" s="245" t="s">
        <v>575</v>
      </c>
      <c r="G734" s="108">
        <v>1</v>
      </c>
      <c r="H734" s="108">
        <v>0.5</v>
      </c>
      <c r="I734" s="108">
        <f t="shared" si="93"/>
        <v>0.5</v>
      </c>
      <c r="J734" s="109">
        <v>25</v>
      </c>
      <c r="K734" s="109">
        <f t="shared" si="96"/>
        <v>12.5</v>
      </c>
      <c r="L734" s="314"/>
      <c r="M734" s="289"/>
      <c r="N734" s="111"/>
    </row>
    <row r="735" s="245" customFormat="1" ht="20.25" spans="1:14">
      <c r="A735" s="285">
        <v>45953</v>
      </c>
      <c r="B735" s="105">
        <v>67</v>
      </c>
      <c r="C735" s="285">
        <v>45953</v>
      </c>
      <c r="D735" s="108"/>
      <c r="E735" s="108"/>
      <c r="F735" s="245" t="s">
        <v>576</v>
      </c>
      <c r="G735" s="108">
        <v>1</v>
      </c>
      <c r="H735" s="108">
        <v>0.5</v>
      </c>
      <c r="I735" s="108">
        <f t="shared" si="93"/>
        <v>0.5</v>
      </c>
      <c r="J735" s="109">
        <v>25</v>
      </c>
      <c r="K735" s="109">
        <f t="shared" si="96"/>
        <v>12.5</v>
      </c>
      <c r="L735" s="314"/>
      <c r="M735" s="289" t="s">
        <v>999</v>
      </c>
      <c r="N735" s="111"/>
    </row>
    <row r="736" s="245" customFormat="1" ht="20.25" spans="1:14">
      <c r="A736" s="285">
        <v>45953</v>
      </c>
      <c r="B736" s="105">
        <v>67</v>
      </c>
      <c r="C736" s="285">
        <v>45953</v>
      </c>
      <c r="D736" s="108"/>
      <c r="E736" s="108"/>
      <c r="F736" s="245" t="s">
        <v>1000</v>
      </c>
      <c r="G736" s="108">
        <v>1</v>
      </c>
      <c r="H736" s="274">
        <f>SUM(H725:H735)</f>
        <v>366.8</v>
      </c>
      <c r="I736" s="108">
        <f t="shared" si="93"/>
        <v>366.8</v>
      </c>
      <c r="J736" s="109">
        <v>2</v>
      </c>
      <c r="K736" s="109">
        <f t="shared" si="96"/>
        <v>733.6</v>
      </c>
      <c r="L736" s="307" t="s">
        <v>1001</v>
      </c>
      <c r="M736" s="13" t="s">
        <v>1002</v>
      </c>
      <c r="N736" s="111"/>
    </row>
    <row r="737" s="245" customFormat="1" ht="20.25" spans="1:14">
      <c r="A737" s="285">
        <v>45953</v>
      </c>
      <c r="B737" s="105">
        <v>67</v>
      </c>
      <c r="C737" s="285">
        <v>45953</v>
      </c>
      <c r="D737" s="108"/>
      <c r="E737" s="108"/>
      <c r="F737" s="245" t="s">
        <v>1003</v>
      </c>
      <c r="G737" s="108">
        <v>1</v>
      </c>
      <c r="H737" s="274">
        <v>95</v>
      </c>
      <c r="I737" s="108">
        <f t="shared" si="93"/>
        <v>95</v>
      </c>
      <c r="J737" s="109">
        <v>1.2</v>
      </c>
      <c r="K737" s="109">
        <f t="shared" si="96"/>
        <v>114</v>
      </c>
      <c r="L737" s="307" t="s">
        <v>1004</v>
      </c>
      <c r="M737" s="288"/>
      <c r="N737" s="111"/>
    </row>
    <row r="738" s="245" customFormat="1" ht="20.25" spans="1:14">
      <c r="A738" s="285">
        <v>45953</v>
      </c>
      <c r="B738" s="105">
        <v>67</v>
      </c>
      <c r="C738" s="285">
        <v>45953</v>
      </c>
      <c r="D738" s="108"/>
      <c r="E738" s="108"/>
      <c r="F738" s="245" t="s">
        <v>316</v>
      </c>
      <c r="G738" s="108">
        <v>22</v>
      </c>
      <c r="H738" s="108">
        <v>1</v>
      </c>
      <c r="I738" s="108">
        <f t="shared" si="93"/>
        <v>22</v>
      </c>
      <c r="J738" s="109">
        <v>12.5</v>
      </c>
      <c r="K738" s="109">
        <f t="shared" si="96"/>
        <v>275</v>
      </c>
      <c r="L738" s="307"/>
      <c r="M738" s="288"/>
      <c r="N738" s="111"/>
    </row>
    <row r="739" s="245" customFormat="1" ht="20.25" spans="1:14">
      <c r="A739" s="285">
        <v>45953</v>
      </c>
      <c r="B739" s="105">
        <v>67</v>
      </c>
      <c r="C739" s="285">
        <v>45953</v>
      </c>
      <c r="D739" s="108"/>
      <c r="E739" s="108"/>
      <c r="F739" s="245" t="s">
        <v>1005</v>
      </c>
      <c r="G739" s="108">
        <v>-13</v>
      </c>
      <c r="H739" s="108">
        <v>1</v>
      </c>
      <c r="I739" s="108">
        <f t="shared" si="93"/>
        <v>-13</v>
      </c>
      <c r="J739" s="109">
        <v>3.5</v>
      </c>
      <c r="K739" s="109">
        <f t="shared" si="96"/>
        <v>-45.5</v>
      </c>
      <c r="L739" s="314">
        <f>SUM(K725:K739)</f>
        <v>2299.35</v>
      </c>
      <c r="M739" s="288"/>
      <c r="N739" s="111"/>
    </row>
    <row r="740" s="243" customFormat="1" ht="20.25" spans="1:14">
      <c r="A740" s="258">
        <v>45959</v>
      </c>
      <c r="B740" s="127">
        <v>93</v>
      </c>
      <c r="C740" s="258">
        <v>45959</v>
      </c>
      <c r="D740" s="136"/>
      <c r="E740" s="136"/>
      <c r="F740" s="325" t="s">
        <v>122</v>
      </c>
      <c r="G740" s="136">
        <v>1</v>
      </c>
      <c r="H740" s="136">
        <v>102</v>
      </c>
      <c r="I740" s="136">
        <f t="shared" si="93"/>
        <v>102</v>
      </c>
      <c r="J740" s="135">
        <v>6.3</v>
      </c>
      <c r="K740" s="135">
        <f t="shared" si="96"/>
        <v>642.6</v>
      </c>
      <c r="L740" s="312"/>
      <c r="M740" s="278"/>
      <c r="N740" s="132"/>
    </row>
    <row r="741" s="243" customFormat="1" ht="20.25" spans="1:14">
      <c r="A741" s="258">
        <v>45959</v>
      </c>
      <c r="B741" s="127">
        <v>93</v>
      </c>
      <c r="C741" s="258">
        <v>45959</v>
      </c>
      <c r="D741" s="136"/>
      <c r="E741" s="136"/>
      <c r="F741" s="243" t="s">
        <v>1006</v>
      </c>
      <c r="G741" s="136">
        <v>1</v>
      </c>
      <c r="H741" s="136">
        <v>11</v>
      </c>
      <c r="I741" s="136">
        <f t="shared" si="93"/>
        <v>11</v>
      </c>
      <c r="J741" s="135">
        <v>8.5</v>
      </c>
      <c r="K741" s="135">
        <f t="shared" si="96"/>
        <v>93.5</v>
      </c>
      <c r="L741" s="305"/>
      <c r="M741" s="278"/>
      <c r="N741" s="132"/>
    </row>
    <row r="742" s="243" customFormat="1" ht="20.25" spans="1:14">
      <c r="A742" s="258">
        <v>45959</v>
      </c>
      <c r="B742" s="127">
        <v>93</v>
      </c>
      <c r="C742" s="258">
        <v>45959</v>
      </c>
      <c r="D742" s="136"/>
      <c r="E742" s="136"/>
      <c r="F742" s="243" t="s">
        <v>434</v>
      </c>
      <c r="G742" s="136">
        <v>1</v>
      </c>
      <c r="H742" s="136">
        <v>22</v>
      </c>
      <c r="I742" s="136">
        <f t="shared" si="93"/>
        <v>22</v>
      </c>
      <c r="J742" s="135">
        <v>6.3</v>
      </c>
      <c r="K742" s="135">
        <f t="shared" si="96"/>
        <v>138.6</v>
      </c>
      <c r="L742" s="305"/>
      <c r="M742" s="278"/>
      <c r="N742" s="132"/>
    </row>
    <row r="743" s="243" customFormat="1" ht="20.25" spans="1:14">
      <c r="A743" s="258">
        <v>45959</v>
      </c>
      <c r="B743" s="127">
        <v>93</v>
      </c>
      <c r="C743" s="258">
        <v>45959</v>
      </c>
      <c r="D743" s="136"/>
      <c r="E743" s="136"/>
      <c r="F743" s="243" t="s">
        <v>1007</v>
      </c>
      <c r="G743" s="136">
        <v>1</v>
      </c>
      <c r="H743" s="136">
        <v>90</v>
      </c>
      <c r="I743" s="136">
        <f t="shared" si="93"/>
        <v>90</v>
      </c>
      <c r="J743" s="135">
        <v>4.5</v>
      </c>
      <c r="K743" s="135">
        <f t="shared" si="96"/>
        <v>405</v>
      </c>
      <c r="L743" s="305" t="s">
        <v>511</v>
      </c>
      <c r="M743" s="278"/>
      <c r="N743" s="132"/>
    </row>
    <row r="744" s="243" customFormat="1" ht="20.25" spans="1:14">
      <c r="A744" s="258">
        <v>45959</v>
      </c>
      <c r="B744" s="127">
        <v>93</v>
      </c>
      <c r="C744" s="258">
        <v>45959</v>
      </c>
      <c r="D744" s="136"/>
      <c r="E744" s="136"/>
      <c r="F744" s="243" t="s">
        <v>1008</v>
      </c>
      <c r="G744" s="136">
        <v>1</v>
      </c>
      <c r="H744" s="136">
        <f>SUM(H740:H743)</f>
        <v>225</v>
      </c>
      <c r="I744" s="136">
        <f t="shared" si="93"/>
        <v>225</v>
      </c>
      <c r="J744" s="135">
        <v>0.7</v>
      </c>
      <c r="K744" s="135">
        <f t="shared" si="96"/>
        <v>157.5</v>
      </c>
      <c r="L744" s="305"/>
      <c r="M744" s="278"/>
      <c r="N744" s="132"/>
    </row>
    <row r="745" s="243" customFormat="1" ht="20.25" spans="1:14">
      <c r="A745" s="258">
        <v>45959</v>
      </c>
      <c r="B745" s="127">
        <v>93</v>
      </c>
      <c r="C745" s="258">
        <v>45959</v>
      </c>
      <c r="D745" s="136"/>
      <c r="E745" s="136"/>
      <c r="F745" s="243" t="s">
        <v>1009</v>
      </c>
      <c r="G745" s="136">
        <v>15</v>
      </c>
      <c r="H745" s="136">
        <v>1</v>
      </c>
      <c r="I745" s="136">
        <f t="shared" si="93"/>
        <v>15</v>
      </c>
      <c r="J745" s="135">
        <v>10.5</v>
      </c>
      <c r="K745" s="135">
        <f t="shared" si="96"/>
        <v>157.5</v>
      </c>
      <c r="L745" s="312">
        <f>SUM(K740:K745)</f>
        <v>1594.7</v>
      </c>
      <c r="M745" s="278"/>
      <c r="N745" s="132"/>
    </row>
    <row r="746" s="245" customFormat="1" ht="20.25" spans="1:14">
      <c r="A746" s="284">
        <v>45971</v>
      </c>
      <c r="B746" s="105">
        <v>27</v>
      </c>
      <c r="C746" s="285">
        <v>45971</v>
      </c>
      <c r="D746" s="108"/>
      <c r="E746" s="108"/>
      <c r="F746" s="286" t="s">
        <v>1010</v>
      </c>
      <c r="G746" s="108">
        <v>1</v>
      </c>
      <c r="H746" s="107">
        <v>18</v>
      </c>
      <c r="I746" s="290">
        <f t="shared" si="93"/>
        <v>18</v>
      </c>
      <c r="J746" s="109"/>
      <c r="K746" s="109"/>
      <c r="L746" s="287"/>
      <c r="M746" s="288"/>
      <c r="N746" s="111"/>
    </row>
    <row r="747" s="245" customFormat="1" ht="20.25" spans="1:14">
      <c r="A747" s="284">
        <v>45971</v>
      </c>
      <c r="B747" s="105">
        <v>27</v>
      </c>
      <c r="C747" s="285">
        <v>45971</v>
      </c>
      <c r="D747" s="108"/>
      <c r="E747" s="108"/>
      <c r="F747" s="245" t="s">
        <v>120</v>
      </c>
      <c r="G747" s="108">
        <v>1</v>
      </c>
      <c r="H747" s="107">
        <v>1</v>
      </c>
      <c r="I747" s="290">
        <f t="shared" ref="I747:I778" si="97">G747*H747</f>
        <v>1</v>
      </c>
      <c r="J747" s="109">
        <v>17</v>
      </c>
      <c r="K747" s="109">
        <f>I747*J747</f>
        <v>17</v>
      </c>
      <c r="L747" s="287"/>
      <c r="M747" s="288"/>
      <c r="N747" s="111"/>
    </row>
    <row r="748" s="245" customFormat="1" ht="20.25" spans="1:14">
      <c r="A748" s="284">
        <v>45971</v>
      </c>
      <c r="B748" s="105">
        <v>27</v>
      </c>
      <c r="C748" s="285">
        <v>45971</v>
      </c>
      <c r="D748" s="108"/>
      <c r="E748" s="108"/>
      <c r="F748" s="245" t="s">
        <v>122</v>
      </c>
      <c r="G748" s="108">
        <v>1</v>
      </c>
      <c r="H748" s="107">
        <v>20</v>
      </c>
      <c r="I748" s="290">
        <f t="shared" si="97"/>
        <v>20</v>
      </c>
      <c r="J748" s="109">
        <v>6.2</v>
      </c>
      <c r="K748" s="109">
        <f>I748*J748</f>
        <v>124</v>
      </c>
      <c r="L748" s="287" t="s">
        <v>881</v>
      </c>
      <c r="M748" s="108"/>
      <c r="N748" s="111"/>
    </row>
    <row r="749" s="245" customFormat="1" ht="20.25" spans="1:14">
      <c r="A749" s="284">
        <v>45971</v>
      </c>
      <c r="B749" s="105">
        <v>27</v>
      </c>
      <c r="C749" s="285">
        <v>45971</v>
      </c>
      <c r="D749" s="108"/>
      <c r="E749" s="108"/>
      <c r="F749" s="245" t="s">
        <v>123</v>
      </c>
      <c r="G749" s="108">
        <v>1</v>
      </c>
      <c r="H749" s="107">
        <v>11</v>
      </c>
      <c r="I749" s="290">
        <f t="shared" si="97"/>
        <v>11</v>
      </c>
      <c r="J749" s="109">
        <v>3</v>
      </c>
      <c r="K749" s="109">
        <f>I749*J749</f>
        <v>33</v>
      </c>
      <c r="L749" s="287" t="s">
        <v>983</v>
      </c>
      <c r="M749" s="288"/>
      <c r="N749" s="111"/>
    </row>
    <row r="750" s="245" customFormat="1" ht="20.25" spans="1:14">
      <c r="A750" s="284">
        <v>45971</v>
      </c>
      <c r="B750" s="105">
        <v>27</v>
      </c>
      <c r="C750" s="285">
        <v>45971</v>
      </c>
      <c r="D750" s="108"/>
      <c r="E750" s="108"/>
      <c r="F750" s="245" t="s">
        <v>1011</v>
      </c>
      <c r="G750" s="108">
        <v>1</v>
      </c>
      <c r="H750" s="107">
        <v>2.5</v>
      </c>
      <c r="I750" s="290">
        <f t="shared" si="97"/>
        <v>2.5</v>
      </c>
      <c r="J750" s="109"/>
      <c r="K750" s="109"/>
      <c r="L750" s="287"/>
      <c r="M750" s="288"/>
      <c r="N750" s="111"/>
    </row>
    <row r="751" s="245" customFormat="1" ht="20.25" spans="1:14">
      <c r="A751" s="284">
        <v>45971</v>
      </c>
      <c r="B751" s="105">
        <v>27</v>
      </c>
      <c r="C751" s="285">
        <v>45971</v>
      </c>
      <c r="D751" s="108"/>
      <c r="E751" s="108"/>
      <c r="F751" s="245" t="s">
        <v>575</v>
      </c>
      <c r="G751" s="108">
        <v>1</v>
      </c>
      <c r="H751" s="107">
        <v>5.5</v>
      </c>
      <c r="I751" s="290">
        <f t="shared" si="97"/>
        <v>5.5</v>
      </c>
      <c r="J751" s="109">
        <v>25</v>
      </c>
      <c r="K751" s="109">
        <f>I751*J751</f>
        <v>137.5</v>
      </c>
      <c r="L751" s="287"/>
      <c r="M751" s="288"/>
      <c r="N751" s="111"/>
    </row>
    <row r="752" s="245" customFormat="1" ht="20.25" spans="1:14">
      <c r="A752" s="284">
        <v>45971</v>
      </c>
      <c r="B752" s="105">
        <v>27</v>
      </c>
      <c r="C752" s="285">
        <v>45971</v>
      </c>
      <c r="D752" s="108"/>
      <c r="E752" s="108"/>
      <c r="F752" s="245" t="s">
        <v>984</v>
      </c>
      <c r="G752" s="108">
        <v>1</v>
      </c>
      <c r="H752" s="108">
        <f>SUM(H746:H751)</f>
        <v>58</v>
      </c>
      <c r="I752" s="290">
        <f t="shared" si="97"/>
        <v>58</v>
      </c>
      <c r="J752" s="109">
        <v>2</v>
      </c>
      <c r="K752" s="109">
        <f>I752*J752</f>
        <v>116</v>
      </c>
      <c r="L752" s="287"/>
      <c r="M752" s="288"/>
      <c r="N752" s="111"/>
    </row>
    <row r="753" s="245" customFormat="1" ht="20.25" spans="1:14">
      <c r="A753" s="284">
        <v>45971</v>
      </c>
      <c r="B753" s="105">
        <v>27</v>
      </c>
      <c r="C753" s="285">
        <v>45971</v>
      </c>
      <c r="D753" s="108"/>
      <c r="E753" s="108"/>
      <c r="F753" s="245" t="s">
        <v>820</v>
      </c>
      <c r="G753" s="108">
        <v>3</v>
      </c>
      <c r="H753" s="108">
        <v>1</v>
      </c>
      <c r="I753" s="290">
        <f t="shared" si="97"/>
        <v>3</v>
      </c>
      <c r="J753" s="109">
        <v>12.5</v>
      </c>
      <c r="K753" s="109">
        <f>I753*J753</f>
        <v>37.5</v>
      </c>
      <c r="L753" s="287">
        <f>SUM(K746:K753)</f>
        <v>465</v>
      </c>
      <c r="M753" s="288"/>
      <c r="N753" s="111"/>
    </row>
    <row r="754" s="2" customFormat="1" ht="20.25" spans="1:14">
      <c r="A754" s="126">
        <v>45983</v>
      </c>
      <c r="B754" s="127">
        <v>64</v>
      </c>
      <c r="C754" s="126">
        <v>45983</v>
      </c>
      <c r="D754" s="126"/>
      <c r="E754" s="126"/>
      <c r="F754" s="131" t="s">
        <v>1012</v>
      </c>
      <c r="G754" s="134">
        <v>1</v>
      </c>
      <c r="H754" s="134">
        <v>140</v>
      </c>
      <c r="I754" s="136">
        <f t="shared" si="97"/>
        <v>140</v>
      </c>
      <c r="J754" s="135">
        <v>10.8</v>
      </c>
      <c r="K754" s="135"/>
      <c r="L754" s="131"/>
      <c r="M754" s="131"/>
      <c r="N754" s="132"/>
    </row>
    <row r="755" s="2" customFormat="1" ht="20.25" spans="1:14">
      <c r="A755" s="126">
        <v>45983</v>
      </c>
      <c r="B755" s="127">
        <v>64</v>
      </c>
      <c r="C755" s="126">
        <v>45983</v>
      </c>
      <c r="D755" s="126"/>
      <c r="E755" s="126"/>
      <c r="F755" s="131" t="s">
        <v>936</v>
      </c>
      <c r="G755" s="134">
        <v>1</v>
      </c>
      <c r="H755" s="134">
        <v>130</v>
      </c>
      <c r="I755" s="136">
        <f t="shared" si="97"/>
        <v>130</v>
      </c>
      <c r="J755" s="135">
        <v>7.6</v>
      </c>
      <c r="K755" s="135"/>
      <c r="L755" s="131"/>
      <c r="M755" s="131"/>
      <c r="N755" s="132"/>
    </row>
    <row r="756" s="2" customFormat="1" ht="20.25" spans="1:14">
      <c r="A756" s="126">
        <v>45983</v>
      </c>
      <c r="B756" s="127">
        <v>64</v>
      </c>
      <c r="C756" s="126">
        <v>45983</v>
      </c>
      <c r="D756" s="126"/>
      <c r="E756" s="126"/>
      <c r="F756" s="131" t="s">
        <v>120</v>
      </c>
      <c r="G756" s="134">
        <v>1</v>
      </c>
      <c r="H756" s="134">
        <v>13</v>
      </c>
      <c r="I756" s="136">
        <f t="shared" si="97"/>
        <v>13</v>
      </c>
      <c r="J756" s="135">
        <v>17</v>
      </c>
      <c r="K756" s="135">
        <f>I756*J756</f>
        <v>221</v>
      </c>
      <c r="L756" s="131"/>
      <c r="M756" s="131"/>
      <c r="N756" s="132"/>
    </row>
    <row r="757" s="2" customFormat="1" ht="20.25" spans="1:14">
      <c r="A757" s="126">
        <v>45983</v>
      </c>
      <c r="B757" s="127">
        <v>64</v>
      </c>
      <c r="C757" s="126">
        <v>45983</v>
      </c>
      <c r="D757" s="126"/>
      <c r="E757" s="126"/>
      <c r="F757" s="131" t="s">
        <v>310</v>
      </c>
      <c r="G757" s="134">
        <v>1</v>
      </c>
      <c r="H757" s="134">
        <v>21</v>
      </c>
      <c r="I757" s="136">
        <f t="shared" si="97"/>
        <v>21</v>
      </c>
      <c r="J757" s="135">
        <v>0.6</v>
      </c>
      <c r="K757" s="135">
        <f t="shared" ref="K757:K763" si="98">I757*J757</f>
        <v>12.6</v>
      </c>
      <c r="L757" s="131"/>
      <c r="M757" s="131"/>
      <c r="N757" s="132"/>
    </row>
    <row r="758" s="2" customFormat="1" ht="20.25" spans="1:14">
      <c r="A758" s="126">
        <v>45983</v>
      </c>
      <c r="B758" s="127">
        <v>64</v>
      </c>
      <c r="C758" s="126">
        <v>45983</v>
      </c>
      <c r="D758" s="126"/>
      <c r="E758" s="126"/>
      <c r="F758" s="131" t="s">
        <v>311</v>
      </c>
      <c r="G758" s="134">
        <v>1</v>
      </c>
      <c r="H758" s="134">
        <v>180</v>
      </c>
      <c r="I758" s="136">
        <f t="shared" si="97"/>
        <v>180</v>
      </c>
      <c r="J758" s="135">
        <v>6.2</v>
      </c>
      <c r="K758" s="135">
        <f t="shared" si="98"/>
        <v>1116</v>
      </c>
      <c r="L758" s="131"/>
      <c r="M758" s="131"/>
      <c r="N758" s="132"/>
    </row>
    <row r="759" s="2" customFormat="1" ht="20.25" spans="1:14">
      <c r="A759" s="126">
        <v>45983</v>
      </c>
      <c r="B759" s="127">
        <v>64</v>
      </c>
      <c r="C759" s="126">
        <v>45983</v>
      </c>
      <c r="D759" s="126"/>
      <c r="E759" s="126"/>
      <c r="F759" s="131" t="s">
        <v>312</v>
      </c>
      <c r="G759" s="134">
        <v>1</v>
      </c>
      <c r="H759" s="134">
        <v>168</v>
      </c>
      <c r="I759" s="136">
        <f t="shared" si="97"/>
        <v>168</v>
      </c>
      <c r="J759" s="135">
        <v>3</v>
      </c>
      <c r="K759" s="135">
        <f t="shared" si="98"/>
        <v>504</v>
      </c>
      <c r="L759" s="131" t="s">
        <v>1013</v>
      </c>
      <c r="M759" s="131"/>
      <c r="N759" s="132"/>
    </row>
    <row r="760" s="2" customFormat="1" ht="20.25" spans="1:14">
      <c r="A760" s="126">
        <v>45983</v>
      </c>
      <c r="B760" s="127">
        <v>64</v>
      </c>
      <c r="C760" s="126">
        <v>45983</v>
      </c>
      <c r="D760" s="126"/>
      <c r="E760" s="126"/>
      <c r="F760" s="131" t="s">
        <v>782</v>
      </c>
      <c r="G760" s="134">
        <v>1</v>
      </c>
      <c r="H760" s="134">
        <v>75</v>
      </c>
      <c r="I760" s="136">
        <f t="shared" si="97"/>
        <v>75</v>
      </c>
      <c r="J760" s="135">
        <v>18.5</v>
      </c>
      <c r="K760" s="135"/>
      <c r="L760" s="131"/>
      <c r="M760" s="131"/>
      <c r="N760" s="132"/>
    </row>
    <row r="761" s="2" customFormat="1" ht="20.25" spans="1:14">
      <c r="A761" s="126">
        <v>45983</v>
      </c>
      <c r="B761" s="127">
        <v>64</v>
      </c>
      <c r="C761" s="126">
        <v>45983</v>
      </c>
      <c r="D761" s="126"/>
      <c r="E761" s="126"/>
      <c r="F761" s="131" t="s">
        <v>309</v>
      </c>
      <c r="G761" s="134">
        <v>1</v>
      </c>
      <c r="H761" s="134">
        <v>3</v>
      </c>
      <c r="I761" s="136">
        <f t="shared" si="97"/>
        <v>3</v>
      </c>
      <c r="J761" s="135">
        <v>13</v>
      </c>
      <c r="K761" s="135">
        <f t="shared" si="98"/>
        <v>39</v>
      </c>
      <c r="L761" s="131" t="s">
        <v>783</v>
      </c>
      <c r="M761" s="131"/>
      <c r="N761" s="132"/>
    </row>
    <row r="762" s="2" customFormat="1" ht="20.25" spans="1:14">
      <c r="A762" s="126">
        <v>45983</v>
      </c>
      <c r="B762" s="127">
        <v>64</v>
      </c>
      <c r="C762" s="126">
        <v>45983</v>
      </c>
      <c r="D762" s="126"/>
      <c r="E762" s="126"/>
      <c r="F762" s="131" t="s">
        <v>342</v>
      </c>
      <c r="G762" s="134">
        <v>1</v>
      </c>
      <c r="H762" s="134">
        <f>SUM(H754:H761)</f>
        <v>730</v>
      </c>
      <c r="I762" s="136">
        <f t="shared" si="97"/>
        <v>730</v>
      </c>
      <c r="J762" s="135">
        <v>2</v>
      </c>
      <c r="K762" s="135">
        <f t="shared" si="98"/>
        <v>1460</v>
      </c>
      <c r="L762" s="131" t="s">
        <v>343</v>
      </c>
      <c r="M762" s="131" t="s">
        <v>344</v>
      </c>
      <c r="N762" s="132"/>
    </row>
    <row r="763" s="2" customFormat="1" ht="20.25" spans="1:14">
      <c r="A763" s="126">
        <v>45983</v>
      </c>
      <c r="B763" s="127">
        <v>64</v>
      </c>
      <c r="C763" s="126">
        <v>45983</v>
      </c>
      <c r="D763" s="126"/>
      <c r="E763" s="126"/>
      <c r="F763" s="131" t="s">
        <v>316</v>
      </c>
      <c r="G763" s="134">
        <v>40</v>
      </c>
      <c r="H763" s="134">
        <v>1</v>
      </c>
      <c r="I763" s="136">
        <f t="shared" si="97"/>
        <v>40</v>
      </c>
      <c r="J763" s="135">
        <v>12.5</v>
      </c>
      <c r="K763" s="135">
        <f t="shared" si="98"/>
        <v>500</v>
      </c>
      <c r="L763" s="131">
        <f>SUM(K754:K763)</f>
        <v>3852.6</v>
      </c>
      <c r="M763" s="131"/>
      <c r="N763" s="132"/>
    </row>
    <row r="764" s="1" customFormat="1" ht="20.25" spans="1:14">
      <c r="A764" s="285">
        <v>45985</v>
      </c>
      <c r="B764" s="105">
        <v>70</v>
      </c>
      <c r="C764" s="285">
        <v>45985</v>
      </c>
      <c r="D764" s="108"/>
      <c r="E764" s="108"/>
      <c r="F764" s="324" t="s">
        <v>996</v>
      </c>
      <c r="G764" s="107">
        <v>1</v>
      </c>
      <c r="H764" s="107">
        <v>126</v>
      </c>
      <c r="I764" s="108">
        <f t="shared" si="97"/>
        <v>126</v>
      </c>
      <c r="J764" s="109">
        <v>10.8</v>
      </c>
      <c r="K764" s="109"/>
      <c r="L764" s="110"/>
      <c r="M764" s="110"/>
      <c r="N764" s="111"/>
    </row>
    <row r="765" s="1" customFormat="1" ht="20.25" spans="1:14">
      <c r="A765" s="285">
        <v>45985</v>
      </c>
      <c r="B765" s="105">
        <v>70</v>
      </c>
      <c r="C765" s="285">
        <v>45985</v>
      </c>
      <c r="D765" s="108"/>
      <c r="E765" s="108"/>
      <c r="F765" s="324" t="s">
        <v>735</v>
      </c>
      <c r="G765" s="107">
        <v>1</v>
      </c>
      <c r="H765" s="107">
        <v>36</v>
      </c>
      <c r="I765" s="108">
        <f t="shared" si="97"/>
        <v>36</v>
      </c>
      <c r="J765" s="109">
        <v>13.2</v>
      </c>
      <c r="K765" s="109"/>
      <c r="L765" s="110"/>
      <c r="M765" s="110"/>
      <c r="N765" s="111"/>
    </row>
    <row r="766" s="1" customFormat="1" ht="20.25" spans="1:14">
      <c r="A766" s="285">
        <v>45985</v>
      </c>
      <c r="B766" s="105">
        <v>70</v>
      </c>
      <c r="C766" s="285">
        <v>45985</v>
      </c>
      <c r="D766" s="108"/>
      <c r="E766" s="108"/>
      <c r="F766" s="110" t="s">
        <v>936</v>
      </c>
      <c r="G766" s="107">
        <v>1</v>
      </c>
      <c r="H766" s="107">
        <v>114</v>
      </c>
      <c r="I766" s="108">
        <f t="shared" ref="I766:I779" si="99">G766*H766</f>
        <v>114</v>
      </c>
      <c r="J766" s="109">
        <v>7.6</v>
      </c>
      <c r="K766" s="109"/>
      <c r="L766" s="110"/>
      <c r="M766" s="110"/>
      <c r="N766" s="111"/>
    </row>
    <row r="767" s="245" customFormat="1" ht="20.25" spans="1:14">
      <c r="A767" s="285">
        <v>45985</v>
      </c>
      <c r="B767" s="105">
        <v>70</v>
      </c>
      <c r="C767" s="285">
        <v>45985</v>
      </c>
      <c r="D767" s="108"/>
      <c r="E767" s="108"/>
      <c r="F767" s="245" t="s">
        <v>997</v>
      </c>
      <c r="G767" s="107">
        <v>1</v>
      </c>
      <c r="H767" s="108">
        <v>20</v>
      </c>
      <c r="I767" s="108">
        <f t="shared" si="99"/>
        <v>20</v>
      </c>
      <c r="J767" s="109"/>
      <c r="K767" s="109"/>
      <c r="L767" s="307"/>
      <c r="M767" s="288"/>
      <c r="N767" s="111"/>
    </row>
    <row r="768" s="245" customFormat="1" ht="20.25" spans="1:14">
      <c r="A768" s="285">
        <v>45985</v>
      </c>
      <c r="B768" s="105">
        <v>70</v>
      </c>
      <c r="C768" s="285">
        <v>45985</v>
      </c>
      <c r="D768" s="108"/>
      <c r="E768" s="108"/>
      <c r="F768" s="245" t="s">
        <v>323</v>
      </c>
      <c r="G768" s="107">
        <v>1</v>
      </c>
      <c r="H768" s="108">
        <v>40</v>
      </c>
      <c r="I768" s="108">
        <f t="shared" si="99"/>
        <v>40</v>
      </c>
      <c r="J768" s="109">
        <v>15</v>
      </c>
      <c r="K768" s="109">
        <f t="shared" ref="K765:K785" si="100">I768*J768</f>
        <v>600</v>
      </c>
      <c r="L768" s="307"/>
      <c r="M768" s="288"/>
      <c r="N768" s="111"/>
    </row>
    <row r="769" s="245" customFormat="1" ht="20.25" spans="1:14">
      <c r="A769" s="285">
        <v>45985</v>
      </c>
      <c r="B769" s="105">
        <v>70</v>
      </c>
      <c r="C769" s="285">
        <v>45985</v>
      </c>
      <c r="D769" s="108"/>
      <c r="E769" s="108"/>
      <c r="F769" s="245" t="s">
        <v>694</v>
      </c>
      <c r="G769" s="107">
        <v>1</v>
      </c>
      <c r="H769" s="108">
        <v>24</v>
      </c>
      <c r="I769" s="108">
        <f t="shared" si="99"/>
        <v>24</v>
      </c>
      <c r="J769" s="109">
        <v>0.6</v>
      </c>
      <c r="K769" s="109">
        <f t="shared" si="100"/>
        <v>14.4</v>
      </c>
      <c r="L769" s="307"/>
      <c r="M769" s="288"/>
      <c r="N769" s="111"/>
    </row>
    <row r="770" s="245" customFormat="1" ht="20.25" spans="1:14">
      <c r="A770" s="285">
        <v>45985</v>
      </c>
      <c r="B770" s="105">
        <v>70</v>
      </c>
      <c r="C770" s="285">
        <v>45985</v>
      </c>
      <c r="D770" s="108"/>
      <c r="E770" s="108"/>
      <c r="F770" s="245" t="s">
        <v>120</v>
      </c>
      <c r="G770" s="107">
        <v>1</v>
      </c>
      <c r="H770" s="108">
        <v>14.5</v>
      </c>
      <c r="I770" s="108">
        <f t="shared" si="99"/>
        <v>14.5</v>
      </c>
      <c r="J770" s="109">
        <v>17</v>
      </c>
      <c r="K770" s="109">
        <f t="shared" si="100"/>
        <v>246.5</v>
      </c>
      <c r="L770" s="307" t="s">
        <v>937</v>
      </c>
      <c r="M770" s="288"/>
      <c r="N770" s="111"/>
    </row>
    <row r="771" s="245" customFormat="1" ht="20.25" spans="1:14">
      <c r="A771" s="285">
        <v>45985</v>
      </c>
      <c r="B771" s="105">
        <v>70</v>
      </c>
      <c r="C771" s="285">
        <v>45985</v>
      </c>
      <c r="D771" s="108"/>
      <c r="E771" s="108"/>
      <c r="F771" s="245" t="s">
        <v>122</v>
      </c>
      <c r="G771" s="108">
        <v>1</v>
      </c>
      <c r="H771" s="108">
        <v>217</v>
      </c>
      <c r="I771" s="108">
        <f t="shared" si="99"/>
        <v>217</v>
      </c>
      <c r="J771" s="109">
        <v>6.2</v>
      </c>
      <c r="K771" s="109">
        <f t="shared" si="100"/>
        <v>1345.4</v>
      </c>
      <c r="L771" s="307"/>
      <c r="M771" s="288"/>
      <c r="N771" s="111"/>
    </row>
    <row r="772" s="245" customFormat="1" ht="20.25" spans="1:14">
      <c r="A772" s="285">
        <v>45985</v>
      </c>
      <c r="B772" s="105">
        <v>70</v>
      </c>
      <c r="C772" s="285">
        <v>45985</v>
      </c>
      <c r="D772" s="108"/>
      <c r="E772" s="108"/>
      <c r="F772" s="245" t="s">
        <v>123</v>
      </c>
      <c r="G772" s="108">
        <v>1</v>
      </c>
      <c r="H772" s="108">
        <v>174</v>
      </c>
      <c r="I772" s="108">
        <f t="shared" si="99"/>
        <v>174</v>
      </c>
      <c r="J772" s="109">
        <v>3</v>
      </c>
      <c r="K772" s="109">
        <f t="shared" si="100"/>
        <v>522</v>
      </c>
      <c r="L772" s="307" t="s">
        <v>1014</v>
      </c>
      <c r="M772" s="288"/>
      <c r="N772" s="111"/>
    </row>
    <row r="773" s="245" customFormat="1" ht="20.25" spans="1:14">
      <c r="A773" s="285">
        <v>45985</v>
      </c>
      <c r="B773" s="105">
        <v>70</v>
      </c>
      <c r="C773" s="285">
        <v>45985</v>
      </c>
      <c r="D773" s="108"/>
      <c r="E773" s="108"/>
      <c r="F773" s="245" t="s">
        <v>969</v>
      </c>
      <c r="G773" s="108">
        <v>1</v>
      </c>
      <c r="H773" s="108">
        <v>38</v>
      </c>
      <c r="I773" s="108">
        <f t="shared" si="99"/>
        <v>38</v>
      </c>
      <c r="J773" s="109">
        <v>12.1</v>
      </c>
      <c r="K773" s="109">
        <f t="shared" si="100"/>
        <v>459.8</v>
      </c>
      <c r="L773" s="307" t="s">
        <v>1015</v>
      </c>
      <c r="M773" s="288"/>
      <c r="N773" s="111"/>
    </row>
    <row r="774" s="245" customFormat="1" ht="20.25" spans="1:14">
      <c r="A774" s="285">
        <v>45985</v>
      </c>
      <c r="B774" s="105">
        <v>70</v>
      </c>
      <c r="C774" s="285">
        <v>45985</v>
      </c>
      <c r="D774" s="108"/>
      <c r="E774" s="108"/>
      <c r="F774" s="245" t="s">
        <v>570</v>
      </c>
      <c r="G774" s="108">
        <v>1</v>
      </c>
      <c r="H774" s="108">
        <v>5</v>
      </c>
      <c r="I774" s="108">
        <f t="shared" si="99"/>
        <v>5</v>
      </c>
      <c r="J774" s="109">
        <v>25</v>
      </c>
      <c r="K774" s="109">
        <f t="shared" si="100"/>
        <v>125</v>
      </c>
      <c r="L774" s="314" t="s">
        <v>1016</v>
      </c>
      <c r="M774" s="288"/>
      <c r="N774" s="111"/>
    </row>
    <row r="775" s="245" customFormat="1" ht="20.25" spans="1:14">
      <c r="A775" s="285">
        <v>45985</v>
      </c>
      <c r="B775" s="105">
        <v>70</v>
      </c>
      <c r="C775" s="285">
        <v>45985</v>
      </c>
      <c r="D775" s="108"/>
      <c r="E775" s="108"/>
      <c r="F775" s="245" t="s">
        <v>787</v>
      </c>
      <c r="G775" s="108">
        <v>1</v>
      </c>
      <c r="H775" s="108">
        <v>0.5</v>
      </c>
      <c r="I775" s="108">
        <f t="shared" si="99"/>
        <v>0.5</v>
      </c>
      <c r="J775" s="109">
        <v>38</v>
      </c>
      <c r="K775" s="109">
        <f t="shared" si="100"/>
        <v>19</v>
      </c>
      <c r="L775" s="314" t="s">
        <v>1017</v>
      </c>
      <c r="M775" s="288"/>
      <c r="N775" s="111"/>
    </row>
    <row r="776" s="245" customFormat="1" ht="20.25" spans="1:14">
      <c r="A776" s="285">
        <v>45985</v>
      </c>
      <c r="B776" s="105">
        <v>70</v>
      </c>
      <c r="C776" s="285">
        <v>45985</v>
      </c>
      <c r="D776" s="108"/>
      <c r="E776" s="108"/>
      <c r="F776" s="245" t="s">
        <v>351</v>
      </c>
      <c r="G776" s="108">
        <v>1</v>
      </c>
      <c r="H776" s="108">
        <v>3.5</v>
      </c>
      <c r="I776" s="108">
        <f t="shared" si="99"/>
        <v>3.5</v>
      </c>
      <c r="J776" s="109">
        <v>25</v>
      </c>
      <c r="K776" s="109">
        <f t="shared" si="100"/>
        <v>87.5</v>
      </c>
      <c r="L776" s="314"/>
      <c r="M776" s="289"/>
      <c r="N776" s="111"/>
    </row>
    <row r="777" s="245" customFormat="1" ht="20.25" spans="1:14">
      <c r="A777" s="285">
        <v>45985</v>
      </c>
      <c r="B777" s="105">
        <v>70</v>
      </c>
      <c r="C777" s="285">
        <v>45985</v>
      </c>
      <c r="D777" s="108"/>
      <c r="E777" s="108"/>
      <c r="F777" s="245" t="s">
        <v>125</v>
      </c>
      <c r="G777" s="108">
        <v>1</v>
      </c>
      <c r="H777" s="108">
        <v>3</v>
      </c>
      <c r="I777" s="108">
        <f t="shared" ref="I777:I806" si="101">G777*H777</f>
        <v>3</v>
      </c>
      <c r="J777" s="109">
        <v>25</v>
      </c>
      <c r="K777" s="109">
        <f t="shared" si="100"/>
        <v>75</v>
      </c>
      <c r="L777" s="314"/>
      <c r="M777" s="289"/>
      <c r="N777" s="111"/>
    </row>
    <row r="778" s="245" customFormat="1" ht="20.25" spans="1:14">
      <c r="A778" s="285">
        <v>45985</v>
      </c>
      <c r="B778" s="105">
        <v>70</v>
      </c>
      <c r="C778" s="285">
        <v>45985</v>
      </c>
      <c r="D778" s="108"/>
      <c r="E778" s="108"/>
      <c r="F778" s="245" t="s">
        <v>385</v>
      </c>
      <c r="G778" s="108">
        <v>1</v>
      </c>
      <c r="H778" s="108">
        <v>3.5</v>
      </c>
      <c r="I778" s="108">
        <f t="shared" si="101"/>
        <v>3.5</v>
      </c>
      <c r="J778" s="109">
        <v>40</v>
      </c>
      <c r="K778" s="109">
        <f t="shared" si="100"/>
        <v>140</v>
      </c>
      <c r="L778" s="314"/>
      <c r="M778" s="289" t="s">
        <v>1018</v>
      </c>
      <c r="N778" s="111"/>
    </row>
    <row r="779" s="245" customFormat="1" ht="20.25" spans="1:14">
      <c r="A779" s="285">
        <v>45985</v>
      </c>
      <c r="B779" s="105">
        <v>70</v>
      </c>
      <c r="C779" s="285">
        <v>45985</v>
      </c>
      <c r="D779" s="108"/>
      <c r="E779" s="108"/>
      <c r="F779" s="247" t="s">
        <v>1019</v>
      </c>
      <c r="G779" s="108">
        <v>1</v>
      </c>
      <c r="H779" s="274">
        <f>SUM(H764:H778)</f>
        <v>819</v>
      </c>
      <c r="I779" s="108">
        <f t="shared" si="101"/>
        <v>819</v>
      </c>
      <c r="J779" s="109">
        <v>2</v>
      </c>
      <c r="K779" s="109">
        <f t="shared" si="100"/>
        <v>1638</v>
      </c>
      <c r="L779" s="307" t="s">
        <v>1020</v>
      </c>
      <c r="M779" s="13" t="s">
        <v>1002</v>
      </c>
      <c r="N779" s="111"/>
    </row>
    <row r="780" s="245" customFormat="1" ht="20.25" spans="1:14">
      <c r="A780" s="285">
        <v>45985</v>
      </c>
      <c r="B780" s="105">
        <v>70</v>
      </c>
      <c r="C780" s="285">
        <v>45985</v>
      </c>
      <c r="D780" s="108"/>
      <c r="E780" s="108"/>
      <c r="F780" s="245" t="s">
        <v>316</v>
      </c>
      <c r="G780" s="108">
        <v>40</v>
      </c>
      <c r="H780" s="108">
        <v>1</v>
      </c>
      <c r="I780" s="108">
        <f t="shared" si="101"/>
        <v>40</v>
      </c>
      <c r="J780" s="109">
        <v>12.5</v>
      </c>
      <c r="K780" s="109">
        <f t="shared" si="100"/>
        <v>500</v>
      </c>
      <c r="L780" s="312">
        <f>SUM(K764:K780)</f>
        <v>5772.6</v>
      </c>
      <c r="M780" s="288"/>
      <c r="N780" s="111"/>
    </row>
    <row r="781" s="2" customFormat="1" ht="20.25" spans="1:14">
      <c r="A781" s="126">
        <v>45985</v>
      </c>
      <c r="B781" s="127">
        <v>71</v>
      </c>
      <c r="C781" s="126">
        <v>45985</v>
      </c>
      <c r="D781" s="126"/>
      <c r="E781" s="126"/>
      <c r="F781" s="131" t="s">
        <v>308</v>
      </c>
      <c r="G781" s="134">
        <v>1</v>
      </c>
      <c r="H781" s="134">
        <v>163</v>
      </c>
      <c r="I781" s="136">
        <f t="shared" si="101"/>
        <v>163</v>
      </c>
      <c r="J781" s="135"/>
      <c r="K781" s="135"/>
      <c r="L781" s="131"/>
      <c r="M781" s="131"/>
      <c r="N781" s="132"/>
    </row>
    <row r="782" s="2" customFormat="1" ht="20.25" spans="1:14">
      <c r="A782" s="126">
        <v>45985</v>
      </c>
      <c r="B782" s="127">
        <v>71</v>
      </c>
      <c r="C782" s="126">
        <v>45985</v>
      </c>
      <c r="D782" s="126"/>
      <c r="E782" s="126"/>
      <c r="F782" s="131" t="s">
        <v>936</v>
      </c>
      <c r="G782" s="134">
        <v>1</v>
      </c>
      <c r="H782" s="134">
        <v>68</v>
      </c>
      <c r="I782" s="136">
        <f t="shared" si="101"/>
        <v>68</v>
      </c>
      <c r="J782" s="135"/>
      <c r="K782" s="135"/>
      <c r="L782" s="131"/>
      <c r="M782" s="131"/>
      <c r="N782" s="132"/>
    </row>
    <row r="783" s="2" customFormat="1" ht="20.25" spans="1:14">
      <c r="A783" s="126">
        <v>45985</v>
      </c>
      <c r="B783" s="127">
        <v>71</v>
      </c>
      <c r="C783" s="126">
        <v>45985</v>
      </c>
      <c r="D783" s="126"/>
      <c r="E783" s="126"/>
      <c r="F783" s="131" t="s">
        <v>434</v>
      </c>
      <c r="G783" s="134">
        <v>1</v>
      </c>
      <c r="H783" s="134">
        <v>21</v>
      </c>
      <c r="I783" s="136">
        <f t="shared" si="101"/>
        <v>21</v>
      </c>
      <c r="J783" s="135">
        <v>6.1</v>
      </c>
      <c r="K783" s="135">
        <f t="shared" si="100"/>
        <v>128.1</v>
      </c>
      <c r="L783" s="131"/>
      <c r="M783" s="131"/>
      <c r="N783" s="132"/>
    </row>
    <row r="784" s="2" customFormat="1" ht="20.25" spans="1:14">
      <c r="A784" s="126">
        <v>45985</v>
      </c>
      <c r="B784" s="127">
        <v>71</v>
      </c>
      <c r="C784" s="126">
        <v>45985</v>
      </c>
      <c r="D784" s="126"/>
      <c r="E784" s="126"/>
      <c r="F784" s="131" t="s">
        <v>122</v>
      </c>
      <c r="G784" s="134">
        <v>1</v>
      </c>
      <c r="H784" s="134">
        <v>8</v>
      </c>
      <c r="I784" s="136">
        <f t="shared" si="101"/>
        <v>8</v>
      </c>
      <c r="J784" s="135">
        <v>6.2</v>
      </c>
      <c r="K784" s="135">
        <f t="shared" ref="K784:K794" si="102">I784*J784</f>
        <v>49.6</v>
      </c>
      <c r="L784" s="131"/>
      <c r="M784" s="131"/>
      <c r="N784" s="132"/>
    </row>
    <row r="785" s="2" customFormat="1" ht="20.25" spans="1:14">
      <c r="A785" s="126">
        <v>45985</v>
      </c>
      <c r="B785" s="127">
        <v>71</v>
      </c>
      <c r="C785" s="126">
        <v>45985</v>
      </c>
      <c r="D785" s="126"/>
      <c r="E785" s="126"/>
      <c r="F785" s="131" t="s">
        <v>1021</v>
      </c>
      <c r="G785" s="134">
        <v>1</v>
      </c>
      <c r="H785" s="134">
        <v>0.3</v>
      </c>
      <c r="I785" s="136">
        <f t="shared" si="101"/>
        <v>0.3</v>
      </c>
      <c r="J785" s="135">
        <v>55</v>
      </c>
      <c r="K785" s="135">
        <f t="shared" si="102"/>
        <v>16.5</v>
      </c>
      <c r="L785" s="131"/>
      <c r="M785" s="131"/>
      <c r="N785" s="132"/>
    </row>
    <row r="786" s="243" customFormat="1" ht="20.25" spans="1:14">
      <c r="A786" s="126">
        <v>45985</v>
      </c>
      <c r="B786" s="127">
        <v>71</v>
      </c>
      <c r="C786" s="126">
        <v>45985</v>
      </c>
      <c r="D786" s="126"/>
      <c r="E786" s="126"/>
      <c r="F786" s="243" t="s">
        <v>1022</v>
      </c>
      <c r="G786" s="136">
        <v>1</v>
      </c>
      <c r="H786" s="136">
        <v>0.3</v>
      </c>
      <c r="I786" s="136">
        <f t="shared" si="101"/>
        <v>0.3</v>
      </c>
      <c r="J786" s="135">
        <v>60</v>
      </c>
      <c r="K786" s="135">
        <f t="shared" si="102"/>
        <v>18</v>
      </c>
      <c r="L786" s="312"/>
      <c r="M786" s="278"/>
      <c r="N786" s="132"/>
    </row>
    <row r="787" s="243" customFormat="1" ht="20.25" spans="1:14">
      <c r="A787" s="126">
        <v>45985</v>
      </c>
      <c r="B787" s="127">
        <v>71</v>
      </c>
      <c r="C787" s="126">
        <v>45985</v>
      </c>
      <c r="D787" s="126"/>
      <c r="E787" s="126"/>
      <c r="F787" s="243" t="s">
        <v>1023</v>
      </c>
      <c r="G787" s="136">
        <v>1</v>
      </c>
      <c r="H787" s="136">
        <f>SUM(H781:H786)</f>
        <v>260.6</v>
      </c>
      <c r="I787" s="136">
        <f t="shared" si="101"/>
        <v>260.6</v>
      </c>
      <c r="J787" s="135">
        <v>2</v>
      </c>
      <c r="K787" s="135">
        <f t="shared" si="102"/>
        <v>521.2</v>
      </c>
      <c r="L787" s="312"/>
      <c r="M787" s="278"/>
      <c r="N787" s="132"/>
    </row>
    <row r="788" s="243" customFormat="1" ht="20.25" spans="1:14">
      <c r="A788" s="126">
        <v>45985</v>
      </c>
      <c r="B788" s="127">
        <v>71</v>
      </c>
      <c r="C788" s="126">
        <v>45985</v>
      </c>
      <c r="D788" s="126"/>
      <c r="E788" s="126"/>
      <c r="F788" s="243" t="s">
        <v>316</v>
      </c>
      <c r="G788" s="136">
        <v>13</v>
      </c>
      <c r="H788" s="136">
        <v>1</v>
      </c>
      <c r="I788" s="136">
        <f t="shared" si="101"/>
        <v>13</v>
      </c>
      <c r="J788" s="135">
        <v>12.5</v>
      </c>
      <c r="K788" s="135">
        <f t="shared" si="102"/>
        <v>162.5</v>
      </c>
      <c r="L788" s="312">
        <f>SUM(K781:K788)</f>
        <v>895.9</v>
      </c>
      <c r="M788" s="278"/>
      <c r="N788" s="132"/>
    </row>
    <row r="789" s="245" customFormat="1" ht="20.25" spans="1:14">
      <c r="A789" s="126">
        <v>45985</v>
      </c>
      <c r="B789" s="105">
        <v>72</v>
      </c>
      <c r="C789" s="51">
        <v>45985</v>
      </c>
      <c r="D789" s="51"/>
      <c r="E789" s="51"/>
      <c r="F789" s="245" t="s">
        <v>1024</v>
      </c>
      <c r="G789" s="108">
        <v>4</v>
      </c>
      <c r="H789" s="108">
        <v>13</v>
      </c>
      <c r="I789" s="108">
        <f t="shared" si="101"/>
        <v>52</v>
      </c>
      <c r="J789" s="109">
        <v>14.5</v>
      </c>
      <c r="K789" s="109">
        <f t="shared" si="102"/>
        <v>754</v>
      </c>
      <c r="L789" s="314" t="s">
        <v>1025</v>
      </c>
      <c r="M789" s="288"/>
      <c r="N789" s="111"/>
    </row>
    <row r="790" s="2" customFormat="1" ht="20.25" spans="1:14">
      <c r="A790" s="126">
        <v>45985</v>
      </c>
      <c r="B790" s="127">
        <v>72</v>
      </c>
      <c r="C790" s="126">
        <v>45985</v>
      </c>
      <c r="D790" s="126"/>
      <c r="E790" s="126"/>
      <c r="F790" s="131" t="s">
        <v>122</v>
      </c>
      <c r="G790" s="134">
        <v>1</v>
      </c>
      <c r="H790" s="134">
        <v>14</v>
      </c>
      <c r="I790" s="136">
        <f t="shared" si="101"/>
        <v>14</v>
      </c>
      <c r="J790" s="135">
        <v>6.2</v>
      </c>
      <c r="K790" s="135">
        <f t="shared" si="102"/>
        <v>86.8</v>
      </c>
      <c r="L790" s="131"/>
      <c r="M790" s="131"/>
      <c r="N790" s="132"/>
    </row>
    <row r="791" s="2" customFormat="1" ht="20.25" spans="1:14">
      <c r="A791" s="126">
        <v>45985</v>
      </c>
      <c r="B791" s="127">
        <v>72</v>
      </c>
      <c r="C791" s="126">
        <v>45985</v>
      </c>
      <c r="D791" s="126"/>
      <c r="E791" s="126"/>
      <c r="F791" s="131" t="s">
        <v>434</v>
      </c>
      <c r="G791" s="134">
        <v>1</v>
      </c>
      <c r="H791" s="134">
        <v>17</v>
      </c>
      <c r="I791" s="136">
        <f t="shared" si="101"/>
        <v>17</v>
      </c>
      <c r="J791" s="135">
        <v>6.1</v>
      </c>
      <c r="K791" s="135">
        <f t="shared" si="102"/>
        <v>103.7</v>
      </c>
      <c r="L791" s="131"/>
      <c r="M791" s="131"/>
      <c r="N791" s="132"/>
    </row>
    <row r="792" s="243" customFormat="1" ht="20.25" spans="1:14">
      <c r="A792" s="126">
        <v>45985</v>
      </c>
      <c r="B792" s="127">
        <v>72</v>
      </c>
      <c r="C792" s="126">
        <v>45985</v>
      </c>
      <c r="D792" s="126"/>
      <c r="E792" s="126"/>
      <c r="F792" s="243" t="s">
        <v>123</v>
      </c>
      <c r="G792" s="136">
        <v>1</v>
      </c>
      <c r="H792" s="136">
        <v>45</v>
      </c>
      <c r="I792" s="136">
        <f t="shared" si="101"/>
        <v>45</v>
      </c>
      <c r="J792" s="135">
        <v>3</v>
      </c>
      <c r="K792" s="135">
        <f t="shared" si="102"/>
        <v>135</v>
      </c>
      <c r="L792" s="312"/>
      <c r="M792" s="278"/>
      <c r="N792" s="132"/>
    </row>
    <row r="793" s="243" customFormat="1" ht="20.25" spans="1:14">
      <c r="A793" s="126">
        <v>45985</v>
      </c>
      <c r="B793" s="127">
        <v>72</v>
      </c>
      <c r="C793" s="126">
        <v>45985</v>
      </c>
      <c r="D793" s="126"/>
      <c r="E793" s="126"/>
      <c r="F793" s="243" t="s">
        <v>1026</v>
      </c>
      <c r="G793" s="136">
        <v>1</v>
      </c>
      <c r="H793" s="136">
        <f>SUM(H790:H792)</f>
        <v>76</v>
      </c>
      <c r="I793" s="136">
        <f t="shared" si="101"/>
        <v>76</v>
      </c>
      <c r="J793" s="135">
        <v>0.7</v>
      </c>
      <c r="K793" s="135">
        <f t="shared" si="102"/>
        <v>53.2</v>
      </c>
      <c r="L793" s="312"/>
      <c r="M793" s="278"/>
      <c r="N793" s="132"/>
    </row>
    <row r="794" s="243" customFormat="1" ht="20.25" spans="1:14">
      <c r="A794" s="126">
        <v>45985</v>
      </c>
      <c r="B794" s="127">
        <v>72</v>
      </c>
      <c r="C794" s="126">
        <v>45985</v>
      </c>
      <c r="D794" s="126"/>
      <c r="E794" s="126"/>
      <c r="F794" s="243" t="s">
        <v>316</v>
      </c>
      <c r="G794" s="136">
        <v>5</v>
      </c>
      <c r="H794" s="136">
        <v>1</v>
      </c>
      <c r="I794" s="136">
        <f t="shared" si="101"/>
        <v>5</v>
      </c>
      <c r="J794" s="135">
        <v>11.5</v>
      </c>
      <c r="K794" s="135">
        <f t="shared" si="102"/>
        <v>57.5</v>
      </c>
      <c r="L794" s="312">
        <f>SUM(K789:K794)</f>
        <v>1190.2</v>
      </c>
      <c r="M794" s="278"/>
      <c r="N794" s="132"/>
    </row>
    <row r="795" s="246" customFormat="1" ht="20.25" spans="1:14">
      <c r="A795" s="285">
        <v>45988</v>
      </c>
      <c r="B795" s="105">
        <v>83</v>
      </c>
      <c r="C795" s="285">
        <v>45988</v>
      </c>
      <c r="D795" s="285"/>
      <c r="E795" s="285"/>
      <c r="F795" s="245" t="s">
        <v>936</v>
      </c>
      <c r="G795" s="108">
        <v>1</v>
      </c>
      <c r="H795" s="108">
        <v>31</v>
      </c>
      <c r="I795" s="108">
        <f t="shared" si="101"/>
        <v>31</v>
      </c>
      <c r="J795" s="109">
        <v>7.6</v>
      </c>
      <c r="K795" s="109"/>
      <c r="L795" s="245"/>
      <c r="M795" s="288"/>
      <c r="N795" s="302"/>
    </row>
    <row r="796" s="246" customFormat="1" ht="20.25" spans="1:14">
      <c r="A796" s="285">
        <v>45988</v>
      </c>
      <c r="B796" s="105">
        <v>83</v>
      </c>
      <c r="C796" s="285">
        <v>45988</v>
      </c>
      <c r="D796" s="285"/>
      <c r="E796" s="285"/>
      <c r="F796" s="245" t="s">
        <v>735</v>
      </c>
      <c r="G796" s="108">
        <v>1</v>
      </c>
      <c r="H796" s="108">
        <v>47</v>
      </c>
      <c r="I796" s="108">
        <f t="shared" si="101"/>
        <v>47</v>
      </c>
      <c r="J796" s="109">
        <v>13.2</v>
      </c>
      <c r="K796" s="109"/>
      <c r="L796" s="245"/>
      <c r="M796" s="288"/>
      <c r="N796" s="302"/>
    </row>
    <row r="797" s="246" customFormat="1" ht="20.25" spans="1:14">
      <c r="A797" s="285">
        <v>45988</v>
      </c>
      <c r="B797" s="105">
        <v>83</v>
      </c>
      <c r="C797" s="285">
        <v>45988</v>
      </c>
      <c r="D797" s="285"/>
      <c r="E797" s="285"/>
      <c r="F797" s="245" t="s">
        <v>120</v>
      </c>
      <c r="G797" s="108">
        <v>1</v>
      </c>
      <c r="H797" s="108">
        <v>4</v>
      </c>
      <c r="I797" s="108">
        <f t="shared" si="101"/>
        <v>4</v>
      </c>
      <c r="J797" s="109">
        <v>17</v>
      </c>
      <c r="K797" s="109">
        <f>I797*J797</f>
        <v>68</v>
      </c>
      <c r="L797" s="245"/>
      <c r="M797" s="288"/>
      <c r="N797" s="302"/>
    </row>
    <row r="798" s="246" customFormat="1" ht="20.25" spans="1:14">
      <c r="A798" s="285">
        <v>45988</v>
      </c>
      <c r="B798" s="105">
        <v>83</v>
      </c>
      <c r="C798" s="285">
        <v>45988</v>
      </c>
      <c r="D798" s="285"/>
      <c r="E798" s="285"/>
      <c r="F798" s="245" t="s">
        <v>310</v>
      </c>
      <c r="G798" s="108">
        <v>1</v>
      </c>
      <c r="H798" s="108">
        <v>7</v>
      </c>
      <c r="I798" s="108">
        <f t="shared" si="101"/>
        <v>7</v>
      </c>
      <c r="J798" s="109">
        <v>0.6</v>
      </c>
      <c r="K798" s="109">
        <f t="shared" ref="K798:K805" si="103">I798*J798</f>
        <v>4.2</v>
      </c>
      <c r="L798" s="245" t="s">
        <v>937</v>
      </c>
      <c r="M798" s="245"/>
      <c r="N798" s="302"/>
    </row>
    <row r="799" s="246" customFormat="1" ht="20.25" spans="1:14">
      <c r="A799" s="285">
        <v>45988</v>
      </c>
      <c r="B799" s="105">
        <v>83</v>
      </c>
      <c r="C799" s="285">
        <v>45988</v>
      </c>
      <c r="D799" s="285"/>
      <c r="E799" s="285"/>
      <c r="F799" s="245" t="s">
        <v>122</v>
      </c>
      <c r="G799" s="108">
        <v>1</v>
      </c>
      <c r="H799" s="108">
        <v>58</v>
      </c>
      <c r="I799" s="108">
        <f t="shared" si="101"/>
        <v>58</v>
      </c>
      <c r="J799" s="109">
        <v>6.2</v>
      </c>
      <c r="K799" s="109">
        <f t="shared" si="103"/>
        <v>359.6</v>
      </c>
      <c r="L799" s="245"/>
      <c r="M799" s="245"/>
      <c r="N799" s="246" t="s">
        <v>321</v>
      </c>
    </row>
    <row r="800" s="246" customFormat="1" ht="20.25" spans="1:14">
      <c r="A800" s="285">
        <v>45988</v>
      </c>
      <c r="B800" s="105">
        <v>83</v>
      </c>
      <c r="C800" s="285">
        <v>45988</v>
      </c>
      <c r="D800" s="285"/>
      <c r="E800" s="285"/>
      <c r="F800" s="245" t="s">
        <v>123</v>
      </c>
      <c r="G800" s="108">
        <v>1</v>
      </c>
      <c r="H800" s="108">
        <v>50</v>
      </c>
      <c r="I800" s="108">
        <f t="shared" si="101"/>
        <v>50</v>
      </c>
      <c r="J800" s="109">
        <v>3</v>
      </c>
      <c r="K800" s="109">
        <f t="shared" si="103"/>
        <v>150</v>
      </c>
      <c r="L800" s="306" t="s">
        <v>938</v>
      </c>
      <c r="M800" s="245"/>
      <c r="N800" s="301"/>
    </row>
    <row r="801" s="246" customFormat="1" ht="20.25" spans="1:15">
      <c r="A801" s="285">
        <v>45988</v>
      </c>
      <c r="B801" s="105">
        <v>83</v>
      </c>
      <c r="C801" s="285">
        <v>45988</v>
      </c>
      <c r="D801" s="285"/>
      <c r="E801" s="285"/>
      <c r="F801" s="245" t="s">
        <v>417</v>
      </c>
      <c r="G801" s="108">
        <v>1</v>
      </c>
      <c r="H801" s="108">
        <v>25</v>
      </c>
      <c r="I801" s="108">
        <f t="shared" si="101"/>
        <v>25</v>
      </c>
      <c r="J801" s="109">
        <v>13</v>
      </c>
      <c r="K801" s="109">
        <f t="shared" si="103"/>
        <v>325</v>
      </c>
      <c r="L801" s="245"/>
      <c r="M801" s="245"/>
      <c r="N801" s="301"/>
    </row>
    <row r="802" s="246" customFormat="1" ht="20.25" spans="1:15">
      <c r="A802" s="285">
        <v>45988</v>
      </c>
      <c r="B802" s="105">
        <v>83</v>
      </c>
      <c r="C802" s="285">
        <v>45988</v>
      </c>
      <c r="D802" s="285"/>
      <c r="E802" s="285"/>
      <c r="F802" s="245" t="s">
        <v>787</v>
      </c>
      <c r="G802" s="108">
        <v>1</v>
      </c>
      <c r="H802" s="108">
        <v>9.5</v>
      </c>
      <c r="I802" s="108">
        <f t="shared" si="101"/>
        <v>9.5</v>
      </c>
      <c r="J802" s="109">
        <v>38</v>
      </c>
      <c r="K802" s="109">
        <f t="shared" si="103"/>
        <v>361</v>
      </c>
      <c r="L802" s="245">
        <f>SUM(K795:K805)</f>
        <v>1868.3</v>
      </c>
      <c r="M802" s="245"/>
      <c r="N802" s="301" t="s">
        <v>942</v>
      </c>
    </row>
    <row r="803" s="246" customFormat="1" ht="20.25" spans="1:15">
      <c r="A803" s="285">
        <v>45988</v>
      </c>
      <c r="B803" s="105">
        <v>83</v>
      </c>
      <c r="C803" s="285">
        <v>45988</v>
      </c>
      <c r="D803" s="285"/>
      <c r="E803" s="285"/>
      <c r="F803" s="245" t="s">
        <v>946</v>
      </c>
      <c r="G803" s="108">
        <v>1</v>
      </c>
      <c r="H803" s="108">
        <f>SUM(H795:H802)</f>
        <v>231.5</v>
      </c>
      <c r="I803" s="108">
        <f t="shared" si="101"/>
        <v>231.5</v>
      </c>
      <c r="J803" s="109">
        <v>2</v>
      </c>
      <c r="K803" s="109">
        <f t="shared" si="103"/>
        <v>463</v>
      </c>
      <c r="L803" s="245"/>
      <c r="M803" s="245"/>
      <c r="N803" s="302">
        <f>SUM(K795:K805)</f>
        <v>1868.3</v>
      </c>
    </row>
    <row r="804" s="246" customFormat="1" ht="20.25" spans="1:15">
      <c r="A804" s="285">
        <v>45988</v>
      </c>
      <c r="B804" s="105">
        <v>83</v>
      </c>
      <c r="C804" s="285">
        <v>45988</v>
      </c>
      <c r="D804" s="285"/>
      <c r="E804" s="285"/>
      <c r="F804" s="261" t="s">
        <v>1027</v>
      </c>
      <c r="G804" s="108">
        <v>1</v>
      </c>
      <c r="H804" s="108">
        <v>20</v>
      </c>
      <c r="I804" s="108">
        <f t="shared" si="101"/>
        <v>20</v>
      </c>
      <c r="J804" s="109"/>
      <c r="K804" s="109"/>
      <c r="L804" s="261" t="s">
        <v>1028</v>
      </c>
      <c r="M804" s="288"/>
      <c r="N804" s="302"/>
    </row>
    <row r="805" s="246" customFormat="1" ht="20.25" spans="1:15">
      <c r="A805" s="285">
        <v>45988</v>
      </c>
      <c r="B805" s="105">
        <v>83</v>
      </c>
      <c r="C805" s="285">
        <v>45988</v>
      </c>
      <c r="D805" s="285"/>
      <c r="E805" s="285"/>
      <c r="F805" s="245" t="s">
        <v>462</v>
      </c>
      <c r="G805" s="108">
        <v>11</v>
      </c>
      <c r="H805" s="108">
        <v>1</v>
      </c>
      <c r="I805" s="108">
        <f t="shared" si="101"/>
        <v>11</v>
      </c>
      <c r="J805" s="109">
        <v>12.5</v>
      </c>
      <c r="K805" s="109">
        <f t="shared" si="103"/>
        <v>137.5</v>
      </c>
      <c r="L805" s="245" t="s">
        <v>324</v>
      </c>
      <c r="M805" s="245"/>
      <c r="N805" s="302"/>
    </row>
    <row r="806" s="2" customFormat="1" ht="20.25" spans="1:15">
      <c r="A806" s="126">
        <v>45990</v>
      </c>
      <c r="B806" s="131" t="s">
        <v>1029</v>
      </c>
      <c r="C806" s="126">
        <v>45990</v>
      </c>
      <c r="D806" s="126"/>
      <c r="E806" s="126"/>
      <c r="F806" s="131" t="s">
        <v>743</v>
      </c>
      <c r="G806" s="134">
        <v>1</v>
      </c>
      <c r="H806" s="134">
        <v>49</v>
      </c>
      <c r="I806" s="136">
        <f t="shared" si="101"/>
        <v>49</v>
      </c>
      <c r="J806" s="135">
        <v>13.2</v>
      </c>
      <c r="K806" s="135"/>
      <c r="L806" s="131"/>
      <c r="M806" s="131"/>
      <c r="N806" s="134"/>
      <c r="O806" s="2">
        <v>126</v>
      </c>
    </row>
    <row r="807" s="2" customFormat="1" ht="20.25" spans="1:15">
      <c r="A807" s="126">
        <v>45990</v>
      </c>
      <c r="B807" s="131" t="s">
        <v>1029</v>
      </c>
      <c r="C807" s="126">
        <v>45990</v>
      </c>
      <c r="D807" s="126"/>
      <c r="E807" s="126"/>
      <c r="F807" s="131" t="s">
        <v>936</v>
      </c>
      <c r="G807" s="134">
        <v>1</v>
      </c>
      <c r="H807" s="134">
        <v>49</v>
      </c>
      <c r="I807" s="136">
        <f t="shared" ref="I807:I824" si="104">G807*H807</f>
        <v>49</v>
      </c>
      <c r="J807" s="135">
        <v>7.6</v>
      </c>
      <c r="K807" s="135"/>
      <c r="L807" s="131"/>
      <c r="M807" s="131"/>
      <c r="N807" s="134"/>
    </row>
    <row r="808" s="2" customFormat="1" ht="20.25" spans="1:15">
      <c r="A808" s="126">
        <v>45990</v>
      </c>
      <c r="B808" s="131" t="s">
        <v>1029</v>
      </c>
      <c r="C808" s="126">
        <v>45990</v>
      </c>
      <c r="D808" s="126"/>
      <c r="E808" s="126"/>
      <c r="F808" s="131" t="s">
        <v>120</v>
      </c>
      <c r="G808" s="134">
        <v>1</v>
      </c>
      <c r="H808" s="134">
        <v>5</v>
      </c>
      <c r="I808" s="136">
        <f t="shared" si="104"/>
        <v>5</v>
      </c>
      <c r="J808" s="135">
        <v>17</v>
      </c>
      <c r="K808" s="135">
        <f t="shared" ref="K807:K816" si="105">I808*J808</f>
        <v>85</v>
      </c>
      <c r="L808" s="131"/>
      <c r="M808" s="131"/>
      <c r="N808" s="132"/>
    </row>
    <row r="809" s="2" customFormat="1" ht="20.25" spans="1:15">
      <c r="A809" s="126">
        <v>45990</v>
      </c>
      <c r="B809" s="131" t="s">
        <v>1029</v>
      </c>
      <c r="C809" s="126">
        <v>45990</v>
      </c>
      <c r="D809" s="126"/>
      <c r="E809" s="126"/>
      <c r="F809" s="131" t="s">
        <v>310</v>
      </c>
      <c r="G809" s="134">
        <v>1</v>
      </c>
      <c r="H809" s="134">
        <v>8</v>
      </c>
      <c r="I809" s="136">
        <f t="shared" si="104"/>
        <v>8</v>
      </c>
      <c r="J809" s="135">
        <v>0.6</v>
      </c>
      <c r="K809" s="135">
        <f t="shared" si="105"/>
        <v>4.8</v>
      </c>
      <c r="L809" s="131"/>
      <c r="M809" s="131" t="s">
        <v>1030</v>
      </c>
      <c r="N809" s="132"/>
    </row>
    <row r="810" s="2" customFormat="1" ht="20.25" spans="1:15">
      <c r="A810" s="126">
        <v>45990</v>
      </c>
      <c r="B810" s="131" t="s">
        <v>1029</v>
      </c>
      <c r="C810" s="126">
        <v>45990</v>
      </c>
      <c r="D810" s="126"/>
      <c r="E810" s="126"/>
      <c r="F810" s="131" t="s">
        <v>311</v>
      </c>
      <c r="G810" s="134">
        <v>1</v>
      </c>
      <c r="H810" s="134">
        <v>65</v>
      </c>
      <c r="I810" s="136">
        <f t="shared" si="104"/>
        <v>65</v>
      </c>
      <c r="J810" s="135">
        <v>6.2</v>
      </c>
      <c r="K810" s="135">
        <f t="shared" si="105"/>
        <v>403</v>
      </c>
      <c r="L810" s="131" t="s">
        <v>749</v>
      </c>
      <c r="M810" s="131" t="s">
        <v>321</v>
      </c>
      <c r="N810" s="132"/>
    </row>
    <row r="811" s="2" customFormat="1" ht="20.25" spans="1:15">
      <c r="A811" s="126">
        <v>45990</v>
      </c>
      <c r="B811" s="131" t="s">
        <v>1029</v>
      </c>
      <c r="C811" s="126">
        <v>45990</v>
      </c>
      <c r="D811" s="126"/>
      <c r="E811" s="126"/>
      <c r="F811" s="131" t="s">
        <v>312</v>
      </c>
      <c r="G811" s="134">
        <v>1</v>
      </c>
      <c r="H811" s="134">
        <v>60</v>
      </c>
      <c r="I811" s="136">
        <f t="shared" si="104"/>
        <v>60</v>
      </c>
      <c r="J811" s="135">
        <v>3</v>
      </c>
      <c r="K811" s="135">
        <f t="shared" si="105"/>
        <v>180</v>
      </c>
      <c r="L811" s="131"/>
      <c r="M811" s="131" t="s">
        <v>1031</v>
      </c>
      <c r="N811" s="132"/>
    </row>
    <row r="812" s="2" customFormat="1" ht="20.25" spans="1:15">
      <c r="A812" s="126">
        <v>45990</v>
      </c>
      <c r="B812" s="131" t="s">
        <v>1029</v>
      </c>
      <c r="C812" s="126">
        <v>45990</v>
      </c>
      <c r="D812" s="126"/>
      <c r="E812" s="126"/>
      <c r="F812" s="131" t="s">
        <v>313</v>
      </c>
      <c r="G812" s="134">
        <v>1</v>
      </c>
      <c r="H812" s="134">
        <v>4.5</v>
      </c>
      <c r="I812" s="136">
        <f t="shared" si="104"/>
        <v>4.5</v>
      </c>
      <c r="J812" s="135">
        <v>38</v>
      </c>
      <c r="K812" s="135">
        <f t="shared" si="105"/>
        <v>171</v>
      </c>
      <c r="L812" s="131"/>
      <c r="M812" s="131"/>
      <c r="N812" s="131"/>
    </row>
    <row r="813" s="2" customFormat="1" ht="20.25" spans="1:15">
      <c r="A813" s="126">
        <v>45990</v>
      </c>
      <c r="B813" s="131" t="s">
        <v>1029</v>
      </c>
      <c r="C813" s="126">
        <v>45990</v>
      </c>
      <c r="D813" s="126"/>
      <c r="E813" s="126"/>
      <c r="F813" s="131" t="s">
        <v>124</v>
      </c>
      <c r="G813" s="134">
        <v>1</v>
      </c>
      <c r="H813" s="134">
        <v>20</v>
      </c>
      <c r="I813" s="136">
        <f t="shared" si="104"/>
        <v>20</v>
      </c>
      <c r="J813" s="135">
        <v>15</v>
      </c>
      <c r="K813" s="135"/>
      <c r="L813" s="256" t="s">
        <v>910</v>
      </c>
      <c r="M813" s="131"/>
      <c r="N813" s="131"/>
    </row>
    <row r="814" s="2" customFormat="1" ht="20.25" spans="1:15">
      <c r="A814" s="126">
        <v>45990</v>
      </c>
      <c r="B814" s="131" t="s">
        <v>1029</v>
      </c>
      <c r="C814" s="126">
        <v>45990</v>
      </c>
      <c r="D814" s="126"/>
      <c r="E814" s="126"/>
      <c r="F814" s="131" t="s">
        <v>575</v>
      </c>
      <c r="G814" s="134">
        <v>1</v>
      </c>
      <c r="H814" s="134">
        <v>12</v>
      </c>
      <c r="I814" s="136">
        <f t="shared" si="104"/>
        <v>12</v>
      </c>
      <c r="J814" s="135">
        <v>25</v>
      </c>
      <c r="K814" s="135">
        <f t="shared" si="105"/>
        <v>300</v>
      </c>
      <c r="L814" s="256"/>
      <c r="M814" s="131"/>
      <c r="N814" s="131"/>
    </row>
    <row r="815" s="2" customFormat="1" ht="20.25" spans="1:15">
      <c r="A815" s="126">
        <v>45990</v>
      </c>
      <c r="B815" s="131" t="s">
        <v>1029</v>
      </c>
      <c r="C815" s="126">
        <v>45990</v>
      </c>
      <c r="D815" s="126"/>
      <c r="E815" s="126"/>
      <c r="F815" s="131" t="s">
        <v>1032</v>
      </c>
      <c r="G815" s="134">
        <v>1</v>
      </c>
      <c r="H815" s="134">
        <f>SUM(H806:H814)</f>
        <v>272.5</v>
      </c>
      <c r="I815" s="136">
        <f t="shared" si="104"/>
        <v>272.5</v>
      </c>
      <c r="J815" s="135">
        <v>2</v>
      </c>
      <c r="K815" s="135">
        <f t="shared" si="105"/>
        <v>545</v>
      </c>
      <c r="L815" s="137" t="s">
        <v>1033</v>
      </c>
      <c r="M815" s="131"/>
      <c r="N815" s="132"/>
    </row>
    <row r="816" s="2" customFormat="1" ht="20.25" spans="1:15">
      <c r="A816" s="126">
        <v>45990</v>
      </c>
      <c r="B816" s="131" t="s">
        <v>1029</v>
      </c>
      <c r="C816" s="126">
        <v>45990</v>
      </c>
      <c r="D816" s="126"/>
      <c r="E816" s="126"/>
      <c r="F816" s="131" t="s">
        <v>316</v>
      </c>
      <c r="G816" s="134">
        <v>14</v>
      </c>
      <c r="H816" s="134">
        <v>1</v>
      </c>
      <c r="I816" s="136">
        <f t="shared" si="104"/>
        <v>14</v>
      </c>
      <c r="J816" s="135">
        <v>12.5</v>
      </c>
      <c r="K816" s="135">
        <f t="shared" si="105"/>
        <v>175</v>
      </c>
      <c r="L816" s="131">
        <f>SUM(K806:K816)</f>
        <v>1863.8</v>
      </c>
      <c r="M816" s="131"/>
      <c r="N816" s="132"/>
    </row>
    <row r="817" s="246" customFormat="1" ht="20.25" spans="1:14">
      <c r="A817" s="285">
        <v>45993</v>
      </c>
      <c r="B817" s="105" t="s">
        <v>857</v>
      </c>
      <c r="C817" s="285">
        <v>45993</v>
      </c>
      <c r="D817" s="285"/>
      <c r="E817" s="285"/>
      <c r="F817" s="245" t="s">
        <v>1034</v>
      </c>
      <c r="G817" s="108">
        <v>1</v>
      </c>
      <c r="H817" s="107">
        <v>25</v>
      </c>
      <c r="I817" s="108">
        <f t="shared" si="104"/>
        <v>25</v>
      </c>
      <c r="J817" s="109">
        <v>7.7</v>
      </c>
      <c r="K817" s="109"/>
      <c r="L817" s="301"/>
      <c r="M817" s="245"/>
      <c r="N817" s="302"/>
    </row>
    <row r="818" s="246" customFormat="1" ht="20.25" spans="1:14">
      <c r="A818" s="285">
        <v>45993</v>
      </c>
      <c r="B818" s="105" t="s">
        <v>857</v>
      </c>
      <c r="C818" s="285">
        <v>45993</v>
      </c>
      <c r="D818" s="285"/>
      <c r="E818" s="285"/>
      <c r="F818" s="245" t="s">
        <v>120</v>
      </c>
      <c r="G818" s="108">
        <v>1</v>
      </c>
      <c r="H818" s="107">
        <v>2</v>
      </c>
      <c r="I818" s="108">
        <f t="shared" si="104"/>
        <v>2</v>
      </c>
      <c r="J818" s="109">
        <v>17</v>
      </c>
      <c r="K818" s="109">
        <f t="shared" ref="K817:K826" si="106">I818*J818</f>
        <v>34</v>
      </c>
      <c r="L818" s="301"/>
      <c r="M818" s="245"/>
      <c r="N818" s="302"/>
    </row>
    <row r="819" s="246" customFormat="1" ht="20.25" spans="1:14">
      <c r="A819" s="285">
        <v>45993</v>
      </c>
      <c r="B819" s="105" t="s">
        <v>857</v>
      </c>
      <c r="C819" s="285">
        <v>45993</v>
      </c>
      <c r="D819" s="285"/>
      <c r="E819" s="285"/>
      <c r="F819" s="245" t="s">
        <v>694</v>
      </c>
      <c r="G819" s="108">
        <v>1</v>
      </c>
      <c r="H819" s="107">
        <v>5</v>
      </c>
      <c r="I819" s="108">
        <f t="shared" si="104"/>
        <v>5</v>
      </c>
      <c r="J819" s="109">
        <v>0.6</v>
      </c>
      <c r="K819" s="109">
        <f t="shared" si="106"/>
        <v>3</v>
      </c>
      <c r="L819" s="301"/>
      <c r="M819" s="245"/>
      <c r="N819" s="302"/>
    </row>
    <row r="820" s="246" customFormat="1" ht="20.25" spans="1:14">
      <c r="A820" s="285">
        <v>45993</v>
      </c>
      <c r="B820" s="105" t="s">
        <v>857</v>
      </c>
      <c r="C820" s="285">
        <v>45993</v>
      </c>
      <c r="D820" s="285"/>
      <c r="E820" s="285"/>
      <c r="F820" s="245" t="s">
        <v>782</v>
      </c>
      <c r="G820" s="108">
        <v>1</v>
      </c>
      <c r="H820" s="107">
        <v>50</v>
      </c>
      <c r="I820" s="108">
        <f t="shared" si="104"/>
        <v>50</v>
      </c>
      <c r="J820" s="109">
        <v>18.5</v>
      </c>
      <c r="K820" s="109"/>
      <c r="L820" s="301"/>
      <c r="M820" s="245"/>
      <c r="N820" s="302"/>
    </row>
    <row r="821" s="246" customFormat="1" ht="20.25" spans="1:14">
      <c r="A821" s="285">
        <v>45993</v>
      </c>
      <c r="B821" s="105" t="s">
        <v>857</v>
      </c>
      <c r="C821" s="285">
        <v>45993</v>
      </c>
      <c r="D821" s="285"/>
      <c r="E821" s="285"/>
      <c r="F821" s="245" t="s">
        <v>122</v>
      </c>
      <c r="G821" s="108">
        <v>1</v>
      </c>
      <c r="H821" s="107">
        <v>13</v>
      </c>
      <c r="I821" s="108">
        <f t="shared" si="104"/>
        <v>13</v>
      </c>
      <c r="J821" s="109">
        <v>6.2</v>
      </c>
      <c r="K821" s="109">
        <f t="shared" si="106"/>
        <v>80.6</v>
      </c>
      <c r="L821" s="301"/>
      <c r="M821" s="245"/>
      <c r="N821" s="302"/>
    </row>
    <row r="822" s="246" customFormat="1" ht="20.25" spans="1:14">
      <c r="A822" s="285">
        <v>45993</v>
      </c>
      <c r="B822" s="105" t="s">
        <v>857</v>
      </c>
      <c r="C822" s="285">
        <v>45993</v>
      </c>
      <c r="D822" s="285"/>
      <c r="E822" s="285"/>
      <c r="F822" s="245" t="s">
        <v>123</v>
      </c>
      <c r="G822" s="108">
        <v>1</v>
      </c>
      <c r="H822" s="107">
        <v>8</v>
      </c>
      <c r="I822" s="108">
        <f t="shared" si="104"/>
        <v>8</v>
      </c>
      <c r="J822" s="109">
        <v>3</v>
      </c>
      <c r="K822" s="109">
        <f t="shared" si="106"/>
        <v>24</v>
      </c>
      <c r="L822" s="301"/>
      <c r="M822" s="245"/>
      <c r="N822" s="302"/>
    </row>
    <row r="823" s="246" customFormat="1" ht="20.25" spans="1:14">
      <c r="A823" s="285">
        <v>45993</v>
      </c>
      <c r="B823" s="105" t="s">
        <v>857</v>
      </c>
      <c r="C823" s="285">
        <v>45993</v>
      </c>
      <c r="D823" s="285"/>
      <c r="E823" s="285"/>
      <c r="F823" s="245" t="s">
        <v>1035</v>
      </c>
      <c r="G823" s="108">
        <v>1</v>
      </c>
      <c r="H823" s="108">
        <f>SUM(H817:H822)</f>
        <v>103</v>
      </c>
      <c r="I823" s="108">
        <f t="shared" si="104"/>
        <v>103</v>
      </c>
      <c r="J823" s="275">
        <v>1</v>
      </c>
      <c r="K823" s="109">
        <f t="shared" si="106"/>
        <v>103</v>
      </c>
      <c r="L823" s="321" t="s">
        <v>1036</v>
      </c>
      <c r="M823" s="245"/>
      <c r="N823" s="302"/>
    </row>
    <row r="824" s="246" customFormat="1" ht="20.25" spans="1:14">
      <c r="A824" s="285">
        <v>45993</v>
      </c>
      <c r="B824" s="105" t="s">
        <v>857</v>
      </c>
      <c r="C824" s="285">
        <v>45993</v>
      </c>
      <c r="D824" s="285"/>
      <c r="E824" s="285"/>
      <c r="F824" s="245" t="s">
        <v>844</v>
      </c>
      <c r="G824" s="108">
        <v>5</v>
      </c>
      <c r="H824" s="108">
        <v>1</v>
      </c>
      <c r="I824" s="108">
        <f t="shared" si="104"/>
        <v>5</v>
      </c>
      <c r="J824" s="109">
        <v>12.5</v>
      </c>
      <c r="K824" s="109">
        <f t="shared" si="106"/>
        <v>62.5</v>
      </c>
      <c r="L824" s="301">
        <f>SUM(K817:K824)</f>
        <v>307.1</v>
      </c>
      <c r="M824" s="245"/>
      <c r="N824" s="302"/>
    </row>
    <row r="825" s="249" customFormat="1" ht="20.25" spans="1:14">
      <c r="A825" s="320">
        <v>45691</v>
      </c>
      <c r="B825" s="273">
        <v>7</v>
      </c>
      <c r="C825" s="320">
        <v>45994</v>
      </c>
      <c r="D825" s="320"/>
      <c r="E825" s="320"/>
      <c r="F825" s="261" t="s">
        <v>1037</v>
      </c>
      <c r="G825" s="274">
        <v>1</v>
      </c>
      <c r="H825" s="274">
        <v>20</v>
      </c>
      <c r="I825" s="274">
        <f t="shared" ref="I825:I833" si="107">G825*H825</f>
        <v>20</v>
      </c>
      <c r="J825" s="275">
        <v>2</v>
      </c>
      <c r="K825" s="275">
        <f t="shared" si="106"/>
        <v>40</v>
      </c>
      <c r="L825" s="321"/>
      <c r="M825" s="261"/>
      <c r="N825" s="322"/>
    </row>
    <row r="826" s="242" customFormat="1" ht="20.25" spans="1:14">
      <c r="A826" s="258">
        <v>45997</v>
      </c>
      <c r="B826" s="127" t="s">
        <v>747</v>
      </c>
      <c r="C826" s="258">
        <v>45997</v>
      </c>
      <c r="D826" s="258"/>
      <c r="E826" s="258"/>
      <c r="F826" s="243" t="s">
        <v>1034</v>
      </c>
      <c r="G826" s="136">
        <v>1</v>
      </c>
      <c r="H826" s="134">
        <v>7</v>
      </c>
      <c r="I826" s="136">
        <f t="shared" ref="I826:I881" si="108">G826*H826</f>
        <v>7</v>
      </c>
      <c r="J826" s="135">
        <v>7.7</v>
      </c>
      <c r="K826" s="135"/>
      <c r="L826" s="300"/>
      <c r="M826" s="243"/>
      <c r="N826" s="259"/>
    </row>
    <row r="827" s="242" customFormat="1" ht="20.25" spans="1:14">
      <c r="A827" s="258">
        <v>45997</v>
      </c>
      <c r="B827" s="127" t="s">
        <v>747</v>
      </c>
      <c r="C827" s="258">
        <v>45997</v>
      </c>
      <c r="D827" s="258"/>
      <c r="E827" s="258"/>
      <c r="F827" s="243" t="s">
        <v>735</v>
      </c>
      <c r="G827" s="136">
        <v>1</v>
      </c>
      <c r="H827" s="134">
        <v>7</v>
      </c>
      <c r="I827" s="136">
        <f t="shared" si="108"/>
        <v>7</v>
      </c>
      <c r="J827" s="135">
        <v>13.2</v>
      </c>
      <c r="K827" s="135"/>
      <c r="L827" s="300"/>
      <c r="M827" s="243"/>
      <c r="N827" s="259"/>
    </row>
    <row r="828" s="242" customFormat="1" ht="20.25" spans="1:14">
      <c r="A828" s="258">
        <v>45997</v>
      </c>
      <c r="B828" s="127" t="s">
        <v>747</v>
      </c>
      <c r="C828" s="258">
        <v>45997</v>
      </c>
      <c r="D828" s="258"/>
      <c r="E828" s="258"/>
      <c r="F828" s="243" t="s">
        <v>120</v>
      </c>
      <c r="G828" s="136">
        <v>1</v>
      </c>
      <c r="H828" s="134">
        <v>0.7</v>
      </c>
      <c r="I828" s="136">
        <f t="shared" si="108"/>
        <v>0.7</v>
      </c>
      <c r="J828" s="135">
        <v>17</v>
      </c>
      <c r="K828" s="135">
        <f>I828*J828</f>
        <v>11.9</v>
      </c>
      <c r="L828" s="300"/>
      <c r="M828" s="243"/>
      <c r="N828" s="259"/>
    </row>
    <row r="829" s="242" customFormat="1" ht="20.25" spans="1:14">
      <c r="A829" s="258">
        <v>45997</v>
      </c>
      <c r="B829" s="127" t="s">
        <v>747</v>
      </c>
      <c r="C829" s="258">
        <v>45997</v>
      </c>
      <c r="D829" s="258"/>
      <c r="E829" s="258"/>
      <c r="F829" s="243" t="s">
        <v>694</v>
      </c>
      <c r="G829" s="136">
        <v>1</v>
      </c>
      <c r="H829" s="134">
        <v>1.5</v>
      </c>
      <c r="I829" s="136">
        <f t="shared" si="108"/>
        <v>1.5</v>
      </c>
      <c r="J829" s="135">
        <v>0.6</v>
      </c>
      <c r="K829" s="135">
        <f t="shared" ref="K829:K837" si="109">I829*J829</f>
        <v>0.9</v>
      </c>
      <c r="L829" s="300"/>
      <c r="M829" s="243"/>
      <c r="N829" s="259"/>
    </row>
    <row r="830" s="242" customFormat="1" ht="20.25" spans="1:14">
      <c r="A830" s="258">
        <v>45997</v>
      </c>
      <c r="B830" s="127" t="s">
        <v>747</v>
      </c>
      <c r="C830" s="258">
        <v>45997</v>
      </c>
      <c r="D830" s="258"/>
      <c r="E830" s="258"/>
      <c r="F830" s="243" t="s">
        <v>122</v>
      </c>
      <c r="G830" s="136">
        <v>1</v>
      </c>
      <c r="H830" s="134">
        <v>10</v>
      </c>
      <c r="I830" s="136">
        <f t="shared" si="108"/>
        <v>10</v>
      </c>
      <c r="J830" s="135">
        <v>6.2</v>
      </c>
      <c r="K830" s="135">
        <f t="shared" si="109"/>
        <v>62</v>
      </c>
      <c r="L830" s="300"/>
      <c r="M830" s="243"/>
      <c r="N830" s="259"/>
    </row>
    <row r="831" s="242" customFormat="1" ht="20.25" spans="1:14">
      <c r="A831" s="258">
        <v>45997</v>
      </c>
      <c r="B831" s="127" t="s">
        <v>747</v>
      </c>
      <c r="C831" s="258">
        <v>45997</v>
      </c>
      <c r="D831" s="258"/>
      <c r="E831" s="258"/>
      <c r="F831" s="243" t="s">
        <v>123</v>
      </c>
      <c r="G831" s="136">
        <v>1</v>
      </c>
      <c r="H831" s="134">
        <v>10</v>
      </c>
      <c r="I831" s="136">
        <f t="shared" si="108"/>
        <v>10</v>
      </c>
      <c r="J831" s="135">
        <v>3</v>
      </c>
      <c r="K831" s="135">
        <f t="shared" si="109"/>
        <v>30</v>
      </c>
      <c r="L831" s="300"/>
      <c r="M831" s="243"/>
      <c r="N831" s="259"/>
    </row>
    <row r="832" s="242" customFormat="1" ht="20.25" spans="1:14">
      <c r="A832" s="258">
        <v>45997</v>
      </c>
      <c r="B832" s="127" t="s">
        <v>747</v>
      </c>
      <c r="C832" s="258">
        <v>45997</v>
      </c>
      <c r="D832" s="258"/>
      <c r="E832" s="258"/>
      <c r="F832" s="243" t="s">
        <v>125</v>
      </c>
      <c r="G832" s="136">
        <v>1</v>
      </c>
      <c r="H832" s="134">
        <v>1.7</v>
      </c>
      <c r="I832" s="136">
        <f t="shared" si="108"/>
        <v>1.7</v>
      </c>
      <c r="J832" s="135">
        <v>25</v>
      </c>
      <c r="K832" s="135">
        <f t="shared" si="109"/>
        <v>42.5</v>
      </c>
      <c r="L832" s="300"/>
      <c r="M832" s="243"/>
      <c r="N832" s="259"/>
    </row>
    <row r="833" s="242" customFormat="1" ht="20.25" spans="1:14">
      <c r="A833" s="258">
        <v>45997</v>
      </c>
      <c r="B833" s="127" t="s">
        <v>747</v>
      </c>
      <c r="C833" s="258">
        <v>45997</v>
      </c>
      <c r="D833" s="258"/>
      <c r="E833" s="258"/>
      <c r="F833" s="243" t="s">
        <v>351</v>
      </c>
      <c r="G833" s="136">
        <v>1</v>
      </c>
      <c r="H833" s="134">
        <v>1</v>
      </c>
      <c r="I833" s="136">
        <f t="shared" si="108"/>
        <v>1</v>
      </c>
      <c r="J833" s="135">
        <v>25</v>
      </c>
      <c r="K833" s="135">
        <f t="shared" si="109"/>
        <v>25</v>
      </c>
      <c r="L833" s="300"/>
      <c r="M833" s="243"/>
      <c r="N833" s="259"/>
    </row>
    <row r="834" s="242" customFormat="1" ht="20.25" spans="1:14">
      <c r="A834" s="258">
        <v>45997</v>
      </c>
      <c r="B834" s="127" t="s">
        <v>747</v>
      </c>
      <c r="C834" s="258">
        <v>45997</v>
      </c>
      <c r="D834" s="258"/>
      <c r="E834" s="258"/>
      <c r="F834" s="243" t="s">
        <v>787</v>
      </c>
      <c r="G834" s="136">
        <v>1</v>
      </c>
      <c r="H834" s="134">
        <v>2.5</v>
      </c>
      <c r="I834" s="136">
        <f t="shared" si="108"/>
        <v>2.5</v>
      </c>
      <c r="J834" s="135">
        <v>38</v>
      </c>
      <c r="K834" s="135">
        <f t="shared" si="109"/>
        <v>95</v>
      </c>
      <c r="L834" s="300"/>
      <c r="M834" s="243"/>
      <c r="N834" s="259"/>
    </row>
    <row r="835" s="242" customFormat="1" ht="20.25" spans="1:14">
      <c r="A835" s="258">
        <v>45997</v>
      </c>
      <c r="B835" s="127" t="s">
        <v>747</v>
      </c>
      <c r="C835" s="258">
        <v>45997</v>
      </c>
      <c r="D835" s="258"/>
      <c r="E835" s="258"/>
      <c r="F835" s="245" t="s">
        <v>1038</v>
      </c>
      <c r="G835" s="136">
        <v>1</v>
      </c>
      <c r="H835" s="134">
        <v>1</v>
      </c>
      <c r="I835" s="136">
        <f t="shared" si="108"/>
        <v>1</v>
      </c>
      <c r="J835" s="135">
        <v>15</v>
      </c>
      <c r="K835" s="135"/>
      <c r="L835" s="300"/>
      <c r="M835" s="243"/>
      <c r="N835" s="259"/>
    </row>
    <row r="836" s="242" customFormat="1" ht="20.25" spans="1:14">
      <c r="A836" s="258">
        <v>45997</v>
      </c>
      <c r="B836" s="127" t="s">
        <v>747</v>
      </c>
      <c r="C836" s="258">
        <v>45997</v>
      </c>
      <c r="D836" s="258"/>
      <c r="E836" s="258"/>
      <c r="F836" s="243" t="s">
        <v>1039</v>
      </c>
      <c r="G836" s="136">
        <v>1</v>
      </c>
      <c r="H836" s="136">
        <f>SUM(H826:H835)</f>
        <v>42.4</v>
      </c>
      <c r="I836" s="136">
        <f t="shared" si="108"/>
        <v>42.4</v>
      </c>
      <c r="J836" s="135">
        <v>2</v>
      </c>
      <c r="K836" s="135">
        <f t="shared" si="109"/>
        <v>84.8</v>
      </c>
      <c r="L836" s="300"/>
      <c r="M836" s="243"/>
      <c r="N836" s="259"/>
    </row>
    <row r="837" s="242" customFormat="1" ht="20.25" spans="1:14">
      <c r="A837" s="258">
        <v>45997</v>
      </c>
      <c r="B837" s="127" t="s">
        <v>747</v>
      </c>
      <c r="C837" s="258">
        <v>45997</v>
      </c>
      <c r="D837" s="258"/>
      <c r="E837" s="258"/>
      <c r="F837" s="243" t="s">
        <v>844</v>
      </c>
      <c r="G837" s="136">
        <v>2</v>
      </c>
      <c r="H837" s="136">
        <v>1</v>
      </c>
      <c r="I837" s="136">
        <f t="shared" si="108"/>
        <v>2</v>
      </c>
      <c r="J837" s="135">
        <v>12.5</v>
      </c>
      <c r="K837" s="135">
        <f t="shared" si="109"/>
        <v>25</v>
      </c>
      <c r="L837" s="300">
        <f>SUM(K826:K837)</f>
        <v>377.1</v>
      </c>
      <c r="M837" s="243"/>
      <c r="N837" s="259"/>
    </row>
    <row r="838" s="1" customFormat="1" ht="20.25" spans="1:14">
      <c r="A838" s="51">
        <v>45999</v>
      </c>
      <c r="B838" s="105" t="s">
        <v>764</v>
      </c>
      <c r="C838" s="51">
        <v>45999</v>
      </c>
      <c r="D838" s="51"/>
      <c r="E838" s="51"/>
      <c r="F838" s="110" t="s">
        <v>735</v>
      </c>
      <c r="G838" s="107">
        <v>1</v>
      </c>
      <c r="H838" s="107">
        <v>160</v>
      </c>
      <c r="I838" s="108">
        <f t="shared" si="108"/>
        <v>160</v>
      </c>
      <c r="J838" s="109">
        <v>13.5</v>
      </c>
      <c r="K838" s="271"/>
      <c r="L838" s="110"/>
      <c r="M838" s="110"/>
      <c r="N838" s="111"/>
    </row>
    <row r="839" s="1" customFormat="1" ht="20.25" spans="1:14">
      <c r="A839" s="51">
        <v>45999</v>
      </c>
      <c r="B839" s="105" t="s">
        <v>764</v>
      </c>
      <c r="C839" s="51">
        <v>45999</v>
      </c>
      <c r="D839" s="51"/>
      <c r="E839" s="51"/>
      <c r="F839" s="110" t="s">
        <v>936</v>
      </c>
      <c r="G839" s="107">
        <v>1</v>
      </c>
      <c r="H839" s="107">
        <v>201</v>
      </c>
      <c r="I839" s="108">
        <f t="shared" si="108"/>
        <v>201</v>
      </c>
      <c r="J839" s="109">
        <v>7.7</v>
      </c>
      <c r="K839" s="271"/>
      <c r="L839" s="110"/>
      <c r="M839" s="110"/>
      <c r="N839" s="111"/>
    </row>
    <row r="840" s="1" customFormat="1" ht="20.25" spans="1:14">
      <c r="A840" s="51">
        <v>45999</v>
      </c>
      <c r="B840" s="105" t="s">
        <v>764</v>
      </c>
      <c r="C840" s="51">
        <v>45999</v>
      </c>
      <c r="D840" s="51"/>
      <c r="E840" s="51"/>
      <c r="F840" s="110" t="s">
        <v>120</v>
      </c>
      <c r="G840" s="107">
        <v>1</v>
      </c>
      <c r="H840" s="107">
        <v>20</v>
      </c>
      <c r="I840" s="108">
        <f t="shared" si="108"/>
        <v>20</v>
      </c>
      <c r="J840" s="109">
        <v>17</v>
      </c>
      <c r="K840" s="271">
        <f t="shared" ref="K840:K843" si="110">I840*J840</f>
        <v>340</v>
      </c>
      <c r="L840" s="110"/>
      <c r="M840" s="110"/>
      <c r="N840" s="111"/>
    </row>
    <row r="841" s="1" customFormat="1" ht="20.25" spans="1:14">
      <c r="A841" s="51">
        <v>45999</v>
      </c>
      <c r="B841" s="105" t="s">
        <v>764</v>
      </c>
      <c r="C841" s="51">
        <v>45999</v>
      </c>
      <c r="D841" s="51"/>
      <c r="E841" s="51"/>
      <c r="F841" s="110" t="s">
        <v>310</v>
      </c>
      <c r="G841" s="107">
        <v>1</v>
      </c>
      <c r="H841" s="107">
        <v>68</v>
      </c>
      <c r="I841" s="108">
        <f t="shared" si="108"/>
        <v>68</v>
      </c>
      <c r="J841" s="109">
        <v>0.6</v>
      </c>
      <c r="K841" s="271">
        <f t="shared" si="110"/>
        <v>40.8</v>
      </c>
      <c r="L841" s="110"/>
      <c r="M841" s="110"/>
      <c r="N841" s="111"/>
    </row>
    <row r="842" s="1" customFormat="1" ht="20.25" spans="1:14">
      <c r="A842" s="51">
        <v>45999</v>
      </c>
      <c r="B842" s="105" t="s">
        <v>764</v>
      </c>
      <c r="C842" s="51">
        <v>45999</v>
      </c>
      <c r="D842" s="51"/>
      <c r="E842" s="51"/>
      <c r="F842" s="110" t="s">
        <v>311</v>
      </c>
      <c r="G842" s="107">
        <v>1</v>
      </c>
      <c r="H842" s="107">
        <v>192</v>
      </c>
      <c r="I842" s="108">
        <f t="shared" si="108"/>
        <v>192</v>
      </c>
      <c r="J842" s="109">
        <v>6.2</v>
      </c>
      <c r="K842" s="271">
        <f t="shared" si="110"/>
        <v>1190.4</v>
      </c>
      <c r="L842" s="110"/>
      <c r="M842" s="110"/>
      <c r="N842" s="110">
        <f>SUM(K838:K846)</f>
        <v>5003.2</v>
      </c>
    </row>
    <row r="843" s="1" customFormat="1" ht="20.25" spans="1:14">
      <c r="A843" s="51">
        <v>45999</v>
      </c>
      <c r="B843" s="105" t="s">
        <v>764</v>
      </c>
      <c r="C843" s="51">
        <v>45999</v>
      </c>
      <c r="D843" s="51"/>
      <c r="E843" s="51"/>
      <c r="F843" s="110" t="s">
        <v>312</v>
      </c>
      <c r="G843" s="107">
        <v>1</v>
      </c>
      <c r="H843" s="107">
        <v>230</v>
      </c>
      <c r="I843" s="108">
        <f t="shared" si="108"/>
        <v>230</v>
      </c>
      <c r="J843" s="109">
        <v>3</v>
      </c>
      <c r="K843" s="271">
        <f t="shared" si="110"/>
        <v>690</v>
      </c>
      <c r="L843" s="110" t="s">
        <v>781</v>
      </c>
      <c r="M843" s="110"/>
      <c r="N843" s="111"/>
    </row>
    <row r="844" s="1" customFormat="1" ht="20.25" spans="1:14">
      <c r="A844" s="51">
        <v>45999</v>
      </c>
      <c r="B844" s="105" t="s">
        <v>764</v>
      </c>
      <c r="C844" s="51">
        <v>45999</v>
      </c>
      <c r="D844" s="51"/>
      <c r="E844" s="51"/>
      <c r="F844" s="110" t="s">
        <v>782</v>
      </c>
      <c r="G844" s="107">
        <v>1</v>
      </c>
      <c r="H844" s="107">
        <v>150</v>
      </c>
      <c r="I844" s="108">
        <f t="shared" si="108"/>
        <v>150</v>
      </c>
      <c r="J844" s="109">
        <v>18.5</v>
      </c>
      <c r="K844" s="271"/>
      <c r="L844" s="110"/>
      <c r="M844" s="110"/>
      <c r="N844" s="111"/>
    </row>
    <row r="845" s="1" customFormat="1" ht="20.25" spans="1:14">
      <c r="A845" s="51">
        <v>45999</v>
      </c>
      <c r="B845" s="105" t="s">
        <v>764</v>
      </c>
      <c r="C845" s="51">
        <v>45999</v>
      </c>
      <c r="D845" s="51"/>
      <c r="E845" s="51"/>
      <c r="F845" s="254" t="s">
        <v>784</v>
      </c>
      <c r="G845" s="139">
        <v>1</v>
      </c>
      <c r="H845" s="139">
        <f>SUM(H838:H844)</f>
        <v>1021</v>
      </c>
      <c r="I845" s="114">
        <f t="shared" si="108"/>
        <v>1021</v>
      </c>
      <c r="J845" s="115">
        <v>2</v>
      </c>
      <c r="K845" s="271">
        <f>I845*J845</f>
        <v>2042</v>
      </c>
      <c r="L845" s="131" t="s">
        <v>783</v>
      </c>
      <c r="M845" s="110"/>
      <c r="N845" s="111"/>
    </row>
    <row r="846" s="1" customFormat="1" ht="20.25" spans="1:14">
      <c r="A846" s="51">
        <v>45999</v>
      </c>
      <c r="B846" s="105" t="s">
        <v>764</v>
      </c>
      <c r="C846" s="51">
        <v>45999</v>
      </c>
      <c r="D846" s="51"/>
      <c r="E846" s="51"/>
      <c r="F846" s="110" t="s">
        <v>316</v>
      </c>
      <c r="G846" s="107">
        <v>56</v>
      </c>
      <c r="H846" s="107">
        <v>1</v>
      </c>
      <c r="I846" s="108">
        <f t="shared" si="108"/>
        <v>56</v>
      </c>
      <c r="J846" s="109">
        <v>12.5</v>
      </c>
      <c r="K846" s="271">
        <f>I846*J846</f>
        <v>700</v>
      </c>
      <c r="L846" s="110" t="s">
        <v>343</v>
      </c>
      <c r="M846" s="110" t="s">
        <v>344</v>
      </c>
      <c r="N846" s="111"/>
    </row>
    <row r="847" s="243" customFormat="1" ht="20.25" spans="1:14">
      <c r="A847" s="263">
        <v>46001</v>
      </c>
      <c r="B847" s="127">
        <v>28</v>
      </c>
      <c r="C847" s="258">
        <v>46001</v>
      </c>
      <c r="D847" s="136"/>
      <c r="E847" s="136"/>
      <c r="F847" s="264" t="s">
        <v>743</v>
      </c>
      <c r="G847" s="136">
        <v>1</v>
      </c>
      <c r="H847" s="136">
        <v>16</v>
      </c>
      <c r="I847" s="282">
        <f t="shared" si="108"/>
        <v>16</v>
      </c>
      <c r="J847" s="135">
        <v>13.5</v>
      </c>
      <c r="K847" s="135"/>
      <c r="L847" s="283"/>
      <c r="M847" s="278"/>
      <c r="N847" s="132"/>
    </row>
    <row r="848" s="243" customFormat="1" ht="20.25" spans="1:14">
      <c r="A848" s="263">
        <v>46001</v>
      </c>
      <c r="B848" s="127">
        <v>28</v>
      </c>
      <c r="C848" s="258">
        <v>46001</v>
      </c>
      <c r="D848" s="136"/>
      <c r="E848" s="136"/>
      <c r="F848" s="264" t="s">
        <v>119</v>
      </c>
      <c r="G848" s="136">
        <v>1</v>
      </c>
      <c r="H848" s="136">
        <v>15</v>
      </c>
      <c r="I848" s="282">
        <f t="shared" si="108"/>
        <v>15</v>
      </c>
      <c r="J848" s="135">
        <v>7.7</v>
      </c>
      <c r="K848" s="135"/>
      <c r="L848" s="283"/>
      <c r="M848" s="278"/>
      <c r="N848" s="132"/>
    </row>
    <row r="849" s="243" customFormat="1" ht="20.25" spans="1:14">
      <c r="A849" s="263">
        <v>46001</v>
      </c>
      <c r="B849" s="127">
        <v>28</v>
      </c>
      <c r="C849" s="258">
        <v>46001</v>
      </c>
      <c r="D849" s="136"/>
      <c r="E849" s="136"/>
      <c r="F849" s="243" t="s">
        <v>120</v>
      </c>
      <c r="G849" s="136">
        <v>1</v>
      </c>
      <c r="H849" s="136">
        <v>1.5</v>
      </c>
      <c r="I849" s="282">
        <f t="shared" si="108"/>
        <v>1.5</v>
      </c>
      <c r="J849" s="135">
        <v>17</v>
      </c>
      <c r="K849" s="135">
        <f t="shared" ref="K847:K860" si="111">I849*J849</f>
        <v>25.5</v>
      </c>
      <c r="L849" s="283"/>
      <c r="M849" s="278"/>
      <c r="N849" s="132"/>
    </row>
    <row r="850" s="243" customFormat="1" ht="20.25" spans="1:14">
      <c r="A850" s="263">
        <v>46001</v>
      </c>
      <c r="B850" s="127">
        <v>28</v>
      </c>
      <c r="C850" s="258">
        <v>46001</v>
      </c>
      <c r="D850" s="136"/>
      <c r="E850" s="136"/>
      <c r="F850" s="243" t="s">
        <v>121</v>
      </c>
      <c r="G850" s="136">
        <v>1</v>
      </c>
      <c r="H850" s="136">
        <v>6</v>
      </c>
      <c r="I850" s="282">
        <f t="shared" si="108"/>
        <v>6</v>
      </c>
      <c r="J850" s="135">
        <v>0.6</v>
      </c>
      <c r="K850" s="135">
        <f t="shared" si="111"/>
        <v>3.6</v>
      </c>
      <c r="L850" s="283"/>
      <c r="M850" s="278"/>
      <c r="N850" s="132"/>
    </row>
    <row r="851" s="243" customFormat="1" ht="20.25" spans="1:14">
      <c r="A851" s="263">
        <v>46001</v>
      </c>
      <c r="B851" s="127">
        <v>28</v>
      </c>
      <c r="C851" s="258">
        <v>46001</v>
      </c>
      <c r="D851" s="136"/>
      <c r="E851" s="136"/>
      <c r="F851" s="243" t="s">
        <v>122</v>
      </c>
      <c r="G851" s="136">
        <v>1</v>
      </c>
      <c r="H851" s="136">
        <v>24</v>
      </c>
      <c r="I851" s="282">
        <f t="shared" si="108"/>
        <v>24</v>
      </c>
      <c r="J851" s="135">
        <v>6.2</v>
      </c>
      <c r="K851" s="135">
        <f t="shared" si="111"/>
        <v>148.8</v>
      </c>
      <c r="L851" s="283"/>
      <c r="M851" s="278"/>
      <c r="N851" s="132"/>
    </row>
    <row r="852" s="243" customFormat="1" ht="20.25" spans="1:14">
      <c r="A852" s="263">
        <v>46001</v>
      </c>
      <c r="B852" s="127">
        <v>28</v>
      </c>
      <c r="C852" s="258">
        <v>46001</v>
      </c>
      <c r="D852" s="136"/>
      <c r="E852" s="136"/>
      <c r="F852" s="243" t="s">
        <v>810</v>
      </c>
      <c r="G852" s="136">
        <v>1</v>
      </c>
      <c r="H852" s="136">
        <v>22</v>
      </c>
      <c r="I852" s="282">
        <f t="shared" si="108"/>
        <v>22</v>
      </c>
      <c r="J852" s="135">
        <v>3</v>
      </c>
      <c r="K852" s="135">
        <f t="shared" si="111"/>
        <v>66</v>
      </c>
      <c r="L852" s="283"/>
      <c r="M852" s="278"/>
      <c r="N852" s="132"/>
    </row>
    <row r="853" s="2" customFormat="1" ht="20.25" spans="1:14">
      <c r="A853" s="263">
        <v>46001</v>
      </c>
      <c r="B853" s="127">
        <v>28</v>
      </c>
      <c r="C853" s="258">
        <v>46001</v>
      </c>
      <c r="D853" s="136"/>
      <c r="E853" s="136"/>
      <c r="F853" s="131" t="s">
        <v>124</v>
      </c>
      <c r="G853" s="134">
        <v>1</v>
      </c>
      <c r="H853" s="134">
        <v>2.5</v>
      </c>
      <c r="I853" s="282">
        <f t="shared" si="108"/>
        <v>2.5</v>
      </c>
      <c r="J853" s="135">
        <v>15</v>
      </c>
      <c r="K853" s="135"/>
      <c r="L853" s="131"/>
      <c r="M853" s="136"/>
      <c r="N853" s="132"/>
    </row>
    <row r="854" s="2" customFormat="1" ht="20.25" spans="1:14">
      <c r="A854" s="263">
        <v>46001</v>
      </c>
      <c r="B854" s="127">
        <v>28</v>
      </c>
      <c r="C854" s="258">
        <v>46001</v>
      </c>
      <c r="D854" s="136"/>
      <c r="E854" s="136"/>
      <c r="F854" s="131" t="s">
        <v>787</v>
      </c>
      <c r="G854" s="134">
        <v>1</v>
      </c>
      <c r="H854" s="134">
        <v>0.6</v>
      </c>
      <c r="I854" s="282">
        <f t="shared" si="108"/>
        <v>0.6</v>
      </c>
      <c r="J854" s="135">
        <v>38</v>
      </c>
      <c r="K854" s="135">
        <f t="shared" si="111"/>
        <v>22.8</v>
      </c>
      <c r="L854" s="131" t="s">
        <v>1040</v>
      </c>
      <c r="M854" s="136"/>
      <c r="N854" s="132"/>
    </row>
    <row r="855" s="243" customFormat="1" ht="20.25" spans="1:14">
      <c r="A855" s="263">
        <v>46001</v>
      </c>
      <c r="B855" s="127">
        <v>28</v>
      </c>
      <c r="C855" s="258">
        <v>46001</v>
      </c>
      <c r="D855" s="136"/>
      <c r="E855" s="136"/>
      <c r="F855" s="243" t="s">
        <v>351</v>
      </c>
      <c r="G855" s="136">
        <v>1</v>
      </c>
      <c r="H855" s="136">
        <v>2.3</v>
      </c>
      <c r="I855" s="282">
        <f t="shared" si="108"/>
        <v>2.3</v>
      </c>
      <c r="J855" s="135">
        <v>25</v>
      </c>
      <c r="K855" s="135">
        <f t="shared" si="111"/>
        <v>57.5</v>
      </c>
      <c r="L855" s="283"/>
      <c r="M855" s="278"/>
      <c r="N855" s="132"/>
    </row>
    <row r="856" s="243" customFormat="1" ht="20.25" spans="1:14">
      <c r="A856" s="263">
        <v>46001</v>
      </c>
      <c r="B856" s="127">
        <v>28</v>
      </c>
      <c r="C856" s="258">
        <v>46001</v>
      </c>
      <c r="D856" s="136"/>
      <c r="E856" s="136"/>
      <c r="F856" s="243" t="s">
        <v>632</v>
      </c>
      <c r="G856" s="136">
        <v>1</v>
      </c>
      <c r="H856" s="136">
        <v>0.3</v>
      </c>
      <c r="I856" s="282">
        <f t="shared" si="108"/>
        <v>0.3</v>
      </c>
      <c r="J856" s="135">
        <v>40</v>
      </c>
      <c r="K856" s="135">
        <f t="shared" si="111"/>
        <v>12</v>
      </c>
      <c r="L856" s="283" t="s">
        <v>881</v>
      </c>
      <c r="M856" s="278"/>
      <c r="N856" s="132"/>
    </row>
    <row r="857" s="243" customFormat="1" ht="20.25" spans="1:14">
      <c r="A857" s="263">
        <v>46001</v>
      </c>
      <c r="B857" s="127">
        <v>28</v>
      </c>
      <c r="C857" s="258">
        <v>46001</v>
      </c>
      <c r="D857" s="136"/>
      <c r="E857" s="136"/>
      <c r="F857" s="243" t="s">
        <v>385</v>
      </c>
      <c r="G857" s="136">
        <v>1</v>
      </c>
      <c r="H857" s="136">
        <v>0.1</v>
      </c>
      <c r="I857" s="282">
        <f t="shared" si="108"/>
        <v>0.1</v>
      </c>
      <c r="J857" s="135">
        <v>40</v>
      </c>
      <c r="K857" s="135">
        <f t="shared" si="111"/>
        <v>4</v>
      </c>
      <c r="L857" s="283"/>
      <c r="M857" s="278"/>
      <c r="N857" s="132"/>
    </row>
    <row r="858" s="243" customFormat="1" ht="20.25" spans="1:14">
      <c r="A858" s="263">
        <v>46001</v>
      </c>
      <c r="B858" s="127">
        <v>28</v>
      </c>
      <c r="C858" s="258">
        <v>46001</v>
      </c>
      <c r="D858" s="136"/>
      <c r="E858" s="136"/>
      <c r="F858" s="243" t="s">
        <v>1041</v>
      </c>
      <c r="G858" s="136">
        <v>1</v>
      </c>
      <c r="H858" s="136">
        <v>11</v>
      </c>
      <c r="I858" s="282">
        <f t="shared" si="108"/>
        <v>11</v>
      </c>
      <c r="J858" s="135">
        <v>13.1</v>
      </c>
      <c r="K858" s="135"/>
      <c r="L858" s="283"/>
      <c r="M858" s="278"/>
      <c r="N858" s="132"/>
    </row>
    <row r="859" s="243" customFormat="1" ht="20.25" spans="1:14">
      <c r="A859" s="263">
        <v>46001</v>
      </c>
      <c r="B859" s="127">
        <v>28</v>
      </c>
      <c r="C859" s="258">
        <v>46001</v>
      </c>
      <c r="D859" s="136"/>
      <c r="E859" s="136"/>
      <c r="F859" s="243" t="s">
        <v>885</v>
      </c>
      <c r="G859" s="136">
        <v>1</v>
      </c>
      <c r="H859" s="136">
        <f>SUM(H847:H858)</f>
        <v>101.3</v>
      </c>
      <c r="I859" s="282">
        <f t="shared" si="108"/>
        <v>101.3</v>
      </c>
      <c r="J859" s="135">
        <v>2</v>
      </c>
      <c r="K859" s="135">
        <f t="shared" si="111"/>
        <v>202.6</v>
      </c>
      <c r="L859" s="283"/>
      <c r="M859" s="278"/>
      <c r="N859" s="132"/>
    </row>
    <row r="860" s="243" customFormat="1" ht="20.25" spans="1:14">
      <c r="A860" s="263">
        <v>46001</v>
      </c>
      <c r="B860" s="127">
        <v>28</v>
      </c>
      <c r="C860" s="258">
        <v>46001</v>
      </c>
      <c r="D860" s="136"/>
      <c r="E860" s="136"/>
      <c r="F860" s="243" t="s">
        <v>128</v>
      </c>
      <c r="G860" s="136">
        <v>5</v>
      </c>
      <c r="H860" s="136">
        <v>1</v>
      </c>
      <c r="I860" s="282">
        <f t="shared" si="108"/>
        <v>5</v>
      </c>
      <c r="J860" s="135">
        <v>12.5</v>
      </c>
      <c r="K860" s="135">
        <f t="shared" si="111"/>
        <v>62.5</v>
      </c>
      <c r="L860" s="283">
        <f>SUM(K847:K860)</f>
        <v>605.3</v>
      </c>
      <c r="M860" s="278"/>
      <c r="N860" s="132"/>
    </row>
    <row r="861" s="245" customFormat="1" ht="20.25" spans="1:14">
      <c r="A861" s="284">
        <v>46010</v>
      </c>
      <c r="B861" s="105">
        <v>47</v>
      </c>
      <c r="C861" s="285">
        <v>46010</v>
      </c>
      <c r="D861" s="108"/>
      <c r="E861" s="108"/>
      <c r="F861" s="286" t="s">
        <v>982</v>
      </c>
      <c r="G861" s="108">
        <v>1</v>
      </c>
      <c r="H861" s="107">
        <v>8</v>
      </c>
      <c r="I861" s="290">
        <f t="shared" si="108"/>
        <v>8</v>
      </c>
      <c r="J861" s="109">
        <v>10.8</v>
      </c>
      <c r="K861" s="109"/>
      <c r="L861" s="287"/>
      <c r="M861" s="288"/>
      <c r="N861" s="111"/>
    </row>
    <row r="862" s="245" customFormat="1" ht="20.25" spans="1:14">
      <c r="A862" s="284">
        <v>46010</v>
      </c>
      <c r="B862" s="105">
        <v>47</v>
      </c>
      <c r="C862" s="285">
        <v>46010</v>
      </c>
      <c r="D862" s="108"/>
      <c r="E862" s="108"/>
      <c r="F862" s="286" t="s">
        <v>119</v>
      </c>
      <c r="G862" s="108">
        <v>1</v>
      </c>
      <c r="H862" s="107">
        <v>8</v>
      </c>
      <c r="I862" s="290">
        <f t="shared" si="108"/>
        <v>8</v>
      </c>
      <c r="J862" s="109">
        <v>7.7</v>
      </c>
      <c r="K862" s="109"/>
      <c r="L862" s="287"/>
      <c r="M862" s="288"/>
      <c r="N862" s="111"/>
    </row>
    <row r="863" s="245" customFormat="1" ht="20.25" spans="1:14">
      <c r="A863" s="284">
        <v>46010</v>
      </c>
      <c r="B863" s="105">
        <v>47</v>
      </c>
      <c r="C863" s="285">
        <v>46010</v>
      </c>
      <c r="D863" s="108"/>
      <c r="E863" s="108"/>
      <c r="F863" s="245" t="s">
        <v>120</v>
      </c>
      <c r="G863" s="108">
        <v>1</v>
      </c>
      <c r="H863" s="107">
        <v>1.2</v>
      </c>
      <c r="I863" s="290">
        <f t="shared" si="108"/>
        <v>1.2</v>
      </c>
      <c r="J863" s="109">
        <v>17</v>
      </c>
      <c r="K863" s="109">
        <f t="shared" ref="K861:K870" si="112">I863*J863</f>
        <v>20.4</v>
      </c>
      <c r="L863" s="287"/>
      <c r="M863" s="288"/>
      <c r="N863" s="111"/>
    </row>
    <row r="864" s="245" customFormat="1" ht="20.25" spans="1:14">
      <c r="A864" s="284">
        <v>46010</v>
      </c>
      <c r="B864" s="105">
        <v>47</v>
      </c>
      <c r="C864" s="285">
        <v>46010</v>
      </c>
      <c r="D864" s="108"/>
      <c r="E864" s="108"/>
      <c r="F864" s="245" t="s">
        <v>122</v>
      </c>
      <c r="G864" s="108">
        <v>1</v>
      </c>
      <c r="H864" s="107">
        <v>20</v>
      </c>
      <c r="I864" s="290">
        <f t="shared" si="108"/>
        <v>20</v>
      </c>
      <c r="J864" s="109">
        <v>6.2</v>
      </c>
      <c r="K864" s="109">
        <f t="shared" si="112"/>
        <v>124</v>
      </c>
      <c r="L864" s="287" t="s">
        <v>881</v>
      </c>
      <c r="M864" s="108"/>
      <c r="N864" s="111"/>
    </row>
    <row r="865" s="245" customFormat="1" ht="20.25" spans="1:14">
      <c r="A865" s="284">
        <v>46010</v>
      </c>
      <c r="B865" s="105">
        <v>47</v>
      </c>
      <c r="C865" s="285">
        <v>46010</v>
      </c>
      <c r="D865" s="108"/>
      <c r="E865" s="108"/>
      <c r="F865" s="245" t="s">
        <v>123</v>
      </c>
      <c r="G865" s="108">
        <v>1</v>
      </c>
      <c r="H865" s="107">
        <v>13</v>
      </c>
      <c r="I865" s="290">
        <f t="shared" si="108"/>
        <v>13</v>
      </c>
      <c r="J865" s="109">
        <v>3</v>
      </c>
      <c r="K865" s="109">
        <f t="shared" si="112"/>
        <v>39</v>
      </c>
      <c r="L865" s="287" t="s">
        <v>1042</v>
      </c>
      <c r="M865" s="288"/>
      <c r="N865" s="111"/>
    </row>
    <row r="866" s="245" customFormat="1" ht="20.25" spans="1:14">
      <c r="A866" s="284">
        <v>46010</v>
      </c>
      <c r="B866" s="105">
        <v>47</v>
      </c>
      <c r="C866" s="285">
        <v>46010</v>
      </c>
      <c r="D866" s="108"/>
      <c r="E866" s="108"/>
      <c r="F866" s="245" t="s">
        <v>124</v>
      </c>
      <c r="G866" s="108">
        <v>1</v>
      </c>
      <c r="H866" s="107">
        <v>5</v>
      </c>
      <c r="I866" s="290">
        <f t="shared" si="108"/>
        <v>5</v>
      </c>
      <c r="J866" s="109">
        <v>15</v>
      </c>
      <c r="K866" s="109"/>
      <c r="L866" s="287"/>
      <c r="M866" s="288"/>
      <c r="N866" s="111"/>
    </row>
    <row r="867" s="245" customFormat="1" ht="20.25" spans="1:14">
      <c r="A867" s="284">
        <v>46010</v>
      </c>
      <c r="B867" s="105">
        <v>47</v>
      </c>
      <c r="C867" s="285">
        <v>46010</v>
      </c>
      <c r="D867" s="108"/>
      <c r="E867" s="108"/>
      <c r="F867" s="245" t="s">
        <v>432</v>
      </c>
      <c r="G867" s="108">
        <v>1</v>
      </c>
      <c r="H867" s="107">
        <v>2.4</v>
      </c>
      <c r="I867" s="290">
        <f t="shared" si="108"/>
        <v>2.4</v>
      </c>
      <c r="J867" s="109">
        <v>25</v>
      </c>
      <c r="K867" s="109">
        <f t="shared" si="112"/>
        <v>60</v>
      </c>
      <c r="L867" s="287" t="s">
        <v>1043</v>
      </c>
      <c r="M867" s="288"/>
      <c r="N867" s="111"/>
    </row>
    <row r="868" s="245" customFormat="1" ht="20.25" spans="1:14">
      <c r="A868" s="284">
        <v>46010</v>
      </c>
      <c r="B868" s="105">
        <v>47</v>
      </c>
      <c r="C868" s="285">
        <v>46010</v>
      </c>
      <c r="D868" s="108"/>
      <c r="E868" s="108"/>
      <c r="F868" s="245" t="s">
        <v>787</v>
      </c>
      <c r="G868" s="108">
        <v>1</v>
      </c>
      <c r="H868" s="107">
        <v>0.4</v>
      </c>
      <c r="I868" s="290">
        <f t="shared" si="108"/>
        <v>0.4</v>
      </c>
      <c r="J868" s="109">
        <v>38</v>
      </c>
      <c r="K868" s="109">
        <f t="shared" si="112"/>
        <v>15.2</v>
      </c>
      <c r="L868" s="287"/>
      <c r="M868" s="288"/>
      <c r="N868" s="111"/>
    </row>
    <row r="869" s="245" customFormat="1" ht="20.25" spans="1:14">
      <c r="A869" s="284">
        <v>46010</v>
      </c>
      <c r="B869" s="105">
        <v>47</v>
      </c>
      <c r="C869" s="285">
        <v>46010</v>
      </c>
      <c r="D869" s="108"/>
      <c r="E869" s="108"/>
      <c r="F869" s="245" t="s">
        <v>1044</v>
      </c>
      <c r="G869" s="108">
        <v>1</v>
      </c>
      <c r="H869" s="108">
        <f>SUM(H861:H868)</f>
        <v>58</v>
      </c>
      <c r="I869" s="290">
        <f t="shared" si="108"/>
        <v>58</v>
      </c>
      <c r="J869" s="109">
        <v>2</v>
      </c>
      <c r="K869" s="109">
        <f t="shared" si="112"/>
        <v>116</v>
      </c>
      <c r="L869" s="287">
        <f>SUM(K861:K870)</f>
        <v>412.1</v>
      </c>
      <c r="M869" s="288"/>
      <c r="N869" s="111"/>
    </row>
    <row r="870" s="1" customFormat="1" ht="20.25" spans="1:14">
      <c r="A870" s="284">
        <v>46010</v>
      </c>
      <c r="B870" s="105">
        <v>47</v>
      </c>
      <c r="C870" s="285">
        <v>46010</v>
      </c>
      <c r="D870" s="108"/>
      <c r="E870" s="108"/>
      <c r="F870" s="245" t="s">
        <v>128</v>
      </c>
      <c r="G870" s="108">
        <v>3</v>
      </c>
      <c r="H870" s="108">
        <v>1</v>
      </c>
      <c r="I870" s="290">
        <f t="shared" si="108"/>
        <v>3</v>
      </c>
      <c r="J870" s="109">
        <v>12.5</v>
      </c>
      <c r="K870" s="109">
        <f t="shared" si="112"/>
        <v>37.5</v>
      </c>
      <c r="L870" s="110"/>
      <c r="M870" s="110"/>
      <c r="N870" s="111"/>
    </row>
    <row r="871" s="243" customFormat="1" ht="20.25" spans="1:14">
      <c r="A871" s="263">
        <v>46032</v>
      </c>
      <c r="B871" s="127">
        <v>27</v>
      </c>
      <c r="C871" s="258">
        <v>46304</v>
      </c>
      <c r="D871" s="136"/>
      <c r="E871" s="136"/>
      <c r="F871" s="326" t="s">
        <v>117</v>
      </c>
      <c r="G871" s="136">
        <v>1</v>
      </c>
      <c r="H871" s="134">
        <v>20</v>
      </c>
      <c r="I871" s="282">
        <f t="shared" si="108"/>
        <v>20</v>
      </c>
      <c r="J871" s="135">
        <v>10.8</v>
      </c>
      <c r="K871" s="135"/>
      <c r="L871" s="283"/>
      <c r="M871" s="278"/>
      <c r="N871" s="132"/>
    </row>
    <row r="872" s="243" customFormat="1" ht="20.25" spans="1:14">
      <c r="A872" s="263">
        <v>46032</v>
      </c>
      <c r="B872" s="127">
        <v>27</v>
      </c>
      <c r="C872" s="258">
        <v>46304</v>
      </c>
      <c r="D872" s="136"/>
      <c r="E872" s="136"/>
      <c r="F872" s="264" t="s">
        <v>119</v>
      </c>
      <c r="G872" s="136">
        <v>1</v>
      </c>
      <c r="H872" s="134">
        <v>20</v>
      </c>
      <c r="I872" s="282">
        <f t="shared" si="108"/>
        <v>20</v>
      </c>
      <c r="J872" s="135">
        <v>7.7</v>
      </c>
      <c r="K872" s="135"/>
      <c r="L872" s="283"/>
      <c r="M872" s="278"/>
      <c r="N872" s="132"/>
    </row>
    <row r="873" s="243" customFormat="1" ht="20.25" spans="1:14">
      <c r="A873" s="263">
        <v>46032</v>
      </c>
      <c r="B873" s="127">
        <v>27</v>
      </c>
      <c r="C873" s="258">
        <v>46304</v>
      </c>
      <c r="D873" s="136"/>
      <c r="E873" s="136"/>
      <c r="F873" s="243" t="s">
        <v>120</v>
      </c>
      <c r="G873" s="136">
        <v>1</v>
      </c>
      <c r="H873" s="134">
        <v>2.5</v>
      </c>
      <c r="I873" s="282">
        <f t="shared" si="108"/>
        <v>2.5</v>
      </c>
      <c r="J873" s="135">
        <v>17</v>
      </c>
      <c r="K873" s="135">
        <f t="shared" ref="K873:K881" si="113">I873*J873</f>
        <v>42.5</v>
      </c>
      <c r="L873" s="283"/>
      <c r="M873" s="278"/>
      <c r="N873" s="132"/>
    </row>
    <row r="874" s="243" customFormat="1" ht="20.25" spans="1:14">
      <c r="A874" s="263">
        <v>46032</v>
      </c>
      <c r="B874" s="127">
        <v>27</v>
      </c>
      <c r="C874" s="258">
        <v>46304</v>
      </c>
      <c r="D874" s="136"/>
      <c r="E874" s="136"/>
      <c r="F874" s="243" t="s">
        <v>121</v>
      </c>
      <c r="G874" s="136">
        <v>1</v>
      </c>
      <c r="H874" s="134">
        <v>7</v>
      </c>
      <c r="I874" s="282">
        <f t="shared" si="108"/>
        <v>7</v>
      </c>
      <c r="J874" s="135">
        <v>0.6</v>
      </c>
      <c r="K874" s="135">
        <f t="shared" si="113"/>
        <v>4.2</v>
      </c>
      <c r="L874" s="283"/>
      <c r="M874" s="278"/>
      <c r="N874" s="132"/>
    </row>
    <row r="875" s="243" customFormat="1" ht="20.25" spans="1:14">
      <c r="A875" s="263">
        <v>46032</v>
      </c>
      <c r="B875" s="127">
        <v>27</v>
      </c>
      <c r="C875" s="258">
        <v>46304</v>
      </c>
      <c r="D875" s="136"/>
      <c r="E875" s="136"/>
      <c r="F875" s="243" t="s">
        <v>122</v>
      </c>
      <c r="G875" s="136">
        <v>1</v>
      </c>
      <c r="H875" s="134">
        <v>28</v>
      </c>
      <c r="I875" s="282">
        <f t="shared" si="108"/>
        <v>28</v>
      </c>
      <c r="J875" s="135">
        <v>6.2</v>
      </c>
      <c r="K875" s="135">
        <f t="shared" si="113"/>
        <v>173.6</v>
      </c>
      <c r="L875" s="283" t="s">
        <v>1045</v>
      </c>
      <c r="M875" s="136"/>
      <c r="N875" s="132"/>
    </row>
    <row r="876" s="243" customFormat="1" ht="20.25" spans="1:14">
      <c r="A876" s="263">
        <v>46032</v>
      </c>
      <c r="B876" s="127">
        <v>27</v>
      </c>
      <c r="C876" s="258">
        <v>46304</v>
      </c>
      <c r="D876" s="136"/>
      <c r="E876" s="136"/>
      <c r="F876" s="243" t="s">
        <v>123</v>
      </c>
      <c r="G876" s="136">
        <v>1</v>
      </c>
      <c r="H876" s="134">
        <v>30</v>
      </c>
      <c r="I876" s="282">
        <f t="shared" si="108"/>
        <v>30</v>
      </c>
      <c r="J876" s="135">
        <v>3</v>
      </c>
      <c r="K876" s="135">
        <f t="shared" si="113"/>
        <v>90</v>
      </c>
      <c r="L876" s="283" t="s">
        <v>1046</v>
      </c>
      <c r="M876" s="278"/>
      <c r="N876" s="132"/>
    </row>
    <row r="877" s="243" customFormat="1" ht="20.25" spans="1:14">
      <c r="A877" s="263">
        <v>46032</v>
      </c>
      <c r="B877" s="127">
        <v>27</v>
      </c>
      <c r="C877" s="258">
        <v>46304</v>
      </c>
      <c r="D877" s="136"/>
      <c r="E877" s="136"/>
      <c r="F877" s="243" t="s">
        <v>124</v>
      </c>
      <c r="G877" s="136">
        <v>1</v>
      </c>
      <c r="H877" s="134">
        <v>3</v>
      </c>
      <c r="I877" s="282">
        <f t="shared" si="108"/>
        <v>3</v>
      </c>
      <c r="J877" s="135">
        <v>15</v>
      </c>
      <c r="K877" s="135"/>
      <c r="L877" s="283"/>
      <c r="M877" s="278"/>
      <c r="N877" s="132"/>
    </row>
    <row r="878" s="243" customFormat="1" ht="20.25" spans="1:14">
      <c r="A878" s="263">
        <v>46032</v>
      </c>
      <c r="B878" s="127">
        <v>27</v>
      </c>
      <c r="C878" s="258">
        <v>46304</v>
      </c>
      <c r="D878" s="136"/>
      <c r="E878" s="136"/>
      <c r="F878" s="243" t="s">
        <v>125</v>
      </c>
      <c r="G878" s="136">
        <v>1</v>
      </c>
      <c r="H878" s="134">
        <v>9</v>
      </c>
      <c r="I878" s="282">
        <f t="shared" si="108"/>
        <v>9</v>
      </c>
      <c r="J878" s="135">
        <v>25</v>
      </c>
      <c r="K878" s="135">
        <f>I878*J878</f>
        <v>225</v>
      </c>
      <c r="L878" s="283" t="s">
        <v>1043</v>
      </c>
      <c r="M878" s="278"/>
      <c r="N878" s="132"/>
    </row>
    <row r="879" s="243" customFormat="1" ht="20.25" spans="1:14">
      <c r="A879" s="263">
        <v>46032</v>
      </c>
      <c r="B879" s="127">
        <v>27</v>
      </c>
      <c r="C879" s="258">
        <v>46304</v>
      </c>
      <c r="D879" s="136"/>
      <c r="E879" s="136"/>
      <c r="F879" s="243" t="s">
        <v>126</v>
      </c>
      <c r="G879" s="136">
        <v>1</v>
      </c>
      <c r="H879" s="134">
        <v>11</v>
      </c>
      <c r="I879" s="282">
        <f t="shared" si="108"/>
        <v>11</v>
      </c>
      <c r="J879" s="135">
        <v>7</v>
      </c>
      <c r="K879" s="135">
        <f t="shared" si="113"/>
        <v>77</v>
      </c>
      <c r="L879" s="283"/>
      <c r="M879" s="278"/>
      <c r="N879" s="132"/>
    </row>
    <row r="880" s="243" customFormat="1" ht="20.25" spans="1:14">
      <c r="A880" s="263">
        <v>46032</v>
      </c>
      <c r="B880" s="127">
        <v>27</v>
      </c>
      <c r="C880" s="258">
        <v>46304</v>
      </c>
      <c r="D880" s="136"/>
      <c r="E880" s="136"/>
      <c r="F880" s="243" t="s">
        <v>127</v>
      </c>
      <c r="G880" s="136">
        <v>1</v>
      </c>
      <c r="H880" s="136">
        <f>SUM(H871:H879)</f>
        <v>130.5</v>
      </c>
      <c r="I880" s="282">
        <f t="shared" si="108"/>
        <v>130.5</v>
      </c>
      <c r="J880" s="135">
        <v>2</v>
      </c>
      <c r="K880" s="135">
        <f t="shared" si="113"/>
        <v>261</v>
      </c>
      <c r="L880" s="283">
        <f>SUM(K872:K881)</f>
        <v>960.8</v>
      </c>
      <c r="M880" s="278"/>
      <c r="N880" s="132"/>
    </row>
    <row r="881" s="2" customFormat="1" ht="20.25" spans="1:14">
      <c r="A881" s="263">
        <v>46032</v>
      </c>
      <c r="B881" s="127">
        <v>27</v>
      </c>
      <c r="C881" s="258">
        <v>46304</v>
      </c>
      <c r="D881" s="136"/>
      <c r="E881" s="136"/>
      <c r="F881" s="243" t="s">
        <v>128</v>
      </c>
      <c r="G881" s="136">
        <v>7</v>
      </c>
      <c r="H881" s="136">
        <v>1</v>
      </c>
      <c r="I881" s="282">
        <f t="shared" si="108"/>
        <v>7</v>
      </c>
      <c r="J881" s="135">
        <v>12.5</v>
      </c>
      <c r="K881" s="135">
        <f t="shared" si="113"/>
        <v>87.5</v>
      </c>
      <c r="L881" s="131"/>
      <c r="M881" s="131"/>
      <c r="N881" s="132"/>
    </row>
    <row r="882" s="1" customFormat="1" ht="20.25" spans="1:14">
      <c r="A882" s="284"/>
      <c r="B882" s="105"/>
      <c r="C882" s="285"/>
      <c r="D882" s="108"/>
      <c r="E882" s="108"/>
      <c r="F882" s="245"/>
      <c r="G882" s="108"/>
      <c r="H882" s="108"/>
      <c r="I882" s="290"/>
      <c r="J882" s="109"/>
      <c r="K882" s="109"/>
      <c r="L882" s="110"/>
      <c r="M882" s="110"/>
      <c r="N882" s="111"/>
    </row>
    <row r="883" s="1" customFormat="1" ht="20.25" spans="1:14">
      <c r="A883" s="284"/>
      <c r="B883" s="105"/>
      <c r="C883" s="285"/>
      <c r="D883" s="108"/>
      <c r="E883" s="108"/>
      <c r="F883" s="245"/>
      <c r="G883" s="108"/>
      <c r="H883" s="108"/>
      <c r="I883" s="290"/>
      <c r="J883" s="109"/>
      <c r="K883" s="109"/>
      <c r="L883" s="110"/>
      <c r="M883" s="110"/>
      <c r="N883" s="111"/>
    </row>
    <row r="884" s="1" customFormat="1" ht="20.25" spans="1:14">
      <c r="A884" s="284"/>
      <c r="B884" s="105"/>
      <c r="C884" s="285"/>
      <c r="D884" s="108"/>
      <c r="E884" s="108"/>
      <c r="F884" s="245"/>
      <c r="G884" s="108"/>
      <c r="H884" s="108"/>
      <c r="I884" s="290"/>
      <c r="J884" s="109"/>
      <c r="K884" s="109"/>
      <c r="L884" s="110"/>
      <c r="M884" s="110"/>
      <c r="N884" s="111"/>
    </row>
    <row r="885" s="242" customFormat="1" ht="20.25" spans="1:14">
      <c r="A885" s="320"/>
      <c r="B885" s="273"/>
      <c r="C885" s="320"/>
      <c r="D885" s="320"/>
      <c r="E885" s="320"/>
      <c r="F885" s="261"/>
      <c r="G885" s="274"/>
      <c r="H885" s="274"/>
      <c r="I885" s="274"/>
      <c r="J885" s="275"/>
      <c r="K885" s="275"/>
      <c r="L885" s="300"/>
      <c r="M885" s="243"/>
      <c r="N885" s="259"/>
    </row>
    <row r="886" s="249" customFormat="1" ht="20.25" spans="1:14">
      <c r="A886" s="258"/>
      <c r="B886" s="105"/>
      <c r="C886" s="258"/>
      <c r="D886" s="258"/>
      <c r="E886" s="258"/>
      <c r="F886" s="248" t="s">
        <v>1047</v>
      </c>
      <c r="G886" s="136"/>
      <c r="H886" s="136"/>
      <c r="I886" s="136"/>
      <c r="J886" s="135"/>
      <c r="K886" s="135"/>
      <c r="L886" s="301"/>
      <c r="M886" s="245"/>
      <c r="N886" s="322"/>
    </row>
    <row r="887" s="249" customFormat="1" ht="20.25" spans="1:14">
      <c r="A887" s="258"/>
      <c r="B887" s="105"/>
      <c r="C887" s="258"/>
      <c r="D887" s="258"/>
      <c r="E887" s="258"/>
      <c r="F887" s="243"/>
      <c r="G887" s="136"/>
      <c r="H887" s="136"/>
      <c r="I887" s="136"/>
      <c r="J887" s="135"/>
      <c r="K887" s="135"/>
      <c r="L887" s="301"/>
      <c r="M887" s="245"/>
      <c r="N887" s="322"/>
    </row>
    <row r="888" s="242" customFormat="1" ht="20.25" spans="1:14">
      <c r="A888" s="258"/>
      <c r="B888" s="105"/>
      <c r="C888" s="258"/>
      <c r="D888" s="258"/>
      <c r="E888" s="258"/>
      <c r="F888" s="243"/>
      <c r="G888" s="136"/>
      <c r="H888" s="136"/>
      <c r="I888" s="136"/>
      <c r="J888" s="135"/>
      <c r="K888" s="135"/>
      <c r="L888" s="300"/>
      <c r="M888" s="243"/>
      <c r="N888" s="259"/>
    </row>
    <row r="889" s="242" customFormat="1" ht="20.25" spans="1:14">
      <c r="A889" s="258"/>
      <c r="B889" s="105"/>
      <c r="C889" s="258"/>
      <c r="D889" s="258"/>
      <c r="E889" s="258"/>
      <c r="F889" s="243"/>
      <c r="G889" s="136"/>
      <c r="H889" s="136"/>
      <c r="I889" s="136"/>
      <c r="J889" s="135"/>
      <c r="K889" s="135"/>
      <c r="L889" s="300"/>
      <c r="M889" s="243"/>
      <c r="N889" s="259"/>
    </row>
    <row r="890" s="242" customFormat="1" ht="20.25" spans="1:14">
      <c r="A890" s="258"/>
      <c r="B890" s="105"/>
      <c r="C890" s="258"/>
      <c r="D890" s="258"/>
      <c r="E890" s="258"/>
      <c r="F890" s="243"/>
      <c r="G890" s="136"/>
      <c r="H890" s="136"/>
      <c r="I890" s="136"/>
      <c r="J890" s="135"/>
      <c r="K890" s="135"/>
      <c r="L890" s="300"/>
      <c r="M890" s="243"/>
      <c r="N890" s="259"/>
    </row>
    <row r="891" s="242" customFormat="1" ht="20.25" spans="1:14">
      <c r="A891" s="258"/>
      <c r="B891" s="105"/>
      <c r="C891" s="258"/>
      <c r="D891" s="258"/>
      <c r="E891" s="258"/>
      <c r="F891" s="243"/>
      <c r="G891" s="136"/>
      <c r="H891" s="136"/>
      <c r="I891" s="136"/>
      <c r="J891" s="135"/>
      <c r="K891" s="135"/>
      <c r="L891" s="300"/>
      <c r="M891" s="243"/>
      <c r="N891" s="259"/>
    </row>
    <row r="892" s="242" customFormat="1" ht="20.25" spans="1:14">
      <c r="A892" s="258"/>
      <c r="B892" s="105"/>
      <c r="C892" s="258"/>
      <c r="D892" s="258"/>
      <c r="E892" s="258"/>
      <c r="F892" s="243"/>
      <c r="G892" s="136"/>
      <c r="H892" s="136"/>
      <c r="I892" s="136"/>
      <c r="J892" s="135"/>
      <c r="K892" s="135"/>
      <c r="L892" s="300"/>
      <c r="M892" s="243"/>
      <c r="N892" s="259"/>
    </row>
    <row r="893" s="242" customFormat="1" ht="20.25" spans="1:14">
      <c r="A893" s="258"/>
      <c r="B893" s="105"/>
      <c r="C893" s="258"/>
      <c r="D893" s="258"/>
      <c r="E893" s="258"/>
      <c r="F893" s="243"/>
      <c r="G893" s="136"/>
      <c r="H893" s="136"/>
      <c r="I893" s="136"/>
      <c r="J893" s="135"/>
      <c r="K893" s="135"/>
      <c r="L893" s="300"/>
      <c r="M893" s="243"/>
      <c r="N893" s="259"/>
    </row>
    <row r="894" s="242" customFormat="1" ht="20.25" spans="1:14">
      <c r="A894" s="258"/>
      <c r="B894" s="105"/>
      <c r="C894" s="258"/>
      <c r="D894" s="258"/>
      <c r="E894" s="258"/>
      <c r="F894" s="243"/>
      <c r="G894" s="136"/>
      <c r="H894" s="136"/>
      <c r="I894" s="136"/>
      <c r="J894" s="135"/>
      <c r="K894" s="135"/>
      <c r="L894" s="300"/>
      <c r="M894" s="243"/>
      <c r="N894" s="259"/>
    </row>
    <row r="895" s="242" customFormat="1" ht="20.25" spans="1:14">
      <c r="A895" s="258"/>
      <c r="B895" s="105"/>
      <c r="C895" s="258"/>
      <c r="D895" s="258"/>
      <c r="E895" s="258"/>
      <c r="F895" s="243"/>
      <c r="G895" s="136"/>
      <c r="H895" s="136"/>
      <c r="I895" s="136"/>
      <c r="J895" s="135"/>
      <c r="K895" s="135"/>
      <c r="L895" s="300"/>
      <c r="M895" s="243"/>
      <c r="N895" s="259"/>
    </row>
    <row r="896" s="242" customFormat="1" ht="20.25" spans="1:14">
      <c r="A896" s="258"/>
      <c r="B896" s="105"/>
      <c r="C896" s="258"/>
      <c r="D896" s="258"/>
      <c r="E896" s="258"/>
      <c r="F896" s="243"/>
      <c r="G896" s="136"/>
      <c r="H896" s="136"/>
      <c r="I896" s="136"/>
      <c r="J896" s="135"/>
      <c r="K896" s="135"/>
      <c r="L896" s="300"/>
      <c r="M896" s="243"/>
      <c r="N896" s="259"/>
    </row>
    <row r="897" s="242" customFormat="1" ht="20.25" spans="1:14">
      <c r="A897" s="258"/>
      <c r="B897" s="105"/>
      <c r="C897" s="258"/>
      <c r="D897" s="258"/>
      <c r="E897" s="258"/>
      <c r="F897" s="243"/>
      <c r="G897" s="136"/>
      <c r="H897" s="136"/>
      <c r="I897" s="136"/>
      <c r="J897" s="135"/>
      <c r="K897" s="135"/>
      <c r="L897" s="300"/>
      <c r="M897" s="243"/>
      <c r="N897" s="259"/>
    </row>
    <row r="898" s="242" customFormat="1" ht="20.25" spans="1:14">
      <c r="A898" s="258"/>
      <c r="B898" s="105"/>
      <c r="C898" s="258"/>
      <c r="D898" s="258"/>
      <c r="E898" s="258"/>
      <c r="F898" s="243"/>
      <c r="G898" s="136"/>
      <c r="H898" s="136"/>
      <c r="I898" s="136"/>
      <c r="J898" s="135"/>
      <c r="K898" s="135"/>
      <c r="L898" s="300"/>
      <c r="M898" s="243"/>
      <c r="N898" s="259"/>
    </row>
    <row r="899" s="242" customFormat="1" ht="20.25" spans="1:14">
      <c r="A899" s="258"/>
      <c r="B899" s="105"/>
      <c r="C899" s="258"/>
      <c r="D899" s="258"/>
      <c r="E899" s="258"/>
      <c r="F899" s="243"/>
      <c r="G899" s="136"/>
      <c r="H899" s="136"/>
      <c r="I899" s="136"/>
      <c r="J899" s="135"/>
      <c r="K899" s="135"/>
      <c r="L899" s="300"/>
      <c r="M899" s="243"/>
      <c r="N899" s="259"/>
    </row>
    <row r="900" s="242" customFormat="1" ht="20.25" spans="1:14">
      <c r="A900" s="258"/>
      <c r="B900" s="105"/>
      <c r="C900" s="258"/>
      <c r="D900" s="258"/>
      <c r="E900" s="258"/>
      <c r="F900" s="243"/>
      <c r="G900" s="136"/>
      <c r="H900" s="136"/>
      <c r="I900" s="136"/>
      <c r="J900" s="135"/>
      <c r="K900" s="135"/>
      <c r="L900" s="300"/>
      <c r="M900" s="243"/>
      <c r="N900" s="259"/>
    </row>
    <row r="901" s="242" customFormat="1" ht="20.25" spans="1:14">
      <c r="A901" s="258"/>
      <c r="B901" s="105"/>
      <c r="C901" s="258"/>
      <c r="D901" s="258"/>
      <c r="E901" s="258"/>
      <c r="F901" s="243"/>
      <c r="G901" s="136"/>
      <c r="H901" s="136"/>
      <c r="I901" s="136"/>
      <c r="J901" s="135"/>
      <c r="K901" s="135"/>
      <c r="L901" s="300"/>
      <c r="M901" s="243"/>
      <c r="N901" s="259"/>
    </row>
    <row r="902" s="242" customFormat="1" ht="20.25" spans="1:14">
      <c r="A902" s="258"/>
      <c r="B902" s="105"/>
      <c r="C902" s="258"/>
      <c r="D902" s="258"/>
      <c r="E902" s="258"/>
      <c r="F902" s="243"/>
      <c r="G902" s="136"/>
      <c r="H902" s="136"/>
      <c r="I902" s="136"/>
      <c r="J902" s="135"/>
      <c r="K902" s="135"/>
      <c r="L902" s="300"/>
      <c r="M902" s="243"/>
      <c r="N902" s="259"/>
    </row>
    <row r="903" s="242" customFormat="1" ht="20.25" spans="1:14">
      <c r="A903" s="258"/>
      <c r="B903" s="105"/>
      <c r="C903" s="258"/>
      <c r="D903" s="258"/>
      <c r="E903" s="258"/>
      <c r="F903" s="243"/>
      <c r="G903" s="136"/>
      <c r="H903" s="136"/>
      <c r="I903" s="136"/>
      <c r="J903" s="135"/>
      <c r="K903" s="135"/>
      <c r="L903" s="300"/>
      <c r="M903" s="243"/>
      <c r="N903" s="259"/>
    </row>
    <row r="904" s="242" customFormat="1" ht="20.25" spans="1:14">
      <c r="A904" s="258"/>
      <c r="B904" s="105"/>
      <c r="C904" s="258"/>
      <c r="D904" s="258"/>
      <c r="E904" s="258"/>
      <c r="F904" s="243"/>
      <c r="G904" s="136"/>
      <c r="H904" s="136"/>
      <c r="I904" s="136"/>
      <c r="J904" s="135"/>
      <c r="K904" s="135"/>
      <c r="L904" s="300"/>
      <c r="M904" s="243"/>
      <c r="N904" s="259"/>
    </row>
    <row r="905" s="242" customFormat="1" ht="20.25" spans="1:14">
      <c r="A905" s="258"/>
      <c r="B905" s="105"/>
      <c r="C905" s="258"/>
      <c r="D905" s="258"/>
      <c r="E905" s="258"/>
      <c r="F905" s="243"/>
      <c r="G905" s="136"/>
      <c r="H905" s="136"/>
      <c r="I905" s="136"/>
      <c r="J905" s="135"/>
      <c r="K905" s="135"/>
      <c r="L905" s="300"/>
      <c r="M905" s="243"/>
      <c r="N905" s="259"/>
    </row>
    <row r="906" s="242" customFormat="1" ht="20.25" spans="1:14">
      <c r="A906" s="258"/>
      <c r="B906" s="105"/>
      <c r="C906" s="258"/>
      <c r="D906" s="258"/>
      <c r="E906" s="258"/>
      <c r="F906" s="243"/>
      <c r="G906" s="136"/>
      <c r="H906" s="136"/>
      <c r="I906" s="136"/>
      <c r="J906" s="135"/>
      <c r="K906" s="135"/>
      <c r="L906" s="300"/>
      <c r="M906" s="243"/>
      <c r="N906" s="259"/>
    </row>
    <row r="907" s="242" customFormat="1" ht="20.25" spans="1:14">
      <c r="A907" s="258"/>
      <c r="B907" s="105"/>
      <c r="C907" s="258"/>
      <c r="D907" s="258"/>
      <c r="E907" s="258"/>
      <c r="F907" s="243"/>
      <c r="G907" s="136"/>
      <c r="H907" s="136"/>
      <c r="I907" s="136"/>
      <c r="J907" s="135"/>
      <c r="K907" s="135"/>
      <c r="L907" s="300"/>
      <c r="M907" s="243"/>
      <c r="N907" s="259"/>
    </row>
    <row r="908" s="242" customFormat="1" ht="20.25" spans="1:14">
      <c r="A908" s="258"/>
      <c r="B908" s="105"/>
      <c r="C908" s="258"/>
      <c r="D908" s="258"/>
      <c r="E908" s="258"/>
      <c r="F908" s="243"/>
      <c r="G908" s="136"/>
      <c r="H908" s="136"/>
      <c r="I908" s="136"/>
      <c r="J908" s="135"/>
      <c r="K908" s="135"/>
      <c r="L908" s="300"/>
      <c r="M908" s="243"/>
      <c r="N908" s="259"/>
    </row>
    <row r="909" s="242" customFormat="1" ht="20.25" spans="1:14">
      <c r="A909" s="258"/>
      <c r="B909" s="105"/>
      <c r="C909" s="258"/>
      <c r="D909" s="258"/>
      <c r="E909" s="258"/>
      <c r="F909" s="243"/>
      <c r="G909" s="136"/>
      <c r="H909" s="136"/>
      <c r="I909" s="136"/>
      <c r="J909" s="135"/>
      <c r="K909" s="135"/>
      <c r="L909" s="300"/>
      <c r="M909" s="243"/>
      <c r="N909" s="259"/>
    </row>
    <row r="910" s="242" customFormat="1" ht="20.25" spans="1:14">
      <c r="A910" s="258"/>
      <c r="B910" s="105"/>
      <c r="C910" s="258"/>
      <c r="D910" s="258"/>
      <c r="E910" s="258"/>
      <c r="F910" s="243"/>
      <c r="G910" s="136"/>
      <c r="H910" s="136"/>
      <c r="I910" s="136"/>
      <c r="J910" s="135"/>
      <c r="K910" s="135"/>
      <c r="L910" s="300"/>
      <c r="M910" s="243"/>
      <c r="N910" s="259"/>
    </row>
    <row r="911" s="242" customFormat="1" ht="20.25" spans="1:14">
      <c r="A911" s="258"/>
      <c r="B911" s="105"/>
      <c r="C911" s="258"/>
      <c r="D911" s="258"/>
      <c r="E911" s="258"/>
      <c r="F911" s="243"/>
      <c r="G911" s="136"/>
      <c r="H911" s="136"/>
      <c r="I911" s="136"/>
      <c r="J911" s="135"/>
      <c r="K911" s="135"/>
      <c r="L911" s="300"/>
      <c r="M911" s="243"/>
      <c r="N911" s="259"/>
    </row>
    <row r="912" s="242" customFormat="1" ht="20.25" spans="1:14">
      <c r="A912" s="258"/>
      <c r="B912" s="105"/>
      <c r="C912" s="258"/>
      <c r="D912" s="258"/>
      <c r="E912" s="258"/>
      <c r="F912" s="243"/>
      <c r="G912" s="136"/>
      <c r="H912" s="136"/>
      <c r="I912" s="136"/>
      <c r="J912" s="135"/>
      <c r="K912" s="135"/>
      <c r="L912" s="300"/>
      <c r="M912" s="243"/>
      <c r="N912" s="259"/>
    </row>
    <row r="913" s="242" customFormat="1" ht="20.25" spans="1:14">
      <c r="A913" s="258"/>
      <c r="B913" s="105"/>
      <c r="C913" s="258"/>
      <c r="D913" s="258"/>
      <c r="E913" s="258"/>
      <c r="F913" s="243"/>
      <c r="G913" s="136"/>
      <c r="H913" s="136"/>
      <c r="I913" s="136"/>
      <c r="J913" s="135"/>
      <c r="K913" s="135"/>
      <c r="L913" s="300"/>
      <c r="M913" s="243"/>
      <c r="N913" s="259"/>
    </row>
    <row r="914" s="242" customFormat="1" ht="20.25" spans="1:14">
      <c r="A914" s="258"/>
      <c r="B914" s="105"/>
      <c r="C914" s="258"/>
      <c r="D914" s="258"/>
      <c r="E914" s="258"/>
      <c r="F914" s="243"/>
      <c r="G914" s="136"/>
      <c r="H914" s="136"/>
      <c r="I914" s="136"/>
      <c r="J914" s="135"/>
      <c r="K914" s="135"/>
      <c r="L914" s="300"/>
      <c r="M914" s="243"/>
      <c r="N914" s="259"/>
    </row>
    <row r="915" s="242" customFormat="1" ht="20.25" spans="1:14">
      <c r="A915" s="258"/>
      <c r="B915" s="105"/>
      <c r="C915" s="258"/>
      <c r="D915" s="258"/>
      <c r="E915" s="258"/>
      <c r="F915" s="243"/>
      <c r="G915" s="136"/>
      <c r="H915" s="136"/>
      <c r="I915" s="136"/>
      <c r="J915" s="135"/>
      <c r="K915" s="135"/>
      <c r="L915" s="300"/>
      <c r="M915" s="243"/>
      <c r="N915" s="259"/>
    </row>
    <row r="916" s="242" customFormat="1" ht="20.25" spans="1:14">
      <c r="A916" s="258"/>
      <c r="B916" s="105"/>
      <c r="C916" s="258"/>
      <c r="D916" s="258"/>
      <c r="E916" s="258"/>
      <c r="F916" s="243"/>
      <c r="G916" s="136"/>
      <c r="H916" s="136"/>
      <c r="I916" s="136"/>
      <c r="J916" s="135"/>
      <c r="K916" s="135"/>
      <c r="L916" s="300"/>
      <c r="M916" s="243"/>
      <c r="N916" s="259"/>
    </row>
    <row r="917" s="242" customFormat="1" ht="20.25" spans="1:14">
      <c r="A917" s="258"/>
      <c r="B917" s="105"/>
      <c r="C917" s="258"/>
      <c r="D917" s="258"/>
      <c r="E917" s="258"/>
      <c r="F917" s="243"/>
      <c r="G917" s="136"/>
      <c r="H917" s="136"/>
      <c r="I917" s="136"/>
      <c r="J917" s="135"/>
      <c r="K917" s="135"/>
      <c r="L917" s="300"/>
      <c r="M917" s="243"/>
      <c r="N917" s="259"/>
    </row>
    <row r="918" s="242" customFormat="1" ht="20.25" spans="1:14">
      <c r="A918" s="258"/>
      <c r="B918" s="105"/>
      <c r="C918" s="258"/>
      <c r="D918" s="258"/>
      <c r="E918" s="258"/>
      <c r="F918" s="243"/>
      <c r="G918" s="136"/>
      <c r="H918" s="136"/>
      <c r="I918" s="136"/>
      <c r="J918" s="135"/>
      <c r="K918" s="135"/>
      <c r="L918" s="300"/>
      <c r="M918" s="243"/>
      <c r="N918" s="259"/>
    </row>
    <row r="919" s="242" customFormat="1" ht="20.25" spans="1:14">
      <c r="A919" s="258"/>
      <c r="B919" s="105"/>
      <c r="C919" s="258"/>
      <c r="D919" s="258"/>
      <c r="E919" s="258"/>
      <c r="F919" s="243"/>
      <c r="G919" s="136"/>
      <c r="H919" s="136"/>
      <c r="I919" s="136"/>
      <c r="J919" s="135"/>
      <c r="K919" s="135"/>
      <c r="L919" s="300"/>
      <c r="M919" s="243"/>
      <c r="N919" s="259"/>
    </row>
    <row r="920" s="242" customFormat="1" ht="20.25" spans="1:14">
      <c r="A920" s="258"/>
      <c r="B920" s="105"/>
      <c r="C920" s="258"/>
      <c r="D920" s="258"/>
      <c r="E920" s="258"/>
      <c r="F920" s="243"/>
      <c r="G920" s="136"/>
      <c r="H920" s="136"/>
      <c r="I920" s="136"/>
      <c r="J920" s="135"/>
      <c r="K920" s="135"/>
      <c r="L920" s="300"/>
      <c r="M920" s="243"/>
      <c r="N920" s="259"/>
    </row>
    <row r="921" s="242" customFormat="1" ht="20.25" spans="1:14">
      <c r="A921"/>
      <c r="B921"/>
      <c r="C921"/>
      <c r="D921"/>
      <c r="E921"/>
      <c r="F921"/>
      <c r="G921"/>
      <c r="H921"/>
      <c r="I921"/>
      <c r="J921"/>
      <c r="K921"/>
      <c r="L921" s="300"/>
      <c r="M921" s="243"/>
      <c r="N921" s="259"/>
    </row>
    <row r="922" s="242" customFormat="1" ht="20.25" spans="1:14">
      <c r="A922"/>
      <c r="B922"/>
      <c r="C922"/>
      <c r="D922"/>
      <c r="E922"/>
      <c r="F922"/>
      <c r="G922"/>
      <c r="H922"/>
      <c r="I922"/>
      <c r="J922"/>
      <c r="K922"/>
      <c r="L922" s="300"/>
      <c r="M922" s="243"/>
      <c r="N922" s="259"/>
    </row>
  </sheetData>
  <autoFilter xmlns:etc="http://www.wps.cn/officeDocument/2017/etCustomData" ref="A3:P888" etc:filterBottomFollowUsedRange="0">
    <extLst/>
  </autoFilter>
  <mergeCells count="914"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C104:E104"/>
    <mergeCell ref="C105:E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19:E119"/>
    <mergeCell ref="C120:E120"/>
    <mergeCell ref="C121:E121"/>
    <mergeCell ref="C122:E122"/>
    <mergeCell ref="C123:E123"/>
    <mergeCell ref="C124:E124"/>
    <mergeCell ref="C125:E125"/>
    <mergeCell ref="C126:E126"/>
    <mergeCell ref="C127:E127"/>
    <mergeCell ref="C128:E128"/>
    <mergeCell ref="C129:E129"/>
    <mergeCell ref="C130:E130"/>
    <mergeCell ref="C131:E131"/>
    <mergeCell ref="C132:E132"/>
    <mergeCell ref="C133:E133"/>
    <mergeCell ref="C134:E134"/>
    <mergeCell ref="C135:E135"/>
    <mergeCell ref="C136:E136"/>
    <mergeCell ref="C137:E137"/>
    <mergeCell ref="C138:E138"/>
    <mergeCell ref="C139:E139"/>
    <mergeCell ref="C140:E140"/>
    <mergeCell ref="C141:E141"/>
    <mergeCell ref="C142:E142"/>
    <mergeCell ref="C143:E143"/>
    <mergeCell ref="C144:E144"/>
    <mergeCell ref="C145:E145"/>
    <mergeCell ref="C146:E146"/>
    <mergeCell ref="C147:E147"/>
    <mergeCell ref="C148:E148"/>
    <mergeCell ref="C149:E149"/>
    <mergeCell ref="C150:E150"/>
    <mergeCell ref="C151:E151"/>
    <mergeCell ref="C152:E152"/>
    <mergeCell ref="C153:E153"/>
    <mergeCell ref="C154:E154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  <mergeCell ref="C165:E165"/>
    <mergeCell ref="C166:E166"/>
    <mergeCell ref="C167:E167"/>
    <mergeCell ref="C168:E168"/>
    <mergeCell ref="C169:E169"/>
    <mergeCell ref="C170:E170"/>
    <mergeCell ref="C171:E171"/>
    <mergeCell ref="C172:E172"/>
    <mergeCell ref="C173:E173"/>
    <mergeCell ref="C174:E174"/>
    <mergeCell ref="C175:E175"/>
    <mergeCell ref="C176:E176"/>
    <mergeCell ref="C177:E177"/>
    <mergeCell ref="C178:E178"/>
    <mergeCell ref="C179:E179"/>
    <mergeCell ref="C180:E180"/>
    <mergeCell ref="C181:E181"/>
    <mergeCell ref="C182:E182"/>
    <mergeCell ref="C183:E183"/>
    <mergeCell ref="C184:E184"/>
    <mergeCell ref="C185:E185"/>
    <mergeCell ref="C186:E186"/>
    <mergeCell ref="C187:E187"/>
    <mergeCell ref="C188:E188"/>
    <mergeCell ref="C189:E189"/>
    <mergeCell ref="C190:E190"/>
    <mergeCell ref="C191:E191"/>
    <mergeCell ref="C192:E192"/>
    <mergeCell ref="C193:E193"/>
    <mergeCell ref="C194:E194"/>
    <mergeCell ref="C195:E195"/>
    <mergeCell ref="C196:E196"/>
    <mergeCell ref="C197:E197"/>
    <mergeCell ref="C198:E198"/>
    <mergeCell ref="C199:E199"/>
    <mergeCell ref="C200:E200"/>
    <mergeCell ref="C201:E201"/>
    <mergeCell ref="C202:E202"/>
    <mergeCell ref="C203:E203"/>
    <mergeCell ref="C204:E204"/>
    <mergeCell ref="C205:E205"/>
    <mergeCell ref="C206:E206"/>
    <mergeCell ref="C207:E207"/>
    <mergeCell ref="C208:E208"/>
    <mergeCell ref="C209:E209"/>
    <mergeCell ref="C210:E210"/>
    <mergeCell ref="C211:E211"/>
    <mergeCell ref="C212:E212"/>
    <mergeCell ref="C213:E213"/>
    <mergeCell ref="C214:E214"/>
    <mergeCell ref="C215:E215"/>
    <mergeCell ref="C216:E216"/>
    <mergeCell ref="C217:E217"/>
    <mergeCell ref="C218:E218"/>
    <mergeCell ref="C219:E219"/>
    <mergeCell ref="C220:E220"/>
    <mergeCell ref="C221:E221"/>
    <mergeCell ref="C222:E222"/>
    <mergeCell ref="C223:E223"/>
    <mergeCell ref="C224:E224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C233:E233"/>
    <mergeCell ref="C234:E234"/>
    <mergeCell ref="C235:E235"/>
    <mergeCell ref="C236:E236"/>
    <mergeCell ref="C237:E237"/>
    <mergeCell ref="C238:E238"/>
    <mergeCell ref="C239:E239"/>
    <mergeCell ref="C240:E240"/>
    <mergeCell ref="C241:E241"/>
    <mergeCell ref="C242:E242"/>
    <mergeCell ref="C243:E243"/>
    <mergeCell ref="C246:E246"/>
    <mergeCell ref="C247:E247"/>
    <mergeCell ref="C248:E248"/>
    <mergeCell ref="C249:E249"/>
    <mergeCell ref="C250:E250"/>
    <mergeCell ref="C251:E251"/>
    <mergeCell ref="C252:E252"/>
    <mergeCell ref="C253:E253"/>
    <mergeCell ref="C254:E254"/>
    <mergeCell ref="C255:E255"/>
    <mergeCell ref="C256:E256"/>
    <mergeCell ref="C257:E257"/>
    <mergeCell ref="C258:E258"/>
    <mergeCell ref="C259:E259"/>
    <mergeCell ref="C260:E260"/>
    <mergeCell ref="C261:E261"/>
    <mergeCell ref="C262:E262"/>
    <mergeCell ref="C263:E263"/>
    <mergeCell ref="C264:E264"/>
    <mergeCell ref="C265:E265"/>
    <mergeCell ref="C266:E266"/>
    <mergeCell ref="C267:E267"/>
    <mergeCell ref="C268:E268"/>
    <mergeCell ref="C269:E269"/>
    <mergeCell ref="C270:E270"/>
    <mergeCell ref="C271:E271"/>
    <mergeCell ref="C272:E272"/>
    <mergeCell ref="C273:E273"/>
    <mergeCell ref="C274:E274"/>
    <mergeCell ref="C275:E275"/>
    <mergeCell ref="C276:E276"/>
    <mergeCell ref="C277:E277"/>
    <mergeCell ref="C278:E278"/>
    <mergeCell ref="C279:E279"/>
    <mergeCell ref="C280:E280"/>
    <mergeCell ref="C281:E281"/>
    <mergeCell ref="C282:E282"/>
    <mergeCell ref="C283:E283"/>
    <mergeCell ref="C284:E284"/>
    <mergeCell ref="C285:E285"/>
    <mergeCell ref="C286:E286"/>
    <mergeCell ref="C287:E287"/>
    <mergeCell ref="C288:E288"/>
    <mergeCell ref="C289:E289"/>
    <mergeCell ref="C290:E290"/>
    <mergeCell ref="C291:E291"/>
    <mergeCell ref="C292:E292"/>
    <mergeCell ref="C293:E293"/>
    <mergeCell ref="C294:E294"/>
    <mergeCell ref="C295:E295"/>
    <mergeCell ref="C296:E296"/>
    <mergeCell ref="C297:E297"/>
    <mergeCell ref="C298:E298"/>
    <mergeCell ref="C299:E299"/>
    <mergeCell ref="C300:E300"/>
    <mergeCell ref="C301:E301"/>
    <mergeCell ref="C302:E302"/>
    <mergeCell ref="C303:E303"/>
    <mergeCell ref="C304:E304"/>
    <mergeCell ref="C305:E305"/>
    <mergeCell ref="C306:E306"/>
    <mergeCell ref="C307:E307"/>
    <mergeCell ref="C308:E308"/>
    <mergeCell ref="C309:E309"/>
    <mergeCell ref="C310:E310"/>
    <mergeCell ref="C311:E311"/>
    <mergeCell ref="C312:E312"/>
    <mergeCell ref="C313:E313"/>
    <mergeCell ref="C314:E314"/>
    <mergeCell ref="C315:E315"/>
    <mergeCell ref="C316:E316"/>
    <mergeCell ref="C317:E317"/>
    <mergeCell ref="C318:E318"/>
    <mergeCell ref="C319:E319"/>
    <mergeCell ref="C320:E320"/>
    <mergeCell ref="C321:E321"/>
    <mergeCell ref="C322:E322"/>
    <mergeCell ref="C323:E323"/>
    <mergeCell ref="C324:E324"/>
    <mergeCell ref="C325:E325"/>
    <mergeCell ref="C326:E326"/>
    <mergeCell ref="C327:E327"/>
    <mergeCell ref="C328:E328"/>
    <mergeCell ref="C329:E329"/>
    <mergeCell ref="C330:E330"/>
    <mergeCell ref="C331:E331"/>
    <mergeCell ref="C332:E332"/>
    <mergeCell ref="C333:E333"/>
    <mergeCell ref="C334:E334"/>
    <mergeCell ref="C335:E335"/>
    <mergeCell ref="C336:E336"/>
    <mergeCell ref="C337:E337"/>
    <mergeCell ref="C338:E338"/>
    <mergeCell ref="C339:E339"/>
    <mergeCell ref="C340:E340"/>
    <mergeCell ref="C341:E341"/>
    <mergeCell ref="C342:E342"/>
    <mergeCell ref="C343:E343"/>
    <mergeCell ref="C344:E344"/>
    <mergeCell ref="C345:E345"/>
    <mergeCell ref="C346:E346"/>
    <mergeCell ref="C347:E347"/>
    <mergeCell ref="C348:E348"/>
    <mergeCell ref="C349:E349"/>
    <mergeCell ref="C350:E350"/>
    <mergeCell ref="C351:E351"/>
    <mergeCell ref="C352:E352"/>
    <mergeCell ref="C353:E353"/>
    <mergeCell ref="C354:E354"/>
    <mergeCell ref="C355:E355"/>
    <mergeCell ref="C356:E356"/>
    <mergeCell ref="C357:E357"/>
    <mergeCell ref="C358:E358"/>
    <mergeCell ref="C359:E359"/>
    <mergeCell ref="C360:E360"/>
    <mergeCell ref="C361:E361"/>
    <mergeCell ref="C362:E362"/>
    <mergeCell ref="C363:E363"/>
    <mergeCell ref="C364:E364"/>
    <mergeCell ref="C365:E365"/>
    <mergeCell ref="C366:E366"/>
    <mergeCell ref="C367:E367"/>
    <mergeCell ref="C368:E368"/>
    <mergeCell ref="C369:E369"/>
    <mergeCell ref="C370:E370"/>
    <mergeCell ref="C371:E371"/>
    <mergeCell ref="C372:E372"/>
    <mergeCell ref="C373:E373"/>
    <mergeCell ref="C374:E374"/>
    <mergeCell ref="C375:E375"/>
    <mergeCell ref="C376:E376"/>
    <mergeCell ref="C377:E377"/>
    <mergeCell ref="C378:E378"/>
    <mergeCell ref="C379:E379"/>
    <mergeCell ref="C380:E380"/>
    <mergeCell ref="C381:E381"/>
    <mergeCell ref="C382:E382"/>
    <mergeCell ref="C383:E383"/>
    <mergeCell ref="C384:E384"/>
    <mergeCell ref="C385:E385"/>
    <mergeCell ref="C386:E386"/>
    <mergeCell ref="C387:E387"/>
    <mergeCell ref="C388:E388"/>
    <mergeCell ref="C389:E389"/>
    <mergeCell ref="C390:E390"/>
    <mergeCell ref="C391:E391"/>
    <mergeCell ref="C392:E392"/>
    <mergeCell ref="C393:E393"/>
    <mergeCell ref="C394:E394"/>
    <mergeCell ref="C395:E395"/>
    <mergeCell ref="C396:E396"/>
    <mergeCell ref="C397:E397"/>
    <mergeCell ref="C398:E398"/>
    <mergeCell ref="C399:E399"/>
    <mergeCell ref="C400:E400"/>
    <mergeCell ref="C401:E401"/>
    <mergeCell ref="C402:E402"/>
    <mergeCell ref="C403:E403"/>
    <mergeCell ref="C404:E404"/>
    <mergeCell ref="C405:E405"/>
    <mergeCell ref="C406:E406"/>
    <mergeCell ref="C407:E407"/>
    <mergeCell ref="C408:E408"/>
    <mergeCell ref="C409:E409"/>
    <mergeCell ref="C410:E410"/>
    <mergeCell ref="C411:E411"/>
    <mergeCell ref="C412:E412"/>
    <mergeCell ref="C413:E413"/>
    <mergeCell ref="C414:E414"/>
    <mergeCell ref="C415:E415"/>
    <mergeCell ref="C416:E416"/>
    <mergeCell ref="C417:E417"/>
    <mergeCell ref="C418:E418"/>
    <mergeCell ref="C419:E419"/>
    <mergeCell ref="C420:E420"/>
    <mergeCell ref="C421:E421"/>
    <mergeCell ref="C422:E422"/>
    <mergeCell ref="C423:E423"/>
    <mergeCell ref="C424:E424"/>
    <mergeCell ref="C425:E425"/>
    <mergeCell ref="C426:E426"/>
    <mergeCell ref="C427:E427"/>
    <mergeCell ref="C428:E428"/>
    <mergeCell ref="C429:E429"/>
    <mergeCell ref="C430:E430"/>
    <mergeCell ref="C431:E431"/>
    <mergeCell ref="C432:E432"/>
    <mergeCell ref="C433:E433"/>
    <mergeCell ref="C434:E434"/>
    <mergeCell ref="C435:E435"/>
    <mergeCell ref="C436:E436"/>
    <mergeCell ref="C437:E437"/>
    <mergeCell ref="C438:E438"/>
    <mergeCell ref="C439:E439"/>
    <mergeCell ref="C440:E440"/>
    <mergeCell ref="C441:E441"/>
    <mergeCell ref="C442:E442"/>
    <mergeCell ref="C443:E443"/>
    <mergeCell ref="C444:E444"/>
    <mergeCell ref="C445:E445"/>
    <mergeCell ref="C446:E446"/>
    <mergeCell ref="C447:E447"/>
    <mergeCell ref="C448:E448"/>
    <mergeCell ref="C449:E449"/>
    <mergeCell ref="C450:E450"/>
    <mergeCell ref="C451:E451"/>
    <mergeCell ref="C452:E452"/>
    <mergeCell ref="C453:E453"/>
    <mergeCell ref="C454:E454"/>
    <mergeCell ref="C455:E455"/>
    <mergeCell ref="C456:E456"/>
    <mergeCell ref="C457:E457"/>
    <mergeCell ref="C458:E458"/>
    <mergeCell ref="C459:E459"/>
    <mergeCell ref="C460:E460"/>
    <mergeCell ref="C461:E461"/>
    <mergeCell ref="C462:E462"/>
    <mergeCell ref="C463:E463"/>
    <mergeCell ref="C464:E464"/>
    <mergeCell ref="C465:E465"/>
    <mergeCell ref="C466:E466"/>
    <mergeCell ref="C467:E467"/>
    <mergeCell ref="C468:E468"/>
    <mergeCell ref="C469:E469"/>
    <mergeCell ref="C470:E470"/>
    <mergeCell ref="C471:E471"/>
    <mergeCell ref="C472:E472"/>
    <mergeCell ref="C473:E473"/>
    <mergeCell ref="C474:E474"/>
    <mergeCell ref="C475:E475"/>
    <mergeCell ref="C476:E476"/>
    <mergeCell ref="C477:E477"/>
    <mergeCell ref="C478:E478"/>
    <mergeCell ref="C479:E479"/>
    <mergeCell ref="C480:E480"/>
    <mergeCell ref="C481:E481"/>
    <mergeCell ref="C482:E482"/>
    <mergeCell ref="C483:E483"/>
    <mergeCell ref="C484:E484"/>
    <mergeCell ref="C485:E485"/>
    <mergeCell ref="C486:E486"/>
    <mergeCell ref="C487:E487"/>
    <mergeCell ref="C488:E488"/>
    <mergeCell ref="C489:E489"/>
    <mergeCell ref="C490:E490"/>
    <mergeCell ref="C491:E491"/>
    <mergeCell ref="C492:E492"/>
    <mergeCell ref="C493:E493"/>
    <mergeCell ref="C494:E494"/>
    <mergeCell ref="C495:E495"/>
    <mergeCell ref="C496:E496"/>
    <mergeCell ref="C497:E497"/>
    <mergeCell ref="C498:E498"/>
    <mergeCell ref="C499:E499"/>
    <mergeCell ref="C500:E500"/>
    <mergeCell ref="C501:E501"/>
    <mergeCell ref="C502:E502"/>
    <mergeCell ref="C503:E503"/>
    <mergeCell ref="C504:E504"/>
    <mergeCell ref="C505:E505"/>
    <mergeCell ref="C506:E506"/>
    <mergeCell ref="C507:E507"/>
    <mergeCell ref="C508:E508"/>
    <mergeCell ref="C509:E509"/>
    <mergeCell ref="C510:E510"/>
    <mergeCell ref="C511:E511"/>
    <mergeCell ref="C512:E512"/>
    <mergeCell ref="C513:E513"/>
    <mergeCell ref="C514:E514"/>
    <mergeCell ref="C515:E515"/>
    <mergeCell ref="C516:E516"/>
    <mergeCell ref="C517:E517"/>
    <mergeCell ref="C518:E518"/>
    <mergeCell ref="C519:E519"/>
    <mergeCell ref="C520:E520"/>
    <mergeCell ref="C521:E521"/>
    <mergeCell ref="C522:E522"/>
    <mergeCell ref="C523:E523"/>
    <mergeCell ref="C524:E524"/>
    <mergeCell ref="C525:E525"/>
    <mergeCell ref="C526:E526"/>
    <mergeCell ref="C527:E527"/>
    <mergeCell ref="C528:E528"/>
    <mergeCell ref="C529:E529"/>
    <mergeCell ref="C530:E530"/>
    <mergeCell ref="C531:E531"/>
    <mergeCell ref="C532:E532"/>
    <mergeCell ref="C533:E533"/>
    <mergeCell ref="C534:E534"/>
    <mergeCell ref="C535:E535"/>
    <mergeCell ref="C536:E536"/>
    <mergeCell ref="C537:E537"/>
    <mergeCell ref="C538:E538"/>
    <mergeCell ref="C539:E539"/>
    <mergeCell ref="C540:E540"/>
    <mergeCell ref="C541:E541"/>
    <mergeCell ref="C542:E542"/>
    <mergeCell ref="C543:E543"/>
    <mergeCell ref="C544:E544"/>
    <mergeCell ref="C545:E545"/>
    <mergeCell ref="C546:E546"/>
    <mergeCell ref="C547:E547"/>
    <mergeCell ref="C548:E548"/>
    <mergeCell ref="C549:E549"/>
    <mergeCell ref="C550:E550"/>
    <mergeCell ref="C551:E551"/>
    <mergeCell ref="C552:E552"/>
    <mergeCell ref="C553:E553"/>
    <mergeCell ref="C554:E554"/>
    <mergeCell ref="C555:E555"/>
    <mergeCell ref="C556:E556"/>
    <mergeCell ref="C557:E557"/>
    <mergeCell ref="C558:E558"/>
    <mergeCell ref="C559:E559"/>
    <mergeCell ref="C560:E560"/>
    <mergeCell ref="C561:E561"/>
    <mergeCell ref="C562:E562"/>
    <mergeCell ref="C563:E563"/>
    <mergeCell ref="C564:E564"/>
    <mergeCell ref="C565:E565"/>
    <mergeCell ref="C566:E566"/>
    <mergeCell ref="C567:E567"/>
    <mergeCell ref="C568:E568"/>
    <mergeCell ref="C569:E569"/>
    <mergeCell ref="C570:E570"/>
    <mergeCell ref="C571:E571"/>
    <mergeCell ref="C572:E572"/>
    <mergeCell ref="C573:E573"/>
    <mergeCell ref="C574:E574"/>
    <mergeCell ref="C575:E575"/>
    <mergeCell ref="C576:E576"/>
    <mergeCell ref="C577:E577"/>
    <mergeCell ref="C578:E578"/>
    <mergeCell ref="C579:E579"/>
    <mergeCell ref="C580:E580"/>
    <mergeCell ref="C581:E581"/>
    <mergeCell ref="C582:E582"/>
    <mergeCell ref="C583:E583"/>
    <mergeCell ref="C584:E584"/>
    <mergeCell ref="C585:E585"/>
    <mergeCell ref="C586:E586"/>
    <mergeCell ref="C587:E587"/>
    <mergeCell ref="C588:E588"/>
    <mergeCell ref="C589:E589"/>
    <mergeCell ref="C590:E590"/>
    <mergeCell ref="C591:E591"/>
    <mergeCell ref="C592:E592"/>
    <mergeCell ref="C593:E593"/>
    <mergeCell ref="C594:E594"/>
    <mergeCell ref="C595:E595"/>
    <mergeCell ref="C596:E596"/>
    <mergeCell ref="C597:E597"/>
    <mergeCell ref="C598:E598"/>
    <mergeCell ref="C599:E599"/>
    <mergeCell ref="C600:E600"/>
    <mergeCell ref="C601:E601"/>
    <mergeCell ref="C602:E602"/>
    <mergeCell ref="C603:E603"/>
    <mergeCell ref="C604:E604"/>
    <mergeCell ref="C605:E605"/>
    <mergeCell ref="C606:E606"/>
    <mergeCell ref="C607:E607"/>
    <mergeCell ref="C608:E608"/>
    <mergeCell ref="C609:E609"/>
    <mergeCell ref="C610:E610"/>
    <mergeCell ref="C611:E611"/>
    <mergeCell ref="C612:E612"/>
    <mergeCell ref="C613:E613"/>
    <mergeCell ref="C614:E614"/>
    <mergeCell ref="C615:E615"/>
    <mergeCell ref="C616:E616"/>
    <mergeCell ref="C617:E617"/>
    <mergeCell ref="C618:E618"/>
    <mergeCell ref="C619:E619"/>
    <mergeCell ref="C620:E620"/>
    <mergeCell ref="C621:E621"/>
    <mergeCell ref="C622:E622"/>
    <mergeCell ref="C623:E623"/>
    <mergeCell ref="C624:E624"/>
    <mergeCell ref="C625:E625"/>
    <mergeCell ref="C626:E626"/>
    <mergeCell ref="C627:E627"/>
    <mergeCell ref="C628:E628"/>
    <mergeCell ref="C629:E629"/>
    <mergeCell ref="C630:E630"/>
    <mergeCell ref="C631:E631"/>
    <mergeCell ref="C632:E632"/>
    <mergeCell ref="C633:E633"/>
    <mergeCell ref="C634:E634"/>
    <mergeCell ref="C635:E635"/>
    <mergeCell ref="C636:E636"/>
    <mergeCell ref="C637:E637"/>
    <mergeCell ref="C638:E638"/>
    <mergeCell ref="C639:E639"/>
    <mergeCell ref="C640:E640"/>
    <mergeCell ref="C641:E641"/>
    <mergeCell ref="C642:E642"/>
    <mergeCell ref="C643:E643"/>
    <mergeCell ref="C644:E644"/>
    <mergeCell ref="C645:E645"/>
    <mergeCell ref="C646:E646"/>
    <mergeCell ref="C647:E647"/>
    <mergeCell ref="C648:E648"/>
    <mergeCell ref="C649:E649"/>
    <mergeCell ref="C650:E650"/>
    <mergeCell ref="C651:E651"/>
    <mergeCell ref="C652:E652"/>
    <mergeCell ref="C653:E653"/>
    <mergeCell ref="C654:E654"/>
    <mergeCell ref="C655:E655"/>
    <mergeCell ref="C656:E656"/>
    <mergeCell ref="C657:E657"/>
    <mergeCell ref="C658:E658"/>
    <mergeCell ref="C659:E659"/>
    <mergeCell ref="C660:E660"/>
    <mergeCell ref="C661:E661"/>
    <mergeCell ref="C662:E662"/>
    <mergeCell ref="C663:E663"/>
    <mergeCell ref="C664:E664"/>
    <mergeCell ref="C665:E665"/>
    <mergeCell ref="C666:E666"/>
    <mergeCell ref="C667:E667"/>
    <mergeCell ref="C668:E668"/>
    <mergeCell ref="C669:E669"/>
    <mergeCell ref="C670:E670"/>
    <mergeCell ref="C671:E671"/>
    <mergeCell ref="C672:E672"/>
    <mergeCell ref="C673:E673"/>
    <mergeCell ref="C674:E674"/>
    <mergeCell ref="C675:E675"/>
    <mergeCell ref="C676:E676"/>
    <mergeCell ref="C677:E677"/>
    <mergeCell ref="C678:E678"/>
    <mergeCell ref="C679:E679"/>
    <mergeCell ref="C680:E680"/>
    <mergeCell ref="C681:E681"/>
    <mergeCell ref="C682:E682"/>
    <mergeCell ref="C683:E683"/>
    <mergeCell ref="C684:E684"/>
    <mergeCell ref="C685:E685"/>
    <mergeCell ref="C686:E686"/>
    <mergeCell ref="C687:E687"/>
    <mergeCell ref="C688:E688"/>
    <mergeCell ref="C689:E689"/>
    <mergeCell ref="C690:E690"/>
    <mergeCell ref="C691:E691"/>
    <mergeCell ref="C692:E692"/>
    <mergeCell ref="C693:E693"/>
    <mergeCell ref="C694:E694"/>
    <mergeCell ref="C695:E695"/>
    <mergeCell ref="C696:E696"/>
    <mergeCell ref="C697:E697"/>
    <mergeCell ref="C698:E698"/>
    <mergeCell ref="C699:E699"/>
    <mergeCell ref="C700:E700"/>
    <mergeCell ref="C701:E701"/>
    <mergeCell ref="C702:E702"/>
    <mergeCell ref="C703:E703"/>
    <mergeCell ref="C704:E704"/>
    <mergeCell ref="C705:E705"/>
    <mergeCell ref="C706:E706"/>
    <mergeCell ref="C707:E707"/>
    <mergeCell ref="C708:E708"/>
    <mergeCell ref="C709:E709"/>
    <mergeCell ref="C710:E710"/>
    <mergeCell ref="C711:E711"/>
    <mergeCell ref="C712:E712"/>
    <mergeCell ref="C713:E713"/>
    <mergeCell ref="C714:E714"/>
    <mergeCell ref="C715:E715"/>
    <mergeCell ref="C716:E716"/>
    <mergeCell ref="C717:E717"/>
    <mergeCell ref="C718:E718"/>
    <mergeCell ref="C719:E719"/>
    <mergeCell ref="C720:E720"/>
    <mergeCell ref="C721:E721"/>
    <mergeCell ref="C722:E722"/>
    <mergeCell ref="C723:E723"/>
    <mergeCell ref="C724:E724"/>
    <mergeCell ref="C725:E725"/>
    <mergeCell ref="C726:E726"/>
    <mergeCell ref="C727:E727"/>
    <mergeCell ref="C728:E728"/>
    <mergeCell ref="C729:E729"/>
    <mergeCell ref="C730:E730"/>
    <mergeCell ref="C731:E731"/>
    <mergeCell ref="C732:E732"/>
    <mergeCell ref="C733:E733"/>
    <mergeCell ref="C734:E734"/>
    <mergeCell ref="C735:E735"/>
    <mergeCell ref="C736:E736"/>
    <mergeCell ref="C737:E737"/>
    <mergeCell ref="C738:E738"/>
    <mergeCell ref="C739:E739"/>
    <mergeCell ref="C740:E740"/>
    <mergeCell ref="C741:E741"/>
    <mergeCell ref="C742:E742"/>
    <mergeCell ref="C743:E743"/>
    <mergeCell ref="C744:E744"/>
    <mergeCell ref="C745:E745"/>
    <mergeCell ref="C746:E746"/>
    <mergeCell ref="C747:E747"/>
    <mergeCell ref="C748:E748"/>
    <mergeCell ref="C749:E749"/>
    <mergeCell ref="C750:E750"/>
    <mergeCell ref="C751:E751"/>
    <mergeCell ref="C752:E752"/>
    <mergeCell ref="C753:E753"/>
    <mergeCell ref="C754:E754"/>
    <mergeCell ref="C755:E755"/>
    <mergeCell ref="C756:E756"/>
    <mergeCell ref="C757:E757"/>
    <mergeCell ref="C758:E758"/>
    <mergeCell ref="C759:E759"/>
    <mergeCell ref="C760:E760"/>
    <mergeCell ref="C761:E761"/>
    <mergeCell ref="C762:E762"/>
    <mergeCell ref="C763:E763"/>
    <mergeCell ref="C764:E764"/>
    <mergeCell ref="C765:E765"/>
    <mergeCell ref="C766:E766"/>
    <mergeCell ref="C767:E767"/>
    <mergeCell ref="C768:E768"/>
    <mergeCell ref="C769:E769"/>
    <mergeCell ref="C770:E770"/>
    <mergeCell ref="C771:E771"/>
    <mergeCell ref="C772:E772"/>
    <mergeCell ref="C773:E773"/>
    <mergeCell ref="C774:E774"/>
    <mergeCell ref="C775:E775"/>
    <mergeCell ref="C776:E776"/>
    <mergeCell ref="C777:E777"/>
    <mergeCell ref="C778:E778"/>
    <mergeCell ref="C779:E779"/>
    <mergeCell ref="C780:E780"/>
    <mergeCell ref="C781:E781"/>
    <mergeCell ref="C782:E782"/>
    <mergeCell ref="C783:E783"/>
    <mergeCell ref="C784:E784"/>
    <mergeCell ref="C785:E785"/>
    <mergeCell ref="C786:E786"/>
    <mergeCell ref="C787:E787"/>
    <mergeCell ref="C788:E788"/>
    <mergeCell ref="C789:E789"/>
    <mergeCell ref="C790:E790"/>
    <mergeCell ref="C791:E791"/>
    <mergeCell ref="C792:E792"/>
    <mergeCell ref="C793:E793"/>
    <mergeCell ref="C794:E794"/>
    <mergeCell ref="C795:E795"/>
    <mergeCell ref="C796:E796"/>
    <mergeCell ref="C797:E797"/>
    <mergeCell ref="C798:E798"/>
    <mergeCell ref="C799:E799"/>
    <mergeCell ref="C800:E800"/>
    <mergeCell ref="C801:E801"/>
    <mergeCell ref="C802:E802"/>
    <mergeCell ref="C803:E803"/>
    <mergeCell ref="C804:E804"/>
    <mergeCell ref="C805:E805"/>
    <mergeCell ref="C806:E806"/>
    <mergeCell ref="C807:E807"/>
    <mergeCell ref="C808:E808"/>
    <mergeCell ref="C809:E809"/>
    <mergeCell ref="C810:E810"/>
    <mergeCell ref="C811:E811"/>
    <mergeCell ref="C812:E812"/>
    <mergeCell ref="C813:E813"/>
    <mergeCell ref="C814:E814"/>
    <mergeCell ref="C815:E815"/>
    <mergeCell ref="C816:E816"/>
    <mergeCell ref="C817:E817"/>
    <mergeCell ref="C818:E818"/>
    <mergeCell ref="C819:E819"/>
    <mergeCell ref="C820:E820"/>
    <mergeCell ref="C821:E821"/>
    <mergeCell ref="C822:E822"/>
    <mergeCell ref="C823:E823"/>
    <mergeCell ref="C824:E824"/>
    <mergeCell ref="C825:E825"/>
    <mergeCell ref="C826:E826"/>
    <mergeCell ref="C827:E827"/>
    <mergeCell ref="C828:E828"/>
    <mergeCell ref="C829:E829"/>
    <mergeCell ref="C830:E830"/>
    <mergeCell ref="C831:E831"/>
    <mergeCell ref="C832:E832"/>
    <mergeCell ref="C833:E833"/>
    <mergeCell ref="C834:E834"/>
    <mergeCell ref="C835:E835"/>
    <mergeCell ref="C836:E836"/>
    <mergeCell ref="C837:E837"/>
    <mergeCell ref="C838:E838"/>
    <mergeCell ref="C839:E839"/>
    <mergeCell ref="C840:E840"/>
    <mergeCell ref="C841:E841"/>
    <mergeCell ref="C842:E842"/>
    <mergeCell ref="C843:E843"/>
    <mergeCell ref="C844:E844"/>
    <mergeCell ref="C845:E845"/>
    <mergeCell ref="C846:E846"/>
    <mergeCell ref="C847:E847"/>
    <mergeCell ref="C848:E848"/>
    <mergeCell ref="C849:E849"/>
    <mergeCell ref="C850:E850"/>
    <mergeCell ref="C851:E851"/>
    <mergeCell ref="C852:E852"/>
    <mergeCell ref="C853:E853"/>
    <mergeCell ref="C854:E854"/>
    <mergeCell ref="C855:E855"/>
    <mergeCell ref="C856:E856"/>
    <mergeCell ref="C857:E857"/>
    <mergeCell ref="C858:E858"/>
    <mergeCell ref="C859:E859"/>
    <mergeCell ref="C860:E860"/>
    <mergeCell ref="C861:E861"/>
    <mergeCell ref="C862:E862"/>
    <mergeCell ref="C863:E863"/>
    <mergeCell ref="C864:E864"/>
    <mergeCell ref="C865:E865"/>
    <mergeCell ref="C866:E866"/>
    <mergeCell ref="C867:E867"/>
    <mergeCell ref="C868:E868"/>
    <mergeCell ref="C869:E869"/>
    <mergeCell ref="C870:E870"/>
    <mergeCell ref="C871:E871"/>
    <mergeCell ref="C872:E872"/>
    <mergeCell ref="C873:E873"/>
    <mergeCell ref="C874:E874"/>
    <mergeCell ref="C875:E875"/>
    <mergeCell ref="C876:E876"/>
    <mergeCell ref="C877:E877"/>
    <mergeCell ref="C878:E878"/>
    <mergeCell ref="C879:E879"/>
    <mergeCell ref="C880:E880"/>
    <mergeCell ref="C881:E881"/>
    <mergeCell ref="C882:E882"/>
    <mergeCell ref="C883:E883"/>
    <mergeCell ref="C884:E884"/>
    <mergeCell ref="C885:E885"/>
    <mergeCell ref="C886:E886"/>
    <mergeCell ref="C887:E887"/>
    <mergeCell ref="C888:E888"/>
    <mergeCell ref="C889:E889"/>
    <mergeCell ref="C890:E890"/>
    <mergeCell ref="C891:E891"/>
    <mergeCell ref="C892:E892"/>
    <mergeCell ref="C893:E893"/>
    <mergeCell ref="C894:E894"/>
    <mergeCell ref="C895:E895"/>
    <mergeCell ref="C896:E896"/>
    <mergeCell ref="C897:E897"/>
    <mergeCell ref="C898:E898"/>
    <mergeCell ref="C899:E899"/>
    <mergeCell ref="C900:E900"/>
    <mergeCell ref="C901:E901"/>
    <mergeCell ref="C902:E902"/>
    <mergeCell ref="C903:E903"/>
    <mergeCell ref="C904:E904"/>
    <mergeCell ref="C905:E905"/>
    <mergeCell ref="C906:E906"/>
    <mergeCell ref="C907:E907"/>
    <mergeCell ref="C908:E908"/>
    <mergeCell ref="C909:E909"/>
    <mergeCell ref="C910:E910"/>
    <mergeCell ref="C911:E911"/>
    <mergeCell ref="C912:E912"/>
    <mergeCell ref="C913:E913"/>
    <mergeCell ref="C914:E914"/>
    <mergeCell ref="C915:E915"/>
    <mergeCell ref="C916:E916"/>
    <mergeCell ref="C917:E917"/>
    <mergeCell ref="C918:E918"/>
    <mergeCell ref="C919:E919"/>
    <mergeCell ref="C920:E920"/>
  </mergeCells>
  <pageMargins left="0.751388888888889" right="0.751388888888889" top="1" bottom="1" header="0.5" footer="0.5"/>
  <pageSetup paperSize="9" scale="10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82"/>
  <sheetViews>
    <sheetView tabSelected="1" topLeftCell="A48" workbookViewId="0">
      <selection activeCell="H71" sqref="H71"/>
    </sheetView>
  </sheetViews>
  <sheetFormatPr defaultColWidth="9" defaultRowHeight="14.25"/>
  <cols>
    <col min="1" max="1" width="12.25" style="77" customWidth="1"/>
    <col min="2" max="2" width="7.625" customWidth="1"/>
    <col min="3" max="3" width="48.75" customWidth="1"/>
    <col min="4" max="4" width="15.75" style="77" customWidth="1"/>
    <col min="5" max="5" width="19.25" customWidth="1"/>
    <col min="6" max="6" width="17.75" customWidth="1"/>
    <col min="7" max="7" width="7.125" customWidth="1"/>
    <col min="8" max="8" width="49.875" customWidth="1"/>
    <col min="9" max="10" width="12.625"/>
    <col min="11" max="11" width="9.375"/>
  </cols>
  <sheetData>
    <row r="1" ht="25.5" spans="1:15">
      <c r="A1" s="3" t="s">
        <v>1048</v>
      </c>
      <c r="B1" s="4"/>
      <c r="C1" s="4"/>
      <c r="D1" s="5"/>
      <c r="E1" s="3"/>
      <c r="F1" s="3"/>
      <c r="G1" s="3"/>
    </row>
    <row r="2" ht="27" customHeight="1" spans="1:15">
      <c r="A2" s="6" t="s">
        <v>139</v>
      </c>
      <c r="B2" s="7" t="s">
        <v>140</v>
      </c>
      <c r="C2" s="7" t="s">
        <v>141</v>
      </c>
      <c r="D2" s="8" t="s">
        <v>142</v>
      </c>
      <c r="E2" s="9" t="s">
        <v>143</v>
      </c>
      <c r="F2" s="16" t="s">
        <v>144</v>
      </c>
      <c r="G2" s="16"/>
      <c r="I2" s="12"/>
      <c r="J2" s="12"/>
      <c r="K2" s="12" t="s">
        <v>145</v>
      </c>
      <c r="L2" s="13"/>
      <c r="M2" s="13"/>
      <c r="N2" s="13"/>
      <c r="O2" t="s">
        <v>146</v>
      </c>
    </row>
    <row r="3" spans="1:15">
      <c r="A3" s="6"/>
      <c r="B3" s="7"/>
      <c r="C3" s="7"/>
      <c r="D3" s="14">
        <f>SUM(D6:D45)</f>
        <v>128079.2</v>
      </c>
      <c r="E3" s="14">
        <f>SUM(E6:E45)</f>
        <v>86811.7</v>
      </c>
      <c r="F3" s="14">
        <f>D3-E3</f>
        <v>41267.5</v>
      </c>
      <c r="G3" s="14"/>
    </row>
    <row r="4" spans="1:15">
      <c r="A4" s="6"/>
      <c r="B4" s="7"/>
      <c r="C4" s="7"/>
      <c r="D4" s="14"/>
      <c r="E4" s="14"/>
      <c r="F4" s="14"/>
      <c r="G4" s="14"/>
    </row>
    <row r="5" ht="35" customHeight="1" spans="1:15">
      <c r="A5" s="6"/>
      <c r="B5" s="7"/>
      <c r="C5" s="7"/>
      <c r="D5" s="8" t="s">
        <v>147</v>
      </c>
      <c r="E5" s="9" t="s">
        <v>148</v>
      </c>
      <c r="F5" s="16" t="s">
        <v>149</v>
      </c>
      <c r="G5" s="9" t="s">
        <v>7</v>
      </c>
    </row>
    <row r="6" ht="25" customHeight="1" spans="1:15">
      <c r="A6" s="236" t="s">
        <v>1049</v>
      </c>
      <c r="B6" s="237"/>
      <c r="C6" s="238" t="s">
        <v>1050</v>
      </c>
      <c r="D6" s="239">
        <v>27800</v>
      </c>
      <c r="E6" s="208"/>
      <c r="F6" s="208">
        <f>D6-E6</f>
        <v>27800</v>
      </c>
      <c r="G6" s="206"/>
    </row>
    <row r="7" ht="25" customHeight="1" spans="1:15">
      <c r="A7" s="236" t="s">
        <v>189</v>
      </c>
      <c r="B7" s="237"/>
      <c r="C7" s="238" t="s">
        <v>190</v>
      </c>
      <c r="D7" s="239"/>
      <c r="E7" s="208">
        <v>28000</v>
      </c>
      <c r="F7" s="208">
        <f>F6+D7-E7</f>
        <v>-200</v>
      </c>
      <c r="G7" s="206"/>
    </row>
    <row r="8" spans="1:15">
      <c r="A8" s="210">
        <v>45734</v>
      </c>
      <c r="B8" s="211"/>
      <c r="C8" s="212" t="s">
        <v>1051</v>
      </c>
      <c r="D8" s="213">
        <v>6612</v>
      </c>
      <c r="E8" s="208"/>
      <c r="F8" s="208">
        <f>F7+D8-E8</f>
        <v>6412</v>
      </c>
      <c r="G8" s="206"/>
    </row>
    <row r="9" spans="1:15">
      <c r="A9" s="236">
        <v>45726</v>
      </c>
      <c r="B9" s="237">
        <v>31</v>
      </c>
      <c r="C9" s="238" t="s">
        <v>1052</v>
      </c>
      <c r="D9" s="239">
        <v>4259.4</v>
      </c>
      <c r="E9" s="208"/>
      <c r="F9" s="208">
        <f t="shared" ref="F9:F20" si="0">F8+D9-E9</f>
        <v>10671.4</v>
      </c>
      <c r="G9" s="206"/>
    </row>
    <row r="10" spans="1:15">
      <c r="A10" s="236">
        <v>45735</v>
      </c>
      <c r="B10" s="237">
        <v>72</v>
      </c>
      <c r="C10" s="238" t="s">
        <v>1053</v>
      </c>
      <c r="D10" s="239">
        <v>3963</v>
      </c>
      <c r="E10" s="208"/>
      <c r="F10" s="208">
        <f t="shared" si="0"/>
        <v>14634.4</v>
      </c>
      <c r="G10" s="206"/>
      <c r="I10" t="s">
        <v>1054</v>
      </c>
      <c r="J10" t="s">
        <v>1055</v>
      </c>
    </row>
    <row r="11" spans="1:15">
      <c r="A11" s="236">
        <v>45735</v>
      </c>
      <c r="B11" s="237">
        <v>73</v>
      </c>
      <c r="C11" s="238" t="s">
        <v>1056</v>
      </c>
      <c r="D11" s="239">
        <v>3632.3</v>
      </c>
      <c r="E11" s="208"/>
      <c r="F11" s="208">
        <f t="shared" si="0"/>
        <v>18266.7</v>
      </c>
      <c r="G11" s="206"/>
      <c r="I11" t="s">
        <v>1057</v>
      </c>
      <c r="J11" t="s">
        <v>1058</v>
      </c>
      <c r="K11" t="s">
        <v>1059</v>
      </c>
      <c r="L11" t="s">
        <v>1060</v>
      </c>
      <c r="M11" t="s">
        <v>1061</v>
      </c>
    </row>
    <row r="12" spans="1:15">
      <c r="A12" s="215">
        <v>45749</v>
      </c>
      <c r="B12" s="216">
        <v>12</v>
      </c>
      <c r="C12" s="217" t="s">
        <v>1062</v>
      </c>
      <c r="D12" s="204">
        <v>2755</v>
      </c>
      <c r="E12" s="205">
        <v>2755</v>
      </c>
      <c r="F12" s="9">
        <f t="shared" si="0"/>
        <v>18266.7</v>
      </c>
      <c r="G12" s="206"/>
      <c r="I12" t="s">
        <v>1063</v>
      </c>
      <c r="J12" t="s">
        <v>814</v>
      </c>
      <c r="K12" t="s">
        <v>1064</v>
      </c>
      <c r="L12" t="s">
        <v>1064</v>
      </c>
      <c r="M12" s="77">
        <v>0</v>
      </c>
    </row>
    <row r="13" spans="1:15">
      <c r="A13" s="215">
        <v>45758</v>
      </c>
      <c r="B13" s="216">
        <v>37</v>
      </c>
      <c r="C13" s="217" t="s">
        <v>1065</v>
      </c>
      <c r="D13" s="204">
        <v>750.4</v>
      </c>
      <c r="E13" s="205">
        <v>750.4</v>
      </c>
      <c r="F13" s="9">
        <f t="shared" si="0"/>
        <v>18266.7</v>
      </c>
      <c r="G13" s="206"/>
      <c r="I13" t="s">
        <v>1066</v>
      </c>
      <c r="J13" t="s">
        <v>814</v>
      </c>
      <c r="K13" t="s">
        <v>1067</v>
      </c>
      <c r="L13" t="s">
        <v>1068</v>
      </c>
      <c r="M13" s="77" t="s">
        <v>1069</v>
      </c>
    </row>
    <row r="14" spans="1:15">
      <c r="A14" s="215">
        <v>45758</v>
      </c>
      <c r="B14" s="216">
        <v>38</v>
      </c>
      <c r="C14" s="217" t="s">
        <v>1070</v>
      </c>
      <c r="D14" s="218">
        <v>5183.1</v>
      </c>
      <c r="E14" s="9"/>
      <c r="F14" s="9">
        <f t="shared" si="0"/>
        <v>23449.8</v>
      </c>
      <c r="G14" s="206"/>
      <c r="I14" t="s">
        <v>1071</v>
      </c>
      <c r="J14" t="s">
        <v>814</v>
      </c>
      <c r="K14" t="s">
        <v>1072</v>
      </c>
      <c r="L14" t="s">
        <v>1072</v>
      </c>
      <c r="M14" s="77" t="s">
        <v>1073</v>
      </c>
    </row>
    <row r="15" spans="1:15">
      <c r="A15" s="215">
        <v>45769</v>
      </c>
      <c r="B15" s="216">
        <v>64</v>
      </c>
      <c r="C15" s="217" t="s">
        <v>1074</v>
      </c>
      <c r="D15" s="218">
        <v>97</v>
      </c>
      <c r="E15" s="9">
        <v>97</v>
      </c>
      <c r="F15" s="9">
        <f t="shared" si="0"/>
        <v>23449.8</v>
      </c>
      <c r="G15" s="206"/>
      <c r="I15" t="s">
        <v>1075</v>
      </c>
      <c r="J15" t="s">
        <v>814</v>
      </c>
      <c r="K15" t="s">
        <v>1076</v>
      </c>
      <c r="L15" t="s">
        <v>1067</v>
      </c>
      <c r="M15" s="77" t="s">
        <v>1077</v>
      </c>
    </row>
    <row r="16" spans="1:15">
      <c r="A16" s="236">
        <v>45790</v>
      </c>
      <c r="B16" s="237">
        <v>27</v>
      </c>
      <c r="C16" s="238" t="s">
        <v>1078</v>
      </c>
      <c r="D16" s="239">
        <v>7381.3</v>
      </c>
      <c r="E16" s="208"/>
      <c r="F16" s="208">
        <f t="shared" si="0"/>
        <v>30831.1</v>
      </c>
      <c r="G16" s="206"/>
      <c r="L16" t="s">
        <v>1079</v>
      </c>
      <c r="M16" s="77"/>
    </row>
    <row r="17" spans="1:15">
      <c r="A17" s="236">
        <v>45790</v>
      </c>
      <c r="B17" s="237">
        <v>28</v>
      </c>
      <c r="C17" s="238" t="s">
        <v>1080</v>
      </c>
      <c r="D17" s="239">
        <v>1529</v>
      </c>
      <c r="E17" s="208"/>
      <c r="F17" s="208">
        <f t="shared" si="0"/>
        <v>32360.1</v>
      </c>
      <c r="G17" s="206"/>
      <c r="I17" s="102" t="s">
        <v>1081</v>
      </c>
      <c r="J17" s="102" t="s">
        <v>1082</v>
      </c>
      <c r="K17" s="102"/>
      <c r="L17" s="102" t="s">
        <v>1083</v>
      </c>
      <c r="M17" s="102" t="s">
        <v>1084</v>
      </c>
      <c r="O17" t="s">
        <v>1085</v>
      </c>
    </row>
    <row r="18" spans="1:15">
      <c r="A18" s="236">
        <v>45790</v>
      </c>
      <c r="B18" s="237">
        <v>29</v>
      </c>
      <c r="C18" s="238" t="s">
        <v>1086</v>
      </c>
      <c r="D18" s="239">
        <v>4983.4</v>
      </c>
      <c r="E18" s="208"/>
      <c r="F18" s="208">
        <f t="shared" si="0"/>
        <v>37343.5</v>
      </c>
      <c r="G18" s="206"/>
      <c r="I18" s="102" t="s">
        <v>1087</v>
      </c>
      <c r="J18" s="102" t="s">
        <v>1088</v>
      </c>
      <c r="K18" s="102"/>
      <c r="L18" s="102" t="s">
        <v>1089</v>
      </c>
      <c r="M18" s="102" t="s">
        <v>1090</v>
      </c>
    </row>
    <row r="19" spans="1:15">
      <c r="A19" s="236">
        <v>45790</v>
      </c>
      <c r="B19" s="237">
        <v>30</v>
      </c>
      <c r="C19" s="238" t="s">
        <v>1091</v>
      </c>
      <c r="D19" s="239">
        <v>4812.4</v>
      </c>
      <c r="E19" s="208"/>
      <c r="F19" s="208">
        <f t="shared" si="0"/>
        <v>42155.9</v>
      </c>
      <c r="G19" s="206"/>
    </row>
    <row r="20" spans="1:15">
      <c r="A20" s="236">
        <v>45790</v>
      </c>
      <c r="B20" s="237">
        <v>31</v>
      </c>
      <c r="C20" s="238" t="s">
        <v>1092</v>
      </c>
      <c r="D20" s="239">
        <v>3701.4</v>
      </c>
      <c r="E20" s="208"/>
      <c r="F20" s="208">
        <f t="shared" si="0"/>
        <v>45857.3</v>
      </c>
      <c r="G20" s="206"/>
    </row>
    <row r="21" spans="1:15">
      <c r="A21" s="236">
        <v>45790</v>
      </c>
      <c r="B21" s="237">
        <v>32</v>
      </c>
      <c r="C21" s="238" t="s">
        <v>1093</v>
      </c>
      <c r="D21" s="239">
        <v>379</v>
      </c>
      <c r="E21" s="208"/>
      <c r="F21" s="208">
        <f t="shared" ref="F20:F49" si="1">F20+D21-E21</f>
        <v>46236.3</v>
      </c>
      <c r="G21" s="206"/>
    </row>
    <row r="22" spans="1:15">
      <c r="A22" s="236">
        <v>45790</v>
      </c>
      <c r="B22" s="237">
        <v>33</v>
      </c>
      <c r="C22" s="238" t="s">
        <v>1094</v>
      </c>
      <c r="D22" s="239">
        <v>5582</v>
      </c>
      <c r="E22" s="208"/>
      <c r="F22" s="208">
        <f t="shared" si="1"/>
        <v>51818.3</v>
      </c>
      <c r="G22" s="206"/>
    </row>
    <row r="23" spans="1:15">
      <c r="A23" s="236">
        <v>45790</v>
      </c>
      <c r="B23" s="237">
        <v>34</v>
      </c>
      <c r="C23" s="238" t="s">
        <v>1095</v>
      </c>
      <c r="D23" s="204">
        <v>497</v>
      </c>
      <c r="E23" s="205">
        <v>497</v>
      </c>
      <c r="F23" s="208">
        <f t="shared" si="1"/>
        <v>51818.3</v>
      </c>
      <c r="G23" s="206"/>
    </row>
    <row r="24" spans="1:15">
      <c r="A24" s="209">
        <v>45792</v>
      </c>
      <c r="B24" s="202"/>
      <c r="C24" s="203" t="s">
        <v>190</v>
      </c>
      <c r="D24" s="204"/>
      <c r="E24" s="205">
        <v>40000</v>
      </c>
      <c r="F24" s="208">
        <f t="shared" si="1"/>
        <v>11818.3</v>
      </c>
      <c r="G24" s="206"/>
      <c r="I24">
        <f>SUM(D16:D22)</f>
        <v>28368.5</v>
      </c>
    </row>
    <row r="25" spans="1:15">
      <c r="A25" s="236">
        <v>45806</v>
      </c>
      <c r="B25" s="237">
        <v>77</v>
      </c>
      <c r="C25" s="238" t="s">
        <v>1096</v>
      </c>
      <c r="D25" s="204">
        <v>208.8</v>
      </c>
      <c r="E25" s="205">
        <v>208.8</v>
      </c>
      <c r="F25" s="208">
        <f t="shared" si="1"/>
        <v>11818.3</v>
      </c>
      <c r="G25" s="206"/>
    </row>
    <row r="26" s="2" customFormat="1" spans="1:15">
      <c r="A26" s="215">
        <v>45811</v>
      </c>
      <c r="B26" s="216">
        <v>3</v>
      </c>
      <c r="C26" s="217" t="s">
        <v>1086</v>
      </c>
      <c r="D26" s="218">
        <v>476.4</v>
      </c>
      <c r="E26" s="9"/>
      <c r="F26" s="9">
        <f t="shared" si="1"/>
        <v>12294.7</v>
      </c>
      <c r="G26" s="206"/>
      <c r="I26" s="2" t="s">
        <v>1087</v>
      </c>
      <c r="J26" s="2" t="s">
        <v>1088</v>
      </c>
      <c r="L26" s="2" t="s">
        <v>1089</v>
      </c>
      <c r="M26" s="2" t="s">
        <v>1090</v>
      </c>
    </row>
    <row r="27" s="2" customFormat="1" spans="1:15">
      <c r="A27" s="215">
        <v>45811</v>
      </c>
      <c r="B27" s="216">
        <v>4</v>
      </c>
      <c r="C27" s="217" t="s">
        <v>1091</v>
      </c>
      <c r="D27" s="218">
        <v>328.5</v>
      </c>
      <c r="E27" s="9"/>
      <c r="F27" s="9">
        <f t="shared" si="1"/>
        <v>12623.2</v>
      </c>
      <c r="G27" s="206"/>
    </row>
    <row r="28" s="2" customFormat="1" spans="1:15">
      <c r="A28" s="215">
        <v>45811</v>
      </c>
      <c r="B28" s="216">
        <v>5</v>
      </c>
      <c r="C28" s="217" t="s">
        <v>1078</v>
      </c>
      <c r="D28" s="218">
        <v>383.5</v>
      </c>
      <c r="E28" s="9"/>
      <c r="F28" s="9">
        <f t="shared" si="1"/>
        <v>13006.7</v>
      </c>
      <c r="G28" s="206"/>
      <c r="L28" s="2" t="s">
        <v>1079</v>
      </c>
      <c r="M28" s="240"/>
    </row>
    <row r="29" s="2" customFormat="1" spans="1:15">
      <c r="A29" s="215">
        <v>45811</v>
      </c>
      <c r="B29" s="216">
        <v>6</v>
      </c>
      <c r="C29" s="217" t="s">
        <v>1094</v>
      </c>
      <c r="D29" s="218">
        <v>371.8</v>
      </c>
      <c r="E29" s="9"/>
      <c r="F29" s="9">
        <f t="shared" si="1"/>
        <v>13378.5</v>
      </c>
      <c r="G29" s="206"/>
    </row>
    <row r="30" spans="1:15">
      <c r="A30" s="215">
        <v>45818</v>
      </c>
      <c r="B30" s="216">
        <v>34</v>
      </c>
      <c r="C30" s="217" t="s">
        <v>1097</v>
      </c>
      <c r="D30" s="204">
        <v>195</v>
      </c>
      <c r="E30" s="205">
        <v>195</v>
      </c>
      <c r="F30" s="9">
        <f t="shared" si="1"/>
        <v>13378.5</v>
      </c>
      <c r="G30" s="206"/>
    </row>
    <row r="31" spans="1:15">
      <c r="A31" s="236">
        <v>45853</v>
      </c>
      <c r="B31" s="237">
        <v>55</v>
      </c>
      <c r="C31" s="238" t="s">
        <v>869</v>
      </c>
      <c r="D31" s="239">
        <v>212</v>
      </c>
      <c r="E31" s="208"/>
      <c r="F31" s="208">
        <f t="shared" si="1"/>
        <v>13590.5</v>
      </c>
      <c r="G31" s="206"/>
    </row>
    <row r="32" spans="1:15">
      <c r="A32" s="236">
        <v>45853</v>
      </c>
      <c r="B32" s="237">
        <v>56</v>
      </c>
      <c r="C32" s="238" t="s">
        <v>1098</v>
      </c>
      <c r="D32" s="239">
        <v>460</v>
      </c>
      <c r="E32" s="208"/>
      <c r="F32" s="208">
        <f t="shared" si="1"/>
        <v>14050.5</v>
      </c>
      <c r="G32" s="206"/>
    </row>
    <row r="33" spans="1:8">
      <c r="A33" s="236">
        <v>45855</v>
      </c>
      <c r="B33" s="237">
        <v>62</v>
      </c>
      <c r="C33" s="238" t="s">
        <v>1099</v>
      </c>
      <c r="D33" s="239">
        <v>3513</v>
      </c>
      <c r="E33" s="208"/>
      <c r="F33" s="208">
        <f t="shared" si="1"/>
        <v>17563.5</v>
      </c>
      <c r="G33" s="206"/>
    </row>
    <row r="34" spans="1:8">
      <c r="A34" s="209">
        <v>45856</v>
      </c>
      <c r="B34" s="202"/>
      <c r="C34" s="203" t="s">
        <v>190</v>
      </c>
      <c r="D34" s="204"/>
      <c r="E34" s="205">
        <v>12563.5</v>
      </c>
      <c r="F34" s="208">
        <f t="shared" si="1"/>
        <v>5000</v>
      </c>
      <c r="G34" s="206"/>
    </row>
    <row r="35" s="2" customFormat="1" spans="1:8">
      <c r="A35" s="215">
        <v>45871</v>
      </c>
      <c r="B35" s="216" t="s">
        <v>858</v>
      </c>
      <c r="C35" s="217" t="s">
        <v>1100</v>
      </c>
      <c r="D35" s="218">
        <v>1506</v>
      </c>
      <c r="E35" s="9"/>
      <c r="F35" s="9">
        <f t="shared" si="1"/>
        <v>6506</v>
      </c>
      <c r="G35" s="206"/>
    </row>
    <row r="36" s="2" customFormat="1" spans="1:8">
      <c r="A36" s="215">
        <v>45871</v>
      </c>
      <c r="B36" s="216" t="s">
        <v>859</v>
      </c>
      <c r="C36" s="217" t="s">
        <v>1101</v>
      </c>
      <c r="D36" s="218">
        <v>12027</v>
      </c>
      <c r="E36" s="9"/>
      <c r="F36" s="9">
        <f t="shared" si="1"/>
        <v>18533</v>
      </c>
      <c r="G36" s="206"/>
    </row>
    <row r="37" s="2" customFormat="1" spans="1:8">
      <c r="A37" s="215">
        <v>45878</v>
      </c>
      <c r="B37" s="216">
        <v>18</v>
      </c>
      <c r="C37" s="217" t="s">
        <v>1102</v>
      </c>
      <c r="D37" s="218">
        <v>1479.5</v>
      </c>
      <c r="E37" s="9"/>
      <c r="F37" s="9">
        <f t="shared" si="1"/>
        <v>20012.5</v>
      </c>
      <c r="G37" s="206"/>
    </row>
    <row r="38" s="2" customFormat="1" spans="1:8">
      <c r="A38" s="209">
        <v>45883</v>
      </c>
      <c r="B38" s="202">
        <v>31</v>
      </c>
      <c r="C38" s="203" t="s">
        <v>1103</v>
      </c>
      <c r="D38" s="204">
        <v>1745</v>
      </c>
      <c r="E38" s="205">
        <v>1745</v>
      </c>
      <c r="F38" s="9">
        <f t="shared" si="1"/>
        <v>20012.5</v>
      </c>
      <c r="G38" s="206"/>
    </row>
    <row r="39" spans="1:8">
      <c r="A39" s="215">
        <v>45883</v>
      </c>
      <c r="B39" s="216">
        <v>33</v>
      </c>
      <c r="C39" s="217" t="s">
        <v>1104</v>
      </c>
      <c r="D39" s="218">
        <v>185</v>
      </c>
      <c r="E39" s="9"/>
      <c r="F39" s="9">
        <f t="shared" si="1"/>
        <v>20197.5</v>
      </c>
      <c r="G39" s="206"/>
    </row>
    <row r="40" customFormat="1" spans="1:8">
      <c r="A40" s="215">
        <v>45891</v>
      </c>
      <c r="B40" s="216">
        <v>57</v>
      </c>
      <c r="C40" s="217" t="s">
        <v>1105</v>
      </c>
      <c r="D40" s="218">
        <v>400</v>
      </c>
      <c r="E40" s="9"/>
      <c r="F40" s="9">
        <f t="shared" si="1"/>
        <v>20597.5</v>
      </c>
      <c r="G40" s="206"/>
    </row>
    <row r="41" customFormat="1" spans="1:8">
      <c r="A41" s="215">
        <v>45892</v>
      </c>
      <c r="B41" s="216">
        <v>60</v>
      </c>
      <c r="C41" s="217" t="s">
        <v>1106</v>
      </c>
      <c r="D41" s="218">
        <v>5149</v>
      </c>
      <c r="E41" s="9"/>
      <c r="F41" s="9">
        <f t="shared" si="1"/>
        <v>25746.5</v>
      </c>
      <c r="G41" s="206"/>
    </row>
    <row r="42" customFormat="1" spans="1:8">
      <c r="A42" s="215">
        <v>45892</v>
      </c>
      <c r="B42" s="216">
        <v>61</v>
      </c>
      <c r="C42" s="203" t="s">
        <v>1103</v>
      </c>
      <c r="D42" s="218">
        <v>6893</v>
      </c>
      <c r="E42" s="9"/>
      <c r="F42" s="9">
        <f t="shared" si="1"/>
        <v>32639.5</v>
      </c>
      <c r="G42" s="206"/>
    </row>
    <row r="43" customFormat="1" spans="1:8">
      <c r="A43" s="210">
        <v>45892</v>
      </c>
      <c r="B43" s="211"/>
      <c r="C43" s="212" t="s">
        <v>1107</v>
      </c>
      <c r="D43" s="213">
        <v>8208</v>
      </c>
      <c r="E43" s="9"/>
      <c r="F43" s="9">
        <f t="shared" si="1"/>
        <v>40847.5</v>
      </c>
      <c r="G43" s="206"/>
    </row>
    <row r="44" customFormat="1" spans="1:8">
      <c r="A44" s="215">
        <v>45892</v>
      </c>
      <c r="B44" s="216">
        <v>65</v>
      </c>
      <c r="C44" s="217" t="s">
        <v>1108</v>
      </c>
      <c r="D44" s="218">
        <v>119</v>
      </c>
      <c r="E44" s="9"/>
      <c r="F44" s="9">
        <f t="shared" si="1"/>
        <v>40966.5</v>
      </c>
      <c r="G44" s="206"/>
    </row>
    <row r="45" customFormat="1" spans="1:8">
      <c r="A45" s="236">
        <v>45901</v>
      </c>
      <c r="B45" s="237">
        <v>4</v>
      </c>
      <c r="C45" s="238" t="s">
        <v>1109</v>
      </c>
      <c r="D45" s="239">
        <v>301</v>
      </c>
      <c r="E45" s="208"/>
      <c r="F45" s="208">
        <f t="shared" si="1"/>
        <v>41267.5</v>
      </c>
      <c r="G45" s="206"/>
      <c r="H45">
        <f>SUM(D35:D44)</f>
        <v>37711.5</v>
      </c>
    </row>
    <row r="46" customFormat="1" spans="1:8">
      <c r="A46" s="236">
        <v>45903</v>
      </c>
      <c r="B46" s="237"/>
      <c r="C46" s="238" t="s">
        <v>202</v>
      </c>
      <c r="D46" s="239"/>
      <c r="E46" s="208">
        <v>20000</v>
      </c>
      <c r="F46" s="208">
        <f t="shared" si="1"/>
        <v>21267.5</v>
      </c>
      <c r="G46" s="206"/>
    </row>
    <row r="47" customFormat="1" spans="1:8">
      <c r="A47" s="236">
        <v>45918</v>
      </c>
      <c r="B47" s="237"/>
      <c r="C47" s="238" t="s">
        <v>1110</v>
      </c>
      <c r="D47" s="239"/>
      <c r="E47" s="208">
        <v>36300</v>
      </c>
      <c r="F47" s="208">
        <f t="shared" si="1"/>
        <v>-15032.5</v>
      </c>
      <c r="G47" s="206" t="s">
        <v>1111</v>
      </c>
    </row>
    <row r="48" customFormat="1" spans="1:8">
      <c r="A48" s="215">
        <v>45937</v>
      </c>
      <c r="B48" s="216">
        <v>1</v>
      </c>
      <c r="C48" s="217" t="s">
        <v>1112</v>
      </c>
      <c r="D48" s="218">
        <v>3171</v>
      </c>
      <c r="E48" s="9"/>
      <c r="F48" s="9">
        <f t="shared" ref="F48:F78" si="2">F47+D48-E48</f>
        <v>-11861.5</v>
      </c>
      <c r="G48" s="206"/>
    </row>
    <row r="49" customFormat="1" spans="1:8">
      <c r="A49" s="215">
        <v>45937</v>
      </c>
      <c r="B49" s="216">
        <v>2</v>
      </c>
      <c r="C49" s="217" t="s">
        <v>1113</v>
      </c>
      <c r="D49" s="218">
        <v>164</v>
      </c>
      <c r="E49" s="9"/>
      <c r="F49" s="9">
        <f t="shared" si="2"/>
        <v>-11697.5</v>
      </c>
      <c r="G49" s="206"/>
    </row>
    <row r="50" spans="1:8">
      <c r="A50" s="207">
        <v>45943</v>
      </c>
      <c r="B50" s="216">
        <v>21</v>
      </c>
      <c r="C50" s="52" t="s">
        <v>1114</v>
      </c>
      <c r="D50" s="34">
        <v>80</v>
      </c>
      <c r="E50" s="52"/>
      <c r="F50" s="9">
        <f t="shared" si="2"/>
        <v>-11617.5</v>
      </c>
      <c r="G50" s="35"/>
    </row>
    <row r="51" spans="1:8">
      <c r="A51" s="207">
        <v>45943</v>
      </c>
      <c r="B51" s="216">
        <v>22</v>
      </c>
      <c r="C51" s="52" t="s">
        <v>1115</v>
      </c>
      <c r="D51" s="34">
        <v>1617</v>
      </c>
      <c r="E51" s="52"/>
      <c r="F51" s="9">
        <f t="shared" si="2"/>
        <v>-10000.5</v>
      </c>
      <c r="G51" s="35"/>
    </row>
    <row r="52" spans="1:8">
      <c r="A52" s="207">
        <v>45943</v>
      </c>
      <c r="B52" s="216">
        <v>23</v>
      </c>
      <c r="C52" s="52" t="s">
        <v>1116</v>
      </c>
      <c r="D52" s="34">
        <v>1320</v>
      </c>
      <c r="E52" s="52"/>
      <c r="F52" s="9">
        <f t="shared" si="2"/>
        <v>-8680.5</v>
      </c>
      <c r="G52" s="35"/>
      <c r="H52">
        <v>0</v>
      </c>
    </row>
    <row r="53" spans="1:8">
      <c r="A53" s="207">
        <v>45943</v>
      </c>
      <c r="B53" s="216">
        <v>25</v>
      </c>
      <c r="C53" s="52" t="s">
        <v>1117</v>
      </c>
      <c r="D53" s="34">
        <v>726</v>
      </c>
      <c r="E53" s="52"/>
      <c r="F53" s="9">
        <f t="shared" si="2"/>
        <v>-7954.5</v>
      </c>
      <c r="G53" s="35"/>
    </row>
    <row r="54" spans="1:8">
      <c r="A54" s="207">
        <v>45943</v>
      </c>
      <c r="B54" s="216">
        <v>24</v>
      </c>
      <c r="C54" s="52" t="s">
        <v>1118</v>
      </c>
      <c r="D54" s="34">
        <v>5442</v>
      </c>
      <c r="E54" s="52"/>
      <c r="F54" s="9">
        <f t="shared" si="2"/>
        <v>-2512.5</v>
      </c>
      <c r="G54" s="35"/>
      <c r="H54">
        <f>SUM(D48:D62)</f>
        <v>23441</v>
      </c>
    </row>
    <row r="55" spans="1:8">
      <c r="A55" s="207">
        <v>45946</v>
      </c>
      <c r="B55" s="52" t="s">
        <v>1119</v>
      </c>
      <c r="C55" s="86" t="s">
        <v>1120</v>
      </c>
      <c r="D55" s="34">
        <v>-750</v>
      </c>
      <c r="E55" s="52"/>
      <c r="F55" s="9">
        <f t="shared" si="2"/>
        <v>-3262.5</v>
      </c>
      <c r="G55" s="35"/>
    </row>
    <row r="56" spans="1:8">
      <c r="A56" s="207">
        <v>45948</v>
      </c>
      <c r="B56" s="52" t="s">
        <v>1121</v>
      </c>
      <c r="C56" s="52" t="s">
        <v>1122</v>
      </c>
      <c r="D56" s="34">
        <v>873</v>
      </c>
      <c r="E56" s="35"/>
      <c r="F56" s="9">
        <f t="shared" si="2"/>
        <v>-2389.5</v>
      </c>
      <c r="G56" s="35"/>
    </row>
    <row r="57" spans="1:8">
      <c r="A57" s="207">
        <v>45948</v>
      </c>
      <c r="B57" s="52" t="s">
        <v>985</v>
      </c>
      <c r="C57" s="52" t="s">
        <v>1123</v>
      </c>
      <c r="D57" s="34">
        <v>628</v>
      </c>
      <c r="E57" s="35"/>
      <c r="F57" s="9">
        <f t="shared" si="2"/>
        <v>-1761.5</v>
      </c>
      <c r="G57" s="35"/>
    </row>
    <row r="58" spans="1:8">
      <c r="A58" s="207">
        <v>45948</v>
      </c>
      <c r="B58" s="52" t="s">
        <v>987</v>
      </c>
      <c r="C58" s="52" t="s">
        <v>1124</v>
      </c>
      <c r="D58" s="34">
        <v>736</v>
      </c>
      <c r="E58" s="35"/>
      <c r="F58" s="9">
        <f t="shared" si="2"/>
        <v>-1025.5</v>
      </c>
      <c r="G58" s="35"/>
    </row>
    <row r="59" spans="1:8">
      <c r="A59" s="207">
        <v>45950</v>
      </c>
      <c r="B59" s="52" t="s">
        <v>991</v>
      </c>
      <c r="C59" s="52" t="s">
        <v>1125</v>
      </c>
      <c r="D59" s="34">
        <v>4907</v>
      </c>
      <c r="E59" s="35"/>
      <c r="F59" s="9">
        <f t="shared" si="2"/>
        <v>3881.5</v>
      </c>
      <c r="G59" s="35"/>
    </row>
    <row r="60" spans="1:8">
      <c r="A60" s="219">
        <v>45952</v>
      </c>
      <c r="B60" s="52"/>
      <c r="C60" s="220" t="s">
        <v>1126</v>
      </c>
      <c r="D60" s="34"/>
      <c r="E60" s="221">
        <v>3303</v>
      </c>
      <c r="F60" s="9">
        <f t="shared" si="2"/>
        <v>578.5</v>
      </c>
      <c r="G60" s="35"/>
    </row>
    <row r="61" spans="1:8">
      <c r="A61" s="207">
        <v>45952</v>
      </c>
      <c r="B61" s="52" t="s">
        <v>1127</v>
      </c>
      <c r="C61" s="52" t="s">
        <v>1128</v>
      </c>
      <c r="D61" s="34">
        <v>2228</v>
      </c>
      <c r="E61" s="35"/>
      <c r="F61" s="9">
        <f t="shared" si="2"/>
        <v>2806.5</v>
      </c>
      <c r="G61" s="35"/>
    </row>
    <row r="62" spans="1:8">
      <c r="A62" s="207">
        <v>45953</v>
      </c>
      <c r="B62" s="34" t="s">
        <v>1129</v>
      </c>
      <c r="C62" s="36" t="s">
        <v>1130</v>
      </c>
      <c r="D62" s="34">
        <v>2299</v>
      </c>
      <c r="E62" s="35"/>
      <c r="F62" s="9">
        <f t="shared" si="2"/>
        <v>5105.5</v>
      </c>
      <c r="G62" s="35"/>
      <c r="H62" t="s">
        <v>1131</v>
      </c>
    </row>
    <row r="63" spans="1:8">
      <c r="A63" s="207">
        <v>45959</v>
      </c>
      <c r="B63" s="34" t="s">
        <v>1132</v>
      </c>
      <c r="C63" s="36" t="s">
        <v>1133</v>
      </c>
      <c r="D63" s="34">
        <v>1595</v>
      </c>
      <c r="E63" s="35"/>
      <c r="F63" s="208">
        <f t="shared" si="2"/>
        <v>6700.5</v>
      </c>
      <c r="G63" s="35"/>
    </row>
    <row r="64" spans="1:8">
      <c r="A64" s="201">
        <v>45971</v>
      </c>
      <c r="B64" s="50" t="s">
        <v>1134</v>
      </c>
      <c r="C64" s="50" t="s">
        <v>1135</v>
      </c>
      <c r="D64" s="74">
        <v>465</v>
      </c>
      <c r="E64" s="223"/>
      <c r="F64" s="208">
        <f t="shared" si="2"/>
        <v>7165.5</v>
      </c>
      <c r="G64" s="35"/>
    </row>
    <row r="65" spans="1:7">
      <c r="A65" s="201">
        <v>45983</v>
      </c>
      <c r="B65" s="50" t="s">
        <v>1136</v>
      </c>
      <c r="C65" s="50" t="s">
        <v>1052</v>
      </c>
      <c r="D65" s="74">
        <v>3853</v>
      </c>
      <c r="E65" s="223"/>
      <c r="F65" s="208">
        <f t="shared" si="2"/>
        <v>11018.5</v>
      </c>
      <c r="G65" s="35"/>
    </row>
    <row r="66" s="235" customFormat="1" spans="1:7">
      <c r="A66" s="201">
        <v>45985</v>
      </c>
      <c r="B66" s="50" t="s">
        <v>1137</v>
      </c>
      <c r="C66" s="50" t="s">
        <v>1138</v>
      </c>
      <c r="D66" s="74">
        <v>5773</v>
      </c>
      <c r="E66" s="50"/>
      <c r="F66" s="208">
        <f t="shared" si="2"/>
        <v>16791.5</v>
      </c>
      <c r="G66" s="52"/>
    </row>
    <row r="67" spans="1:7">
      <c r="A67" s="201">
        <v>45985</v>
      </c>
      <c r="B67" s="50" t="s">
        <v>1139</v>
      </c>
      <c r="C67" s="50" t="s">
        <v>1140</v>
      </c>
      <c r="D67" s="74">
        <v>896</v>
      </c>
      <c r="E67" s="223"/>
      <c r="F67" s="208">
        <f t="shared" si="2"/>
        <v>17687.5</v>
      </c>
      <c r="G67" s="35"/>
    </row>
    <row r="68" spans="1:7">
      <c r="A68" s="201">
        <v>45985</v>
      </c>
      <c r="B68" s="50" t="s">
        <v>1141</v>
      </c>
      <c r="C68" s="50" t="s">
        <v>1142</v>
      </c>
      <c r="D68" s="74">
        <v>1190.2</v>
      </c>
      <c r="E68" s="223"/>
      <c r="F68" s="208">
        <f t="shared" si="2"/>
        <v>18877.7</v>
      </c>
      <c r="G68" s="35"/>
    </row>
    <row r="69" spans="1:7">
      <c r="A69" s="201">
        <v>45988</v>
      </c>
      <c r="B69" s="50" t="s">
        <v>1143</v>
      </c>
      <c r="C69" s="50" t="s">
        <v>1144</v>
      </c>
      <c r="D69" s="74">
        <v>1868</v>
      </c>
      <c r="E69" s="223"/>
      <c r="F69" s="208">
        <f t="shared" si="2"/>
        <v>20745.7</v>
      </c>
      <c r="G69" s="35"/>
    </row>
    <row r="70" spans="1:7">
      <c r="A70" s="201">
        <v>45989</v>
      </c>
      <c r="B70" s="50" t="s">
        <v>1029</v>
      </c>
      <c r="C70" s="50" t="s">
        <v>1145</v>
      </c>
      <c r="D70" s="74">
        <v>1864</v>
      </c>
      <c r="E70" s="223"/>
      <c r="F70" s="208">
        <f t="shared" si="2"/>
        <v>22609.7</v>
      </c>
      <c r="G70" s="35"/>
    </row>
    <row r="71" spans="1:7">
      <c r="A71" s="207">
        <v>45993</v>
      </c>
      <c r="B71" s="52" t="s">
        <v>857</v>
      </c>
      <c r="C71" s="52" t="s">
        <v>1146</v>
      </c>
      <c r="D71" s="34">
        <v>307</v>
      </c>
      <c r="E71" s="35"/>
      <c r="F71" s="9">
        <f t="shared" si="2"/>
        <v>22916.7</v>
      </c>
      <c r="G71" s="35"/>
    </row>
    <row r="72" s="235" customFormat="1" spans="1:7">
      <c r="A72" s="207">
        <v>45994</v>
      </c>
      <c r="B72" s="52" t="s">
        <v>1147</v>
      </c>
      <c r="C72" s="52" t="s">
        <v>1037</v>
      </c>
      <c r="D72" s="34">
        <v>40</v>
      </c>
      <c r="E72" s="52"/>
      <c r="F72" s="9">
        <f t="shared" si="2"/>
        <v>22956.7</v>
      </c>
      <c r="G72" s="52"/>
    </row>
    <row r="73" s="235" customFormat="1" spans="1:7">
      <c r="A73" s="207">
        <v>45997</v>
      </c>
      <c r="B73" s="52" t="s">
        <v>747</v>
      </c>
      <c r="C73" s="52" t="s">
        <v>1148</v>
      </c>
      <c r="D73" s="34">
        <v>377</v>
      </c>
      <c r="E73" s="52"/>
      <c r="F73" s="9">
        <f t="shared" si="2"/>
        <v>23333.7</v>
      </c>
      <c r="G73" s="52"/>
    </row>
    <row r="74" spans="1:7">
      <c r="A74" s="207">
        <v>45999</v>
      </c>
      <c r="B74" s="52" t="s">
        <v>764</v>
      </c>
      <c r="C74" s="52" t="s">
        <v>1149</v>
      </c>
      <c r="D74" s="34">
        <v>5003</v>
      </c>
      <c r="E74" s="35"/>
      <c r="F74" s="9">
        <f t="shared" si="2"/>
        <v>28336.7</v>
      </c>
      <c r="G74" s="35"/>
    </row>
    <row r="75" s="235" customFormat="1" spans="1:7">
      <c r="A75" s="207">
        <v>46001</v>
      </c>
      <c r="B75" s="52" t="s">
        <v>1150</v>
      </c>
      <c r="C75" s="52" t="s">
        <v>1099</v>
      </c>
      <c r="D75" s="34">
        <v>605.3</v>
      </c>
      <c r="E75" s="52"/>
      <c r="F75" s="9">
        <f t="shared" si="2"/>
        <v>28942</v>
      </c>
      <c r="G75" s="52"/>
    </row>
    <row r="76" spans="1:7">
      <c r="A76" s="207">
        <v>46010</v>
      </c>
      <c r="B76" s="52" t="s">
        <v>1151</v>
      </c>
      <c r="C76" s="52" t="s">
        <v>1152</v>
      </c>
      <c r="D76" s="34">
        <v>412.1</v>
      </c>
      <c r="E76" s="35"/>
      <c r="F76" s="9">
        <f t="shared" si="2"/>
        <v>29354.1</v>
      </c>
      <c r="G76" s="35"/>
    </row>
    <row r="77" spans="1:7">
      <c r="A77" s="201">
        <v>46032</v>
      </c>
      <c r="B77" s="50" t="s">
        <v>1134</v>
      </c>
      <c r="C77" s="50" t="s">
        <v>1153</v>
      </c>
      <c r="D77" s="74">
        <v>960.8</v>
      </c>
      <c r="E77" s="223"/>
      <c r="F77" s="208">
        <f t="shared" si="2"/>
        <v>30314.9</v>
      </c>
      <c r="G77" s="35"/>
    </row>
    <row r="78" spans="1:7">
      <c r="A78" s="34" t="s">
        <v>1154</v>
      </c>
      <c r="B78" s="52"/>
      <c r="C78" s="220" t="s">
        <v>1155</v>
      </c>
      <c r="D78" s="34"/>
      <c r="E78" s="220">
        <v>2240</v>
      </c>
      <c r="F78" s="9">
        <f t="shared" si="2"/>
        <v>28074.9</v>
      </c>
      <c r="G78" s="35"/>
    </row>
    <row r="79" spans="1:7">
      <c r="A79" s="103"/>
      <c r="B79" s="35"/>
      <c r="C79" s="35"/>
      <c r="D79" s="103"/>
      <c r="E79" s="35"/>
      <c r="F79" s="35"/>
      <c r="G79" s="35"/>
    </row>
    <row r="80" spans="1:7">
      <c r="A80" s="103"/>
      <c r="B80" s="35"/>
      <c r="C80" s="35"/>
      <c r="D80" s="103"/>
      <c r="E80" s="35"/>
      <c r="F80" s="35"/>
      <c r="G80" s="35"/>
    </row>
    <row r="81" spans="1:7">
      <c r="A81" s="103"/>
      <c r="B81" s="35"/>
      <c r="C81" s="35"/>
      <c r="D81" s="103"/>
      <c r="E81" s="35"/>
      <c r="F81" s="35"/>
      <c r="G81" s="35"/>
    </row>
    <row r="82" spans="1:7">
      <c r="A82" s="103"/>
      <c r="B82" s="35"/>
      <c r="C82" s="35"/>
      <c r="D82" s="103"/>
      <c r="E82" s="35"/>
      <c r="F82" s="35"/>
      <c r="G82" s="35"/>
    </row>
  </sheetData>
  <mergeCells count="9">
    <mergeCell ref="A1:G1"/>
    <mergeCell ref="F2:G2"/>
    <mergeCell ref="A2:A5"/>
    <mergeCell ref="B2:B5"/>
    <mergeCell ref="C2:C5"/>
    <mergeCell ref="D3:D4"/>
    <mergeCell ref="E3:E4"/>
    <mergeCell ref="F3:F4"/>
    <mergeCell ref="G3:G4"/>
  </mergeCells>
  <pageMargins left="0.161111111111111" right="0.161111111111111" top="0.2125" bottom="1" header="0.5" footer="0.5"/>
  <pageSetup paperSize="9" scale="74" orientation="portrait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workbookViewId="0">
      <selection activeCell="K13" sqref="K13"/>
    </sheetView>
  </sheetViews>
  <sheetFormatPr defaultColWidth="9" defaultRowHeight="14.25" outlineLevelCol="6"/>
  <cols>
    <col min="2" max="2" width="10.125"/>
    <col min="3" max="3" width="3.75" customWidth="1"/>
    <col min="4" max="4" width="16.875" customWidth="1"/>
    <col min="6" max="6" width="10.5" customWidth="1"/>
    <col min="7" max="7" width="16.5" customWidth="1"/>
  </cols>
  <sheetData>
    <row r="1" ht="30" customHeight="1" spans="1:7">
      <c r="A1" s="224" t="s">
        <v>1156</v>
      </c>
      <c r="B1" s="224"/>
      <c r="C1" s="224"/>
      <c r="D1" s="224"/>
      <c r="E1" s="224"/>
      <c r="F1" s="225">
        <f>SUM(F3:F20)</f>
        <v>32</v>
      </c>
      <c r="G1" s="225"/>
    </row>
    <row r="2" ht="30" customHeight="1" spans="1:7">
      <c r="A2" s="226" t="s">
        <v>1</v>
      </c>
      <c r="B2" s="226"/>
      <c r="C2" s="226"/>
      <c r="D2" s="226" t="s">
        <v>2</v>
      </c>
      <c r="E2" s="226" t="s">
        <v>1058</v>
      </c>
      <c r="F2" s="226" t="s">
        <v>1157</v>
      </c>
      <c r="G2" s="226" t="s">
        <v>1158</v>
      </c>
    </row>
    <row r="3" ht="20.25" spans="1:7">
      <c r="A3" s="37">
        <v>45930</v>
      </c>
      <c r="B3" s="37"/>
      <c r="C3" s="37"/>
      <c r="D3" s="227" t="s">
        <v>936</v>
      </c>
      <c r="E3" s="40">
        <v>1</v>
      </c>
      <c r="F3" s="40">
        <v>50</v>
      </c>
      <c r="G3" s="227">
        <f>F3</f>
        <v>50</v>
      </c>
    </row>
    <row r="4" ht="20.25" spans="1:7">
      <c r="A4" s="37">
        <v>45943</v>
      </c>
      <c r="B4" s="37"/>
      <c r="C4" s="37"/>
      <c r="D4" s="227" t="s">
        <v>936</v>
      </c>
      <c r="E4" s="40">
        <v>1</v>
      </c>
      <c r="F4" s="40">
        <v>132</v>
      </c>
      <c r="G4" s="227">
        <f>G3+F4</f>
        <v>182</v>
      </c>
    </row>
    <row r="5" ht="20.25" spans="1:7">
      <c r="A5" s="37">
        <v>45947</v>
      </c>
      <c r="B5" s="40"/>
      <c r="C5" s="40"/>
      <c r="D5" s="39" t="s">
        <v>119</v>
      </c>
      <c r="E5" s="40">
        <v>1</v>
      </c>
      <c r="F5" s="40">
        <v>25</v>
      </c>
      <c r="G5" s="227">
        <f t="shared" ref="G5:G15" si="0">G4+F5</f>
        <v>207</v>
      </c>
    </row>
    <row r="6" ht="20.25" spans="1:7">
      <c r="A6" s="37">
        <v>45947</v>
      </c>
      <c r="B6" s="40"/>
      <c r="C6" s="40"/>
      <c r="D6" s="39" t="s">
        <v>119</v>
      </c>
      <c r="E6" s="40">
        <v>1</v>
      </c>
      <c r="F6" s="40">
        <v>10</v>
      </c>
      <c r="G6" s="227">
        <f t="shared" si="0"/>
        <v>217</v>
      </c>
    </row>
    <row r="7" ht="20.25" spans="1:7">
      <c r="A7" s="37">
        <v>45948</v>
      </c>
      <c r="B7" s="37"/>
      <c r="C7" s="37"/>
      <c r="D7" s="227" t="s">
        <v>936</v>
      </c>
      <c r="E7" s="40">
        <v>1</v>
      </c>
      <c r="F7" s="40">
        <v>13</v>
      </c>
      <c r="G7" s="227">
        <f t="shared" si="0"/>
        <v>230</v>
      </c>
    </row>
    <row r="8" ht="20.25" spans="1:7">
      <c r="A8" s="37">
        <v>45950</v>
      </c>
      <c r="B8" s="37"/>
      <c r="C8" s="37"/>
      <c r="D8" s="227" t="s">
        <v>119</v>
      </c>
      <c r="E8" s="40">
        <v>1</v>
      </c>
      <c r="F8" s="40">
        <v>136</v>
      </c>
      <c r="G8" s="227">
        <f t="shared" si="0"/>
        <v>366</v>
      </c>
    </row>
    <row r="9" ht="20.25" spans="1:7">
      <c r="A9" s="37">
        <v>45953</v>
      </c>
      <c r="B9" s="37">
        <v>45950</v>
      </c>
      <c r="C9" s="37"/>
      <c r="D9" s="227" t="s">
        <v>119</v>
      </c>
      <c r="E9" s="40">
        <v>1</v>
      </c>
      <c r="F9" s="40">
        <v>70</v>
      </c>
      <c r="G9" s="227">
        <f t="shared" si="0"/>
        <v>436</v>
      </c>
    </row>
    <row r="10" ht="20.25" spans="1:7">
      <c r="A10" s="37">
        <v>45983</v>
      </c>
      <c r="B10" s="37"/>
      <c r="C10" s="37"/>
      <c r="D10" s="227" t="s">
        <v>936</v>
      </c>
      <c r="E10" s="40">
        <v>1</v>
      </c>
      <c r="F10" s="40">
        <v>130</v>
      </c>
      <c r="G10" s="227">
        <f t="shared" si="0"/>
        <v>566</v>
      </c>
    </row>
    <row r="11" ht="20.25" spans="1:7">
      <c r="A11" s="37">
        <v>45985</v>
      </c>
      <c r="B11" s="37"/>
      <c r="C11" s="37"/>
      <c r="D11" s="227" t="s">
        <v>936</v>
      </c>
      <c r="E11" s="40">
        <v>1</v>
      </c>
      <c r="F11" s="40">
        <v>114</v>
      </c>
      <c r="G11" s="227">
        <f t="shared" si="0"/>
        <v>680</v>
      </c>
    </row>
    <row r="12" ht="20.25" spans="1:7">
      <c r="A12" s="37">
        <v>45985</v>
      </c>
      <c r="B12" s="37"/>
      <c r="C12" s="37"/>
      <c r="D12" s="227" t="s">
        <v>936</v>
      </c>
      <c r="E12" s="40">
        <v>1</v>
      </c>
      <c r="F12" s="40">
        <v>68</v>
      </c>
      <c r="G12" s="227">
        <f t="shared" si="0"/>
        <v>748</v>
      </c>
    </row>
    <row r="13" ht="20.25" spans="1:7">
      <c r="A13" s="37">
        <v>45988</v>
      </c>
      <c r="B13" s="37"/>
      <c r="C13" s="37"/>
      <c r="D13" s="227" t="s">
        <v>936</v>
      </c>
      <c r="E13" s="40">
        <v>1</v>
      </c>
      <c r="F13" s="40">
        <v>31</v>
      </c>
      <c r="G13" s="227">
        <f t="shared" si="0"/>
        <v>779</v>
      </c>
    </row>
    <row r="14" ht="20.25" spans="1:7">
      <c r="A14" s="37">
        <v>45990</v>
      </c>
      <c r="B14" s="37"/>
      <c r="C14" s="37"/>
      <c r="D14" s="227" t="s">
        <v>936</v>
      </c>
      <c r="E14" s="40">
        <v>1</v>
      </c>
      <c r="F14" s="40">
        <v>49</v>
      </c>
      <c r="G14" s="227">
        <f t="shared" si="0"/>
        <v>828</v>
      </c>
    </row>
    <row r="15" ht="20.25" spans="1:7">
      <c r="A15" s="228">
        <v>45999</v>
      </c>
      <c r="B15" s="228"/>
      <c r="C15" s="228"/>
      <c r="D15" s="229" t="s">
        <v>1159</v>
      </c>
      <c r="E15" s="230"/>
      <c r="F15" s="230">
        <v>-828</v>
      </c>
      <c r="G15" s="229">
        <f t="shared" si="0"/>
        <v>0</v>
      </c>
    </row>
    <row r="16" ht="20.25" spans="1:7">
      <c r="A16" s="231">
        <v>45993</v>
      </c>
      <c r="B16" s="231"/>
      <c r="C16" s="231"/>
      <c r="D16" s="232" t="s">
        <v>936</v>
      </c>
      <c r="E16" s="233">
        <v>1</v>
      </c>
      <c r="F16" s="107">
        <v>25</v>
      </c>
      <c r="G16" s="234">
        <f t="shared" ref="G16:G21" si="1">G15+F16</f>
        <v>25</v>
      </c>
    </row>
    <row r="17" ht="20.25" spans="1:7">
      <c r="A17" s="45">
        <v>45997</v>
      </c>
      <c r="B17" s="45"/>
      <c r="C17" s="45"/>
      <c r="D17" s="234" t="s">
        <v>936</v>
      </c>
      <c r="E17" s="48">
        <v>1</v>
      </c>
      <c r="F17" s="48">
        <v>7</v>
      </c>
      <c r="G17" s="234">
        <f t="shared" si="1"/>
        <v>32</v>
      </c>
    </row>
    <row r="18" ht="20.25" spans="1:7">
      <c r="A18" s="45"/>
      <c r="B18" s="45"/>
      <c r="C18" s="45"/>
      <c r="D18" s="234"/>
      <c r="E18" s="48"/>
      <c r="F18" s="48"/>
      <c r="G18" s="234">
        <f t="shared" si="1"/>
        <v>32</v>
      </c>
    </row>
    <row r="19" ht="20.25" spans="1:7">
      <c r="A19" s="45"/>
      <c r="B19" s="45"/>
      <c r="C19" s="45"/>
      <c r="D19" s="234"/>
      <c r="E19" s="48"/>
      <c r="F19" s="48"/>
      <c r="G19" s="234">
        <f t="shared" si="1"/>
        <v>32</v>
      </c>
    </row>
    <row r="20" ht="20.25" spans="1:7">
      <c r="A20" s="45"/>
      <c r="B20" s="45"/>
      <c r="C20" s="45"/>
      <c r="D20" s="234"/>
      <c r="E20" s="48"/>
      <c r="F20" s="48"/>
      <c r="G20" s="234">
        <f t="shared" si="1"/>
        <v>32</v>
      </c>
    </row>
    <row r="21" ht="20.25" spans="1:7">
      <c r="A21" s="45"/>
      <c r="B21" s="45"/>
      <c r="C21" s="45"/>
      <c r="D21" s="234"/>
      <c r="E21" s="48"/>
      <c r="F21" s="48"/>
      <c r="G21" s="234">
        <f t="shared" si="1"/>
        <v>32</v>
      </c>
    </row>
    <row r="22" ht="20.25" spans="1:7">
      <c r="A22" s="45"/>
      <c r="B22" s="45"/>
      <c r="C22" s="45"/>
      <c r="D22" s="234"/>
      <c r="E22" s="48"/>
      <c r="F22" s="48"/>
      <c r="G22" s="234"/>
    </row>
    <row r="23" ht="20.25" spans="1:7">
      <c r="A23" s="45"/>
      <c r="B23" s="45"/>
      <c r="C23" s="45"/>
      <c r="D23" s="234"/>
      <c r="E23" s="48"/>
      <c r="F23" s="48"/>
      <c r="G23" s="234"/>
    </row>
    <row r="24" ht="20.25" spans="1:7">
      <c r="A24" s="110"/>
      <c r="B24" s="110"/>
      <c r="C24" s="110"/>
      <c r="D24" s="110"/>
      <c r="E24" s="110"/>
      <c r="F24" s="110"/>
      <c r="G24" s="110"/>
    </row>
  </sheetData>
  <mergeCells count="24">
    <mergeCell ref="A1:E1"/>
    <mergeCell ref="F1:G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workbookViewId="0">
      <selection activeCell="H16" sqref="H16"/>
    </sheetView>
  </sheetViews>
  <sheetFormatPr defaultColWidth="9" defaultRowHeight="14.25"/>
  <cols>
    <col min="1" max="1" width="12.25" customWidth="1"/>
    <col min="2" max="2" width="6.25" customWidth="1"/>
    <col min="3" max="3" width="39.5" customWidth="1"/>
    <col min="4" max="4" width="20.125" customWidth="1"/>
    <col min="5" max="5" width="19.25" customWidth="1"/>
    <col min="6" max="6" width="17.75" customWidth="1"/>
    <col min="7" max="7" width="7.125" customWidth="1"/>
  </cols>
  <sheetData>
    <row r="1" ht="24" customHeight="1" spans="1:15">
      <c r="A1" s="3" t="s">
        <v>1160</v>
      </c>
      <c r="B1" s="4"/>
      <c r="C1" s="4"/>
      <c r="D1" s="5"/>
      <c r="E1" s="3"/>
      <c r="F1" s="3"/>
      <c r="G1" s="3"/>
    </row>
    <row r="2" ht="25" customHeight="1" spans="1:15">
      <c r="A2" s="6" t="s">
        <v>139</v>
      </c>
      <c r="B2" s="7" t="s">
        <v>140</v>
      </c>
      <c r="C2" s="200" t="s">
        <v>141</v>
      </c>
      <c r="D2" s="8" t="s">
        <v>142</v>
      </c>
      <c r="E2" s="9" t="s">
        <v>143</v>
      </c>
      <c r="F2" s="16" t="s">
        <v>144</v>
      </c>
      <c r="G2" s="16"/>
      <c r="I2" s="12"/>
      <c r="J2" s="12"/>
      <c r="K2" s="12" t="s">
        <v>145</v>
      </c>
      <c r="L2" s="13"/>
      <c r="M2" s="13"/>
      <c r="N2" s="13"/>
      <c r="O2" t="s">
        <v>146</v>
      </c>
    </row>
    <row r="3" ht="5" customHeight="1" spans="1:15">
      <c r="A3" s="6"/>
      <c r="B3" s="7"/>
      <c r="C3" s="200"/>
      <c r="D3" s="14">
        <f>SUM(D6:D11)</f>
        <v>18877.7</v>
      </c>
      <c r="E3" s="14">
        <f>SUM(E6:E11)</f>
        <v>0</v>
      </c>
      <c r="F3" s="14">
        <f>D3-E3</f>
        <v>18877.7</v>
      </c>
      <c r="G3" s="14"/>
    </row>
    <row r="4" ht="19" customHeight="1" spans="1:15">
      <c r="A4" s="6"/>
      <c r="B4" s="7"/>
      <c r="C4" s="200"/>
      <c r="D4" s="14"/>
      <c r="E4" s="14"/>
      <c r="F4" s="14"/>
      <c r="G4" s="14"/>
    </row>
    <row r="5" ht="25" customHeight="1" spans="1:15">
      <c r="A5" s="6"/>
      <c r="B5" s="7"/>
      <c r="C5" s="200"/>
      <c r="D5" s="8" t="s">
        <v>147</v>
      </c>
      <c r="E5" s="9" t="s">
        <v>148</v>
      </c>
      <c r="F5" s="16" t="s">
        <v>149</v>
      </c>
      <c r="G5" s="9" t="s">
        <v>7</v>
      </c>
    </row>
    <row r="6" ht="25" customHeight="1" spans="1:15">
      <c r="A6" s="201" t="s">
        <v>1161</v>
      </c>
      <c r="B6" s="202"/>
      <c r="C6" s="203" t="s">
        <v>1162</v>
      </c>
      <c r="D6" s="204">
        <v>6700.5</v>
      </c>
      <c r="E6" s="205"/>
      <c r="F6" s="205">
        <f>D6-E6</f>
        <v>6700.5</v>
      </c>
      <c r="G6" s="206"/>
    </row>
    <row r="7" ht="20" customHeight="1" spans="1:15">
      <c r="A7" s="207">
        <v>45971</v>
      </c>
      <c r="B7" s="52" t="s">
        <v>1134</v>
      </c>
      <c r="C7" s="52" t="s">
        <v>1135</v>
      </c>
      <c r="D7" s="34">
        <v>465</v>
      </c>
      <c r="E7" s="35"/>
      <c r="F7" s="9">
        <f>F6+D7-E7</f>
        <v>7165.5</v>
      </c>
      <c r="G7" s="206"/>
    </row>
    <row r="8" ht="20" customHeight="1" spans="1:15">
      <c r="A8" s="207">
        <v>45983</v>
      </c>
      <c r="B8" s="52" t="s">
        <v>1136</v>
      </c>
      <c r="C8" s="52" t="s">
        <v>1052</v>
      </c>
      <c r="D8" s="34">
        <v>3853</v>
      </c>
      <c r="E8" s="35"/>
      <c r="F8" s="9">
        <f>F7+D8-E8</f>
        <v>11018.5</v>
      </c>
      <c r="G8" s="206"/>
    </row>
    <row r="9" ht="20" customHeight="1" spans="1:15">
      <c r="A9" s="207">
        <v>45985</v>
      </c>
      <c r="B9" s="52" t="s">
        <v>1137</v>
      </c>
      <c r="C9" s="52" t="s">
        <v>1138</v>
      </c>
      <c r="D9" s="34">
        <v>5773</v>
      </c>
      <c r="E9" s="52"/>
      <c r="F9" s="9">
        <f>F8+D9-E9</f>
        <v>16791.5</v>
      </c>
      <c r="G9" s="206"/>
    </row>
    <row r="10" ht="20" customHeight="1" spans="1:15">
      <c r="A10" s="207">
        <v>45985</v>
      </c>
      <c r="B10" s="52" t="s">
        <v>1139</v>
      </c>
      <c r="C10" s="52" t="s">
        <v>1140</v>
      </c>
      <c r="D10" s="34">
        <v>896</v>
      </c>
      <c r="E10" s="35"/>
      <c r="F10" s="9">
        <f>F9+D10-E10</f>
        <v>17687.5</v>
      </c>
      <c r="G10" s="206"/>
    </row>
    <row r="11" ht="20" customHeight="1" spans="1:15">
      <c r="A11" s="207">
        <v>45985</v>
      </c>
      <c r="B11" s="52" t="s">
        <v>1141</v>
      </c>
      <c r="C11" s="52" t="s">
        <v>1142</v>
      </c>
      <c r="D11" s="34">
        <v>1190.2</v>
      </c>
      <c r="E11" s="35"/>
      <c r="F11" s="208">
        <f>F10+D11-E11</f>
        <v>18877.7</v>
      </c>
      <c r="G11" s="206"/>
    </row>
    <row r="12" ht="26" customHeight="1"/>
    <row r="13" ht="20" customHeight="1" spans="1:15">
      <c r="A13" s="3" t="s">
        <v>1163</v>
      </c>
      <c r="B13" s="4"/>
      <c r="C13" s="4"/>
      <c r="D13" s="5"/>
      <c r="E13" s="3"/>
      <c r="F13" s="3"/>
      <c r="G13" s="3"/>
    </row>
    <row r="14" ht="25" customHeight="1" spans="1:15">
      <c r="A14" s="6" t="s">
        <v>139</v>
      </c>
      <c r="B14" s="7" t="s">
        <v>140</v>
      </c>
      <c r="C14" s="200" t="s">
        <v>141</v>
      </c>
      <c r="D14" s="8" t="s">
        <v>142</v>
      </c>
      <c r="E14" s="9" t="s">
        <v>143</v>
      </c>
      <c r="F14" s="16" t="s">
        <v>144</v>
      </c>
      <c r="G14" s="16"/>
      <c r="I14" s="12"/>
      <c r="J14" s="12"/>
      <c r="K14" s="12" t="s">
        <v>145</v>
      </c>
      <c r="L14" s="13"/>
      <c r="M14" s="13"/>
      <c r="N14" s="13"/>
      <c r="O14" t="s">
        <v>146</v>
      </c>
    </row>
    <row r="15" ht="5" customHeight="1" spans="1:15">
      <c r="A15" s="6"/>
      <c r="B15" s="7"/>
      <c r="C15" s="200"/>
      <c r="D15" s="14">
        <f>SUM(D18:D40)</f>
        <v>78480.7</v>
      </c>
      <c r="E15" s="14">
        <f>SUM(E18:E40)</f>
        <v>59603</v>
      </c>
      <c r="F15" s="14">
        <f>D15-E15</f>
        <v>18877.7</v>
      </c>
      <c r="G15" s="14"/>
    </row>
    <row r="16" ht="19" customHeight="1" spans="1:15">
      <c r="A16" s="6"/>
      <c r="B16" s="7"/>
      <c r="C16" s="200"/>
      <c r="D16" s="14"/>
      <c r="E16" s="14"/>
      <c r="F16" s="14"/>
      <c r="G16" s="14"/>
    </row>
    <row r="17" ht="25" customHeight="1" spans="1:7">
      <c r="A17" s="6"/>
      <c r="B17" s="7"/>
      <c r="C17" s="200"/>
      <c r="D17" s="8" t="s">
        <v>147</v>
      </c>
      <c r="E17" s="9" t="s">
        <v>148</v>
      </c>
      <c r="F17" s="16" t="s">
        <v>149</v>
      </c>
      <c r="G17" s="9" t="s">
        <v>7</v>
      </c>
    </row>
    <row r="18" ht="25" customHeight="1" spans="1:7">
      <c r="A18" s="209" t="s">
        <v>1164</v>
      </c>
      <c r="B18" s="202"/>
      <c r="C18" s="203" t="s">
        <v>202</v>
      </c>
      <c r="D18" s="204">
        <v>41267.5</v>
      </c>
      <c r="E18" s="205">
        <v>20000</v>
      </c>
      <c r="F18" s="9">
        <f>D18-E18</f>
        <v>21267.5</v>
      </c>
      <c r="G18" s="206"/>
    </row>
    <row r="19" ht="18" customHeight="1" spans="1:7">
      <c r="A19" s="210">
        <v>45918</v>
      </c>
      <c r="B19" s="211"/>
      <c r="C19" s="212" t="s">
        <v>1110</v>
      </c>
      <c r="D19" s="213"/>
      <c r="E19" s="214">
        <v>36300</v>
      </c>
      <c r="F19" s="9">
        <f t="shared" ref="F19:F40" si="0">F18+D19-E19</f>
        <v>-15032.5</v>
      </c>
      <c r="G19" s="206"/>
    </row>
    <row r="20" ht="18" customHeight="1" spans="1:7">
      <c r="A20" s="215">
        <v>45937</v>
      </c>
      <c r="B20" s="216">
        <v>1</v>
      </c>
      <c r="C20" s="217" t="s">
        <v>1112</v>
      </c>
      <c r="D20" s="218">
        <v>3171</v>
      </c>
      <c r="E20" s="9"/>
      <c r="F20" s="9">
        <f t="shared" si="0"/>
        <v>-11861.5</v>
      </c>
      <c r="G20" s="206"/>
    </row>
    <row r="21" ht="18" customHeight="1" spans="1:7">
      <c r="A21" s="215">
        <v>45937</v>
      </c>
      <c r="B21" s="216">
        <v>2</v>
      </c>
      <c r="C21" s="217" t="s">
        <v>1113</v>
      </c>
      <c r="D21" s="218">
        <v>164</v>
      </c>
      <c r="E21" s="9"/>
      <c r="F21" s="9">
        <f t="shared" si="0"/>
        <v>-11697.5</v>
      </c>
      <c r="G21" s="206"/>
    </row>
    <row r="22" ht="18" customHeight="1" spans="1:7">
      <c r="A22" s="207">
        <v>45943</v>
      </c>
      <c r="B22" s="216">
        <v>21</v>
      </c>
      <c r="C22" s="52" t="s">
        <v>1114</v>
      </c>
      <c r="D22" s="34">
        <v>80</v>
      </c>
      <c r="E22" s="52"/>
      <c r="F22" s="9">
        <f t="shared" si="0"/>
        <v>-11617.5</v>
      </c>
      <c r="G22" s="206"/>
    </row>
    <row r="23" ht="18" customHeight="1" spans="1:7">
      <c r="A23" s="207">
        <v>45943</v>
      </c>
      <c r="B23" s="216">
        <v>22</v>
      </c>
      <c r="C23" s="52" t="s">
        <v>1115</v>
      </c>
      <c r="D23" s="34">
        <v>1617</v>
      </c>
      <c r="E23" s="52"/>
      <c r="F23" s="9">
        <f t="shared" si="0"/>
        <v>-10000.5</v>
      </c>
      <c r="G23" s="206"/>
    </row>
    <row r="24" ht="18" customHeight="1" spans="1:7">
      <c r="A24" s="207">
        <v>45943</v>
      </c>
      <c r="B24" s="216">
        <v>23</v>
      </c>
      <c r="C24" s="52" t="s">
        <v>1116</v>
      </c>
      <c r="D24" s="34">
        <v>1320</v>
      </c>
      <c r="E24" s="52"/>
      <c r="F24" s="9">
        <f t="shared" si="0"/>
        <v>-8680.5</v>
      </c>
      <c r="G24" s="206"/>
    </row>
    <row r="25" ht="18" customHeight="1" spans="1:7">
      <c r="A25" s="207">
        <v>45943</v>
      </c>
      <c r="B25" s="216">
        <v>25</v>
      </c>
      <c r="C25" s="52" t="s">
        <v>1117</v>
      </c>
      <c r="D25" s="34">
        <v>726</v>
      </c>
      <c r="E25" s="52"/>
      <c r="F25" s="9">
        <f t="shared" si="0"/>
        <v>-7954.5</v>
      </c>
      <c r="G25" s="206"/>
    </row>
    <row r="26" ht="18" customHeight="1" spans="1:7">
      <c r="A26" s="207">
        <v>45943</v>
      </c>
      <c r="B26" s="216">
        <v>24</v>
      </c>
      <c r="C26" s="52" t="s">
        <v>1118</v>
      </c>
      <c r="D26" s="34">
        <v>5442</v>
      </c>
      <c r="E26" s="52"/>
      <c r="F26" s="9">
        <f t="shared" si="0"/>
        <v>-2512.5</v>
      </c>
      <c r="G26" s="206"/>
    </row>
    <row r="27" ht="18" customHeight="1" spans="1:7">
      <c r="A27" s="207">
        <v>45946</v>
      </c>
      <c r="B27" s="52" t="s">
        <v>1119</v>
      </c>
      <c r="C27" s="86" t="s">
        <v>1120</v>
      </c>
      <c r="D27" s="34">
        <v>-750</v>
      </c>
      <c r="E27" s="52"/>
      <c r="F27" s="9">
        <f t="shared" si="0"/>
        <v>-3262.5</v>
      </c>
      <c r="G27" s="206"/>
    </row>
    <row r="28" ht="18" customHeight="1" spans="1:7">
      <c r="A28" s="207">
        <v>45948</v>
      </c>
      <c r="B28" s="52" t="s">
        <v>1121</v>
      </c>
      <c r="C28" s="52" t="s">
        <v>1122</v>
      </c>
      <c r="D28" s="34">
        <v>873</v>
      </c>
      <c r="E28" s="35"/>
      <c r="F28" s="9">
        <f t="shared" si="0"/>
        <v>-2389.5</v>
      </c>
      <c r="G28" s="206"/>
    </row>
    <row r="29" ht="18" customHeight="1" spans="1:7">
      <c r="A29" s="207">
        <v>45948</v>
      </c>
      <c r="B29" s="52" t="s">
        <v>985</v>
      </c>
      <c r="C29" s="52" t="s">
        <v>1123</v>
      </c>
      <c r="D29" s="34">
        <v>628</v>
      </c>
      <c r="E29" s="35"/>
      <c r="F29" s="9">
        <f t="shared" si="0"/>
        <v>-1761.5</v>
      </c>
      <c r="G29" s="206"/>
    </row>
    <row r="30" ht="18" customHeight="1" spans="1:7">
      <c r="A30" s="207">
        <v>45948</v>
      </c>
      <c r="B30" s="52" t="s">
        <v>987</v>
      </c>
      <c r="C30" s="52" t="s">
        <v>1124</v>
      </c>
      <c r="D30" s="34">
        <v>736</v>
      </c>
      <c r="E30" s="35"/>
      <c r="F30" s="9">
        <f t="shared" si="0"/>
        <v>-1025.5</v>
      </c>
      <c r="G30" s="206"/>
    </row>
    <row r="31" ht="18" customHeight="1" spans="1:7">
      <c r="A31" s="207">
        <v>45950</v>
      </c>
      <c r="B31" s="52" t="s">
        <v>991</v>
      </c>
      <c r="C31" s="52" t="s">
        <v>1125</v>
      </c>
      <c r="D31" s="34">
        <v>4907</v>
      </c>
      <c r="E31" s="35"/>
      <c r="F31" s="9">
        <f t="shared" si="0"/>
        <v>3881.5</v>
      </c>
      <c r="G31" s="206"/>
    </row>
    <row r="32" ht="18" customHeight="1" spans="1:7">
      <c r="A32" s="219">
        <v>45952</v>
      </c>
      <c r="B32" s="52"/>
      <c r="C32" s="220" t="s">
        <v>1126</v>
      </c>
      <c r="D32" s="52"/>
      <c r="E32" s="221">
        <v>3303</v>
      </c>
      <c r="F32" s="9">
        <f t="shared" si="0"/>
        <v>578.5</v>
      </c>
      <c r="G32" s="206"/>
    </row>
    <row r="33" ht="18" customHeight="1" spans="1:7">
      <c r="A33" s="207">
        <v>45952</v>
      </c>
      <c r="B33" s="52" t="s">
        <v>1127</v>
      </c>
      <c r="C33" s="52" t="s">
        <v>1128</v>
      </c>
      <c r="D33" s="34">
        <v>2228</v>
      </c>
      <c r="E33" s="35"/>
      <c r="F33" s="9">
        <f t="shared" si="0"/>
        <v>2806.5</v>
      </c>
      <c r="G33" s="206"/>
    </row>
    <row r="34" ht="18" customHeight="1" spans="1:7">
      <c r="A34" s="207">
        <v>45953</v>
      </c>
      <c r="B34" s="34" t="s">
        <v>1129</v>
      </c>
      <c r="C34" s="36" t="s">
        <v>1130</v>
      </c>
      <c r="D34" s="34">
        <v>2299</v>
      </c>
      <c r="E34" s="35"/>
      <c r="F34" s="9">
        <f t="shared" si="0"/>
        <v>5105.5</v>
      </c>
      <c r="G34" s="206"/>
    </row>
    <row r="35" ht="18" customHeight="1" spans="1:7">
      <c r="A35" s="201">
        <v>45959</v>
      </c>
      <c r="B35" s="74" t="s">
        <v>1132</v>
      </c>
      <c r="C35" s="222" t="s">
        <v>1133</v>
      </c>
      <c r="D35" s="74">
        <v>1595</v>
      </c>
      <c r="E35" s="223"/>
      <c r="F35" s="208">
        <f t="shared" si="0"/>
        <v>6700.5</v>
      </c>
      <c r="G35" s="206"/>
    </row>
    <row r="36" spans="1:7">
      <c r="A36" s="207">
        <v>45971</v>
      </c>
      <c r="B36" s="52" t="s">
        <v>1134</v>
      </c>
      <c r="C36" s="52" t="s">
        <v>1135</v>
      </c>
      <c r="D36" s="34">
        <v>465</v>
      </c>
      <c r="E36" s="35"/>
      <c r="F36" s="9">
        <f t="shared" si="0"/>
        <v>7165.5</v>
      </c>
      <c r="G36" s="206"/>
    </row>
    <row r="37" spans="1:7">
      <c r="A37" s="207">
        <v>45983</v>
      </c>
      <c r="B37" s="52" t="s">
        <v>1136</v>
      </c>
      <c r="C37" s="52" t="s">
        <v>1052</v>
      </c>
      <c r="D37" s="34">
        <v>3853</v>
      </c>
      <c r="E37" s="35"/>
      <c r="F37" s="9">
        <f t="shared" si="0"/>
        <v>11018.5</v>
      </c>
      <c r="G37" s="206"/>
    </row>
    <row r="38" spans="1:7">
      <c r="A38" s="207">
        <v>45985</v>
      </c>
      <c r="B38" s="52" t="s">
        <v>1137</v>
      </c>
      <c r="C38" s="52" t="s">
        <v>1138</v>
      </c>
      <c r="D38" s="34">
        <v>5773</v>
      </c>
      <c r="E38" s="52"/>
      <c r="F38" s="9">
        <f t="shared" si="0"/>
        <v>16791.5</v>
      </c>
      <c r="G38" s="206"/>
    </row>
    <row r="39" spans="1:7">
      <c r="A39" s="207">
        <v>45985</v>
      </c>
      <c r="B39" s="52" t="s">
        <v>1139</v>
      </c>
      <c r="C39" s="52" t="s">
        <v>1140</v>
      </c>
      <c r="D39" s="34">
        <v>896</v>
      </c>
      <c r="E39" s="35"/>
      <c r="F39" s="9">
        <f t="shared" si="0"/>
        <v>17687.5</v>
      </c>
      <c r="G39" s="206"/>
    </row>
    <row r="40" spans="1:7">
      <c r="A40" s="207">
        <v>45985</v>
      </c>
      <c r="B40" s="52" t="s">
        <v>1141</v>
      </c>
      <c r="C40" s="52" t="s">
        <v>1142</v>
      </c>
      <c r="D40" s="34">
        <v>1190.2</v>
      </c>
      <c r="E40" s="35"/>
      <c r="F40" s="208">
        <f t="shared" si="0"/>
        <v>18877.7</v>
      </c>
      <c r="G40" s="206"/>
    </row>
  </sheetData>
  <mergeCells count="18">
    <mergeCell ref="A1:G1"/>
    <mergeCell ref="F2:G2"/>
    <mergeCell ref="A13:G13"/>
    <mergeCell ref="F14:G14"/>
    <mergeCell ref="A2:A5"/>
    <mergeCell ref="A14:A17"/>
    <mergeCell ref="B2:B5"/>
    <mergeCell ref="B14:B17"/>
    <mergeCell ref="C2:C5"/>
    <mergeCell ref="C14:C17"/>
    <mergeCell ref="D3:D4"/>
    <mergeCell ref="D15:D16"/>
    <mergeCell ref="E3:E4"/>
    <mergeCell ref="E15:E16"/>
    <mergeCell ref="F3:F4"/>
    <mergeCell ref="F15:F16"/>
    <mergeCell ref="G3:G4"/>
    <mergeCell ref="G15:G1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73"/>
  <sheetViews>
    <sheetView topLeftCell="A4" workbookViewId="0">
      <selection activeCell="A826" sqref="$A826:$XFD834"/>
    </sheetView>
  </sheetViews>
  <sheetFormatPr defaultColWidth="9" defaultRowHeight="14.25"/>
  <cols>
    <col min="1" max="1" width="12.625"/>
    <col min="2" max="2" width="2.875" customWidth="1"/>
    <col min="3" max="3" width="0.875" customWidth="1"/>
    <col min="4" max="4" width="28.625" customWidth="1"/>
    <col min="5" max="5" width="9.625"/>
    <col min="6" max="6" width="14.875" customWidth="1"/>
    <col min="7" max="7" width="15.25" customWidth="1"/>
    <col min="8" max="8" width="14.75" customWidth="1"/>
    <col min="9" max="9" width="16.75" customWidth="1"/>
    <col min="10" max="10" width="11.25" customWidth="1"/>
  </cols>
  <sheetData>
    <row r="1" ht="28" customHeight="1" spans="1:10">
      <c r="A1" s="154" t="s">
        <v>109</v>
      </c>
      <c r="B1" s="154"/>
      <c r="C1" s="154"/>
      <c r="D1" s="154"/>
      <c r="E1" s="154"/>
      <c r="F1" s="154"/>
      <c r="G1" s="154"/>
      <c r="H1" s="154"/>
      <c r="I1" s="154"/>
      <c r="J1" s="154"/>
    </row>
    <row r="2" s="153" customFormat="1" ht="28" customHeight="1" spans="1:10">
      <c r="A2" s="155" t="s">
        <v>1165</v>
      </c>
      <c r="B2" s="155"/>
      <c r="C2" s="155"/>
      <c r="D2" s="155"/>
      <c r="E2" s="155"/>
      <c r="F2" s="155"/>
      <c r="G2" s="155"/>
      <c r="H2" s="155"/>
      <c r="I2" s="155"/>
      <c r="J2" s="155"/>
    </row>
    <row r="3" ht="25" customHeight="1" spans="1:10">
      <c r="A3" s="156" t="s">
        <v>1166</v>
      </c>
      <c r="B3" s="157"/>
      <c r="C3" s="157"/>
      <c r="D3" s="158"/>
      <c r="E3" s="159" t="s">
        <v>113</v>
      </c>
      <c r="F3" s="159" t="s">
        <v>3</v>
      </c>
      <c r="G3" s="159" t="s">
        <v>5</v>
      </c>
      <c r="H3" s="159" t="s">
        <v>114</v>
      </c>
      <c r="I3" s="159" t="s">
        <v>115</v>
      </c>
      <c r="J3" s="158" t="s">
        <v>116</v>
      </c>
    </row>
    <row r="4" ht="25" customHeight="1" spans="1:10">
      <c r="A4" s="160" t="s">
        <v>1167</v>
      </c>
      <c r="B4" s="160"/>
      <c r="C4" s="160"/>
      <c r="D4" s="160"/>
      <c r="E4" s="161">
        <v>1</v>
      </c>
      <c r="F4" s="161">
        <v>33.8</v>
      </c>
      <c r="G4" s="161">
        <f t="shared" ref="G4:G19" si="0">E4*F4</f>
        <v>33.8</v>
      </c>
      <c r="H4" s="162">
        <v>12.6</v>
      </c>
      <c r="I4" s="162">
        <f t="shared" ref="I4:I17" si="1">G4*H4</f>
        <v>425.88</v>
      </c>
      <c r="J4" s="163"/>
    </row>
    <row r="5" ht="25" customHeight="1" spans="1:10">
      <c r="A5" s="160" t="s">
        <v>1168</v>
      </c>
      <c r="B5" s="160"/>
      <c r="C5" s="160"/>
      <c r="D5" s="160"/>
      <c r="E5" s="161">
        <v>1</v>
      </c>
      <c r="F5" s="161">
        <v>11.7</v>
      </c>
      <c r="G5" s="161">
        <f t="shared" si="0"/>
        <v>11.7</v>
      </c>
      <c r="H5" s="162">
        <v>12</v>
      </c>
      <c r="I5" s="162">
        <f t="shared" si="1"/>
        <v>140.4</v>
      </c>
      <c r="J5" s="163"/>
    </row>
    <row r="6" ht="25" customHeight="1" spans="1:10">
      <c r="A6" s="160" t="s">
        <v>417</v>
      </c>
      <c r="B6" s="160"/>
      <c r="C6" s="160"/>
      <c r="D6" s="160"/>
      <c r="E6" s="161">
        <v>1</v>
      </c>
      <c r="F6" s="161">
        <v>11.7</v>
      </c>
      <c r="G6" s="161">
        <f t="shared" si="0"/>
        <v>11.7</v>
      </c>
      <c r="H6" s="162">
        <v>18</v>
      </c>
      <c r="I6" s="162">
        <f t="shared" si="1"/>
        <v>210.6</v>
      </c>
      <c r="J6" s="163"/>
    </row>
    <row r="7" ht="25" customHeight="1" spans="1:10">
      <c r="A7" s="160" t="s">
        <v>120</v>
      </c>
      <c r="B7" s="160"/>
      <c r="C7" s="160"/>
      <c r="D7" s="160"/>
      <c r="E7" s="161">
        <v>1</v>
      </c>
      <c r="F7" s="161">
        <v>0.46</v>
      </c>
      <c r="G7" s="161">
        <f t="shared" si="0"/>
        <v>0.46</v>
      </c>
      <c r="H7" s="162">
        <v>21</v>
      </c>
      <c r="I7" s="162">
        <f t="shared" si="1"/>
        <v>9.66</v>
      </c>
      <c r="J7" s="163"/>
    </row>
    <row r="8" ht="25" customHeight="1" spans="1:10">
      <c r="A8" s="160" t="s">
        <v>1169</v>
      </c>
      <c r="B8" s="160"/>
      <c r="C8" s="160"/>
      <c r="D8" s="160"/>
      <c r="E8" s="161">
        <v>1</v>
      </c>
      <c r="F8" s="161">
        <v>0.33</v>
      </c>
      <c r="G8" s="161">
        <f t="shared" si="0"/>
        <v>0.33</v>
      </c>
      <c r="H8" s="162">
        <v>90</v>
      </c>
      <c r="I8" s="162">
        <f t="shared" si="1"/>
        <v>29.7</v>
      </c>
      <c r="J8" s="163"/>
    </row>
    <row r="9" ht="25" customHeight="1" spans="1:10">
      <c r="A9" s="160" t="s">
        <v>1170</v>
      </c>
      <c r="B9" s="160"/>
      <c r="C9" s="160"/>
      <c r="D9" s="160"/>
      <c r="E9" s="161">
        <v>1</v>
      </c>
      <c r="F9" s="161">
        <v>0.33</v>
      </c>
      <c r="G9" s="161">
        <f t="shared" si="0"/>
        <v>0.33</v>
      </c>
      <c r="H9" s="162">
        <v>75</v>
      </c>
      <c r="I9" s="162">
        <f t="shared" si="1"/>
        <v>24.75</v>
      </c>
      <c r="J9" s="163"/>
    </row>
    <row r="10" ht="25" customHeight="1" spans="1:10">
      <c r="A10" s="47" t="s">
        <v>1171</v>
      </c>
      <c r="B10" s="47"/>
      <c r="C10" s="47"/>
      <c r="D10" s="47" t="s">
        <v>307</v>
      </c>
      <c r="E10" s="161">
        <v>1</v>
      </c>
      <c r="F10" s="161">
        <v>0.13</v>
      </c>
      <c r="G10" s="161">
        <f t="shared" si="0"/>
        <v>0.13</v>
      </c>
      <c r="H10" s="162">
        <v>150</v>
      </c>
      <c r="I10" s="162">
        <f t="shared" si="1"/>
        <v>19.5</v>
      </c>
      <c r="J10" s="163"/>
    </row>
    <row r="11" ht="25" customHeight="1" spans="1:10">
      <c r="A11" s="160" t="s">
        <v>1021</v>
      </c>
      <c r="B11" s="160"/>
      <c r="C11" s="160"/>
      <c r="D11" s="160"/>
      <c r="E11" s="161">
        <v>1</v>
      </c>
      <c r="F11" s="161">
        <v>0.07</v>
      </c>
      <c r="G11" s="161">
        <f t="shared" si="0"/>
        <v>0.07</v>
      </c>
      <c r="H11" s="162">
        <v>55</v>
      </c>
      <c r="I11" s="162">
        <f t="shared" si="1"/>
        <v>3.85</v>
      </c>
      <c r="J11" s="163"/>
    </row>
    <row r="12" ht="25" customHeight="1" spans="1:10">
      <c r="A12" s="160" t="s">
        <v>122</v>
      </c>
      <c r="B12" s="160"/>
      <c r="C12" s="160"/>
      <c r="D12" s="160"/>
      <c r="E12" s="161">
        <v>1</v>
      </c>
      <c r="F12" s="161">
        <v>3.7</v>
      </c>
      <c r="G12" s="161">
        <f t="shared" si="0"/>
        <v>3.7</v>
      </c>
      <c r="H12" s="162">
        <v>7.8</v>
      </c>
      <c r="I12" s="162">
        <f t="shared" si="1"/>
        <v>28.86</v>
      </c>
      <c r="J12" s="163"/>
    </row>
    <row r="13" ht="25" customHeight="1" spans="1:10">
      <c r="A13" s="160" t="s">
        <v>1172</v>
      </c>
      <c r="B13" s="160"/>
      <c r="C13" s="160"/>
      <c r="D13" s="160"/>
      <c r="E13" s="161">
        <v>1</v>
      </c>
      <c r="F13" s="161">
        <v>1.2</v>
      </c>
      <c r="G13" s="161">
        <f t="shared" si="0"/>
        <v>1.2</v>
      </c>
      <c r="H13" s="162">
        <v>9</v>
      </c>
      <c r="I13" s="162">
        <f t="shared" si="1"/>
        <v>10.8</v>
      </c>
      <c r="J13" s="163"/>
    </row>
    <row r="14" ht="25" customHeight="1" spans="1:10">
      <c r="A14" s="160" t="s">
        <v>434</v>
      </c>
      <c r="B14" s="160"/>
      <c r="C14" s="160"/>
      <c r="D14" s="160"/>
      <c r="E14" s="161">
        <v>1</v>
      </c>
      <c r="F14" s="161">
        <v>1.63</v>
      </c>
      <c r="G14" s="161">
        <f t="shared" si="0"/>
        <v>1.63</v>
      </c>
      <c r="H14" s="162">
        <v>7.8</v>
      </c>
      <c r="I14" s="162">
        <f t="shared" si="1"/>
        <v>12.714</v>
      </c>
      <c r="J14" s="163"/>
    </row>
    <row r="15" ht="25" customHeight="1" spans="1:10">
      <c r="A15" s="160" t="s">
        <v>570</v>
      </c>
      <c r="B15" s="160"/>
      <c r="C15" s="160"/>
      <c r="D15" s="160"/>
      <c r="E15" s="161">
        <v>1</v>
      </c>
      <c r="F15" s="161">
        <v>0.5</v>
      </c>
      <c r="G15" s="161">
        <f t="shared" si="0"/>
        <v>0.5</v>
      </c>
      <c r="H15" s="162">
        <v>25</v>
      </c>
      <c r="I15" s="162">
        <f t="shared" si="1"/>
        <v>12.5</v>
      </c>
      <c r="J15" s="163"/>
    </row>
    <row r="16" ht="25" customHeight="1" spans="1:10">
      <c r="A16" s="160" t="s">
        <v>787</v>
      </c>
      <c r="B16" s="160"/>
      <c r="C16" s="160"/>
      <c r="D16" s="160"/>
      <c r="E16" s="161">
        <v>1</v>
      </c>
      <c r="F16" s="161">
        <v>0.5</v>
      </c>
      <c r="G16" s="161">
        <f t="shared" si="0"/>
        <v>0.5</v>
      </c>
      <c r="H16" s="162">
        <v>45</v>
      </c>
      <c r="I16" s="162">
        <f t="shared" si="1"/>
        <v>22.5</v>
      </c>
      <c r="J16" s="163"/>
    </row>
    <row r="17" ht="25" customHeight="1" spans="1:10">
      <c r="A17" s="160" t="s">
        <v>864</v>
      </c>
      <c r="B17" s="160"/>
      <c r="C17" s="160"/>
      <c r="D17" s="160"/>
      <c r="E17" s="161">
        <v>1</v>
      </c>
      <c r="F17" s="161">
        <v>0.2</v>
      </c>
      <c r="G17" s="161">
        <f t="shared" si="0"/>
        <v>0.2</v>
      </c>
      <c r="H17" s="162">
        <v>25</v>
      </c>
      <c r="I17" s="162">
        <f t="shared" si="1"/>
        <v>5</v>
      </c>
      <c r="J17" s="163"/>
    </row>
    <row r="18" ht="25" customHeight="1" spans="1:10">
      <c r="A18" s="164" t="s">
        <v>1173</v>
      </c>
      <c r="B18" s="165"/>
      <c r="C18" s="165"/>
      <c r="D18" s="165"/>
      <c r="E18" s="161">
        <v>1</v>
      </c>
      <c r="F18" s="161">
        <f>SUM(F4:F17)</f>
        <v>66.25</v>
      </c>
      <c r="G18" s="161">
        <f t="shared" si="0"/>
        <v>66.25</v>
      </c>
      <c r="H18" s="162"/>
      <c r="I18" s="162"/>
      <c r="J18" s="163"/>
    </row>
    <row r="19" ht="25" customHeight="1" spans="1:10">
      <c r="A19" s="166" t="s">
        <v>844</v>
      </c>
      <c r="B19" s="166"/>
      <c r="C19" s="166"/>
      <c r="D19" s="166"/>
      <c r="E19" s="167">
        <v>3</v>
      </c>
      <c r="F19" s="167">
        <v>1</v>
      </c>
      <c r="G19" s="167">
        <f t="shared" si="0"/>
        <v>3</v>
      </c>
      <c r="H19" s="168">
        <v>12.5</v>
      </c>
      <c r="I19" s="168">
        <f>G19*H19</f>
        <v>37.5</v>
      </c>
      <c r="J19" s="163"/>
    </row>
    <row r="20" ht="20.25" spans="1:10">
      <c r="A20" s="169" t="s">
        <v>129</v>
      </c>
      <c r="B20" s="169"/>
      <c r="C20" s="169"/>
      <c r="D20" s="170">
        <f>I20</f>
        <v>994.214</v>
      </c>
      <c r="E20" s="170"/>
      <c r="F20" s="170"/>
      <c r="G20" s="170"/>
      <c r="H20" s="170"/>
      <c r="I20" s="171">
        <f>SUM(I4:I19)</f>
        <v>994.214</v>
      </c>
      <c r="J20" s="172"/>
    </row>
    <row r="21" ht="18.75" spans="1:10">
      <c r="A21" s="173" t="s">
        <v>130</v>
      </c>
      <c r="B21" s="174" t="s">
        <v>131</v>
      </c>
      <c r="C21" s="174"/>
      <c r="D21" s="174"/>
      <c r="E21" s="174"/>
      <c r="F21" s="174"/>
      <c r="G21" s="174"/>
      <c r="H21" s="174"/>
      <c r="I21" s="174"/>
      <c r="J21" s="175"/>
    </row>
    <row r="22" ht="18.75" spans="1:10">
      <c r="A22" s="176"/>
      <c r="B22" s="177" t="s">
        <v>132</v>
      </c>
      <c r="C22" s="177"/>
      <c r="D22" s="177"/>
      <c r="E22" s="177"/>
      <c r="F22" s="177"/>
      <c r="G22" s="177"/>
      <c r="H22" s="177"/>
      <c r="I22" s="177"/>
      <c r="J22" s="178"/>
    </row>
    <row r="23" ht="18.75" spans="1:10">
      <c r="A23" s="176"/>
      <c r="B23" s="177"/>
      <c r="C23" s="177" t="s">
        <v>133</v>
      </c>
      <c r="D23" s="177"/>
      <c r="E23" s="177"/>
      <c r="F23" s="177"/>
      <c r="G23" s="177"/>
      <c r="H23" s="177"/>
      <c r="I23" s="177"/>
      <c r="J23" s="178"/>
    </row>
    <row r="24" ht="18.75" spans="1:10">
      <c r="A24" s="179"/>
      <c r="B24" s="180" t="s">
        <v>134</v>
      </c>
      <c r="C24" s="180"/>
      <c r="D24" s="180"/>
      <c r="E24" s="180"/>
      <c r="F24" s="180"/>
      <c r="G24" s="180"/>
      <c r="H24" s="180"/>
      <c r="I24" s="180"/>
      <c r="J24" s="181"/>
    </row>
    <row r="25" ht="18.75" spans="1:10">
      <c r="A25" s="182" t="s">
        <v>135</v>
      </c>
      <c r="B25" s="182"/>
      <c r="C25" s="182"/>
      <c r="D25" s="182"/>
      <c r="E25" s="182"/>
      <c r="F25" s="182"/>
      <c r="G25" s="182"/>
      <c r="H25" s="182"/>
      <c r="I25" s="182"/>
      <c r="J25" s="182"/>
    </row>
    <row r="26" ht="18.75" spans="1:10">
      <c r="A26" s="182" t="s">
        <v>136</v>
      </c>
      <c r="B26" s="182"/>
      <c r="C26" s="182"/>
      <c r="D26" s="182"/>
      <c r="E26" s="182"/>
      <c r="F26" s="182"/>
      <c r="G26" s="182"/>
      <c r="H26" s="182"/>
      <c r="I26" s="182"/>
      <c r="J26" s="182"/>
    </row>
    <row r="27" ht="18.75" spans="1:10">
      <c r="A27" s="183"/>
      <c r="B27" s="183"/>
      <c r="C27" s="183"/>
      <c r="D27" s="183"/>
      <c r="E27" s="182"/>
      <c r="F27" s="182"/>
      <c r="G27" s="182"/>
      <c r="H27" s="182"/>
      <c r="I27" s="182"/>
      <c r="J27" s="182"/>
    </row>
    <row r="28" ht="18.75" spans="1:10">
      <c r="A28" s="183"/>
      <c r="B28" s="183"/>
      <c r="C28" s="183"/>
      <c r="D28" s="183"/>
      <c r="E28" s="182"/>
      <c r="F28" s="182"/>
      <c r="G28" s="182"/>
      <c r="H28" s="182"/>
      <c r="I28" s="182"/>
      <c r="J28" s="182"/>
    </row>
    <row r="29" ht="31.5" spans="1:10">
      <c r="A29" s="154" t="s">
        <v>1174</v>
      </c>
      <c r="B29" s="154"/>
      <c r="C29" s="154"/>
      <c r="D29" s="154"/>
      <c r="E29" s="154"/>
      <c r="F29" s="154"/>
      <c r="G29" s="154"/>
      <c r="H29" s="154"/>
      <c r="I29" s="154"/>
      <c r="J29" s="154"/>
    </row>
    <row r="30" ht="20.25" spans="1:10">
      <c r="A30" s="155" t="s">
        <v>1175</v>
      </c>
      <c r="B30" s="155"/>
      <c r="C30" s="155"/>
      <c r="D30" s="155"/>
      <c r="E30" s="155"/>
      <c r="F30" s="155"/>
      <c r="G30" s="155"/>
      <c r="H30" s="155"/>
      <c r="I30" s="155"/>
      <c r="J30" s="155"/>
    </row>
    <row r="31" ht="20.25" spans="1:10">
      <c r="A31" s="156" t="s">
        <v>1166</v>
      </c>
      <c r="B31" s="157"/>
      <c r="C31" s="157"/>
      <c r="D31" s="158"/>
      <c r="E31" s="159" t="s">
        <v>113</v>
      </c>
      <c r="F31" s="159" t="s">
        <v>3</v>
      </c>
      <c r="G31" s="159" t="s">
        <v>5</v>
      </c>
      <c r="H31" s="159" t="s">
        <v>114</v>
      </c>
      <c r="I31" s="159" t="s">
        <v>115</v>
      </c>
      <c r="J31" s="158" t="s">
        <v>116</v>
      </c>
    </row>
    <row r="32" ht="20.25" spans="1:10">
      <c r="A32" s="184" t="s">
        <v>1176</v>
      </c>
      <c r="B32" s="185"/>
      <c r="C32" s="185"/>
      <c r="D32" s="185"/>
      <c r="E32" s="186">
        <v>3</v>
      </c>
      <c r="F32" s="186">
        <v>22.5</v>
      </c>
      <c r="G32" s="186">
        <f>E32*F32</f>
        <v>67.5</v>
      </c>
      <c r="H32" s="187">
        <v>20</v>
      </c>
      <c r="I32" s="187">
        <f>G32*H32</f>
        <v>1350</v>
      </c>
      <c r="J32" s="188"/>
    </row>
    <row r="33" ht="20.25" spans="1:10">
      <c r="A33" s="186" t="s">
        <v>933</v>
      </c>
      <c r="B33" s="186"/>
      <c r="C33" s="186"/>
      <c r="D33" s="186"/>
      <c r="E33" s="186">
        <v>2</v>
      </c>
      <c r="F33" s="186">
        <v>15</v>
      </c>
      <c r="G33" s="186">
        <f>E33*F33</f>
        <v>30</v>
      </c>
      <c r="H33" s="187">
        <v>15</v>
      </c>
      <c r="I33" s="187">
        <f>G33*H33</f>
        <v>450</v>
      </c>
      <c r="J33" s="188"/>
    </row>
    <row r="34" ht="20.25" spans="1:10">
      <c r="A34" s="48"/>
      <c r="B34" s="48"/>
      <c r="C34" s="48"/>
      <c r="D34" s="189"/>
      <c r="E34" s="48"/>
      <c r="F34" s="48"/>
      <c r="G34" s="167"/>
      <c r="H34" s="49"/>
      <c r="I34" s="168"/>
      <c r="J34" s="188"/>
    </row>
    <row r="35" ht="20.25" spans="1:10">
      <c r="A35" s="190"/>
      <c r="B35" s="191"/>
      <c r="C35" s="191"/>
      <c r="D35" s="192"/>
      <c r="E35" s="48"/>
      <c r="F35" s="48"/>
      <c r="G35" s="48"/>
      <c r="H35" s="49"/>
      <c r="I35" s="193"/>
      <c r="J35" s="188"/>
    </row>
    <row r="36" ht="20.25" spans="1:10">
      <c r="A36" s="190"/>
      <c r="B36" s="191"/>
      <c r="C36" s="191"/>
      <c r="D36" s="192"/>
      <c r="E36" s="48"/>
      <c r="F36" s="48"/>
      <c r="G36" s="48"/>
      <c r="H36" s="49"/>
      <c r="I36" s="193"/>
      <c r="J36" s="188"/>
    </row>
    <row r="37" ht="20.25" spans="1:10">
      <c r="A37" s="190"/>
      <c r="B37" s="191"/>
      <c r="C37" s="191"/>
      <c r="D37" s="192"/>
      <c r="E37" s="48"/>
      <c r="F37" s="48"/>
      <c r="G37" s="48"/>
      <c r="H37" s="49"/>
      <c r="I37" s="193"/>
      <c r="J37" s="188"/>
    </row>
    <row r="38" ht="20.25" spans="1:10">
      <c r="A38" s="194"/>
      <c r="B38" s="195"/>
      <c r="C38" s="195"/>
      <c r="D38" s="195"/>
      <c r="E38" s="48"/>
      <c r="F38" s="48"/>
      <c r="G38" s="48"/>
      <c r="H38" s="49"/>
      <c r="I38" s="49"/>
      <c r="J38" s="196"/>
    </row>
    <row r="39" ht="20.25" spans="1:10">
      <c r="A39" s="169" t="s">
        <v>129</v>
      </c>
      <c r="B39" s="169"/>
      <c r="C39" s="169"/>
      <c r="D39" s="170">
        <f>I39</f>
        <v>1800</v>
      </c>
      <c r="E39" s="170"/>
      <c r="F39" s="170"/>
      <c r="G39" s="170"/>
      <c r="H39" s="170"/>
      <c r="I39" s="171">
        <f>SUM(I23:I38)</f>
        <v>1800</v>
      </c>
      <c r="J39" s="172"/>
    </row>
    <row r="40" ht="18.75" spans="1:10">
      <c r="A40" s="173" t="s">
        <v>130</v>
      </c>
      <c r="B40" s="174" t="s">
        <v>131</v>
      </c>
      <c r="C40" s="174"/>
      <c r="D40" s="174"/>
      <c r="E40" s="174"/>
      <c r="F40" s="174"/>
      <c r="G40" s="174"/>
      <c r="H40" s="174"/>
      <c r="I40" s="174"/>
      <c r="J40" s="175"/>
    </row>
    <row r="41" ht="18.75" spans="1:10">
      <c r="A41" s="176"/>
      <c r="B41" s="177" t="s">
        <v>132</v>
      </c>
      <c r="C41" s="177"/>
      <c r="D41" s="177"/>
      <c r="E41" s="177"/>
      <c r="F41" s="177"/>
      <c r="G41" s="177"/>
      <c r="H41" s="177"/>
      <c r="I41" s="177"/>
      <c r="J41" s="178"/>
    </row>
    <row r="42" ht="18.75" spans="1:10">
      <c r="A42" s="176"/>
      <c r="B42" s="177"/>
      <c r="C42" s="177" t="s">
        <v>133</v>
      </c>
      <c r="D42" s="177"/>
      <c r="E42" s="177"/>
      <c r="F42" s="177"/>
      <c r="G42" s="177"/>
      <c r="H42" s="177"/>
      <c r="I42" s="177"/>
      <c r="J42" s="178"/>
    </row>
    <row r="43" ht="18.75" spans="1:10">
      <c r="A43" s="179"/>
      <c r="B43" s="180" t="s">
        <v>134</v>
      </c>
      <c r="C43" s="180"/>
      <c r="D43" s="180"/>
      <c r="E43" s="180"/>
      <c r="F43" s="180"/>
      <c r="G43" s="180"/>
      <c r="H43" s="180"/>
      <c r="I43" s="180"/>
      <c r="J43" s="181"/>
    </row>
    <row r="44" ht="18.75" spans="1:10">
      <c r="A44" s="182" t="s">
        <v>135</v>
      </c>
      <c r="B44" s="182"/>
      <c r="C44" s="182"/>
      <c r="D44" s="182"/>
      <c r="E44" s="182"/>
      <c r="F44" s="182"/>
      <c r="G44" s="182"/>
      <c r="H44" s="182"/>
      <c r="I44" s="182"/>
      <c r="J44" s="182"/>
    </row>
    <row r="45" ht="18.75" spans="1:10">
      <c r="A45" s="182" t="s">
        <v>136</v>
      </c>
      <c r="B45" s="182"/>
      <c r="C45" s="182"/>
      <c r="D45" s="182"/>
      <c r="E45" s="182"/>
      <c r="F45" s="182"/>
      <c r="G45" s="182"/>
      <c r="H45" s="182"/>
      <c r="I45" s="182"/>
      <c r="J45" s="182"/>
    </row>
    <row r="46" ht="31.5" spans="1:10">
      <c r="A46" s="154" t="s">
        <v>1174</v>
      </c>
      <c r="B46" s="154"/>
      <c r="C46" s="154"/>
      <c r="D46" s="154"/>
      <c r="E46" s="154"/>
      <c r="F46" s="154"/>
      <c r="G46" s="154"/>
      <c r="H46" s="154"/>
      <c r="I46" s="154"/>
      <c r="J46" s="154"/>
    </row>
    <row r="47" ht="20.25" spans="1:10">
      <c r="A47" s="155" t="s">
        <v>1177</v>
      </c>
      <c r="B47" s="155"/>
      <c r="C47" s="155"/>
      <c r="D47" s="155"/>
      <c r="E47" s="155"/>
      <c r="F47" s="155"/>
      <c r="G47" s="155"/>
      <c r="H47" s="155"/>
      <c r="I47" s="155"/>
      <c r="J47" s="155"/>
    </row>
    <row r="48" ht="20.25" spans="1:10">
      <c r="A48" s="156" t="s">
        <v>1166</v>
      </c>
      <c r="B48" s="157"/>
      <c r="C48" s="157"/>
      <c r="D48" s="158"/>
      <c r="E48" s="159" t="s">
        <v>113</v>
      </c>
      <c r="F48" s="159" t="s">
        <v>3</v>
      </c>
      <c r="G48" s="159" t="s">
        <v>5</v>
      </c>
      <c r="H48" s="159" t="s">
        <v>114</v>
      </c>
      <c r="I48" s="159" t="s">
        <v>115</v>
      </c>
      <c r="J48" s="158" t="s">
        <v>116</v>
      </c>
    </row>
    <row r="49" ht="20.25" spans="1:10">
      <c r="A49" s="197" t="s">
        <v>1178</v>
      </c>
      <c r="B49" s="198"/>
      <c r="C49" s="198"/>
      <c r="D49" s="199"/>
      <c r="E49" s="48">
        <v>3</v>
      </c>
      <c r="F49" s="48">
        <v>20</v>
      </c>
      <c r="G49" s="48">
        <f t="shared" ref="G49:G51" si="2">E49*F49</f>
        <v>60</v>
      </c>
      <c r="H49" s="49">
        <v>40</v>
      </c>
      <c r="I49" s="193">
        <f t="shared" ref="I49:I51" si="3">G49*H49</f>
        <v>2400</v>
      </c>
      <c r="J49" s="188"/>
    </row>
    <row r="50" ht="20.25" spans="1:10">
      <c r="A50" s="197" t="s">
        <v>1179</v>
      </c>
      <c r="B50" s="198"/>
      <c r="C50" s="198"/>
      <c r="D50" s="199"/>
      <c r="E50" s="48">
        <v>3</v>
      </c>
      <c r="F50" s="48">
        <v>5</v>
      </c>
      <c r="G50" s="48">
        <f t="shared" si="2"/>
        <v>15</v>
      </c>
      <c r="H50" s="49">
        <v>57</v>
      </c>
      <c r="I50" s="193">
        <f t="shared" si="3"/>
        <v>855</v>
      </c>
      <c r="J50" s="188"/>
    </row>
    <row r="51" ht="20.25" spans="1:10">
      <c r="A51" s="197" t="s">
        <v>1180</v>
      </c>
      <c r="B51" s="198"/>
      <c r="C51" s="198"/>
      <c r="D51" s="199"/>
      <c r="E51" s="48">
        <v>2</v>
      </c>
      <c r="F51" s="48">
        <v>15</v>
      </c>
      <c r="G51" s="48">
        <f t="shared" si="2"/>
        <v>30</v>
      </c>
      <c r="H51" s="49">
        <v>15</v>
      </c>
      <c r="I51" s="193">
        <f t="shared" si="3"/>
        <v>450</v>
      </c>
      <c r="J51" s="188"/>
    </row>
    <row r="52" ht="20.25" spans="1:10">
      <c r="A52" s="190"/>
      <c r="B52" s="191"/>
      <c r="C52" s="191"/>
      <c r="D52" s="192"/>
      <c r="E52" s="48"/>
      <c r="F52" s="48"/>
      <c r="G52" s="48"/>
      <c r="H52" s="49"/>
      <c r="I52" s="193"/>
      <c r="J52" s="188"/>
    </row>
    <row r="53" ht="20.25" spans="1:10">
      <c r="A53" s="190"/>
      <c r="B53" s="191"/>
      <c r="C53" s="191"/>
      <c r="D53" s="192"/>
      <c r="E53" s="48"/>
      <c r="F53" s="48"/>
      <c r="G53" s="48"/>
      <c r="H53" s="49"/>
      <c r="I53" s="193"/>
      <c r="J53" s="188"/>
    </row>
    <row r="54" ht="20.25" spans="1:10">
      <c r="A54" s="190"/>
      <c r="B54" s="191"/>
      <c r="C54" s="191"/>
      <c r="D54" s="192"/>
      <c r="E54" s="48"/>
      <c r="F54" s="48"/>
      <c r="G54" s="48"/>
      <c r="H54" s="49"/>
      <c r="I54" s="193"/>
      <c r="J54" s="188"/>
    </row>
    <row r="55" ht="20.25" spans="1:10">
      <c r="A55" s="194"/>
      <c r="B55" s="195"/>
      <c r="C55" s="195"/>
      <c r="D55" s="195"/>
      <c r="E55" s="48"/>
      <c r="F55" s="48"/>
      <c r="G55" s="48"/>
      <c r="H55" s="49"/>
      <c r="I55" s="49"/>
      <c r="J55" s="196"/>
    </row>
    <row r="56" ht="20.25" spans="1:10">
      <c r="A56" s="169" t="s">
        <v>129</v>
      </c>
      <c r="B56" s="169"/>
      <c r="C56" s="169"/>
      <c r="D56" s="170">
        <f>I56</f>
        <v>3705</v>
      </c>
      <c r="E56" s="170"/>
      <c r="F56" s="170"/>
      <c r="G56" s="170"/>
      <c r="H56" s="170"/>
      <c r="I56" s="171">
        <f>SUM(I40:I55)</f>
        <v>3705</v>
      </c>
      <c r="J56" s="172"/>
    </row>
    <row r="57" ht="18.75" spans="1:10">
      <c r="A57" s="173" t="s">
        <v>130</v>
      </c>
      <c r="B57" s="174" t="s">
        <v>131</v>
      </c>
      <c r="C57" s="174"/>
      <c r="D57" s="174"/>
      <c r="E57" s="174"/>
      <c r="F57" s="174"/>
      <c r="G57" s="174"/>
      <c r="H57" s="174"/>
      <c r="I57" s="174"/>
      <c r="J57" s="175"/>
    </row>
    <row r="58" ht="18.75" spans="1:10">
      <c r="A58" s="176"/>
      <c r="B58" s="177" t="s">
        <v>132</v>
      </c>
      <c r="C58" s="177"/>
      <c r="D58" s="177"/>
      <c r="E58" s="177"/>
      <c r="F58" s="177"/>
      <c r="G58" s="177"/>
      <c r="H58" s="177"/>
      <c r="I58" s="177"/>
      <c r="J58" s="178"/>
    </row>
    <row r="59" ht="18.75" spans="1:10">
      <c r="A59" s="176"/>
      <c r="B59" s="177"/>
      <c r="C59" s="177" t="s">
        <v>133</v>
      </c>
      <c r="D59" s="177"/>
      <c r="E59" s="177"/>
      <c r="F59" s="177"/>
      <c r="G59" s="177"/>
      <c r="H59" s="177"/>
      <c r="I59" s="177"/>
      <c r="J59" s="178"/>
    </row>
    <row r="60" ht="18.75" spans="1:10">
      <c r="A60" s="179"/>
      <c r="B60" s="180" t="s">
        <v>134</v>
      </c>
      <c r="C60" s="180"/>
      <c r="D60" s="180"/>
      <c r="E60" s="180"/>
      <c r="F60" s="180"/>
      <c r="G60" s="180"/>
      <c r="H60" s="180"/>
      <c r="I60" s="180"/>
      <c r="J60" s="181"/>
    </row>
    <row r="61" ht="18.75" spans="1:10">
      <c r="A61" s="182" t="s">
        <v>135</v>
      </c>
      <c r="B61" s="182"/>
      <c r="C61" s="182"/>
      <c r="D61" s="182"/>
      <c r="E61" s="182"/>
      <c r="F61" s="182"/>
      <c r="G61" s="182"/>
      <c r="H61" s="182"/>
      <c r="I61" s="182"/>
      <c r="J61" s="182"/>
    </row>
    <row r="62" ht="18.75" spans="1:10">
      <c r="A62" s="182" t="s">
        <v>136</v>
      </c>
      <c r="B62" s="182"/>
      <c r="C62" s="182"/>
      <c r="D62" s="182"/>
      <c r="E62" s="182"/>
      <c r="F62" s="182"/>
      <c r="G62" s="182"/>
      <c r="H62" s="182"/>
      <c r="I62" s="182"/>
      <c r="J62" s="182"/>
    </row>
    <row r="63" ht="31.5" spans="1:10">
      <c r="A63" s="154" t="s">
        <v>109</v>
      </c>
      <c r="B63" s="154"/>
      <c r="C63" s="154"/>
      <c r="D63" s="154"/>
      <c r="E63" s="154"/>
      <c r="F63" s="154"/>
      <c r="G63" s="154"/>
      <c r="H63" s="154"/>
      <c r="I63" s="154"/>
      <c r="J63" s="154"/>
    </row>
    <row r="64" ht="20.25" spans="1:10">
      <c r="A64" s="155" t="s">
        <v>1181</v>
      </c>
      <c r="B64" s="155"/>
      <c r="C64" s="155"/>
      <c r="D64" s="155"/>
      <c r="E64" s="155"/>
      <c r="F64" s="155"/>
      <c r="G64" s="155"/>
      <c r="H64" s="155"/>
      <c r="I64" s="155"/>
      <c r="J64" s="155"/>
    </row>
    <row r="65" ht="20.25" spans="1:10">
      <c r="A65" s="156" t="s">
        <v>1166</v>
      </c>
      <c r="B65" s="157"/>
      <c r="C65" s="157"/>
      <c r="D65" s="158"/>
      <c r="E65" s="159" t="s">
        <v>113</v>
      </c>
      <c r="F65" s="159" t="s">
        <v>3</v>
      </c>
      <c r="G65" s="159" t="s">
        <v>5</v>
      </c>
      <c r="H65" s="159" t="s">
        <v>114</v>
      </c>
      <c r="I65" s="159" t="s">
        <v>115</v>
      </c>
      <c r="J65" s="158" t="s">
        <v>116</v>
      </c>
    </row>
    <row r="66" ht="20.25" spans="1:10">
      <c r="A66" s="197" t="s">
        <v>1178</v>
      </c>
      <c r="B66" s="198"/>
      <c r="C66" s="198"/>
      <c r="D66" s="199"/>
      <c r="E66" s="48">
        <v>7</v>
      </c>
      <c r="F66" s="48">
        <v>20</v>
      </c>
      <c r="G66" s="48">
        <f t="shared" ref="G66:G68" si="4">E66*F66</f>
        <v>140</v>
      </c>
      <c r="H66" s="49">
        <v>40</v>
      </c>
      <c r="I66" s="193">
        <f t="shared" ref="I66:I68" si="5">G66*H66</f>
        <v>5600</v>
      </c>
      <c r="J66" s="188"/>
    </row>
    <row r="67" ht="20.25" spans="1:10">
      <c r="A67" s="197" t="s">
        <v>1179</v>
      </c>
      <c r="B67" s="198"/>
      <c r="C67" s="198"/>
      <c r="D67" s="199"/>
      <c r="E67" s="48">
        <v>7</v>
      </c>
      <c r="F67" s="48">
        <v>5</v>
      </c>
      <c r="G67" s="48">
        <f t="shared" si="4"/>
        <v>35</v>
      </c>
      <c r="H67" s="49">
        <v>57</v>
      </c>
      <c r="I67" s="193">
        <f t="shared" si="5"/>
        <v>1995</v>
      </c>
      <c r="J67" s="188"/>
    </row>
    <row r="68" ht="20.25" spans="1:10">
      <c r="A68" s="197" t="s">
        <v>1180</v>
      </c>
      <c r="B68" s="198"/>
      <c r="C68" s="198"/>
      <c r="D68" s="199"/>
      <c r="E68" s="48">
        <v>2</v>
      </c>
      <c r="F68" s="48">
        <v>15</v>
      </c>
      <c r="G68" s="48">
        <f t="shared" si="4"/>
        <v>30</v>
      </c>
      <c r="H68" s="49">
        <v>15</v>
      </c>
      <c r="I68" s="193">
        <f t="shared" si="5"/>
        <v>450</v>
      </c>
      <c r="J68" s="188"/>
    </row>
    <row r="69" ht="20.25" spans="1:10">
      <c r="A69" s="190"/>
      <c r="B69" s="191"/>
      <c r="C69" s="191"/>
      <c r="D69" s="192"/>
      <c r="E69" s="48"/>
      <c r="F69" s="48"/>
      <c r="G69" s="48"/>
      <c r="H69" s="49"/>
      <c r="I69" s="193"/>
      <c r="J69" s="188"/>
    </row>
    <row r="70" ht="20.25" spans="1:10">
      <c r="A70" s="190"/>
      <c r="B70" s="191"/>
      <c r="C70" s="191"/>
      <c r="D70" s="192"/>
      <c r="E70" s="48"/>
      <c r="F70" s="48"/>
      <c r="G70" s="48"/>
      <c r="H70" s="49"/>
      <c r="I70" s="193"/>
      <c r="J70" s="188"/>
    </row>
    <row r="71" ht="20.25" spans="1:10">
      <c r="A71" s="190"/>
      <c r="B71" s="191"/>
      <c r="C71" s="191"/>
      <c r="D71" s="192"/>
      <c r="E71" s="48"/>
      <c r="F71" s="48"/>
      <c r="G71" s="48"/>
      <c r="H71" s="49"/>
      <c r="I71" s="193"/>
      <c r="J71" s="188"/>
    </row>
    <row r="72" ht="20.25" spans="1:10">
      <c r="A72" s="194"/>
      <c r="B72" s="195"/>
      <c r="C72" s="195"/>
      <c r="D72" s="195"/>
      <c r="E72" s="48"/>
      <c r="F72" s="48"/>
      <c r="G72" s="48"/>
      <c r="H72" s="49"/>
      <c r="I72" s="49"/>
      <c r="J72" s="196"/>
    </row>
    <row r="73" ht="20.25" spans="1:10">
      <c r="A73" s="169" t="s">
        <v>129</v>
      </c>
      <c r="B73" s="169"/>
      <c r="C73" s="169"/>
      <c r="D73" s="170">
        <f>I73</f>
        <v>8045</v>
      </c>
      <c r="E73" s="170"/>
      <c r="F73" s="170"/>
      <c r="G73" s="170"/>
      <c r="H73" s="170"/>
      <c r="I73" s="171">
        <f>SUM(I57:I72)</f>
        <v>8045</v>
      </c>
      <c r="J73" s="172"/>
    </row>
  </sheetData>
  <mergeCells count="78">
    <mergeCell ref="A1:J1"/>
    <mergeCell ref="A2:J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C20"/>
    <mergeCell ref="D20:H20"/>
    <mergeCell ref="B21:J21"/>
    <mergeCell ref="B22:J22"/>
    <mergeCell ref="C23:J23"/>
    <mergeCell ref="B24:J24"/>
    <mergeCell ref="A25:J25"/>
    <mergeCell ref="A26:J26"/>
    <mergeCell ref="A29:J29"/>
    <mergeCell ref="A30:J30"/>
    <mergeCell ref="A31:D31"/>
    <mergeCell ref="A32:D32"/>
    <mergeCell ref="A33:D33"/>
    <mergeCell ref="A34:D34"/>
    <mergeCell ref="A35:D35"/>
    <mergeCell ref="A36:D36"/>
    <mergeCell ref="A37:D37"/>
    <mergeCell ref="A38:D38"/>
    <mergeCell ref="A39:C39"/>
    <mergeCell ref="D39:H39"/>
    <mergeCell ref="B40:J40"/>
    <mergeCell ref="B41:J41"/>
    <mergeCell ref="C42:J42"/>
    <mergeCell ref="B43:J43"/>
    <mergeCell ref="A44:J44"/>
    <mergeCell ref="A45:J45"/>
    <mergeCell ref="A46:J46"/>
    <mergeCell ref="A47:J47"/>
    <mergeCell ref="A48:D48"/>
    <mergeCell ref="A49:D49"/>
    <mergeCell ref="A50:D50"/>
    <mergeCell ref="A51:D51"/>
    <mergeCell ref="A52:D52"/>
    <mergeCell ref="A53:D53"/>
    <mergeCell ref="A54:D54"/>
    <mergeCell ref="A55:D55"/>
    <mergeCell ref="A56:C56"/>
    <mergeCell ref="D56:H56"/>
    <mergeCell ref="B57:J57"/>
    <mergeCell ref="B58:J58"/>
    <mergeCell ref="C59:J59"/>
    <mergeCell ref="B60:J60"/>
    <mergeCell ref="A61:J61"/>
    <mergeCell ref="A62:J62"/>
    <mergeCell ref="A63:J63"/>
    <mergeCell ref="A64:J64"/>
    <mergeCell ref="A65:D65"/>
    <mergeCell ref="A66:D66"/>
    <mergeCell ref="A67:D67"/>
    <mergeCell ref="A68:D68"/>
    <mergeCell ref="A69:D69"/>
    <mergeCell ref="A70:D70"/>
    <mergeCell ref="A71:D71"/>
    <mergeCell ref="A72:D72"/>
    <mergeCell ref="A73:C73"/>
    <mergeCell ref="D73:H73"/>
    <mergeCell ref="A21:A24"/>
    <mergeCell ref="A40:A43"/>
    <mergeCell ref="A57:A60"/>
  </mergeCells>
  <printOptions horizontalCentered="1"/>
  <pageMargins left="0.393055555555556" right="0.196527777777778" top="0.196527777777778" bottom="0.393055555555556" header="0.196527777777778" footer="0.5"/>
  <pageSetup paperSize="9" scale="72" orientation="portrait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9"/>
  <sheetViews>
    <sheetView topLeftCell="A30" workbookViewId="0">
      <selection activeCell="A826" sqref="$A826:$XFD834"/>
    </sheetView>
  </sheetViews>
  <sheetFormatPr defaultColWidth="9" defaultRowHeight="14.25"/>
  <cols>
    <col min="1" max="1" width="11.125"/>
    <col min="3" max="3" width="4.875" customWidth="1"/>
    <col min="5" max="5" width="0.875" customWidth="1"/>
    <col min="6" max="6" width="30.625" customWidth="1"/>
    <col min="8" max="9" width="9.875"/>
    <col min="10" max="10" width="13.5" customWidth="1"/>
    <col min="11" max="11" width="14.5"/>
    <col min="12" max="12" width="17.125" customWidth="1"/>
    <col min="13" max="13" width="14.375"/>
    <col min="15" max="15" width="4.875" customWidth="1"/>
    <col min="16" max="16" width="9.375"/>
    <col min="17" max="17" width="0.875" customWidth="1"/>
    <col min="18" max="18" width="19.25" customWidth="1"/>
    <col min="20" max="22" width="9.875"/>
    <col min="23" max="23" width="14.5"/>
  </cols>
  <sheetData>
    <row r="1" s="35" customFormat="1" ht="20.25" spans="1:25">
      <c r="A1" s="35" t="s">
        <v>189</v>
      </c>
      <c r="F1" s="103" t="s">
        <v>1182</v>
      </c>
      <c r="G1" s="103"/>
      <c r="H1" s="103"/>
      <c r="J1" s="35" t="s">
        <v>500</v>
      </c>
      <c r="K1" s="104">
        <f>SUM(K4:K162)</f>
        <v>6921.337</v>
      </c>
      <c r="L1" s="35" t="s">
        <v>1183</v>
      </c>
      <c r="M1" s="36">
        <v>1753</v>
      </c>
      <c r="N1" s="35" t="s">
        <v>302</v>
      </c>
      <c r="R1" s="35" t="s">
        <v>1184</v>
      </c>
    </row>
    <row r="2" s="35" customFormat="1" spans="1:25">
      <c r="L2" s="35" t="s">
        <v>502</v>
      </c>
      <c r="M2" s="35">
        <f>K18+K23+K28+K36+K46+K62+K67+K72+K80+K85+K90+K106+K111+K117+K125+K130+K135</f>
        <v>477</v>
      </c>
      <c r="N2" s="35" t="s">
        <v>503</v>
      </c>
      <c r="R2" s="35">
        <f>SUM(W5:W55)</f>
        <v>16515</v>
      </c>
    </row>
    <row r="3" s="35" customFormat="1" spans="1:25">
      <c r="A3" s="35" t="s">
        <v>1</v>
      </c>
      <c r="B3" s="35" t="s">
        <v>304</v>
      </c>
      <c r="C3" s="35" t="s">
        <v>305</v>
      </c>
      <c r="F3" s="35" t="s">
        <v>306</v>
      </c>
      <c r="G3" s="35" t="s">
        <v>113</v>
      </c>
      <c r="H3" s="35" t="s">
        <v>3</v>
      </c>
      <c r="I3" s="35" t="s">
        <v>5</v>
      </c>
      <c r="J3" s="35" t="s">
        <v>114</v>
      </c>
      <c r="K3" s="35" t="s">
        <v>115</v>
      </c>
      <c r="L3" s="35" t="s">
        <v>7</v>
      </c>
      <c r="M3" s="35" t="s">
        <v>303</v>
      </c>
      <c r="N3" s="35" t="s">
        <v>504</v>
      </c>
      <c r="P3" s="35">
        <f>M1+M2</f>
        <v>2230</v>
      </c>
    </row>
    <row r="4" s="1" customFormat="1" ht="20.25" spans="1:25">
      <c r="A4" s="51">
        <v>45741</v>
      </c>
      <c r="B4" s="105">
        <v>102</v>
      </c>
      <c r="C4" s="106" t="s">
        <v>1167</v>
      </c>
      <c r="D4" s="106"/>
      <c r="E4" s="106"/>
      <c r="F4" s="106"/>
      <c r="G4" s="107">
        <v>1</v>
      </c>
      <c r="H4" s="107">
        <v>33.8</v>
      </c>
      <c r="I4" s="108">
        <f t="shared" ref="I4:I17" si="0">G4*H4</f>
        <v>33.8</v>
      </c>
      <c r="J4" s="109">
        <v>12.6</v>
      </c>
      <c r="K4" s="109">
        <f>I4*J4</f>
        <v>425.88</v>
      </c>
      <c r="L4" s="110"/>
      <c r="M4" s="110"/>
      <c r="N4" s="111"/>
    </row>
    <row r="5" s="1" customFormat="1" ht="20.25" spans="1:25">
      <c r="A5" s="51">
        <v>45741</v>
      </c>
      <c r="B5" s="105">
        <v>102</v>
      </c>
      <c r="C5" s="106" t="s">
        <v>1185</v>
      </c>
      <c r="D5" s="106"/>
      <c r="E5" s="106"/>
      <c r="F5" s="106"/>
      <c r="G5" s="107">
        <v>1</v>
      </c>
      <c r="H5" s="107">
        <v>11.7</v>
      </c>
      <c r="I5" s="108">
        <f t="shared" si="0"/>
        <v>11.7</v>
      </c>
      <c r="J5" s="109">
        <v>12</v>
      </c>
      <c r="K5" s="109">
        <f t="shared" ref="K5:K16" si="1">I5*J5</f>
        <v>140.4</v>
      </c>
      <c r="L5" s="110" t="s">
        <v>1186</v>
      </c>
      <c r="M5" s="110"/>
      <c r="N5" s="111"/>
      <c r="O5" s="112" t="s">
        <v>1187</v>
      </c>
      <c r="P5" s="113"/>
      <c r="Q5" s="113"/>
      <c r="R5" s="113"/>
      <c r="S5" s="107">
        <v>3</v>
      </c>
      <c r="T5" s="107">
        <v>20</v>
      </c>
      <c r="U5" s="114">
        <f t="shared" ref="U5:U7" si="2">S5*T5</f>
        <v>60</v>
      </c>
      <c r="V5" s="109">
        <v>40</v>
      </c>
      <c r="W5" s="115">
        <f t="shared" ref="W5:W10" si="3">U5*V5</f>
        <v>2400</v>
      </c>
      <c r="X5" s="116" t="s">
        <v>1188</v>
      </c>
    </row>
    <row r="6" s="1" customFormat="1" ht="20.25" spans="1:25">
      <c r="A6" s="51">
        <v>45741</v>
      </c>
      <c r="B6" s="105">
        <v>102</v>
      </c>
      <c r="C6" s="106" t="s">
        <v>417</v>
      </c>
      <c r="D6" s="106"/>
      <c r="E6" s="106"/>
      <c r="F6" s="106"/>
      <c r="G6" s="107">
        <v>1</v>
      </c>
      <c r="H6" s="107">
        <v>11.7</v>
      </c>
      <c r="I6" s="108">
        <f t="shared" si="0"/>
        <v>11.7</v>
      </c>
      <c r="J6" s="109">
        <v>18</v>
      </c>
      <c r="K6" s="109">
        <f t="shared" si="1"/>
        <v>210.6</v>
      </c>
      <c r="L6" s="110"/>
      <c r="M6" s="110"/>
      <c r="N6" s="111"/>
      <c r="O6" s="107" t="s">
        <v>1179</v>
      </c>
      <c r="P6" s="107"/>
      <c r="Q6" s="107"/>
      <c r="R6" s="117"/>
      <c r="S6" s="107">
        <v>3</v>
      </c>
      <c r="T6" s="107">
        <v>5</v>
      </c>
      <c r="U6" s="114">
        <f t="shared" si="2"/>
        <v>15</v>
      </c>
      <c r="V6" s="109">
        <v>57</v>
      </c>
      <c r="W6" s="115">
        <f t="shared" si="3"/>
        <v>855</v>
      </c>
      <c r="X6" s="116" t="s">
        <v>1188</v>
      </c>
    </row>
    <row r="7" s="1" customFormat="1" ht="20.25" spans="1:25">
      <c r="A7" s="51">
        <v>45741</v>
      </c>
      <c r="B7" s="105">
        <v>102</v>
      </c>
      <c r="C7" s="106" t="s">
        <v>120</v>
      </c>
      <c r="D7" s="106"/>
      <c r="E7" s="106"/>
      <c r="F7" s="106"/>
      <c r="G7" s="107">
        <v>1</v>
      </c>
      <c r="H7" s="107">
        <v>0.46</v>
      </c>
      <c r="I7" s="108">
        <f t="shared" si="0"/>
        <v>0.46</v>
      </c>
      <c r="J7" s="109">
        <v>21</v>
      </c>
      <c r="K7" s="109">
        <f t="shared" si="1"/>
        <v>9.66</v>
      </c>
      <c r="L7" s="110"/>
      <c r="M7" s="110"/>
      <c r="N7" s="111"/>
      <c r="O7" s="107" t="s">
        <v>1180</v>
      </c>
      <c r="P7" s="107"/>
      <c r="Q7" s="107"/>
      <c r="R7" s="117"/>
      <c r="S7" s="107">
        <v>2</v>
      </c>
      <c r="T7" s="107">
        <v>15</v>
      </c>
      <c r="U7" s="114">
        <f t="shared" si="2"/>
        <v>30</v>
      </c>
      <c r="V7" s="109">
        <v>15</v>
      </c>
      <c r="W7" s="115">
        <f t="shared" si="3"/>
        <v>450</v>
      </c>
      <c r="X7" s="1" t="s">
        <v>1189</v>
      </c>
      <c r="Y7" s="1">
        <f>SUM(W5:W7)</f>
        <v>3705</v>
      </c>
    </row>
    <row r="8" s="1" customFormat="1" ht="20.25" spans="1:25">
      <c r="A8" s="51">
        <v>45741</v>
      </c>
      <c r="B8" s="105">
        <v>102</v>
      </c>
      <c r="C8" s="106" t="s">
        <v>1169</v>
      </c>
      <c r="D8" s="106"/>
      <c r="E8" s="106"/>
      <c r="F8" s="106" t="s">
        <v>120</v>
      </c>
      <c r="G8" s="107">
        <v>1</v>
      </c>
      <c r="H8" s="107">
        <v>0.33</v>
      </c>
      <c r="I8" s="108">
        <f t="shared" si="0"/>
        <v>0.33</v>
      </c>
      <c r="J8" s="109">
        <v>90</v>
      </c>
      <c r="K8" s="109">
        <f t="shared" si="1"/>
        <v>29.7</v>
      </c>
      <c r="L8" s="110"/>
      <c r="M8" s="110"/>
      <c r="N8" s="111"/>
      <c r="O8" s="107"/>
      <c r="P8" s="107"/>
      <c r="Q8" s="107"/>
      <c r="R8" s="117"/>
      <c r="S8" s="107"/>
      <c r="T8" s="107"/>
      <c r="U8" s="108"/>
      <c r="V8" s="109"/>
      <c r="W8" s="115"/>
    </row>
    <row r="9" s="1" customFormat="1" ht="20.25" spans="1:25">
      <c r="A9" s="51">
        <v>45741</v>
      </c>
      <c r="B9" s="105">
        <v>102</v>
      </c>
      <c r="C9" s="106" t="s">
        <v>1170</v>
      </c>
      <c r="D9" s="106"/>
      <c r="E9" s="106"/>
      <c r="F9" s="106" t="s">
        <v>785</v>
      </c>
      <c r="G9" s="107">
        <v>1</v>
      </c>
      <c r="H9" s="107">
        <v>0.33</v>
      </c>
      <c r="I9" s="108">
        <f t="shared" si="0"/>
        <v>0.33</v>
      </c>
      <c r="J9" s="109">
        <v>75</v>
      </c>
      <c r="K9" s="109">
        <f t="shared" si="1"/>
        <v>24.75</v>
      </c>
      <c r="L9" s="110"/>
      <c r="M9" s="118" t="s">
        <v>1190</v>
      </c>
      <c r="N9" s="111"/>
      <c r="O9" s="119" t="s">
        <v>1176</v>
      </c>
      <c r="P9" s="120"/>
      <c r="Q9" s="120"/>
      <c r="R9" s="120"/>
      <c r="S9" s="121">
        <v>3</v>
      </c>
      <c r="T9" s="121">
        <v>22.5</v>
      </c>
      <c r="U9" s="122">
        <f t="shared" ref="U9:U14" si="4">S9*T9</f>
        <v>67.5</v>
      </c>
      <c r="V9" s="123">
        <v>20</v>
      </c>
      <c r="W9" s="123">
        <f t="shared" si="3"/>
        <v>1350</v>
      </c>
      <c r="X9" s="116" t="s">
        <v>1188</v>
      </c>
    </row>
    <row r="10" s="1" customFormat="1" ht="20.25" spans="1:25">
      <c r="A10" s="51">
        <v>45741</v>
      </c>
      <c r="B10" s="105">
        <v>102</v>
      </c>
      <c r="C10" s="106" t="s">
        <v>1191</v>
      </c>
      <c r="D10" s="106"/>
      <c r="E10" s="106"/>
      <c r="F10" s="106" t="s">
        <v>307</v>
      </c>
      <c r="G10" s="107">
        <v>1</v>
      </c>
      <c r="H10" s="107">
        <v>0.13</v>
      </c>
      <c r="I10" s="108">
        <f t="shared" si="0"/>
        <v>0.13</v>
      </c>
      <c r="J10" s="109">
        <v>150</v>
      </c>
      <c r="K10" s="109">
        <f t="shared" si="1"/>
        <v>19.5</v>
      </c>
      <c r="L10" s="110" t="s">
        <v>1192</v>
      </c>
      <c r="M10" s="110"/>
      <c r="N10" s="111"/>
      <c r="O10" s="124" t="s">
        <v>933</v>
      </c>
      <c r="P10" s="124"/>
      <c r="Q10" s="124"/>
      <c r="R10" s="124"/>
      <c r="S10" s="121">
        <v>2</v>
      </c>
      <c r="T10" s="121">
        <v>15</v>
      </c>
      <c r="U10" s="122">
        <f t="shared" si="4"/>
        <v>30</v>
      </c>
      <c r="V10" s="123">
        <v>15</v>
      </c>
      <c r="W10" s="123">
        <f t="shared" si="3"/>
        <v>450</v>
      </c>
      <c r="X10" s="1" t="s">
        <v>1189</v>
      </c>
      <c r="Y10" s="1">
        <f>SUM(W9:W10)</f>
        <v>1800</v>
      </c>
    </row>
    <row r="11" s="1" customFormat="1" ht="20.25" spans="1:25">
      <c r="A11" s="51">
        <v>45741</v>
      </c>
      <c r="B11" s="105">
        <v>102</v>
      </c>
      <c r="C11" s="106" t="s">
        <v>1021</v>
      </c>
      <c r="D11" s="106"/>
      <c r="E11" s="106"/>
      <c r="F11" s="106"/>
      <c r="G11" s="107">
        <v>1</v>
      </c>
      <c r="H11" s="107">
        <v>0.07</v>
      </c>
      <c r="I11" s="108">
        <f t="shared" si="0"/>
        <v>0.07</v>
      </c>
      <c r="J11" s="109">
        <v>55</v>
      </c>
      <c r="K11" s="109">
        <f t="shared" si="1"/>
        <v>3.85</v>
      </c>
      <c r="L11" s="110"/>
      <c r="M11" s="110"/>
      <c r="N11" s="111"/>
    </row>
    <row r="12" s="1" customFormat="1" ht="20.25" spans="1:25">
      <c r="A12" s="51">
        <v>45741</v>
      </c>
      <c r="B12" s="105">
        <v>102</v>
      </c>
      <c r="C12" s="106" t="s">
        <v>122</v>
      </c>
      <c r="D12" s="106"/>
      <c r="E12" s="106"/>
      <c r="F12" s="106"/>
      <c r="G12" s="107">
        <v>1</v>
      </c>
      <c r="H12" s="107">
        <v>4.88</v>
      </c>
      <c r="I12" s="108">
        <f t="shared" si="0"/>
        <v>4.88</v>
      </c>
      <c r="J12" s="109">
        <v>7.8</v>
      </c>
      <c r="K12" s="109">
        <f t="shared" si="1"/>
        <v>38.064</v>
      </c>
      <c r="L12" s="110"/>
      <c r="M12" s="110"/>
      <c r="N12" s="111"/>
      <c r="O12" s="112" t="s">
        <v>1187</v>
      </c>
      <c r="P12" s="113"/>
      <c r="Q12" s="113"/>
      <c r="R12" s="113"/>
      <c r="S12" s="107">
        <v>3</v>
      </c>
      <c r="T12" s="107">
        <v>20</v>
      </c>
      <c r="U12" s="114">
        <f t="shared" si="4"/>
        <v>60</v>
      </c>
      <c r="V12" s="109">
        <v>40</v>
      </c>
      <c r="W12" s="115">
        <f t="shared" ref="W12:W14" si="5">U12*V12</f>
        <v>2400</v>
      </c>
      <c r="X12" s="116" t="s">
        <v>1188</v>
      </c>
    </row>
    <row r="13" s="1" customFormat="1" ht="20.25" spans="1:25">
      <c r="A13" s="51">
        <v>45741</v>
      </c>
      <c r="B13" s="105">
        <v>102</v>
      </c>
      <c r="C13" s="106" t="s">
        <v>434</v>
      </c>
      <c r="D13" s="106"/>
      <c r="E13" s="106"/>
      <c r="F13" s="106"/>
      <c r="G13" s="107">
        <v>1</v>
      </c>
      <c r="H13" s="107">
        <v>1.63</v>
      </c>
      <c r="I13" s="108">
        <f t="shared" si="0"/>
        <v>1.63</v>
      </c>
      <c r="J13" s="109">
        <v>7.8</v>
      </c>
      <c r="K13" s="109">
        <f t="shared" si="1"/>
        <v>12.714</v>
      </c>
      <c r="L13" s="110"/>
      <c r="M13" s="110"/>
      <c r="N13" s="111"/>
      <c r="O13" s="107" t="s">
        <v>1179</v>
      </c>
      <c r="P13" s="107"/>
      <c r="Q13" s="107"/>
      <c r="R13" s="117"/>
      <c r="S13" s="107">
        <v>3</v>
      </c>
      <c r="T13" s="107">
        <v>5</v>
      </c>
      <c r="U13" s="114">
        <f t="shared" si="4"/>
        <v>15</v>
      </c>
      <c r="V13" s="109">
        <v>57</v>
      </c>
      <c r="W13" s="115">
        <f t="shared" si="5"/>
        <v>855</v>
      </c>
      <c r="X13" s="116" t="s">
        <v>1188</v>
      </c>
    </row>
    <row r="14" s="1" customFormat="1" ht="20.25" spans="1:25">
      <c r="A14" s="51">
        <v>45741</v>
      </c>
      <c r="B14" s="105">
        <v>102</v>
      </c>
      <c r="C14" s="106" t="s">
        <v>570</v>
      </c>
      <c r="D14" s="106"/>
      <c r="E14" s="106"/>
      <c r="F14" s="106"/>
      <c r="G14" s="107">
        <v>1</v>
      </c>
      <c r="H14" s="107">
        <v>0.5</v>
      </c>
      <c r="I14" s="108">
        <f t="shared" si="0"/>
        <v>0.5</v>
      </c>
      <c r="J14" s="109">
        <v>25</v>
      </c>
      <c r="K14" s="109">
        <f t="shared" si="1"/>
        <v>12.5</v>
      </c>
      <c r="L14" s="110"/>
      <c r="M14" s="110"/>
      <c r="N14" s="111"/>
      <c r="O14" s="107" t="s">
        <v>1180</v>
      </c>
      <c r="P14" s="107"/>
      <c r="Q14" s="107"/>
      <c r="R14" s="117"/>
      <c r="S14" s="107">
        <v>2</v>
      </c>
      <c r="T14" s="107">
        <v>15</v>
      </c>
      <c r="U14" s="114">
        <f t="shared" si="4"/>
        <v>30</v>
      </c>
      <c r="V14" s="109">
        <v>15</v>
      </c>
      <c r="W14" s="115">
        <f t="shared" si="5"/>
        <v>450</v>
      </c>
      <c r="X14" s="1" t="s">
        <v>1189</v>
      </c>
      <c r="Y14" s="1">
        <f>SUM(W12:W14)</f>
        <v>3705</v>
      </c>
    </row>
    <row r="15" s="1" customFormat="1" ht="20.25" spans="1:25">
      <c r="A15" s="51">
        <v>45741</v>
      </c>
      <c r="B15" s="105">
        <v>102</v>
      </c>
      <c r="C15" s="106" t="s">
        <v>787</v>
      </c>
      <c r="D15" s="106"/>
      <c r="E15" s="106"/>
      <c r="F15" s="106"/>
      <c r="G15" s="107">
        <v>1</v>
      </c>
      <c r="H15" s="107">
        <v>0.5</v>
      </c>
      <c r="I15" s="108">
        <f t="shared" si="0"/>
        <v>0.5</v>
      </c>
      <c r="J15" s="109">
        <v>45</v>
      </c>
      <c r="K15" s="109">
        <f t="shared" si="1"/>
        <v>22.5</v>
      </c>
      <c r="L15" s="110"/>
      <c r="M15" s="110"/>
      <c r="N15" s="111"/>
      <c r="O15" s="107"/>
      <c r="P15" s="107"/>
      <c r="Q15" s="107"/>
      <c r="R15" s="117"/>
      <c r="S15" s="107"/>
      <c r="T15" s="107"/>
      <c r="U15" s="108"/>
      <c r="V15" s="109"/>
      <c r="W15" s="115"/>
    </row>
    <row r="16" s="1" customFormat="1" ht="20.25" spans="1:25">
      <c r="A16" s="51">
        <v>45741</v>
      </c>
      <c r="B16" s="105">
        <v>102</v>
      </c>
      <c r="C16" s="106" t="s">
        <v>864</v>
      </c>
      <c r="D16" s="106"/>
      <c r="E16" s="106"/>
      <c r="F16" s="106"/>
      <c r="G16" s="107">
        <v>1</v>
      </c>
      <c r="H16" s="107">
        <v>0.2</v>
      </c>
      <c r="I16" s="108">
        <f t="shared" si="0"/>
        <v>0.2</v>
      </c>
      <c r="J16" s="109">
        <v>25</v>
      </c>
      <c r="K16" s="109">
        <f t="shared" si="1"/>
        <v>5</v>
      </c>
      <c r="L16" s="110"/>
      <c r="M16" s="110"/>
      <c r="N16" s="111"/>
      <c r="O16" s="119" t="s">
        <v>1176</v>
      </c>
      <c r="P16" s="120"/>
      <c r="Q16" s="120"/>
      <c r="R16" s="120"/>
      <c r="S16" s="121">
        <v>3</v>
      </c>
      <c r="T16" s="121">
        <v>22.5</v>
      </c>
      <c r="U16" s="122">
        <f t="shared" ref="U16:U21" si="6">S16*T16</f>
        <v>67.5</v>
      </c>
      <c r="V16" s="123">
        <v>20</v>
      </c>
      <c r="W16" s="123">
        <f t="shared" ref="W16:W21" si="7">U16*V16</f>
        <v>1350</v>
      </c>
      <c r="X16" s="116" t="s">
        <v>1188</v>
      </c>
    </row>
    <row r="17" s="1" customFormat="1" ht="20.25" spans="1:25">
      <c r="A17" s="51">
        <v>45741</v>
      </c>
      <c r="B17" s="105">
        <v>102</v>
      </c>
      <c r="C17" s="112" t="s">
        <v>1173</v>
      </c>
      <c r="D17" s="113"/>
      <c r="E17" s="113"/>
      <c r="F17" s="113"/>
      <c r="G17" s="107">
        <v>1</v>
      </c>
      <c r="H17" s="107">
        <f>SUM(H4:H16)</f>
        <v>66.23</v>
      </c>
      <c r="I17" s="108">
        <f t="shared" si="0"/>
        <v>66.23</v>
      </c>
      <c r="J17" s="109"/>
      <c r="K17" s="109"/>
      <c r="L17" s="110"/>
      <c r="M17" s="110"/>
      <c r="N17" s="111"/>
      <c r="O17" s="124" t="s">
        <v>933</v>
      </c>
      <c r="P17" s="124"/>
      <c r="Q17" s="124"/>
      <c r="R17" s="124"/>
      <c r="S17" s="121">
        <v>2</v>
      </c>
      <c r="T17" s="121">
        <v>15</v>
      </c>
      <c r="U17" s="122">
        <f t="shared" si="6"/>
        <v>30</v>
      </c>
      <c r="V17" s="123">
        <v>15</v>
      </c>
      <c r="W17" s="123">
        <f t="shared" si="7"/>
        <v>450</v>
      </c>
      <c r="X17" s="1" t="s">
        <v>1189</v>
      </c>
      <c r="Y17" s="1">
        <f>SUM(W16:W17)</f>
        <v>1800</v>
      </c>
    </row>
    <row r="18" s="1" customFormat="1" ht="20.25" spans="1:25">
      <c r="A18" s="51">
        <v>45741</v>
      </c>
      <c r="B18" s="105">
        <v>102</v>
      </c>
      <c r="C18" s="106" t="s">
        <v>844</v>
      </c>
      <c r="D18" s="106"/>
      <c r="E18" s="106"/>
      <c r="F18" s="106" t="s">
        <v>120</v>
      </c>
      <c r="G18" s="107">
        <v>3</v>
      </c>
      <c r="H18" s="107">
        <v>1</v>
      </c>
      <c r="I18" s="108">
        <f t="shared" ref="I18:I28" si="8">G18*H18</f>
        <v>3</v>
      </c>
      <c r="J18" s="109">
        <v>12.5</v>
      </c>
      <c r="K18" s="109">
        <f>I18*J18</f>
        <v>37.5</v>
      </c>
      <c r="L18" s="125">
        <f>SUM(K4:K18)</f>
        <v>992.618</v>
      </c>
      <c r="M18" s="110"/>
      <c r="N18" s="111"/>
    </row>
    <row r="19" s="2" customFormat="1" ht="20.25" spans="1:25">
      <c r="A19" s="126">
        <v>45741</v>
      </c>
      <c r="B19" s="127">
        <v>103</v>
      </c>
      <c r="C19" s="128" t="s">
        <v>1193</v>
      </c>
      <c r="D19" s="128"/>
      <c r="E19" s="128"/>
      <c r="F19" s="128" t="s">
        <v>785</v>
      </c>
      <c r="G19" s="129">
        <v>1</v>
      </c>
      <c r="H19" s="130">
        <v>6.75</v>
      </c>
      <c r="I19" s="130">
        <f t="shared" si="8"/>
        <v>6.75</v>
      </c>
      <c r="J19" s="130">
        <v>32</v>
      </c>
      <c r="K19" s="109"/>
      <c r="L19" s="131"/>
      <c r="M19" s="131"/>
      <c r="N19" s="132"/>
      <c r="O19" s="112" t="s">
        <v>1178</v>
      </c>
      <c r="P19" s="113"/>
      <c r="Q19" s="113"/>
      <c r="R19" s="113"/>
      <c r="S19" s="107">
        <v>3</v>
      </c>
      <c r="T19" s="107">
        <v>20</v>
      </c>
      <c r="U19" s="114">
        <f t="shared" si="6"/>
        <v>60</v>
      </c>
      <c r="V19" s="109">
        <v>40</v>
      </c>
      <c r="W19" s="115">
        <f t="shared" si="7"/>
        <v>2400</v>
      </c>
      <c r="X19" s="116" t="s">
        <v>1188</v>
      </c>
    </row>
    <row r="20" s="2" customFormat="1" ht="20.25" spans="1:25">
      <c r="A20" s="126">
        <v>45741</v>
      </c>
      <c r="B20" s="127">
        <v>103</v>
      </c>
      <c r="C20" s="133" t="s">
        <v>434</v>
      </c>
      <c r="D20" s="133"/>
      <c r="E20" s="133"/>
      <c r="F20" s="133"/>
      <c r="G20" s="134">
        <v>1</v>
      </c>
      <c r="H20" s="135">
        <v>6.75</v>
      </c>
      <c r="I20" s="135">
        <f t="shared" si="8"/>
        <v>6.75</v>
      </c>
      <c r="J20" s="135">
        <v>7.8</v>
      </c>
      <c r="K20" s="135">
        <f>I20*J20</f>
        <v>52.65</v>
      </c>
      <c r="L20" s="131"/>
      <c r="M20" s="131"/>
      <c r="N20" s="132"/>
      <c r="O20" s="107" t="s">
        <v>1179</v>
      </c>
      <c r="P20" s="107"/>
      <c r="Q20" s="107"/>
      <c r="R20" s="117"/>
      <c r="S20" s="107">
        <v>3</v>
      </c>
      <c r="T20" s="107">
        <v>5</v>
      </c>
      <c r="U20" s="114">
        <f t="shared" si="6"/>
        <v>15</v>
      </c>
      <c r="V20" s="109">
        <v>57</v>
      </c>
      <c r="W20" s="115">
        <f t="shared" si="7"/>
        <v>855</v>
      </c>
      <c r="X20" s="116" t="s">
        <v>1188</v>
      </c>
    </row>
    <row r="21" s="2" customFormat="1" ht="20.25" spans="1:25">
      <c r="A21" s="126">
        <v>45741</v>
      </c>
      <c r="B21" s="127">
        <v>103</v>
      </c>
      <c r="C21" s="133" t="s">
        <v>1194</v>
      </c>
      <c r="D21" s="133"/>
      <c r="E21" s="133"/>
      <c r="F21" s="133"/>
      <c r="G21" s="134">
        <v>1</v>
      </c>
      <c r="H21" s="135">
        <v>1.5</v>
      </c>
      <c r="I21" s="135">
        <f t="shared" si="8"/>
        <v>1.5</v>
      </c>
      <c r="J21" s="135">
        <v>12.5</v>
      </c>
      <c r="K21" s="135">
        <f>I21*J21</f>
        <v>18.75</v>
      </c>
      <c r="L21" s="131" t="s">
        <v>1195</v>
      </c>
      <c r="M21" s="118" t="s">
        <v>1196</v>
      </c>
      <c r="N21" s="132"/>
      <c r="O21" s="107" t="s">
        <v>1180</v>
      </c>
      <c r="P21" s="107"/>
      <c r="Q21" s="107"/>
      <c r="R21" s="117"/>
      <c r="S21" s="107">
        <v>2</v>
      </c>
      <c r="T21" s="107">
        <v>15</v>
      </c>
      <c r="U21" s="114">
        <f t="shared" si="6"/>
        <v>30</v>
      </c>
      <c r="V21" s="109">
        <v>15</v>
      </c>
      <c r="W21" s="115">
        <f t="shared" si="7"/>
        <v>450</v>
      </c>
      <c r="X21" s="1" t="s">
        <v>1189</v>
      </c>
      <c r="Y21" s="2">
        <f>SUM(W19:W21)</f>
        <v>3705</v>
      </c>
    </row>
    <row r="22" s="2" customFormat="1" ht="20.25" spans="1:25">
      <c r="A22" s="126">
        <v>45741</v>
      </c>
      <c r="B22" s="127">
        <v>103</v>
      </c>
      <c r="C22" s="133" t="s">
        <v>1197</v>
      </c>
      <c r="D22" s="133"/>
      <c r="E22" s="133"/>
      <c r="F22" s="133"/>
      <c r="G22" s="134">
        <v>1</v>
      </c>
      <c r="H22" s="134">
        <f>SUM(H19:H21)</f>
        <v>15</v>
      </c>
      <c r="I22" s="136">
        <f t="shared" si="8"/>
        <v>15</v>
      </c>
      <c r="J22" s="135"/>
      <c r="K22" s="135"/>
      <c r="L22" s="131"/>
      <c r="M22" s="131"/>
      <c r="N22" s="132"/>
      <c r="O22" s="107"/>
      <c r="P22" s="107"/>
      <c r="Q22" s="107"/>
      <c r="R22" s="117"/>
      <c r="S22" s="107"/>
      <c r="T22" s="107"/>
      <c r="U22" s="108"/>
      <c r="V22" s="109"/>
      <c r="W22" s="115"/>
      <c r="X22" s="1"/>
    </row>
    <row r="23" s="2" customFormat="1" ht="20.25" spans="1:25">
      <c r="A23" s="126">
        <v>45741</v>
      </c>
      <c r="B23" s="127">
        <v>103</v>
      </c>
      <c r="C23" s="133" t="s">
        <v>844</v>
      </c>
      <c r="D23" s="133"/>
      <c r="E23" s="133"/>
      <c r="F23" s="133"/>
      <c r="G23" s="134">
        <v>3</v>
      </c>
      <c r="H23" s="134">
        <v>1</v>
      </c>
      <c r="I23" s="136">
        <f t="shared" si="8"/>
        <v>3</v>
      </c>
      <c r="J23" s="135">
        <v>9</v>
      </c>
      <c r="K23" s="135">
        <f t="shared" ref="K23:K28" si="9">I23*J23</f>
        <v>27</v>
      </c>
      <c r="L23" s="131">
        <f>SUM(K19:K23)</f>
        <v>98.4</v>
      </c>
      <c r="M23" s="131"/>
      <c r="N23" s="132"/>
      <c r="O23" s="119" t="s">
        <v>1176</v>
      </c>
      <c r="P23" s="120"/>
      <c r="Q23" s="120"/>
      <c r="R23" s="120"/>
      <c r="S23" s="121">
        <v>3</v>
      </c>
      <c r="T23" s="121">
        <v>22.5</v>
      </c>
      <c r="U23" s="122">
        <f>S23*T23</f>
        <v>67.5</v>
      </c>
      <c r="V23" s="123">
        <v>20</v>
      </c>
      <c r="W23" s="123">
        <f>U23*V23</f>
        <v>1350</v>
      </c>
      <c r="X23" s="116" t="s">
        <v>1188</v>
      </c>
    </row>
    <row r="24" s="1" customFormat="1" ht="20.25" spans="1:25">
      <c r="A24" s="51">
        <v>45741</v>
      </c>
      <c r="B24" s="105">
        <v>104</v>
      </c>
      <c r="C24" s="106" t="s">
        <v>122</v>
      </c>
      <c r="D24" s="106"/>
      <c r="E24" s="106"/>
      <c r="F24" s="106"/>
      <c r="G24" s="107">
        <v>1</v>
      </c>
      <c r="H24" s="107">
        <v>15</v>
      </c>
      <c r="I24" s="108">
        <f t="shared" si="8"/>
        <v>15</v>
      </c>
      <c r="J24" s="109">
        <v>7.8</v>
      </c>
      <c r="K24" s="109">
        <f t="shared" si="9"/>
        <v>117</v>
      </c>
      <c r="L24" s="110"/>
      <c r="M24" s="110"/>
      <c r="N24" s="111"/>
      <c r="O24" s="124" t="s">
        <v>933</v>
      </c>
      <c r="P24" s="124"/>
      <c r="Q24" s="124"/>
      <c r="R24" s="124"/>
      <c r="S24" s="121">
        <v>2</v>
      </c>
      <c r="T24" s="121">
        <v>15</v>
      </c>
      <c r="U24" s="122">
        <f>S24*T24</f>
        <v>30</v>
      </c>
      <c r="V24" s="123">
        <v>15</v>
      </c>
      <c r="W24" s="123">
        <f>U24*V24</f>
        <v>450</v>
      </c>
      <c r="X24" s="1" t="s">
        <v>1189</v>
      </c>
      <c r="Y24" s="1">
        <f>SUM(W23:W24)</f>
        <v>1800</v>
      </c>
    </row>
    <row r="25" s="1" customFormat="1" ht="20.25" spans="1:25">
      <c r="A25" s="51">
        <v>45741</v>
      </c>
      <c r="B25" s="105">
        <v>104</v>
      </c>
      <c r="C25" s="106" t="s">
        <v>434</v>
      </c>
      <c r="D25" s="106"/>
      <c r="E25" s="106"/>
      <c r="F25" s="106"/>
      <c r="G25" s="107">
        <v>1</v>
      </c>
      <c r="H25" s="107">
        <v>6</v>
      </c>
      <c r="I25" s="108">
        <f t="shared" si="8"/>
        <v>6</v>
      </c>
      <c r="J25" s="109">
        <v>7.8</v>
      </c>
      <c r="K25" s="109">
        <f t="shared" si="9"/>
        <v>46.8</v>
      </c>
      <c r="L25" s="110" t="s">
        <v>1198</v>
      </c>
      <c r="M25" s="110"/>
      <c r="N25" s="111"/>
    </row>
    <row r="26" s="1" customFormat="1" ht="20.25" spans="1:25">
      <c r="A26" s="51">
        <v>45741</v>
      </c>
      <c r="B26" s="105">
        <v>104</v>
      </c>
      <c r="C26" s="106" t="s">
        <v>543</v>
      </c>
      <c r="D26" s="106"/>
      <c r="E26" s="106"/>
      <c r="F26" s="106"/>
      <c r="G26" s="107">
        <v>1</v>
      </c>
      <c r="H26" s="107">
        <v>9</v>
      </c>
      <c r="I26" s="108">
        <f t="shared" si="8"/>
        <v>9</v>
      </c>
      <c r="J26" s="109">
        <v>3.6</v>
      </c>
      <c r="K26" s="109">
        <f t="shared" si="9"/>
        <v>32.4</v>
      </c>
      <c r="L26" s="110"/>
      <c r="M26" s="110"/>
      <c r="N26" s="111"/>
    </row>
    <row r="27" s="1" customFormat="1" ht="20.25" spans="1:25">
      <c r="A27" s="51">
        <v>45741</v>
      </c>
      <c r="B27" s="105">
        <v>104</v>
      </c>
      <c r="C27" s="106" t="s">
        <v>1199</v>
      </c>
      <c r="D27" s="106"/>
      <c r="E27" s="106"/>
      <c r="F27" s="106"/>
      <c r="G27" s="107">
        <v>1</v>
      </c>
      <c r="H27" s="107">
        <f>SUM(H24:H26)</f>
        <v>30</v>
      </c>
      <c r="I27" s="108">
        <f t="shared" si="8"/>
        <v>30</v>
      </c>
      <c r="J27" s="109"/>
      <c r="K27" s="109"/>
      <c r="L27" s="110"/>
      <c r="M27" s="137" t="s">
        <v>1200</v>
      </c>
      <c r="N27" s="111"/>
    </row>
    <row r="28" s="1" customFormat="1" ht="20.25" spans="1:25">
      <c r="A28" s="51">
        <v>45741</v>
      </c>
      <c r="B28" s="105">
        <v>104</v>
      </c>
      <c r="C28" s="138" t="s">
        <v>844</v>
      </c>
      <c r="D28" s="138"/>
      <c r="E28" s="138"/>
      <c r="F28" s="138"/>
      <c r="G28" s="139">
        <v>2</v>
      </c>
      <c r="H28" s="139">
        <v>1</v>
      </c>
      <c r="I28" s="114">
        <f t="shared" si="8"/>
        <v>2</v>
      </c>
      <c r="J28" s="115">
        <v>11.5</v>
      </c>
      <c r="K28" s="115">
        <f t="shared" si="9"/>
        <v>23</v>
      </c>
      <c r="L28" s="110">
        <f>SUM(K24:K28)</f>
        <v>219.2</v>
      </c>
      <c r="M28" s="110"/>
      <c r="N28" s="111"/>
    </row>
    <row r="29" s="2" customFormat="1" ht="20.25" spans="1:25">
      <c r="A29" s="126">
        <v>45741</v>
      </c>
      <c r="B29" s="127">
        <v>105</v>
      </c>
      <c r="C29" s="128" t="s">
        <v>1201</v>
      </c>
      <c r="D29" s="128"/>
      <c r="E29" s="128"/>
      <c r="F29" s="128"/>
      <c r="G29" s="129">
        <v>1</v>
      </c>
      <c r="H29" s="129">
        <v>9.84</v>
      </c>
      <c r="I29" s="140">
        <f t="shared" ref="I29:I35" si="10">G29*H29</f>
        <v>9.84</v>
      </c>
      <c r="J29" s="130">
        <v>18</v>
      </c>
      <c r="K29" s="135"/>
      <c r="L29" s="131"/>
      <c r="M29" s="131"/>
      <c r="N29" s="132"/>
    </row>
    <row r="30" s="2" customFormat="1" ht="20.25" spans="1:25">
      <c r="A30" s="126">
        <v>45741</v>
      </c>
      <c r="B30" s="127">
        <v>105</v>
      </c>
      <c r="C30" s="133" t="s">
        <v>120</v>
      </c>
      <c r="D30" s="133"/>
      <c r="E30" s="133"/>
      <c r="F30" s="133"/>
      <c r="G30" s="134">
        <v>1</v>
      </c>
      <c r="H30" s="134">
        <v>0.75</v>
      </c>
      <c r="I30" s="136">
        <f t="shared" si="10"/>
        <v>0.75</v>
      </c>
      <c r="J30" s="135">
        <v>21</v>
      </c>
      <c r="K30" s="135">
        <f t="shared" ref="K29:K44" si="11">I30*J30</f>
        <v>15.75</v>
      </c>
      <c r="L30" s="131"/>
      <c r="M30" s="131"/>
      <c r="N30" s="132"/>
    </row>
    <row r="31" s="2" customFormat="1" ht="20.25" spans="1:25">
      <c r="A31" s="126">
        <v>45741</v>
      </c>
      <c r="B31" s="127">
        <v>105</v>
      </c>
      <c r="C31" s="128" t="s">
        <v>1202</v>
      </c>
      <c r="D31" s="128"/>
      <c r="E31" s="128"/>
      <c r="F31" s="128"/>
      <c r="G31" s="129">
        <v>1</v>
      </c>
      <c r="H31" s="129">
        <v>12.5</v>
      </c>
      <c r="I31" s="140">
        <f t="shared" si="10"/>
        <v>12.5</v>
      </c>
      <c r="J31" s="130">
        <v>7</v>
      </c>
      <c r="K31" s="135"/>
      <c r="L31" s="131"/>
      <c r="M31" s="131"/>
      <c r="N31" s="132"/>
    </row>
    <row r="32" s="2" customFormat="1" ht="20.25" spans="1:25">
      <c r="A32" s="126">
        <v>45741</v>
      </c>
      <c r="B32" s="127">
        <v>105</v>
      </c>
      <c r="C32" s="133" t="s">
        <v>121</v>
      </c>
      <c r="D32" s="133"/>
      <c r="E32" s="133"/>
      <c r="F32" s="133"/>
      <c r="G32" s="134">
        <v>1</v>
      </c>
      <c r="H32" s="134">
        <v>24</v>
      </c>
      <c r="I32" s="136">
        <f t="shared" si="10"/>
        <v>24</v>
      </c>
      <c r="J32" s="135">
        <v>0.6</v>
      </c>
      <c r="K32" s="135">
        <f>I32*J32</f>
        <v>14.4</v>
      </c>
      <c r="L32" s="131"/>
      <c r="M32" s="131"/>
      <c r="N32" s="132"/>
    </row>
    <row r="33" s="2" customFormat="1" ht="20.25" spans="1:23">
      <c r="A33" s="126">
        <v>45741</v>
      </c>
      <c r="B33" s="127">
        <v>105</v>
      </c>
      <c r="C33" s="133" t="s">
        <v>1203</v>
      </c>
      <c r="D33" s="133"/>
      <c r="E33" s="133"/>
      <c r="F33" s="133"/>
      <c r="G33" s="134">
        <v>1</v>
      </c>
      <c r="H33" s="134">
        <v>4.7</v>
      </c>
      <c r="I33" s="136">
        <f t="shared" si="10"/>
        <v>4.7</v>
      </c>
      <c r="J33" s="135">
        <v>8.5</v>
      </c>
      <c r="K33" s="135">
        <f t="shared" si="11"/>
        <v>39.95</v>
      </c>
      <c r="L33" s="131"/>
      <c r="M33" s="131"/>
      <c r="N33" s="132"/>
    </row>
    <row r="34" s="2" customFormat="1" ht="20.25" spans="1:23">
      <c r="A34" s="126">
        <v>45741</v>
      </c>
      <c r="B34" s="127">
        <v>105</v>
      </c>
      <c r="C34" s="133" t="s">
        <v>122</v>
      </c>
      <c r="D34" s="133"/>
      <c r="E34" s="133"/>
      <c r="F34" s="133"/>
      <c r="G34" s="134">
        <v>1</v>
      </c>
      <c r="H34" s="134">
        <v>15.7</v>
      </c>
      <c r="I34" s="136">
        <f t="shared" si="10"/>
        <v>15.7</v>
      </c>
      <c r="J34" s="135">
        <v>7.8</v>
      </c>
      <c r="K34" s="135">
        <f t="shared" si="11"/>
        <v>122.46</v>
      </c>
      <c r="L34" s="131" t="s">
        <v>1192</v>
      </c>
      <c r="M34" s="131"/>
      <c r="N34" s="132"/>
    </row>
    <row r="35" s="2" customFormat="1" ht="20.25" spans="1:23">
      <c r="A35" s="126">
        <v>45741</v>
      </c>
      <c r="B35" s="127">
        <v>105</v>
      </c>
      <c r="C35" s="133" t="s">
        <v>1204</v>
      </c>
      <c r="D35" s="133"/>
      <c r="E35" s="133"/>
      <c r="F35" s="133"/>
      <c r="G35" s="134">
        <v>1</v>
      </c>
      <c r="H35" s="134">
        <f>SUM(H29:H34)</f>
        <v>67.49</v>
      </c>
      <c r="I35" s="136">
        <f t="shared" si="10"/>
        <v>67.49</v>
      </c>
      <c r="J35" s="135"/>
      <c r="K35" s="135"/>
      <c r="L35" s="131"/>
      <c r="M35" s="131"/>
      <c r="N35" s="132"/>
    </row>
    <row r="36" s="2" customFormat="1" ht="20.25" spans="1:23">
      <c r="A36" s="126">
        <v>45741</v>
      </c>
      <c r="B36" s="127">
        <v>105</v>
      </c>
      <c r="C36" s="133" t="s">
        <v>844</v>
      </c>
      <c r="D36" s="133"/>
      <c r="E36" s="133"/>
      <c r="F36" s="133"/>
      <c r="G36" s="134">
        <v>3</v>
      </c>
      <c r="H36" s="134">
        <v>1</v>
      </c>
      <c r="I36" s="136">
        <f t="shared" ref="I36:I56" si="12">G36*H36</f>
        <v>3</v>
      </c>
      <c r="J36" s="135">
        <v>12.5</v>
      </c>
      <c r="K36" s="135">
        <f t="shared" si="11"/>
        <v>37.5</v>
      </c>
      <c r="L36" s="131">
        <f>SUM(K29:K36)</f>
        <v>230.06</v>
      </c>
      <c r="M36" s="137" t="s">
        <v>1205</v>
      </c>
      <c r="N36" s="132"/>
    </row>
    <row r="37" s="1" customFormat="1" ht="20.25" spans="1:23">
      <c r="A37" s="51">
        <v>45741</v>
      </c>
      <c r="B37" s="105">
        <v>106</v>
      </c>
      <c r="C37" s="128" t="s">
        <v>1206</v>
      </c>
      <c r="D37" s="128"/>
      <c r="E37" s="128"/>
      <c r="F37" s="128"/>
      <c r="G37" s="129">
        <v>1</v>
      </c>
      <c r="H37" s="129">
        <v>4.65</v>
      </c>
      <c r="I37" s="140">
        <f t="shared" si="12"/>
        <v>4.65</v>
      </c>
      <c r="J37" s="130">
        <v>25</v>
      </c>
      <c r="K37" s="130"/>
      <c r="L37" s="131"/>
      <c r="M37" s="110"/>
      <c r="N37" s="111"/>
    </row>
    <row r="38" s="1" customFormat="1" ht="20.25" spans="1:23">
      <c r="A38" s="51">
        <v>45741</v>
      </c>
      <c r="B38" s="105">
        <v>106</v>
      </c>
      <c r="C38" s="106" t="s">
        <v>122</v>
      </c>
      <c r="D38" s="106"/>
      <c r="E38" s="106"/>
      <c r="F38" s="106"/>
      <c r="G38" s="107">
        <v>1</v>
      </c>
      <c r="H38" s="107">
        <v>2.1</v>
      </c>
      <c r="I38" s="108">
        <f t="shared" si="12"/>
        <v>2.1</v>
      </c>
      <c r="J38" s="109">
        <v>7.8</v>
      </c>
      <c r="K38" s="109">
        <f t="shared" si="11"/>
        <v>16.38</v>
      </c>
      <c r="L38" s="110"/>
      <c r="M38" s="110"/>
      <c r="N38" s="111"/>
    </row>
    <row r="39" s="1" customFormat="1" ht="20.25" spans="1:23">
      <c r="A39" s="51">
        <v>45741</v>
      </c>
      <c r="B39" s="105">
        <v>106</v>
      </c>
      <c r="C39" s="106" t="s">
        <v>1207</v>
      </c>
      <c r="D39" s="106"/>
      <c r="E39" s="106"/>
      <c r="F39" s="106"/>
      <c r="G39" s="107">
        <v>1</v>
      </c>
      <c r="H39" s="107">
        <v>0.75</v>
      </c>
      <c r="I39" s="108">
        <f t="shared" si="12"/>
        <v>0.75</v>
      </c>
      <c r="J39" s="109">
        <v>8.5</v>
      </c>
      <c r="K39" s="109">
        <f t="shared" si="11"/>
        <v>6.375</v>
      </c>
      <c r="L39" s="110"/>
      <c r="M39" s="118" t="s">
        <v>1208</v>
      </c>
      <c r="N39" s="111"/>
    </row>
    <row r="40" s="1" customFormat="1" ht="20.25" spans="1:23">
      <c r="A40" s="51">
        <v>45741</v>
      </c>
      <c r="B40" s="105">
        <v>106</v>
      </c>
      <c r="C40" s="138" t="s">
        <v>1209</v>
      </c>
      <c r="D40" s="138"/>
      <c r="E40" s="138"/>
      <c r="F40" s="138"/>
      <c r="G40" s="107">
        <v>1</v>
      </c>
      <c r="H40" s="107">
        <f>SUM(H37:H39)</f>
        <v>7.5</v>
      </c>
      <c r="I40" s="108">
        <f t="shared" si="12"/>
        <v>7.5</v>
      </c>
      <c r="J40" s="109"/>
      <c r="K40" s="109">
        <f t="shared" si="11"/>
        <v>0</v>
      </c>
      <c r="L40" s="110" t="s">
        <v>1210</v>
      </c>
      <c r="M40" s="110"/>
      <c r="N40" s="111"/>
    </row>
    <row r="41" s="1" customFormat="1" ht="19" customHeight="1" spans="1:23">
      <c r="A41" s="51">
        <v>45741</v>
      </c>
      <c r="B41" s="105">
        <v>106</v>
      </c>
      <c r="C41" s="106" t="s">
        <v>641</v>
      </c>
      <c r="D41" s="106"/>
      <c r="E41" s="106"/>
      <c r="F41" s="106"/>
      <c r="G41" s="107">
        <v>3</v>
      </c>
      <c r="H41" s="107">
        <v>1</v>
      </c>
      <c r="I41" s="108">
        <f t="shared" si="12"/>
        <v>3</v>
      </c>
      <c r="J41" s="109">
        <v>5.5</v>
      </c>
      <c r="K41" s="109">
        <f t="shared" si="11"/>
        <v>16.5</v>
      </c>
      <c r="L41" s="110"/>
      <c r="M41" s="110">
        <f>SUM(K37:K41)</f>
        <v>39.255</v>
      </c>
      <c r="N41" s="111"/>
    </row>
    <row r="42" s="1" customFormat="1" ht="20.25" spans="1:23">
      <c r="A42" s="51">
        <v>45741</v>
      </c>
      <c r="B42" s="105">
        <v>106</v>
      </c>
      <c r="C42" s="106" t="s">
        <v>122</v>
      </c>
      <c r="D42" s="106"/>
      <c r="E42" s="106"/>
      <c r="F42" s="106"/>
      <c r="G42" s="107">
        <v>1</v>
      </c>
      <c r="H42" s="107">
        <v>15</v>
      </c>
      <c r="I42" s="108">
        <f t="shared" si="12"/>
        <v>15</v>
      </c>
      <c r="J42" s="109">
        <v>7.8</v>
      </c>
      <c r="K42" s="109">
        <f t="shared" si="11"/>
        <v>117</v>
      </c>
      <c r="L42" s="110"/>
      <c r="M42" s="110"/>
      <c r="N42" s="111"/>
    </row>
    <row r="43" s="1" customFormat="1" ht="20.25" spans="1:23">
      <c r="A43" s="51">
        <v>45741</v>
      </c>
      <c r="B43" s="105">
        <v>106</v>
      </c>
      <c r="C43" s="106" t="s">
        <v>1211</v>
      </c>
      <c r="D43" s="106"/>
      <c r="E43" s="106"/>
      <c r="F43" s="106"/>
      <c r="G43" s="107">
        <v>1</v>
      </c>
      <c r="H43" s="107">
        <v>6</v>
      </c>
      <c r="I43" s="108">
        <f t="shared" si="12"/>
        <v>6</v>
      </c>
      <c r="J43" s="109">
        <v>8.5</v>
      </c>
      <c r="K43" s="109">
        <f t="shared" si="11"/>
        <v>51</v>
      </c>
      <c r="L43" s="110"/>
      <c r="M43" s="110"/>
      <c r="N43" s="111"/>
    </row>
    <row r="44" s="1" customFormat="1" ht="20.25" spans="1:23">
      <c r="A44" s="51">
        <v>45741</v>
      </c>
      <c r="B44" s="105">
        <v>106</v>
      </c>
      <c r="C44" s="106" t="s">
        <v>543</v>
      </c>
      <c r="D44" s="106"/>
      <c r="E44" s="106"/>
      <c r="F44" s="106"/>
      <c r="G44" s="107">
        <v>1</v>
      </c>
      <c r="H44" s="107">
        <v>9</v>
      </c>
      <c r="I44" s="108">
        <f t="shared" si="12"/>
        <v>9</v>
      </c>
      <c r="J44" s="109">
        <v>3.6</v>
      </c>
      <c r="K44" s="109">
        <f t="shared" si="11"/>
        <v>32.4</v>
      </c>
      <c r="L44" s="110"/>
      <c r="M44" s="110" t="s">
        <v>1212</v>
      </c>
      <c r="N44" s="111"/>
    </row>
    <row r="45" s="1" customFormat="1" ht="20.25" spans="1:23">
      <c r="A45" s="51">
        <v>45741</v>
      </c>
      <c r="B45" s="105">
        <v>106</v>
      </c>
      <c r="C45" s="138" t="s">
        <v>1213</v>
      </c>
      <c r="D45" s="138"/>
      <c r="E45" s="138"/>
      <c r="F45" s="138"/>
      <c r="G45" s="107">
        <v>1</v>
      </c>
      <c r="H45" s="107">
        <f>SUM(H42:H44)</f>
        <v>30</v>
      </c>
      <c r="I45" s="108">
        <f t="shared" si="12"/>
        <v>30</v>
      </c>
      <c r="J45" s="109"/>
      <c r="K45" s="109"/>
      <c r="L45" s="110" t="s">
        <v>1198</v>
      </c>
      <c r="M45" s="110"/>
      <c r="N45" s="111"/>
    </row>
    <row r="46" s="1" customFormat="1" ht="20.25" spans="1:23">
      <c r="A46" s="51">
        <v>45741</v>
      </c>
      <c r="B46" s="105">
        <v>106</v>
      </c>
      <c r="C46" s="106" t="s">
        <v>423</v>
      </c>
      <c r="D46" s="106"/>
      <c r="E46" s="106"/>
      <c r="F46" s="106"/>
      <c r="G46" s="107">
        <v>2</v>
      </c>
      <c r="H46" s="107">
        <v>1</v>
      </c>
      <c r="I46" s="108">
        <f t="shared" si="12"/>
        <v>2</v>
      </c>
      <c r="J46" s="109">
        <v>11.5</v>
      </c>
      <c r="K46" s="109">
        <f>I46*J46</f>
        <v>23</v>
      </c>
      <c r="L46" s="110"/>
      <c r="M46" s="110">
        <f>SUM(K42:K46)</f>
        <v>223.4</v>
      </c>
      <c r="N46" s="111"/>
    </row>
    <row r="47" s="1" customFormat="1" ht="20.25" spans="1:23">
      <c r="A47" s="141">
        <v>45744</v>
      </c>
      <c r="B47" s="142">
        <v>120</v>
      </c>
      <c r="C47" s="128" t="s">
        <v>1167</v>
      </c>
      <c r="D47" s="128"/>
      <c r="E47" s="128"/>
      <c r="F47" s="128"/>
      <c r="G47" s="129">
        <v>1</v>
      </c>
      <c r="H47" s="129">
        <v>33.8</v>
      </c>
      <c r="I47" s="140">
        <f t="shared" si="12"/>
        <v>33.8</v>
      </c>
      <c r="J47" s="130">
        <v>12.6</v>
      </c>
      <c r="K47" s="130">
        <f t="shared" ref="K47:K60" si="13">I47*J47</f>
        <v>425.88</v>
      </c>
      <c r="L47" s="118"/>
      <c r="M47" s="110"/>
      <c r="N47" s="111"/>
    </row>
    <row r="48" s="1" customFormat="1" ht="20.25" spans="1:23">
      <c r="A48" s="141">
        <v>45744</v>
      </c>
      <c r="B48" s="142">
        <v>120</v>
      </c>
      <c r="C48" s="128" t="s">
        <v>1168</v>
      </c>
      <c r="D48" s="128"/>
      <c r="E48" s="128"/>
      <c r="F48" s="128"/>
      <c r="G48" s="129">
        <v>1</v>
      </c>
      <c r="H48" s="129">
        <v>11.7</v>
      </c>
      <c r="I48" s="140">
        <f t="shared" si="12"/>
        <v>11.7</v>
      </c>
      <c r="J48" s="130">
        <v>12</v>
      </c>
      <c r="K48" s="130">
        <f t="shared" si="13"/>
        <v>140.4</v>
      </c>
      <c r="L48" s="118" t="s">
        <v>1186</v>
      </c>
      <c r="M48" s="110"/>
      <c r="N48" s="111"/>
      <c r="O48" s="112"/>
      <c r="P48" s="113"/>
      <c r="Q48" s="113"/>
      <c r="R48" s="113"/>
      <c r="S48" s="107"/>
      <c r="T48" s="107"/>
      <c r="U48" s="114"/>
      <c r="V48" s="109"/>
      <c r="W48" s="115"/>
    </row>
    <row r="49" s="1" customFormat="1" ht="20.25" spans="1:23">
      <c r="A49" s="141">
        <v>45744</v>
      </c>
      <c r="B49" s="142">
        <v>120</v>
      </c>
      <c r="C49" s="128" t="s">
        <v>417</v>
      </c>
      <c r="D49" s="128"/>
      <c r="E49" s="128"/>
      <c r="F49" s="128"/>
      <c r="G49" s="129">
        <v>1</v>
      </c>
      <c r="H49" s="129">
        <v>11.7</v>
      </c>
      <c r="I49" s="140">
        <f t="shared" si="12"/>
        <v>11.7</v>
      </c>
      <c r="J49" s="130">
        <v>18</v>
      </c>
      <c r="K49" s="130">
        <f t="shared" si="13"/>
        <v>210.6</v>
      </c>
      <c r="L49" s="118"/>
      <c r="M49" s="110"/>
      <c r="N49" s="111"/>
      <c r="O49" s="107"/>
      <c r="P49" s="107"/>
      <c r="Q49" s="107"/>
      <c r="R49" s="117"/>
      <c r="S49" s="107"/>
      <c r="T49" s="107"/>
      <c r="U49" s="114"/>
      <c r="V49" s="109"/>
      <c r="W49" s="115"/>
    </row>
    <row r="50" s="1" customFormat="1" ht="20.25" spans="1:23">
      <c r="A50" s="141">
        <v>45744</v>
      </c>
      <c r="B50" s="142">
        <v>120</v>
      </c>
      <c r="C50" s="128" t="s">
        <v>120</v>
      </c>
      <c r="D50" s="128"/>
      <c r="E50" s="128"/>
      <c r="F50" s="128"/>
      <c r="G50" s="129">
        <v>1</v>
      </c>
      <c r="H50" s="129">
        <v>0.46</v>
      </c>
      <c r="I50" s="140">
        <f t="shared" si="12"/>
        <v>0.46</v>
      </c>
      <c r="J50" s="130">
        <v>21</v>
      </c>
      <c r="K50" s="130">
        <f t="shared" si="13"/>
        <v>9.66</v>
      </c>
      <c r="L50" s="118"/>
      <c r="M50" s="110"/>
      <c r="N50" s="111"/>
      <c r="O50" s="107"/>
      <c r="P50" s="107"/>
      <c r="Q50" s="107"/>
      <c r="R50" s="117"/>
      <c r="S50" s="107"/>
      <c r="T50" s="107"/>
      <c r="U50" s="114"/>
      <c r="V50" s="109"/>
      <c r="W50" s="115"/>
    </row>
    <row r="51" s="1" customFormat="1" ht="20.25" spans="1:23">
      <c r="A51" s="141">
        <v>45744</v>
      </c>
      <c r="B51" s="142">
        <v>120</v>
      </c>
      <c r="C51" s="128" t="s">
        <v>1169</v>
      </c>
      <c r="D51" s="128"/>
      <c r="E51" s="128"/>
      <c r="F51" s="128"/>
      <c r="G51" s="129">
        <v>1</v>
      </c>
      <c r="H51" s="129">
        <v>0.33</v>
      </c>
      <c r="I51" s="140">
        <f t="shared" si="12"/>
        <v>0.33</v>
      </c>
      <c r="J51" s="130">
        <v>90</v>
      </c>
      <c r="K51" s="130">
        <f t="shared" si="13"/>
        <v>29.7</v>
      </c>
      <c r="L51" s="118"/>
      <c r="M51" s="110"/>
      <c r="N51" s="111"/>
      <c r="O51" s="107"/>
      <c r="P51" s="107"/>
      <c r="Q51" s="107"/>
      <c r="R51" s="117"/>
      <c r="S51" s="107"/>
      <c r="T51" s="107"/>
      <c r="U51" s="108"/>
      <c r="V51" s="109"/>
      <c r="W51" s="115"/>
    </row>
    <row r="52" s="1" customFormat="1" ht="20.25" spans="1:23">
      <c r="A52" s="141">
        <v>45744</v>
      </c>
      <c r="B52" s="142">
        <v>120</v>
      </c>
      <c r="C52" s="128" t="s">
        <v>1170</v>
      </c>
      <c r="D52" s="128"/>
      <c r="E52" s="128"/>
      <c r="F52" s="128"/>
      <c r="G52" s="129">
        <v>1</v>
      </c>
      <c r="H52" s="129">
        <v>0.33</v>
      </c>
      <c r="I52" s="140">
        <f t="shared" si="12"/>
        <v>0.33</v>
      </c>
      <c r="J52" s="130">
        <v>75</v>
      </c>
      <c r="K52" s="130">
        <f t="shared" si="13"/>
        <v>24.75</v>
      </c>
      <c r="L52" s="118"/>
      <c r="M52" s="118" t="s">
        <v>1190</v>
      </c>
      <c r="N52" s="111"/>
      <c r="O52" s="119"/>
      <c r="P52" s="120"/>
      <c r="Q52" s="120"/>
      <c r="R52" s="120"/>
      <c r="S52" s="121"/>
      <c r="T52" s="121"/>
      <c r="U52" s="122"/>
      <c r="V52" s="123"/>
      <c r="W52" s="123"/>
    </row>
    <row r="53" s="1" customFormat="1" ht="20.25" spans="1:23">
      <c r="A53" s="141">
        <v>45744</v>
      </c>
      <c r="B53" s="142">
        <v>120</v>
      </c>
      <c r="C53" s="106" t="s">
        <v>1171</v>
      </c>
      <c r="D53" s="106"/>
      <c r="E53" s="106"/>
      <c r="F53" s="106" t="s">
        <v>307</v>
      </c>
      <c r="G53" s="129">
        <v>1</v>
      </c>
      <c r="H53" s="129">
        <v>0.13</v>
      </c>
      <c r="I53" s="140">
        <f t="shared" si="12"/>
        <v>0.13</v>
      </c>
      <c r="J53" s="130">
        <v>150</v>
      </c>
      <c r="K53" s="130">
        <f t="shared" si="13"/>
        <v>19.5</v>
      </c>
      <c r="L53" s="118" t="s">
        <v>1192</v>
      </c>
      <c r="M53" s="110"/>
      <c r="N53" s="111"/>
      <c r="O53" s="124"/>
      <c r="P53" s="124"/>
      <c r="Q53" s="124"/>
      <c r="R53" s="124"/>
      <c r="S53" s="121"/>
      <c r="T53" s="121"/>
      <c r="U53" s="122"/>
      <c r="V53" s="123"/>
      <c r="W53" s="123"/>
    </row>
    <row r="54" s="1" customFormat="1" ht="20.25" spans="1:23">
      <c r="A54" s="141">
        <v>45744</v>
      </c>
      <c r="B54" s="142">
        <v>120</v>
      </c>
      <c r="C54" s="128" t="s">
        <v>1021</v>
      </c>
      <c r="D54" s="128"/>
      <c r="E54" s="128"/>
      <c r="F54" s="128"/>
      <c r="G54" s="129">
        <v>1</v>
      </c>
      <c r="H54" s="129">
        <v>0.07</v>
      </c>
      <c r="I54" s="140">
        <f t="shared" si="12"/>
        <v>0.07</v>
      </c>
      <c r="J54" s="130">
        <v>55</v>
      </c>
      <c r="K54" s="130">
        <f t="shared" si="13"/>
        <v>3.85</v>
      </c>
      <c r="L54" s="118"/>
      <c r="M54" s="110"/>
      <c r="N54" s="111"/>
    </row>
    <row r="55" s="1" customFormat="1" ht="20.25" spans="1:23">
      <c r="A55" s="141">
        <v>45744</v>
      </c>
      <c r="B55" s="142">
        <v>120</v>
      </c>
      <c r="C55" s="128" t="s">
        <v>122</v>
      </c>
      <c r="D55" s="128"/>
      <c r="E55" s="128"/>
      <c r="F55" s="128"/>
      <c r="G55" s="129">
        <v>1</v>
      </c>
      <c r="H55" s="129">
        <v>3.7</v>
      </c>
      <c r="I55" s="140">
        <f t="shared" si="12"/>
        <v>3.7</v>
      </c>
      <c r="J55" s="130">
        <v>7.8</v>
      </c>
      <c r="K55" s="130">
        <f t="shared" si="13"/>
        <v>28.86</v>
      </c>
      <c r="L55" s="118"/>
      <c r="M55" s="110"/>
      <c r="N55" s="111"/>
    </row>
    <row r="56" s="1" customFormat="1" ht="20.25" spans="1:23">
      <c r="A56" s="141">
        <v>45744</v>
      </c>
      <c r="B56" s="142">
        <v>120</v>
      </c>
      <c r="C56" s="128" t="s">
        <v>1172</v>
      </c>
      <c r="D56" s="128"/>
      <c r="E56" s="128"/>
      <c r="F56" s="128"/>
      <c r="G56" s="129">
        <v>1</v>
      </c>
      <c r="H56" s="129">
        <v>1.2</v>
      </c>
      <c r="I56" s="140">
        <f t="shared" si="12"/>
        <v>1.2</v>
      </c>
      <c r="J56" s="130">
        <v>9</v>
      </c>
      <c r="K56" s="130">
        <f t="shared" si="13"/>
        <v>10.8</v>
      </c>
      <c r="L56" s="118"/>
      <c r="M56" s="110"/>
      <c r="N56" s="111"/>
    </row>
    <row r="57" s="1" customFormat="1" ht="20.25" spans="1:23">
      <c r="A57" s="141">
        <v>45744</v>
      </c>
      <c r="B57" s="142">
        <v>120</v>
      </c>
      <c r="C57" s="128" t="s">
        <v>434</v>
      </c>
      <c r="D57" s="128"/>
      <c r="E57" s="128"/>
      <c r="F57" s="128"/>
      <c r="G57" s="129">
        <v>1</v>
      </c>
      <c r="H57" s="129">
        <v>1.63</v>
      </c>
      <c r="I57" s="140">
        <f t="shared" ref="I57:I120" si="14">G57*H57</f>
        <v>1.63</v>
      </c>
      <c r="J57" s="130">
        <v>7.8</v>
      </c>
      <c r="K57" s="130">
        <f t="shared" si="13"/>
        <v>12.714</v>
      </c>
      <c r="L57" s="118"/>
      <c r="M57" s="110"/>
      <c r="N57" s="111"/>
    </row>
    <row r="58" s="1" customFormat="1" ht="20.25" spans="1:23">
      <c r="A58" s="141">
        <v>45744</v>
      </c>
      <c r="B58" s="142">
        <v>120</v>
      </c>
      <c r="C58" s="128" t="s">
        <v>570</v>
      </c>
      <c r="D58" s="128"/>
      <c r="E58" s="128"/>
      <c r="F58" s="128"/>
      <c r="G58" s="129">
        <v>1</v>
      </c>
      <c r="H58" s="129">
        <v>0.5</v>
      </c>
      <c r="I58" s="140">
        <f t="shared" si="14"/>
        <v>0.5</v>
      </c>
      <c r="J58" s="130">
        <v>25</v>
      </c>
      <c r="K58" s="130">
        <f t="shared" si="13"/>
        <v>12.5</v>
      </c>
      <c r="L58" s="118"/>
      <c r="M58" s="110"/>
      <c r="N58" s="111"/>
    </row>
    <row r="59" s="1" customFormat="1" ht="20.25" spans="1:23">
      <c r="A59" s="141">
        <v>45744</v>
      </c>
      <c r="B59" s="142">
        <v>120</v>
      </c>
      <c r="C59" s="128" t="s">
        <v>787</v>
      </c>
      <c r="D59" s="128"/>
      <c r="E59" s="128"/>
      <c r="F59" s="128"/>
      <c r="G59" s="129">
        <v>1</v>
      </c>
      <c r="H59" s="129">
        <v>0.5</v>
      </c>
      <c r="I59" s="140">
        <f t="shared" si="14"/>
        <v>0.5</v>
      </c>
      <c r="J59" s="130">
        <v>45</v>
      </c>
      <c r="K59" s="130">
        <f t="shared" si="13"/>
        <v>22.5</v>
      </c>
      <c r="L59" s="118"/>
      <c r="M59" s="110"/>
      <c r="N59" s="111"/>
    </row>
    <row r="60" s="1" customFormat="1" ht="20.25" spans="1:23">
      <c r="A60" s="141">
        <v>45744</v>
      </c>
      <c r="B60" s="142">
        <v>120</v>
      </c>
      <c r="C60" s="128" t="s">
        <v>864</v>
      </c>
      <c r="D60" s="128"/>
      <c r="E60" s="128"/>
      <c r="F60" s="128"/>
      <c r="G60" s="129">
        <v>1</v>
      </c>
      <c r="H60" s="129">
        <v>0.2</v>
      </c>
      <c r="I60" s="140">
        <f t="shared" si="14"/>
        <v>0.2</v>
      </c>
      <c r="J60" s="130">
        <v>25</v>
      </c>
      <c r="K60" s="130">
        <f t="shared" si="13"/>
        <v>5</v>
      </c>
      <c r="L60" s="118"/>
      <c r="M60" s="110"/>
      <c r="N60" s="111"/>
    </row>
    <row r="61" s="1" customFormat="1" ht="20.25" spans="1:23">
      <c r="A61" s="141">
        <v>45744</v>
      </c>
      <c r="B61" s="142">
        <v>120</v>
      </c>
      <c r="C61" s="143" t="s">
        <v>1173</v>
      </c>
      <c r="D61" s="144"/>
      <c r="E61" s="144"/>
      <c r="F61" s="144"/>
      <c r="G61" s="129">
        <v>1</v>
      </c>
      <c r="H61" s="129">
        <f>SUM(H47:H60)</f>
        <v>66.25</v>
      </c>
      <c r="I61" s="140">
        <f t="shared" si="14"/>
        <v>66.25</v>
      </c>
      <c r="J61" s="130"/>
      <c r="K61" s="130"/>
      <c r="L61" s="118"/>
      <c r="M61" s="110"/>
      <c r="N61" s="111"/>
    </row>
    <row r="62" s="1" customFormat="1" ht="20.25" spans="1:23">
      <c r="A62" s="141">
        <v>45744</v>
      </c>
      <c r="B62" s="142">
        <v>120</v>
      </c>
      <c r="C62" s="138" t="s">
        <v>844</v>
      </c>
      <c r="D62" s="138"/>
      <c r="E62" s="138"/>
      <c r="F62" s="138"/>
      <c r="G62" s="139">
        <v>3</v>
      </c>
      <c r="H62" s="139">
        <v>1</v>
      </c>
      <c r="I62" s="114">
        <f t="shared" si="14"/>
        <v>3</v>
      </c>
      <c r="J62" s="115">
        <v>12.5</v>
      </c>
      <c r="K62" s="115">
        <f t="shared" ref="K62:K65" si="15">I62*J62</f>
        <v>37.5</v>
      </c>
      <c r="L62" s="145">
        <f>SUM(K47:K62)</f>
        <v>994.214</v>
      </c>
      <c r="M62" s="110"/>
      <c r="N62" s="111"/>
    </row>
    <row r="63" s="1" customFormat="1" ht="20.25" spans="1:23">
      <c r="A63" s="51">
        <v>45744</v>
      </c>
      <c r="B63" s="105">
        <v>121</v>
      </c>
      <c r="C63" s="128" t="s">
        <v>1193</v>
      </c>
      <c r="D63" s="128"/>
      <c r="E63" s="128"/>
      <c r="F63" s="128"/>
      <c r="G63" s="129">
        <v>1</v>
      </c>
      <c r="H63" s="130">
        <v>6.75</v>
      </c>
      <c r="I63" s="130">
        <f t="shared" si="14"/>
        <v>6.75</v>
      </c>
      <c r="J63" s="130">
        <v>32</v>
      </c>
      <c r="K63" s="130"/>
      <c r="L63" s="131"/>
      <c r="M63" s="110"/>
      <c r="N63" s="111"/>
    </row>
    <row r="64" s="1" customFormat="1" ht="20.25" spans="1:23">
      <c r="A64" s="51">
        <v>45744</v>
      </c>
      <c r="B64" s="105">
        <v>121</v>
      </c>
      <c r="C64" s="106" t="s">
        <v>434</v>
      </c>
      <c r="D64" s="106"/>
      <c r="E64" s="106"/>
      <c r="F64" s="106"/>
      <c r="G64" s="107">
        <v>1</v>
      </c>
      <c r="H64" s="109">
        <v>6.75</v>
      </c>
      <c r="I64" s="109">
        <f t="shared" si="14"/>
        <v>6.75</v>
      </c>
      <c r="J64" s="109">
        <v>7.8</v>
      </c>
      <c r="K64" s="109">
        <f t="shared" si="15"/>
        <v>52.65</v>
      </c>
      <c r="L64" s="110"/>
      <c r="M64" s="110"/>
      <c r="N64" s="111"/>
    </row>
    <row r="65" s="1" customFormat="1" ht="20.25" spans="1:14">
      <c r="A65" s="51">
        <v>45744</v>
      </c>
      <c r="B65" s="105">
        <v>121</v>
      </c>
      <c r="C65" s="106" t="s">
        <v>1194</v>
      </c>
      <c r="D65" s="106"/>
      <c r="E65" s="106"/>
      <c r="F65" s="106"/>
      <c r="G65" s="107">
        <v>1</v>
      </c>
      <c r="H65" s="109">
        <v>1.5</v>
      </c>
      <c r="I65" s="109">
        <f t="shared" si="14"/>
        <v>1.5</v>
      </c>
      <c r="J65" s="109">
        <v>12.5</v>
      </c>
      <c r="K65" s="109">
        <f t="shared" si="15"/>
        <v>18.75</v>
      </c>
      <c r="L65" s="110" t="s">
        <v>1195</v>
      </c>
      <c r="M65" s="110" t="s">
        <v>1196</v>
      </c>
      <c r="N65" s="111"/>
    </row>
    <row r="66" s="1" customFormat="1" ht="20.25" spans="1:14">
      <c r="A66" s="51">
        <v>45744</v>
      </c>
      <c r="B66" s="105">
        <v>121</v>
      </c>
      <c r="C66" s="106" t="s">
        <v>1197</v>
      </c>
      <c r="D66" s="106"/>
      <c r="E66" s="106"/>
      <c r="F66" s="106"/>
      <c r="G66" s="107">
        <v>1</v>
      </c>
      <c r="H66" s="107">
        <f>SUM(H63:H65)</f>
        <v>15</v>
      </c>
      <c r="I66" s="108">
        <f t="shared" si="14"/>
        <v>15</v>
      </c>
      <c r="J66" s="109"/>
      <c r="K66" s="109"/>
      <c r="L66" s="110"/>
      <c r="M66" s="110"/>
      <c r="N66" s="111"/>
    </row>
    <row r="67" s="1" customFormat="1" ht="20.25" spans="1:14">
      <c r="A67" s="51">
        <v>45744</v>
      </c>
      <c r="B67" s="105">
        <v>121</v>
      </c>
      <c r="C67" s="138" t="s">
        <v>844</v>
      </c>
      <c r="D67" s="138"/>
      <c r="E67" s="138"/>
      <c r="F67" s="138"/>
      <c r="G67" s="139">
        <v>3</v>
      </c>
      <c r="H67" s="139">
        <v>1</v>
      </c>
      <c r="I67" s="114">
        <f t="shared" si="14"/>
        <v>3</v>
      </c>
      <c r="J67" s="115">
        <v>9</v>
      </c>
      <c r="K67" s="115">
        <f t="shared" ref="K67:K70" si="16">I67*J67</f>
        <v>27</v>
      </c>
      <c r="L67" s="110">
        <f>SUM(K63:K67)</f>
        <v>98.4</v>
      </c>
      <c r="M67" s="110"/>
      <c r="N67" s="111"/>
    </row>
    <row r="68" s="1" customFormat="1" ht="20.25" spans="1:14">
      <c r="A68" s="51">
        <v>45744</v>
      </c>
      <c r="B68" s="105">
        <v>121</v>
      </c>
      <c r="C68" s="106" t="s">
        <v>122</v>
      </c>
      <c r="D68" s="106"/>
      <c r="E68" s="106"/>
      <c r="F68" s="106"/>
      <c r="G68" s="107">
        <v>1</v>
      </c>
      <c r="H68" s="107">
        <v>15</v>
      </c>
      <c r="I68" s="108">
        <f t="shared" si="14"/>
        <v>15</v>
      </c>
      <c r="J68" s="109">
        <v>7.8</v>
      </c>
      <c r="K68" s="109">
        <f t="shared" si="16"/>
        <v>117</v>
      </c>
      <c r="L68" s="110"/>
      <c r="M68" s="110"/>
      <c r="N68" s="111"/>
    </row>
    <row r="69" s="1" customFormat="1" ht="20.25" spans="1:14">
      <c r="A69" s="51">
        <v>45744</v>
      </c>
      <c r="B69" s="105">
        <v>121</v>
      </c>
      <c r="C69" s="106" t="s">
        <v>434</v>
      </c>
      <c r="D69" s="106"/>
      <c r="E69" s="106"/>
      <c r="F69" s="106"/>
      <c r="G69" s="107">
        <v>1</v>
      </c>
      <c r="H69" s="107">
        <v>6</v>
      </c>
      <c r="I69" s="108">
        <f t="shared" si="14"/>
        <v>6</v>
      </c>
      <c r="J69" s="109">
        <v>7.8</v>
      </c>
      <c r="K69" s="109">
        <f t="shared" si="16"/>
        <v>46.8</v>
      </c>
      <c r="L69" s="110" t="s">
        <v>1198</v>
      </c>
      <c r="M69" s="110"/>
      <c r="N69" s="111"/>
    </row>
    <row r="70" s="1" customFormat="1" ht="20.25" spans="1:14">
      <c r="A70" s="51">
        <v>45744</v>
      </c>
      <c r="B70" s="105">
        <v>121</v>
      </c>
      <c r="C70" s="106" t="s">
        <v>543</v>
      </c>
      <c r="D70" s="106"/>
      <c r="E70" s="106"/>
      <c r="F70" s="106"/>
      <c r="G70" s="107">
        <v>1</v>
      </c>
      <c r="H70" s="107">
        <v>9</v>
      </c>
      <c r="I70" s="108">
        <f t="shared" si="14"/>
        <v>9</v>
      </c>
      <c r="J70" s="109">
        <v>3.6</v>
      </c>
      <c r="K70" s="109">
        <f t="shared" si="16"/>
        <v>32.4</v>
      </c>
      <c r="L70" s="110"/>
      <c r="M70" s="110"/>
      <c r="N70" s="111"/>
    </row>
    <row r="71" s="1" customFormat="1" ht="20.25" spans="1:14">
      <c r="A71" s="51">
        <v>45744</v>
      </c>
      <c r="B71" s="105">
        <v>121</v>
      </c>
      <c r="C71" s="106" t="s">
        <v>1199</v>
      </c>
      <c r="D71" s="106"/>
      <c r="E71" s="106"/>
      <c r="F71" s="106"/>
      <c r="G71" s="107">
        <v>1</v>
      </c>
      <c r="H71" s="107">
        <f>SUM(H68:H70)</f>
        <v>30</v>
      </c>
      <c r="I71" s="108">
        <f t="shared" si="14"/>
        <v>30</v>
      </c>
      <c r="J71" s="109"/>
      <c r="K71" s="109"/>
      <c r="L71" s="110"/>
      <c r="M71" s="110" t="s">
        <v>1200</v>
      </c>
      <c r="N71" s="111"/>
    </row>
    <row r="72" s="1" customFormat="1" ht="20.25" spans="1:14">
      <c r="A72" s="51">
        <v>45744</v>
      </c>
      <c r="B72" s="105">
        <v>121</v>
      </c>
      <c r="C72" s="138" t="s">
        <v>844</v>
      </c>
      <c r="D72" s="138"/>
      <c r="E72" s="138"/>
      <c r="F72" s="138"/>
      <c r="G72" s="139">
        <v>2</v>
      </c>
      <c r="H72" s="139">
        <v>1</v>
      </c>
      <c r="I72" s="114">
        <f t="shared" si="14"/>
        <v>2</v>
      </c>
      <c r="J72" s="115">
        <v>11.5</v>
      </c>
      <c r="K72" s="115">
        <f t="shared" ref="K72:K78" si="17">I72*J72</f>
        <v>23</v>
      </c>
      <c r="L72" s="110">
        <f>SUM(K63:K72)</f>
        <v>317.6</v>
      </c>
      <c r="M72" s="110"/>
      <c r="N72" s="111"/>
    </row>
    <row r="73" s="2" customFormat="1" ht="20.25" spans="1:14">
      <c r="A73" s="126">
        <v>45744</v>
      </c>
      <c r="B73" s="127">
        <v>122</v>
      </c>
      <c r="C73" s="133" t="s">
        <v>1201</v>
      </c>
      <c r="D73" s="133"/>
      <c r="E73" s="133"/>
      <c r="F73" s="133"/>
      <c r="G73" s="134">
        <v>1</v>
      </c>
      <c r="H73" s="134">
        <v>8.16</v>
      </c>
      <c r="I73" s="136">
        <f t="shared" si="14"/>
        <v>8.16</v>
      </c>
      <c r="J73" s="135">
        <v>18</v>
      </c>
      <c r="K73" s="135"/>
      <c r="L73" s="131"/>
      <c r="M73" s="131"/>
      <c r="N73" s="132"/>
    </row>
    <row r="74" s="2" customFormat="1" ht="20.25" spans="1:14">
      <c r="A74" s="126">
        <v>45744</v>
      </c>
      <c r="B74" s="127">
        <v>122</v>
      </c>
      <c r="C74" s="133" t="s">
        <v>120</v>
      </c>
      <c r="D74" s="133"/>
      <c r="E74" s="133"/>
      <c r="F74" s="133"/>
      <c r="G74" s="134">
        <v>1</v>
      </c>
      <c r="H74" s="134">
        <v>0.75</v>
      </c>
      <c r="I74" s="136">
        <f t="shared" si="14"/>
        <v>0.75</v>
      </c>
      <c r="J74" s="135">
        <v>21</v>
      </c>
      <c r="K74" s="135">
        <f t="shared" si="17"/>
        <v>15.75</v>
      </c>
      <c r="L74" s="131"/>
      <c r="M74" s="131"/>
      <c r="N74" s="132"/>
    </row>
    <row r="75" s="2" customFormat="1" ht="20.25" spans="1:14">
      <c r="A75" s="126">
        <v>45744</v>
      </c>
      <c r="B75" s="127">
        <v>122</v>
      </c>
      <c r="C75" s="128" t="s">
        <v>1202</v>
      </c>
      <c r="D75" s="128"/>
      <c r="E75" s="128"/>
      <c r="F75" s="128"/>
      <c r="G75" s="129">
        <v>1</v>
      </c>
      <c r="H75" s="129">
        <v>12</v>
      </c>
      <c r="I75" s="140">
        <f t="shared" si="14"/>
        <v>12</v>
      </c>
      <c r="J75" s="135">
        <v>7</v>
      </c>
      <c r="K75" s="135"/>
      <c r="L75" s="131"/>
      <c r="M75" s="131"/>
      <c r="N75" s="132"/>
    </row>
    <row r="76" s="2" customFormat="1" ht="20.25" spans="1:14">
      <c r="A76" s="126">
        <v>45744</v>
      </c>
      <c r="B76" s="127">
        <v>122</v>
      </c>
      <c r="C76" s="133" t="s">
        <v>121</v>
      </c>
      <c r="D76" s="133"/>
      <c r="E76" s="133"/>
      <c r="F76" s="133"/>
      <c r="G76" s="134">
        <v>1</v>
      </c>
      <c r="H76" s="134">
        <v>22</v>
      </c>
      <c r="I76" s="136">
        <f t="shared" si="14"/>
        <v>22</v>
      </c>
      <c r="J76" s="135">
        <v>0.6</v>
      </c>
      <c r="K76" s="135">
        <f t="shared" si="17"/>
        <v>13.2</v>
      </c>
      <c r="L76" s="131"/>
      <c r="M76" s="131"/>
      <c r="N76" s="132"/>
    </row>
    <row r="77" s="2" customFormat="1" ht="20.25" spans="1:14">
      <c r="A77" s="126">
        <v>45744</v>
      </c>
      <c r="B77" s="127">
        <v>122</v>
      </c>
      <c r="C77" s="133" t="s">
        <v>1203</v>
      </c>
      <c r="D77" s="133"/>
      <c r="E77" s="133"/>
      <c r="F77" s="133"/>
      <c r="G77" s="134">
        <v>1</v>
      </c>
      <c r="H77" s="134">
        <v>6</v>
      </c>
      <c r="I77" s="136">
        <f t="shared" si="14"/>
        <v>6</v>
      </c>
      <c r="J77" s="135">
        <v>8.5</v>
      </c>
      <c r="K77" s="135">
        <f t="shared" si="17"/>
        <v>51</v>
      </c>
      <c r="L77" s="131"/>
      <c r="M77" s="131"/>
      <c r="N77" s="132"/>
    </row>
    <row r="78" s="2" customFormat="1" ht="20.25" spans="1:14">
      <c r="A78" s="126">
        <v>45744</v>
      </c>
      <c r="B78" s="127">
        <v>122</v>
      </c>
      <c r="C78" s="133" t="s">
        <v>122</v>
      </c>
      <c r="D78" s="133"/>
      <c r="E78" s="133"/>
      <c r="F78" s="133"/>
      <c r="G78" s="134">
        <v>1</v>
      </c>
      <c r="H78" s="134">
        <v>19</v>
      </c>
      <c r="I78" s="136">
        <f t="shared" si="14"/>
        <v>19</v>
      </c>
      <c r="J78" s="135">
        <v>7.8</v>
      </c>
      <c r="K78" s="135">
        <f t="shared" si="17"/>
        <v>148.2</v>
      </c>
      <c r="L78" s="131" t="s">
        <v>1192</v>
      </c>
      <c r="M78" s="131"/>
      <c r="N78" s="132"/>
    </row>
    <row r="79" s="2" customFormat="1" ht="20.25" spans="1:14">
      <c r="A79" s="126">
        <v>45744</v>
      </c>
      <c r="B79" s="127">
        <v>122</v>
      </c>
      <c r="C79" s="133" t="s">
        <v>1204</v>
      </c>
      <c r="D79" s="133"/>
      <c r="E79" s="133"/>
      <c r="F79" s="133"/>
      <c r="G79" s="134">
        <v>1</v>
      </c>
      <c r="H79" s="134">
        <f>SUM(H73:H78)</f>
        <v>67.91</v>
      </c>
      <c r="I79" s="136">
        <f t="shared" si="14"/>
        <v>67.91</v>
      </c>
      <c r="J79" s="135"/>
      <c r="K79" s="135"/>
      <c r="L79" s="131"/>
      <c r="M79" s="131"/>
      <c r="N79" s="132"/>
    </row>
    <row r="80" s="2" customFormat="1" ht="20.25" spans="1:14">
      <c r="A80" s="126">
        <v>45744</v>
      </c>
      <c r="B80" s="127">
        <v>122</v>
      </c>
      <c r="C80" s="133" t="s">
        <v>844</v>
      </c>
      <c r="D80" s="133"/>
      <c r="E80" s="133"/>
      <c r="F80" s="133"/>
      <c r="G80" s="134">
        <v>3</v>
      </c>
      <c r="H80" s="134">
        <v>1</v>
      </c>
      <c r="I80" s="136">
        <f t="shared" si="14"/>
        <v>3</v>
      </c>
      <c r="J80" s="135">
        <v>12.5</v>
      </c>
      <c r="K80" s="135">
        <f t="shared" ref="K80:K88" si="18">I80*J80</f>
        <v>37.5</v>
      </c>
      <c r="L80" s="131">
        <f>SUM(K73:K80)</f>
        <v>265.65</v>
      </c>
      <c r="M80" s="146" t="s">
        <v>1205</v>
      </c>
      <c r="N80" s="132"/>
    </row>
    <row r="81" s="1" customFormat="1" ht="20.25" spans="1:23">
      <c r="A81" s="51">
        <v>45744</v>
      </c>
      <c r="B81" s="105">
        <v>123</v>
      </c>
      <c r="C81" s="106" t="s">
        <v>1206</v>
      </c>
      <c r="D81" s="106"/>
      <c r="E81" s="106"/>
      <c r="F81" s="106"/>
      <c r="G81" s="107">
        <v>1</v>
      </c>
      <c r="H81" s="107">
        <v>4.65</v>
      </c>
      <c r="I81" s="108">
        <f t="shared" si="14"/>
        <v>4.65</v>
      </c>
      <c r="J81" s="109">
        <v>25</v>
      </c>
      <c r="K81" s="109"/>
      <c r="L81" s="131"/>
      <c r="M81" s="110"/>
      <c r="N81" s="111"/>
    </row>
    <row r="82" s="1" customFormat="1" ht="20.25" spans="1:23">
      <c r="A82" s="51">
        <v>45744</v>
      </c>
      <c r="B82" s="105">
        <v>123</v>
      </c>
      <c r="C82" s="106" t="s">
        <v>122</v>
      </c>
      <c r="D82" s="106"/>
      <c r="E82" s="106"/>
      <c r="F82" s="106"/>
      <c r="G82" s="107">
        <v>1</v>
      </c>
      <c r="H82" s="107">
        <v>2.1</v>
      </c>
      <c r="I82" s="108">
        <f t="shared" si="14"/>
        <v>2.1</v>
      </c>
      <c r="J82" s="109">
        <v>7.8</v>
      </c>
      <c r="K82" s="109">
        <f t="shared" si="18"/>
        <v>16.38</v>
      </c>
      <c r="L82" s="110"/>
      <c r="M82" s="110"/>
      <c r="N82" s="111"/>
    </row>
    <row r="83" s="1" customFormat="1" ht="20.25" spans="1:23">
      <c r="A83" s="51">
        <v>45744</v>
      </c>
      <c r="B83" s="105">
        <v>123</v>
      </c>
      <c r="C83" s="106" t="s">
        <v>1207</v>
      </c>
      <c r="D83" s="106"/>
      <c r="E83" s="106"/>
      <c r="F83" s="106"/>
      <c r="G83" s="107">
        <v>1</v>
      </c>
      <c r="H83" s="107">
        <v>0.75</v>
      </c>
      <c r="I83" s="108">
        <f t="shared" si="14"/>
        <v>0.75</v>
      </c>
      <c r="J83" s="109">
        <v>8.5</v>
      </c>
      <c r="K83" s="109">
        <f t="shared" si="18"/>
        <v>6.375</v>
      </c>
      <c r="L83" s="110"/>
      <c r="M83" s="118" t="s">
        <v>1208</v>
      </c>
      <c r="N83" s="111"/>
    </row>
    <row r="84" s="1" customFormat="1" ht="20.25" spans="1:23">
      <c r="A84" s="51">
        <v>45744</v>
      </c>
      <c r="B84" s="105">
        <v>123</v>
      </c>
      <c r="C84" s="138" t="s">
        <v>1209</v>
      </c>
      <c r="D84" s="138"/>
      <c r="E84" s="138"/>
      <c r="F84" s="138"/>
      <c r="G84" s="107">
        <v>1</v>
      </c>
      <c r="H84" s="107">
        <f>SUM(H81:H83)</f>
        <v>7.5</v>
      </c>
      <c r="I84" s="108">
        <f t="shared" si="14"/>
        <v>7.5</v>
      </c>
      <c r="J84" s="109"/>
      <c r="K84" s="109"/>
      <c r="L84" s="110" t="s">
        <v>1210</v>
      </c>
      <c r="M84" s="110"/>
      <c r="N84" s="111"/>
    </row>
    <row r="85" s="1" customFormat="1" ht="19" customHeight="1" spans="1:23">
      <c r="A85" s="51">
        <v>45744</v>
      </c>
      <c r="B85" s="105">
        <v>123</v>
      </c>
      <c r="C85" s="106" t="s">
        <v>641</v>
      </c>
      <c r="D85" s="106"/>
      <c r="E85" s="106"/>
      <c r="F85" s="106"/>
      <c r="G85" s="107">
        <v>3</v>
      </c>
      <c r="H85" s="107">
        <v>1</v>
      </c>
      <c r="I85" s="108">
        <f t="shared" si="14"/>
        <v>3</v>
      </c>
      <c r="J85" s="109">
        <v>5.5</v>
      </c>
      <c r="K85" s="109">
        <f t="shared" si="18"/>
        <v>16.5</v>
      </c>
      <c r="L85" s="110"/>
      <c r="M85" s="125">
        <f>SUM(K81:K85)</f>
        <v>39.255</v>
      </c>
      <c r="N85" s="111"/>
    </row>
    <row r="86" s="1" customFormat="1" ht="20.25" spans="1:23">
      <c r="A86" s="51">
        <v>45744</v>
      </c>
      <c r="B86" s="105">
        <v>123</v>
      </c>
      <c r="C86" s="106" t="s">
        <v>122</v>
      </c>
      <c r="D86" s="106"/>
      <c r="E86" s="106"/>
      <c r="F86" s="106"/>
      <c r="G86" s="107">
        <v>1</v>
      </c>
      <c r="H86" s="107">
        <v>15</v>
      </c>
      <c r="I86" s="108">
        <f t="shared" si="14"/>
        <v>15</v>
      </c>
      <c r="J86" s="109">
        <v>7.8</v>
      </c>
      <c r="K86" s="109">
        <f t="shared" si="18"/>
        <v>117</v>
      </c>
      <c r="L86" s="110"/>
      <c r="M86" s="110"/>
      <c r="N86" s="111"/>
    </row>
    <row r="87" s="1" customFormat="1" ht="20.25" spans="1:23">
      <c r="A87" s="51">
        <v>45744</v>
      </c>
      <c r="B87" s="105">
        <v>123</v>
      </c>
      <c r="C87" s="106" t="s">
        <v>1211</v>
      </c>
      <c r="D87" s="106"/>
      <c r="E87" s="106"/>
      <c r="F87" s="106"/>
      <c r="G87" s="107">
        <v>1</v>
      </c>
      <c r="H87" s="107">
        <v>6</v>
      </c>
      <c r="I87" s="108">
        <f t="shared" si="14"/>
        <v>6</v>
      </c>
      <c r="J87" s="109">
        <v>8.5</v>
      </c>
      <c r="K87" s="109">
        <f t="shared" si="18"/>
        <v>51</v>
      </c>
      <c r="L87" s="110"/>
      <c r="M87" s="110"/>
      <c r="N87" s="111"/>
    </row>
    <row r="88" s="1" customFormat="1" ht="20.25" spans="1:23">
      <c r="A88" s="51">
        <v>45744</v>
      </c>
      <c r="B88" s="105">
        <v>123</v>
      </c>
      <c r="C88" s="106" t="s">
        <v>543</v>
      </c>
      <c r="D88" s="106"/>
      <c r="E88" s="106"/>
      <c r="F88" s="106"/>
      <c r="G88" s="107">
        <v>1</v>
      </c>
      <c r="H88" s="107">
        <v>9</v>
      </c>
      <c r="I88" s="108">
        <f t="shared" si="14"/>
        <v>9</v>
      </c>
      <c r="J88" s="109">
        <v>3.6</v>
      </c>
      <c r="K88" s="109">
        <f t="shared" si="18"/>
        <v>32.4</v>
      </c>
      <c r="L88" s="110"/>
      <c r="M88" s="110" t="s">
        <v>1212</v>
      </c>
      <c r="N88" s="111"/>
    </row>
    <row r="89" s="1" customFormat="1" ht="20.25" spans="1:23">
      <c r="A89" s="51">
        <v>45744</v>
      </c>
      <c r="B89" s="105">
        <v>123</v>
      </c>
      <c r="C89" s="138" t="s">
        <v>1213</v>
      </c>
      <c r="D89" s="138"/>
      <c r="E89" s="138"/>
      <c r="F89" s="138"/>
      <c r="G89" s="107">
        <v>1</v>
      </c>
      <c r="H89" s="107">
        <f>SUM(H86:H88)</f>
        <v>30</v>
      </c>
      <c r="I89" s="108">
        <f t="shared" si="14"/>
        <v>30</v>
      </c>
      <c r="J89" s="109"/>
      <c r="K89" s="109"/>
      <c r="L89" s="110" t="s">
        <v>1198</v>
      </c>
      <c r="M89" s="110"/>
      <c r="N89" s="111"/>
    </row>
    <row r="90" s="1" customFormat="1" ht="20.25" spans="1:23">
      <c r="A90" s="51">
        <v>45744</v>
      </c>
      <c r="B90" s="105">
        <v>123</v>
      </c>
      <c r="C90" s="106" t="s">
        <v>423</v>
      </c>
      <c r="D90" s="106"/>
      <c r="E90" s="106"/>
      <c r="F90" s="106"/>
      <c r="G90" s="107">
        <v>2</v>
      </c>
      <c r="H90" s="107">
        <v>1</v>
      </c>
      <c r="I90" s="108">
        <f t="shared" si="14"/>
        <v>2</v>
      </c>
      <c r="J90" s="109">
        <v>11.5</v>
      </c>
      <c r="K90" s="109">
        <f t="shared" ref="K90:K103" si="19">I90*J90</f>
        <v>23</v>
      </c>
      <c r="L90" s="110"/>
      <c r="M90" s="110">
        <f>SUM(K81:K90)</f>
        <v>262.655</v>
      </c>
      <c r="N90" s="111"/>
    </row>
    <row r="91" s="2" customFormat="1" ht="20.25" spans="1:23">
      <c r="A91" s="126">
        <v>45768</v>
      </c>
      <c r="B91" s="127">
        <v>65</v>
      </c>
      <c r="C91" s="133" t="s">
        <v>1167</v>
      </c>
      <c r="D91" s="133"/>
      <c r="E91" s="133"/>
      <c r="F91" s="133"/>
      <c r="G91" s="134">
        <v>1</v>
      </c>
      <c r="H91" s="134">
        <v>28</v>
      </c>
      <c r="I91" s="136">
        <f t="shared" si="14"/>
        <v>28</v>
      </c>
      <c r="J91" s="135">
        <v>12.6</v>
      </c>
      <c r="K91" s="135">
        <f t="shared" si="19"/>
        <v>352.8</v>
      </c>
      <c r="L91" s="131"/>
      <c r="M91" s="131"/>
      <c r="N91" s="132"/>
    </row>
    <row r="92" s="2" customFormat="1" ht="20.25" spans="1:23">
      <c r="A92" s="126">
        <v>45768</v>
      </c>
      <c r="B92" s="127">
        <v>65</v>
      </c>
      <c r="C92" s="133" t="s">
        <v>1185</v>
      </c>
      <c r="D92" s="133"/>
      <c r="E92" s="133"/>
      <c r="F92" s="133"/>
      <c r="G92" s="134">
        <v>1</v>
      </c>
      <c r="H92" s="134">
        <v>10</v>
      </c>
      <c r="I92" s="136">
        <f t="shared" si="14"/>
        <v>10</v>
      </c>
      <c r="J92" s="135">
        <v>12.1</v>
      </c>
      <c r="K92" s="135">
        <f t="shared" si="19"/>
        <v>121</v>
      </c>
      <c r="L92" s="131" t="s">
        <v>1186</v>
      </c>
      <c r="M92" s="131"/>
      <c r="N92" s="132"/>
      <c r="O92" s="147" t="s">
        <v>1187</v>
      </c>
      <c r="P92" s="148"/>
      <c r="Q92" s="148"/>
      <c r="R92" s="148"/>
      <c r="S92" s="134">
        <v>3</v>
      </c>
      <c r="T92" s="134">
        <v>20</v>
      </c>
      <c r="U92" s="136">
        <f t="shared" ref="U92:U94" si="20">S92*T92</f>
        <v>60</v>
      </c>
      <c r="V92" s="135">
        <v>41</v>
      </c>
      <c r="W92" s="135">
        <f t="shared" ref="W92:W94" si="21">U92*V92</f>
        <v>2460</v>
      </c>
    </row>
    <row r="93" s="2" customFormat="1" ht="20.25" spans="1:23">
      <c r="A93" s="126">
        <v>45768</v>
      </c>
      <c r="B93" s="127">
        <v>65</v>
      </c>
      <c r="C93" s="133" t="s">
        <v>417</v>
      </c>
      <c r="D93" s="133"/>
      <c r="E93" s="133"/>
      <c r="F93" s="133"/>
      <c r="G93" s="134">
        <v>1</v>
      </c>
      <c r="H93" s="134">
        <v>18</v>
      </c>
      <c r="I93" s="136">
        <f t="shared" si="14"/>
        <v>18</v>
      </c>
      <c r="J93" s="135">
        <v>18</v>
      </c>
      <c r="K93" s="135">
        <f t="shared" si="19"/>
        <v>324</v>
      </c>
      <c r="L93" s="131"/>
      <c r="M93" s="131"/>
      <c r="N93" s="132"/>
      <c r="O93" s="134" t="s">
        <v>1179</v>
      </c>
      <c r="P93" s="134"/>
      <c r="Q93" s="134"/>
      <c r="R93" s="149"/>
      <c r="S93" s="134">
        <v>3</v>
      </c>
      <c r="T93" s="134">
        <v>5</v>
      </c>
      <c r="U93" s="136">
        <f t="shared" si="20"/>
        <v>15</v>
      </c>
      <c r="V93" s="135">
        <v>58</v>
      </c>
      <c r="W93" s="135">
        <f t="shared" si="21"/>
        <v>870</v>
      </c>
    </row>
    <row r="94" s="2" customFormat="1" ht="20.25" spans="1:23">
      <c r="A94" s="126">
        <v>45768</v>
      </c>
      <c r="B94" s="127">
        <v>65</v>
      </c>
      <c r="C94" s="133" t="s">
        <v>120</v>
      </c>
      <c r="D94" s="133"/>
      <c r="E94" s="133"/>
      <c r="F94" s="133"/>
      <c r="G94" s="134">
        <v>1</v>
      </c>
      <c r="H94" s="134">
        <v>0.5</v>
      </c>
      <c r="I94" s="136">
        <f t="shared" si="14"/>
        <v>0.5</v>
      </c>
      <c r="J94" s="135">
        <v>21</v>
      </c>
      <c r="K94" s="135">
        <f t="shared" si="19"/>
        <v>10.5</v>
      </c>
      <c r="L94" s="131"/>
      <c r="M94" s="131"/>
      <c r="N94" s="132"/>
      <c r="O94" s="134" t="s">
        <v>1180</v>
      </c>
      <c r="P94" s="134"/>
      <c r="Q94" s="134"/>
      <c r="R94" s="149"/>
      <c r="S94" s="134">
        <v>2</v>
      </c>
      <c r="T94" s="134">
        <v>15</v>
      </c>
      <c r="U94" s="136">
        <f t="shared" si="20"/>
        <v>30</v>
      </c>
      <c r="V94" s="135">
        <v>15</v>
      </c>
      <c r="W94" s="135">
        <f t="shared" si="21"/>
        <v>450</v>
      </c>
    </row>
    <row r="95" s="2" customFormat="1" ht="20.25" spans="1:23">
      <c r="A95" s="126">
        <v>45768</v>
      </c>
      <c r="B95" s="127">
        <v>65</v>
      </c>
      <c r="C95" s="133" t="s">
        <v>1169</v>
      </c>
      <c r="D95" s="133"/>
      <c r="E95" s="133"/>
      <c r="F95" s="133"/>
      <c r="G95" s="134">
        <v>1</v>
      </c>
      <c r="H95" s="134">
        <v>0.33</v>
      </c>
      <c r="I95" s="136">
        <f t="shared" si="14"/>
        <v>0.33</v>
      </c>
      <c r="J95" s="135">
        <v>90</v>
      </c>
      <c r="K95" s="135">
        <f t="shared" si="19"/>
        <v>29.7</v>
      </c>
      <c r="L95" s="131"/>
      <c r="M95" s="131"/>
      <c r="N95" s="132"/>
      <c r="O95" s="134"/>
      <c r="P95" s="134"/>
      <c r="Q95" s="134"/>
      <c r="R95" s="149"/>
      <c r="S95" s="134"/>
      <c r="T95" s="134"/>
      <c r="U95" s="136"/>
      <c r="V95" s="135"/>
      <c r="W95" s="135"/>
    </row>
    <row r="96" s="2" customFormat="1" ht="20.25" spans="1:23">
      <c r="A96" s="126">
        <v>45768</v>
      </c>
      <c r="B96" s="127">
        <v>65</v>
      </c>
      <c r="C96" s="133" t="s">
        <v>1170</v>
      </c>
      <c r="D96" s="133"/>
      <c r="E96" s="133"/>
      <c r="F96" s="133"/>
      <c r="G96" s="134">
        <v>1</v>
      </c>
      <c r="H96" s="134">
        <v>0.33</v>
      </c>
      <c r="I96" s="136">
        <f t="shared" si="14"/>
        <v>0.33</v>
      </c>
      <c r="J96" s="135">
        <v>75</v>
      </c>
      <c r="K96" s="135">
        <f t="shared" si="19"/>
        <v>24.75</v>
      </c>
      <c r="L96" s="131"/>
      <c r="M96" s="131" t="s">
        <v>1190</v>
      </c>
      <c r="N96" s="132"/>
      <c r="O96" s="147" t="s">
        <v>1176</v>
      </c>
      <c r="P96" s="148"/>
      <c r="Q96" s="148"/>
      <c r="R96" s="148"/>
      <c r="S96" s="134">
        <v>3</v>
      </c>
      <c r="T96" s="134">
        <v>22.5</v>
      </c>
      <c r="U96" s="136">
        <f>S96*T96</f>
        <v>67.5</v>
      </c>
      <c r="V96" s="135">
        <v>21</v>
      </c>
      <c r="W96" s="135">
        <f>U96*V96</f>
        <v>1417.5</v>
      </c>
    </row>
    <row r="97" s="2" customFormat="1" ht="20.25" spans="1:23">
      <c r="A97" s="126">
        <v>45768</v>
      </c>
      <c r="B97" s="127">
        <v>65</v>
      </c>
      <c r="C97" s="133" t="s">
        <v>1191</v>
      </c>
      <c r="D97" s="133"/>
      <c r="E97" s="133"/>
      <c r="F97" s="133"/>
      <c r="G97" s="134">
        <v>1</v>
      </c>
      <c r="H97" s="134">
        <v>0.13</v>
      </c>
      <c r="I97" s="136">
        <f t="shared" si="14"/>
        <v>0.13</v>
      </c>
      <c r="J97" s="135">
        <v>150</v>
      </c>
      <c r="K97" s="135">
        <f t="shared" si="19"/>
        <v>19.5</v>
      </c>
      <c r="L97" s="131" t="s">
        <v>1192</v>
      </c>
      <c r="M97" s="131"/>
      <c r="N97" s="132"/>
      <c r="O97" s="133" t="s">
        <v>933</v>
      </c>
      <c r="P97" s="133"/>
      <c r="Q97" s="133"/>
      <c r="R97" s="133"/>
      <c r="S97" s="134">
        <v>2</v>
      </c>
      <c r="T97" s="134">
        <v>15</v>
      </c>
      <c r="U97" s="136">
        <f>S97*T97</f>
        <v>30</v>
      </c>
      <c r="V97" s="135">
        <v>15</v>
      </c>
      <c r="W97" s="135">
        <f>U97*V97</f>
        <v>450</v>
      </c>
    </row>
    <row r="98" s="2" customFormat="1" ht="20.25" spans="1:23">
      <c r="A98" s="126">
        <v>45768</v>
      </c>
      <c r="B98" s="127">
        <v>65</v>
      </c>
      <c r="C98" s="133" t="s">
        <v>1021</v>
      </c>
      <c r="D98" s="133"/>
      <c r="E98" s="133"/>
      <c r="F98" s="133"/>
      <c r="G98" s="134">
        <v>1</v>
      </c>
      <c r="H98" s="134">
        <v>0.07</v>
      </c>
      <c r="I98" s="136">
        <f t="shared" si="14"/>
        <v>0.07</v>
      </c>
      <c r="J98" s="135">
        <v>55</v>
      </c>
      <c r="K98" s="135">
        <f t="shared" si="19"/>
        <v>3.85</v>
      </c>
      <c r="L98" s="131"/>
      <c r="M98" s="131"/>
      <c r="N98" s="132"/>
    </row>
    <row r="99" s="2" customFormat="1" ht="20.25" spans="1:23">
      <c r="A99" s="126">
        <v>45768</v>
      </c>
      <c r="B99" s="127">
        <v>65</v>
      </c>
      <c r="C99" s="133" t="s">
        <v>122</v>
      </c>
      <c r="D99" s="133"/>
      <c r="E99" s="133"/>
      <c r="F99" s="133"/>
      <c r="G99" s="134">
        <v>1</v>
      </c>
      <c r="H99" s="134">
        <v>2.5</v>
      </c>
      <c r="I99" s="136">
        <f t="shared" si="14"/>
        <v>2.5</v>
      </c>
      <c r="J99" s="135">
        <v>7.6</v>
      </c>
      <c r="K99" s="135">
        <f t="shared" si="19"/>
        <v>19</v>
      </c>
      <c r="L99" s="131"/>
      <c r="M99" s="131"/>
      <c r="N99" s="132"/>
    </row>
    <row r="100" s="2" customFormat="1" ht="20.25" spans="1:23">
      <c r="A100" s="126">
        <v>45768</v>
      </c>
      <c r="B100" s="127">
        <v>65</v>
      </c>
      <c r="C100" s="133">
        <v>813</v>
      </c>
      <c r="D100" s="133"/>
      <c r="E100" s="133"/>
      <c r="F100" s="133"/>
      <c r="G100" s="134">
        <v>1</v>
      </c>
      <c r="H100" s="134">
        <v>1</v>
      </c>
      <c r="I100" s="136">
        <f t="shared" si="14"/>
        <v>1</v>
      </c>
      <c r="J100" s="135">
        <v>9</v>
      </c>
      <c r="K100" s="135">
        <f t="shared" si="19"/>
        <v>9</v>
      </c>
      <c r="L100" s="131"/>
      <c r="M100" s="131"/>
      <c r="N100" s="132"/>
    </row>
    <row r="101" s="2" customFormat="1" ht="20.25" spans="1:23">
      <c r="A101" s="126">
        <v>45768</v>
      </c>
      <c r="B101" s="127">
        <v>65</v>
      </c>
      <c r="C101" s="133" t="s">
        <v>434</v>
      </c>
      <c r="D101" s="133"/>
      <c r="E101" s="133"/>
      <c r="F101" s="133"/>
      <c r="G101" s="134">
        <v>1</v>
      </c>
      <c r="H101" s="134">
        <v>1.5</v>
      </c>
      <c r="I101" s="136">
        <f t="shared" si="14"/>
        <v>1.5</v>
      </c>
      <c r="J101" s="135">
        <v>7.6</v>
      </c>
      <c r="K101" s="135">
        <f t="shared" si="19"/>
        <v>11.4</v>
      </c>
      <c r="L101" s="131"/>
      <c r="M101" s="131"/>
      <c r="N101" s="132"/>
    </row>
    <row r="102" s="2" customFormat="1" ht="20.25" spans="1:23">
      <c r="A102" s="126">
        <v>45768</v>
      </c>
      <c r="B102" s="127">
        <v>65</v>
      </c>
      <c r="C102" s="133" t="s">
        <v>848</v>
      </c>
      <c r="D102" s="133"/>
      <c r="E102" s="133"/>
      <c r="F102" s="133"/>
      <c r="G102" s="134">
        <v>1</v>
      </c>
      <c r="H102" s="134">
        <v>0.4</v>
      </c>
      <c r="I102" s="136">
        <f t="shared" si="14"/>
        <v>0.4</v>
      </c>
      <c r="J102" s="135">
        <v>18</v>
      </c>
      <c r="K102" s="135">
        <f t="shared" si="19"/>
        <v>7.2</v>
      </c>
      <c r="L102" s="131"/>
      <c r="M102" s="131"/>
      <c r="N102" s="132"/>
    </row>
    <row r="103" s="2" customFormat="1" ht="20.25" spans="1:23">
      <c r="A103" s="126">
        <v>45768</v>
      </c>
      <c r="B103" s="127">
        <v>65</v>
      </c>
      <c r="C103" s="133" t="s">
        <v>787</v>
      </c>
      <c r="D103" s="133"/>
      <c r="E103" s="133"/>
      <c r="F103" s="133"/>
      <c r="G103" s="134">
        <v>1</v>
      </c>
      <c r="H103" s="134">
        <v>0.01</v>
      </c>
      <c r="I103" s="136">
        <f t="shared" si="14"/>
        <v>0.01</v>
      </c>
      <c r="J103" s="135"/>
      <c r="K103" s="135"/>
      <c r="L103" s="131"/>
      <c r="M103" s="131"/>
      <c r="N103" s="132"/>
    </row>
    <row r="104" s="2" customFormat="1" ht="20.25" spans="1:23">
      <c r="A104" s="126">
        <v>45768</v>
      </c>
      <c r="B104" s="127">
        <v>65</v>
      </c>
      <c r="C104" s="133" t="s">
        <v>570</v>
      </c>
      <c r="D104" s="133"/>
      <c r="E104" s="133"/>
      <c r="F104" s="133"/>
      <c r="G104" s="134">
        <v>1</v>
      </c>
      <c r="H104" s="134">
        <v>0.03</v>
      </c>
      <c r="I104" s="136">
        <f t="shared" si="14"/>
        <v>0.03</v>
      </c>
      <c r="J104" s="135"/>
      <c r="K104" s="135"/>
      <c r="L104" s="131"/>
      <c r="M104" s="131"/>
      <c r="N104" s="132"/>
    </row>
    <row r="105" s="2" customFormat="1" ht="20.25" spans="1:23">
      <c r="A105" s="126">
        <v>45768</v>
      </c>
      <c r="B105" s="127">
        <v>65</v>
      </c>
      <c r="C105" s="147" t="s">
        <v>1214</v>
      </c>
      <c r="D105" s="148"/>
      <c r="E105" s="148"/>
      <c r="F105" s="148"/>
      <c r="G105" s="134">
        <v>1</v>
      </c>
      <c r="H105" s="134">
        <f>SUM(H91:H104)</f>
        <v>62.8</v>
      </c>
      <c r="I105" s="136">
        <f t="shared" si="14"/>
        <v>62.8</v>
      </c>
      <c r="J105" s="135"/>
      <c r="K105" s="135"/>
      <c r="L105" s="131"/>
      <c r="M105" s="131"/>
      <c r="N105" s="132"/>
    </row>
    <row r="106" s="2" customFormat="1" ht="20.25" spans="1:23">
      <c r="A106" s="126">
        <v>45768</v>
      </c>
      <c r="B106" s="127">
        <v>65</v>
      </c>
      <c r="C106" s="133" t="s">
        <v>844</v>
      </c>
      <c r="D106" s="133"/>
      <c r="E106" s="133"/>
      <c r="F106" s="133"/>
      <c r="G106" s="134">
        <v>3</v>
      </c>
      <c r="H106" s="134">
        <v>1</v>
      </c>
      <c r="I106" s="136">
        <f t="shared" si="14"/>
        <v>3</v>
      </c>
      <c r="J106" s="135">
        <v>12.5</v>
      </c>
      <c r="K106" s="135">
        <f t="shared" ref="K106:K109" si="22">I106*J106</f>
        <v>37.5</v>
      </c>
      <c r="L106" s="150">
        <f>SUM(K91:K106)</f>
        <v>970.2</v>
      </c>
      <c r="M106" s="131"/>
      <c r="N106" s="132"/>
    </row>
    <row r="107" s="102" customFormat="1" ht="20.25" spans="1:23">
      <c r="A107" s="141">
        <v>45768</v>
      </c>
      <c r="B107" s="142" t="s">
        <v>1215</v>
      </c>
      <c r="C107" s="128" t="s">
        <v>1193</v>
      </c>
      <c r="D107" s="128"/>
      <c r="E107" s="128"/>
      <c r="F107" s="128"/>
      <c r="G107" s="129">
        <v>1</v>
      </c>
      <c r="H107" s="130">
        <v>6.75</v>
      </c>
      <c r="I107" s="130">
        <f t="shared" si="14"/>
        <v>6.75</v>
      </c>
      <c r="J107" s="130">
        <v>32</v>
      </c>
      <c r="K107" s="130"/>
      <c r="L107" s="131"/>
      <c r="M107" s="118"/>
      <c r="N107" s="151"/>
    </row>
    <row r="108" s="102" customFormat="1" ht="20.25" spans="1:23">
      <c r="A108" s="141">
        <v>45768</v>
      </c>
      <c r="B108" s="142" t="s">
        <v>1215</v>
      </c>
      <c r="C108" s="128" t="s">
        <v>434</v>
      </c>
      <c r="D108" s="128"/>
      <c r="E108" s="128"/>
      <c r="F108" s="128"/>
      <c r="G108" s="129">
        <v>1</v>
      </c>
      <c r="H108" s="130">
        <v>6.75</v>
      </c>
      <c r="I108" s="130">
        <f t="shared" si="14"/>
        <v>6.75</v>
      </c>
      <c r="J108" s="130">
        <v>7.6</v>
      </c>
      <c r="K108" s="130">
        <f t="shared" si="22"/>
        <v>51.3</v>
      </c>
      <c r="L108" s="118"/>
      <c r="M108" s="118"/>
      <c r="N108" s="151"/>
    </row>
    <row r="109" s="102" customFormat="1" ht="20.25" spans="1:23">
      <c r="A109" s="141">
        <v>45768</v>
      </c>
      <c r="B109" s="142" t="s">
        <v>1215</v>
      </c>
      <c r="C109" s="128" t="s">
        <v>1194</v>
      </c>
      <c r="D109" s="128"/>
      <c r="E109" s="128"/>
      <c r="F109" s="128"/>
      <c r="G109" s="129">
        <v>1</v>
      </c>
      <c r="H109" s="130">
        <v>1.5</v>
      </c>
      <c r="I109" s="130">
        <f t="shared" ref="I109:I122" si="23">G109*H109</f>
        <v>1.5</v>
      </c>
      <c r="J109" s="130">
        <v>12.5</v>
      </c>
      <c r="K109" s="130">
        <f t="shared" si="22"/>
        <v>18.75</v>
      </c>
      <c r="L109" s="118" t="s">
        <v>1195</v>
      </c>
      <c r="M109" s="118" t="s">
        <v>1196</v>
      </c>
      <c r="N109" s="151"/>
    </row>
    <row r="110" s="102" customFormat="1" ht="20.25" spans="1:23">
      <c r="A110" s="141">
        <v>45768</v>
      </c>
      <c r="B110" s="142" t="s">
        <v>1215</v>
      </c>
      <c r="C110" s="128" t="s">
        <v>1197</v>
      </c>
      <c r="D110" s="128"/>
      <c r="E110" s="128"/>
      <c r="F110" s="128"/>
      <c r="G110" s="129">
        <v>1</v>
      </c>
      <c r="H110" s="129">
        <f>SUM(H107:H109)</f>
        <v>15</v>
      </c>
      <c r="I110" s="140">
        <f t="shared" si="23"/>
        <v>15</v>
      </c>
      <c r="J110" s="130"/>
      <c r="K110" s="130"/>
      <c r="L110" s="118"/>
      <c r="M110" s="118"/>
      <c r="N110" s="151"/>
    </row>
    <row r="111" s="102" customFormat="1" ht="20.25" spans="1:23">
      <c r="A111" s="141">
        <v>45768</v>
      </c>
      <c r="B111" s="142" t="s">
        <v>1215</v>
      </c>
      <c r="C111" s="128" t="s">
        <v>844</v>
      </c>
      <c r="D111" s="128"/>
      <c r="E111" s="128"/>
      <c r="F111" s="128"/>
      <c r="G111" s="129">
        <v>3</v>
      </c>
      <c r="H111" s="129">
        <v>1</v>
      </c>
      <c r="I111" s="140">
        <f t="shared" si="23"/>
        <v>3</v>
      </c>
      <c r="J111" s="130">
        <v>9</v>
      </c>
      <c r="K111" s="130">
        <f t="shared" ref="K111:K115" si="24">I111*J111</f>
        <v>27</v>
      </c>
      <c r="L111" s="118">
        <f>SUM(K107:K111)</f>
        <v>97.05</v>
      </c>
      <c r="M111" s="118"/>
      <c r="N111" s="151"/>
    </row>
    <row r="112" s="1" customFormat="1" ht="20.25" spans="1:23">
      <c r="A112" s="141">
        <v>45768</v>
      </c>
      <c r="B112" s="142" t="s">
        <v>1215</v>
      </c>
      <c r="C112" s="106" t="s">
        <v>122</v>
      </c>
      <c r="D112" s="106"/>
      <c r="E112" s="106"/>
      <c r="F112" s="106"/>
      <c r="G112" s="107">
        <v>1</v>
      </c>
      <c r="H112" s="107">
        <v>15</v>
      </c>
      <c r="I112" s="108">
        <f t="shared" si="23"/>
        <v>15</v>
      </c>
      <c r="J112" s="109">
        <v>7.6</v>
      </c>
      <c r="K112" s="109">
        <f t="shared" si="24"/>
        <v>114</v>
      </c>
      <c r="L112" s="110"/>
      <c r="M112" s="110"/>
      <c r="N112" s="111"/>
    </row>
    <row r="113" s="1" customFormat="1" ht="20.25" spans="1:14">
      <c r="A113" s="141">
        <v>45768</v>
      </c>
      <c r="B113" s="142" t="s">
        <v>1215</v>
      </c>
      <c r="C113" s="106" t="s">
        <v>434</v>
      </c>
      <c r="D113" s="106"/>
      <c r="E113" s="106"/>
      <c r="F113" s="106"/>
      <c r="G113" s="107">
        <v>1</v>
      </c>
      <c r="H113" s="107">
        <v>6</v>
      </c>
      <c r="I113" s="108">
        <f t="shared" si="23"/>
        <v>6</v>
      </c>
      <c r="J113" s="109">
        <v>7.6</v>
      </c>
      <c r="K113" s="109">
        <f t="shared" si="24"/>
        <v>45.6</v>
      </c>
      <c r="L113" s="110" t="s">
        <v>1198</v>
      </c>
      <c r="M113" s="110"/>
      <c r="N113" s="111"/>
    </row>
    <row r="114" s="1" customFormat="1" ht="20.25" spans="1:14">
      <c r="A114" s="141">
        <v>45768</v>
      </c>
      <c r="B114" s="142" t="s">
        <v>1215</v>
      </c>
      <c r="C114" s="106">
        <v>813</v>
      </c>
      <c r="D114" s="106"/>
      <c r="E114" s="106"/>
      <c r="F114" s="106"/>
      <c r="G114" s="107">
        <v>1</v>
      </c>
      <c r="H114" s="107">
        <v>3</v>
      </c>
      <c r="I114" s="108">
        <f t="shared" si="23"/>
        <v>3</v>
      </c>
      <c r="J114" s="109">
        <v>9</v>
      </c>
      <c r="K114" s="109">
        <f t="shared" si="24"/>
        <v>27</v>
      </c>
      <c r="L114" s="110"/>
      <c r="M114" s="110"/>
      <c r="N114" s="111"/>
    </row>
    <row r="115" s="1" customFormat="1" ht="20.25" spans="1:14">
      <c r="A115" s="141">
        <v>45768</v>
      </c>
      <c r="B115" s="142" t="s">
        <v>1215</v>
      </c>
      <c r="C115" s="106" t="s">
        <v>543</v>
      </c>
      <c r="D115" s="106"/>
      <c r="E115" s="106"/>
      <c r="F115" s="106"/>
      <c r="G115" s="107">
        <v>1</v>
      </c>
      <c r="H115" s="107">
        <v>6</v>
      </c>
      <c r="I115" s="108">
        <f t="shared" si="23"/>
        <v>6</v>
      </c>
      <c r="J115" s="109">
        <v>3.6</v>
      </c>
      <c r="K115" s="109">
        <f t="shared" si="24"/>
        <v>21.6</v>
      </c>
      <c r="L115" s="110"/>
      <c r="M115" s="110"/>
      <c r="N115" s="111"/>
    </row>
    <row r="116" s="1" customFormat="1" ht="20.25" spans="1:14">
      <c r="A116" s="141">
        <v>45768</v>
      </c>
      <c r="B116" s="142" t="s">
        <v>1215</v>
      </c>
      <c r="C116" s="106" t="s">
        <v>1199</v>
      </c>
      <c r="D116" s="106"/>
      <c r="E116" s="106"/>
      <c r="F116" s="106"/>
      <c r="G116" s="107">
        <v>1</v>
      </c>
      <c r="H116" s="107">
        <f>SUM(H112:H115)</f>
        <v>30</v>
      </c>
      <c r="I116" s="108">
        <f t="shared" si="23"/>
        <v>30</v>
      </c>
      <c r="J116" s="109"/>
      <c r="K116" s="109"/>
      <c r="L116" s="110"/>
      <c r="M116" s="137" t="s">
        <v>1200</v>
      </c>
      <c r="N116" s="111"/>
    </row>
    <row r="117" s="1" customFormat="1" ht="20.25" spans="1:14">
      <c r="A117" s="141">
        <v>45768</v>
      </c>
      <c r="B117" s="142" t="s">
        <v>1215</v>
      </c>
      <c r="C117" s="138" t="s">
        <v>844</v>
      </c>
      <c r="D117" s="138"/>
      <c r="E117" s="138"/>
      <c r="F117" s="138"/>
      <c r="G117" s="139">
        <v>2</v>
      </c>
      <c r="H117" s="139">
        <v>1</v>
      </c>
      <c r="I117" s="114">
        <f t="shared" si="23"/>
        <v>2</v>
      </c>
      <c r="J117" s="115">
        <v>11.5</v>
      </c>
      <c r="K117" s="115">
        <f t="shared" ref="K117:K123" si="25">I117*J117</f>
        <v>23</v>
      </c>
      <c r="L117" s="110">
        <f>SUM(K107:K117)</f>
        <v>328.25</v>
      </c>
      <c r="M117" s="110"/>
      <c r="N117" s="111"/>
    </row>
    <row r="118" s="2" customFormat="1" ht="20.25" spans="1:14">
      <c r="A118" s="126">
        <v>45768</v>
      </c>
      <c r="B118" s="127">
        <v>67</v>
      </c>
      <c r="C118" s="133" t="s">
        <v>1201</v>
      </c>
      <c r="D118" s="133"/>
      <c r="E118" s="133"/>
      <c r="F118" s="133"/>
      <c r="G118" s="134">
        <v>1</v>
      </c>
      <c r="H118" s="134">
        <v>9.84</v>
      </c>
      <c r="I118" s="136">
        <f t="shared" si="23"/>
        <v>9.84</v>
      </c>
      <c r="J118" s="135">
        <v>18</v>
      </c>
      <c r="K118" s="135"/>
      <c r="L118" s="131"/>
      <c r="M118" s="131"/>
      <c r="N118" s="132"/>
    </row>
    <row r="119" s="2" customFormat="1" ht="20.25" spans="1:14">
      <c r="A119" s="126">
        <v>45768</v>
      </c>
      <c r="B119" s="127">
        <v>67</v>
      </c>
      <c r="C119" s="133" t="s">
        <v>120</v>
      </c>
      <c r="D119" s="133"/>
      <c r="E119" s="133"/>
      <c r="F119" s="133"/>
      <c r="G119" s="134">
        <v>1</v>
      </c>
      <c r="H119" s="134">
        <v>0.75</v>
      </c>
      <c r="I119" s="136">
        <f t="shared" si="23"/>
        <v>0.75</v>
      </c>
      <c r="J119" s="135">
        <v>21</v>
      </c>
      <c r="K119" s="135">
        <f t="shared" si="25"/>
        <v>15.75</v>
      </c>
      <c r="L119" s="131"/>
      <c r="M119" s="131"/>
      <c r="N119" s="132"/>
    </row>
    <row r="120" s="2" customFormat="1" ht="20.25" spans="1:14">
      <c r="A120" s="126">
        <v>45768</v>
      </c>
      <c r="B120" s="127">
        <v>67</v>
      </c>
      <c r="C120" s="152" t="s">
        <v>1202</v>
      </c>
      <c r="D120" s="152"/>
      <c r="E120" s="152"/>
      <c r="F120" s="152"/>
      <c r="G120" s="134">
        <v>1</v>
      </c>
      <c r="H120" s="134">
        <v>12</v>
      </c>
      <c r="I120" s="136">
        <f t="shared" si="23"/>
        <v>12</v>
      </c>
      <c r="J120" s="135">
        <v>7</v>
      </c>
      <c r="K120" s="135"/>
      <c r="L120" s="131"/>
      <c r="M120" s="131"/>
      <c r="N120" s="132"/>
    </row>
    <row r="121" s="2" customFormat="1" ht="20.25" spans="1:14">
      <c r="A121" s="126">
        <v>45768</v>
      </c>
      <c r="B121" s="127">
        <v>67</v>
      </c>
      <c r="C121" s="133" t="s">
        <v>121</v>
      </c>
      <c r="D121" s="133"/>
      <c r="E121" s="133"/>
      <c r="F121" s="133"/>
      <c r="G121" s="134">
        <v>1</v>
      </c>
      <c r="H121" s="134">
        <v>24</v>
      </c>
      <c r="I121" s="136">
        <f t="shared" si="23"/>
        <v>24</v>
      </c>
      <c r="J121" s="135">
        <v>0.6</v>
      </c>
      <c r="K121" s="135">
        <f t="shared" si="25"/>
        <v>14.4</v>
      </c>
      <c r="L121" s="131"/>
      <c r="M121" s="131"/>
      <c r="N121" s="132"/>
    </row>
    <row r="122" s="2" customFormat="1" ht="20.25" spans="1:14">
      <c r="A122" s="126">
        <v>45768</v>
      </c>
      <c r="B122" s="127">
        <v>67</v>
      </c>
      <c r="C122" s="133" t="s">
        <v>1203</v>
      </c>
      <c r="D122" s="133"/>
      <c r="E122" s="133"/>
      <c r="F122" s="133"/>
      <c r="G122" s="134">
        <v>1</v>
      </c>
      <c r="H122" s="134">
        <v>3.9</v>
      </c>
      <c r="I122" s="136">
        <f t="shared" si="23"/>
        <v>3.9</v>
      </c>
      <c r="J122" s="135">
        <v>8.5</v>
      </c>
      <c r="K122" s="135">
        <f t="shared" si="25"/>
        <v>33.15</v>
      </c>
      <c r="L122" s="131"/>
      <c r="M122" s="131"/>
      <c r="N122" s="132"/>
    </row>
    <row r="123" s="2" customFormat="1" ht="20.25" spans="1:14">
      <c r="A123" s="126">
        <v>45768</v>
      </c>
      <c r="B123" s="127">
        <v>67</v>
      </c>
      <c r="C123" s="133" t="s">
        <v>122</v>
      </c>
      <c r="D123" s="133"/>
      <c r="E123" s="133"/>
      <c r="F123" s="133"/>
      <c r="G123" s="134">
        <v>1</v>
      </c>
      <c r="H123" s="134">
        <v>12</v>
      </c>
      <c r="I123" s="136">
        <f t="shared" ref="I123:I162" si="26">G123*H123</f>
        <v>12</v>
      </c>
      <c r="J123" s="135">
        <v>7.6</v>
      </c>
      <c r="K123" s="135">
        <f t="shared" si="25"/>
        <v>91.2</v>
      </c>
      <c r="L123" s="131" t="s">
        <v>1192</v>
      </c>
      <c r="M123" s="131"/>
      <c r="N123" s="132"/>
    </row>
    <row r="124" s="2" customFormat="1" ht="20.25" spans="1:14">
      <c r="A124" s="126">
        <v>45768</v>
      </c>
      <c r="B124" s="127">
        <v>67</v>
      </c>
      <c r="C124" s="133" t="s">
        <v>1204</v>
      </c>
      <c r="D124" s="133"/>
      <c r="E124" s="133"/>
      <c r="F124" s="133"/>
      <c r="G124" s="134">
        <v>1</v>
      </c>
      <c r="H124" s="134">
        <f>SUM(H118:H123)</f>
        <v>62.49</v>
      </c>
      <c r="I124" s="136">
        <f t="shared" si="26"/>
        <v>62.49</v>
      </c>
      <c r="J124" s="135"/>
      <c r="K124" s="135"/>
      <c r="L124" s="131"/>
      <c r="M124" s="131"/>
      <c r="N124" s="132"/>
    </row>
    <row r="125" s="2" customFormat="1" ht="20.25" spans="1:14">
      <c r="A125" s="126">
        <v>45768</v>
      </c>
      <c r="B125" s="127">
        <v>67</v>
      </c>
      <c r="C125" s="133" t="s">
        <v>844</v>
      </c>
      <c r="D125" s="133"/>
      <c r="E125" s="133"/>
      <c r="F125" s="133"/>
      <c r="G125" s="134">
        <v>3</v>
      </c>
      <c r="H125" s="134">
        <v>1</v>
      </c>
      <c r="I125" s="136">
        <f t="shared" si="26"/>
        <v>3</v>
      </c>
      <c r="J125" s="135">
        <v>12.5</v>
      </c>
      <c r="K125" s="135">
        <f t="shared" ref="K125:K133" si="27">I125*J125</f>
        <v>37.5</v>
      </c>
      <c r="L125" s="131">
        <f>SUM(K118:K125)</f>
        <v>192</v>
      </c>
      <c r="M125" s="137" t="s">
        <v>1205</v>
      </c>
      <c r="N125" s="132"/>
    </row>
    <row r="126" s="1" customFormat="1" ht="20.25" spans="1:14">
      <c r="A126" s="51">
        <v>45768</v>
      </c>
      <c r="B126" s="105">
        <v>68</v>
      </c>
      <c r="C126" s="106" t="s">
        <v>1206</v>
      </c>
      <c r="D126" s="106"/>
      <c r="E126" s="106"/>
      <c r="F126" s="106"/>
      <c r="G126" s="107">
        <v>1</v>
      </c>
      <c r="H126" s="107">
        <v>4.65</v>
      </c>
      <c r="I126" s="108">
        <f t="shared" si="26"/>
        <v>4.65</v>
      </c>
      <c r="J126" s="109">
        <v>25</v>
      </c>
      <c r="K126" s="109"/>
      <c r="L126" s="131"/>
      <c r="M126" s="110"/>
      <c r="N126" s="111"/>
    </row>
    <row r="127" s="1" customFormat="1" ht="20.25" spans="1:14">
      <c r="A127" s="51">
        <v>45768</v>
      </c>
      <c r="B127" s="105">
        <v>68</v>
      </c>
      <c r="C127" s="106" t="s">
        <v>122</v>
      </c>
      <c r="D127" s="106"/>
      <c r="E127" s="106"/>
      <c r="F127" s="106"/>
      <c r="G127" s="107">
        <v>1</v>
      </c>
      <c r="H127" s="107">
        <v>2.1</v>
      </c>
      <c r="I127" s="108">
        <f t="shared" si="26"/>
        <v>2.1</v>
      </c>
      <c r="J127" s="109">
        <v>7.6</v>
      </c>
      <c r="K127" s="109">
        <f t="shared" si="27"/>
        <v>15.96</v>
      </c>
      <c r="L127" s="110"/>
      <c r="M127" s="110"/>
      <c r="N127" s="111"/>
    </row>
    <row r="128" s="1" customFormat="1" ht="20.25" spans="1:14">
      <c r="A128" s="51">
        <v>45768</v>
      </c>
      <c r="B128" s="105">
        <v>68</v>
      </c>
      <c r="C128" s="106" t="s">
        <v>1207</v>
      </c>
      <c r="D128" s="106"/>
      <c r="E128" s="106"/>
      <c r="F128" s="106"/>
      <c r="G128" s="107">
        <v>1</v>
      </c>
      <c r="H128" s="107">
        <v>0.75</v>
      </c>
      <c r="I128" s="108">
        <f t="shared" si="26"/>
        <v>0.75</v>
      </c>
      <c r="J128" s="109">
        <v>8.5</v>
      </c>
      <c r="K128" s="109">
        <f t="shared" si="27"/>
        <v>6.375</v>
      </c>
      <c r="L128" s="110"/>
      <c r="M128" s="118" t="s">
        <v>1208</v>
      </c>
      <c r="N128" s="111"/>
    </row>
    <row r="129" s="1" customFormat="1" ht="20.25" spans="1:23">
      <c r="A129" s="51">
        <v>45768</v>
      </c>
      <c r="B129" s="105">
        <v>68</v>
      </c>
      <c r="C129" s="138" t="s">
        <v>1209</v>
      </c>
      <c r="D129" s="138"/>
      <c r="E129" s="138"/>
      <c r="F129" s="138"/>
      <c r="G129" s="107">
        <v>1</v>
      </c>
      <c r="H129" s="107">
        <f>SUM(H126:H128)</f>
        <v>7.5</v>
      </c>
      <c r="I129" s="108">
        <f t="shared" si="26"/>
        <v>7.5</v>
      </c>
      <c r="J129" s="109"/>
      <c r="K129" s="109">
        <f t="shared" si="27"/>
        <v>0</v>
      </c>
      <c r="L129" s="110" t="s">
        <v>1210</v>
      </c>
      <c r="M129" s="110"/>
      <c r="N129" s="111"/>
    </row>
    <row r="130" s="1" customFormat="1" ht="19" customHeight="1" spans="1:23">
      <c r="A130" s="51">
        <v>45768</v>
      </c>
      <c r="B130" s="105">
        <v>68</v>
      </c>
      <c r="C130" s="106" t="s">
        <v>641</v>
      </c>
      <c r="D130" s="106"/>
      <c r="E130" s="106"/>
      <c r="F130" s="106"/>
      <c r="G130" s="107">
        <v>3</v>
      </c>
      <c r="H130" s="107">
        <v>1</v>
      </c>
      <c r="I130" s="108">
        <f t="shared" si="26"/>
        <v>3</v>
      </c>
      <c r="J130" s="109">
        <v>5.5</v>
      </c>
      <c r="K130" s="109">
        <f t="shared" si="27"/>
        <v>16.5</v>
      </c>
      <c r="L130" s="110"/>
      <c r="M130" s="110">
        <f>SUM(K126:K130)</f>
        <v>38.835</v>
      </c>
      <c r="N130" s="111"/>
    </row>
    <row r="131" s="1" customFormat="1" ht="20.25" spans="1:23">
      <c r="A131" s="51">
        <v>45768</v>
      </c>
      <c r="B131" s="105">
        <v>68</v>
      </c>
      <c r="C131" s="106" t="s">
        <v>122</v>
      </c>
      <c r="D131" s="106"/>
      <c r="E131" s="106"/>
      <c r="F131" s="106"/>
      <c r="G131" s="107">
        <v>1</v>
      </c>
      <c r="H131" s="107">
        <v>19</v>
      </c>
      <c r="I131" s="108">
        <f t="shared" si="26"/>
        <v>19</v>
      </c>
      <c r="J131" s="109">
        <v>7.6</v>
      </c>
      <c r="K131" s="109">
        <f t="shared" si="27"/>
        <v>144.4</v>
      </c>
      <c r="L131" s="110"/>
      <c r="M131" s="110"/>
      <c r="N131" s="111"/>
    </row>
    <row r="132" s="1" customFormat="1" ht="20.25" spans="1:23">
      <c r="A132" s="51">
        <v>45768</v>
      </c>
      <c r="B132" s="105">
        <v>68</v>
      </c>
      <c r="C132" s="106" t="s">
        <v>1211</v>
      </c>
      <c r="D132" s="106"/>
      <c r="E132" s="106"/>
      <c r="F132" s="106"/>
      <c r="G132" s="107">
        <v>1</v>
      </c>
      <c r="H132" s="107">
        <v>7</v>
      </c>
      <c r="I132" s="108">
        <f t="shared" si="26"/>
        <v>7</v>
      </c>
      <c r="J132" s="109">
        <v>8.5</v>
      </c>
      <c r="K132" s="109">
        <f t="shared" si="27"/>
        <v>59.5</v>
      </c>
      <c r="L132" s="110"/>
      <c r="M132" s="110"/>
      <c r="N132" s="111"/>
    </row>
    <row r="133" s="1" customFormat="1" ht="20.25" spans="1:23">
      <c r="A133" s="51">
        <v>45768</v>
      </c>
      <c r="B133" s="105">
        <v>68</v>
      </c>
      <c r="C133" s="106" t="s">
        <v>543</v>
      </c>
      <c r="D133" s="106"/>
      <c r="E133" s="106"/>
      <c r="F133" s="106"/>
      <c r="G133" s="107">
        <v>1</v>
      </c>
      <c r="H133" s="107">
        <v>4</v>
      </c>
      <c r="I133" s="108">
        <f t="shared" si="26"/>
        <v>4</v>
      </c>
      <c r="J133" s="109">
        <v>3.6</v>
      </c>
      <c r="K133" s="109">
        <f t="shared" si="27"/>
        <v>14.4</v>
      </c>
      <c r="L133" s="110"/>
      <c r="M133" s="110" t="s">
        <v>1212</v>
      </c>
      <c r="N133" s="111"/>
    </row>
    <row r="134" s="1" customFormat="1" ht="20.25" spans="1:23">
      <c r="A134" s="51">
        <v>45768</v>
      </c>
      <c r="B134" s="105">
        <v>68</v>
      </c>
      <c r="C134" s="138" t="s">
        <v>1213</v>
      </c>
      <c r="D134" s="138"/>
      <c r="E134" s="138"/>
      <c r="F134" s="138"/>
      <c r="G134" s="107">
        <v>1</v>
      </c>
      <c r="H134" s="107">
        <f>SUM(H131:H133)</f>
        <v>30</v>
      </c>
      <c r="I134" s="108">
        <f t="shared" si="26"/>
        <v>30</v>
      </c>
      <c r="J134" s="109"/>
      <c r="K134" s="109"/>
      <c r="L134" s="110" t="s">
        <v>1198</v>
      </c>
      <c r="M134" s="110"/>
      <c r="N134" s="111"/>
    </row>
    <row r="135" s="1" customFormat="1" ht="20.25" spans="1:23">
      <c r="A135" s="51">
        <v>45768</v>
      </c>
      <c r="B135" s="105">
        <v>68</v>
      </c>
      <c r="C135" s="106" t="s">
        <v>423</v>
      </c>
      <c r="D135" s="106"/>
      <c r="E135" s="106"/>
      <c r="F135" s="106"/>
      <c r="G135" s="107">
        <v>2</v>
      </c>
      <c r="H135" s="107">
        <v>1</v>
      </c>
      <c r="I135" s="108">
        <f t="shared" si="26"/>
        <v>2</v>
      </c>
      <c r="J135" s="109">
        <v>11.5</v>
      </c>
      <c r="K135" s="109">
        <f t="shared" ref="K135:K147" si="28">I135*J135</f>
        <v>23</v>
      </c>
      <c r="L135" s="110"/>
      <c r="M135" s="110">
        <f>SUM(K126:K135)</f>
        <v>280.135</v>
      </c>
      <c r="N135" s="111"/>
    </row>
    <row r="136" s="2" customFormat="1" ht="20.25" spans="1:23">
      <c r="A136" s="126">
        <v>45777</v>
      </c>
      <c r="B136" s="127">
        <v>101</v>
      </c>
      <c r="C136" s="133" t="s">
        <v>1167</v>
      </c>
      <c r="D136" s="133"/>
      <c r="E136" s="133"/>
      <c r="F136" s="133"/>
      <c r="G136" s="134">
        <v>1</v>
      </c>
      <c r="H136" s="134">
        <v>28</v>
      </c>
      <c r="I136" s="136">
        <f t="shared" si="26"/>
        <v>28</v>
      </c>
      <c r="J136" s="135">
        <v>12.6</v>
      </c>
      <c r="K136" s="135">
        <f t="shared" si="28"/>
        <v>352.8</v>
      </c>
      <c r="L136" s="131"/>
      <c r="M136" s="131"/>
      <c r="N136" s="132"/>
    </row>
    <row r="137" s="2" customFormat="1" ht="20.25" spans="1:23">
      <c r="A137" s="126">
        <v>45777</v>
      </c>
      <c r="B137" s="127">
        <v>101</v>
      </c>
      <c r="C137" s="133" t="s">
        <v>1185</v>
      </c>
      <c r="D137" s="133"/>
      <c r="E137" s="133"/>
      <c r="F137" s="133"/>
      <c r="G137" s="134">
        <v>1</v>
      </c>
      <c r="H137" s="134">
        <v>10</v>
      </c>
      <c r="I137" s="136">
        <f t="shared" si="26"/>
        <v>10</v>
      </c>
      <c r="J137" s="135">
        <v>12.1</v>
      </c>
      <c r="K137" s="135">
        <f t="shared" si="28"/>
        <v>121</v>
      </c>
      <c r="L137" s="131" t="s">
        <v>1186</v>
      </c>
      <c r="M137" s="131"/>
      <c r="N137" s="132"/>
      <c r="O137" s="147" t="s">
        <v>1187</v>
      </c>
      <c r="P137" s="148"/>
      <c r="Q137" s="148"/>
      <c r="R137" s="148"/>
      <c r="S137" s="134">
        <v>3</v>
      </c>
      <c r="T137" s="134">
        <v>20</v>
      </c>
      <c r="U137" s="136">
        <f t="shared" ref="U137:U139" si="29">S137*T137</f>
        <v>60</v>
      </c>
      <c r="V137" s="135">
        <v>41</v>
      </c>
      <c r="W137" s="135">
        <f t="shared" ref="W137:W139" si="30">U137*V137</f>
        <v>2460</v>
      </c>
    </row>
    <row r="138" s="2" customFormat="1" ht="20.25" spans="1:23">
      <c r="A138" s="126">
        <v>45777</v>
      </c>
      <c r="B138" s="127">
        <v>101</v>
      </c>
      <c r="C138" s="133" t="s">
        <v>417</v>
      </c>
      <c r="D138" s="133"/>
      <c r="E138" s="133"/>
      <c r="F138" s="133"/>
      <c r="G138" s="134">
        <v>1</v>
      </c>
      <c r="H138" s="134">
        <v>18</v>
      </c>
      <c r="I138" s="136">
        <f t="shared" si="26"/>
        <v>18</v>
      </c>
      <c r="J138" s="135">
        <v>18</v>
      </c>
      <c r="K138" s="135">
        <f t="shared" si="28"/>
        <v>324</v>
      </c>
      <c r="L138" s="131"/>
      <c r="M138" s="131"/>
      <c r="N138" s="132"/>
      <c r="O138" s="134" t="s">
        <v>1179</v>
      </c>
      <c r="P138" s="134"/>
      <c r="Q138" s="134"/>
      <c r="R138" s="149"/>
      <c r="S138" s="134">
        <v>3</v>
      </c>
      <c r="T138" s="134">
        <v>5</v>
      </c>
      <c r="U138" s="136">
        <f t="shared" si="29"/>
        <v>15</v>
      </c>
      <c r="V138" s="135">
        <v>58</v>
      </c>
      <c r="W138" s="135">
        <f t="shared" si="30"/>
        <v>870</v>
      </c>
    </row>
    <row r="139" s="2" customFormat="1" ht="20.25" spans="1:23">
      <c r="A139" s="126">
        <v>45777</v>
      </c>
      <c r="B139" s="127">
        <v>101</v>
      </c>
      <c r="C139" s="133" t="s">
        <v>120</v>
      </c>
      <c r="D139" s="133"/>
      <c r="E139" s="133"/>
      <c r="F139" s="133"/>
      <c r="G139" s="134">
        <v>1</v>
      </c>
      <c r="H139" s="134">
        <v>0.5</v>
      </c>
      <c r="I139" s="136">
        <f t="shared" si="26"/>
        <v>0.5</v>
      </c>
      <c r="J139" s="135">
        <v>21</v>
      </c>
      <c r="K139" s="135">
        <f t="shared" si="28"/>
        <v>10.5</v>
      </c>
      <c r="L139" s="131"/>
      <c r="M139" s="131"/>
      <c r="N139" s="132"/>
      <c r="O139" s="134" t="s">
        <v>1180</v>
      </c>
      <c r="P139" s="134"/>
      <c r="Q139" s="134"/>
      <c r="R139" s="149"/>
      <c r="S139" s="134">
        <v>2</v>
      </c>
      <c r="T139" s="134">
        <v>15</v>
      </c>
      <c r="U139" s="136">
        <f t="shared" si="29"/>
        <v>30</v>
      </c>
      <c r="V139" s="135">
        <v>15</v>
      </c>
      <c r="W139" s="135">
        <f t="shared" si="30"/>
        <v>450</v>
      </c>
    </row>
    <row r="140" s="2" customFormat="1" ht="20.25" spans="1:23">
      <c r="A140" s="126">
        <v>45777</v>
      </c>
      <c r="B140" s="127">
        <v>101</v>
      </c>
      <c r="C140" s="133" t="s">
        <v>1169</v>
      </c>
      <c r="D140" s="133"/>
      <c r="E140" s="133"/>
      <c r="F140" s="133"/>
      <c r="G140" s="134">
        <v>1</v>
      </c>
      <c r="H140" s="134">
        <v>0.33</v>
      </c>
      <c r="I140" s="136">
        <f t="shared" si="26"/>
        <v>0.33</v>
      </c>
      <c r="J140" s="135">
        <v>90</v>
      </c>
      <c r="K140" s="135">
        <f t="shared" si="28"/>
        <v>29.7</v>
      </c>
      <c r="L140" s="131"/>
      <c r="M140" s="131"/>
      <c r="N140" s="132"/>
      <c r="O140" s="134"/>
      <c r="P140" s="134"/>
      <c r="Q140" s="134"/>
      <c r="R140" s="149"/>
      <c r="S140" s="134"/>
      <c r="T140" s="134"/>
      <c r="U140" s="136"/>
      <c r="V140" s="135"/>
      <c r="W140" s="135"/>
    </row>
    <row r="141" s="2" customFormat="1" ht="20.25" spans="1:23">
      <c r="A141" s="126">
        <v>45777</v>
      </c>
      <c r="B141" s="127">
        <v>101</v>
      </c>
      <c r="C141" s="133" t="s">
        <v>1170</v>
      </c>
      <c r="D141" s="133"/>
      <c r="E141" s="133"/>
      <c r="F141" s="133"/>
      <c r="G141" s="134">
        <v>1</v>
      </c>
      <c r="H141" s="134">
        <v>0.33</v>
      </c>
      <c r="I141" s="136">
        <f t="shared" si="26"/>
        <v>0.33</v>
      </c>
      <c r="J141" s="135">
        <v>75</v>
      </c>
      <c r="K141" s="135">
        <f t="shared" si="28"/>
        <v>24.75</v>
      </c>
      <c r="L141" s="131"/>
      <c r="M141" s="131" t="s">
        <v>1190</v>
      </c>
      <c r="N141" s="132"/>
      <c r="O141" s="147" t="s">
        <v>1176</v>
      </c>
      <c r="P141" s="148"/>
      <c r="Q141" s="148"/>
      <c r="R141" s="148"/>
      <c r="S141" s="134">
        <v>3</v>
      </c>
      <c r="T141" s="134">
        <v>22.5</v>
      </c>
      <c r="U141" s="136">
        <f>S141*T141</f>
        <v>67.5</v>
      </c>
      <c r="V141" s="135">
        <v>21</v>
      </c>
      <c r="W141" s="135">
        <f>U141*V141</f>
        <v>1417.5</v>
      </c>
    </row>
    <row r="142" s="2" customFormat="1" ht="20.25" spans="1:23">
      <c r="A142" s="126">
        <v>45777</v>
      </c>
      <c r="B142" s="127">
        <v>101</v>
      </c>
      <c r="C142" s="133" t="s">
        <v>1191</v>
      </c>
      <c r="D142" s="133"/>
      <c r="E142" s="133"/>
      <c r="F142" s="133"/>
      <c r="G142" s="134">
        <v>1</v>
      </c>
      <c r="H142" s="134">
        <v>0.13</v>
      </c>
      <c r="I142" s="136">
        <f t="shared" si="26"/>
        <v>0.13</v>
      </c>
      <c r="J142" s="135">
        <v>150</v>
      </c>
      <c r="K142" s="135">
        <f t="shared" si="28"/>
        <v>19.5</v>
      </c>
      <c r="L142" s="131" t="s">
        <v>1192</v>
      </c>
      <c r="M142" s="131"/>
      <c r="N142" s="132"/>
      <c r="O142" s="133" t="s">
        <v>933</v>
      </c>
      <c r="P142" s="133"/>
      <c r="Q142" s="133"/>
      <c r="R142" s="133"/>
      <c r="S142" s="134">
        <v>2</v>
      </c>
      <c r="T142" s="134">
        <v>15</v>
      </c>
      <c r="U142" s="136">
        <f>S142*T142</f>
        <v>30</v>
      </c>
      <c r="V142" s="135">
        <v>15</v>
      </c>
      <c r="W142" s="135">
        <f>U142*V142</f>
        <v>450</v>
      </c>
    </row>
    <row r="143" s="2" customFormat="1" ht="20.25" spans="1:23">
      <c r="A143" s="126">
        <v>45777</v>
      </c>
      <c r="B143" s="127">
        <v>101</v>
      </c>
      <c r="C143" s="133" t="s">
        <v>1021</v>
      </c>
      <c r="D143" s="133"/>
      <c r="E143" s="133"/>
      <c r="F143" s="133"/>
      <c r="G143" s="134">
        <v>1</v>
      </c>
      <c r="H143" s="134">
        <v>0.07</v>
      </c>
      <c r="I143" s="136">
        <f t="shared" si="26"/>
        <v>0.07</v>
      </c>
      <c r="J143" s="135">
        <v>55</v>
      </c>
      <c r="K143" s="135">
        <f t="shared" si="28"/>
        <v>3.85</v>
      </c>
      <c r="L143" s="131"/>
      <c r="M143" s="131"/>
      <c r="N143" s="132"/>
    </row>
    <row r="144" s="2" customFormat="1" ht="20.25" spans="1:23">
      <c r="A144" s="126">
        <v>45777</v>
      </c>
      <c r="B144" s="127">
        <v>101</v>
      </c>
      <c r="C144" s="133" t="s">
        <v>122</v>
      </c>
      <c r="D144" s="133"/>
      <c r="E144" s="133"/>
      <c r="F144" s="133"/>
      <c r="G144" s="134">
        <v>1</v>
      </c>
      <c r="H144" s="134">
        <v>2.5</v>
      </c>
      <c r="I144" s="136">
        <f t="shared" si="26"/>
        <v>2.5</v>
      </c>
      <c r="J144" s="135">
        <v>7.6</v>
      </c>
      <c r="K144" s="135">
        <f t="shared" si="28"/>
        <v>19</v>
      </c>
      <c r="L144" s="131"/>
      <c r="M144" s="131"/>
      <c r="N144" s="132"/>
    </row>
    <row r="145" s="2" customFormat="1" ht="20.25" spans="1:14">
      <c r="A145" s="126">
        <v>45777</v>
      </c>
      <c r="B145" s="127">
        <v>101</v>
      </c>
      <c r="C145" s="133">
        <v>813</v>
      </c>
      <c r="D145" s="133"/>
      <c r="E145" s="133"/>
      <c r="F145" s="133"/>
      <c r="G145" s="134">
        <v>1</v>
      </c>
      <c r="H145" s="134">
        <v>1</v>
      </c>
      <c r="I145" s="136">
        <f t="shared" si="26"/>
        <v>1</v>
      </c>
      <c r="J145" s="135">
        <v>9</v>
      </c>
      <c r="K145" s="135">
        <f t="shared" si="28"/>
        <v>9</v>
      </c>
      <c r="L145" s="131"/>
      <c r="M145" s="131"/>
      <c r="N145" s="132"/>
    </row>
    <row r="146" s="2" customFormat="1" ht="20.25" spans="1:14">
      <c r="A146" s="126">
        <v>45777</v>
      </c>
      <c r="B146" s="127">
        <v>101</v>
      </c>
      <c r="C146" s="133" t="s">
        <v>434</v>
      </c>
      <c r="D146" s="133"/>
      <c r="E146" s="133"/>
      <c r="F146" s="133"/>
      <c r="G146" s="134">
        <v>1</v>
      </c>
      <c r="H146" s="134">
        <v>1.5</v>
      </c>
      <c r="I146" s="136">
        <f t="shared" si="26"/>
        <v>1.5</v>
      </c>
      <c r="J146" s="135">
        <v>7.6</v>
      </c>
      <c r="K146" s="135">
        <f t="shared" si="28"/>
        <v>11.4</v>
      </c>
      <c r="L146" s="131"/>
      <c r="M146" s="131"/>
      <c r="N146" s="132"/>
    </row>
    <row r="147" s="2" customFormat="1" ht="20.25" spans="1:14">
      <c r="A147" s="126">
        <v>45777</v>
      </c>
      <c r="B147" s="127">
        <v>101</v>
      </c>
      <c r="C147" s="133" t="s">
        <v>848</v>
      </c>
      <c r="D147" s="133"/>
      <c r="E147" s="133"/>
      <c r="F147" s="133"/>
      <c r="G147" s="134">
        <v>1</v>
      </c>
      <c r="H147" s="134">
        <v>0.4</v>
      </c>
      <c r="I147" s="136">
        <f t="shared" si="26"/>
        <v>0.4</v>
      </c>
      <c r="J147" s="135">
        <v>18</v>
      </c>
      <c r="K147" s="135">
        <f t="shared" si="28"/>
        <v>7.2</v>
      </c>
      <c r="L147" s="131"/>
      <c r="M147" s="131"/>
      <c r="N147" s="132"/>
    </row>
    <row r="148" s="2" customFormat="1" ht="20.25" spans="1:14">
      <c r="A148" s="126">
        <v>45777</v>
      </c>
      <c r="B148" s="127">
        <v>101</v>
      </c>
      <c r="C148" s="133" t="s">
        <v>787</v>
      </c>
      <c r="D148" s="133"/>
      <c r="E148" s="133"/>
      <c r="F148" s="133"/>
      <c r="G148" s="134">
        <v>1</v>
      </c>
      <c r="H148" s="134">
        <v>0.01</v>
      </c>
      <c r="I148" s="136">
        <f t="shared" si="26"/>
        <v>0.01</v>
      </c>
      <c r="J148" s="135"/>
      <c r="K148" s="135"/>
      <c r="L148" s="131"/>
      <c r="M148" s="131"/>
      <c r="N148" s="132"/>
    </row>
    <row r="149" s="2" customFormat="1" ht="20.25" spans="1:14">
      <c r="A149" s="126">
        <v>45777</v>
      </c>
      <c r="B149" s="127">
        <v>101</v>
      </c>
      <c r="C149" s="133" t="s">
        <v>570</v>
      </c>
      <c r="D149" s="133"/>
      <c r="E149" s="133"/>
      <c r="F149" s="133"/>
      <c r="G149" s="134">
        <v>1</v>
      </c>
      <c r="H149" s="134">
        <v>0.03</v>
      </c>
      <c r="I149" s="136">
        <f t="shared" si="26"/>
        <v>0.03</v>
      </c>
      <c r="J149" s="135"/>
      <c r="K149" s="135"/>
      <c r="L149" s="131"/>
      <c r="M149" s="131"/>
      <c r="N149" s="132"/>
    </row>
    <row r="150" s="2" customFormat="1" ht="20.25" spans="1:14">
      <c r="A150" s="126">
        <v>45777</v>
      </c>
      <c r="B150" s="127">
        <v>101</v>
      </c>
      <c r="C150" s="147" t="s">
        <v>1214</v>
      </c>
      <c r="D150" s="148"/>
      <c r="E150" s="148"/>
      <c r="F150" s="148"/>
      <c r="G150" s="134">
        <v>1</v>
      </c>
      <c r="H150" s="134">
        <f>SUM(H136:H149)</f>
        <v>62.8</v>
      </c>
      <c r="I150" s="136">
        <f t="shared" si="26"/>
        <v>62.8</v>
      </c>
      <c r="J150" s="135"/>
      <c r="K150" s="135"/>
      <c r="L150" s="131"/>
      <c r="M150" s="131"/>
      <c r="N150" s="132"/>
    </row>
    <row r="151" s="2" customFormat="1" ht="20.25" spans="1:14">
      <c r="A151" s="126">
        <v>45777</v>
      </c>
      <c r="B151" s="127">
        <v>101</v>
      </c>
      <c r="C151" s="133" t="s">
        <v>844</v>
      </c>
      <c r="D151" s="133"/>
      <c r="E151" s="133"/>
      <c r="F151" s="133"/>
      <c r="G151" s="134">
        <v>3</v>
      </c>
      <c r="H151" s="134">
        <v>1</v>
      </c>
      <c r="I151" s="136">
        <f t="shared" si="26"/>
        <v>3</v>
      </c>
      <c r="J151" s="135">
        <v>12.5</v>
      </c>
      <c r="K151" s="135">
        <f t="shared" ref="K151:K156" si="31">I151*J151</f>
        <v>37.5</v>
      </c>
      <c r="L151" s="150">
        <f>SUM(K136:K151)</f>
        <v>970.2</v>
      </c>
      <c r="M151" s="131"/>
      <c r="N151" s="132"/>
    </row>
    <row r="152" s="102" customFormat="1" ht="20.25" spans="1:14">
      <c r="A152" s="141">
        <v>45777</v>
      </c>
      <c r="B152" s="142">
        <v>102</v>
      </c>
      <c r="C152" s="128" t="s">
        <v>1216</v>
      </c>
      <c r="D152" s="128"/>
      <c r="E152" s="128"/>
      <c r="F152" s="128"/>
      <c r="G152" s="129">
        <v>1</v>
      </c>
      <c r="H152" s="130">
        <v>6.75</v>
      </c>
      <c r="I152" s="130">
        <f t="shared" si="26"/>
        <v>6.75</v>
      </c>
      <c r="J152" s="135">
        <v>31</v>
      </c>
      <c r="K152" s="130">
        <f t="shared" si="31"/>
        <v>209.25</v>
      </c>
      <c r="L152" s="118"/>
      <c r="M152" s="118"/>
      <c r="N152" s="151"/>
    </row>
    <row r="153" s="102" customFormat="1" ht="20.25" spans="1:14">
      <c r="A153" s="141">
        <v>45777</v>
      </c>
      <c r="B153" s="142">
        <v>102</v>
      </c>
      <c r="C153" s="128" t="s">
        <v>434</v>
      </c>
      <c r="D153" s="128"/>
      <c r="E153" s="128"/>
      <c r="F153" s="128"/>
      <c r="G153" s="129">
        <v>1</v>
      </c>
      <c r="H153" s="130">
        <v>6.75</v>
      </c>
      <c r="I153" s="130">
        <f t="shared" si="26"/>
        <v>6.75</v>
      </c>
      <c r="J153" s="130">
        <v>7.6</v>
      </c>
      <c r="K153" s="130">
        <f t="shared" si="31"/>
        <v>51.3</v>
      </c>
      <c r="L153" s="118"/>
      <c r="M153" s="118"/>
      <c r="N153" s="151"/>
    </row>
    <row r="154" s="102" customFormat="1" ht="20.25" spans="1:14">
      <c r="A154" s="141">
        <v>45777</v>
      </c>
      <c r="B154" s="142">
        <v>102</v>
      </c>
      <c r="C154" s="128" t="s">
        <v>1194</v>
      </c>
      <c r="D154" s="128"/>
      <c r="E154" s="128"/>
      <c r="F154" s="128"/>
      <c r="G154" s="129">
        <v>1</v>
      </c>
      <c r="H154" s="130">
        <v>1.5</v>
      </c>
      <c r="I154" s="130">
        <f t="shared" si="26"/>
        <v>1.5</v>
      </c>
      <c r="J154" s="130">
        <v>12.5</v>
      </c>
      <c r="K154" s="130">
        <f t="shared" si="31"/>
        <v>18.75</v>
      </c>
      <c r="L154" s="118" t="s">
        <v>1195</v>
      </c>
      <c r="M154" s="118" t="s">
        <v>1196</v>
      </c>
      <c r="N154" s="151"/>
    </row>
    <row r="155" s="102" customFormat="1" ht="20.25" spans="1:14">
      <c r="A155" s="141">
        <v>45777</v>
      </c>
      <c r="B155" s="142">
        <v>102</v>
      </c>
      <c r="C155" s="128" t="s">
        <v>1197</v>
      </c>
      <c r="D155" s="128"/>
      <c r="E155" s="128"/>
      <c r="F155" s="128"/>
      <c r="G155" s="129">
        <v>1</v>
      </c>
      <c r="H155" s="129">
        <f>SUM(H152:H154)</f>
        <v>15</v>
      </c>
      <c r="I155" s="140">
        <f t="shared" si="26"/>
        <v>15</v>
      </c>
      <c r="J155" s="130"/>
      <c r="K155" s="130">
        <f t="shared" si="31"/>
        <v>0</v>
      </c>
      <c r="L155" s="118"/>
      <c r="M155" s="118"/>
      <c r="N155" s="151"/>
    </row>
    <row r="156" s="102" customFormat="1" ht="20.25" spans="1:14">
      <c r="A156" s="141">
        <v>45777</v>
      </c>
      <c r="B156" s="142">
        <v>102</v>
      </c>
      <c r="C156" s="128" t="s">
        <v>844</v>
      </c>
      <c r="D156" s="128"/>
      <c r="E156" s="128"/>
      <c r="F156" s="128"/>
      <c r="G156" s="129">
        <v>3</v>
      </c>
      <c r="H156" s="129">
        <v>1</v>
      </c>
      <c r="I156" s="140">
        <f t="shared" si="26"/>
        <v>3</v>
      </c>
      <c r="J156" s="130">
        <v>9</v>
      </c>
      <c r="K156" s="130">
        <f t="shared" si="31"/>
        <v>27</v>
      </c>
      <c r="L156" s="118">
        <f>SUM(K152:K156)</f>
        <v>306.3</v>
      </c>
      <c r="M156" s="118"/>
      <c r="N156" s="151"/>
    </row>
    <row r="157" s="1" customFormat="1" ht="20.25" spans="1:14">
      <c r="A157" s="141">
        <v>45777</v>
      </c>
      <c r="B157" s="142">
        <v>102</v>
      </c>
      <c r="C157" s="106" t="s">
        <v>122</v>
      </c>
      <c r="D157" s="106"/>
      <c r="E157" s="106"/>
      <c r="F157" s="106"/>
      <c r="G157" s="107">
        <v>1</v>
      </c>
      <c r="H157" s="107">
        <v>15</v>
      </c>
      <c r="I157" s="108">
        <f t="shared" si="26"/>
        <v>15</v>
      </c>
      <c r="J157" s="109">
        <v>7.6</v>
      </c>
      <c r="K157" s="109">
        <f t="shared" ref="K156:K160" si="32">I157*J157</f>
        <v>114</v>
      </c>
      <c r="L157" s="110"/>
      <c r="M157" s="110"/>
      <c r="N157" s="111"/>
    </row>
    <row r="158" s="1" customFormat="1" ht="20.25" spans="1:14">
      <c r="A158" s="141">
        <v>45777</v>
      </c>
      <c r="B158" s="142">
        <v>102</v>
      </c>
      <c r="C158" s="106" t="s">
        <v>434</v>
      </c>
      <c r="D158" s="106"/>
      <c r="E158" s="106"/>
      <c r="F158" s="106"/>
      <c r="G158" s="107">
        <v>1</v>
      </c>
      <c r="H158" s="107">
        <v>6</v>
      </c>
      <c r="I158" s="108">
        <f t="shared" si="26"/>
        <v>6</v>
      </c>
      <c r="J158" s="109">
        <v>7.6</v>
      </c>
      <c r="K158" s="109">
        <f t="shared" si="32"/>
        <v>45.6</v>
      </c>
      <c r="L158" s="110" t="s">
        <v>1198</v>
      </c>
      <c r="M158" s="110"/>
      <c r="N158" s="111"/>
    </row>
    <row r="159" s="1" customFormat="1" ht="20.25" spans="1:14">
      <c r="A159" s="141">
        <v>45777</v>
      </c>
      <c r="B159" s="142">
        <v>102</v>
      </c>
      <c r="C159" s="106">
        <v>813</v>
      </c>
      <c r="D159" s="106"/>
      <c r="E159" s="106"/>
      <c r="F159" s="106"/>
      <c r="G159" s="107">
        <v>1</v>
      </c>
      <c r="H159" s="107">
        <v>3</v>
      </c>
      <c r="I159" s="108">
        <f t="shared" si="26"/>
        <v>3</v>
      </c>
      <c r="J159" s="109">
        <v>9</v>
      </c>
      <c r="K159" s="109">
        <f t="shared" si="32"/>
        <v>27</v>
      </c>
      <c r="L159" s="110"/>
      <c r="M159" s="110"/>
      <c r="N159" s="111"/>
    </row>
    <row r="160" s="1" customFormat="1" ht="20.25" spans="1:14">
      <c r="A160" s="141">
        <v>45777</v>
      </c>
      <c r="B160" s="142">
        <v>102</v>
      </c>
      <c r="C160" s="106" t="s">
        <v>543</v>
      </c>
      <c r="D160" s="106"/>
      <c r="E160" s="106"/>
      <c r="F160" s="106"/>
      <c r="G160" s="107">
        <v>1</v>
      </c>
      <c r="H160" s="107">
        <v>6</v>
      </c>
      <c r="I160" s="108">
        <f t="shared" si="26"/>
        <v>6</v>
      </c>
      <c r="J160" s="109">
        <v>3.6</v>
      </c>
      <c r="K160" s="109">
        <f t="shared" si="32"/>
        <v>21.6</v>
      </c>
      <c r="L160" s="110"/>
      <c r="M160" s="110"/>
      <c r="N160" s="111"/>
    </row>
    <row r="161" s="1" customFormat="1" ht="20.25" spans="1:14">
      <c r="A161" s="141">
        <v>45777</v>
      </c>
      <c r="B161" s="142">
        <v>102</v>
      </c>
      <c r="C161" s="106" t="s">
        <v>1199</v>
      </c>
      <c r="D161" s="106"/>
      <c r="E161" s="106"/>
      <c r="F161" s="106"/>
      <c r="G161" s="107">
        <v>1</v>
      </c>
      <c r="H161" s="107">
        <f>SUM(H157:H160)</f>
        <v>30</v>
      </c>
      <c r="I161" s="108">
        <f t="shared" si="26"/>
        <v>30</v>
      </c>
      <c r="J161" s="109"/>
      <c r="K161" s="109"/>
      <c r="L161" s="110"/>
      <c r="M161" s="137" t="s">
        <v>1200</v>
      </c>
      <c r="N161" s="111"/>
    </row>
    <row r="162" s="1" customFormat="1" ht="20.25" spans="1:14">
      <c r="A162" s="141">
        <v>45777</v>
      </c>
      <c r="B162" s="142">
        <v>102</v>
      </c>
      <c r="C162" s="128" t="s">
        <v>844</v>
      </c>
      <c r="D162" s="128"/>
      <c r="E162" s="128"/>
      <c r="F162" s="128"/>
      <c r="G162" s="129">
        <v>2</v>
      </c>
      <c r="H162" s="129">
        <v>1</v>
      </c>
      <c r="I162" s="140">
        <f t="shared" si="26"/>
        <v>2</v>
      </c>
      <c r="J162" s="130">
        <v>11.5</v>
      </c>
      <c r="K162" s="130">
        <f>I162*J162</f>
        <v>23</v>
      </c>
      <c r="L162" s="110">
        <f>SUM(K152:K162)</f>
        <v>537.5</v>
      </c>
      <c r="M162" s="137"/>
      <c r="N162" s="111"/>
    </row>
    <row r="169" spans="1:14">
      <c r="M169">
        <f>SUBTOTAL(9,L29:L126)</f>
        <v>3493.424</v>
      </c>
    </row>
  </sheetData>
  <autoFilter xmlns:etc="http://www.wps.cn/officeDocument/2017/etCustomData" ref="A3:X162" etc:filterBottomFollowUsedRange="0">
    <extLst/>
  </autoFilter>
  <mergeCells count="196">
    <mergeCell ref="F1:H1"/>
    <mergeCell ref="C4:F4"/>
    <mergeCell ref="C5:F5"/>
    <mergeCell ref="O5:R5"/>
    <mergeCell ref="C6:F6"/>
    <mergeCell ref="O6:R6"/>
    <mergeCell ref="C7:F7"/>
    <mergeCell ref="O7:R7"/>
    <mergeCell ref="C8:F8"/>
    <mergeCell ref="O8:R8"/>
    <mergeCell ref="C9:F9"/>
    <mergeCell ref="O9:R9"/>
    <mergeCell ref="C10:F10"/>
    <mergeCell ref="O10:R10"/>
    <mergeCell ref="C11:F11"/>
    <mergeCell ref="C12:F12"/>
    <mergeCell ref="O12:R12"/>
    <mergeCell ref="C13:F13"/>
    <mergeCell ref="O13:R13"/>
    <mergeCell ref="C14:F14"/>
    <mergeCell ref="O14:R14"/>
    <mergeCell ref="C15:F15"/>
    <mergeCell ref="O15:R15"/>
    <mergeCell ref="C16:F16"/>
    <mergeCell ref="O16:R16"/>
    <mergeCell ref="C17:F17"/>
    <mergeCell ref="O17:R17"/>
    <mergeCell ref="C18:F18"/>
    <mergeCell ref="C19:F19"/>
    <mergeCell ref="O19:R19"/>
    <mergeCell ref="C20:F20"/>
    <mergeCell ref="O20:R20"/>
    <mergeCell ref="C21:F21"/>
    <mergeCell ref="O21:R21"/>
    <mergeCell ref="C22:F22"/>
    <mergeCell ref="O22:R22"/>
    <mergeCell ref="C23:F23"/>
    <mergeCell ref="O23:R23"/>
    <mergeCell ref="C24:F24"/>
    <mergeCell ref="O24:R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O48:R48"/>
    <mergeCell ref="C49:F49"/>
    <mergeCell ref="O49:R49"/>
    <mergeCell ref="C50:F50"/>
    <mergeCell ref="O50:R50"/>
    <mergeCell ref="C51:F51"/>
    <mergeCell ref="O51:R51"/>
    <mergeCell ref="C52:F52"/>
    <mergeCell ref="O52:R52"/>
    <mergeCell ref="C53:F53"/>
    <mergeCell ref="O53:R53"/>
    <mergeCell ref="C54:F54"/>
    <mergeCell ref="C55:F55"/>
    <mergeCell ref="C56:F56"/>
    <mergeCell ref="C57:F57"/>
    <mergeCell ref="C58:F58"/>
    <mergeCell ref="C59:F59"/>
    <mergeCell ref="C60:F60"/>
    <mergeCell ref="C61:F61"/>
    <mergeCell ref="C62:F62"/>
    <mergeCell ref="C63:F63"/>
    <mergeCell ref="C64:F64"/>
    <mergeCell ref="C65:F65"/>
    <mergeCell ref="C66:F66"/>
    <mergeCell ref="C67:F67"/>
    <mergeCell ref="C68:F68"/>
    <mergeCell ref="C69:F69"/>
    <mergeCell ref="C70:F70"/>
    <mergeCell ref="C71:F71"/>
    <mergeCell ref="C72:F72"/>
    <mergeCell ref="C73:F73"/>
    <mergeCell ref="C74:F74"/>
    <mergeCell ref="C75:F75"/>
    <mergeCell ref="C76:F76"/>
    <mergeCell ref="C77:F77"/>
    <mergeCell ref="C78:F78"/>
    <mergeCell ref="C79:F79"/>
    <mergeCell ref="C80:F80"/>
    <mergeCell ref="C81:F81"/>
    <mergeCell ref="C82:F82"/>
    <mergeCell ref="C83:F83"/>
    <mergeCell ref="C84:F84"/>
    <mergeCell ref="C85:F85"/>
    <mergeCell ref="C86:F86"/>
    <mergeCell ref="C87:F87"/>
    <mergeCell ref="C88:F88"/>
    <mergeCell ref="C89:F89"/>
    <mergeCell ref="C90:F90"/>
    <mergeCell ref="C91:F91"/>
    <mergeCell ref="C92:F92"/>
    <mergeCell ref="O92:R92"/>
    <mergeCell ref="C93:F93"/>
    <mergeCell ref="O93:R93"/>
    <mergeCell ref="C94:F94"/>
    <mergeCell ref="O94:R94"/>
    <mergeCell ref="C95:F95"/>
    <mergeCell ref="O95:R95"/>
    <mergeCell ref="C96:F96"/>
    <mergeCell ref="O96:R96"/>
    <mergeCell ref="C97:F97"/>
    <mergeCell ref="O97:R97"/>
    <mergeCell ref="C98:F98"/>
    <mergeCell ref="C99:F99"/>
    <mergeCell ref="C100:F100"/>
    <mergeCell ref="C101:F101"/>
    <mergeCell ref="C102:F102"/>
    <mergeCell ref="C103:F103"/>
    <mergeCell ref="C104:F104"/>
    <mergeCell ref="C105:F105"/>
    <mergeCell ref="C106:F106"/>
    <mergeCell ref="C107:F107"/>
    <mergeCell ref="C108:F108"/>
    <mergeCell ref="C109:F109"/>
    <mergeCell ref="C110:F110"/>
    <mergeCell ref="C111:F111"/>
    <mergeCell ref="C112:F112"/>
    <mergeCell ref="C113:F113"/>
    <mergeCell ref="C114:F114"/>
    <mergeCell ref="C115:F115"/>
    <mergeCell ref="C116:F116"/>
    <mergeCell ref="C117:F117"/>
    <mergeCell ref="C118:F118"/>
    <mergeCell ref="C119:F119"/>
    <mergeCell ref="C120:F120"/>
    <mergeCell ref="C121:F121"/>
    <mergeCell ref="C122:F122"/>
    <mergeCell ref="C123:F123"/>
    <mergeCell ref="C124:F124"/>
    <mergeCell ref="C125:F125"/>
    <mergeCell ref="C126:F126"/>
    <mergeCell ref="C127:F127"/>
    <mergeCell ref="C128:F128"/>
    <mergeCell ref="C129:F129"/>
    <mergeCell ref="C130:F130"/>
    <mergeCell ref="C131:F131"/>
    <mergeCell ref="C132:F132"/>
    <mergeCell ref="C133:F133"/>
    <mergeCell ref="C134:F134"/>
    <mergeCell ref="C135:F135"/>
    <mergeCell ref="C136:F136"/>
    <mergeCell ref="C137:F137"/>
    <mergeCell ref="O137:R137"/>
    <mergeCell ref="C138:F138"/>
    <mergeCell ref="O138:R138"/>
    <mergeCell ref="C139:F139"/>
    <mergeCell ref="O139:R139"/>
    <mergeCell ref="C140:F140"/>
    <mergeCell ref="O140:R140"/>
    <mergeCell ref="C141:F141"/>
    <mergeCell ref="O141:R141"/>
    <mergeCell ref="C142:F142"/>
    <mergeCell ref="O142:R142"/>
    <mergeCell ref="C143:F143"/>
    <mergeCell ref="C144:F144"/>
    <mergeCell ref="C145:F145"/>
    <mergeCell ref="C146:F146"/>
    <mergeCell ref="C147:F147"/>
    <mergeCell ref="C148:F148"/>
    <mergeCell ref="C149:F149"/>
    <mergeCell ref="C150:F150"/>
    <mergeCell ref="C151:F151"/>
    <mergeCell ref="C152:F152"/>
    <mergeCell ref="C153:F153"/>
    <mergeCell ref="C154:F154"/>
    <mergeCell ref="C155:F155"/>
    <mergeCell ref="C156:F156"/>
    <mergeCell ref="C157:F157"/>
    <mergeCell ref="C158:F158"/>
    <mergeCell ref="C159:F159"/>
    <mergeCell ref="C160:F160"/>
    <mergeCell ref="C161:F161"/>
    <mergeCell ref="C162:F162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5"/>
  <sheetViews>
    <sheetView workbookViewId="0">
      <selection activeCell="A826" sqref="$A826:$XFD834"/>
    </sheetView>
  </sheetViews>
  <sheetFormatPr defaultColWidth="9" defaultRowHeight="14.25"/>
  <cols>
    <col min="1" max="1" width="9.625" customWidth="1"/>
    <col min="2" max="2" width="20" customWidth="1"/>
    <col min="3" max="3" width="9.625" customWidth="1"/>
    <col min="4" max="4" width="14.375" customWidth="1"/>
    <col min="5" max="5" width="8.875" customWidth="1"/>
    <col min="6" max="6" width="13.5" customWidth="1"/>
    <col min="7" max="7" width="11.625" customWidth="1"/>
    <col min="8" max="8" width="14.125"/>
    <col min="9" max="9" width="12.125" customWidth="1"/>
  </cols>
  <sheetData>
    <row r="1" ht="29" customHeight="1" spans="1:13">
      <c r="A1" s="53" t="s">
        <v>1217</v>
      </c>
      <c r="B1" s="53"/>
      <c r="C1" s="53"/>
      <c r="D1" s="53"/>
      <c r="E1" s="53"/>
      <c r="F1" s="53"/>
      <c r="G1" s="53"/>
      <c r="H1" s="53"/>
      <c r="I1" s="53"/>
    </row>
    <row r="2" ht="25" customHeight="1" spans="1:13">
      <c r="A2" s="54" t="s">
        <v>1218</v>
      </c>
      <c r="B2" s="55"/>
      <c r="C2" s="56"/>
      <c r="D2" s="57" t="s">
        <v>1219</v>
      </c>
      <c r="E2" s="58" t="s">
        <v>1220</v>
      </c>
      <c r="F2" s="59"/>
      <c r="G2" s="57"/>
      <c r="H2" s="57" t="s">
        <v>1221</v>
      </c>
      <c r="I2" s="35"/>
      <c r="M2" s="35"/>
    </row>
    <row r="3" ht="25" customHeight="1" spans="1:13">
      <c r="A3" s="54">
        <v>20220</v>
      </c>
      <c r="B3" s="55"/>
      <c r="C3" s="56"/>
      <c r="D3" s="57">
        <v>1800</v>
      </c>
      <c r="E3" s="57">
        <f>D6+I6</f>
        <v>9280</v>
      </c>
      <c r="F3" s="57"/>
      <c r="G3" s="57"/>
      <c r="H3" s="57">
        <f>A3-D3-E3</f>
        <v>9140</v>
      </c>
      <c r="I3" s="35"/>
    </row>
    <row r="4" ht="25" customHeight="1" spans="1:13">
      <c r="A4" s="60" t="s">
        <v>1222</v>
      </c>
      <c r="B4" s="61"/>
      <c r="C4" s="61"/>
      <c r="D4" s="61"/>
      <c r="E4" s="61"/>
      <c r="F4" s="61"/>
      <c r="G4" s="61"/>
      <c r="H4" s="61"/>
      <c r="I4" s="62"/>
    </row>
    <row r="5" ht="25" customHeight="1" spans="1:13">
      <c r="A5" s="63"/>
      <c r="B5" s="64" t="s">
        <v>1223</v>
      </c>
      <c r="C5" s="64" t="s">
        <v>115</v>
      </c>
      <c r="D5" s="65" t="s">
        <v>1224</v>
      </c>
      <c r="E5" s="66"/>
      <c r="F5" s="65"/>
      <c r="G5" s="64" t="s">
        <v>1223</v>
      </c>
      <c r="H5" s="64" t="s">
        <v>115</v>
      </c>
      <c r="I5" s="50" t="s">
        <v>1224</v>
      </c>
    </row>
    <row r="6" ht="25" customHeight="1" spans="1:13">
      <c r="A6" s="67" t="s">
        <v>52</v>
      </c>
      <c r="B6" s="68" t="s">
        <v>1225</v>
      </c>
      <c r="C6" s="69">
        <v>6922</v>
      </c>
      <c r="D6" s="70">
        <f>SUM(C6:C7)</f>
        <v>7529</v>
      </c>
      <c r="E6" s="71"/>
      <c r="F6" s="72" t="s">
        <v>1226</v>
      </c>
      <c r="G6" s="73" t="s">
        <v>1225</v>
      </c>
      <c r="H6" s="69">
        <v>1495</v>
      </c>
      <c r="I6" s="74">
        <f>SUM(H6:H7)</f>
        <v>1751</v>
      </c>
    </row>
    <row r="7" ht="25" customHeight="1" spans="1:13">
      <c r="A7" s="67"/>
      <c r="B7" s="75" t="s">
        <v>1227</v>
      </c>
      <c r="C7" s="67">
        <v>607</v>
      </c>
      <c r="D7" s="70"/>
      <c r="E7" s="76"/>
      <c r="F7" s="72" t="s">
        <v>40</v>
      </c>
      <c r="G7" s="73" t="s">
        <v>1225</v>
      </c>
      <c r="H7" s="67">
        <v>256</v>
      </c>
      <c r="I7" s="74"/>
    </row>
    <row r="8" ht="25" customHeight="1" spans="1:13">
      <c r="A8" s="77"/>
      <c r="B8" s="77"/>
      <c r="C8" s="77"/>
      <c r="D8" s="77"/>
      <c r="E8" s="77"/>
      <c r="F8" s="77"/>
      <c r="G8" s="77"/>
      <c r="H8" s="77"/>
      <c r="I8" s="77"/>
    </row>
    <row r="9" ht="25" customHeight="1" spans="1:13">
      <c r="A9" s="78" t="s">
        <v>1228</v>
      </c>
      <c r="B9" s="36"/>
      <c r="C9" s="36"/>
      <c r="D9" s="36"/>
      <c r="E9" s="36"/>
      <c r="F9" s="36"/>
      <c r="G9" s="36"/>
      <c r="H9" s="36"/>
      <c r="I9" s="36"/>
    </row>
    <row r="10" ht="25" customHeight="1" spans="1:13">
      <c r="A10" s="79" t="s">
        <v>1229</v>
      </c>
      <c r="B10" s="80"/>
      <c r="C10" s="81"/>
      <c r="D10" s="82" t="s">
        <v>1230</v>
      </c>
      <c r="E10" s="83"/>
      <c r="F10" s="84" t="s">
        <v>1231</v>
      </c>
      <c r="G10" s="79" t="s">
        <v>1232</v>
      </c>
      <c r="H10" s="80"/>
      <c r="I10" s="84" t="s">
        <v>1233</v>
      </c>
    </row>
    <row r="11" ht="25" customHeight="1" spans="1:13">
      <c r="A11" s="52" t="s">
        <v>1225</v>
      </c>
      <c r="B11" s="34">
        <f>C6</f>
        <v>6922</v>
      </c>
      <c r="C11" s="85"/>
      <c r="D11" s="86" t="s">
        <v>1225</v>
      </c>
      <c r="E11" s="87">
        <f>H6</f>
        <v>1495</v>
      </c>
      <c r="F11" s="88"/>
      <c r="G11" s="52" t="s">
        <v>1225</v>
      </c>
      <c r="H11" s="34">
        <f>H7</f>
        <v>256</v>
      </c>
      <c r="I11" s="88"/>
    </row>
    <row r="12" ht="25" customHeight="1" spans="1:13">
      <c r="A12" s="52" t="s">
        <v>1234</v>
      </c>
      <c r="B12" s="34">
        <f>C7</f>
        <v>607</v>
      </c>
      <c r="C12" s="85"/>
      <c r="D12" s="86" t="s">
        <v>1235</v>
      </c>
      <c r="E12" s="87">
        <f>D3</f>
        <v>1800</v>
      </c>
      <c r="F12" s="88"/>
      <c r="G12" s="52"/>
      <c r="H12" s="34"/>
      <c r="I12" s="88"/>
    </row>
    <row r="13" ht="25" customHeight="1" spans="1:13">
      <c r="A13" s="52" t="s">
        <v>1221</v>
      </c>
      <c r="B13" s="89">
        <f>H3/3</f>
        <v>3046.66666666667</v>
      </c>
      <c r="C13" s="85"/>
      <c r="D13" s="86" t="s">
        <v>1221</v>
      </c>
      <c r="E13" s="90">
        <f>B13</f>
        <v>3046.66666666667</v>
      </c>
      <c r="F13" s="88"/>
      <c r="G13" s="52" t="s">
        <v>1221</v>
      </c>
      <c r="H13" s="89">
        <f>E13</f>
        <v>3046.66666666667</v>
      </c>
      <c r="I13" s="88"/>
    </row>
    <row r="14" ht="34" customHeight="1" spans="1:13">
      <c r="A14" s="52" t="s">
        <v>1236</v>
      </c>
      <c r="B14" s="91">
        <f>SUM(B11:B13)</f>
        <v>10575.6666666667</v>
      </c>
      <c r="C14" s="92"/>
      <c r="D14" s="86" t="s">
        <v>1236</v>
      </c>
      <c r="E14" s="93">
        <f>SUM(E11:E13)</f>
        <v>6341.66666666667</v>
      </c>
      <c r="F14" s="94"/>
      <c r="G14" s="52" t="s">
        <v>1236</v>
      </c>
      <c r="H14" s="91">
        <f>SUM(H11:H13)</f>
        <v>3302.66666666667</v>
      </c>
      <c r="I14" s="94"/>
    </row>
    <row r="15" ht="20.25" spans="1:13">
      <c r="A15" s="95" t="s">
        <v>1237</v>
      </c>
      <c r="B15" s="96"/>
      <c r="C15" s="96"/>
      <c r="D15" s="97"/>
      <c r="E15" s="98">
        <f>B14+E14+H14</f>
        <v>20220</v>
      </c>
      <c r="F15" s="99"/>
      <c r="G15" s="99"/>
      <c r="H15" s="100"/>
      <c r="I15" s="101"/>
    </row>
  </sheetData>
  <mergeCells count="20">
    <mergeCell ref="A1:I1"/>
    <mergeCell ref="A2:C2"/>
    <mergeCell ref="E2:F2"/>
    <mergeCell ref="A3:C3"/>
    <mergeCell ref="E3:F3"/>
    <mergeCell ref="A4:I4"/>
    <mergeCell ref="A8:I8"/>
    <mergeCell ref="A9:I9"/>
    <mergeCell ref="A10:B10"/>
    <mergeCell ref="D10:E10"/>
    <mergeCell ref="G10:H10"/>
    <mergeCell ref="A15:D15"/>
    <mergeCell ref="E15:I15"/>
    <mergeCell ref="A6:A7"/>
    <mergeCell ref="C10:C14"/>
    <mergeCell ref="D6:D7"/>
    <mergeCell ref="E5:E7"/>
    <mergeCell ref="F10:F14"/>
    <mergeCell ref="I6:I7"/>
    <mergeCell ref="I10:I14"/>
  </mergeCells>
  <printOptions horizontalCentered="1"/>
  <pageMargins left="0.196527777777778" right="0.196527777777778" top="0.196527777777778" bottom="1" header="0.5" footer="0.5"/>
  <pageSetup paperSize="9" orientation="landscape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33"/>
  <sheetViews>
    <sheetView workbookViewId="0">
      <selection activeCell="A826" sqref="$A826:$XFD834"/>
    </sheetView>
  </sheetViews>
  <sheetFormatPr defaultColWidth="9" defaultRowHeight="14.25"/>
  <cols>
    <col min="1" max="1" width="11.125"/>
    <col min="3" max="3" width="4.875" customWidth="1"/>
    <col min="5" max="5" width="0.875" customWidth="1"/>
    <col min="6" max="6" width="19.375" customWidth="1"/>
    <col min="7" max="7" width="6" customWidth="1"/>
    <col min="8" max="8" width="8.875" customWidth="1"/>
    <col min="9" max="9" width="9" customWidth="1"/>
    <col min="10" max="10" width="9.5" customWidth="1"/>
    <col min="11" max="11" width="6.75" customWidth="1"/>
  </cols>
  <sheetData>
    <row r="1" ht="21" customHeight="1" spans="1:11">
      <c r="A1" s="34" t="s">
        <v>1238</v>
      </c>
      <c r="B1" s="34"/>
      <c r="C1" s="34"/>
      <c r="D1" s="34"/>
      <c r="E1" s="34"/>
      <c r="F1" s="34"/>
      <c r="G1" s="34"/>
      <c r="H1" s="34"/>
      <c r="I1" s="34"/>
      <c r="J1" s="34"/>
      <c r="K1" s="35"/>
    </row>
    <row r="2" ht="21" customHeight="1" spans="1:11">
      <c r="A2" s="36" t="s">
        <v>1239</v>
      </c>
      <c r="B2" s="36"/>
      <c r="C2" s="36"/>
      <c r="D2" s="36"/>
      <c r="E2" s="36"/>
      <c r="F2" s="36"/>
      <c r="G2" s="36"/>
      <c r="H2" s="36"/>
      <c r="I2" s="34">
        <v>1495</v>
      </c>
      <c r="J2" s="34"/>
      <c r="K2" s="34"/>
    </row>
    <row r="3" ht="20.25" spans="1:11">
      <c r="A3" s="37">
        <v>45741</v>
      </c>
      <c r="B3" s="38">
        <v>103</v>
      </c>
      <c r="C3" s="39" t="s">
        <v>1193</v>
      </c>
      <c r="D3" s="39"/>
      <c r="E3" s="39"/>
      <c r="F3" s="39" t="s">
        <v>785</v>
      </c>
      <c r="G3" s="40">
        <v>1</v>
      </c>
      <c r="H3" s="41">
        <v>6.75</v>
      </c>
      <c r="I3" s="41">
        <v>6.75</v>
      </c>
      <c r="J3" s="41">
        <v>32</v>
      </c>
      <c r="K3" s="42">
        <f>I3*J3</f>
        <v>216</v>
      </c>
    </row>
    <row r="4" ht="20.25" spans="1:11">
      <c r="A4" s="37">
        <v>45741</v>
      </c>
      <c r="B4" s="38">
        <v>105</v>
      </c>
      <c r="C4" s="39" t="s">
        <v>1201</v>
      </c>
      <c r="D4" s="39"/>
      <c r="E4" s="39"/>
      <c r="F4" s="39"/>
      <c r="G4" s="40">
        <v>1</v>
      </c>
      <c r="H4" s="40">
        <v>9.84</v>
      </c>
      <c r="I4" s="40">
        <v>9.84</v>
      </c>
      <c r="J4" s="41">
        <v>18</v>
      </c>
      <c r="K4" s="42">
        <v>177</v>
      </c>
    </row>
    <row r="5" ht="20.25" spans="1:11">
      <c r="A5" s="37">
        <v>45741</v>
      </c>
      <c r="B5" s="38">
        <v>106</v>
      </c>
      <c r="C5" s="39" t="s">
        <v>1206</v>
      </c>
      <c r="D5" s="39"/>
      <c r="E5" s="39"/>
      <c r="F5" s="39"/>
      <c r="G5" s="40">
        <v>1</v>
      </c>
      <c r="H5" s="40">
        <v>4.65</v>
      </c>
      <c r="I5" s="40">
        <v>4.65</v>
      </c>
      <c r="J5" s="41">
        <v>25</v>
      </c>
      <c r="K5" s="42">
        <v>116</v>
      </c>
    </row>
    <row r="6" ht="20.25" spans="1:11">
      <c r="A6" s="37">
        <v>45744</v>
      </c>
      <c r="B6" s="38">
        <v>121</v>
      </c>
      <c r="C6" s="39" t="s">
        <v>1193</v>
      </c>
      <c r="D6" s="39"/>
      <c r="E6" s="39"/>
      <c r="F6" s="39"/>
      <c r="G6" s="40">
        <v>1</v>
      </c>
      <c r="H6" s="41">
        <v>6.75</v>
      </c>
      <c r="I6" s="41">
        <v>6.75</v>
      </c>
      <c r="J6" s="41">
        <v>32</v>
      </c>
      <c r="K6" s="42">
        <f>I6*J6</f>
        <v>216</v>
      </c>
    </row>
    <row r="7" ht="20.25" spans="1:11">
      <c r="A7" s="37">
        <v>45744</v>
      </c>
      <c r="B7" s="38">
        <v>122</v>
      </c>
      <c r="C7" s="39" t="s">
        <v>1201</v>
      </c>
      <c r="D7" s="39"/>
      <c r="E7" s="39"/>
      <c r="F7" s="39"/>
      <c r="G7" s="40">
        <v>1</v>
      </c>
      <c r="H7" s="40">
        <v>8.16</v>
      </c>
      <c r="I7" s="40">
        <v>8.16</v>
      </c>
      <c r="J7" s="41">
        <v>18</v>
      </c>
      <c r="K7" s="42">
        <v>147</v>
      </c>
    </row>
    <row r="8" ht="20.25" spans="1:11">
      <c r="A8" s="37">
        <v>45744</v>
      </c>
      <c r="B8" s="38">
        <v>123</v>
      </c>
      <c r="C8" s="39" t="s">
        <v>1206</v>
      </c>
      <c r="D8" s="39"/>
      <c r="E8" s="39"/>
      <c r="F8" s="39"/>
      <c r="G8" s="40">
        <v>1</v>
      </c>
      <c r="H8" s="40">
        <v>4.65</v>
      </c>
      <c r="I8" s="40">
        <v>4.65</v>
      </c>
      <c r="J8" s="41">
        <v>25</v>
      </c>
      <c r="K8" s="42">
        <v>116</v>
      </c>
    </row>
    <row r="9" ht="20.25" spans="1:11">
      <c r="A9" s="37">
        <v>45768</v>
      </c>
      <c r="B9" s="38" t="s">
        <v>1215</v>
      </c>
      <c r="C9" s="39" t="s">
        <v>1193</v>
      </c>
      <c r="D9" s="39"/>
      <c r="E9" s="39"/>
      <c r="F9" s="39"/>
      <c r="G9" s="40">
        <v>1</v>
      </c>
      <c r="H9" s="41">
        <v>6.75</v>
      </c>
      <c r="I9" s="41">
        <v>6.75</v>
      </c>
      <c r="J9" s="41">
        <v>32</v>
      </c>
      <c r="K9" s="42">
        <f>I9*J9</f>
        <v>216</v>
      </c>
    </row>
    <row r="10" ht="20.25" spans="1:11">
      <c r="A10" s="37">
        <v>45768</v>
      </c>
      <c r="B10" s="38">
        <v>67</v>
      </c>
      <c r="C10" s="39" t="s">
        <v>1201</v>
      </c>
      <c r="D10" s="39"/>
      <c r="E10" s="39"/>
      <c r="F10" s="39"/>
      <c r="G10" s="40">
        <v>1</v>
      </c>
      <c r="H10" s="40">
        <v>9.84</v>
      </c>
      <c r="I10" s="40">
        <v>9.84</v>
      </c>
      <c r="J10" s="41">
        <v>18</v>
      </c>
      <c r="K10" s="42">
        <v>177</v>
      </c>
    </row>
    <row r="11" ht="20.25" spans="1:11">
      <c r="A11" s="37">
        <v>45768</v>
      </c>
      <c r="B11" s="38">
        <v>68</v>
      </c>
      <c r="C11" s="39" t="s">
        <v>1206</v>
      </c>
      <c r="D11" s="39"/>
      <c r="E11" s="39"/>
      <c r="F11" s="39"/>
      <c r="G11" s="40">
        <v>1</v>
      </c>
      <c r="H11" s="40">
        <v>4.65</v>
      </c>
      <c r="I11" s="40">
        <v>4.65</v>
      </c>
      <c r="J11" s="41">
        <v>25</v>
      </c>
      <c r="K11" s="42">
        <v>116</v>
      </c>
    </row>
    <row r="12" ht="21" customHeight="1" spans="1:11">
      <c r="A12" s="43" t="s">
        <v>1240</v>
      </c>
      <c r="B12" s="43"/>
      <c r="C12" s="43"/>
      <c r="D12" s="43"/>
      <c r="E12" s="43"/>
      <c r="F12" s="43"/>
      <c r="G12" s="44"/>
      <c r="H12" s="44"/>
      <c r="I12" s="44"/>
      <c r="J12" s="44"/>
      <c r="K12" s="44"/>
    </row>
    <row r="13" ht="5" customHeight="1" spans="1:11">
      <c r="A13" s="43"/>
      <c r="B13" s="43"/>
      <c r="C13" s="43"/>
      <c r="D13" s="43"/>
      <c r="E13" s="43"/>
      <c r="F13" s="43"/>
      <c r="G13" s="44"/>
      <c r="H13" s="44"/>
      <c r="I13" s="44"/>
      <c r="J13" s="44"/>
      <c r="K13" s="44"/>
    </row>
    <row r="14" ht="20.25" spans="1:11">
      <c r="A14" s="45">
        <v>45741</v>
      </c>
      <c r="B14" s="46">
        <v>105</v>
      </c>
      <c r="C14" s="47" t="s">
        <v>1202</v>
      </c>
      <c r="D14" s="47"/>
      <c r="E14" s="47"/>
      <c r="F14" s="47"/>
      <c r="G14" s="48">
        <v>1</v>
      </c>
      <c r="H14" s="48">
        <v>12.5</v>
      </c>
      <c r="I14" s="48">
        <v>12.5</v>
      </c>
      <c r="J14" s="49">
        <v>7</v>
      </c>
      <c r="K14" s="50">
        <f>I14*J14</f>
        <v>87.5</v>
      </c>
    </row>
    <row r="15" ht="20.25" spans="1:11">
      <c r="A15" s="45">
        <v>45744</v>
      </c>
      <c r="B15" s="46">
        <v>122</v>
      </c>
      <c r="C15" s="47" t="s">
        <v>1202</v>
      </c>
      <c r="D15" s="47"/>
      <c r="E15" s="47"/>
      <c r="F15" s="47"/>
      <c r="G15" s="48">
        <v>1</v>
      </c>
      <c r="H15" s="48">
        <v>12</v>
      </c>
      <c r="I15" s="48">
        <v>12</v>
      </c>
      <c r="J15" s="49">
        <v>7</v>
      </c>
      <c r="K15" s="50">
        <f t="shared" ref="K15:K20" si="0">I15*J15</f>
        <v>84</v>
      </c>
    </row>
    <row r="16" ht="20.25" spans="1:11">
      <c r="A16" s="45">
        <v>45768</v>
      </c>
      <c r="B16" s="46">
        <v>67</v>
      </c>
      <c r="C16" s="47" t="s">
        <v>1202</v>
      </c>
      <c r="D16" s="47"/>
      <c r="E16" s="47"/>
      <c r="F16" s="47"/>
      <c r="G16" s="48">
        <v>1</v>
      </c>
      <c r="H16" s="48">
        <v>12</v>
      </c>
      <c r="I16" s="48">
        <v>12</v>
      </c>
      <c r="J16" s="49">
        <v>7</v>
      </c>
      <c r="K16" s="50">
        <f t="shared" si="0"/>
        <v>84</v>
      </c>
    </row>
    <row r="17" ht="75" customHeight="1" spans="1:11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</row>
    <row r="18" ht="18" customHeight="1" spans="1:11">
      <c r="A18" s="34" t="s">
        <v>1238</v>
      </c>
      <c r="B18" s="34"/>
      <c r="C18" s="34"/>
      <c r="D18" s="34"/>
      <c r="E18" s="34"/>
      <c r="F18" s="34"/>
      <c r="G18" s="34"/>
      <c r="H18" s="34"/>
      <c r="I18" s="34"/>
      <c r="J18" s="34"/>
      <c r="K18" s="35"/>
    </row>
    <row r="19" ht="19" customHeight="1" spans="1:11">
      <c r="A19" s="36" t="s">
        <v>1239</v>
      </c>
      <c r="B19" s="36"/>
      <c r="C19" s="36"/>
      <c r="D19" s="36"/>
      <c r="E19" s="36"/>
      <c r="F19" s="36"/>
      <c r="G19" s="36"/>
      <c r="H19" s="36"/>
      <c r="I19" s="34">
        <v>1495</v>
      </c>
      <c r="J19" s="34"/>
      <c r="K19" s="34"/>
    </row>
    <row r="20" ht="20.25" spans="1:11">
      <c r="A20" s="37">
        <v>45741</v>
      </c>
      <c r="B20" s="38">
        <v>103</v>
      </c>
      <c r="C20" s="39" t="s">
        <v>1193</v>
      </c>
      <c r="D20" s="39"/>
      <c r="E20" s="39"/>
      <c r="F20" s="39" t="s">
        <v>785</v>
      </c>
      <c r="G20" s="40">
        <v>1</v>
      </c>
      <c r="H20" s="41">
        <v>6.75</v>
      </c>
      <c r="I20" s="41">
        <v>6.75</v>
      </c>
      <c r="J20" s="41">
        <v>32</v>
      </c>
      <c r="K20" s="52">
        <f t="shared" si="0"/>
        <v>216</v>
      </c>
    </row>
    <row r="21" ht="20.25" spans="1:11">
      <c r="A21" s="37">
        <v>45741</v>
      </c>
      <c r="B21" s="38">
        <v>105</v>
      </c>
      <c r="C21" s="39" t="s">
        <v>1201</v>
      </c>
      <c r="D21" s="39"/>
      <c r="E21" s="39"/>
      <c r="F21" s="39"/>
      <c r="G21" s="40">
        <v>1</v>
      </c>
      <c r="H21" s="40">
        <v>9.84</v>
      </c>
      <c r="I21" s="40">
        <v>9.84</v>
      </c>
      <c r="J21" s="41">
        <v>18</v>
      </c>
      <c r="K21" s="52">
        <v>177</v>
      </c>
    </row>
    <row r="22" ht="20.25" spans="1:11">
      <c r="A22" s="37">
        <v>45741</v>
      </c>
      <c r="B22" s="38">
        <v>106</v>
      </c>
      <c r="C22" s="39" t="s">
        <v>1206</v>
      </c>
      <c r="D22" s="39"/>
      <c r="E22" s="39"/>
      <c r="F22" s="39"/>
      <c r="G22" s="40">
        <v>1</v>
      </c>
      <c r="H22" s="40">
        <v>4.65</v>
      </c>
      <c r="I22" s="40">
        <v>4.65</v>
      </c>
      <c r="J22" s="41">
        <v>25</v>
      </c>
      <c r="K22" s="52">
        <v>116</v>
      </c>
    </row>
    <row r="23" ht="20.25" spans="1:11">
      <c r="A23" s="37">
        <v>45744</v>
      </c>
      <c r="B23" s="38">
        <v>121</v>
      </c>
      <c r="C23" s="39" t="s">
        <v>1193</v>
      </c>
      <c r="D23" s="39"/>
      <c r="E23" s="39"/>
      <c r="F23" s="39"/>
      <c r="G23" s="40">
        <v>1</v>
      </c>
      <c r="H23" s="41">
        <v>6.75</v>
      </c>
      <c r="I23" s="41">
        <v>6.75</v>
      </c>
      <c r="J23" s="41">
        <v>32</v>
      </c>
      <c r="K23" s="52">
        <f>I23*J23</f>
        <v>216</v>
      </c>
    </row>
    <row r="24" ht="20.25" spans="1:11">
      <c r="A24" s="37">
        <v>45744</v>
      </c>
      <c r="B24" s="38">
        <v>122</v>
      </c>
      <c r="C24" s="39" t="s">
        <v>1201</v>
      </c>
      <c r="D24" s="39"/>
      <c r="E24" s="39"/>
      <c r="F24" s="39"/>
      <c r="G24" s="40">
        <v>1</v>
      </c>
      <c r="H24" s="40">
        <v>8.16</v>
      </c>
      <c r="I24" s="40">
        <v>8.16</v>
      </c>
      <c r="J24" s="41">
        <v>18</v>
      </c>
      <c r="K24" s="52">
        <v>147</v>
      </c>
    </row>
    <row r="25" ht="20.25" spans="1:11">
      <c r="A25" s="37">
        <v>45744</v>
      </c>
      <c r="B25" s="38">
        <v>123</v>
      </c>
      <c r="C25" s="39" t="s">
        <v>1206</v>
      </c>
      <c r="D25" s="39"/>
      <c r="E25" s="39"/>
      <c r="F25" s="39"/>
      <c r="G25" s="40">
        <v>1</v>
      </c>
      <c r="H25" s="40">
        <v>4.65</v>
      </c>
      <c r="I25" s="40">
        <v>4.65</v>
      </c>
      <c r="J25" s="41">
        <v>25</v>
      </c>
      <c r="K25" s="52">
        <v>116</v>
      </c>
    </row>
    <row r="26" ht="20.25" spans="1:11">
      <c r="A26" s="37">
        <v>45768</v>
      </c>
      <c r="B26" s="38" t="s">
        <v>1215</v>
      </c>
      <c r="C26" s="39" t="s">
        <v>1193</v>
      </c>
      <c r="D26" s="39"/>
      <c r="E26" s="39"/>
      <c r="F26" s="39"/>
      <c r="G26" s="40">
        <v>1</v>
      </c>
      <c r="H26" s="41">
        <v>6.75</v>
      </c>
      <c r="I26" s="41">
        <v>6.75</v>
      </c>
      <c r="J26" s="41">
        <v>32</v>
      </c>
      <c r="K26" s="52">
        <f>I26*J26</f>
        <v>216</v>
      </c>
    </row>
    <row r="27" ht="20.25" spans="1:11">
      <c r="A27" s="37">
        <v>45768</v>
      </c>
      <c r="B27" s="38">
        <v>67</v>
      </c>
      <c r="C27" s="39" t="s">
        <v>1201</v>
      </c>
      <c r="D27" s="39"/>
      <c r="E27" s="39"/>
      <c r="F27" s="39"/>
      <c r="G27" s="40">
        <v>1</v>
      </c>
      <c r="H27" s="40">
        <v>9.84</v>
      </c>
      <c r="I27" s="40">
        <v>9.84</v>
      </c>
      <c r="J27" s="41">
        <v>18</v>
      </c>
      <c r="K27" s="52">
        <v>177</v>
      </c>
    </row>
    <row r="28" ht="20.25" spans="1:11">
      <c r="A28" s="37">
        <v>45768</v>
      </c>
      <c r="B28" s="38">
        <v>68</v>
      </c>
      <c r="C28" s="39" t="s">
        <v>1206</v>
      </c>
      <c r="D28" s="39"/>
      <c r="E28" s="39"/>
      <c r="F28" s="39"/>
      <c r="G28" s="40">
        <v>1</v>
      </c>
      <c r="H28" s="40">
        <v>4.65</v>
      </c>
      <c r="I28" s="40">
        <v>4.65</v>
      </c>
      <c r="J28" s="41">
        <v>25</v>
      </c>
      <c r="K28" s="52">
        <v>116</v>
      </c>
    </row>
    <row r="29" spans="1:11">
      <c r="A29" s="43" t="s">
        <v>1240</v>
      </c>
      <c r="B29" s="43"/>
      <c r="C29" s="43"/>
      <c r="D29" s="43"/>
      <c r="E29" s="43"/>
      <c r="F29" s="43"/>
      <c r="G29" s="44"/>
      <c r="H29" s="44"/>
      <c r="I29" s="44"/>
      <c r="J29" s="44"/>
      <c r="K29" s="44"/>
    </row>
    <row r="30" spans="1:11">
      <c r="A30" s="43"/>
      <c r="B30" s="43"/>
      <c r="C30" s="43"/>
      <c r="D30" s="43"/>
      <c r="E30" s="43"/>
      <c r="F30" s="43"/>
      <c r="G30" s="44"/>
      <c r="H30" s="44"/>
      <c r="I30" s="44"/>
      <c r="J30" s="44"/>
      <c r="K30" s="44"/>
    </row>
    <row r="31" ht="20.25" spans="1:11">
      <c r="A31" s="45">
        <v>45741</v>
      </c>
      <c r="B31" s="46">
        <v>105</v>
      </c>
      <c r="C31" s="47" t="s">
        <v>1202</v>
      </c>
      <c r="D31" s="47"/>
      <c r="E31" s="47"/>
      <c r="F31" s="47"/>
      <c r="G31" s="48">
        <v>1</v>
      </c>
      <c r="H31" s="48">
        <v>12.5</v>
      </c>
      <c r="I31" s="48">
        <v>12.5</v>
      </c>
      <c r="J31" s="49">
        <v>7</v>
      </c>
      <c r="K31" s="50">
        <f t="shared" ref="K31:K33" si="1">I31*J31</f>
        <v>87.5</v>
      </c>
    </row>
    <row r="32" ht="20.25" spans="1:11">
      <c r="A32" s="45">
        <v>45744</v>
      </c>
      <c r="B32" s="46">
        <v>122</v>
      </c>
      <c r="C32" s="47" t="s">
        <v>1202</v>
      </c>
      <c r="D32" s="47"/>
      <c r="E32" s="47"/>
      <c r="F32" s="47"/>
      <c r="G32" s="48">
        <v>1</v>
      </c>
      <c r="H32" s="48">
        <v>12</v>
      </c>
      <c r="I32" s="48">
        <v>12</v>
      </c>
      <c r="J32" s="49">
        <v>7</v>
      </c>
      <c r="K32" s="50">
        <f t="shared" si="1"/>
        <v>84</v>
      </c>
    </row>
    <row r="33" ht="20.25" spans="1:11">
      <c r="A33" s="45">
        <v>45768</v>
      </c>
      <c r="B33" s="46">
        <v>67</v>
      </c>
      <c r="C33" s="47" t="s">
        <v>1202</v>
      </c>
      <c r="D33" s="47"/>
      <c r="E33" s="47"/>
      <c r="F33" s="47"/>
      <c r="G33" s="48">
        <v>1</v>
      </c>
      <c r="H33" s="48">
        <v>12</v>
      </c>
      <c r="I33" s="48">
        <v>12</v>
      </c>
      <c r="J33" s="49">
        <v>7</v>
      </c>
      <c r="K33" s="50">
        <f t="shared" si="1"/>
        <v>84</v>
      </c>
    </row>
  </sheetData>
  <mergeCells count="35">
    <mergeCell ref="A1:J1"/>
    <mergeCell ref="A2:H2"/>
    <mergeCell ref="I2:K2"/>
    <mergeCell ref="C3:F3"/>
    <mergeCell ref="C4:F4"/>
    <mergeCell ref="C5:F5"/>
    <mergeCell ref="C6:F6"/>
    <mergeCell ref="C7:F7"/>
    <mergeCell ref="C8:F8"/>
    <mergeCell ref="C9:F9"/>
    <mergeCell ref="C10:F10"/>
    <mergeCell ref="C11:F11"/>
    <mergeCell ref="C14:F14"/>
    <mergeCell ref="C15:F15"/>
    <mergeCell ref="C16:F16"/>
    <mergeCell ref="A17:K17"/>
    <mergeCell ref="A18:J18"/>
    <mergeCell ref="A19:H19"/>
    <mergeCell ref="I19:K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31:F31"/>
    <mergeCell ref="C32:F32"/>
    <mergeCell ref="C33:F33"/>
    <mergeCell ref="A12:F13"/>
    <mergeCell ref="G12:K13"/>
    <mergeCell ref="A29:F30"/>
    <mergeCell ref="G29:K30"/>
  </mergeCells>
  <printOptions horizontalCentered="1"/>
  <pageMargins left="0.161111111111111" right="0.161111111111111" top="0.409027777777778" bottom="1" header="0.5" footer="0.5"/>
  <pageSetup paperSize="9" scale="99" orientation="portrait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20"/>
  <sheetViews>
    <sheetView workbookViewId="0">
      <selection activeCell="A826" sqref="$A826:$XFD834"/>
    </sheetView>
  </sheetViews>
  <sheetFormatPr defaultColWidth="9" defaultRowHeight="14.25"/>
  <cols>
    <col min="1" max="1" width="11.5" customWidth="1"/>
    <col min="3" max="3" width="32.125" customWidth="1"/>
    <col min="4" max="4" width="19.25" customWidth="1"/>
    <col min="5" max="5" width="17.625" customWidth="1"/>
    <col min="6" max="6" width="22.25" customWidth="1"/>
    <col min="7" max="7" width="14"/>
  </cols>
  <sheetData>
    <row r="1" ht="25.5" spans="1:13">
      <c r="A1" s="3" t="s">
        <v>1241</v>
      </c>
      <c r="B1" s="4"/>
      <c r="C1" s="4"/>
      <c r="D1" s="5"/>
      <c r="E1" s="3"/>
      <c r="F1" s="3"/>
      <c r="G1" s="3"/>
    </row>
    <row r="2" ht="27" customHeight="1" spans="1:13">
      <c r="A2" s="6" t="s">
        <v>139</v>
      </c>
      <c r="B2" s="7" t="s">
        <v>140</v>
      </c>
      <c r="C2" s="7" t="s">
        <v>141</v>
      </c>
      <c r="D2" s="8" t="s">
        <v>1242</v>
      </c>
      <c r="E2" s="9" t="s">
        <v>1243</v>
      </c>
      <c r="F2" s="10" t="s">
        <v>1244</v>
      </c>
      <c r="G2" s="11" t="s">
        <v>1245</v>
      </c>
      <c r="I2" s="12"/>
      <c r="J2" s="12"/>
      <c r="K2" s="13"/>
      <c r="L2" s="13"/>
      <c r="M2" s="13"/>
    </row>
    <row r="3" spans="1:13">
      <c r="A3" s="6"/>
      <c r="B3" s="7"/>
      <c r="C3" s="7"/>
      <c r="D3" s="14">
        <f>SUM(D6:D30)+0.6</f>
        <v>6922.01</v>
      </c>
      <c r="E3" s="14">
        <f>SUM(E6:E34)</f>
        <v>1751.5</v>
      </c>
      <c r="F3" s="14">
        <f>D3+E3</f>
        <v>8673.51</v>
      </c>
      <c r="G3" s="15">
        <v>20220</v>
      </c>
    </row>
    <row r="4" spans="1:13">
      <c r="A4" s="6"/>
      <c r="B4" s="7"/>
      <c r="C4" s="7"/>
      <c r="D4" s="14"/>
      <c r="E4" s="14"/>
      <c r="F4" s="14"/>
      <c r="G4" s="15"/>
      <c r="H4" t="s">
        <v>1246</v>
      </c>
    </row>
    <row r="5" ht="35" customHeight="1" spans="1:13">
      <c r="A5" s="6"/>
      <c r="B5" s="7"/>
      <c r="C5" s="7"/>
      <c r="D5" s="8" t="s">
        <v>1247</v>
      </c>
      <c r="E5" s="8" t="s">
        <v>147</v>
      </c>
      <c r="F5" s="16" t="s">
        <v>1248</v>
      </c>
      <c r="G5" s="9" t="s">
        <v>1249</v>
      </c>
    </row>
    <row r="6" ht="28" customHeight="1" spans="1:13">
      <c r="A6" s="17">
        <v>45741</v>
      </c>
      <c r="B6" s="18">
        <v>102</v>
      </c>
      <c r="C6" s="19" t="s">
        <v>1250</v>
      </c>
      <c r="D6" s="20">
        <v>992.6</v>
      </c>
      <c r="E6" s="8"/>
      <c r="F6" s="21">
        <f>D6+E6</f>
        <v>992.6</v>
      </c>
      <c r="G6" s="22">
        <v>3705</v>
      </c>
    </row>
    <row r="7" ht="28" customHeight="1" spans="1:13">
      <c r="A7" s="17">
        <v>45741</v>
      </c>
      <c r="B7" s="18">
        <v>103</v>
      </c>
      <c r="C7" s="19" t="s">
        <v>1179</v>
      </c>
      <c r="D7" s="20">
        <v>98.4</v>
      </c>
      <c r="E7" s="21">
        <v>216</v>
      </c>
      <c r="F7" s="21">
        <f>F6+D7+E7</f>
        <v>1307</v>
      </c>
      <c r="G7" s="23"/>
    </row>
    <row r="8" ht="28" customHeight="1" spans="1:13">
      <c r="A8" s="17">
        <v>45741</v>
      </c>
      <c r="B8" s="18">
        <v>104</v>
      </c>
      <c r="C8" s="19" t="s">
        <v>1180</v>
      </c>
      <c r="D8" s="20">
        <v>219.2</v>
      </c>
      <c r="E8" s="21"/>
      <c r="F8" s="21">
        <f t="shared" ref="F8:F21" si="0">F7+D8+E8</f>
        <v>1526.2</v>
      </c>
      <c r="G8" s="24"/>
    </row>
    <row r="9" ht="28" customHeight="1" spans="1:13">
      <c r="A9" s="17">
        <v>45741</v>
      </c>
      <c r="B9" s="18">
        <v>105</v>
      </c>
      <c r="C9" s="19" t="s">
        <v>1176</v>
      </c>
      <c r="D9" s="20">
        <v>230.06</v>
      </c>
      <c r="E9" s="21">
        <v>264.5</v>
      </c>
      <c r="F9" s="21">
        <f t="shared" si="0"/>
        <v>2020.76</v>
      </c>
      <c r="G9" s="25">
        <v>1800</v>
      </c>
    </row>
    <row r="10" ht="28" customHeight="1" spans="1:13">
      <c r="A10" s="17">
        <v>45741</v>
      </c>
      <c r="B10" s="18">
        <v>106</v>
      </c>
      <c r="C10" s="19" t="s">
        <v>1251</v>
      </c>
      <c r="D10" s="20">
        <v>262.7</v>
      </c>
      <c r="E10" s="21">
        <v>116</v>
      </c>
      <c r="F10" s="21">
        <f t="shared" si="0"/>
        <v>2399.46</v>
      </c>
      <c r="G10" s="25"/>
    </row>
    <row r="11" ht="28" customHeight="1" spans="1:13">
      <c r="A11" s="26">
        <v>45744</v>
      </c>
      <c r="B11" s="27">
        <v>120</v>
      </c>
      <c r="C11" s="28" t="s">
        <v>1250</v>
      </c>
      <c r="D11" s="29">
        <v>994.2</v>
      </c>
      <c r="E11" s="30"/>
      <c r="F11" s="21">
        <f t="shared" si="0"/>
        <v>3393.66</v>
      </c>
      <c r="G11" s="31">
        <v>3705</v>
      </c>
    </row>
    <row r="12" ht="28" customHeight="1" spans="1:13">
      <c r="A12" s="26">
        <v>45744</v>
      </c>
      <c r="B12" s="27">
        <v>121</v>
      </c>
      <c r="C12" s="28" t="s">
        <v>1252</v>
      </c>
      <c r="D12" s="29">
        <v>317.6</v>
      </c>
      <c r="E12" s="30">
        <v>216</v>
      </c>
      <c r="F12" s="21">
        <f t="shared" si="0"/>
        <v>3927.26</v>
      </c>
      <c r="G12" s="32"/>
    </row>
    <row r="13" s="1" customFormat="1" ht="28" customHeight="1" spans="1:13">
      <c r="A13" s="26">
        <v>45744</v>
      </c>
      <c r="B13" s="27">
        <v>122</v>
      </c>
      <c r="C13" s="28" t="s">
        <v>1176</v>
      </c>
      <c r="D13" s="29">
        <v>265.65</v>
      </c>
      <c r="E13" s="30">
        <v>230</v>
      </c>
      <c r="F13" s="21">
        <f t="shared" si="0"/>
        <v>4422.91</v>
      </c>
      <c r="G13" s="33">
        <v>1800</v>
      </c>
      <c r="H13"/>
      <c r="J13"/>
    </row>
    <row r="14" ht="28" customHeight="1" spans="1:13">
      <c r="A14" s="26">
        <v>45744</v>
      </c>
      <c r="B14" s="27">
        <v>123</v>
      </c>
      <c r="C14" s="28" t="s">
        <v>1251</v>
      </c>
      <c r="D14" s="29">
        <v>262.7</v>
      </c>
      <c r="E14" s="30">
        <v>116</v>
      </c>
      <c r="F14" s="21">
        <f t="shared" si="0"/>
        <v>4801.61</v>
      </c>
      <c r="G14" s="33"/>
    </row>
    <row r="15" s="2" customFormat="1" ht="28" customHeight="1" spans="1:13">
      <c r="A15" s="17">
        <v>45769</v>
      </c>
      <c r="B15" s="18">
        <v>65</v>
      </c>
      <c r="C15" s="19" t="s">
        <v>1253</v>
      </c>
      <c r="D15" s="20">
        <v>970.2</v>
      </c>
      <c r="E15" s="21"/>
      <c r="F15" s="21">
        <f t="shared" ref="F15:F20" si="1">F14+D15+E15</f>
        <v>5771.81</v>
      </c>
      <c r="G15" s="23">
        <v>3705</v>
      </c>
      <c r="H15"/>
      <c r="J15"/>
    </row>
    <row r="16" s="2" customFormat="1" ht="28" customHeight="1" spans="1:13">
      <c r="A16" s="17">
        <v>45769</v>
      </c>
      <c r="B16" s="18">
        <v>66</v>
      </c>
      <c r="C16" s="19" t="s">
        <v>1252</v>
      </c>
      <c r="D16" s="20">
        <v>328.3</v>
      </c>
      <c r="E16" s="21">
        <v>216</v>
      </c>
      <c r="F16" s="21">
        <f t="shared" si="1"/>
        <v>6316.11</v>
      </c>
      <c r="G16" s="24"/>
      <c r="H16"/>
      <c r="J16"/>
    </row>
    <row r="17" s="2" customFormat="1" ht="28" customHeight="1" spans="1:10">
      <c r="A17" s="17">
        <v>45769</v>
      </c>
      <c r="B17" s="18">
        <v>67</v>
      </c>
      <c r="C17" s="19" t="s">
        <v>1176</v>
      </c>
      <c r="D17" s="20">
        <v>192</v>
      </c>
      <c r="E17" s="21">
        <v>261</v>
      </c>
      <c r="F17" s="21">
        <f t="shared" si="1"/>
        <v>6769.11</v>
      </c>
      <c r="G17" s="22">
        <v>1800</v>
      </c>
      <c r="H17"/>
      <c r="J17"/>
    </row>
    <row r="18" s="2" customFormat="1" ht="28" customHeight="1" spans="1:10">
      <c r="A18" s="17">
        <v>45769</v>
      </c>
      <c r="B18" s="18">
        <v>68</v>
      </c>
      <c r="C18" s="19" t="s">
        <v>1251</v>
      </c>
      <c r="D18" s="20">
        <v>280.1</v>
      </c>
      <c r="E18" s="21">
        <v>116</v>
      </c>
      <c r="F18" s="21">
        <f t="shared" si="1"/>
        <v>7165.21</v>
      </c>
      <c r="G18" s="24"/>
      <c r="H18"/>
      <c r="J18"/>
    </row>
    <row r="19" ht="28" customHeight="1" spans="1:10">
      <c r="A19" s="26">
        <v>45777</v>
      </c>
      <c r="B19" s="27">
        <v>101</v>
      </c>
      <c r="C19" s="28" t="s">
        <v>1253</v>
      </c>
      <c r="D19" s="29">
        <v>970.2</v>
      </c>
      <c r="E19" s="30"/>
      <c r="F19" s="21">
        <f t="shared" si="1"/>
        <v>8135.41</v>
      </c>
      <c r="G19" s="31">
        <v>3705</v>
      </c>
    </row>
    <row r="20" ht="28" customHeight="1" spans="1:10">
      <c r="A20" s="26">
        <v>45777</v>
      </c>
      <c r="B20" s="27">
        <v>102</v>
      </c>
      <c r="C20" s="28" t="s">
        <v>1252</v>
      </c>
      <c r="D20" s="29">
        <v>537.5</v>
      </c>
      <c r="E20" s="30"/>
      <c r="F20" s="21">
        <f t="shared" si="1"/>
        <v>8672.91</v>
      </c>
      <c r="G20" s="32"/>
      <c r="H20">
        <f>SUM(G6:G20)</f>
        <v>20220</v>
      </c>
    </row>
  </sheetData>
  <mergeCells count="15">
    <mergeCell ref="A1:G1"/>
    <mergeCell ref="A2:A5"/>
    <mergeCell ref="B2:B5"/>
    <mergeCell ref="C2:C5"/>
    <mergeCell ref="D3:D4"/>
    <mergeCell ref="E3:E4"/>
    <mergeCell ref="F3:F4"/>
    <mergeCell ref="G3:G4"/>
    <mergeCell ref="G6:G8"/>
    <mergeCell ref="G9:G10"/>
    <mergeCell ref="G11:G12"/>
    <mergeCell ref="G13:G14"/>
    <mergeCell ref="G15:G16"/>
    <mergeCell ref="G17:G18"/>
    <mergeCell ref="G19:G20"/>
  </mergeCells>
  <pageMargins left="0.357638888888889" right="0.393055555555556" top="1" bottom="1" header="0.5" footer="0.5"/>
  <pageSetup paperSize="9" scale="71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杨总提货明细</vt:lpstr>
      <vt:lpstr>邻居</vt:lpstr>
      <vt:lpstr>回款明细</vt:lpstr>
      <vt:lpstr>出货</vt:lpstr>
      <vt:lpstr>25出</vt:lpstr>
      <vt:lpstr>25回款</vt:lpstr>
      <vt:lpstr>108C明细</vt:lpstr>
      <vt:lpstr>月底明细转发</vt:lpstr>
      <vt:lpstr>贾 杨 李</vt:lpstr>
      <vt:lpstr>2出货</vt:lpstr>
      <vt:lpstr>三人账目</vt:lpstr>
      <vt:lpstr>贾杨材料</vt:lpstr>
      <vt:lpstr>李总材料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2022-07-02T02:26:00Z</cp:lastPrinted>
  <dcterms:modified xsi:type="dcterms:W3CDTF">2026-01-16T08:21:13Z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C376BF1CEB134138BC77D4DAFFCA6C26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