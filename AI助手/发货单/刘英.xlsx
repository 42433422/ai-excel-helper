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1"/>
  </bookViews>
  <sheets>
    <sheet name="刘英" sheetId="1" r:id="rId1"/>
    <sheet name="出货" sheetId="8" r:id="rId2"/>
    <sheet name="回款明细" sheetId="9" r:id="rId3"/>
  </sheets>
  <definedNames>
    <definedName name="_xlnm._FilterDatabase" localSheetId="1" hidden="1">出货!$A$1:$N$152</definedName>
    <definedName name="_xlnm.Print_Area" localSheetId="0">刘英!$A$1:$J$12</definedName>
    <definedName name="_xlnm.Print_Area" localSheetId="2">回款明细!$A$1:$F$12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<sst xmlns="http://schemas.openxmlformats.org/spreadsheetml/2006/main" count="254" uniqueCount="95">
  <si>
    <t>成都国圣工业有限公司（五星花）送货单</t>
  </si>
  <si>
    <t>购货单位（乙方）：刘英        联系人：刘英          日期：2026年01月18日      订单编号：26-0100048A</t>
  </si>
  <si>
    <t xml:space="preserve"> 产 品 型 号</t>
  </si>
  <si>
    <t xml:space="preserve"> 产 品 名 称</t>
  </si>
  <si>
    <t>数量/件</t>
  </si>
  <si>
    <t>规格/KG</t>
  </si>
  <si>
    <t>数量/KG</t>
  </si>
  <si>
    <t>单价/元</t>
  </si>
  <si>
    <t>金额/元</t>
  </si>
  <si>
    <t>备  注</t>
  </si>
  <si>
    <t>色漆加工费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</si>
  <si>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</si>
  <si>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</si>
  <si>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</si>
  <si>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2.乙方每次要认真核对产品的型号.名称.数量.规格.重量.单价.金额，经甲乙双方经手人（库管）签字后具有</t>
  </si>
  <si>
    <t xml:space="preserve"> 法律效力，必须按期付清货款（月结三十天），如有争议和纠纷，由甲方所在地方人民法院受理起诉。</t>
  </si>
  <si>
    <t xml:space="preserve"> 3.本送货单一式四联，   白色联为存根联，   粉红色为客户联，    蓝色联为结款联，   黄色联为会计联。</t>
  </si>
  <si>
    <t>销售单位（甲方）：成都国圣工业有限公司 电话：028-85852618</t>
  </si>
  <si>
    <t>销售负责人：李秋林         销售送货人：       销售制单人：        购货单位经手人：</t>
  </si>
  <si>
    <t>开单日期</t>
  </si>
  <si>
    <t>随机单号</t>
  </si>
  <si>
    <t>生产日期</t>
  </si>
  <si>
    <t>品名</t>
  </si>
  <si>
    <t>PE白底漆</t>
  </si>
  <si>
    <t>现金：贺收</t>
  </si>
  <si>
    <t>PMA</t>
  </si>
  <si>
    <t>丁酯</t>
  </si>
  <si>
    <t>二甲</t>
  </si>
  <si>
    <t>甲苯</t>
  </si>
  <si>
    <t>4L罐子</t>
  </si>
  <si>
    <t>稀料加工费</t>
  </si>
  <si>
    <t>哑光砂面漆</t>
  </si>
  <si>
    <t>温总货70F:2.9+90克细砂面粉</t>
  </si>
  <si>
    <t>固化剂</t>
  </si>
  <si>
    <t>R006</t>
  </si>
  <si>
    <t>4L方罐子</t>
  </si>
  <si>
    <t>包装：4L圆罐</t>
  </si>
  <si>
    <t>PU净味哑光清面漆</t>
  </si>
  <si>
    <t>温总货70F</t>
  </si>
  <si>
    <t>PU净味哑光固化剂</t>
  </si>
  <si>
    <t>R369</t>
  </si>
  <si>
    <t>807A</t>
  </si>
  <si>
    <t>自备油漆</t>
  </si>
  <si>
    <t>加工费</t>
  </si>
  <si>
    <t>3月7、8日</t>
  </si>
  <si>
    <t>购蓝水</t>
  </si>
  <si>
    <t>94号</t>
  </si>
  <si>
    <t>购PMA</t>
  </si>
  <si>
    <t>购二甲苯</t>
  </si>
  <si>
    <t>另加包装桶20L</t>
  </si>
  <si>
    <t>乙烷</t>
  </si>
  <si>
    <t>仲丁酯</t>
  </si>
  <si>
    <t>碳酸二甲酯</t>
  </si>
  <si>
    <t>甲缩醛</t>
  </si>
  <si>
    <t>另加包装桶</t>
  </si>
  <si>
    <t>24/3多配6桶的白水</t>
  </si>
  <si>
    <t>另购无色古蓝水</t>
  </si>
  <si>
    <t>812+</t>
  </si>
  <si>
    <t>另加包装桶18L</t>
  </si>
  <si>
    <t>打样0.8L罐子</t>
  </si>
  <si>
    <t>5-5的下午</t>
  </si>
  <si>
    <t>购买修色漆</t>
  </si>
  <si>
    <t>另加包装桶4L</t>
  </si>
  <si>
    <t>调色加工费</t>
  </si>
  <si>
    <t>另购包装桶20L</t>
  </si>
  <si>
    <t>另加包装桶5L</t>
  </si>
  <si>
    <t>色漆搅拌加工费</t>
  </si>
  <si>
    <t>购买丁酯</t>
  </si>
  <si>
    <t>17桶+22KG</t>
  </si>
  <si>
    <t>另加包装桶20L：白大口</t>
  </si>
  <si>
    <t>购买二甲苯</t>
  </si>
  <si>
    <t>8月13-14</t>
  </si>
  <si>
    <t>购买甲醇</t>
  </si>
  <si>
    <t>另加包装桶4L：白大口</t>
  </si>
  <si>
    <t>20/10已付</t>
  </si>
  <si>
    <t>三辊机磨底漆加工费</t>
  </si>
  <si>
    <t>以前调错的8桶截止17日已改完</t>
  </si>
  <si>
    <t>自备包装</t>
  </si>
  <si>
    <t>12桶+21KG</t>
  </si>
  <si>
    <t>购4L罐子</t>
  </si>
  <si>
    <t>二甲苯</t>
  </si>
  <si>
    <t>二甲酯</t>
  </si>
  <si>
    <t>另加包装桶20L小口</t>
  </si>
  <si>
    <t>2024年刘英回款明细</t>
  </si>
  <si>
    <t>应付款合计金额/元</t>
  </si>
  <si>
    <t>已付款合计金额/元</t>
  </si>
  <si>
    <t>下欠款合计金额/元</t>
  </si>
  <si>
    <t>日期</t>
  </si>
  <si>
    <t>内容摘要</t>
  </si>
  <si>
    <t>金额</t>
  </si>
  <si>
    <t>已付金额</t>
  </si>
  <si>
    <t>下欠款结存金额/元</t>
  </si>
  <si>
    <t>备注</t>
  </si>
  <si>
    <t>底漆加工</t>
  </si>
  <si>
    <t>色漆加工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</si>
</sst>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.00_ "/>
    <numFmt numFmtId="178" formatCode="m&quot;月&quot;d&quot;日&quot;;@"/>
    <numFmt numFmtId="179" formatCode="General&quot;号&quot;"/>
    <numFmt numFmtId="180" formatCode="0.0_ "/>
    <numFmt numFmtId="181" formatCode="000000"/>
    <numFmt numFmtId="182" formatCode="[DBNum2][$RMB]General;[Red][DBNum2][$RMB]General"/>
    <numFmt numFmtId="183" formatCode="0_ "/>
  </numFmts>
  <fonts count="47">
    <font>
      <sz val="12"/>
      <name val="宋体"/>
      <charset val="134"/>
    </font>
    <font>
      <b/>
      <sz val="18"/>
      <color rgb="FF7030A0"/>
      <name val="宋体"/>
      <charset val="134"/>
    </font>
    <font>
      <sz val="18"/>
      <color rgb="FF7030A0"/>
      <name val="宋体"/>
      <charset val="134"/>
    </font>
    <font>
      <b/>
      <sz val="16"/>
      <name val="宋体"/>
      <charset val="134"/>
    </font>
    <font>
      <b/>
      <sz val="16"/>
      <color theme="3"/>
      <name val="宋体"/>
      <charset val="134"/>
    </font>
    <font>
      <b/>
      <sz val="18"/>
      <name val="宋体"/>
      <charset val="134"/>
    </font>
    <font>
      <b/>
      <sz val="14"/>
      <color rgb="FF7030A0"/>
      <name val="宋体"/>
      <charset val="134"/>
    </font>
    <font>
      <b/>
      <sz val="14"/>
      <color theme="3"/>
      <name val="宋体"/>
      <charset val="134"/>
    </font>
    <font>
      <b/>
      <sz val="14"/>
      <name val="宋体"/>
      <charset val="134"/>
    </font>
    <font>
      <b/>
      <sz val="14"/>
      <color rgb="FFFF0000"/>
      <name val="宋体"/>
      <charset val="134"/>
    </font>
    <font>
      <sz val="12"/>
      <color rgb="FF00B0F0"/>
      <name val="宋体"/>
      <charset val="134"/>
    </font>
    <font>
      <sz val="16"/>
      <color rgb="FFFF0000"/>
      <name val="宋体"/>
      <charset val="134"/>
    </font>
    <font>
      <sz val="16"/>
      <color rgb="FF00B0F0"/>
      <name val="宋体"/>
      <charset val="134"/>
    </font>
    <font>
      <sz val="16"/>
      <name val="宋体"/>
      <charset val="134"/>
    </font>
    <font>
      <sz val="16"/>
      <color rgb="FF7030A0"/>
      <name val="宋体"/>
      <charset val="134"/>
    </font>
    <font>
      <b/>
      <sz val="12"/>
      <color rgb="FF00B0F0"/>
      <name val="宋体"/>
      <charset val="134"/>
    </font>
    <font>
      <sz val="16"/>
      <color theme="9" tint="-0.25"/>
      <name val="宋体"/>
      <charset val="134"/>
    </font>
    <font>
      <sz val="18"/>
      <name val="宋体"/>
      <charset val="134"/>
    </font>
    <font>
      <sz val="24"/>
      <name val="宋体"/>
      <charset val="134"/>
    </font>
    <font>
      <sz val="14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sz val="1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3" borderId="15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" borderId="18" applyNumberFormat="0" applyAlignment="0" applyProtection="0">
      <alignment vertical="center"/>
    </xf>
    <xf numFmtId="0" fontId="34" fillId="5" borderId="19" applyNumberFormat="0" applyAlignment="0" applyProtection="0">
      <alignment vertical="center"/>
    </xf>
    <xf numFmtId="0" fontId="35" fillId="5" borderId="18" applyNumberFormat="0" applyAlignment="0" applyProtection="0">
      <alignment vertical="center"/>
    </xf>
    <xf numFmtId="0" fontId="36" fillId="6" borderId="20" applyNumberFormat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0" fillId="0" borderId="0"/>
    <xf numFmtId="0" fontId="45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0" borderId="0"/>
    <xf numFmtId="0" fontId="24" fillId="0" borderId="0">
      <alignment vertical="center"/>
    </xf>
    <xf numFmtId="0" fontId="46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</cellStyleXfs>
  <cellXfs count="135">
    <xf numFmtId="0" fontId="0" fillId="0" borderId="0" xfId="0">
      <alignment vertical="center"/>
    </xf>
    <xf numFmtId="0" fontId="1" fillId="0" borderId="1" xfId="51" applyFont="1" applyBorder="1" applyAlignment="1">
      <alignment horizontal="center"/>
    </xf>
    <xf numFmtId="0" fontId="1" fillId="0" borderId="2" xfId="51" applyFont="1" applyFill="1" applyBorder="1" applyAlignment="1">
      <alignment horizontal="center"/>
    </xf>
    <xf numFmtId="0" fontId="1" fillId="0" borderId="2" xfId="51" applyFont="1" applyBorder="1" applyAlignment="1">
      <alignment horizontal="center"/>
    </xf>
    <xf numFmtId="0" fontId="1" fillId="0" borderId="3" xfId="51" applyFont="1" applyBorder="1" applyAlignment="1">
      <alignment horizontal="center"/>
    </xf>
    <xf numFmtId="0" fontId="1" fillId="0" borderId="4" xfId="51" applyFont="1" applyBorder="1" applyAlignment="1"/>
    <xf numFmtId="0" fontId="2" fillId="2" borderId="5" xfId="51" applyFont="1" applyFill="1" applyBorder="1" applyAlignment="1"/>
    <xf numFmtId="0" fontId="3" fillId="2" borderId="5" xfId="51" applyFont="1" applyFill="1" applyBorder="1" applyAlignment="1">
      <alignment horizontal="center"/>
    </xf>
    <xf numFmtId="0" fontId="3" fillId="2" borderId="6" xfId="51" applyFont="1" applyFill="1" applyBorder="1" applyAlignment="1">
      <alignment horizontal="center"/>
    </xf>
    <xf numFmtId="0" fontId="3" fillId="2" borderId="7" xfId="51" applyFont="1" applyFill="1" applyBorder="1" applyAlignment="1">
      <alignment horizontal="center"/>
    </xf>
    <xf numFmtId="0" fontId="4" fillId="2" borderId="8" xfId="51" applyFont="1" applyFill="1" applyBorder="1" applyAlignment="1">
      <alignment horizontal="center"/>
    </xf>
    <xf numFmtId="0" fontId="5" fillId="2" borderId="8" xfId="51" applyFont="1" applyFill="1" applyBorder="1" applyAlignment="1">
      <alignment horizontal="center"/>
    </xf>
    <xf numFmtId="0" fontId="2" fillId="2" borderId="5" xfId="51" applyFont="1" applyFill="1" applyBorder="1" applyAlignment="1">
      <alignment horizontal="center"/>
    </xf>
    <xf numFmtId="177" fontId="3" fillId="2" borderId="1" xfId="51" applyNumberFormat="1" applyFont="1" applyFill="1" applyBorder="1" applyAlignment="1">
      <alignment horizontal="center" vertical="center"/>
    </xf>
    <xf numFmtId="177" fontId="3" fillId="2" borderId="2" xfId="51" applyNumberFormat="1" applyFont="1" applyFill="1" applyBorder="1" applyAlignment="1">
      <alignment horizontal="center" vertical="center"/>
    </xf>
    <xf numFmtId="177" fontId="3" fillId="2" borderId="3" xfId="51" applyNumberFormat="1" applyFont="1" applyFill="1" applyBorder="1" applyAlignment="1">
      <alignment horizontal="center" vertical="center"/>
    </xf>
    <xf numFmtId="0" fontId="3" fillId="2" borderId="3" xfId="51" applyFont="1" applyFill="1" applyBorder="1" applyAlignment="1">
      <alignment horizontal="center" vertical="center"/>
    </xf>
    <xf numFmtId="177" fontId="4" fillId="2" borderId="4" xfId="51" applyNumberFormat="1" applyFont="1" applyFill="1" applyBorder="1" applyAlignment="1">
      <alignment horizontal="center" vertical="center"/>
    </xf>
    <xf numFmtId="177" fontId="3" fillId="2" borderId="9" xfId="51" applyNumberFormat="1" applyFont="1" applyFill="1" applyBorder="1" applyAlignment="1">
      <alignment horizontal="center" vertical="center"/>
    </xf>
    <xf numFmtId="177" fontId="3" fillId="2" borderId="10" xfId="51" applyNumberFormat="1" applyFont="1" applyFill="1" applyBorder="1" applyAlignment="1">
      <alignment horizontal="center" vertical="center"/>
    </xf>
    <xf numFmtId="177" fontId="3" fillId="2" borderId="11" xfId="51" applyNumberFormat="1" applyFont="1" applyFill="1" applyBorder="1" applyAlignment="1">
      <alignment horizontal="center" vertical="center"/>
    </xf>
    <xf numFmtId="0" fontId="3" fillId="2" borderId="11" xfId="51" applyFont="1" applyFill="1" applyBorder="1" applyAlignment="1">
      <alignment horizontal="center" vertical="center"/>
    </xf>
    <xf numFmtId="177" fontId="4" fillId="2" borderId="12" xfId="51" applyNumberFormat="1" applyFont="1" applyFill="1" applyBorder="1" applyAlignment="1">
      <alignment horizontal="center" vertical="center"/>
    </xf>
    <xf numFmtId="0" fontId="6" fillId="2" borderId="5" xfId="51" applyFont="1" applyFill="1" applyBorder="1" applyAlignment="1">
      <alignment horizontal="center"/>
    </xf>
    <xf numFmtId="0" fontId="7" fillId="2" borderId="8" xfId="51" applyFont="1" applyFill="1" applyBorder="1" applyAlignment="1">
      <alignment horizontal="center"/>
    </xf>
    <xf numFmtId="0" fontId="7" fillId="2" borderId="7" xfId="51" applyFont="1" applyFill="1" applyBorder="1" applyAlignment="1">
      <alignment horizontal="center"/>
    </xf>
    <xf numFmtId="0" fontId="8" fillId="2" borderId="7" xfId="51" applyFont="1" applyFill="1" applyBorder="1" applyAlignment="1">
      <alignment horizontal="center"/>
    </xf>
    <xf numFmtId="0" fontId="8" fillId="2" borderId="8" xfId="51" applyFont="1" applyFill="1" applyBorder="1" applyAlignment="1">
      <alignment horizontal="center" vertical="center"/>
    </xf>
    <xf numFmtId="0" fontId="8" fillId="2" borderId="8" xfId="51" applyFont="1" applyFill="1" applyBorder="1" applyAlignment="1">
      <alignment horizontal="center"/>
    </xf>
    <xf numFmtId="178" fontId="8" fillId="2" borderId="5" xfId="51" applyNumberFormat="1" applyFont="1" applyFill="1" applyBorder="1" applyAlignment="1">
      <alignment horizontal="center" vertical="center"/>
    </xf>
    <xf numFmtId="179" fontId="8" fillId="2" borderId="8" xfId="0" applyNumberFormat="1" applyFont="1" applyFill="1" applyBorder="1" applyAlignment="1">
      <alignment horizontal="center" vertical="center"/>
    </xf>
    <xf numFmtId="179" fontId="8" fillId="2" borderId="7" xfId="0" applyNumberFormat="1" applyFont="1" applyFill="1" applyBorder="1" applyAlignment="1">
      <alignment horizontal="center" vertical="center"/>
    </xf>
    <xf numFmtId="0" fontId="8" fillId="2" borderId="7" xfId="53" applyFont="1" applyFill="1" applyBorder="1" applyAlignment="1">
      <alignment horizontal="center" vertical="center"/>
    </xf>
    <xf numFmtId="0" fontId="8" fillId="2" borderId="8" xfId="51" applyFont="1" applyFill="1" applyBorder="1" applyAlignment="1">
      <alignment vertical="center"/>
    </xf>
    <xf numFmtId="178" fontId="9" fillId="2" borderId="5" xfId="51" applyNumberFormat="1" applyFont="1" applyFill="1" applyBorder="1" applyAlignment="1">
      <alignment horizontal="center" vertical="center"/>
    </xf>
    <xf numFmtId="179" fontId="9" fillId="2" borderId="7" xfId="0" applyNumberFormat="1" applyFont="1" applyFill="1" applyBorder="1" applyAlignment="1">
      <alignment horizontal="center" vertical="center"/>
    </xf>
    <xf numFmtId="0" fontId="9" fillId="2" borderId="7" xfId="53" applyFont="1" applyFill="1" applyBorder="1" applyAlignment="1">
      <alignment horizontal="center" vertical="center"/>
    </xf>
    <xf numFmtId="0" fontId="9" fillId="2" borderId="8" xfId="5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13" fillId="0" borderId="0" xfId="0" applyFont="1" applyBorder="1">
      <alignment vertical="center"/>
    </xf>
    <xf numFmtId="0" fontId="0" fillId="0" borderId="0" xfId="0" applyFont="1">
      <alignment vertical="center"/>
    </xf>
    <xf numFmtId="0" fontId="14" fillId="0" borderId="0" xfId="0" applyFont="1" applyBorder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178" fontId="11" fillId="0" borderId="0" xfId="0" applyNumberFormat="1" applyFont="1" applyBorder="1" applyAlignment="1">
      <alignment horizontal="center" vertical="center"/>
    </xf>
    <xf numFmtId="179" fontId="11" fillId="0" borderId="0" xfId="0" applyNumberFormat="1" applyFont="1" applyAlignment="1">
      <alignment horizontal="center" vertical="center"/>
    </xf>
    <xf numFmtId="58" fontId="11" fillId="0" borderId="0" xfId="0" applyNumberFormat="1" applyFont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Border="1" applyAlignment="1">
      <alignment horizontal="center" vertical="center"/>
    </xf>
    <xf numFmtId="177" fontId="11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178" fontId="12" fillId="0" borderId="0" xfId="0" applyNumberFormat="1" applyFont="1" applyBorder="1" applyAlignment="1">
      <alignment horizontal="center" vertical="center"/>
    </xf>
    <xf numFmtId="179" fontId="12" fillId="0" borderId="0" xfId="0" applyNumberFormat="1" applyFont="1" applyAlignment="1">
      <alignment horizontal="center" vertical="center"/>
    </xf>
    <xf numFmtId="58" fontId="12" fillId="0" borderId="0" xfId="0" applyNumberFormat="1" applyFont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77" fontId="12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58" fontId="11" fillId="0" borderId="0" xfId="0" applyNumberFormat="1" applyFont="1" applyBorder="1" applyAlignment="1">
      <alignment horizontal="center" vertical="center"/>
    </xf>
    <xf numFmtId="178" fontId="13" fillId="0" borderId="0" xfId="0" applyNumberFormat="1" applyFont="1" applyBorder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58" fontId="13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77" fontId="13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178" fontId="14" fillId="0" borderId="0" xfId="0" applyNumberFormat="1" applyFont="1" applyBorder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58" fontId="14" fillId="0" borderId="0" xfId="0" applyNumberFormat="1" applyFont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177" fontId="14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79" fontId="13" fillId="0" borderId="0" xfId="0" applyNumberFormat="1" applyFont="1" applyBorder="1" applyAlignment="1">
      <alignment horizontal="center" vertical="center"/>
    </xf>
    <xf numFmtId="58" fontId="13" fillId="0" borderId="0" xfId="0" applyNumberFormat="1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0" borderId="0" xfId="0" applyFont="1" applyBorder="1">
      <alignment vertical="center"/>
    </xf>
    <xf numFmtId="0" fontId="16" fillId="0" borderId="0" xfId="0" applyFont="1" applyBorder="1" applyAlignment="1">
      <alignment horizontal="center" vertical="center"/>
    </xf>
    <xf numFmtId="177" fontId="16" fillId="0" borderId="0" xfId="0" applyNumberFormat="1" applyFont="1" applyBorder="1" applyAlignment="1">
      <alignment horizontal="center" vertical="center"/>
    </xf>
    <xf numFmtId="180" fontId="12" fillId="0" borderId="0" xfId="0" applyNumberFormat="1" applyFont="1" applyBorder="1" applyAlignment="1">
      <alignment horizontal="left" vertical="center"/>
    </xf>
    <xf numFmtId="179" fontId="12" fillId="0" borderId="0" xfId="0" applyNumberFormat="1" applyFont="1" applyBorder="1" applyAlignment="1">
      <alignment horizontal="center" vertical="center"/>
    </xf>
    <xf numFmtId="58" fontId="12" fillId="0" borderId="0" xfId="0" applyNumberFormat="1" applyFont="1" applyBorder="1" applyAlignment="1">
      <alignment horizontal="center" vertical="center"/>
    </xf>
    <xf numFmtId="0" fontId="10" fillId="0" borderId="0" xfId="0" applyFont="1" applyBorder="1">
      <alignment vertical="center"/>
    </xf>
    <xf numFmtId="0" fontId="14" fillId="0" borderId="0" xfId="0" applyFont="1">
      <alignment vertical="center"/>
    </xf>
    <xf numFmtId="180" fontId="13" fillId="0" borderId="0" xfId="0" applyNumberFormat="1" applyFont="1">
      <alignment vertical="center"/>
    </xf>
    <xf numFmtId="0" fontId="0" fillId="0" borderId="0" xfId="0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3" fillId="0" borderId="4" xfId="0" applyNumberFormat="1" applyFont="1" applyFill="1" applyBorder="1" applyAlignment="1">
      <alignment vertical="center"/>
    </xf>
    <xf numFmtId="0" fontId="13" fillId="0" borderId="4" xfId="0" applyNumberFormat="1" applyFont="1" applyFill="1" applyBorder="1" applyAlignment="1">
      <alignment horizontal="center" vertical="center"/>
    </xf>
    <xf numFmtId="58" fontId="13" fillId="0" borderId="8" xfId="0" applyNumberFormat="1" applyFont="1" applyBorder="1" applyAlignment="1">
      <alignment horizontal="center" vertical="center"/>
    </xf>
    <xf numFmtId="0" fontId="13" fillId="0" borderId="8" xfId="0" applyFont="1" applyBorder="1">
      <alignment vertical="center"/>
    </xf>
    <xf numFmtId="0" fontId="13" fillId="0" borderId="8" xfId="0" applyFont="1" applyBorder="1" applyAlignment="1">
      <alignment horizontal="center" vertical="center"/>
    </xf>
    <xf numFmtId="177" fontId="13" fillId="0" borderId="8" xfId="0" applyNumberFormat="1" applyFont="1" applyBorder="1" applyAlignment="1">
      <alignment horizontal="center" vertical="center"/>
    </xf>
    <xf numFmtId="0" fontId="13" fillId="0" borderId="13" xfId="0" applyNumberFormat="1" applyFont="1" applyFill="1" applyBorder="1" applyAlignment="1">
      <alignment vertical="center"/>
    </xf>
    <xf numFmtId="58" fontId="12" fillId="0" borderId="8" xfId="0" applyNumberFormat="1" applyFont="1" applyBorder="1" applyAlignment="1">
      <alignment horizontal="center" vertical="center"/>
    </xf>
    <xf numFmtId="0" fontId="12" fillId="0" borderId="8" xfId="0" applyFont="1" applyBorder="1">
      <alignment vertical="center"/>
    </xf>
    <xf numFmtId="0" fontId="12" fillId="0" borderId="8" xfId="0" applyFont="1" applyBorder="1" applyAlignment="1">
      <alignment horizontal="center" vertical="center"/>
    </xf>
    <xf numFmtId="177" fontId="12" fillId="0" borderId="8" xfId="0" applyNumberFormat="1" applyFont="1" applyBorder="1" applyAlignment="1">
      <alignment horizontal="center" vertical="center"/>
    </xf>
    <xf numFmtId="181" fontId="13" fillId="0" borderId="8" xfId="0" applyNumberFormat="1" applyFont="1" applyFill="1" applyBorder="1" applyAlignment="1">
      <alignment horizontal="left" vertical="center"/>
    </xf>
    <xf numFmtId="182" fontId="13" fillId="0" borderId="8" xfId="0" applyNumberFormat="1" applyFont="1" applyFill="1" applyBorder="1" applyAlignment="1">
      <alignment horizontal="left" vertical="center"/>
    </xf>
    <xf numFmtId="5" fontId="13" fillId="0" borderId="8" xfId="0" applyNumberFormat="1" applyFont="1" applyBorder="1" applyAlignment="1">
      <alignment horizontal="center" vertical="center"/>
    </xf>
    <xf numFmtId="0" fontId="13" fillId="0" borderId="11" xfId="0" applyNumberFormat="1" applyFont="1" applyFill="1" applyBorder="1" applyAlignment="1">
      <alignment vertical="center"/>
    </xf>
    <xf numFmtId="0" fontId="19" fillId="0" borderId="1" xfId="0" applyFont="1" applyFill="1" applyBorder="1" applyAlignment="1">
      <alignment horizontal="left" vertical="center" textRotation="255"/>
    </xf>
    <xf numFmtId="0" fontId="19" fillId="0" borderId="2" xfId="0" applyFont="1" applyFill="1" applyBorder="1" applyAlignment="1">
      <alignment horizontal="left" vertical="center" wrapText="1" readingOrder="1"/>
    </xf>
    <xf numFmtId="0" fontId="19" fillId="0" borderId="3" xfId="0" applyFont="1" applyFill="1" applyBorder="1" applyAlignment="1">
      <alignment horizontal="left" vertical="center" wrapText="1" readingOrder="1"/>
    </xf>
    <xf numFmtId="0" fontId="19" fillId="0" borderId="14" xfId="0" applyFont="1" applyFill="1" applyBorder="1" applyAlignment="1">
      <alignment horizontal="left" vertical="center" textRotation="255"/>
    </xf>
    <xf numFmtId="0" fontId="19" fillId="0" borderId="0" xfId="0" applyFont="1" applyFill="1" applyBorder="1" applyAlignment="1">
      <alignment horizontal="left" vertical="center" wrapText="1" readingOrder="1"/>
    </xf>
    <xf numFmtId="0" fontId="19" fillId="0" borderId="13" xfId="0" applyFont="1" applyFill="1" applyBorder="1" applyAlignment="1">
      <alignment horizontal="left" vertical="center" wrapText="1" readingOrder="1"/>
    </xf>
    <xf numFmtId="0" fontId="19" fillId="0" borderId="9" xfId="0" applyFont="1" applyFill="1" applyBorder="1" applyAlignment="1">
      <alignment horizontal="left" vertical="center" textRotation="255"/>
    </xf>
    <xf numFmtId="0" fontId="19" fillId="0" borderId="10" xfId="0" applyFont="1" applyFill="1" applyBorder="1" applyAlignment="1">
      <alignment horizontal="left" vertical="center" wrapText="1" readingOrder="1"/>
    </xf>
    <xf numFmtId="0" fontId="19" fillId="0" borderId="11" xfId="0" applyFont="1" applyFill="1" applyBorder="1" applyAlignment="1">
      <alignment horizontal="left" vertical="center" wrapText="1" readingOrder="1"/>
    </xf>
    <xf numFmtId="0" fontId="19" fillId="0" borderId="0" xfId="0" applyFont="1" applyFill="1" applyBorder="1" applyAlignment="1">
      <alignment horizontal="left" vertical="center"/>
    </xf>
    <xf numFmtId="0" fontId="20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vertical="center"/>
    </xf>
    <xf numFmtId="58" fontId="22" fillId="0" borderId="0" xfId="0" applyNumberFormat="1" applyFont="1" applyFill="1" applyAlignment="1">
      <alignment vertical="center"/>
    </xf>
    <xf numFmtId="0" fontId="0" fillId="0" borderId="0" xfId="0" applyFont="1" applyAlignment="1">
      <alignment horizontal="left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183" fontId="20" fillId="0" borderId="0" xfId="0" applyNumberFormat="1" applyFont="1" applyFill="1" applyBorder="1" applyAlignment="1">
      <alignment horizontal="center" vertical="center"/>
    </xf>
    <xf numFmtId="183" fontId="20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left"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货币 3 12 2" xfId="49"/>
    <cellStyle name="适中 2 4 2" xfId="50"/>
    <cellStyle name="常规 10" xfId="51"/>
    <cellStyle name="差 2" xfId="52"/>
    <cellStyle name="常规 8" xfId="53"/>
    <cellStyle name="常规 33" xfId="54"/>
    <cellStyle name="常规 38 5" xfId="55"/>
    <cellStyle name="好_2020前期总表" xfId="56"/>
    <cellStyle name="货币 4 3" xfId="57"/>
  </cellStyles>
  <tableStyles count="1" defaultTableStyle="TableStyleMedium9" defaultPivotStyle="PivotStyleLight16">
    <tableStyle name="表样式 1" pivot="0" count="0" xr9:uid="{2C8EFAF8-4E5C-45D0-9AB5-89552E8BBE2A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P32"/>
  <sheetViews>
    <sheetView workbookViewId="0">
      <selection activeCell="R14" sqref="R14"/>
    </sheetView>
  </sheetViews>
  <sheetFormatPr defaultColWidth="9" defaultRowHeight="14.25"/>
  <cols>
    <col min="1" max="1" width="3.50833333333333" style="91" customWidth="1"/>
    <col min="2" max="2" width="2.25833333333333" style="91" customWidth="1"/>
    <col min="3" max="3" width="17.875" style="91" customWidth="1"/>
    <col min="4" max="4" width="28.75" style="91" customWidth="1"/>
    <col min="5" max="5" width="11.7583333333333" style="91" customWidth="1"/>
    <col min="6" max="6" width="12.0083333333333" style="91" customWidth="1"/>
    <col min="7" max="7" width="12.875" style="91" customWidth="1"/>
    <col min="8" max="8" width="11.625" style="91" customWidth="1"/>
    <col min="9" max="9" width="18.5083333333333" style="91" customWidth="1"/>
    <col min="10" max="10" width="14.375" style="91" customWidth="1"/>
    <col min="11" max="12" width="9" style="92"/>
  </cols>
  <sheetData>
    <row r="1" s="89" customFormat="1" ht="34" customHeight="1" spans="1:12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</row>
    <row r="2" s="90" customFormat="1" ht="34" customHeight="1" spans="1:12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5"/>
    </row>
    <row r="3" s="45" customFormat="1" ht="26" customHeight="1" spans="1:12">
      <c r="A3" s="96" t="s">
        <v>2</v>
      </c>
      <c r="B3" s="96"/>
      <c r="C3" s="96"/>
      <c r="D3" s="97" t="s">
        <v>3</v>
      </c>
      <c r="E3" s="97" t="s">
        <v>4</v>
      </c>
      <c r="F3" s="97" t="s">
        <v>5</v>
      </c>
      <c r="G3" s="97" t="s">
        <v>6</v>
      </c>
      <c r="H3" s="97" t="s">
        <v>7</v>
      </c>
      <c r="I3" s="97" t="s">
        <v>8</v>
      </c>
      <c r="J3" s="97" t="s">
        <v>9</v>
      </c>
    </row>
    <row r="4" s="45" customFormat="1" ht="24" customHeight="1" spans="1:12">
      <c r="A4" s="98">
        <v>46039</v>
      </c>
      <c r="B4" s="98"/>
      <c r="C4" s="98"/>
      <c r="D4" s="99" t="s">
        <v>10</v>
      </c>
      <c r="E4" s="100">
        <v>1</v>
      </c>
      <c r="F4" s="100">
        <v>25</v>
      </c>
      <c r="G4" s="100">
        <f>E4*F4</f>
        <v>25</v>
      </c>
      <c r="H4" s="101">
        <v>1</v>
      </c>
      <c r="I4" s="101">
        <f>G4*H4</f>
        <v>25</v>
      </c>
      <c r="J4" s="102"/>
      <c r="L4" s="79"/>
    </row>
    <row r="5" s="45" customFormat="1" ht="24" customHeight="1" spans="1:12">
      <c r="A5" s="103"/>
      <c r="B5" s="103"/>
      <c r="C5" s="103"/>
      <c r="D5" s="104"/>
      <c r="E5" s="105"/>
      <c r="F5" s="105"/>
      <c r="G5" s="105"/>
      <c r="H5" s="106"/>
      <c r="I5" s="106"/>
      <c r="J5" s="102"/>
      <c r="L5" s="79"/>
    </row>
    <row r="6" s="45" customFormat="1" ht="24" customHeight="1" spans="1:12">
      <c r="A6" s="98"/>
      <c r="B6" s="98"/>
      <c r="C6" s="98"/>
      <c r="D6" s="99"/>
      <c r="E6" s="100"/>
      <c r="F6" s="100"/>
      <c r="G6" s="100"/>
      <c r="H6" s="101"/>
      <c r="I6" s="101"/>
      <c r="J6" s="102"/>
      <c r="L6" s="79"/>
    </row>
    <row r="7" s="45" customFormat="1" ht="24" customHeight="1" spans="1:12">
      <c r="A7" s="98"/>
      <c r="B7" s="98"/>
      <c r="C7" s="98"/>
      <c r="D7" s="99"/>
      <c r="E7" s="100"/>
      <c r="F7" s="100"/>
      <c r="G7" s="100"/>
      <c r="H7" s="101"/>
      <c r="I7" s="101"/>
      <c r="J7" s="102"/>
      <c r="L7" s="79"/>
    </row>
    <row r="8" s="45" customFormat="1" ht="24" customHeight="1" spans="1:12">
      <c r="A8" s="98"/>
      <c r="B8" s="98"/>
      <c r="C8" s="98"/>
      <c r="D8" s="99"/>
      <c r="E8" s="100"/>
      <c r="F8" s="100"/>
      <c r="G8" s="100"/>
      <c r="H8" s="101"/>
      <c r="I8" s="101"/>
      <c r="J8" s="102"/>
      <c r="L8" s="79"/>
    </row>
    <row r="9" s="45" customFormat="1" ht="24" customHeight="1" spans="1:12">
      <c r="A9" s="98"/>
      <c r="B9" s="98"/>
      <c r="C9" s="98"/>
      <c r="D9" s="99"/>
      <c r="E9" s="100"/>
      <c r="F9" s="100"/>
      <c r="G9" s="100"/>
      <c r="H9" s="101"/>
      <c r="I9" s="101"/>
      <c r="J9" s="102"/>
      <c r="L9" s="79"/>
    </row>
    <row r="10" s="45" customFormat="1" ht="24" customHeight="1" spans="1:12">
      <c r="A10" s="103"/>
      <c r="B10" s="103"/>
      <c r="C10" s="103"/>
      <c r="D10" s="104"/>
      <c r="E10" s="105"/>
      <c r="F10" s="105"/>
      <c r="G10" s="105"/>
      <c r="H10" s="106"/>
      <c r="I10" s="106"/>
      <c r="J10" s="102"/>
      <c r="L10" s="79"/>
    </row>
    <row r="11" customFormat="1" ht="20" customHeight="1" spans="1:12">
      <c r="A11" s="98"/>
      <c r="B11" s="98"/>
      <c r="C11" s="98"/>
      <c r="D11" s="99"/>
      <c r="E11" s="100"/>
      <c r="F11" s="100"/>
      <c r="G11" s="100"/>
      <c r="H11" s="101"/>
      <c r="I11" s="101"/>
      <c r="J11" s="102"/>
    </row>
    <row r="12" customFormat="1" ht="20" customHeight="1" spans="1:12">
      <c r="A12" s="107" t="s">
        <v>11</v>
      </c>
      <c r="B12" s="107"/>
      <c r="C12" s="107"/>
      <c r="D12" s="108">
        <f>I12</f>
        <v>25</v>
      </c>
      <c r="E12" s="108"/>
      <c r="F12" s="108"/>
      <c r="G12" s="108"/>
      <c r="H12" s="108"/>
      <c r="I12" s="109">
        <f>SUM(I4:I11)</f>
        <v>25</v>
      </c>
      <c r="J12" s="110"/>
    </row>
    <row r="13" customFormat="1" ht="20" customHeight="1" spans="1:12">
      <c r="A13" s="111" t="s">
        <v>12</v>
      </c>
      <c r="B13" s="112" t="s">
        <v>13</v>
      </c>
      <c r="C13" s="112"/>
      <c r="D13" s="112"/>
      <c r="E13" s="112"/>
      <c r="F13" s="112"/>
      <c r="G13" s="112"/>
      <c r="H13" s="112"/>
      <c r="I13" s="112"/>
      <c r="J13" s="113"/>
    </row>
    <row r="14" customFormat="1" ht="20" customHeight="1" spans="1:12">
      <c r="A14" s="114"/>
      <c r="B14" s="115" t="s">
        <v>14</v>
      </c>
      <c r="C14" s="115"/>
      <c r="D14" s="115"/>
      <c r="E14" s="115"/>
      <c r="F14" s="115"/>
      <c r="G14" s="115"/>
      <c r="H14" s="115"/>
      <c r="I14" s="115"/>
      <c r="J14" s="116"/>
    </row>
    <row r="15" customFormat="1" ht="20" customHeight="1" spans="1:12">
      <c r="A15" s="114"/>
      <c r="B15" s="115"/>
      <c r="C15" s="115" t="s">
        <v>15</v>
      </c>
      <c r="D15" s="115"/>
      <c r="E15" s="115"/>
      <c r="F15" s="115"/>
      <c r="G15" s="115"/>
      <c r="H15" s="115"/>
      <c r="I15" s="115"/>
      <c r="J15" s="116"/>
    </row>
    <row r="16" customFormat="1" ht="20" customHeight="1" spans="1:12">
      <c r="A16" s="117"/>
      <c r="B16" s="118" t="s">
        <v>16</v>
      </c>
      <c r="C16" s="118"/>
      <c r="D16" s="118"/>
      <c r="E16" s="118"/>
      <c r="F16" s="118"/>
      <c r="G16" s="118"/>
      <c r="H16" s="118"/>
      <c r="I16" s="118"/>
      <c r="J16" s="119"/>
    </row>
    <row r="17" ht="23.25" customHeight="1" spans="1:16">
      <c r="A17" s="120" t="s">
        <v>17</v>
      </c>
      <c r="B17" s="120"/>
      <c r="C17" s="120"/>
      <c r="D17" s="120"/>
      <c r="E17" s="120"/>
      <c r="F17" s="120"/>
      <c r="G17" s="120"/>
      <c r="H17" s="120"/>
      <c r="I17" s="120"/>
      <c r="J17" s="120"/>
      <c r="K17" s="121"/>
      <c r="L17" s="121"/>
    </row>
    <row r="18" ht="19" customHeight="1" spans="1:16">
      <c r="A18" s="120" t="s">
        <v>18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2"/>
      <c r="L18" s="121"/>
    </row>
    <row r="19" s="91" customFormat="1" ht="20" customHeight="1" spans="1:16">
      <c r="A19" s="123"/>
      <c r="B19" s="124"/>
      <c r="C19" s="125"/>
      <c r="D19" s="126"/>
      <c r="E19" s="121"/>
      <c r="F19" s="127"/>
      <c r="G19" s="127"/>
      <c r="H19" s="121"/>
      <c r="I19" s="128"/>
      <c r="J19" s="126"/>
      <c r="K19" s="129"/>
      <c r="L19" s="126"/>
      <c r="P19"/>
    </row>
    <row r="20" spans="1:16">
      <c r="A20" s="123"/>
      <c r="B20" s="124"/>
      <c r="C20" s="125"/>
      <c r="D20" s="126"/>
      <c r="E20" s="121"/>
      <c r="F20" s="127"/>
      <c r="G20" s="127"/>
      <c r="H20" s="121"/>
      <c r="I20" s="128"/>
      <c r="J20" s="126"/>
      <c r="K20" s="130"/>
      <c r="L20" s="131"/>
    </row>
    <row r="21" spans="1:16">
      <c r="A21" s="132"/>
      <c r="B21" s="133"/>
      <c r="C21" s="133"/>
      <c r="D21" s="133"/>
      <c r="E21" s="133"/>
      <c r="F21" s="133"/>
      <c r="G21" s="133"/>
      <c r="H21" s="133"/>
      <c r="I21" s="133"/>
      <c r="J21" s="126"/>
      <c r="K21" s="130"/>
      <c r="L21" s="131"/>
    </row>
    <row r="22" spans="1:16">
      <c r="A22" s="134"/>
      <c r="B22" s="132"/>
      <c r="C22" s="132"/>
      <c r="D22" s="132"/>
      <c r="E22" s="132"/>
      <c r="F22" s="132"/>
      <c r="G22" s="132"/>
      <c r="H22" s="132"/>
      <c r="I22" s="132"/>
      <c r="J22" s="132"/>
      <c r="K22" s="130"/>
      <c r="L22" s="131"/>
    </row>
    <row r="23" spans="1:16">
      <c r="A23" s="134"/>
      <c r="B23" s="132"/>
      <c r="C23" s="132"/>
      <c r="D23" s="132"/>
      <c r="E23" s="132"/>
      <c r="F23" s="132"/>
      <c r="G23" s="132"/>
      <c r="H23" s="132"/>
      <c r="I23" s="132"/>
      <c r="J23" s="132"/>
      <c r="K23" s="130"/>
      <c r="L23" s="131"/>
    </row>
    <row r="24" spans="1:16">
      <c r="A24" s="134"/>
      <c r="B24" s="132"/>
      <c r="C24" s="132"/>
      <c r="D24" s="132"/>
      <c r="E24" s="132"/>
      <c r="F24" s="132"/>
      <c r="G24" s="132"/>
      <c r="H24" s="132"/>
      <c r="I24" s="132"/>
      <c r="J24" s="132"/>
      <c r="K24" s="130"/>
      <c r="L24" s="131"/>
    </row>
    <row r="25" spans="1:16">
      <c r="A25" s="134"/>
      <c r="B25" s="132"/>
      <c r="C25" s="132"/>
      <c r="D25" s="132"/>
      <c r="E25" s="132"/>
      <c r="F25" s="132"/>
      <c r="G25" s="132"/>
      <c r="H25" s="132"/>
      <c r="I25" s="132"/>
      <c r="J25" s="132"/>
      <c r="K25" s="130"/>
      <c r="L25" s="131"/>
    </row>
    <row r="26" spans="1:16">
      <c r="A26" s="134"/>
      <c r="B26" s="132"/>
      <c r="C26" s="132"/>
      <c r="D26" s="132"/>
      <c r="E26" s="132"/>
      <c r="F26" s="132"/>
      <c r="G26" s="132"/>
      <c r="H26" s="132"/>
      <c r="I26" s="132"/>
      <c r="J26" s="132"/>
      <c r="K26" s="130"/>
      <c r="L26" s="131"/>
    </row>
    <row r="27" spans="1:16">
      <c r="A27" s="134"/>
      <c r="B27" s="132"/>
      <c r="C27" s="132"/>
      <c r="D27" s="132"/>
      <c r="E27" s="132"/>
      <c r="F27" s="132"/>
      <c r="G27" s="132"/>
      <c r="H27" s="132"/>
      <c r="I27" s="132"/>
      <c r="J27" s="132"/>
      <c r="K27" s="130"/>
      <c r="L27" s="131"/>
    </row>
    <row r="28" spans="1:16">
      <c r="A28" s="134"/>
      <c r="B28" s="132"/>
      <c r="C28" s="132"/>
      <c r="D28" s="132"/>
      <c r="E28" s="132"/>
      <c r="F28" s="132"/>
      <c r="G28" s="132"/>
      <c r="H28" s="132"/>
      <c r="I28" s="132"/>
      <c r="J28" s="132"/>
      <c r="L28" s="131"/>
    </row>
    <row r="29" spans="1:16">
      <c r="A29" s="134"/>
      <c r="B29" s="132"/>
      <c r="C29" s="132"/>
      <c r="D29" s="132"/>
      <c r="E29" s="132"/>
      <c r="F29" s="132"/>
      <c r="G29" s="132"/>
      <c r="H29" s="132"/>
      <c r="I29" s="132"/>
      <c r="J29" s="132"/>
      <c r="L29" s="131"/>
    </row>
    <row r="30" spans="1:16">
      <c r="L30" s="131"/>
    </row>
    <row r="31" spans="1:16">
      <c r="L31" s="131"/>
    </row>
    <row r="32" spans="1:16">
      <c r="L32" s="131"/>
    </row>
  </sheetData>
  <mergeCells count="22">
    <mergeCell ref="A1:J1"/>
    <mergeCell ref="A2:J2"/>
    <mergeCell ref="K2:L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D12:H12"/>
    <mergeCell ref="B13:J13"/>
    <mergeCell ref="B14:J14"/>
    <mergeCell ref="C15:J15"/>
    <mergeCell ref="B16:J16"/>
    <mergeCell ref="A17:J17"/>
    <mergeCell ref="A18:J18"/>
    <mergeCell ref="B21:I21"/>
    <mergeCell ref="A13:A16"/>
  </mergeCells>
  <printOptions horizontalCentered="1"/>
  <pageMargins left="0.393055555555556" right="0.196527777777778" top="0.196527777777778" bottom="0.393055555555556" header="0.196527777777778" footer="0.393055555555556"/>
  <pageSetup paperSize="9" scale="68" orientation="portrait" horizontalDpi="600" verticalDpi="18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1"/>
  <sheetViews>
    <sheetView tabSelected="1" topLeftCell="A135" workbookViewId="0">
      <selection activeCell="O161" sqref="O161"/>
    </sheetView>
  </sheetViews>
  <sheetFormatPr defaultColWidth="9" defaultRowHeight="14.25"/>
  <cols>
    <col min="1" max="1" width="12.625"/>
    <col min="3" max="3" width="3.875" customWidth="1"/>
    <col min="4" max="4" width="2.75" customWidth="1"/>
    <col min="5" max="5" width="10.625" customWidth="1"/>
    <col min="6" max="6" width="33.125" customWidth="1"/>
    <col min="10" max="10" width="9.875"/>
    <col min="11" max="11" width="14.625" customWidth="1"/>
    <col min="12" max="12" width="15.375" customWidth="1"/>
    <col min="13" max="13" width="11.375"/>
  </cols>
  <sheetData>
    <row r="1" s="38" customFormat="1" ht="21" customHeight="1" spans="1:14">
      <c r="A1" s="38" t="s">
        <v>19</v>
      </c>
      <c r="B1" s="38" t="s">
        <v>20</v>
      </c>
      <c r="C1" s="46" t="s">
        <v>21</v>
      </c>
      <c r="D1" s="46"/>
      <c r="E1" s="46"/>
      <c r="F1" s="46" t="s">
        <v>22</v>
      </c>
      <c r="G1" s="46"/>
    </row>
    <row r="2" s="39" customFormat="1" ht="20.25" spans="1:14">
      <c r="A2" s="47">
        <v>45614</v>
      </c>
      <c r="B2" s="48">
        <v>47</v>
      </c>
      <c r="C2" s="49">
        <v>45614</v>
      </c>
      <c r="D2" s="49"/>
      <c r="E2" s="49"/>
      <c r="F2" s="50" t="s">
        <v>23</v>
      </c>
      <c r="G2" s="51">
        <v>1</v>
      </c>
      <c r="H2" s="51">
        <v>25</v>
      </c>
      <c r="I2" s="51">
        <f t="shared" ref="I2:I20" si="0">G2*H2</f>
        <v>25</v>
      </c>
      <c r="J2" s="52">
        <v>8.6</v>
      </c>
      <c r="K2" s="52">
        <f t="shared" ref="K2:K20" si="1">I2*J2</f>
        <v>215</v>
      </c>
      <c r="L2" s="50" t="s">
        <v>24</v>
      </c>
      <c r="M2" s="53"/>
    </row>
    <row r="3" s="40" customFormat="1" ht="20.25" spans="1:14">
      <c r="A3" s="54">
        <v>45621</v>
      </c>
      <c r="B3" s="55">
        <v>72</v>
      </c>
      <c r="C3" s="56">
        <v>45621</v>
      </c>
      <c r="D3" s="56"/>
      <c r="E3" s="56"/>
      <c r="F3" s="44" t="s">
        <v>23</v>
      </c>
      <c r="G3" s="57">
        <v>8</v>
      </c>
      <c r="H3" s="57">
        <v>25</v>
      </c>
      <c r="I3" s="57">
        <f t="shared" si="0"/>
        <v>200</v>
      </c>
      <c r="J3" s="58">
        <v>8.6</v>
      </c>
      <c r="K3" s="58">
        <f t="shared" si="1"/>
        <v>1720</v>
      </c>
      <c r="L3" s="50" t="s">
        <v>24</v>
      </c>
      <c r="M3" s="59"/>
    </row>
    <row r="4" s="39" customFormat="1" ht="20.25" spans="1:14">
      <c r="A4" s="47">
        <v>45622</v>
      </c>
      <c r="B4" s="48">
        <v>80</v>
      </c>
      <c r="C4" s="60">
        <v>45622</v>
      </c>
      <c r="D4" s="60"/>
      <c r="E4" s="60"/>
      <c r="F4" s="39" t="s">
        <v>10</v>
      </c>
      <c r="G4" s="51">
        <v>6</v>
      </c>
      <c r="H4" s="51">
        <v>25</v>
      </c>
      <c r="I4" s="51">
        <f t="shared" si="0"/>
        <v>150</v>
      </c>
      <c r="J4" s="52">
        <v>1</v>
      </c>
      <c r="K4" s="52">
        <f t="shared" si="1"/>
        <v>150</v>
      </c>
      <c r="L4" s="50" t="s">
        <v>24</v>
      </c>
      <c r="M4" s="53"/>
    </row>
    <row r="5" s="40" customFormat="1" ht="20.25" spans="1:14">
      <c r="A5" s="54">
        <v>45629</v>
      </c>
      <c r="B5" s="55">
        <v>4</v>
      </c>
      <c r="C5" s="56">
        <v>45628</v>
      </c>
      <c r="D5" s="56"/>
      <c r="E5" s="56"/>
      <c r="F5" s="44" t="s">
        <v>23</v>
      </c>
      <c r="G5" s="57">
        <v>6</v>
      </c>
      <c r="H5" s="57">
        <v>28</v>
      </c>
      <c r="I5" s="57">
        <f t="shared" si="0"/>
        <v>168</v>
      </c>
      <c r="J5" s="58">
        <v>8.6</v>
      </c>
      <c r="K5" s="58">
        <f t="shared" si="1"/>
        <v>1444.8</v>
      </c>
      <c r="L5" s="50" t="s">
        <v>24</v>
      </c>
      <c r="M5" s="59"/>
    </row>
    <row r="6" s="41" customFormat="1" ht="20.25" spans="1:14">
      <c r="A6" s="61">
        <v>45640</v>
      </c>
      <c r="B6" s="62">
        <v>50</v>
      </c>
      <c r="C6" s="63">
        <v>45640</v>
      </c>
      <c r="D6" s="63"/>
      <c r="E6" s="63"/>
      <c r="F6" s="45" t="s">
        <v>25</v>
      </c>
      <c r="G6" s="64">
        <v>1</v>
      </c>
      <c r="H6" s="64">
        <v>0.3</v>
      </c>
      <c r="I6" s="57">
        <f t="shared" si="0"/>
        <v>0.3</v>
      </c>
      <c r="J6" s="65">
        <v>8.5</v>
      </c>
      <c r="K6" s="65">
        <f t="shared" si="1"/>
        <v>2.55</v>
      </c>
      <c r="L6" s="50" t="s">
        <v>24</v>
      </c>
      <c r="M6" s="66"/>
    </row>
    <row r="7" s="40" customFormat="1" ht="20.25" spans="1:14">
      <c r="A7" s="61">
        <v>45640</v>
      </c>
      <c r="B7" s="62">
        <v>50</v>
      </c>
      <c r="C7" s="63">
        <v>45640</v>
      </c>
      <c r="D7" s="63"/>
      <c r="E7" s="63"/>
      <c r="F7" s="44" t="s">
        <v>26</v>
      </c>
      <c r="G7" s="57">
        <v>1</v>
      </c>
      <c r="H7" s="57">
        <v>0.8</v>
      </c>
      <c r="I7" s="57">
        <f t="shared" si="0"/>
        <v>0.8</v>
      </c>
      <c r="J7" s="58">
        <v>8.5</v>
      </c>
      <c r="K7" s="65">
        <f t="shared" si="1"/>
        <v>6.8</v>
      </c>
      <c r="L7" s="50" t="s">
        <v>24</v>
      </c>
      <c r="M7" s="59"/>
    </row>
    <row r="8" s="40" customFormat="1" ht="20.25" spans="1:14">
      <c r="A8" s="61">
        <v>45640</v>
      </c>
      <c r="B8" s="62">
        <v>50</v>
      </c>
      <c r="C8" s="63">
        <v>45640</v>
      </c>
      <c r="D8" s="63"/>
      <c r="E8" s="63"/>
      <c r="F8" s="44" t="s">
        <v>27</v>
      </c>
      <c r="G8" s="57">
        <v>1</v>
      </c>
      <c r="H8" s="57">
        <v>0.3</v>
      </c>
      <c r="I8" s="57">
        <f t="shared" si="0"/>
        <v>0.3</v>
      </c>
      <c r="J8" s="58">
        <v>7.3</v>
      </c>
      <c r="K8" s="65">
        <f t="shared" si="1"/>
        <v>2.19</v>
      </c>
      <c r="L8" s="50" t="s">
        <v>24</v>
      </c>
      <c r="M8" s="59"/>
    </row>
    <row r="9" s="41" customFormat="1" ht="20.25" spans="1:14">
      <c r="A9" s="61">
        <v>45640</v>
      </c>
      <c r="B9" s="62">
        <v>50</v>
      </c>
      <c r="C9" s="63">
        <v>45640</v>
      </c>
      <c r="D9" s="63"/>
      <c r="E9" s="63"/>
      <c r="F9" s="45" t="s">
        <v>28</v>
      </c>
      <c r="G9" s="64">
        <v>1</v>
      </c>
      <c r="H9" s="64">
        <v>0.6</v>
      </c>
      <c r="I9" s="57">
        <f t="shared" si="0"/>
        <v>0.6</v>
      </c>
      <c r="J9" s="65">
        <v>7</v>
      </c>
      <c r="K9" s="65">
        <f t="shared" si="1"/>
        <v>4.2</v>
      </c>
      <c r="L9" s="50" t="s">
        <v>24</v>
      </c>
      <c r="M9" s="66"/>
    </row>
    <row r="10" s="42" customFormat="1" ht="20.25" spans="1:14">
      <c r="A10" s="61">
        <v>45640</v>
      </c>
      <c r="B10" s="62">
        <v>50</v>
      </c>
      <c r="C10" s="63">
        <v>45640</v>
      </c>
      <c r="D10" s="63"/>
      <c r="E10" s="63"/>
      <c r="F10" s="45" t="s">
        <v>29</v>
      </c>
      <c r="G10" s="64">
        <v>2</v>
      </c>
      <c r="H10" s="64">
        <v>1</v>
      </c>
      <c r="I10" s="57">
        <f t="shared" si="0"/>
        <v>2</v>
      </c>
      <c r="J10" s="65">
        <v>5.5</v>
      </c>
      <c r="K10" s="65">
        <f t="shared" si="1"/>
        <v>11</v>
      </c>
      <c r="L10" s="45">
        <f>SUM(K6:K9)</f>
        <v>15.74</v>
      </c>
      <c r="M10" s="66"/>
      <c r="N10" s="45"/>
    </row>
    <row r="11" s="40" customFormat="1" ht="20.25" spans="1:14">
      <c r="A11" s="54">
        <v>45653</v>
      </c>
      <c r="B11" s="55">
        <v>83</v>
      </c>
      <c r="C11" s="56">
        <v>45653</v>
      </c>
      <c r="D11" s="56"/>
      <c r="E11" s="56"/>
      <c r="F11" s="44" t="s">
        <v>23</v>
      </c>
      <c r="G11" s="57">
        <v>2</v>
      </c>
      <c r="H11" s="57">
        <v>28</v>
      </c>
      <c r="I11" s="57">
        <f t="shared" si="0"/>
        <v>56</v>
      </c>
      <c r="J11" s="58">
        <v>8.6</v>
      </c>
      <c r="K11" s="58">
        <f t="shared" si="1"/>
        <v>481.6</v>
      </c>
      <c r="L11" s="50" t="s">
        <v>24</v>
      </c>
      <c r="M11" s="59"/>
    </row>
    <row r="12" s="43" customFormat="1" ht="20.25" spans="1:14">
      <c r="A12" s="67">
        <v>45663</v>
      </c>
      <c r="B12" s="68">
        <v>15</v>
      </c>
      <c r="C12" s="69">
        <v>45661</v>
      </c>
      <c r="D12" s="69"/>
      <c r="E12" s="69"/>
      <c r="F12" s="43" t="s">
        <v>10</v>
      </c>
      <c r="G12" s="70">
        <v>4</v>
      </c>
      <c r="H12" s="70">
        <v>25</v>
      </c>
      <c r="I12" s="70">
        <f t="shared" si="0"/>
        <v>100</v>
      </c>
      <c r="J12" s="71">
        <v>1</v>
      </c>
      <c r="K12" s="71">
        <f t="shared" si="1"/>
        <v>100</v>
      </c>
      <c r="L12" s="50" t="s">
        <v>24</v>
      </c>
      <c r="M12" s="72"/>
    </row>
    <row r="13" s="43" customFormat="1" ht="20.25" spans="1:14">
      <c r="A13" s="67">
        <v>45663</v>
      </c>
      <c r="B13" s="68">
        <v>15</v>
      </c>
      <c r="C13" s="69">
        <v>45663</v>
      </c>
      <c r="D13" s="69"/>
      <c r="E13" s="69"/>
      <c r="F13" s="43" t="s">
        <v>10</v>
      </c>
      <c r="G13" s="70">
        <v>1</v>
      </c>
      <c r="H13" s="70">
        <v>20</v>
      </c>
      <c r="I13" s="70">
        <f t="shared" si="0"/>
        <v>20</v>
      </c>
      <c r="J13" s="71">
        <v>1</v>
      </c>
      <c r="K13" s="71">
        <f t="shared" si="1"/>
        <v>20</v>
      </c>
      <c r="L13" s="50" t="s">
        <v>24</v>
      </c>
      <c r="M13" s="72"/>
    </row>
    <row r="14" s="41" customFormat="1" ht="20.25" spans="1:14">
      <c r="A14" s="61">
        <v>45661</v>
      </c>
      <c r="B14" s="62">
        <v>16</v>
      </c>
      <c r="C14" s="63">
        <v>45660</v>
      </c>
      <c r="D14" s="63"/>
      <c r="E14" s="63"/>
      <c r="F14" s="45" t="s">
        <v>25</v>
      </c>
      <c r="G14" s="64">
        <v>1</v>
      </c>
      <c r="H14" s="64">
        <v>0.4</v>
      </c>
      <c r="I14" s="64">
        <f t="shared" ref="I14:I31" si="2">G14*H14</f>
        <v>0.4</v>
      </c>
      <c r="J14" s="65">
        <v>8.5</v>
      </c>
      <c r="K14" s="65">
        <f t="shared" ref="K14:K31" si="3">I14*J14</f>
        <v>3.4</v>
      </c>
      <c r="L14" s="50" t="s">
        <v>24</v>
      </c>
      <c r="M14" s="66"/>
    </row>
    <row r="15" s="41" customFormat="1" ht="20.25" spans="1:14">
      <c r="A15" s="61">
        <v>45661</v>
      </c>
      <c r="B15" s="62">
        <v>16</v>
      </c>
      <c r="C15" s="63">
        <v>45660</v>
      </c>
      <c r="D15" s="63"/>
      <c r="E15" s="63"/>
      <c r="F15" s="45" t="s">
        <v>26</v>
      </c>
      <c r="G15" s="64">
        <v>1</v>
      </c>
      <c r="H15" s="64">
        <v>1.6</v>
      </c>
      <c r="I15" s="64">
        <f t="shared" si="2"/>
        <v>1.6</v>
      </c>
      <c r="J15" s="65">
        <v>8.5</v>
      </c>
      <c r="K15" s="65">
        <f t="shared" si="3"/>
        <v>13.6</v>
      </c>
      <c r="L15" s="50" t="s">
        <v>24</v>
      </c>
      <c r="M15" s="66"/>
    </row>
    <row r="16" s="41" customFormat="1" ht="20.25" spans="1:14">
      <c r="A16" s="61">
        <v>45661</v>
      </c>
      <c r="B16" s="62">
        <v>16</v>
      </c>
      <c r="C16" s="63">
        <v>45660</v>
      </c>
      <c r="D16" s="63"/>
      <c r="E16" s="63"/>
      <c r="F16" s="45" t="s">
        <v>27</v>
      </c>
      <c r="G16" s="64">
        <v>1</v>
      </c>
      <c r="H16" s="64">
        <v>0.8</v>
      </c>
      <c r="I16" s="64">
        <f t="shared" si="2"/>
        <v>0.8</v>
      </c>
      <c r="J16" s="65">
        <v>7.3</v>
      </c>
      <c r="K16" s="65">
        <f t="shared" si="3"/>
        <v>5.84</v>
      </c>
      <c r="L16" s="50" t="s">
        <v>24</v>
      </c>
      <c r="M16" s="66"/>
    </row>
    <row r="17" s="41" customFormat="1" ht="20.25" spans="1:14">
      <c r="A17" s="61">
        <v>45661</v>
      </c>
      <c r="B17" s="62">
        <v>16</v>
      </c>
      <c r="C17" s="63">
        <v>45660</v>
      </c>
      <c r="D17" s="63"/>
      <c r="E17" s="63"/>
      <c r="F17" s="45" t="s">
        <v>28</v>
      </c>
      <c r="G17" s="64">
        <v>1</v>
      </c>
      <c r="H17" s="64">
        <v>1.2</v>
      </c>
      <c r="I17" s="64">
        <f t="shared" si="2"/>
        <v>1.2</v>
      </c>
      <c r="J17" s="65">
        <v>7</v>
      </c>
      <c r="K17" s="65">
        <f t="shared" si="3"/>
        <v>8.4</v>
      </c>
      <c r="L17" s="50" t="s">
        <v>24</v>
      </c>
      <c r="M17" s="66"/>
    </row>
    <row r="18" s="41" customFormat="1" ht="20.25" spans="1:14">
      <c r="A18" s="61">
        <v>45661</v>
      </c>
      <c r="B18" s="62">
        <v>16</v>
      </c>
      <c r="C18" s="63">
        <v>45660</v>
      </c>
      <c r="D18" s="63"/>
      <c r="E18" s="63"/>
      <c r="F18" s="45" t="s">
        <v>30</v>
      </c>
      <c r="G18" s="64">
        <v>1</v>
      </c>
      <c r="H18" s="64">
        <f>SUM(H14:H17)</f>
        <v>4</v>
      </c>
      <c r="I18" s="64">
        <f t="shared" si="2"/>
        <v>4</v>
      </c>
      <c r="J18" s="65">
        <v>0.7</v>
      </c>
      <c r="K18" s="65">
        <f t="shared" si="3"/>
        <v>2.8</v>
      </c>
      <c r="L18" s="50">
        <f>SUM(K14:K19)</f>
        <v>39.54</v>
      </c>
      <c r="M18" s="66"/>
    </row>
    <row r="19" s="42" customFormat="1" ht="20.25" spans="1:14">
      <c r="A19" s="61">
        <v>45661</v>
      </c>
      <c r="B19" s="62">
        <v>16</v>
      </c>
      <c r="C19" s="63">
        <v>45660</v>
      </c>
      <c r="D19" s="63"/>
      <c r="E19" s="63"/>
      <c r="F19" s="45" t="s">
        <v>29</v>
      </c>
      <c r="G19" s="64">
        <v>1</v>
      </c>
      <c r="H19" s="64">
        <v>1</v>
      </c>
      <c r="I19" s="64">
        <f t="shared" si="2"/>
        <v>1</v>
      </c>
      <c r="J19" s="65">
        <v>5.5</v>
      </c>
      <c r="K19" s="65">
        <f t="shared" si="3"/>
        <v>5.5</v>
      </c>
      <c r="L19" s="50" t="s">
        <v>24</v>
      </c>
      <c r="M19" s="66"/>
      <c r="N19" s="45"/>
    </row>
    <row r="20" s="44" customFormat="1" ht="20.25" spans="1:14">
      <c r="A20" s="61">
        <v>45661</v>
      </c>
      <c r="B20" s="62">
        <v>16</v>
      </c>
      <c r="C20" s="63">
        <v>45660</v>
      </c>
      <c r="D20" s="63"/>
      <c r="E20" s="63"/>
      <c r="F20" s="73" t="s">
        <v>31</v>
      </c>
      <c r="G20" s="74">
        <v>1</v>
      </c>
      <c r="H20" s="74">
        <v>3</v>
      </c>
      <c r="I20" s="64">
        <f t="shared" si="2"/>
        <v>3</v>
      </c>
      <c r="J20" s="52">
        <v>17.5</v>
      </c>
      <c r="K20" s="65">
        <f t="shared" si="3"/>
        <v>52.5</v>
      </c>
      <c r="L20" s="44" t="s">
        <v>32</v>
      </c>
      <c r="M20" s="59"/>
      <c r="N20" s="45"/>
    </row>
    <row r="21" s="44" customFormat="1" ht="20.25" spans="1:14">
      <c r="A21" s="61">
        <v>45661</v>
      </c>
      <c r="B21" s="62">
        <v>16</v>
      </c>
      <c r="C21" s="63">
        <v>45660</v>
      </c>
      <c r="D21" s="63"/>
      <c r="E21" s="63"/>
      <c r="F21" s="73" t="s">
        <v>33</v>
      </c>
      <c r="G21" s="74">
        <v>1</v>
      </c>
      <c r="H21" s="74">
        <v>1.5</v>
      </c>
      <c r="I21" s="64">
        <f t="shared" si="2"/>
        <v>1.5</v>
      </c>
      <c r="J21" s="52">
        <v>14.5</v>
      </c>
      <c r="K21" s="65">
        <f t="shared" si="3"/>
        <v>21.75</v>
      </c>
      <c r="L21" s="44" t="s">
        <v>34</v>
      </c>
      <c r="M21" s="59"/>
      <c r="N21" s="45"/>
    </row>
    <row r="22" s="42" customFormat="1" ht="20.25" spans="1:14">
      <c r="A22" s="61">
        <v>45661</v>
      </c>
      <c r="B22" s="62">
        <v>16</v>
      </c>
      <c r="C22" s="63">
        <v>45660</v>
      </c>
      <c r="D22" s="63"/>
      <c r="E22" s="63"/>
      <c r="F22" s="45" t="s">
        <v>35</v>
      </c>
      <c r="G22" s="64">
        <v>1</v>
      </c>
      <c r="H22" s="64">
        <v>1</v>
      </c>
      <c r="I22" s="64">
        <f t="shared" si="2"/>
        <v>1</v>
      </c>
      <c r="J22" s="65">
        <v>5.5</v>
      </c>
      <c r="K22" s="65">
        <f t="shared" si="3"/>
        <v>5.5</v>
      </c>
      <c r="L22" s="45"/>
      <c r="M22" s="66"/>
      <c r="N22" s="45"/>
    </row>
    <row r="23" s="41" customFormat="1" ht="20.25" spans="1:14">
      <c r="A23" s="61">
        <v>45661</v>
      </c>
      <c r="B23" s="62">
        <v>16</v>
      </c>
      <c r="C23" s="63">
        <v>45660</v>
      </c>
      <c r="D23" s="63"/>
      <c r="E23" s="63"/>
      <c r="F23" s="45" t="s">
        <v>36</v>
      </c>
      <c r="G23" s="64">
        <v>1</v>
      </c>
      <c r="H23" s="64">
        <v>1</v>
      </c>
      <c r="I23" s="64">
        <f t="shared" si="2"/>
        <v>1</v>
      </c>
      <c r="J23" s="65">
        <v>5.5</v>
      </c>
      <c r="K23" s="65">
        <f t="shared" si="3"/>
        <v>5.5</v>
      </c>
      <c r="L23" s="45">
        <f>SUM(K14:K23)</f>
        <v>124.79</v>
      </c>
      <c r="M23" s="66"/>
    </row>
    <row r="24" s="40" customFormat="1" ht="20.25" spans="1:14">
      <c r="A24" s="54">
        <v>45667</v>
      </c>
      <c r="B24" s="55">
        <v>38</v>
      </c>
      <c r="C24" s="56">
        <v>45667</v>
      </c>
      <c r="D24" s="56"/>
      <c r="E24" s="56"/>
      <c r="F24" s="40" t="s">
        <v>10</v>
      </c>
      <c r="G24" s="57">
        <v>6</v>
      </c>
      <c r="H24" s="57">
        <v>25</v>
      </c>
      <c r="I24" s="57">
        <f t="shared" si="2"/>
        <v>150</v>
      </c>
      <c r="J24" s="58">
        <v>1</v>
      </c>
      <c r="K24" s="58">
        <f t="shared" si="3"/>
        <v>150</v>
      </c>
      <c r="L24" s="44"/>
      <c r="M24" s="59"/>
    </row>
    <row r="25" s="41" customFormat="1" ht="20.25" spans="1:14">
      <c r="A25" s="61">
        <v>45705</v>
      </c>
      <c r="B25" s="75">
        <v>7</v>
      </c>
      <c r="C25" s="76">
        <v>45705</v>
      </c>
      <c r="D25" s="64"/>
      <c r="E25" s="64"/>
      <c r="F25" s="41" t="s">
        <v>37</v>
      </c>
      <c r="G25" s="64">
        <v>1</v>
      </c>
      <c r="H25" s="64">
        <v>20</v>
      </c>
      <c r="I25" s="64">
        <f t="shared" si="2"/>
        <v>20</v>
      </c>
      <c r="J25" s="64">
        <v>15.2</v>
      </c>
      <c r="K25" s="65">
        <f t="shared" si="3"/>
        <v>304</v>
      </c>
      <c r="L25" s="77" t="s">
        <v>38</v>
      </c>
      <c r="M25" s="66"/>
      <c r="N25" s="50" t="s">
        <v>24</v>
      </c>
    </row>
    <row r="26" s="41" customFormat="1" ht="20.25" spans="1:14">
      <c r="A26" s="61">
        <v>45705</v>
      </c>
      <c r="B26" s="75">
        <v>7</v>
      </c>
      <c r="C26" s="76">
        <v>45705</v>
      </c>
      <c r="D26" s="64"/>
      <c r="E26" s="64"/>
      <c r="F26" s="41" t="s">
        <v>39</v>
      </c>
      <c r="G26" s="64">
        <v>1</v>
      </c>
      <c r="H26" s="64">
        <v>10</v>
      </c>
      <c r="I26" s="64">
        <f t="shared" si="2"/>
        <v>10</v>
      </c>
      <c r="J26" s="64">
        <v>15.4</v>
      </c>
      <c r="K26" s="65">
        <f t="shared" si="3"/>
        <v>154</v>
      </c>
      <c r="L26" s="41" t="s">
        <v>34</v>
      </c>
      <c r="M26" s="66">
        <f>SUM(K25:K26)</f>
        <v>458</v>
      </c>
      <c r="N26" s="50" t="s">
        <v>24</v>
      </c>
    </row>
    <row r="27" s="40" customFormat="1" ht="20.25" spans="1:14">
      <c r="A27" s="54">
        <v>45706</v>
      </c>
      <c r="B27" s="55">
        <v>10</v>
      </c>
      <c r="C27" s="56">
        <v>45703</v>
      </c>
      <c r="D27" s="56"/>
      <c r="E27" s="56"/>
      <c r="F27" s="40" t="s">
        <v>10</v>
      </c>
      <c r="G27" s="57">
        <v>10</v>
      </c>
      <c r="H27" s="57">
        <v>25</v>
      </c>
      <c r="I27" s="57">
        <f t="shared" si="2"/>
        <v>250</v>
      </c>
      <c r="J27" s="58">
        <v>1</v>
      </c>
      <c r="K27" s="58">
        <f t="shared" si="3"/>
        <v>250</v>
      </c>
      <c r="L27" s="50" t="s">
        <v>24</v>
      </c>
      <c r="M27" s="59"/>
    </row>
    <row r="28" s="41" customFormat="1" ht="20.25" spans="1:14">
      <c r="A28" s="61">
        <v>45706</v>
      </c>
      <c r="B28" s="62">
        <v>11</v>
      </c>
      <c r="C28" s="63">
        <v>45706</v>
      </c>
      <c r="D28" s="63"/>
      <c r="E28" s="63"/>
      <c r="F28" s="45" t="s">
        <v>23</v>
      </c>
      <c r="G28" s="64">
        <v>5</v>
      </c>
      <c r="H28" s="64">
        <v>28</v>
      </c>
      <c r="I28" s="64">
        <f t="shared" si="2"/>
        <v>140</v>
      </c>
      <c r="J28" s="65">
        <v>8.6</v>
      </c>
      <c r="K28" s="65">
        <f t="shared" si="3"/>
        <v>1204</v>
      </c>
      <c r="L28" s="50" t="s">
        <v>24</v>
      </c>
      <c r="M28" s="66"/>
    </row>
    <row r="29" s="41" customFormat="1" ht="20.25" spans="1:14">
      <c r="A29" s="61">
        <v>45706</v>
      </c>
      <c r="B29" s="62">
        <v>11</v>
      </c>
      <c r="C29" s="63">
        <v>45706</v>
      </c>
      <c r="D29" s="63"/>
      <c r="E29" s="63"/>
      <c r="F29" s="41" t="s">
        <v>10</v>
      </c>
      <c r="G29" s="64">
        <v>20</v>
      </c>
      <c r="H29" s="64">
        <v>25</v>
      </c>
      <c r="I29" s="64">
        <f t="shared" si="2"/>
        <v>500</v>
      </c>
      <c r="J29" s="65">
        <v>1</v>
      </c>
      <c r="K29" s="65">
        <f t="shared" si="3"/>
        <v>500</v>
      </c>
      <c r="L29" s="50" t="s">
        <v>24</v>
      </c>
      <c r="M29" s="66">
        <f>SUM(K28:K29)</f>
        <v>1704</v>
      </c>
    </row>
    <row r="30" s="40" customFormat="1" ht="20.25" spans="1:14">
      <c r="A30" s="54">
        <v>45716</v>
      </c>
      <c r="B30" s="55">
        <v>25</v>
      </c>
      <c r="C30" s="56">
        <v>45713</v>
      </c>
      <c r="D30" s="56"/>
      <c r="E30" s="56"/>
      <c r="F30" s="40" t="s">
        <v>10</v>
      </c>
      <c r="G30" s="57">
        <v>1</v>
      </c>
      <c r="H30" s="57">
        <v>25</v>
      </c>
      <c r="I30" s="57">
        <f t="shared" si="2"/>
        <v>25</v>
      </c>
      <c r="J30" s="58">
        <v>1</v>
      </c>
      <c r="K30" s="58">
        <f t="shared" si="3"/>
        <v>25</v>
      </c>
      <c r="L30" s="44" t="s">
        <v>24</v>
      </c>
      <c r="M30" s="59"/>
    </row>
    <row r="31" s="40" customFormat="1" ht="20.25" spans="1:14">
      <c r="A31" s="54">
        <v>45716</v>
      </c>
      <c r="B31" s="55">
        <v>25</v>
      </c>
      <c r="C31" s="56">
        <v>45716</v>
      </c>
      <c r="D31" s="56"/>
      <c r="E31" s="56"/>
      <c r="F31" s="40" t="s">
        <v>10</v>
      </c>
      <c r="G31" s="57">
        <v>1</v>
      </c>
      <c r="H31" s="57">
        <v>25</v>
      </c>
      <c r="I31" s="57">
        <f t="shared" si="2"/>
        <v>25</v>
      </c>
      <c r="J31" s="58">
        <v>1</v>
      </c>
      <c r="K31" s="58">
        <f t="shared" si="3"/>
        <v>25</v>
      </c>
      <c r="L31" s="44" t="s">
        <v>24</v>
      </c>
      <c r="M31" s="59">
        <f>SUM(K30:K31)</f>
        <v>50</v>
      </c>
      <c r="N31" s="50" t="s">
        <v>24</v>
      </c>
    </row>
    <row r="32" s="45" customFormat="1" ht="20.25" spans="1:14">
      <c r="A32" s="61">
        <v>45716</v>
      </c>
      <c r="B32" s="62">
        <v>51</v>
      </c>
      <c r="C32" s="63">
        <v>45716</v>
      </c>
      <c r="D32" s="63"/>
      <c r="E32" s="63"/>
      <c r="F32" s="78" t="s">
        <v>40</v>
      </c>
      <c r="G32" s="79">
        <v>1</v>
      </c>
      <c r="H32" s="79">
        <v>12</v>
      </c>
      <c r="I32" s="64">
        <f t="shared" ref="I32:I46" si="4">G32*H32</f>
        <v>12</v>
      </c>
      <c r="J32" s="65">
        <v>15.5</v>
      </c>
      <c r="K32" s="65">
        <f t="shared" ref="K32:K46" si="5">I32*J32</f>
        <v>186</v>
      </c>
      <c r="M32" s="66"/>
    </row>
    <row r="33" s="41" customFormat="1" ht="20.25" spans="1:14">
      <c r="A33" s="61">
        <v>45716</v>
      </c>
      <c r="B33" s="62">
        <v>51</v>
      </c>
      <c r="C33" s="63">
        <v>45716</v>
      </c>
      <c r="D33" s="63"/>
      <c r="E33" s="63"/>
      <c r="F33" s="45" t="s">
        <v>41</v>
      </c>
      <c r="G33" s="64">
        <v>1</v>
      </c>
      <c r="H33" s="64">
        <v>3</v>
      </c>
      <c r="I33" s="64">
        <f t="shared" si="4"/>
        <v>3</v>
      </c>
      <c r="J33" s="65">
        <v>7.5</v>
      </c>
      <c r="K33" s="65">
        <f t="shared" si="5"/>
        <v>22.5</v>
      </c>
      <c r="L33" s="45"/>
      <c r="M33" s="66"/>
    </row>
    <row r="34" s="45" customFormat="1" ht="20.25" spans="1:14">
      <c r="A34" s="61">
        <v>45716</v>
      </c>
      <c r="B34" s="62">
        <v>51</v>
      </c>
      <c r="C34" s="63">
        <v>45716</v>
      </c>
      <c r="D34" s="63"/>
      <c r="E34" s="63"/>
      <c r="F34" s="78" t="s">
        <v>42</v>
      </c>
      <c r="G34" s="79">
        <v>1</v>
      </c>
      <c r="H34" s="79">
        <v>200</v>
      </c>
      <c r="I34" s="64">
        <f t="shared" si="4"/>
        <v>200</v>
      </c>
      <c r="J34" s="65"/>
      <c r="K34" s="65"/>
      <c r="L34" s="50" t="s">
        <v>24</v>
      </c>
      <c r="M34" s="40"/>
    </row>
    <row r="35" s="45" customFormat="1" ht="20.25" spans="1:14">
      <c r="A35" s="61">
        <v>45716</v>
      </c>
      <c r="B35" s="62">
        <v>51</v>
      </c>
      <c r="C35" s="63">
        <v>45716</v>
      </c>
      <c r="D35" s="63"/>
      <c r="E35" s="63"/>
      <c r="F35" s="78" t="s">
        <v>43</v>
      </c>
      <c r="G35" s="79">
        <v>1</v>
      </c>
      <c r="H35" s="79">
        <f>SUM(H32:H34)</f>
        <v>215</v>
      </c>
      <c r="I35" s="64">
        <f t="shared" si="4"/>
        <v>215</v>
      </c>
      <c r="J35" s="65">
        <v>1</v>
      </c>
      <c r="K35" s="65">
        <f t="shared" si="5"/>
        <v>215</v>
      </c>
      <c r="L35" s="45">
        <f>SUM(K32:K35)</f>
        <v>423.5</v>
      </c>
      <c r="M35" s="66"/>
    </row>
    <row r="36" s="40" customFormat="1" ht="20.25" spans="1:14">
      <c r="A36" s="54">
        <v>45719</v>
      </c>
      <c r="B36" s="55">
        <v>6</v>
      </c>
      <c r="C36" s="56">
        <v>45719</v>
      </c>
      <c r="D36" s="56"/>
      <c r="E36" s="56"/>
      <c r="F36" s="40" t="s">
        <v>10</v>
      </c>
      <c r="G36" s="57">
        <v>1</v>
      </c>
      <c r="H36" s="57">
        <v>25</v>
      </c>
      <c r="I36" s="57">
        <f t="shared" si="4"/>
        <v>25</v>
      </c>
      <c r="J36" s="58">
        <v>1</v>
      </c>
      <c r="K36" s="58">
        <f t="shared" si="5"/>
        <v>25</v>
      </c>
      <c r="L36" s="50" t="s">
        <v>24</v>
      </c>
      <c r="N36" s="44"/>
    </row>
    <row r="37" s="45" customFormat="1" ht="20.25" spans="1:14">
      <c r="A37" s="61">
        <v>45726</v>
      </c>
      <c r="B37" s="62">
        <v>32</v>
      </c>
      <c r="C37" s="63" t="s">
        <v>44</v>
      </c>
      <c r="D37" s="63"/>
      <c r="E37" s="63"/>
      <c r="F37" s="41" t="s">
        <v>10</v>
      </c>
      <c r="G37" s="64">
        <v>1</v>
      </c>
      <c r="H37" s="64">
        <v>25</v>
      </c>
      <c r="I37" s="64">
        <f t="shared" si="4"/>
        <v>25</v>
      </c>
      <c r="J37" s="65">
        <v>1</v>
      </c>
      <c r="K37" s="65">
        <f t="shared" si="5"/>
        <v>25</v>
      </c>
      <c r="L37" s="50" t="s">
        <v>24</v>
      </c>
      <c r="M37" s="40"/>
    </row>
    <row r="38" s="44" customFormat="1" ht="20.25" spans="1:14">
      <c r="A38" s="54">
        <v>45729</v>
      </c>
      <c r="B38" s="55">
        <v>49</v>
      </c>
      <c r="C38" s="56">
        <v>45728</v>
      </c>
      <c r="D38" s="56"/>
      <c r="E38" s="56"/>
      <c r="F38" s="40" t="s">
        <v>10</v>
      </c>
      <c r="G38" s="57">
        <v>1</v>
      </c>
      <c r="H38" s="57">
        <v>25</v>
      </c>
      <c r="I38" s="57">
        <f t="shared" si="4"/>
        <v>25</v>
      </c>
      <c r="J38" s="58">
        <v>1</v>
      </c>
      <c r="K38" s="58">
        <f t="shared" si="5"/>
        <v>25</v>
      </c>
      <c r="L38" s="44" t="s">
        <v>24</v>
      </c>
      <c r="M38" s="40"/>
    </row>
    <row r="39" s="45" customFormat="1" ht="20.25" spans="1:14">
      <c r="A39" s="61">
        <v>45734</v>
      </c>
      <c r="B39" s="62">
        <v>67</v>
      </c>
      <c r="C39" s="63">
        <v>45733</v>
      </c>
      <c r="D39" s="63"/>
      <c r="E39" s="63"/>
      <c r="F39" s="41" t="s">
        <v>10</v>
      </c>
      <c r="G39" s="64">
        <v>4</v>
      </c>
      <c r="H39" s="64">
        <v>25</v>
      </c>
      <c r="I39" s="64">
        <f t="shared" si="4"/>
        <v>100</v>
      </c>
      <c r="J39" s="65">
        <v>1</v>
      </c>
      <c r="K39" s="65">
        <f t="shared" si="5"/>
        <v>100</v>
      </c>
      <c r="L39" s="45" t="s">
        <v>24</v>
      </c>
      <c r="M39" s="41"/>
    </row>
    <row r="40" s="41" customFormat="1" ht="20.25" spans="1:14">
      <c r="A40" s="61">
        <v>45734</v>
      </c>
      <c r="B40" s="62">
        <v>67</v>
      </c>
      <c r="C40" s="63">
        <v>45735</v>
      </c>
      <c r="D40" s="63"/>
      <c r="E40" s="63"/>
      <c r="F40" s="41" t="s">
        <v>45</v>
      </c>
      <c r="G40" s="64">
        <v>4</v>
      </c>
      <c r="H40" s="64">
        <v>1</v>
      </c>
      <c r="I40" s="64">
        <f t="shared" si="4"/>
        <v>4</v>
      </c>
      <c r="J40" s="65">
        <v>13</v>
      </c>
      <c r="K40" s="65">
        <f t="shared" si="5"/>
        <v>52</v>
      </c>
      <c r="L40" s="45" t="s">
        <v>24</v>
      </c>
      <c r="M40" s="66">
        <f>SUM(K39:K40)</f>
        <v>152</v>
      </c>
    </row>
    <row r="41" s="44" customFormat="1" ht="20.25" spans="1:14">
      <c r="A41" s="54">
        <v>45740</v>
      </c>
      <c r="B41" s="55" t="s">
        <v>46</v>
      </c>
      <c r="C41" s="56">
        <v>45740</v>
      </c>
      <c r="D41" s="56"/>
      <c r="E41" s="56"/>
      <c r="F41" s="40" t="s">
        <v>47</v>
      </c>
      <c r="G41" s="57">
        <v>1</v>
      </c>
      <c r="H41" s="57">
        <v>9</v>
      </c>
      <c r="I41" s="57">
        <f t="shared" si="4"/>
        <v>9</v>
      </c>
      <c r="J41" s="58">
        <v>9</v>
      </c>
      <c r="K41" s="58">
        <f t="shared" si="5"/>
        <v>81</v>
      </c>
      <c r="M41" s="40"/>
    </row>
    <row r="42" s="44" customFormat="1" ht="20.25" spans="1:14">
      <c r="A42" s="54">
        <v>45740</v>
      </c>
      <c r="B42" s="55" t="s">
        <v>46</v>
      </c>
      <c r="C42" s="56">
        <v>45740</v>
      </c>
      <c r="D42" s="56"/>
      <c r="E42" s="56"/>
      <c r="F42" s="40" t="s">
        <v>48</v>
      </c>
      <c r="G42" s="57">
        <v>1</v>
      </c>
      <c r="H42" s="57">
        <v>9</v>
      </c>
      <c r="I42" s="57">
        <f t="shared" si="4"/>
        <v>9</v>
      </c>
      <c r="J42" s="58">
        <v>7.5</v>
      </c>
      <c r="K42" s="58">
        <f t="shared" ref="K42:K59" si="6">I42*J42</f>
        <v>67.5</v>
      </c>
      <c r="M42" s="40"/>
    </row>
    <row r="43" s="44" customFormat="1" ht="20.25" spans="1:14">
      <c r="A43" s="54">
        <v>45740</v>
      </c>
      <c r="B43" s="55" t="s">
        <v>46</v>
      </c>
      <c r="C43" s="56">
        <v>45740</v>
      </c>
      <c r="D43" s="56"/>
      <c r="E43" s="56"/>
      <c r="F43" s="40" t="s">
        <v>30</v>
      </c>
      <c r="G43" s="57">
        <v>1</v>
      </c>
      <c r="H43" s="57">
        <f>SUM(H41:H42)</f>
        <v>18</v>
      </c>
      <c r="I43" s="57">
        <f t="shared" si="4"/>
        <v>18</v>
      </c>
      <c r="J43" s="58">
        <v>0.7</v>
      </c>
      <c r="K43" s="58">
        <f t="shared" si="6"/>
        <v>12.6</v>
      </c>
      <c r="L43" s="44">
        <f>SUM(K41:K44)</f>
        <v>172.6</v>
      </c>
      <c r="M43" s="40"/>
    </row>
    <row r="44" s="40" customFormat="1" ht="20.25" spans="1:14">
      <c r="A44" s="54">
        <v>45740</v>
      </c>
      <c r="B44" s="55" t="s">
        <v>46</v>
      </c>
      <c r="C44" s="56">
        <v>45740</v>
      </c>
      <c r="D44" s="56"/>
      <c r="E44" s="56"/>
      <c r="F44" s="80" t="s">
        <v>49</v>
      </c>
      <c r="G44" s="81">
        <v>1</v>
      </c>
      <c r="H44" s="81">
        <v>1</v>
      </c>
      <c r="I44" s="81">
        <f t="shared" si="4"/>
        <v>1</v>
      </c>
      <c r="J44" s="82">
        <v>11.5</v>
      </c>
      <c r="K44" s="82">
        <f t="shared" si="6"/>
        <v>11.5</v>
      </c>
      <c r="L44" s="44"/>
      <c r="M44" s="59"/>
    </row>
    <row r="45" s="44" customFormat="1" ht="20.25" spans="1:14">
      <c r="A45" s="54">
        <v>45740</v>
      </c>
      <c r="B45" s="55" t="s">
        <v>46</v>
      </c>
      <c r="C45" s="56">
        <v>45740</v>
      </c>
      <c r="D45" s="56"/>
      <c r="E45" s="56"/>
      <c r="F45" s="40" t="s">
        <v>47</v>
      </c>
      <c r="G45" s="57">
        <v>1</v>
      </c>
      <c r="H45" s="57">
        <v>0.75</v>
      </c>
      <c r="I45" s="57">
        <f t="shared" si="4"/>
        <v>0.75</v>
      </c>
      <c r="J45" s="58">
        <v>9</v>
      </c>
      <c r="K45" s="58">
        <f t="shared" si="6"/>
        <v>6.75</v>
      </c>
      <c r="M45" s="40"/>
    </row>
    <row r="46" s="44" customFormat="1" ht="20.25" spans="1:14">
      <c r="A46" s="54">
        <v>45740</v>
      </c>
      <c r="B46" s="55" t="s">
        <v>46</v>
      </c>
      <c r="C46" s="56">
        <v>45740</v>
      </c>
      <c r="D46" s="56"/>
      <c r="E46" s="56"/>
      <c r="F46" s="40" t="s">
        <v>48</v>
      </c>
      <c r="G46" s="57">
        <v>1</v>
      </c>
      <c r="H46" s="57">
        <v>3.75</v>
      </c>
      <c r="I46" s="57">
        <f t="shared" ref="I46:I66" si="7">G46*H46</f>
        <v>3.75</v>
      </c>
      <c r="J46" s="58">
        <v>7.5</v>
      </c>
      <c r="K46" s="58">
        <f t="shared" si="6"/>
        <v>28.125</v>
      </c>
      <c r="M46" s="40"/>
    </row>
    <row r="47" s="44" customFormat="1" ht="20.25" spans="1:14">
      <c r="A47" s="54">
        <v>45740</v>
      </c>
      <c r="B47" s="55" t="s">
        <v>46</v>
      </c>
      <c r="C47" s="56">
        <v>45740</v>
      </c>
      <c r="D47" s="56"/>
      <c r="E47" s="56"/>
      <c r="F47" s="40" t="s">
        <v>50</v>
      </c>
      <c r="G47" s="57">
        <v>1</v>
      </c>
      <c r="H47" s="57">
        <v>1.5</v>
      </c>
      <c r="I47" s="57">
        <f t="shared" si="7"/>
        <v>1.5</v>
      </c>
      <c r="J47" s="58">
        <v>3.5</v>
      </c>
      <c r="K47" s="58">
        <f t="shared" si="6"/>
        <v>5.25</v>
      </c>
      <c r="M47" s="40"/>
    </row>
    <row r="48" s="44" customFormat="1" ht="20.25" spans="1:14">
      <c r="A48" s="54">
        <v>45740</v>
      </c>
      <c r="B48" s="55" t="s">
        <v>46</v>
      </c>
      <c r="C48" s="56">
        <v>45740</v>
      </c>
      <c r="D48" s="56"/>
      <c r="E48" s="56"/>
      <c r="F48" s="40" t="s">
        <v>51</v>
      </c>
      <c r="G48" s="57">
        <v>1</v>
      </c>
      <c r="H48" s="57">
        <v>1.5</v>
      </c>
      <c r="I48" s="57">
        <f t="shared" si="7"/>
        <v>1.5</v>
      </c>
      <c r="J48" s="58">
        <v>6.6</v>
      </c>
      <c r="K48" s="58">
        <f t="shared" si="6"/>
        <v>9.9</v>
      </c>
      <c r="M48" s="40"/>
    </row>
    <row r="49" s="44" customFormat="1" ht="20.25" spans="1:14">
      <c r="A49" s="54">
        <v>45740</v>
      </c>
      <c r="B49" s="55" t="s">
        <v>46</v>
      </c>
      <c r="C49" s="56">
        <v>45740</v>
      </c>
      <c r="D49" s="56"/>
      <c r="E49" s="56"/>
      <c r="F49" s="40" t="s">
        <v>52</v>
      </c>
      <c r="G49" s="57">
        <v>1</v>
      </c>
      <c r="H49" s="57">
        <v>4.5</v>
      </c>
      <c r="I49" s="57">
        <f t="shared" si="7"/>
        <v>4.5</v>
      </c>
      <c r="J49" s="58">
        <v>3.8</v>
      </c>
      <c r="K49" s="58">
        <f t="shared" si="6"/>
        <v>17.1</v>
      </c>
      <c r="M49" s="40"/>
    </row>
    <row r="50" s="44" customFormat="1" ht="20.25" spans="1:14">
      <c r="A50" s="54">
        <v>45740</v>
      </c>
      <c r="B50" s="55" t="s">
        <v>46</v>
      </c>
      <c r="C50" s="56">
        <v>45740</v>
      </c>
      <c r="D50" s="56"/>
      <c r="E50" s="56"/>
      <c r="F50" s="40" t="s">
        <v>53</v>
      </c>
      <c r="G50" s="57">
        <v>1</v>
      </c>
      <c r="H50" s="57">
        <v>3</v>
      </c>
      <c r="I50" s="57">
        <f t="shared" si="7"/>
        <v>3</v>
      </c>
      <c r="J50" s="58">
        <v>3.5</v>
      </c>
      <c r="K50" s="58">
        <f t="shared" si="6"/>
        <v>10.5</v>
      </c>
      <c r="M50" s="40"/>
    </row>
    <row r="51" s="44" customFormat="1" ht="20.25" spans="1:14">
      <c r="A51" s="54">
        <v>45740</v>
      </c>
      <c r="B51" s="55" t="s">
        <v>46</v>
      </c>
      <c r="C51" s="56">
        <v>45740</v>
      </c>
      <c r="D51" s="56"/>
      <c r="E51" s="56"/>
      <c r="F51" s="40" t="s">
        <v>30</v>
      </c>
      <c r="G51" s="57">
        <v>1</v>
      </c>
      <c r="H51" s="57">
        <f>SUM(H45:H50)</f>
        <v>15</v>
      </c>
      <c r="I51" s="57">
        <f t="shared" si="7"/>
        <v>15</v>
      </c>
      <c r="J51" s="58">
        <v>0.7</v>
      </c>
      <c r="K51" s="58">
        <f t="shared" si="6"/>
        <v>10.5</v>
      </c>
      <c r="M51" s="40"/>
    </row>
    <row r="52" s="40" customFormat="1" ht="20.25" spans="1:14">
      <c r="A52" s="54">
        <v>45740</v>
      </c>
      <c r="B52" s="55" t="s">
        <v>46</v>
      </c>
      <c r="C52" s="56">
        <v>45740</v>
      </c>
      <c r="D52" s="56"/>
      <c r="E52" s="56"/>
      <c r="F52" s="80" t="s">
        <v>54</v>
      </c>
      <c r="G52" s="81">
        <v>1</v>
      </c>
      <c r="H52" s="81">
        <v>1</v>
      </c>
      <c r="I52" s="81">
        <f t="shared" si="7"/>
        <v>1</v>
      </c>
      <c r="J52" s="82">
        <v>11.5</v>
      </c>
      <c r="K52" s="82">
        <f t="shared" si="6"/>
        <v>11.5</v>
      </c>
      <c r="L52" s="44"/>
      <c r="M52" s="83">
        <f>SUM(K41:K52)</f>
        <v>272.225</v>
      </c>
    </row>
    <row r="53" s="41" customFormat="1" ht="20.25" spans="1:14">
      <c r="A53" s="61">
        <v>45740</v>
      </c>
      <c r="B53" s="62">
        <v>95</v>
      </c>
      <c r="C53" s="63">
        <v>45740</v>
      </c>
      <c r="D53" s="63"/>
      <c r="E53" s="63"/>
      <c r="F53" s="45" t="s">
        <v>23</v>
      </c>
      <c r="G53" s="64">
        <v>4</v>
      </c>
      <c r="H53" s="64">
        <v>28</v>
      </c>
      <c r="I53" s="64">
        <f t="shared" si="7"/>
        <v>112</v>
      </c>
      <c r="J53" s="65">
        <v>8.6</v>
      </c>
      <c r="K53" s="65">
        <f t="shared" si="6"/>
        <v>963.2</v>
      </c>
      <c r="L53" s="66" t="s">
        <v>55</v>
      </c>
    </row>
    <row r="54" s="41" customFormat="1" ht="20.25" spans="1:14">
      <c r="A54" s="61">
        <v>45740</v>
      </c>
      <c r="B54" s="62">
        <v>95</v>
      </c>
      <c r="C54" s="63">
        <v>45740</v>
      </c>
      <c r="D54" s="63"/>
      <c r="E54" s="63"/>
      <c r="F54" s="41" t="s">
        <v>56</v>
      </c>
      <c r="G54" s="64">
        <v>2</v>
      </c>
      <c r="H54" s="64">
        <v>1</v>
      </c>
      <c r="I54" s="64">
        <f t="shared" si="7"/>
        <v>2</v>
      </c>
      <c r="J54" s="65">
        <v>42</v>
      </c>
      <c r="K54" s="65">
        <f t="shared" si="6"/>
        <v>84</v>
      </c>
      <c r="L54" s="45"/>
      <c r="M54" s="66">
        <f>SUM(K53:K54)</f>
        <v>1047.2</v>
      </c>
    </row>
    <row r="55" s="40" customFormat="1" ht="20.25" spans="1:14">
      <c r="A55" s="54">
        <v>45742</v>
      </c>
      <c r="B55" s="84">
        <v>100</v>
      </c>
      <c r="C55" s="85">
        <v>45741</v>
      </c>
      <c r="D55" s="57"/>
      <c r="E55" s="57"/>
      <c r="F55" s="40" t="s">
        <v>37</v>
      </c>
      <c r="G55" s="57">
        <v>1</v>
      </c>
      <c r="H55" s="57">
        <v>20</v>
      </c>
      <c r="I55" s="57">
        <f t="shared" si="7"/>
        <v>20</v>
      </c>
      <c r="J55" s="57">
        <v>15.2</v>
      </c>
      <c r="K55" s="58">
        <f t="shared" si="6"/>
        <v>304</v>
      </c>
      <c r="L55" s="86" t="s">
        <v>38</v>
      </c>
      <c r="M55" s="59"/>
    </row>
    <row r="56" s="40" customFormat="1" ht="20.25" spans="1:14">
      <c r="A56" s="54">
        <v>45742</v>
      </c>
      <c r="B56" s="84">
        <v>100</v>
      </c>
      <c r="C56" s="85">
        <v>45741</v>
      </c>
      <c r="D56" s="57"/>
      <c r="E56" s="57"/>
      <c r="F56" s="40" t="s">
        <v>39</v>
      </c>
      <c r="G56" s="57">
        <v>1</v>
      </c>
      <c r="H56" s="57">
        <v>10</v>
      </c>
      <c r="I56" s="57">
        <f t="shared" si="7"/>
        <v>10</v>
      </c>
      <c r="J56" s="57">
        <v>15.4</v>
      </c>
      <c r="K56" s="58">
        <f t="shared" si="6"/>
        <v>154</v>
      </c>
      <c r="L56" s="40" t="s">
        <v>34</v>
      </c>
      <c r="M56" s="59">
        <f>SUM(K55:K56)</f>
        <v>458</v>
      </c>
    </row>
    <row r="57" s="45" customFormat="1" ht="20.25" spans="1:14">
      <c r="A57" s="61">
        <v>45747</v>
      </c>
      <c r="B57" s="62">
        <v>126</v>
      </c>
      <c r="C57" s="63">
        <v>45747</v>
      </c>
      <c r="D57" s="63"/>
      <c r="E57" s="63"/>
      <c r="F57" s="41" t="s">
        <v>57</v>
      </c>
      <c r="G57" s="64">
        <v>1</v>
      </c>
      <c r="H57" s="64">
        <v>34</v>
      </c>
      <c r="I57" s="64">
        <f t="shared" si="7"/>
        <v>34</v>
      </c>
      <c r="J57" s="65">
        <v>3.7</v>
      </c>
      <c r="K57" s="65">
        <f t="shared" si="6"/>
        <v>125.8</v>
      </c>
      <c r="M57" s="41"/>
    </row>
    <row r="58" s="41" customFormat="1" ht="20.25" spans="1:14">
      <c r="A58" s="61">
        <v>45747</v>
      </c>
      <c r="B58" s="62">
        <v>126</v>
      </c>
      <c r="C58" s="63">
        <v>45747</v>
      </c>
      <c r="D58" s="63"/>
      <c r="E58" s="63"/>
      <c r="F58" s="41" t="s">
        <v>58</v>
      </c>
      <c r="G58" s="64">
        <v>2</v>
      </c>
      <c r="H58" s="64">
        <v>1</v>
      </c>
      <c r="I58" s="64">
        <f t="shared" si="7"/>
        <v>2</v>
      </c>
      <c r="J58" s="65">
        <v>10</v>
      </c>
      <c r="K58" s="65">
        <f t="shared" si="6"/>
        <v>20</v>
      </c>
      <c r="L58" s="45">
        <f>SUM(K57:K58)</f>
        <v>145.8</v>
      </c>
      <c r="M58" s="66"/>
    </row>
    <row r="59" s="40" customFormat="1" ht="20.25" spans="1:14">
      <c r="A59" s="54">
        <v>45791</v>
      </c>
      <c r="B59" s="55">
        <v>38</v>
      </c>
      <c r="C59" s="56">
        <v>45782</v>
      </c>
      <c r="D59" s="56"/>
      <c r="E59" s="56"/>
      <c r="F59" s="40" t="s">
        <v>59</v>
      </c>
      <c r="G59" s="57">
        <v>3</v>
      </c>
      <c r="H59" s="57">
        <v>1</v>
      </c>
      <c r="I59" s="57">
        <f t="shared" si="7"/>
        <v>3</v>
      </c>
      <c r="J59" s="58">
        <v>2.5</v>
      </c>
      <c r="K59" s="58"/>
      <c r="L59" s="56" t="s">
        <v>60</v>
      </c>
      <c r="M59" s="56"/>
      <c r="N59" s="56"/>
    </row>
    <row r="60" s="40" customFormat="1" ht="20.25" spans="1:14">
      <c r="A60" s="54">
        <v>45791</v>
      </c>
      <c r="B60" s="55">
        <v>38</v>
      </c>
      <c r="C60" s="56">
        <v>45789</v>
      </c>
      <c r="D60" s="56"/>
      <c r="E60" s="56"/>
      <c r="F60" s="40" t="s">
        <v>10</v>
      </c>
      <c r="G60" s="57">
        <v>1</v>
      </c>
      <c r="H60" s="57">
        <v>125</v>
      </c>
      <c r="I60" s="57">
        <f t="shared" si="7"/>
        <v>125</v>
      </c>
      <c r="J60" s="58">
        <v>1</v>
      </c>
      <c r="K60" s="58">
        <f>I60*J60</f>
        <v>125</v>
      </c>
      <c r="L60" s="44" t="s">
        <v>24</v>
      </c>
      <c r="M60" s="59"/>
    </row>
    <row r="61" s="41" customFormat="1" ht="20.25" spans="1:14">
      <c r="A61" s="61">
        <v>45805</v>
      </c>
      <c r="B61" s="62">
        <v>72</v>
      </c>
      <c r="C61" s="63">
        <v>45805</v>
      </c>
      <c r="D61" s="63"/>
      <c r="E61" s="63"/>
      <c r="F61" s="41" t="s">
        <v>61</v>
      </c>
      <c r="G61" s="64">
        <v>1</v>
      </c>
      <c r="H61" s="64">
        <v>2</v>
      </c>
      <c r="I61" s="64">
        <f t="shared" si="7"/>
        <v>2</v>
      </c>
      <c r="J61" s="65">
        <v>15</v>
      </c>
      <c r="K61" s="65">
        <f>I61*J61</f>
        <v>30</v>
      </c>
      <c r="L61" s="45"/>
      <c r="M61" s="66"/>
    </row>
    <row r="62" s="41" customFormat="1" ht="20.25" spans="1:14">
      <c r="A62" s="61">
        <v>45805</v>
      </c>
      <c r="B62" s="62">
        <v>72</v>
      </c>
      <c r="C62" s="63">
        <v>45805</v>
      </c>
      <c r="D62" s="63"/>
      <c r="E62" s="63"/>
      <c r="F62" s="41" t="s">
        <v>62</v>
      </c>
      <c r="G62" s="64">
        <v>1</v>
      </c>
      <c r="H62" s="64">
        <v>1</v>
      </c>
      <c r="I62" s="64">
        <f t="shared" si="7"/>
        <v>1</v>
      </c>
      <c r="J62" s="65">
        <v>5.5</v>
      </c>
      <c r="K62" s="65">
        <f t="shared" ref="K62:K91" si="8">I62*J62</f>
        <v>5.5</v>
      </c>
      <c r="L62" s="45" t="s">
        <v>24</v>
      </c>
      <c r="M62" s="66"/>
    </row>
    <row r="63" s="40" customFormat="1" ht="20.25" spans="1:14">
      <c r="A63" s="54">
        <v>45807</v>
      </c>
      <c r="B63" s="55">
        <v>82</v>
      </c>
      <c r="C63" s="85">
        <v>45807</v>
      </c>
      <c r="D63" s="85"/>
      <c r="E63" s="85"/>
      <c r="F63" s="40" t="s">
        <v>63</v>
      </c>
      <c r="G63" s="57">
        <v>1</v>
      </c>
      <c r="H63" s="57">
        <v>240</v>
      </c>
      <c r="I63" s="57">
        <f t="shared" ref="I63:I91" si="9">G63*H63</f>
        <v>240</v>
      </c>
      <c r="J63" s="58">
        <v>1</v>
      </c>
      <c r="K63" s="58">
        <f t="shared" si="8"/>
        <v>240</v>
      </c>
      <c r="M63" s="59"/>
    </row>
    <row r="64" s="40" customFormat="1" ht="20.25" spans="1:14">
      <c r="A64" s="54">
        <v>45807</v>
      </c>
      <c r="B64" s="55">
        <v>82</v>
      </c>
      <c r="C64" s="85">
        <v>45807</v>
      </c>
      <c r="D64" s="85"/>
      <c r="E64" s="85"/>
      <c r="F64" s="40" t="s">
        <v>64</v>
      </c>
      <c r="G64" s="57">
        <v>1</v>
      </c>
      <c r="H64" s="57">
        <v>1</v>
      </c>
      <c r="I64" s="57">
        <f t="shared" si="9"/>
        <v>1</v>
      </c>
      <c r="J64" s="58">
        <v>12.5</v>
      </c>
      <c r="K64" s="58">
        <f t="shared" si="8"/>
        <v>12.5</v>
      </c>
      <c r="L64" s="44" t="s">
        <v>24</v>
      </c>
      <c r="M64" s="59"/>
    </row>
    <row r="65" s="41" customFormat="1" ht="20.25" spans="1:13">
      <c r="A65" s="61">
        <v>45812</v>
      </c>
      <c r="B65" s="62">
        <v>9</v>
      </c>
      <c r="C65" s="63">
        <v>45811</v>
      </c>
      <c r="D65" s="63"/>
      <c r="E65" s="63"/>
      <c r="F65" s="41" t="s">
        <v>61</v>
      </c>
      <c r="G65" s="64">
        <v>1</v>
      </c>
      <c r="H65" s="64">
        <v>4</v>
      </c>
      <c r="I65" s="64">
        <f t="shared" si="9"/>
        <v>4</v>
      </c>
      <c r="J65" s="65">
        <v>15</v>
      </c>
      <c r="K65" s="65">
        <f t="shared" si="8"/>
        <v>60</v>
      </c>
      <c r="L65" s="45"/>
      <c r="M65" s="66"/>
    </row>
    <row r="66" s="41" customFormat="1" ht="20.25" spans="1:13">
      <c r="A66" s="61">
        <v>45812</v>
      </c>
      <c r="B66" s="62">
        <v>9</v>
      </c>
      <c r="C66" s="63">
        <v>45811</v>
      </c>
      <c r="D66" s="63"/>
      <c r="E66" s="63"/>
      <c r="F66" s="41" t="s">
        <v>62</v>
      </c>
      <c r="G66" s="64">
        <v>1</v>
      </c>
      <c r="H66" s="64">
        <v>1</v>
      </c>
      <c r="I66" s="64">
        <f t="shared" si="9"/>
        <v>1</v>
      </c>
      <c r="J66" s="65">
        <v>5.5</v>
      </c>
      <c r="K66" s="65">
        <f t="shared" si="8"/>
        <v>5.5</v>
      </c>
      <c r="L66" s="45" t="s">
        <v>24</v>
      </c>
      <c r="M66" s="66"/>
    </row>
    <row r="67" s="41" customFormat="1" ht="20.25" spans="1:13">
      <c r="A67" s="61">
        <v>45812</v>
      </c>
      <c r="B67" s="62">
        <v>9</v>
      </c>
      <c r="C67" s="63">
        <v>45811</v>
      </c>
      <c r="D67" s="63"/>
      <c r="E67" s="63"/>
      <c r="F67" s="41" t="s">
        <v>63</v>
      </c>
      <c r="G67" s="64">
        <v>1</v>
      </c>
      <c r="H67" s="64">
        <v>330</v>
      </c>
      <c r="I67" s="64">
        <f t="shared" si="9"/>
        <v>330</v>
      </c>
      <c r="J67" s="65">
        <v>1</v>
      </c>
      <c r="K67" s="65">
        <f t="shared" si="8"/>
        <v>330</v>
      </c>
      <c r="L67" s="45">
        <f t="shared" ref="L67:L69" si="10">SUM(K65:K67)</f>
        <v>395.5</v>
      </c>
      <c r="M67" s="66"/>
    </row>
    <row r="68" s="40" customFormat="1" ht="20.25" spans="1:13">
      <c r="A68" s="54">
        <v>45816</v>
      </c>
      <c r="B68" s="55">
        <v>21</v>
      </c>
      <c r="C68" s="56">
        <v>45815</v>
      </c>
      <c r="D68" s="56"/>
      <c r="E68" s="56"/>
      <c r="F68" s="40" t="s">
        <v>63</v>
      </c>
      <c r="G68" s="57">
        <v>1</v>
      </c>
      <c r="H68" s="57">
        <v>324</v>
      </c>
      <c r="I68" s="57">
        <f t="shared" si="9"/>
        <v>324</v>
      </c>
      <c r="J68" s="58">
        <v>1</v>
      </c>
      <c r="K68" s="58">
        <f t="shared" si="8"/>
        <v>324</v>
      </c>
      <c r="L68" s="44" t="s">
        <v>24</v>
      </c>
      <c r="M68" s="59"/>
    </row>
    <row r="69" s="41" customFormat="1" ht="20.25" spans="1:13">
      <c r="A69" s="61">
        <v>45826</v>
      </c>
      <c r="B69" s="62">
        <v>45</v>
      </c>
      <c r="C69" s="63">
        <v>45821</v>
      </c>
      <c r="D69" s="63"/>
      <c r="E69" s="63"/>
      <c r="F69" s="41" t="s">
        <v>63</v>
      </c>
      <c r="G69" s="64">
        <v>1</v>
      </c>
      <c r="H69" s="64">
        <v>38</v>
      </c>
      <c r="I69" s="64">
        <f t="shared" si="9"/>
        <v>38</v>
      </c>
      <c r="J69" s="65">
        <v>1</v>
      </c>
      <c r="K69" s="65">
        <f t="shared" si="8"/>
        <v>38</v>
      </c>
      <c r="L69" s="45"/>
      <c r="M69" s="66"/>
    </row>
    <row r="70" s="41" customFormat="1" ht="20.25" spans="1:13">
      <c r="A70" s="61">
        <v>45826</v>
      </c>
      <c r="B70" s="62">
        <v>45</v>
      </c>
      <c r="C70" s="63">
        <v>45824</v>
      </c>
      <c r="D70" s="63"/>
      <c r="E70" s="63"/>
      <c r="F70" s="41" t="s">
        <v>63</v>
      </c>
      <c r="G70" s="64">
        <v>1</v>
      </c>
      <c r="H70" s="64">
        <v>25</v>
      </c>
      <c r="I70" s="64">
        <f t="shared" si="9"/>
        <v>25</v>
      </c>
      <c r="J70" s="65">
        <v>1</v>
      </c>
      <c r="K70" s="65">
        <f t="shared" si="8"/>
        <v>25</v>
      </c>
      <c r="L70" s="45"/>
      <c r="M70" s="66"/>
    </row>
    <row r="71" s="40" customFormat="1" ht="20.25" spans="1:13">
      <c r="A71" s="54">
        <v>45826</v>
      </c>
      <c r="B71" s="55">
        <v>45</v>
      </c>
      <c r="C71" s="56">
        <v>45826</v>
      </c>
      <c r="D71" s="56"/>
      <c r="E71" s="56"/>
      <c r="F71" s="40" t="s">
        <v>61</v>
      </c>
      <c r="G71" s="57">
        <v>1</v>
      </c>
      <c r="H71" s="57">
        <v>4</v>
      </c>
      <c r="I71" s="57">
        <f t="shared" si="9"/>
        <v>4</v>
      </c>
      <c r="J71" s="58">
        <v>15</v>
      </c>
      <c r="K71" s="58">
        <f t="shared" si="8"/>
        <v>60</v>
      </c>
      <c r="L71" s="44"/>
      <c r="M71" s="59"/>
    </row>
    <row r="72" s="40" customFormat="1" ht="20.25" spans="1:13">
      <c r="A72" s="54">
        <v>45826</v>
      </c>
      <c r="B72" s="55">
        <v>45</v>
      </c>
      <c r="C72" s="56">
        <v>45826</v>
      </c>
      <c r="D72" s="56"/>
      <c r="E72" s="56"/>
      <c r="F72" s="40" t="s">
        <v>65</v>
      </c>
      <c r="G72" s="57">
        <v>1</v>
      </c>
      <c r="H72" s="57">
        <v>1</v>
      </c>
      <c r="I72" s="57">
        <f t="shared" si="9"/>
        <v>1</v>
      </c>
      <c r="J72" s="58">
        <v>7</v>
      </c>
      <c r="K72" s="58">
        <f t="shared" si="8"/>
        <v>7</v>
      </c>
      <c r="L72" s="44">
        <f>SUM(K69:K72)</f>
        <v>130</v>
      </c>
      <c r="M72" s="59"/>
    </row>
    <row r="73" s="43" customFormat="1" ht="20.25" spans="1:13">
      <c r="A73" s="67">
        <v>45835</v>
      </c>
      <c r="B73" s="68">
        <v>79</v>
      </c>
      <c r="C73" s="69">
        <v>45832</v>
      </c>
      <c r="D73" s="69"/>
      <c r="E73" s="69"/>
      <c r="F73" s="43" t="s">
        <v>61</v>
      </c>
      <c r="G73" s="70">
        <v>1</v>
      </c>
      <c r="H73" s="70">
        <v>5</v>
      </c>
      <c r="I73" s="70">
        <f t="shared" si="9"/>
        <v>5</v>
      </c>
      <c r="J73" s="71">
        <v>15</v>
      </c>
      <c r="K73" s="71">
        <f t="shared" si="8"/>
        <v>75</v>
      </c>
      <c r="L73" s="87"/>
      <c r="M73" s="72"/>
    </row>
    <row r="74" s="43" customFormat="1" ht="20.25" spans="1:13">
      <c r="A74" s="67">
        <v>45835</v>
      </c>
      <c r="B74" s="68">
        <v>79</v>
      </c>
      <c r="C74" s="69">
        <v>45832</v>
      </c>
      <c r="D74" s="69"/>
      <c r="E74" s="69"/>
      <c r="F74" s="43" t="s">
        <v>65</v>
      </c>
      <c r="G74" s="70">
        <v>1</v>
      </c>
      <c r="H74" s="70">
        <v>1</v>
      </c>
      <c r="I74" s="70">
        <f t="shared" si="9"/>
        <v>1</v>
      </c>
      <c r="J74" s="71">
        <v>7</v>
      </c>
      <c r="K74" s="71">
        <f t="shared" si="8"/>
        <v>7</v>
      </c>
      <c r="L74" s="87"/>
      <c r="M74" s="72"/>
    </row>
    <row r="75" s="43" customFormat="1" ht="20.25" spans="1:13">
      <c r="A75" s="67">
        <v>45835</v>
      </c>
      <c r="B75" s="68">
        <v>79</v>
      </c>
      <c r="C75" s="69">
        <v>45835</v>
      </c>
      <c r="D75" s="69"/>
      <c r="E75" s="69"/>
      <c r="F75" s="43" t="s">
        <v>63</v>
      </c>
      <c r="G75" s="70">
        <v>1</v>
      </c>
      <c r="H75" s="70">
        <v>269</v>
      </c>
      <c r="I75" s="70">
        <f t="shared" si="9"/>
        <v>269</v>
      </c>
      <c r="J75" s="71">
        <v>1</v>
      </c>
      <c r="K75" s="71">
        <f t="shared" si="8"/>
        <v>269</v>
      </c>
      <c r="L75" s="87">
        <f>SUM(K73:K75)</f>
        <v>351</v>
      </c>
      <c r="M75" s="72"/>
    </row>
    <row r="76" s="41" customFormat="1" ht="20.25" spans="1:13">
      <c r="A76" s="61">
        <v>45843</v>
      </c>
      <c r="B76" s="62">
        <v>18</v>
      </c>
      <c r="C76" s="63">
        <v>45842</v>
      </c>
      <c r="D76" s="63"/>
      <c r="E76" s="63"/>
      <c r="F76" s="41" t="s">
        <v>63</v>
      </c>
      <c r="G76" s="64">
        <v>1</v>
      </c>
      <c r="H76" s="64">
        <v>25</v>
      </c>
      <c r="I76" s="64">
        <f t="shared" si="9"/>
        <v>25</v>
      </c>
      <c r="J76" s="65">
        <v>1</v>
      </c>
      <c r="K76" s="65">
        <f t="shared" si="8"/>
        <v>25</v>
      </c>
      <c r="L76" s="45"/>
      <c r="M76" s="66"/>
    </row>
    <row r="77" s="40" customFormat="1" ht="20.25" spans="1:13">
      <c r="A77" s="54">
        <v>45843</v>
      </c>
      <c r="B77" s="55">
        <v>20</v>
      </c>
      <c r="C77" s="56">
        <v>45842</v>
      </c>
      <c r="D77" s="56"/>
      <c r="E77" s="56"/>
      <c r="F77" s="40" t="s">
        <v>66</v>
      </c>
      <c r="G77" s="57">
        <v>12</v>
      </c>
      <c r="H77" s="57">
        <v>25</v>
      </c>
      <c r="I77" s="57">
        <f t="shared" si="9"/>
        <v>300</v>
      </c>
      <c r="J77" s="58">
        <v>0.5</v>
      </c>
      <c r="K77" s="58">
        <f t="shared" si="8"/>
        <v>150</v>
      </c>
      <c r="L77" s="44"/>
      <c r="M77" s="59"/>
    </row>
    <row r="78" s="40" customFormat="1" ht="20.25" spans="1:13">
      <c r="A78" s="54">
        <v>45843</v>
      </c>
      <c r="B78" s="55">
        <v>20</v>
      </c>
      <c r="C78" s="56">
        <v>45842</v>
      </c>
      <c r="D78" s="56"/>
      <c r="E78" s="56"/>
      <c r="F78" s="40" t="s">
        <v>67</v>
      </c>
      <c r="G78" s="57">
        <v>1</v>
      </c>
      <c r="H78" s="57">
        <v>2</v>
      </c>
      <c r="I78" s="57">
        <f t="shared" si="9"/>
        <v>2</v>
      </c>
      <c r="J78" s="58">
        <v>6.9</v>
      </c>
      <c r="K78" s="58">
        <f t="shared" si="8"/>
        <v>13.8</v>
      </c>
      <c r="L78" s="44">
        <f>SUM(K77:K78)</f>
        <v>163.8</v>
      </c>
      <c r="M78" s="59"/>
    </row>
    <row r="79" s="41" customFormat="1" ht="20.25" spans="1:13">
      <c r="A79" s="61">
        <v>45852</v>
      </c>
      <c r="B79" s="62">
        <v>42</v>
      </c>
      <c r="C79" s="63">
        <v>45847</v>
      </c>
      <c r="D79" s="63"/>
      <c r="E79" s="63"/>
      <c r="F79" s="41" t="s">
        <v>67</v>
      </c>
      <c r="G79" s="64">
        <v>1</v>
      </c>
      <c r="H79" s="64">
        <v>5</v>
      </c>
      <c r="I79" s="64">
        <f t="shared" si="9"/>
        <v>5</v>
      </c>
      <c r="J79" s="65">
        <v>6.9</v>
      </c>
      <c r="K79" s="65">
        <f t="shared" si="8"/>
        <v>34.5</v>
      </c>
      <c r="L79" s="45"/>
      <c r="M79" s="66"/>
    </row>
    <row r="80" s="41" customFormat="1" ht="20.25" spans="1:13">
      <c r="A80" s="61">
        <v>45852</v>
      </c>
      <c r="B80" s="62">
        <v>42</v>
      </c>
      <c r="C80" s="63">
        <v>45852</v>
      </c>
      <c r="D80" s="63"/>
      <c r="E80" s="63"/>
      <c r="F80" s="41" t="s">
        <v>10</v>
      </c>
      <c r="G80" s="64">
        <v>1</v>
      </c>
      <c r="H80" s="64">
        <v>79</v>
      </c>
      <c r="I80" s="64">
        <f t="shared" si="9"/>
        <v>79</v>
      </c>
      <c r="J80" s="65">
        <v>1</v>
      </c>
      <c r="K80" s="65">
        <f t="shared" si="8"/>
        <v>79</v>
      </c>
      <c r="L80" s="45">
        <f>SUM(K79:K80)</f>
        <v>113.5</v>
      </c>
      <c r="M80" s="66"/>
    </row>
    <row r="81" s="40" customFormat="1" ht="20.25" spans="1:13">
      <c r="A81" s="54">
        <v>45853</v>
      </c>
      <c r="B81" s="55">
        <v>58</v>
      </c>
      <c r="C81" s="56">
        <v>45853</v>
      </c>
      <c r="D81" s="56"/>
      <c r="E81" s="56"/>
      <c r="F81" s="40" t="s">
        <v>10</v>
      </c>
      <c r="G81" s="57">
        <v>1</v>
      </c>
      <c r="H81" s="57">
        <v>157</v>
      </c>
      <c r="I81" s="57">
        <f t="shared" si="9"/>
        <v>157</v>
      </c>
      <c r="J81" s="58">
        <v>1</v>
      </c>
      <c r="K81" s="58">
        <f t="shared" si="8"/>
        <v>157</v>
      </c>
      <c r="L81" s="44"/>
      <c r="M81" s="59"/>
    </row>
    <row r="82" s="41" customFormat="1" ht="20.25" spans="1:13">
      <c r="A82" s="61">
        <v>45860</v>
      </c>
      <c r="B82" s="62">
        <v>75</v>
      </c>
      <c r="C82" s="63">
        <v>45859</v>
      </c>
      <c r="D82" s="63"/>
      <c r="E82" s="63"/>
      <c r="F82" s="41" t="s">
        <v>10</v>
      </c>
      <c r="G82" s="64">
        <v>1</v>
      </c>
      <c r="H82" s="64">
        <v>532</v>
      </c>
      <c r="I82" s="64">
        <f t="shared" si="9"/>
        <v>532</v>
      </c>
      <c r="J82" s="65">
        <v>1</v>
      </c>
      <c r="K82" s="65">
        <f t="shared" si="8"/>
        <v>532</v>
      </c>
      <c r="L82" s="45" t="s">
        <v>68</v>
      </c>
      <c r="M82" s="66"/>
    </row>
    <row r="83" s="41" customFormat="1" ht="20.25" spans="1:13">
      <c r="A83" s="61">
        <v>45860</v>
      </c>
      <c r="B83" s="62">
        <v>75</v>
      </c>
      <c r="C83" s="63">
        <v>45859</v>
      </c>
      <c r="D83" s="63"/>
      <c r="E83" s="63"/>
      <c r="F83" s="41" t="s">
        <v>69</v>
      </c>
      <c r="G83" s="64">
        <v>4</v>
      </c>
      <c r="H83" s="64">
        <v>1</v>
      </c>
      <c r="I83" s="64">
        <f t="shared" si="9"/>
        <v>4</v>
      </c>
      <c r="J83" s="65">
        <v>12.5</v>
      </c>
      <c r="K83" s="65">
        <f t="shared" si="8"/>
        <v>50</v>
      </c>
      <c r="L83" s="45">
        <f>SUM(K82:K83)</f>
        <v>582</v>
      </c>
      <c r="M83" s="66"/>
    </row>
    <row r="84" s="39" customFormat="1" ht="20.25" spans="1:13">
      <c r="A84" s="47">
        <v>45867</v>
      </c>
      <c r="B84" s="48">
        <v>95</v>
      </c>
      <c r="C84" s="49">
        <v>45867</v>
      </c>
      <c r="D84" s="49"/>
      <c r="E84" s="49"/>
      <c r="F84" s="39" t="s">
        <v>10</v>
      </c>
      <c r="G84" s="51">
        <v>1</v>
      </c>
      <c r="H84" s="51">
        <v>68</v>
      </c>
      <c r="I84" s="51">
        <f t="shared" si="9"/>
        <v>68</v>
      </c>
      <c r="J84" s="52">
        <v>1</v>
      </c>
      <c r="K84" s="52">
        <f t="shared" si="8"/>
        <v>68</v>
      </c>
      <c r="L84" s="50" t="s">
        <v>24</v>
      </c>
      <c r="M84" s="53"/>
    </row>
    <row r="85" s="40" customFormat="1" ht="20.25" spans="1:13">
      <c r="A85" s="54">
        <v>45869</v>
      </c>
      <c r="B85" s="55">
        <v>100</v>
      </c>
      <c r="C85" s="56">
        <v>45869</v>
      </c>
      <c r="D85" s="56"/>
      <c r="E85" s="56"/>
      <c r="F85" s="40" t="s">
        <v>10</v>
      </c>
      <c r="G85" s="57">
        <v>1</v>
      </c>
      <c r="H85" s="57">
        <v>50</v>
      </c>
      <c r="I85" s="57">
        <f t="shared" si="9"/>
        <v>50</v>
      </c>
      <c r="J85" s="58">
        <v>1</v>
      </c>
      <c r="K85" s="58">
        <f t="shared" si="8"/>
        <v>50</v>
      </c>
      <c r="L85" s="44" t="s">
        <v>24</v>
      </c>
      <c r="M85" s="59"/>
    </row>
    <row r="86" s="41" customFormat="1" ht="20.25" spans="1:13">
      <c r="A86" s="61">
        <v>45874</v>
      </c>
      <c r="B86" s="62">
        <v>10</v>
      </c>
      <c r="C86" s="63">
        <v>45874</v>
      </c>
      <c r="D86" s="63"/>
      <c r="E86" s="63"/>
      <c r="F86" s="41" t="s">
        <v>70</v>
      </c>
      <c r="G86" s="64">
        <v>1</v>
      </c>
      <c r="H86" s="64">
        <v>15</v>
      </c>
      <c r="I86" s="64">
        <f t="shared" si="9"/>
        <v>15</v>
      </c>
      <c r="J86" s="65">
        <v>6.5</v>
      </c>
      <c r="K86" s="65">
        <f t="shared" si="8"/>
        <v>97.5</v>
      </c>
      <c r="L86" s="45" t="s">
        <v>24</v>
      </c>
      <c r="M86" s="66"/>
    </row>
    <row r="87" s="40" customFormat="1" ht="20.25" spans="1:13">
      <c r="A87" s="54">
        <v>45885</v>
      </c>
      <c r="B87" s="55">
        <v>28</v>
      </c>
      <c r="C87" s="56">
        <v>45882</v>
      </c>
      <c r="D87" s="56"/>
      <c r="E87" s="56"/>
      <c r="F87" s="40" t="s">
        <v>10</v>
      </c>
      <c r="G87" s="57">
        <v>1</v>
      </c>
      <c r="H87" s="57">
        <v>226</v>
      </c>
      <c r="I87" s="57">
        <f t="shared" si="9"/>
        <v>226</v>
      </c>
      <c r="J87" s="58">
        <v>1</v>
      </c>
      <c r="K87" s="58">
        <f t="shared" si="8"/>
        <v>226</v>
      </c>
      <c r="L87" s="44"/>
      <c r="M87" s="59"/>
    </row>
    <row r="88" s="40" customFormat="1" ht="20.25" spans="1:13">
      <c r="A88" s="54">
        <v>45885</v>
      </c>
      <c r="B88" s="55">
        <v>28</v>
      </c>
      <c r="C88" s="56">
        <v>45882</v>
      </c>
      <c r="D88" s="56"/>
      <c r="E88" s="56"/>
      <c r="F88" s="40" t="s">
        <v>69</v>
      </c>
      <c r="G88" s="57">
        <v>2</v>
      </c>
      <c r="H88" s="57">
        <v>1</v>
      </c>
      <c r="I88" s="57">
        <f t="shared" si="9"/>
        <v>2</v>
      </c>
      <c r="J88" s="58">
        <v>12.5</v>
      </c>
      <c r="K88" s="58">
        <f t="shared" si="8"/>
        <v>25</v>
      </c>
      <c r="L88" s="44"/>
      <c r="M88" s="59"/>
    </row>
    <row r="89" s="40" customFormat="1" ht="20.25" spans="1:13">
      <c r="A89" s="54">
        <v>45885</v>
      </c>
      <c r="B89" s="55">
        <v>28</v>
      </c>
      <c r="C89" s="56" t="s">
        <v>71</v>
      </c>
      <c r="D89" s="56"/>
      <c r="E89" s="56"/>
      <c r="F89" s="40" t="s">
        <v>70</v>
      </c>
      <c r="G89" s="57">
        <v>1</v>
      </c>
      <c r="H89" s="57">
        <v>2</v>
      </c>
      <c r="I89" s="57">
        <f t="shared" si="9"/>
        <v>2</v>
      </c>
      <c r="J89" s="58">
        <v>6.5</v>
      </c>
      <c r="K89" s="58">
        <f t="shared" si="8"/>
        <v>13</v>
      </c>
      <c r="L89" s="44"/>
      <c r="M89" s="59"/>
    </row>
    <row r="90" s="40" customFormat="1" ht="20.25" spans="1:13">
      <c r="A90" s="54">
        <v>45885</v>
      </c>
      <c r="B90" s="55">
        <v>28</v>
      </c>
      <c r="C90" s="56" t="s">
        <v>71</v>
      </c>
      <c r="D90" s="56"/>
      <c r="E90" s="56"/>
      <c r="F90" s="40" t="s">
        <v>67</v>
      </c>
      <c r="G90" s="57">
        <v>1</v>
      </c>
      <c r="H90" s="57">
        <v>2</v>
      </c>
      <c r="I90" s="57">
        <f t="shared" si="9"/>
        <v>2</v>
      </c>
      <c r="J90" s="58">
        <v>6.7</v>
      </c>
      <c r="K90" s="58">
        <f t="shared" si="8"/>
        <v>13.4</v>
      </c>
      <c r="L90" s="44">
        <f>SUM(K87:K91)</f>
        <v>377.4</v>
      </c>
      <c r="M90" s="59"/>
    </row>
    <row r="91" s="40" customFormat="1" ht="20.25" spans="1:13">
      <c r="A91" s="54">
        <v>45885</v>
      </c>
      <c r="B91" s="55">
        <v>28</v>
      </c>
      <c r="C91" s="56">
        <v>45883</v>
      </c>
      <c r="D91" s="56"/>
      <c r="E91" s="56"/>
      <c r="F91" s="40" t="s">
        <v>10</v>
      </c>
      <c r="G91" s="57">
        <v>1</v>
      </c>
      <c r="H91" s="57">
        <v>100</v>
      </c>
      <c r="I91" s="57">
        <f t="shared" si="9"/>
        <v>100</v>
      </c>
      <c r="J91" s="58">
        <v>1</v>
      </c>
      <c r="K91" s="58">
        <f t="shared" si="8"/>
        <v>100</v>
      </c>
      <c r="L91" s="44"/>
      <c r="M91" s="59"/>
    </row>
    <row r="92" s="40" customFormat="1" ht="20.25" spans="1:13">
      <c r="A92" s="54">
        <v>45885</v>
      </c>
      <c r="B92" s="55">
        <v>28</v>
      </c>
      <c r="C92" s="56">
        <v>45884</v>
      </c>
      <c r="D92" s="56"/>
      <c r="E92" s="56"/>
      <c r="F92" s="40" t="s">
        <v>10</v>
      </c>
      <c r="G92" s="57">
        <v>1</v>
      </c>
      <c r="H92" s="57">
        <v>125</v>
      </c>
      <c r="I92" s="57">
        <f t="shared" ref="I92:I153" si="11">G92*H92</f>
        <v>125</v>
      </c>
      <c r="J92" s="58">
        <v>1</v>
      </c>
      <c r="K92" s="58">
        <f t="shared" ref="K92:K153" si="12">I92*J92</f>
        <v>125</v>
      </c>
      <c r="L92" s="44"/>
      <c r="M92" s="59"/>
    </row>
    <row r="93" s="40" customFormat="1" ht="20.25" spans="1:13">
      <c r="A93" s="54">
        <v>45885</v>
      </c>
      <c r="B93" s="55">
        <v>28</v>
      </c>
      <c r="C93" s="56">
        <v>45885</v>
      </c>
      <c r="D93" s="56"/>
      <c r="E93" s="56"/>
      <c r="F93" s="40" t="s">
        <v>10</v>
      </c>
      <c r="G93" s="57">
        <v>1</v>
      </c>
      <c r="H93" s="57">
        <v>25</v>
      </c>
      <c r="I93" s="57">
        <f t="shared" si="11"/>
        <v>25</v>
      </c>
      <c r="J93" s="58">
        <v>1</v>
      </c>
      <c r="K93" s="58">
        <f t="shared" si="12"/>
        <v>25</v>
      </c>
      <c r="L93" s="44">
        <f>SUM(K87:K93)</f>
        <v>527.4</v>
      </c>
      <c r="M93" s="59"/>
    </row>
    <row r="94" s="41" customFormat="1" ht="20.25" spans="1:13">
      <c r="A94" s="61">
        <v>45890</v>
      </c>
      <c r="B94" s="62">
        <v>51</v>
      </c>
      <c r="C94" s="63">
        <v>45889</v>
      </c>
      <c r="D94" s="63"/>
      <c r="E94" s="63"/>
      <c r="F94" s="41" t="s">
        <v>10</v>
      </c>
      <c r="G94" s="64">
        <v>1</v>
      </c>
      <c r="H94" s="64">
        <v>152</v>
      </c>
      <c r="I94" s="64">
        <f t="shared" si="11"/>
        <v>152</v>
      </c>
      <c r="J94" s="65">
        <v>1</v>
      </c>
      <c r="K94" s="65">
        <f t="shared" si="12"/>
        <v>152</v>
      </c>
      <c r="L94" s="45"/>
      <c r="M94" s="66"/>
    </row>
    <row r="95" s="41" customFormat="1" ht="20.25" spans="1:13">
      <c r="A95" s="61">
        <v>45890</v>
      </c>
      <c r="B95" s="62">
        <v>51</v>
      </c>
      <c r="C95" s="63">
        <v>45889</v>
      </c>
      <c r="D95" s="63"/>
      <c r="E95" s="63"/>
      <c r="F95" s="41" t="s">
        <v>67</v>
      </c>
      <c r="G95" s="64">
        <v>1</v>
      </c>
      <c r="H95" s="64">
        <v>5.5</v>
      </c>
      <c r="I95" s="64">
        <f t="shared" si="11"/>
        <v>5.5</v>
      </c>
      <c r="J95" s="65">
        <v>6.7</v>
      </c>
      <c r="K95" s="65">
        <f t="shared" si="12"/>
        <v>36.85</v>
      </c>
      <c r="L95" s="45"/>
      <c r="M95" s="66"/>
    </row>
    <row r="96" s="41" customFormat="1" ht="20.25" spans="1:13">
      <c r="A96" s="61">
        <v>45890</v>
      </c>
      <c r="B96" s="62">
        <v>51</v>
      </c>
      <c r="C96" s="63">
        <v>45889</v>
      </c>
      <c r="D96" s="63"/>
      <c r="E96" s="63"/>
      <c r="F96" s="41" t="s">
        <v>72</v>
      </c>
      <c r="G96" s="64">
        <v>1</v>
      </c>
      <c r="H96" s="64">
        <v>2.5</v>
      </c>
      <c r="I96" s="64">
        <f t="shared" si="11"/>
        <v>2.5</v>
      </c>
      <c r="J96" s="65">
        <v>3.2</v>
      </c>
      <c r="K96" s="65">
        <f t="shared" si="12"/>
        <v>8</v>
      </c>
      <c r="L96" s="88">
        <f>SUM(K94:K96)</f>
        <v>196.85</v>
      </c>
      <c r="M96" s="66"/>
    </row>
    <row r="97" s="40" customFormat="1" ht="20.25" spans="1:14">
      <c r="A97" s="54">
        <v>45892</v>
      </c>
      <c r="B97" s="55">
        <v>62</v>
      </c>
      <c r="C97" s="56">
        <v>45892</v>
      </c>
      <c r="D97" s="56"/>
      <c r="E97" s="56"/>
      <c r="F97" s="40" t="s">
        <v>10</v>
      </c>
      <c r="G97" s="57">
        <v>1</v>
      </c>
      <c r="H97" s="57">
        <v>110</v>
      </c>
      <c r="I97" s="57">
        <f t="shared" si="11"/>
        <v>110</v>
      </c>
      <c r="J97" s="58">
        <v>1</v>
      </c>
      <c r="K97" s="58">
        <f t="shared" si="12"/>
        <v>110</v>
      </c>
      <c r="L97" s="44"/>
      <c r="M97" s="59"/>
    </row>
    <row r="98" s="40" customFormat="1" ht="20.25" spans="1:14">
      <c r="A98" s="54">
        <v>45892</v>
      </c>
      <c r="B98" s="55">
        <v>62</v>
      </c>
      <c r="C98" s="56">
        <v>45892</v>
      </c>
      <c r="D98" s="56"/>
      <c r="E98" s="56"/>
      <c r="F98" s="40" t="s">
        <v>69</v>
      </c>
      <c r="G98" s="57">
        <v>4</v>
      </c>
      <c r="H98" s="57">
        <v>1</v>
      </c>
      <c r="I98" s="57">
        <f t="shared" si="11"/>
        <v>4</v>
      </c>
      <c r="J98" s="58">
        <v>12.5</v>
      </c>
      <c r="K98" s="58">
        <f t="shared" si="12"/>
        <v>50</v>
      </c>
      <c r="L98" s="44">
        <f t="shared" ref="L98:L102" si="13">SUM(K97:K98)</f>
        <v>160</v>
      </c>
      <c r="M98" s="59"/>
    </row>
    <row r="99" s="41" customFormat="1" ht="20.25" spans="1:14">
      <c r="A99" s="61">
        <v>45897</v>
      </c>
      <c r="B99" s="62">
        <v>76</v>
      </c>
      <c r="C99" s="63">
        <v>45897</v>
      </c>
      <c r="D99" s="63"/>
      <c r="E99" s="63"/>
      <c r="F99" s="41" t="s">
        <v>10</v>
      </c>
      <c r="G99" s="64">
        <v>1</v>
      </c>
      <c r="H99" s="64">
        <v>125</v>
      </c>
      <c r="I99" s="64">
        <f t="shared" si="11"/>
        <v>125</v>
      </c>
      <c r="J99" s="65">
        <v>1</v>
      </c>
      <c r="K99" s="65">
        <f t="shared" si="12"/>
        <v>125</v>
      </c>
      <c r="L99" s="45"/>
      <c r="M99" s="66"/>
    </row>
    <row r="100" s="41" customFormat="1" ht="20.25" spans="1:14">
      <c r="A100" s="61">
        <v>45897</v>
      </c>
      <c r="B100" s="62">
        <v>76</v>
      </c>
      <c r="C100" s="63">
        <v>45899</v>
      </c>
      <c r="D100" s="63"/>
      <c r="E100" s="63"/>
      <c r="F100" s="41" t="s">
        <v>10</v>
      </c>
      <c r="G100" s="64">
        <v>1</v>
      </c>
      <c r="H100" s="64">
        <v>75</v>
      </c>
      <c r="I100" s="64">
        <f t="shared" si="11"/>
        <v>75</v>
      </c>
      <c r="J100" s="58">
        <v>1</v>
      </c>
      <c r="K100" s="65">
        <f t="shared" si="12"/>
        <v>75</v>
      </c>
      <c r="L100" s="45"/>
      <c r="M100" s="66"/>
    </row>
    <row r="101" s="40" customFormat="1" ht="20.25" spans="1:14">
      <c r="A101" s="54">
        <v>45903</v>
      </c>
      <c r="B101" s="55">
        <v>13</v>
      </c>
      <c r="C101" s="56">
        <v>45903</v>
      </c>
      <c r="D101" s="56"/>
      <c r="E101" s="56"/>
      <c r="F101" s="40" t="s">
        <v>10</v>
      </c>
      <c r="G101" s="57">
        <v>1</v>
      </c>
      <c r="H101" s="57">
        <v>125</v>
      </c>
      <c r="I101" s="57">
        <f t="shared" si="11"/>
        <v>125</v>
      </c>
      <c r="J101" s="58">
        <v>1</v>
      </c>
      <c r="K101" s="58">
        <f t="shared" si="12"/>
        <v>125</v>
      </c>
      <c r="L101" s="44">
        <f t="shared" si="13"/>
        <v>200</v>
      </c>
      <c r="M101" s="59"/>
    </row>
    <row r="102" s="41" customFormat="1" ht="20.25" spans="1:14">
      <c r="A102" s="61">
        <v>45906</v>
      </c>
      <c r="B102" s="62">
        <v>15</v>
      </c>
      <c r="C102" s="63">
        <v>45906</v>
      </c>
      <c r="D102" s="63"/>
      <c r="E102" s="63"/>
      <c r="F102" s="41" t="s">
        <v>10</v>
      </c>
      <c r="G102" s="64">
        <v>1</v>
      </c>
      <c r="H102" s="64">
        <v>250</v>
      </c>
      <c r="I102" s="64">
        <f t="shared" si="11"/>
        <v>250</v>
      </c>
      <c r="J102" s="65">
        <v>1</v>
      </c>
      <c r="K102" s="65">
        <f t="shared" si="12"/>
        <v>250</v>
      </c>
      <c r="L102" s="45">
        <f t="shared" ref="L102:L106" si="14">SUM(K102)</f>
        <v>250</v>
      </c>
      <c r="M102" s="66"/>
    </row>
    <row r="103" s="40" customFormat="1" ht="20.25" spans="1:14">
      <c r="A103" s="54">
        <v>45908</v>
      </c>
      <c r="B103" s="55">
        <v>19</v>
      </c>
      <c r="C103" s="56">
        <v>45908</v>
      </c>
      <c r="D103" s="56"/>
      <c r="E103" s="56"/>
      <c r="F103" s="40" t="s">
        <v>10</v>
      </c>
      <c r="G103" s="57">
        <v>1</v>
      </c>
      <c r="H103" s="57">
        <v>50</v>
      </c>
      <c r="I103" s="57">
        <f t="shared" si="11"/>
        <v>50</v>
      </c>
      <c r="J103" s="58">
        <v>1</v>
      </c>
      <c r="K103" s="58">
        <f t="shared" si="12"/>
        <v>50</v>
      </c>
      <c r="L103" s="44">
        <f t="shared" si="14"/>
        <v>50</v>
      </c>
      <c r="M103" s="59"/>
    </row>
    <row r="104" s="41" customFormat="1" ht="20.25" spans="1:14">
      <c r="A104" s="61">
        <v>45918</v>
      </c>
      <c r="B104" s="62">
        <v>49</v>
      </c>
      <c r="C104" s="63">
        <v>45916</v>
      </c>
      <c r="D104" s="63"/>
      <c r="E104" s="63"/>
      <c r="F104" s="41" t="s">
        <v>10</v>
      </c>
      <c r="G104" s="64">
        <v>1</v>
      </c>
      <c r="H104" s="64">
        <v>23</v>
      </c>
      <c r="I104" s="64">
        <f t="shared" si="11"/>
        <v>23</v>
      </c>
      <c r="J104" s="65">
        <v>1</v>
      </c>
      <c r="K104" s="65">
        <f t="shared" si="12"/>
        <v>23</v>
      </c>
      <c r="L104" s="45"/>
      <c r="M104" s="66"/>
    </row>
    <row r="105" s="41" customFormat="1" ht="20.25" spans="1:14">
      <c r="A105" s="61">
        <v>45918</v>
      </c>
      <c r="B105" s="62">
        <v>49</v>
      </c>
      <c r="C105" s="63">
        <v>45918</v>
      </c>
      <c r="D105" s="63"/>
      <c r="E105" s="63"/>
      <c r="F105" s="41" t="s">
        <v>10</v>
      </c>
      <c r="G105" s="64">
        <v>1</v>
      </c>
      <c r="H105" s="64">
        <v>249</v>
      </c>
      <c r="I105" s="64">
        <f t="shared" si="11"/>
        <v>249</v>
      </c>
      <c r="J105" s="65">
        <v>1</v>
      </c>
      <c r="K105" s="65">
        <f t="shared" si="12"/>
        <v>249</v>
      </c>
      <c r="L105" s="45"/>
      <c r="M105" s="66"/>
    </row>
    <row r="106" s="41" customFormat="1" ht="20.25" spans="1:14">
      <c r="A106" s="61">
        <v>45918</v>
      </c>
      <c r="B106" s="62">
        <v>49</v>
      </c>
      <c r="C106" s="63">
        <v>45918</v>
      </c>
      <c r="D106" s="63"/>
      <c r="E106" s="63"/>
      <c r="F106" s="41" t="s">
        <v>73</v>
      </c>
      <c r="G106" s="64">
        <v>2</v>
      </c>
      <c r="H106" s="64">
        <v>1</v>
      </c>
      <c r="I106" s="64">
        <f t="shared" si="11"/>
        <v>2</v>
      </c>
      <c r="J106" s="65">
        <v>5.5</v>
      </c>
      <c r="K106" s="65">
        <f t="shared" si="12"/>
        <v>11</v>
      </c>
      <c r="L106" s="45">
        <f>SUM(K104:K106)</f>
        <v>283</v>
      </c>
      <c r="M106" s="66"/>
    </row>
    <row r="107" s="40" customFormat="1" ht="20.25" spans="1:14">
      <c r="A107" s="54">
        <v>45924</v>
      </c>
      <c r="B107" s="55">
        <v>67</v>
      </c>
      <c r="C107" s="85">
        <v>45923</v>
      </c>
      <c r="D107" s="85"/>
      <c r="E107" s="85"/>
      <c r="F107" s="40" t="s">
        <v>10</v>
      </c>
      <c r="G107" s="57">
        <v>1</v>
      </c>
      <c r="H107" s="57">
        <v>115</v>
      </c>
      <c r="I107" s="57">
        <f t="shared" si="11"/>
        <v>115</v>
      </c>
      <c r="J107" s="58">
        <v>1</v>
      </c>
      <c r="K107" s="58">
        <f t="shared" si="12"/>
        <v>115</v>
      </c>
      <c r="L107" s="57">
        <v>115</v>
      </c>
      <c r="M107" s="58"/>
      <c r="N107" s="58"/>
    </row>
    <row r="108" s="41" customFormat="1" ht="20.25" spans="1:14">
      <c r="A108" s="61">
        <v>45929</v>
      </c>
      <c r="B108" s="62">
        <v>88</v>
      </c>
      <c r="C108" s="76">
        <v>45929</v>
      </c>
      <c r="D108" s="76"/>
      <c r="E108" s="76"/>
      <c r="F108" s="41" t="s">
        <v>10</v>
      </c>
      <c r="G108" s="64">
        <v>1</v>
      </c>
      <c r="H108" s="64">
        <v>275</v>
      </c>
      <c r="I108" s="64">
        <f t="shared" si="11"/>
        <v>275</v>
      </c>
      <c r="J108" s="65">
        <v>1</v>
      </c>
      <c r="K108" s="65">
        <f t="shared" si="12"/>
        <v>275</v>
      </c>
      <c r="L108" s="64">
        <v>275</v>
      </c>
      <c r="M108" s="65"/>
      <c r="N108" s="65"/>
    </row>
    <row r="109" s="40" customFormat="1" ht="20.25" spans="1:14">
      <c r="A109" s="54">
        <v>45943</v>
      </c>
      <c r="B109" s="55">
        <v>26</v>
      </c>
      <c r="C109" s="85">
        <v>45941</v>
      </c>
      <c r="D109" s="85"/>
      <c r="E109" s="85"/>
      <c r="F109" s="40" t="s">
        <v>10</v>
      </c>
      <c r="G109" s="57">
        <v>15</v>
      </c>
      <c r="H109" s="57">
        <v>25</v>
      </c>
      <c r="I109" s="57">
        <f t="shared" si="11"/>
        <v>375</v>
      </c>
      <c r="J109" s="58">
        <v>1</v>
      </c>
      <c r="K109" s="58">
        <f t="shared" si="12"/>
        <v>375</v>
      </c>
      <c r="L109" s="57">
        <v>375</v>
      </c>
      <c r="M109" s="58"/>
      <c r="N109" s="58"/>
    </row>
    <row r="110" s="41" customFormat="1" ht="20.25" spans="1:14">
      <c r="A110" s="61">
        <v>45946</v>
      </c>
      <c r="B110" s="62">
        <v>34</v>
      </c>
      <c r="C110" s="76">
        <v>45945</v>
      </c>
      <c r="D110" s="76"/>
      <c r="E110" s="76"/>
      <c r="F110" s="41" t="s">
        <v>10</v>
      </c>
      <c r="G110" s="64">
        <v>15</v>
      </c>
      <c r="H110" s="64">
        <v>25</v>
      </c>
      <c r="I110" s="64">
        <f t="shared" si="11"/>
        <v>375</v>
      </c>
      <c r="J110" s="65">
        <v>1</v>
      </c>
      <c r="K110" s="65">
        <f t="shared" si="12"/>
        <v>375</v>
      </c>
      <c r="L110" s="64"/>
      <c r="M110" s="65"/>
      <c r="N110" s="65"/>
    </row>
    <row r="111" s="41" customFormat="1" ht="20.25" spans="1:14">
      <c r="A111" s="61">
        <v>45946</v>
      </c>
      <c r="B111" s="62">
        <v>34</v>
      </c>
      <c r="C111" s="76">
        <v>45946</v>
      </c>
      <c r="D111" s="76"/>
      <c r="E111" s="76"/>
      <c r="F111" s="41" t="s">
        <v>10</v>
      </c>
      <c r="G111" s="64">
        <v>3</v>
      </c>
      <c r="H111" s="64">
        <v>25</v>
      </c>
      <c r="I111" s="64">
        <f t="shared" si="11"/>
        <v>75</v>
      </c>
      <c r="J111" s="65">
        <v>1</v>
      </c>
      <c r="K111" s="65">
        <f t="shared" si="12"/>
        <v>75</v>
      </c>
      <c r="L111" s="45">
        <f t="shared" ref="L111:L113" si="15">SUM(K110:K111)</f>
        <v>450</v>
      </c>
      <c r="M111" s="66"/>
    </row>
    <row r="112" s="40" customFormat="1" ht="20.25" spans="1:14">
      <c r="A112" s="54">
        <v>45950</v>
      </c>
      <c r="B112" s="55">
        <v>61</v>
      </c>
      <c r="C112" s="85">
        <v>45950</v>
      </c>
      <c r="D112" s="85"/>
      <c r="E112" s="85"/>
      <c r="F112" s="40" t="s">
        <v>10</v>
      </c>
      <c r="G112" s="57">
        <v>4</v>
      </c>
      <c r="H112" s="57">
        <v>25</v>
      </c>
      <c r="I112" s="57">
        <f t="shared" si="11"/>
        <v>100</v>
      </c>
      <c r="J112" s="58">
        <v>1</v>
      </c>
      <c r="K112" s="58">
        <f t="shared" si="12"/>
        <v>100</v>
      </c>
      <c r="L112" s="44" t="s">
        <v>74</v>
      </c>
      <c r="M112" s="59"/>
    </row>
    <row r="113" s="40" customFormat="1" ht="20.25" spans="1:13">
      <c r="A113" s="54">
        <v>45950</v>
      </c>
      <c r="B113" s="55">
        <v>61</v>
      </c>
      <c r="C113" s="85">
        <v>45951</v>
      </c>
      <c r="D113" s="85"/>
      <c r="E113" s="85"/>
      <c r="F113" s="40" t="s">
        <v>10</v>
      </c>
      <c r="G113" s="57">
        <v>18</v>
      </c>
      <c r="H113" s="57">
        <v>25</v>
      </c>
      <c r="I113" s="57">
        <f t="shared" si="11"/>
        <v>450</v>
      </c>
      <c r="J113" s="58">
        <v>1</v>
      </c>
      <c r="K113" s="58">
        <f t="shared" si="12"/>
        <v>450</v>
      </c>
      <c r="L113" s="44">
        <f t="shared" si="15"/>
        <v>550</v>
      </c>
      <c r="M113" s="59"/>
    </row>
    <row r="114" s="41" customFormat="1" ht="20.25" spans="1:13">
      <c r="A114" s="61">
        <v>45960</v>
      </c>
      <c r="B114" s="62">
        <v>97</v>
      </c>
      <c r="C114" s="63">
        <v>45960</v>
      </c>
      <c r="D114" s="63"/>
      <c r="E114" s="63"/>
      <c r="F114" s="41" t="s">
        <v>61</v>
      </c>
      <c r="G114" s="64">
        <v>1</v>
      </c>
      <c r="H114" s="64">
        <v>4</v>
      </c>
      <c r="I114" s="64">
        <f t="shared" si="11"/>
        <v>4</v>
      </c>
      <c r="J114" s="65">
        <v>15</v>
      </c>
      <c r="K114" s="65">
        <f t="shared" si="12"/>
        <v>60</v>
      </c>
      <c r="L114" s="45"/>
      <c r="M114" s="66"/>
    </row>
    <row r="115" s="41" customFormat="1" ht="20.25" spans="1:13">
      <c r="A115" s="61">
        <v>45960</v>
      </c>
      <c r="B115" s="62">
        <v>97</v>
      </c>
      <c r="C115" s="63">
        <v>45960</v>
      </c>
      <c r="D115" s="63"/>
      <c r="E115" s="63"/>
      <c r="F115" s="41" t="s">
        <v>65</v>
      </c>
      <c r="G115" s="64">
        <v>1</v>
      </c>
      <c r="H115" s="64">
        <v>1</v>
      </c>
      <c r="I115" s="64">
        <f t="shared" si="11"/>
        <v>1</v>
      </c>
      <c r="J115" s="65">
        <v>5.5</v>
      </c>
      <c r="K115" s="65">
        <f t="shared" si="12"/>
        <v>5.5</v>
      </c>
      <c r="L115" s="45">
        <f>SUM(K114:K115)</f>
        <v>65.5</v>
      </c>
      <c r="M115" s="66"/>
    </row>
    <row r="116" s="40" customFormat="1" ht="20.25" spans="1:13">
      <c r="A116" s="54">
        <v>45972</v>
      </c>
      <c r="B116" s="55">
        <v>16</v>
      </c>
      <c r="C116" s="56">
        <v>45967</v>
      </c>
      <c r="D116" s="56"/>
      <c r="E116" s="56"/>
      <c r="F116" s="40" t="s">
        <v>61</v>
      </c>
      <c r="G116" s="57">
        <v>1</v>
      </c>
      <c r="H116" s="57">
        <v>3</v>
      </c>
      <c r="I116" s="57">
        <f t="shared" si="11"/>
        <v>3</v>
      </c>
      <c r="J116" s="58">
        <v>15</v>
      </c>
      <c r="K116" s="58">
        <f t="shared" si="12"/>
        <v>45</v>
      </c>
      <c r="L116" s="44"/>
      <c r="M116" s="59"/>
    </row>
    <row r="117" s="40" customFormat="1" ht="20.25" spans="1:13">
      <c r="A117" s="54">
        <v>45972</v>
      </c>
      <c r="B117" s="55">
        <v>16</v>
      </c>
      <c r="C117" s="56">
        <v>45967</v>
      </c>
      <c r="D117" s="56"/>
      <c r="E117" s="56"/>
      <c r="F117" s="40" t="s">
        <v>62</v>
      </c>
      <c r="G117" s="57">
        <v>1</v>
      </c>
      <c r="H117" s="57">
        <v>1</v>
      </c>
      <c r="I117" s="57">
        <f t="shared" si="11"/>
        <v>1</v>
      </c>
      <c r="J117" s="58">
        <v>5.5</v>
      </c>
      <c r="K117" s="58">
        <f t="shared" si="12"/>
        <v>5.5</v>
      </c>
      <c r="L117" s="44"/>
      <c r="M117" s="59"/>
    </row>
    <row r="118" s="40" customFormat="1" ht="20.25" spans="1:13">
      <c r="A118" s="54">
        <v>45972</v>
      </c>
      <c r="B118" s="55">
        <v>16</v>
      </c>
      <c r="C118" s="56">
        <v>45968</v>
      </c>
      <c r="D118" s="56"/>
      <c r="E118" s="56"/>
      <c r="F118" s="40" t="s">
        <v>10</v>
      </c>
      <c r="G118" s="57">
        <v>4</v>
      </c>
      <c r="H118" s="57">
        <v>25</v>
      </c>
      <c r="I118" s="57">
        <f t="shared" si="11"/>
        <v>100</v>
      </c>
      <c r="J118" s="58">
        <v>1</v>
      </c>
      <c r="K118" s="58">
        <f t="shared" si="12"/>
        <v>100</v>
      </c>
      <c r="L118" s="44"/>
      <c r="M118" s="59"/>
    </row>
    <row r="119" s="40" customFormat="1" ht="20.25" spans="1:13">
      <c r="A119" s="54">
        <v>45972</v>
      </c>
      <c r="B119" s="55">
        <v>16</v>
      </c>
      <c r="C119" s="56">
        <v>45968</v>
      </c>
      <c r="D119" s="56"/>
      <c r="E119" s="56"/>
      <c r="F119" s="40" t="s">
        <v>75</v>
      </c>
      <c r="G119" s="57">
        <v>12</v>
      </c>
      <c r="H119" s="57">
        <v>25</v>
      </c>
      <c r="I119" s="57">
        <f t="shared" si="11"/>
        <v>300</v>
      </c>
      <c r="J119" s="58">
        <v>1</v>
      </c>
      <c r="K119" s="58">
        <f t="shared" si="12"/>
        <v>300</v>
      </c>
      <c r="L119" s="44"/>
      <c r="M119" s="59"/>
    </row>
    <row r="120" s="40" customFormat="1" ht="20.25" spans="1:13">
      <c r="A120" s="54">
        <v>45972</v>
      </c>
      <c r="B120" s="55">
        <v>16</v>
      </c>
      <c r="C120" s="56">
        <v>45968</v>
      </c>
      <c r="D120" s="56"/>
      <c r="E120" s="56"/>
      <c r="F120" s="40" t="s">
        <v>69</v>
      </c>
      <c r="G120" s="57">
        <v>1</v>
      </c>
      <c r="H120" s="57">
        <v>1</v>
      </c>
      <c r="I120" s="57">
        <f t="shared" si="11"/>
        <v>1</v>
      </c>
      <c r="J120" s="58">
        <v>12</v>
      </c>
      <c r="K120" s="58">
        <f t="shared" si="12"/>
        <v>12</v>
      </c>
      <c r="L120" s="44">
        <f>SUM(K116:K120)</f>
        <v>462.5</v>
      </c>
      <c r="M120" s="59"/>
    </row>
    <row r="121" s="41" customFormat="1" ht="20.25" spans="1:13">
      <c r="A121" s="61">
        <v>45975</v>
      </c>
      <c r="B121" s="62">
        <v>34</v>
      </c>
      <c r="C121" s="76">
        <v>45975</v>
      </c>
      <c r="D121" s="76"/>
      <c r="E121" s="76"/>
      <c r="F121" s="41" t="s">
        <v>10</v>
      </c>
      <c r="G121" s="64">
        <v>4</v>
      </c>
      <c r="H121" s="64">
        <v>25</v>
      </c>
      <c r="I121" s="64">
        <f t="shared" si="11"/>
        <v>100</v>
      </c>
      <c r="J121" s="65">
        <v>1</v>
      </c>
      <c r="K121" s="65">
        <f t="shared" si="12"/>
        <v>100</v>
      </c>
      <c r="L121" s="45"/>
      <c r="M121" s="66"/>
    </row>
    <row r="122" s="40" customFormat="1" ht="20.25" spans="1:13">
      <c r="A122" s="54">
        <v>45978</v>
      </c>
      <c r="B122" s="55">
        <v>38</v>
      </c>
      <c r="C122" s="85">
        <v>45978</v>
      </c>
      <c r="D122" s="85"/>
      <c r="E122" s="85"/>
      <c r="F122" s="40" t="s">
        <v>10</v>
      </c>
      <c r="G122" s="57">
        <v>7</v>
      </c>
      <c r="H122" s="57">
        <v>25</v>
      </c>
      <c r="I122" s="57">
        <f t="shared" si="11"/>
        <v>175</v>
      </c>
      <c r="J122" s="58">
        <v>1</v>
      </c>
      <c r="K122" s="58">
        <f t="shared" si="12"/>
        <v>175</v>
      </c>
      <c r="L122" s="44" t="s">
        <v>76</v>
      </c>
      <c r="M122" s="59"/>
    </row>
    <row r="123" s="41" customFormat="1" ht="20.25" spans="1:13">
      <c r="A123" s="61">
        <v>45982</v>
      </c>
      <c r="B123" s="62">
        <v>63</v>
      </c>
      <c r="C123" s="76">
        <v>45982</v>
      </c>
      <c r="D123" s="76"/>
      <c r="E123" s="76"/>
      <c r="F123" s="41" t="s">
        <v>10</v>
      </c>
      <c r="G123" s="64">
        <v>6</v>
      </c>
      <c r="H123" s="64">
        <v>25</v>
      </c>
      <c r="I123" s="64">
        <f t="shared" si="11"/>
        <v>150</v>
      </c>
      <c r="J123" s="65">
        <v>1</v>
      </c>
      <c r="K123" s="65">
        <f t="shared" si="12"/>
        <v>150</v>
      </c>
      <c r="L123" s="45"/>
      <c r="M123" s="66"/>
    </row>
    <row r="124" s="39" customFormat="1" ht="20.25" spans="1:13">
      <c r="A124" s="47">
        <v>45988</v>
      </c>
      <c r="B124" s="48">
        <v>84</v>
      </c>
      <c r="C124" s="60">
        <v>45986</v>
      </c>
      <c r="D124" s="60"/>
      <c r="E124" s="60"/>
      <c r="F124" s="39" t="s">
        <v>10</v>
      </c>
      <c r="G124" s="51">
        <v>1</v>
      </c>
      <c r="H124" s="51">
        <v>25</v>
      </c>
      <c r="I124" s="51">
        <f t="shared" si="11"/>
        <v>25</v>
      </c>
      <c r="J124" s="52">
        <v>1</v>
      </c>
      <c r="K124" s="52">
        <f t="shared" si="12"/>
        <v>25</v>
      </c>
      <c r="L124" s="50"/>
      <c r="M124" s="53"/>
    </row>
    <row r="125" s="41" customFormat="1" ht="20.25" spans="1:13">
      <c r="A125" s="61">
        <v>45992</v>
      </c>
      <c r="B125" s="62">
        <v>1</v>
      </c>
      <c r="C125" s="76">
        <v>45992</v>
      </c>
      <c r="D125" s="76"/>
      <c r="E125" s="76"/>
      <c r="F125" s="41" t="s">
        <v>10</v>
      </c>
      <c r="G125" s="64">
        <v>6</v>
      </c>
      <c r="H125" s="64">
        <v>25</v>
      </c>
      <c r="I125" s="64">
        <f t="shared" si="11"/>
        <v>150</v>
      </c>
      <c r="J125" s="65">
        <v>1</v>
      </c>
      <c r="K125" s="65">
        <f t="shared" si="12"/>
        <v>150</v>
      </c>
      <c r="L125" s="45"/>
      <c r="M125" s="66"/>
    </row>
    <row r="126" s="41" customFormat="1" ht="20.25" spans="1:13">
      <c r="A126" s="61">
        <v>45992</v>
      </c>
      <c r="B126" s="62">
        <v>1</v>
      </c>
      <c r="C126" s="76">
        <v>45992</v>
      </c>
      <c r="D126" s="76"/>
      <c r="E126" s="76"/>
      <c r="F126" s="41" t="s">
        <v>10</v>
      </c>
      <c r="G126" s="64">
        <v>1</v>
      </c>
      <c r="H126" s="64">
        <v>22</v>
      </c>
      <c r="I126" s="64">
        <f t="shared" si="11"/>
        <v>22</v>
      </c>
      <c r="J126" s="65">
        <v>1</v>
      </c>
      <c r="K126" s="65">
        <f t="shared" si="12"/>
        <v>22</v>
      </c>
      <c r="L126" s="45"/>
      <c r="M126" s="66"/>
    </row>
    <row r="127" s="39" customFormat="1" ht="20.25" spans="1:13">
      <c r="A127" s="47">
        <v>46001</v>
      </c>
      <c r="B127" s="48">
        <v>23</v>
      </c>
      <c r="C127" s="60">
        <v>45999</v>
      </c>
      <c r="D127" s="60"/>
      <c r="E127" s="60"/>
      <c r="F127" s="39" t="s">
        <v>10</v>
      </c>
      <c r="G127" s="51">
        <v>1</v>
      </c>
      <c r="H127" s="51">
        <v>4</v>
      </c>
      <c r="I127" s="51">
        <f t="shared" si="11"/>
        <v>4</v>
      </c>
      <c r="J127" s="52">
        <v>1</v>
      </c>
      <c r="K127" s="52">
        <f t="shared" si="12"/>
        <v>4</v>
      </c>
      <c r="L127" s="50" t="s">
        <v>77</v>
      </c>
      <c r="M127" s="53"/>
    </row>
    <row r="128" s="39" customFormat="1" ht="20.25" spans="1:13">
      <c r="A128" s="47">
        <v>46001</v>
      </c>
      <c r="B128" s="48">
        <v>23</v>
      </c>
      <c r="C128" s="60">
        <v>46001</v>
      </c>
      <c r="D128" s="60"/>
      <c r="E128" s="60"/>
      <c r="F128" s="39" t="s">
        <v>10</v>
      </c>
      <c r="G128" s="51">
        <v>1</v>
      </c>
      <c r="H128" s="51">
        <v>321</v>
      </c>
      <c r="I128" s="51">
        <f t="shared" si="11"/>
        <v>321</v>
      </c>
      <c r="J128" s="52">
        <v>1</v>
      </c>
      <c r="K128" s="52">
        <f t="shared" si="12"/>
        <v>321</v>
      </c>
      <c r="L128" s="50" t="s">
        <v>78</v>
      </c>
      <c r="M128" s="53"/>
    </row>
    <row r="129" s="41" customFormat="1" ht="20.25" spans="1:13">
      <c r="A129" s="61">
        <v>46011</v>
      </c>
      <c r="B129" s="62">
        <v>51</v>
      </c>
      <c r="C129" s="76">
        <v>46001</v>
      </c>
      <c r="D129" s="76"/>
      <c r="E129" s="76"/>
      <c r="F129" s="41" t="s">
        <v>10</v>
      </c>
      <c r="G129" s="64">
        <v>1</v>
      </c>
      <c r="H129" s="64">
        <v>25</v>
      </c>
      <c r="I129" s="64">
        <f t="shared" si="11"/>
        <v>25</v>
      </c>
      <c r="J129" s="65">
        <v>1</v>
      </c>
      <c r="K129" s="65">
        <f t="shared" si="12"/>
        <v>25</v>
      </c>
      <c r="L129" s="45"/>
      <c r="M129" s="66"/>
    </row>
    <row r="130" s="41" customFormat="1" ht="20.25" spans="1:13">
      <c r="A130" s="61">
        <v>46011</v>
      </c>
      <c r="B130" s="62">
        <v>51</v>
      </c>
      <c r="C130" s="76">
        <v>46001</v>
      </c>
      <c r="D130" s="76"/>
      <c r="E130" s="76"/>
      <c r="F130" s="41" t="s">
        <v>79</v>
      </c>
      <c r="G130" s="64">
        <v>2</v>
      </c>
      <c r="H130" s="64">
        <v>1</v>
      </c>
      <c r="I130" s="64">
        <f t="shared" si="11"/>
        <v>2</v>
      </c>
      <c r="J130" s="65">
        <v>5</v>
      </c>
      <c r="K130" s="65">
        <f t="shared" si="12"/>
        <v>10</v>
      </c>
      <c r="L130" s="45"/>
      <c r="M130" s="66"/>
    </row>
    <row r="131" s="40" customFormat="1" ht="20.25" spans="1:13">
      <c r="A131" s="54">
        <v>46015</v>
      </c>
      <c r="B131" s="55">
        <v>63</v>
      </c>
      <c r="C131" s="85">
        <v>46014</v>
      </c>
      <c r="D131" s="85"/>
      <c r="E131" s="85"/>
      <c r="F131" s="40" t="s">
        <v>10</v>
      </c>
      <c r="G131" s="57">
        <v>11</v>
      </c>
      <c r="H131" s="57">
        <v>25</v>
      </c>
      <c r="I131" s="57">
        <f t="shared" si="11"/>
        <v>275</v>
      </c>
      <c r="J131" s="58">
        <v>1</v>
      </c>
      <c r="K131" s="58">
        <f t="shared" si="12"/>
        <v>275</v>
      </c>
      <c r="L131" s="44"/>
      <c r="M131" s="59"/>
    </row>
    <row r="132" s="40" customFormat="1" ht="20.25" spans="1:13">
      <c r="A132" s="54">
        <v>46015</v>
      </c>
      <c r="B132" s="55">
        <v>63</v>
      </c>
      <c r="C132" s="85">
        <v>46015</v>
      </c>
      <c r="D132" s="85"/>
      <c r="E132" s="85"/>
      <c r="F132" s="40" t="s">
        <v>10</v>
      </c>
      <c r="G132" s="57">
        <v>2</v>
      </c>
      <c r="H132" s="57">
        <v>25</v>
      </c>
      <c r="I132" s="57">
        <f t="shared" si="11"/>
        <v>50</v>
      </c>
      <c r="J132" s="58">
        <v>1</v>
      </c>
      <c r="K132" s="58">
        <f t="shared" si="12"/>
        <v>50</v>
      </c>
      <c r="L132" s="44"/>
      <c r="M132" s="59"/>
    </row>
    <row r="133" s="41" customFormat="1" ht="20.25" spans="1:13">
      <c r="A133" s="61">
        <v>46015</v>
      </c>
      <c r="B133" s="62">
        <v>73</v>
      </c>
      <c r="C133" s="76">
        <v>46017</v>
      </c>
      <c r="D133" s="76"/>
      <c r="E133" s="76"/>
      <c r="F133" s="41" t="s">
        <v>10</v>
      </c>
      <c r="G133" s="64">
        <v>4</v>
      </c>
      <c r="H133" s="64">
        <v>25</v>
      </c>
      <c r="I133" s="64">
        <f t="shared" si="11"/>
        <v>100</v>
      </c>
      <c r="J133" s="65">
        <v>1</v>
      </c>
      <c r="K133" s="65">
        <f t="shared" si="12"/>
        <v>100</v>
      </c>
      <c r="L133" s="45"/>
      <c r="M133" s="66"/>
    </row>
    <row r="134" s="39" customFormat="1" ht="20.25" spans="1:13">
      <c r="A134" s="47">
        <v>46020</v>
      </c>
      <c r="B134" s="48"/>
      <c r="C134" s="60">
        <v>46020</v>
      </c>
      <c r="D134" s="60"/>
      <c r="E134" s="60"/>
      <c r="F134" s="39" t="s">
        <v>10</v>
      </c>
      <c r="G134" s="51">
        <v>1</v>
      </c>
      <c r="H134" s="51">
        <v>25</v>
      </c>
      <c r="I134" s="51">
        <f t="shared" si="11"/>
        <v>25</v>
      </c>
      <c r="J134" s="52">
        <v>1</v>
      </c>
      <c r="K134" s="52">
        <f t="shared" si="12"/>
        <v>25</v>
      </c>
      <c r="L134" s="50"/>
      <c r="M134" s="53"/>
    </row>
    <row r="135" s="40" customFormat="1" ht="20.25" spans="1:13">
      <c r="A135" s="54">
        <v>46021</v>
      </c>
      <c r="B135" s="55">
        <v>83</v>
      </c>
      <c r="C135" s="56">
        <v>46020</v>
      </c>
      <c r="D135" s="56"/>
      <c r="E135" s="56"/>
      <c r="F135" s="40" t="s">
        <v>61</v>
      </c>
      <c r="G135" s="57">
        <v>1</v>
      </c>
      <c r="H135" s="57">
        <v>15</v>
      </c>
      <c r="I135" s="57">
        <f t="shared" si="11"/>
        <v>15</v>
      </c>
      <c r="J135" s="58">
        <v>15</v>
      </c>
      <c r="K135" s="58">
        <f t="shared" si="12"/>
        <v>225</v>
      </c>
      <c r="L135" s="44"/>
      <c r="M135" s="59"/>
    </row>
    <row r="136" s="40" customFormat="1" ht="20.25" spans="1:13">
      <c r="A136" s="54">
        <v>46021</v>
      </c>
      <c r="B136" s="55">
        <v>83</v>
      </c>
      <c r="C136" s="85">
        <v>46021</v>
      </c>
      <c r="D136" s="85"/>
      <c r="E136" s="85"/>
      <c r="F136" s="40" t="s">
        <v>10</v>
      </c>
      <c r="G136" s="57">
        <v>4</v>
      </c>
      <c r="H136" s="57">
        <v>25</v>
      </c>
      <c r="I136" s="57">
        <f t="shared" si="11"/>
        <v>100</v>
      </c>
      <c r="J136" s="58">
        <v>1</v>
      </c>
      <c r="K136" s="58">
        <f t="shared" si="12"/>
        <v>100</v>
      </c>
      <c r="L136" s="44"/>
      <c r="M136" s="59"/>
    </row>
    <row r="137" s="40" customFormat="1" ht="20.25" spans="1:13">
      <c r="A137" s="54">
        <v>46021</v>
      </c>
      <c r="B137" s="55">
        <v>83</v>
      </c>
      <c r="C137" s="85">
        <v>46021</v>
      </c>
      <c r="D137" s="85"/>
      <c r="E137" s="85"/>
      <c r="F137" s="43" t="s">
        <v>26</v>
      </c>
      <c r="G137" s="57">
        <v>1</v>
      </c>
      <c r="H137" s="57">
        <v>7.2</v>
      </c>
      <c r="I137" s="57">
        <f t="shared" si="11"/>
        <v>7.2</v>
      </c>
      <c r="J137" s="58">
        <v>6.2</v>
      </c>
      <c r="K137" s="58">
        <f t="shared" si="12"/>
        <v>44.64</v>
      </c>
      <c r="L137" s="44"/>
      <c r="M137" s="59"/>
    </row>
    <row r="138" s="40" customFormat="1" ht="20.25" spans="1:13">
      <c r="A138" s="54">
        <v>46021</v>
      </c>
      <c r="B138" s="55">
        <v>83</v>
      </c>
      <c r="C138" s="85">
        <v>46021</v>
      </c>
      <c r="D138" s="85"/>
      <c r="E138" s="85"/>
      <c r="F138" s="43" t="s">
        <v>80</v>
      </c>
      <c r="G138" s="57">
        <v>1</v>
      </c>
      <c r="H138" s="57">
        <v>7.2</v>
      </c>
      <c r="I138" s="57">
        <f t="shared" si="11"/>
        <v>7.2</v>
      </c>
      <c r="J138" s="58">
        <v>6.4</v>
      </c>
      <c r="K138" s="58">
        <f t="shared" si="12"/>
        <v>46.08</v>
      </c>
      <c r="L138" s="44"/>
      <c r="M138" s="59"/>
    </row>
    <row r="139" s="40" customFormat="1" ht="20.25" spans="1:13">
      <c r="A139" s="54">
        <v>46021</v>
      </c>
      <c r="B139" s="55">
        <v>83</v>
      </c>
      <c r="C139" s="85">
        <v>46021</v>
      </c>
      <c r="D139" s="85"/>
      <c r="E139" s="85"/>
      <c r="F139" s="43" t="s">
        <v>81</v>
      </c>
      <c r="G139" s="57">
        <v>1</v>
      </c>
      <c r="H139" s="57">
        <v>3.6</v>
      </c>
      <c r="I139" s="57">
        <f t="shared" si="11"/>
        <v>3.6</v>
      </c>
      <c r="J139" s="58">
        <v>4.2</v>
      </c>
      <c r="K139" s="58">
        <f t="shared" si="12"/>
        <v>15.12</v>
      </c>
      <c r="L139" s="44"/>
      <c r="M139" s="59"/>
    </row>
    <row r="140" s="40" customFormat="1" ht="20.25" spans="1:13">
      <c r="A140" s="54">
        <v>46021</v>
      </c>
      <c r="B140" s="55">
        <v>83</v>
      </c>
      <c r="C140" s="85">
        <v>46021</v>
      </c>
      <c r="D140" s="85"/>
      <c r="E140" s="85"/>
      <c r="F140" s="43" t="s">
        <v>30</v>
      </c>
      <c r="G140" s="57">
        <v>1</v>
      </c>
      <c r="H140" s="57">
        <f>SUM(H137:H139)</f>
        <v>18</v>
      </c>
      <c r="I140" s="57">
        <f t="shared" si="11"/>
        <v>18</v>
      </c>
      <c r="J140" s="58">
        <v>0.7</v>
      </c>
      <c r="K140" s="58">
        <f t="shared" si="12"/>
        <v>12.6</v>
      </c>
      <c r="L140" s="44">
        <f>SUM(K135:K140)</f>
        <v>443.44</v>
      </c>
      <c r="M140" s="59"/>
    </row>
    <row r="141" s="40" customFormat="1" ht="20.25" spans="1:13">
      <c r="A141" s="54">
        <v>46021</v>
      </c>
      <c r="B141" s="55">
        <v>83</v>
      </c>
      <c r="C141" s="85">
        <v>46021</v>
      </c>
      <c r="D141" s="85"/>
      <c r="E141" s="85"/>
      <c r="F141" s="40" t="s">
        <v>82</v>
      </c>
      <c r="G141" s="57">
        <v>1</v>
      </c>
      <c r="H141" s="57">
        <v>1</v>
      </c>
      <c r="I141" s="57">
        <f t="shared" si="11"/>
        <v>1</v>
      </c>
      <c r="J141" s="58">
        <v>11.5</v>
      </c>
      <c r="K141" s="58">
        <f t="shared" si="12"/>
        <v>11.5</v>
      </c>
      <c r="L141" s="44"/>
      <c r="M141" s="59"/>
    </row>
    <row r="142" s="41" customFormat="1" ht="20.25" spans="1:13">
      <c r="A142" s="61">
        <v>46024</v>
      </c>
      <c r="B142" s="62">
        <v>1</v>
      </c>
      <c r="C142" s="76">
        <v>46024</v>
      </c>
      <c r="D142" s="76"/>
      <c r="E142" s="76"/>
      <c r="F142" s="41" t="s">
        <v>10</v>
      </c>
      <c r="G142" s="64">
        <v>10</v>
      </c>
      <c r="H142" s="64">
        <v>25</v>
      </c>
      <c r="I142" s="64">
        <f t="shared" si="11"/>
        <v>250</v>
      </c>
      <c r="J142" s="65">
        <v>1</v>
      </c>
      <c r="K142" s="65">
        <f t="shared" si="12"/>
        <v>250</v>
      </c>
      <c r="L142" s="45"/>
      <c r="M142" s="66"/>
    </row>
    <row r="143" s="41" customFormat="1" ht="20.25" spans="1:13">
      <c r="A143" s="61">
        <v>46024</v>
      </c>
      <c r="B143" s="62">
        <v>1</v>
      </c>
      <c r="C143" s="76">
        <v>46024</v>
      </c>
      <c r="D143" s="76"/>
      <c r="E143" s="76"/>
      <c r="F143" s="41" t="s">
        <v>26</v>
      </c>
      <c r="G143" s="64">
        <v>1</v>
      </c>
      <c r="H143" s="64">
        <v>7.2</v>
      </c>
      <c r="I143" s="64">
        <f t="shared" si="11"/>
        <v>7.2</v>
      </c>
      <c r="J143" s="65">
        <v>6.2</v>
      </c>
      <c r="K143" s="65">
        <f t="shared" si="12"/>
        <v>44.64</v>
      </c>
      <c r="L143" s="45"/>
      <c r="M143" s="66"/>
    </row>
    <row r="144" s="41" customFormat="1" ht="20.25" spans="1:13">
      <c r="A144" s="61">
        <v>46024</v>
      </c>
      <c r="B144" s="62">
        <v>1</v>
      </c>
      <c r="C144" s="76">
        <v>46024</v>
      </c>
      <c r="D144" s="76"/>
      <c r="E144" s="76"/>
      <c r="F144" s="41" t="s">
        <v>80</v>
      </c>
      <c r="G144" s="64">
        <v>1</v>
      </c>
      <c r="H144" s="64">
        <v>7.2</v>
      </c>
      <c r="I144" s="64">
        <f t="shared" si="11"/>
        <v>7.2</v>
      </c>
      <c r="J144" s="65">
        <v>6.4</v>
      </c>
      <c r="K144" s="65">
        <f t="shared" si="12"/>
        <v>46.08</v>
      </c>
      <c r="L144" s="45"/>
      <c r="M144" s="66"/>
    </row>
    <row r="145" s="41" customFormat="1" ht="20.25" spans="1:13">
      <c r="A145" s="61">
        <v>46024</v>
      </c>
      <c r="B145" s="62">
        <v>1</v>
      </c>
      <c r="C145" s="76">
        <v>46024</v>
      </c>
      <c r="D145" s="76"/>
      <c r="E145" s="76"/>
      <c r="F145" s="41" t="s">
        <v>81</v>
      </c>
      <c r="G145" s="64">
        <v>1</v>
      </c>
      <c r="H145" s="64">
        <v>3.6</v>
      </c>
      <c r="I145" s="64">
        <f t="shared" si="11"/>
        <v>3.6</v>
      </c>
      <c r="J145" s="65">
        <v>4.2</v>
      </c>
      <c r="K145" s="65">
        <f t="shared" si="12"/>
        <v>15.12</v>
      </c>
      <c r="L145" s="45"/>
      <c r="M145" s="66"/>
    </row>
    <row r="146" s="41" customFormat="1" ht="20.25" spans="1:13">
      <c r="A146" s="61">
        <v>46024</v>
      </c>
      <c r="B146" s="62">
        <v>1</v>
      </c>
      <c r="C146" s="76">
        <v>46024</v>
      </c>
      <c r="D146" s="76"/>
      <c r="E146" s="76"/>
      <c r="F146" s="41" t="s">
        <v>30</v>
      </c>
      <c r="G146" s="64">
        <v>1</v>
      </c>
      <c r="H146" s="64">
        <f>SUM(H143:H145)</f>
        <v>18</v>
      </c>
      <c r="I146" s="64">
        <f t="shared" si="11"/>
        <v>18</v>
      </c>
      <c r="J146" s="65">
        <v>0.7</v>
      </c>
      <c r="K146" s="65">
        <f t="shared" si="12"/>
        <v>12.6</v>
      </c>
      <c r="L146" s="45">
        <f>SUM(K141:K146)</f>
        <v>379.94</v>
      </c>
      <c r="M146" s="66"/>
    </row>
    <row r="147" s="41" customFormat="1" ht="20.25" spans="1:13">
      <c r="A147" s="61">
        <v>46024</v>
      </c>
      <c r="B147" s="62">
        <v>1</v>
      </c>
      <c r="C147" s="76">
        <v>46024</v>
      </c>
      <c r="D147" s="76"/>
      <c r="E147" s="76"/>
      <c r="F147" s="41" t="s">
        <v>82</v>
      </c>
      <c r="G147" s="64">
        <v>1</v>
      </c>
      <c r="H147" s="64">
        <v>1</v>
      </c>
      <c r="I147" s="64">
        <f t="shared" si="11"/>
        <v>1</v>
      </c>
      <c r="J147" s="65">
        <v>11.5</v>
      </c>
      <c r="K147" s="65">
        <f t="shared" si="12"/>
        <v>11.5</v>
      </c>
      <c r="L147" s="45"/>
      <c r="M147" s="66"/>
    </row>
    <row r="148" s="40" customFormat="1" ht="20.25" spans="1:13">
      <c r="A148" s="54">
        <v>46032</v>
      </c>
      <c r="B148" s="55">
        <v>25</v>
      </c>
      <c r="C148" s="85">
        <v>46030</v>
      </c>
      <c r="D148" s="85"/>
      <c r="E148" s="85"/>
      <c r="F148" s="40" t="s">
        <v>10</v>
      </c>
      <c r="G148" s="57">
        <v>5</v>
      </c>
      <c r="H148" s="57">
        <v>25</v>
      </c>
      <c r="I148" s="57">
        <f t="shared" si="11"/>
        <v>125</v>
      </c>
      <c r="J148" s="58">
        <v>1</v>
      </c>
      <c r="K148" s="58">
        <f t="shared" si="12"/>
        <v>125</v>
      </c>
      <c r="L148" s="44"/>
      <c r="M148" s="59"/>
    </row>
    <row r="149" s="40" customFormat="1" ht="20.25" spans="1:13">
      <c r="A149" s="54">
        <v>46032</v>
      </c>
      <c r="B149" s="55">
        <v>25</v>
      </c>
      <c r="C149" s="85">
        <v>46030</v>
      </c>
      <c r="D149" s="85"/>
      <c r="E149" s="85"/>
      <c r="F149" s="40" t="s">
        <v>62</v>
      </c>
      <c r="G149" s="57">
        <v>1</v>
      </c>
      <c r="H149" s="57">
        <v>1</v>
      </c>
      <c r="I149" s="57">
        <f t="shared" si="11"/>
        <v>1</v>
      </c>
      <c r="J149" s="58">
        <v>5.5</v>
      </c>
      <c r="K149" s="58">
        <f t="shared" si="12"/>
        <v>5.5</v>
      </c>
      <c r="L149" s="44"/>
      <c r="M149" s="59"/>
    </row>
    <row r="150" s="41" customFormat="1" ht="20.25" spans="1:13">
      <c r="A150" s="61">
        <v>46034</v>
      </c>
      <c r="B150" s="62">
        <v>35</v>
      </c>
      <c r="C150" s="76">
        <v>46034</v>
      </c>
      <c r="D150" s="76"/>
      <c r="E150" s="76"/>
      <c r="F150" s="41" t="s">
        <v>10</v>
      </c>
      <c r="G150" s="64">
        <v>12</v>
      </c>
      <c r="H150" s="64">
        <v>25</v>
      </c>
      <c r="I150" s="64">
        <f t="shared" si="11"/>
        <v>300</v>
      </c>
      <c r="J150" s="65">
        <v>1</v>
      </c>
      <c r="K150" s="65">
        <f t="shared" si="12"/>
        <v>300</v>
      </c>
      <c r="L150" s="45"/>
      <c r="M150" s="66"/>
    </row>
    <row r="151" s="40" customFormat="1" ht="20.25" spans="1:13">
      <c r="A151" s="54">
        <v>46038</v>
      </c>
      <c r="B151" s="55">
        <v>42</v>
      </c>
      <c r="C151" s="85">
        <v>46037</v>
      </c>
      <c r="D151" s="85"/>
      <c r="E151" s="85"/>
      <c r="F151" s="40" t="s">
        <v>10</v>
      </c>
      <c r="G151" s="57">
        <v>2</v>
      </c>
      <c r="H151" s="57">
        <v>25</v>
      </c>
      <c r="I151" s="57">
        <f t="shared" si="11"/>
        <v>50</v>
      </c>
      <c r="J151" s="58">
        <v>1</v>
      </c>
      <c r="K151" s="58">
        <f t="shared" si="12"/>
        <v>50</v>
      </c>
      <c r="L151" s="44"/>
      <c r="M151" s="59"/>
    </row>
    <row r="152" s="40" customFormat="1" ht="20.25" spans="1:13">
      <c r="A152" s="61">
        <v>46040</v>
      </c>
      <c r="B152" s="62">
        <v>48</v>
      </c>
      <c r="C152" s="76">
        <v>46039</v>
      </c>
      <c r="D152" s="76"/>
      <c r="E152" s="76"/>
      <c r="F152" s="41" t="s">
        <v>10</v>
      </c>
      <c r="G152" s="64">
        <v>1</v>
      </c>
      <c r="H152" s="64">
        <v>25</v>
      </c>
      <c r="I152" s="64">
        <f t="shared" si="11"/>
        <v>25</v>
      </c>
      <c r="J152" s="65">
        <v>1</v>
      </c>
      <c r="K152" s="65">
        <f t="shared" si="12"/>
        <v>25</v>
      </c>
      <c r="L152" s="44"/>
      <c r="M152" s="59"/>
    </row>
    <row r="153" s="40" customFormat="1" ht="20.25" spans="1:13">
      <c r="A153" s="54">
        <v>46043</v>
      </c>
      <c r="B153" s="55">
        <v>59</v>
      </c>
      <c r="C153" s="85">
        <v>46043</v>
      </c>
      <c r="D153" s="85"/>
      <c r="E153" s="85"/>
      <c r="F153" s="40" t="s">
        <v>10</v>
      </c>
      <c r="G153" s="57">
        <v>9</v>
      </c>
      <c r="H153" s="57">
        <v>25</v>
      </c>
      <c r="I153" s="57">
        <f t="shared" si="11"/>
        <v>225</v>
      </c>
      <c r="J153" s="58">
        <v>1</v>
      </c>
      <c r="K153" s="58">
        <f t="shared" si="12"/>
        <v>225</v>
      </c>
      <c r="L153" s="44"/>
      <c r="M153" s="59"/>
    </row>
    <row r="154" s="40" customFormat="1" ht="20.25" spans="1:13">
      <c r="A154" s="54"/>
      <c r="B154" s="55"/>
      <c r="C154" s="85"/>
      <c r="D154" s="85"/>
      <c r="E154" s="85"/>
      <c r="G154" s="57"/>
      <c r="H154" s="57"/>
      <c r="I154" s="57"/>
      <c r="J154" s="58"/>
      <c r="K154" s="58"/>
      <c r="L154" s="44"/>
      <c r="M154" s="59"/>
    </row>
    <row r="155" s="40" customFormat="1" ht="20.25" spans="1:13">
      <c r="A155" s="54"/>
      <c r="B155" s="55"/>
      <c r="C155" s="85"/>
      <c r="D155" s="85"/>
      <c r="E155" s="85"/>
      <c r="G155" s="57"/>
      <c r="H155" s="57"/>
      <c r="I155" s="57"/>
      <c r="J155" s="58"/>
      <c r="K155" s="58"/>
      <c r="L155" s="44"/>
      <c r="M155" s="59"/>
    </row>
    <row r="156" s="40" customFormat="1" ht="20.25" spans="1:13">
      <c r="A156" s="54"/>
      <c r="B156" s="55"/>
      <c r="C156" s="85"/>
      <c r="D156" s="85"/>
      <c r="E156" s="85"/>
      <c r="G156" s="57"/>
      <c r="H156" s="57"/>
      <c r="I156" s="57"/>
      <c r="J156" s="58"/>
      <c r="K156" s="58"/>
      <c r="L156" s="44"/>
      <c r="M156" s="59"/>
    </row>
    <row r="157" s="40" customFormat="1" ht="20.25" spans="1:13">
      <c r="A157" s="54"/>
      <c r="B157" s="55"/>
      <c r="C157" s="85"/>
      <c r="D157" s="85"/>
      <c r="E157" s="85"/>
      <c r="G157" s="57"/>
      <c r="H157" s="57"/>
      <c r="I157" s="57"/>
      <c r="J157" s="58"/>
      <c r="K157" s="58"/>
      <c r="L157" s="44"/>
      <c r="M157" s="59"/>
    </row>
    <row r="158" s="40" customFormat="1" ht="20.25" spans="1:13">
      <c r="A158" s="54"/>
      <c r="B158" s="55"/>
      <c r="C158" s="85"/>
      <c r="D158" s="85"/>
      <c r="E158" s="85"/>
      <c r="G158" s="57"/>
      <c r="H158" s="57"/>
      <c r="I158" s="57"/>
      <c r="J158" s="58"/>
      <c r="K158" s="58"/>
      <c r="L158" s="44"/>
      <c r="M158" s="59"/>
    </row>
    <row r="159" s="40" customFormat="1" ht="20.25" spans="1:13">
      <c r="A159" s="54"/>
      <c r="B159" s="55"/>
      <c r="C159" s="85"/>
      <c r="D159" s="85"/>
      <c r="E159" s="85"/>
      <c r="G159" s="57"/>
      <c r="H159" s="57"/>
      <c r="I159" s="57"/>
      <c r="J159" s="58"/>
      <c r="K159" s="58"/>
      <c r="L159" s="44"/>
      <c r="M159" s="59"/>
    </row>
    <row r="160" s="40" customFormat="1" ht="20.25" spans="1:13">
      <c r="A160" s="54"/>
      <c r="B160" s="55"/>
      <c r="C160" s="85"/>
      <c r="D160" s="85"/>
      <c r="E160" s="85"/>
      <c r="G160" s="57"/>
      <c r="H160" s="57"/>
      <c r="I160" s="57"/>
      <c r="J160" s="58"/>
      <c r="K160" s="58"/>
      <c r="L160" s="44"/>
      <c r="M160" s="59"/>
    </row>
    <row r="161" s="40" customFormat="1" ht="20.25" spans="1:13">
      <c r="A161" s="54"/>
      <c r="B161" s="55"/>
      <c r="C161" s="85"/>
      <c r="D161" s="85"/>
      <c r="E161" s="85"/>
      <c r="G161" s="57"/>
      <c r="H161" s="57"/>
      <c r="I161" s="57"/>
      <c r="J161" s="58"/>
      <c r="K161" s="58"/>
      <c r="L161" s="44"/>
      <c r="M161" s="59"/>
    </row>
  </sheetData>
  <autoFilter xmlns:etc="http://www.wps.cn/officeDocument/2017/etCustomData" ref="A1:N152" etc:filterBottomFollowUsedRange="0">
    <extLst/>
  </autoFilter>
  <mergeCells count="162">
    <mergeCell ref="C1:E1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L59:N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2"/>
  <sheetViews>
    <sheetView workbookViewId="0">
      <selection activeCell="H18" sqref="H18"/>
    </sheetView>
  </sheetViews>
  <sheetFormatPr defaultColWidth="9" defaultRowHeight="14.25" outlineLevelCol="6"/>
  <cols>
    <col min="1" max="2" width="11.875" customWidth="1"/>
    <col min="3" max="3" width="17.875" customWidth="1"/>
    <col min="4" max="4" width="13.5" customWidth="1"/>
    <col min="5" max="5" width="23.5" customWidth="1"/>
    <col min="6" max="6" width="26" customWidth="1"/>
    <col min="7" max="7" width="19.875" customWidth="1"/>
  </cols>
  <sheetData>
    <row r="1" ht="22.5" spans="1:7">
      <c r="A1" s="1" t="s">
        <v>83</v>
      </c>
      <c r="B1" s="2"/>
      <c r="C1" s="2"/>
      <c r="D1" s="2"/>
      <c r="E1" s="3"/>
      <c r="F1" s="4"/>
      <c r="G1" s="5"/>
    </row>
    <row r="2" ht="22.5" spans="1:7">
      <c r="A2" s="6"/>
      <c r="B2" s="7" t="s">
        <v>84</v>
      </c>
      <c r="C2" s="8"/>
      <c r="D2" s="9"/>
      <c r="E2" s="9" t="s">
        <v>85</v>
      </c>
      <c r="F2" s="10" t="s">
        <v>86</v>
      </c>
      <c r="G2" s="11"/>
    </row>
    <row r="3" ht="22.5" spans="1:7">
      <c r="A3" s="12"/>
      <c r="B3" s="13">
        <f>SUM(D6:D49)</f>
        <v>449</v>
      </c>
      <c r="C3" s="14"/>
      <c r="D3" s="15"/>
      <c r="E3" s="16">
        <f>SUM(E6:E49)</f>
        <v>449</v>
      </c>
      <c r="F3" s="17">
        <f>B3-E3</f>
        <v>0</v>
      </c>
      <c r="G3" s="11"/>
    </row>
    <row r="4" ht="22.5" spans="1:7">
      <c r="A4" s="12"/>
      <c r="B4" s="18"/>
      <c r="C4" s="19"/>
      <c r="D4" s="20"/>
      <c r="E4" s="21"/>
      <c r="F4" s="22"/>
      <c r="G4" s="11"/>
    </row>
    <row r="5" ht="20.75" customHeight="1" spans="1:7">
      <c r="A5" s="23" t="s">
        <v>87</v>
      </c>
      <c r="B5" s="24" t="s">
        <v>20</v>
      </c>
      <c r="C5" s="25" t="s">
        <v>88</v>
      </c>
      <c r="D5" s="26" t="s">
        <v>89</v>
      </c>
      <c r="E5" s="27" t="s">
        <v>90</v>
      </c>
      <c r="F5" s="24" t="s">
        <v>91</v>
      </c>
      <c r="G5" s="28" t="s">
        <v>92</v>
      </c>
    </row>
    <row r="6" ht="20.75" customHeight="1" spans="1:7">
      <c r="A6" s="29">
        <v>45716</v>
      </c>
      <c r="B6" s="30">
        <v>51</v>
      </c>
      <c r="C6" s="31" t="s">
        <v>93</v>
      </c>
      <c r="D6" s="32">
        <v>424</v>
      </c>
      <c r="E6" s="27"/>
      <c r="F6" s="27">
        <f>SUM(D6-E6)</f>
        <v>424</v>
      </c>
      <c r="G6" s="33"/>
    </row>
    <row r="7" ht="20.75" customHeight="1" spans="1:7">
      <c r="A7" s="29">
        <v>45719</v>
      </c>
      <c r="B7" s="30">
        <v>6</v>
      </c>
      <c r="C7" s="31" t="s">
        <v>94</v>
      </c>
      <c r="D7" s="32">
        <v>25</v>
      </c>
      <c r="E7" s="27">
        <v>449</v>
      </c>
      <c r="F7" s="27">
        <f t="shared" ref="F7:F12" si="0">SUM(F6+D7-E7)</f>
        <v>0</v>
      </c>
      <c r="G7" s="33"/>
    </row>
    <row r="8" ht="20.75" customHeight="1" spans="1:7">
      <c r="A8" s="29"/>
      <c r="B8" s="30"/>
      <c r="C8" s="30"/>
      <c r="D8" s="32"/>
      <c r="E8" s="27"/>
      <c r="F8" s="27">
        <f t="shared" si="0"/>
        <v>0</v>
      </c>
      <c r="G8" s="33"/>
    </row>
    <row r="9" ht="20.75" customHeight="1" spans="1:7">
      <c r="A9" s="29"/>
      <c r="B9" s="30"/>
      <c r="C9" s="31"/>
      <c r="D9" s="32"/>
      <c r="E9" s="27"/>
      <c r="F9" s="27">
        <f t="shared" si="0"/>
        <v>0</v>
      </c>
      <c r="G9" s="33"/>
    </row>
    <row r="10" ht="20.75" customHeight="1" spans="1:7">
      <c r="A10" s="29"/>
      <c r="B10" s="30"/>
      <c r="C10" s="31"/>
      <c r="D10" s="32"/>
      <c r="E10" s="27"/>
      <c r="F10" s="27">
        <f t="shared" si="0"/>
        <v>0</v>
      </c>
      <c r="G10" s="33"/>
    </row>
    <row r="11" ht="20.75" customHeight="1" spans="1:7">
      <c r="A11" s="29"/>
      <c r="B11" s="30"/>
      <c r="C11" s="31"/>
      <c r="D11" s="32"/>
      <c r="E11" s="27"/>
      <c r="F11" s="27">
        <f t="shared" si="0"/>
        <v>0</v>
      </c>
      <c r="G11" s="33"/>
    </row>
    <row r="12" ht="20.75" customHeight="1" spans="1:7">
      <c r="A12" s="34"/>
      <c r="B12" s="30"/>
      <c r="C12" s="35"/>
      <c r="D12" s="36"/>
      <c r="E12" s="37"/>
      <c r="F12" s="27">
        <f t="shared" si="0"/>
        <v>0</v>
      </c>
      <c r="G12" s="33"/>
    </row>
  </sheetData>
  <mergeCells count="5">
    <mergeCell ref="A1:F1"/>
    <mergeCell ref="B2:D2"/>
    <mergeCell ref="E3:E4"/>
    <mergeCell ref="F3:F4"/>
    <mergeCell ref="B3:D4"/>
  </mergeCells>
  <pageMargins left="0.751388888888889" right="0.751388888888889" top="1" bottom="1" header="0.5" footer="0.5"/>
  <pageSetup paperSize="9" scale="8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刘英</vt:lpstr>
      <vt:lpstr>出货</vt:lpstr>
      <vt:lpstr>回款明细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2013-02-26T11:10:00Z</dcterms:created>
  <cp:lastPrinted>2022-07-02T02:26:00Z</cp:lastPrinted>
  <dcterms:modified xsi:type="dcterms:W3CDTF">2026-01-22T01:06:52Z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C376BF1CEB134138BC77D4DAFFCA6C26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