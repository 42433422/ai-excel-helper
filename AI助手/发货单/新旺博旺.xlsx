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140" firstSheet="1" activeTab="1"/>
  </bookViews>
  <sheets>
    <sheet name="24出货" sheetId="6" state="hidden" r:id="rId1"/>
    <sheet name="新旺博旺" sheetId="1" r:id="rId2"/>
    <sheet name="25年" sheetId="7" r:id="rId3"/>
    <sheet name="报价" sheetId="5" r:id="rId4"/>
  </sheets>
  <definedNames>
    <definedName name="_xlnm._FilterDatabase" localSheetId="0" hidden="1">'24出货'!$2:$262</definedName>
    <definedName name="_xlnm._FilterDatabase" localSheetId="2" hidden="1">'25年'!$2:$180</definedName>
    <definedName name="_xlnm.Print_Area" localSheetId="3">报价!#REF!</definedName>
    <definedName name="_xlnm.Print_Area" localSheetId="1">新旺博旺!$A$1:$J$21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<sst xmlns="http://schemas.openxmlformats.org/spreadsheetml/2006/main" count="985" uniqueCount="172">
  <si>
    <t>23出货</t>
  </si>
  <si>
    <t>金额总计</t>
  </si>
  <si>
    <t>日期</t>
  </si>
  <si>
    <t>单号</t>
  </si>
  <si>
    <t>产品型号</t>
  </si>
  <si>
    <t>产品名称</t>
  </si>
  <si>
    <t>数量/件</t>
  </si>
  <si>
    <t>规格/KG</t>
  </si>
  <si>
    <t>数量/KG</t>
  </si>
  <si>
    <t>单价/元</t>
  </si>
  <si>
    <t>金额/元</t>
  </si>
  <si>
    <t>备注</t>
  </si>
  <si>
    <t>金额合计</t>
  </si>
  <si>
    <t>2号</t>
  </si>
  <si>
    <t>6821AA</t>
  </si>
  <si>
    <t>PE白底漆</t>
  </si>
  <si>
    <t>PU亮光灰蓝银珠漆</t>
  </si>
  <si>
    <t>7025本色</t>
  </si>
  <si>
    <t>PU亮光闪银漆</t>
  </si>
  <si>
    <t>3708-12*</t>
  </si>
  <si>
    <t>PU亮光浅灰色漆</t>
  </si>
  <si>
    <t>就是老款：以前没有编号</t>
  </si>
  <si>
    <t>PU亮光米白色漆</t>
  </si>
  <si>
    <t>PU亮光固化剂</t>
  </si>
  <si>
    <t>PU亮光草灰色漆</t>
  </si>
  <si>
    <t>商标误打成26KG/桶：已和李总讲清楚了</t>
  </si>
  <si>
    <t>BW004</t>
  </si>
  <si>
    <t>PU七分光深灰银珠漆</t>
  </si>
  <si>
    <t>2/9已送</t>
  </si>
  <si>
    <t>6827B</t>
  </si>
  <si>
    <t>PE封固底漆</t>
  </si>
  <si>
    <t>七分光</t>
  </si>
  <si>
    <t>PU哑光米白色漆</t>
  </si>
  <si>
    <t>303B</t>
  </si>
  <si>
    <t>PU哑光固化剂</t>
  </si>
  <si>
    <t>PU哑光银珠砂面漆</t>
  </si>
  <si>
    <t>PU哑光灰蓝砂面漆</t>
  </si>
  <si>
    <t>换货2桶（换成535GA)</t>
  </si>
  <si>
    <t>换货3桶（须加NC浆1KG/桶)</t>
  </si>
  <si>
    <t>24年</t>
  </si>
  <si>
    <t>6824A</t>
  </si>
  <si>
    <t>PU亮光香槟色漆</t>
  </si>
  <si>
    <t>28/6亮香槟改名</t>
  </si>
  <si>
    <t>002#</t>
  </si>
  <si>
    <t>Pu亮光橙色漆</t>
  </si>
  <si>
    <t>实际是21.5/桶：原油1KG</t>
  </si>
  <si>
    <t>换货</t>
  </si>
  <si>
    <t>9000F</t>
  </si>
  <si>
    <t>PU面漆稀释剂</t>
  </si>
  <si>
    <t>未开单价</t>
  </si>
  <si>
    <t>3527B</t>
  </si>
  <si>
    <t>3527B:新样</t>
  </si>
  <si>
    <t>GC4580-2</t>
  </si>
  <si>
    <t>PU哑光暗夜绿砂面漆</t>
  </si>
  <si>
    <t>PU七分光草灰色漆</t>
  </si>
  <si>
    <t>以3527B:为样调成哑光草灰</t>
  </si>
  <si>
    <t>PU新亮光米白色漆</t>
  </si>
  <si>
    <t>以七分光米白为样调成亮光米白</t>
  </si>
  <si>
    <t>国圣干板样：</t>
  </si>
  <si>
    <t>FS-10</t>
  </si>
  <si>
    <t>PU七分光咖啡金属漆</t>
  </si>
  <si>
    <t>27-2*</t>
  </si>
  <si>
    <t>PU七分光浅灰金属漆</t>
  </si>
  <si>
    <t>4027*</t>
  </si>
  <si>
    <t>6527S</t>
  </si>
  <si>
    <t>6827B:21.8KG+1.2kg：800目滑+1.8kg：816+0.2kg锌粉</t>
  </si>
  <si>
    <t>3527A</t>
  </si>
  <si>
    <t>3527老款不用了</t>
  </si>
  <si>
    <t>门市货</t>
  </si>
  <si>
    <t>PU七分光闪银漆</t>
  </si>
  <si>
    <t>以哑光银珠砂面为样调的</t>
  </si>
  <si>
    <t>4/6自提以哑光银珠砂面为样调的（未打印商标）</t>
  </si>
  <si>
    <t>7068干银粉：1.2KG/桶</t>
  </si>
  <si>
    <t>PU亮光黄色漆</t>
  </si>
  <si>
    <t>9805*</t>
  </si>
  <si>
    <t>3/9送</t>
  </si>
  <si>
    <t>9805*10/9送</t>
  </si>
  <si>
    <t>10/9送</t>
  </si>
  <si>
    <t>14/9已送</t>
  </si>
  <si>
    <t>3527B:新样：以后常用《老款不用了）</t>
  </si>
  <si>
    <t>PU哑光铁红砂面漆</t>
  </si>
  <si>
    <t>17/12送</t>
  </si>
  <si>
    <t>7025（5020）浆</t>
  </si>
  <si>
    <t>6号</t>
  </si>
  <si>
    <t>0713</t>
  </si>
  <si>
    <t>PU亮光金色闪银漆</t>
  </si>
  <si>
    <t>客户下单</t>
  </si>
  <si>
    <t>19/1未开单价</t>
  </si>
  <si>
    <t>七分光
PU哑光米白色漆</t>
  </si>
  <si>
    <t>调错了</t>
  </si>
  <si>
    <t>BW003</t>
  </si>
  <si>
    <t>PU半哑银珠砂面漆</t>
  </si>
  <si>
    <t>半哑银珠砂面</t>
  </si>
  <si>
    <t>误将BW004调成BW003</t>
  </si>
  <si>
    <t>成都国圣工业有限公司（五星花）送货单</t>
  </si>
  <si>
    <t>购货单位（乙方）博旺家私    联系人：李总     日期：2026年01月12日     订单编号：26-0100033A</t>
  </si>
  <si>
    <t xml:space="preserve"> 产 品 型 号</t>
  </si>
  <si>
    <t xml:space="preserve"> 产 品 名 称</t>
  </si>
  <si>
    <t xml:space="preserve">  备  注</t>
  </si>
  <si>
    <t>PU亮光米白专用固化剂</t>
  </si>
  <si>
    <t>合   计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</si>
  <si>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</si>
  <si>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</si>
  <si>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</si>
  <si>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</si>
  <si>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</si>
  <si>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</si>
  <si>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</si>
  <si>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销售单位（甲方）：成都国圣工业有限公司 电话：028-85852618</t>
  </si>
  <si>
    <t>销售负责人：李秋林         销售送货人：       销售制单人：        购货单位经手人：</t>
  </si>
  <si>
    <t>25年</t>
  </si>
  <si>
    <t>02028</t>
  </si>
  <si>
    <t>PU亮光粉绿色漆</t>
  </si>
  <si>
    <t>从8/3起固化剂17.5色漆：18.5，</t>
  </si>
  <si>
    <t>25-3#</t>
  </si>
  <si>
    <t>PU亮光蓝色银漆</t>
  </si>
  <si>
    <t>样油</t>
  </si>
  <si>
    <t>PU亮光橙色色漆</t>
  </si>
  <si>
    <t>305-313</t>
  </si>
  <si>
    <t>625已改成305-313</t>
  </si>
  <si>
    <t>PU亮光蓝色银珠漆</t>
  </si>
  <si>
    <t>2025-1*</t>
  </si>
  <si>
    <t>PU七分光灰绿色漆</t>
  </si>
  <si>
    <t>和25-5-1同一个样</t>
  </si>
  <si>
    <t>2025-2*</t>
  </si>
  <si>
    <t>PU七分光浅灰色漆</t>
  </si>
  <si>
    <t>25-4-1.</t>
  </si>
  <si>
    <t>PU哑光灰色银珠漆</t>
  </si>
  <si>
    <t>25-4-2.</t>
  </si>
  <si>
    <t>PU哑光帝豪金色漆</t>
  </si>
  <si>
    <t>13/5已送</t>
  </si>
  <si>
    <t>换货：16/5日配方已改</t>
  </si>
  <si>
    <t>改浅点</t>
  </si>
  <si>
    <t>25-2-13*</t>
  </si>
  <si>
    <t>16/5日配方已改</t>
  </si>
  <si>
    <t>换货（因原油返粗）</t>
  </si>
  <si>
    <t>11/8未开单</t>
  </si>
  <si>
    <t>原油改色</t>
  </si>
  <si>
    <t>7号</t>
  </si>
  <si>
    <t>10.17:632货(少250kg重钙）</t>
  </si>
  <si>
    <t>85号</t>
  </si>
  <si>
    <t>10月17:632货(少250kg重钙）</t>
  </si>
  <si>
    <t>未开单</t>
  </si>
  <si>
    <t>原油改</t>
  </si>
  <si>
    <r>
      <rPr>
        <b/>
        <sz val="16"/>
        <rFont val="宋体"/>
        <charset val="134"/>
      </rPr>
      <t>博旺（新）旺家私</t>
    </r>
    <r>
      <rPr>
        <b/>
        <sz val="16"/>
        <color indexed="10"/>
        <rFont val="宋体"/>
        <charset val="134"/>
      </rPr>
      <t>*</t>
    </r>
  </si>
  <si>
    <t>2025.3月1</t>
  </si>
  <si>
    <t>型号</t>
  </si>
  <si>
    <t>名称</t>
  </si>
  <si>
    <t>重量</t>
  </si>
  <si>
    <t>单位</t>
  </si>
  <si>
    <t xml:space="preserve"> 厂价（元）</t>
  </si>
  <si>
    <t>kg/桶</t>
  </si>
  <si>
    <t>6827A</t>
  </si>
  <si>
    <t>PE清底漆</t>
  </si>
  <si>
    <t>8588GA</t>
  </si>
  <si>
    <t>PU亮光白面漆</t>
  </si>
  <si>
    <t>PU亮哑光固化剂</t>
  </si>
  <si>
    <t>PU实色浅色漆</t>
  </si>
  <si>
    <t>PU实色深色漆</t>
  </si>
  <si>
    <t>1871AG</t>
  </si>
  <si>
    <t>PU净味清底漆</t>
  </si>
  <si>
    <t>3706AA</t>
  </si>
  <si>
    <t>PU亮光清面漆</t>
  </si>
  <si>
    <t>NC金黄闪银漆</t>
  </si>
  <si>
    <t>PU哑光暗夜绿砂面</t>
  </si>
  <si>
    <t>PU银珠砂面漆</t>
  </si>
  <si>
    <t>7225-70F</t>
  </si>
  <si>
    <t>PU哑光清面漆</t>
  </si>
  <si>
    <t>门市专用</t>
  </si>
  <si>
    <t>PU亮光白面固化剂</t>
  </si>
  <si>
    <t>PU哑白面固化剂</t>
  </si>
  <si>
    <t>2024.2月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</si>
</sst>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 \¥* #,##0.00_ ;_ \¥* \-#,##0.00_ ;_ \¥* &quot;-&quot;??_ ;_ @_ "/>
    <numFmt numFmtId="177" formatCode="0.00_ "/>
    <numFmt numFmtId="178" formatCode="0.0_);[Red]\(0.0\)"/>
    <numFmt numFmtId="179" formatCode="m&quot;月&quot;d&quot;日&quot;;@"/>
    <numFmt numFmtId="180" formatCode="General&quot;号&quot;"/>
    <numFmt numFmtId="181" formatCode="000000"/>
    <numFmt numFmtId="182" formatCode="[DBNum2][$RMB]General;[Red][DBNum2][$RMB]General"/>
    <numFmt numFmtId="183" formatCode="0_ "/>
  </numFmts>
  <fonts count="52">
    <font>
      <sz val="12"/>
      <name val="宋体"/>
      <charset val="134"/>
    </font>
    <font>
      <b/>
      <sz val="16"/>
      <name val="宋体"/>
      <charset val="134"/>
    </font>
    <font>
      <b/>
      <sz val="18"/>
      <name val="宋体"/>
      <charset val="134"/>
    </font>
    <font>
      <sz val="12"/>
      <color rgb="FFFF0000"/>
      <name val="宋体"/>
      <charset val="134"/>
    </font>
    <font>
      <b/>
      <sz val="18"/>
      <color rgb="FFFF0000"/>
      <name val="宋体"/>
      <charset val="134"/>
    </font>
    <font>
      <sz val="14"/>
      <name val="宋体"/>
      <charset val="134"/>
    </font>
    <font>
      <b/>
      <sz val="10"/>
      <color indexed="8"/>
      <name val="宋体"/>
      <charset val="134"/>
    </font>
    <font>
      <b/>
      <sz val="14"/>
      <name val="宋体"/>
      <charset val="134"/>
    </font>
    <font>
      <b/>
      <sz val="14"/>
      <color indexed="8"/>
      <name val="宋体"/>
      <charset val="134"/>
    </font>
    <font>
      <sz val="16"/>
      <color rgb="FF00B0F0"/>
      <name val="宋体"/>
      <charset val="134"/>
    </font>
    <font>
      <sz val="14"/>
      <color rgb="FF00B0F0"/>
      <name val="宋体"/>
      <charset val="134"/>
    </font>
    <font>
      <sz val="16"/>
      <name val="宋体"/>
      <charset val="134"/>
    </font>
    <font>
      <sz val="12"/>
      <color rgb="FF00B0F0"/>
      <name val="宋体"/>
      <charset val="134"/>
    </font>
    <font>
      <sz val="14"/>
      <color rgb="FFFF0000"/>
      <name val="宋体"/>
      <charset val="134"/>
    </font>
    <font>
      <sz val="14"/>
      <color rgb="FF7030A0"/>
      <name val="宋体"/>
      <charset val="134"/>
    </font>
    <font>
      <sz val="16"/>
      <color rgb="FF002060"/>
      <name val="宋体"/>
      <charset val="134"/>
    </font>
    <font>
      <sz val="14"/>
      <color rgb="FF002060"/>
      <name val="宋体"/>
      <charset val="134"/>
    </font>
    <font>
      <sz val="16"/>
      <color rgb="FFFF0000"/>
      <name val="宋体"/>
      <charset val="134"/>
    </font>
    <font>
      <sz val="16"/>
      <color rgb="FF7030A0"/>
      <name val="宋体"/>
      <charset val="134"/>
    </font>
    <font>
      <sz val="24"/>
      <name val="宋体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2"/>
      <color theme="1"/>
      <name val="宋体"/>
      <charset val="134"/>
    </font>
    <font>
      <sz val="16"/>
      <color theme="1"/>
      <name val="宋体"/>
      <charset val="134"/>
    </font>
    <font>
      <sz val="10"/>
      <color rgb="FF00B0F0"/>
      <name val="宋体"/>
      <charset val="134"/>
    </font>
    <font>
      <sz val="8"/>
      <color rgb="FFFF0000"/>
      <name val="宋体"/>
      <charset val="134"/>
    </font>
    <font>
      <sz val="14"/>
      <color theme="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6"/>
      <color indexed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96">
    <xf numFmtId="0" fontId="0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" borderId="11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" borderId="14" applyNumberFormat="0" applyAlignment="0" applyProtection="0">
      <alignment vertical="center"/>
    </xf>
    <xf numFmtId="0" fontId="40" fillId="4" borderId="15" applyNumberFormat="0" applyAlignment="0" applyProtection="0">
      <alignment vertical="center"/>
    </xf>
    <xf numFmtId="0" fontId="41" fillId="4" borderId="14" applyNumberFormat="0" applyAlignment="0" applyProtection="0">
      <alignment vertical="center"/>
    </xf>
    <xf numFmtId="0" fontId="42" fillId="5" borderId="16" applyNumberFormat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0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0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0" fillId="0" borderId="0"/>
    <xf numFmtId="0" fontId="0" fillId="0" borderId="0"/>
    <xf numFmtId="0" fontId="3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0" fillId="0" borderId="0"/>
    <xf numFmtId="0" fontId="0" fillId="0" borderId="0"/>
    <xf numFmtId="0" fontId="3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50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78" fontId="5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Border="1">
      <alignment vertical="center"/>
    </xf>
    <xf numFmtId="0" fontId="0" fillId="0" borderId="1" xfId="0" applyBorder="1">
      <alignment vertical="center"/>
    </xf>
    <xf numFmtId="0" fontId="10" fillId="0" borderId="0" xfId="0" applyFont="1" applyBorder="1">
      <alignment vertical="center"/>
    </xf>
    <xf numFmtId="0" fontId="11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1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16" fillId="0" borderId="0" xfId="0" applyFont="1" applyBorder="1">
      <alignment vertical="center"/>
    </xf>
    <xf numFmtId="17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179" fontId="9" fillId="0" borderId="0" xfId="0" applyNumberFormat="1" applyFont="1" applyBorder="1" applyAlignment="1">
      <alignment horizontal="center" vertical="center"/>
    </xf>
    <xf numFmtId="180" fontId="9" fillId="0" borderId="0" xfId="0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179" fontId="11" fillId="0" borderId="0" xfId="0" applyNumberFormat="1" applyFont="1" applyBorder="1" applyAlignment="1">
      <alignment horizontal="center" vertical="center"/>
    </xf>
    <xf numFmtId="180" fontId="11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58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58" fontId="9" fillId="0" borderId="0" xfId="0" applyNumberFormat="1" applyFont="1" applyBorder="1" applyAlignment="1">
      <alignment horizontal="center" vertical="center"/>
    </xf>
    <xf numFmtId="17" fontId="11" fillId="0" borderId="0" xfId="0" applyNumberFormat="1" applyFont="1" applyAlignment="1">
      <alignment horizontal="center" vertical="center"/>
    </xf>
    <xf numFmtId="14" fontId="9" fillId="0" borderId="0" xfId="0" applyNumberFormat="1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177" fontId="11" fillId="0" borderId="0" xfId="0" applyNumberFormat="1" applyFont="1" applyBorder="1" applyAlignment="1">
      <alignment horizontal="center"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2" fillId="0" borderId="0" xfId="0" applyFont="1">
      <alignment vertical="center"/>
    </xf>
    <xf numFmtId="0" fontId="0" fillId="0" borderId="0" xfId="0" applyFont="1">
      <alignment vertical="center"/>
    </xf>
    <xf numFmtId="179" fontId="17" fillId="0" borderId="0" xfId="0" applyNumberFormat="1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179" fontId="18" fillId="0" borderId="0" xfId="0" applyNumberFormat="1" applyFont="1" applyBorder="1" applyAlignment="1">
      <alignment horizontal="center" vertical="center"/>
    </xf>
    <xf numFmtId="180" fontId="18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14" fontId="11" fillId="0" borderId="0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79" fontId="15" fillId="0" borderId="0" xfId="0" applyNumberFormat="1" applyFont="1" applyBorder="1" applyAlignment="1">
      <alignment horizontal="center" vertical="center"/>
    </xf>
    <xf numFmtId="180" fontId="15" fillId="0" borderId="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177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>
      <alignment vertical="center"/>
    </xf>
    <xf numFmtId="177" fontId="18" fillId="0" borderId="0" xfId="0" applyNumberFormat="1" applyFont="1" applyBorder="1" applyAlignment="1">
      <alignment horizontal="center" vertical="center"/>
    </xf>
    <xf numFmtId="0" fontId="18" fillId="0" borderId="0" xfId="0" applyFont="1" applyBorder="1">
      <alignment vertical="center"/>
    </xf>
    <xf numFmtId="177" fontId="17" fillId="0" borderId="0" xfId="0" applyNumberFormat="1" applyFont="1" applyBorder="1" applyAlignment="1">
      <alignment horizontal="left" vertical="center"/>
    </xf>
    <xf numFmtId="0" fontId="17" fillId="0" borderId="0" xfId="0" applyFont="1">
      <alignment vertical="center"/>
    </xf>
    <xf numFmtId="177" fontId="9" fillId="0" borderId="0" xfId="0" applyNumberFormat="1" applyFont="1" applyBorder="1" applyAlignment="1">
      <alignment horizontal="left" vertical="center"/>
    </xf>
    <xf numFmtId="177" fontId="15" fillId="0" borderId="0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Fill="1" applyBorder="1" applyAlignment="1">
      <alignment vertical="center"/>
    </xf>
    <xf numFmtId="17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77" fontId="1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vertical="center"/>
    </xf>
    <xf numFmtId="181" fontId="11" fillId="0" borderId="1" xfId="0" applyNumberFormat="1" applyFont="1" applyFill="1" applyBorder="1" applyAlignment="1">
      <alignment horizontal="left" vertical="center"/>
    </xf>
    <xf numFmtId="182" fontId="11" fillId="0" borderId="1" xfId="0" applyNumberFormat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textRotation="255"/>
    </xf>
    <xf numFmtId="0" fontId="5" fillId="0" borderId="5" xfId="0" applyFont="1" applyFill="1" applyBorder="1" applyAlignment="1">
      <alignment horizontal="left" vertical="center" wrapText="1" readingOrder="1"/>
    </xf>
    <xf numFmtId="0" fontId="5" fillId="0" borderId="3" xfId="0" applyFont="1" applyFill="1" applyBorder="1" applyAlignment="1">
      <alignment horizontal="left" vertical="center" textRotation="255"/>
    </xf>
    <xf numFmtId="0" fontId="5" fillId="0" borderId="0" xfId="0" applyFont="1" applyFill="1" applyBorder="1" applyAlignment="1">
      <alignment horizontal="left" vertical="center" wrapText="1" readingOrder="1"/>
    </xf>
    <xf numFmtId="0" fontId="5" fillId="0" borderId="6" xfId="0" applyFont="1" applyFill="1" applyBorder="1" applyAlignment="1">
      <alignment horizontal="left" vertical="center" textRotation="255"/>
    </xf>
    <xf numFmtId="0" fontId="5" fillId="0" borderId="7" xfId="0" applyFont="1" applyFill="1" applyBorder="1" applyAlignment="1">
      <alignment horizontal="left" vertical="center" wrapText="1" readingOrder="1"/>
    </xf>
    <xf numFmtId="0" fontId="5" fillId="0" borderId="0" xfId="0" applyFont="1" applyFill="1" applyBorder="1" applyAlignment="1">
      <alignment horizontal="left" vertical="center"/>
    </xf>
    <xf numFmtId="0" fontId="0" fillId="0" borderId="0" xfId="388" applyFill="1" applyBorder="1" applyAlignment="1">
      <alignment horizontal="left" vertical="center"/>
    </xf>
    <xf numFmtId="0" fontId="20" fillId="0" borderId="0" xfId="388" applyFont="1" applyBorder="1" applyAlignment="1">
      <alignment horizontal="left" vertical="center"/>
    </xf>
    <xf numFmtId="0" fontId="0" fillId="0" borderId="0" xfId="388" applyBorder="1" applyAlignment="1">
      <alignment horizontal="left" vertical="center"/>
    </xf>
    <xf numFmtId="0" fontId="0" fillId="0" borderId="0" xfId="388" applyAlignment="1">
      <alignment horizontal="left" vertical="center"/>
    </xf>
    <xf numFmtId="0" fontId="0" fillId="0" borderId="0" xfId="388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" fillId="0" borderId="1" xfId="0" applyFont="1" applyFill="1" applyBorder="1" applyAlignment="1">
      <alignment vertical="center"/>
    </xf>
    <xf numFmtId="0" fontId="0" fillId="0" borderId="0" xfId="388" applyBorder="1" applyAlignment="1">
      <alignment vertical="center"/>
    </xf>
    <xf numFmtId="0" fontId="0" fillId="0" borderId="0" xfId="388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388">
      <alignment vertical="center"/>
    </xf>
    <xf numFmtId="58" fontId="0" fillId="0" borderId="0" xfId="0" applyNumberFormat="1" applyAlignment="1">
      <alignment horizontal="left" vertical="center"/>
    </xf>
    <xf numFmtId="0" fontId="20" fillId="0" borderId="0" xfId="388" applyFont="1" applyBorder="1" applyAlignment="1">
      <alignment horizontal="center" vertical="center"/>
    </xf>
    <xf numFmtId="0" fontId="0" fillId="0" borderId="0" xfId="388" applyFont="1">
      <alignment vertical="center"/>
    </xf>
    <xf numFmtId="7" fontId="11" fillId="0" borderId="1" xfId="0" applyNumberFormat="1" applyFont="1" applyBorder="1" applyAlignment="1">
      <alignment horizontal="center" vertical="center"/>
    </xf>
    <xf numFmtId="0" fontId="5" fillId="0" borderId="8" xfId="0" applyFont="1" applyFill="1" applyBorder="1" applyAlignment="1">
      <alignment horizontal="left" vertical="center" wrapText="1" readingOrder="1"/>
    </xf>
    <xf numFmtId="0" fontId="5" fillId="0" borderId="9" xfId="0" applyFont="1" applyFill="1" applyBorder="1" applyAlignment="1">
      <alignment horizontal="left" vertical="center" wrapText="1" readingOrder="1"/>
    </xf>
    <xf numFmtId="0" fontId="5" fillId="0" borderId="10" xfId="0" applyFont="1" applyFill="1" applyBorder="1" applyAlignment="1">
      <alignment horizontal="left" vertical="center" wrapText="1" readingOrder="1"/>
    </xf>
    <xf numFmtId="58" fontId="20" fillId="0" borderId="0" xfId="388" applyNumberFormat="1" applyFont="1" applyBorder="1" applyAlignment="1">
      <alignment horizontal="center" vertical="center"/>
    </xf>
    <xf numFmtId="0" fontId="21" fillId="0" borderId="0" xfId="388" applyFont="1" applyBorder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183" fontId="20" fillId="0" borderId="0" xfId="0" applyNumberFormat="1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 applyBorder="1">
      <alignment vertical="center"/>
    </xf>
    <xf numFmtId="0" fontId="25" fillId="0" borderId="0" xfId="0" applyFont="1" applyBorder="1">
      <alignment vertical="center"/>
    </xf>
    <xf numFmtId="177" fontId="11" fillId="0" borderId="0" xfId="0" applyNumberFormat="1" applyFont="1">
      <alignment vertical="center"/>
    </xf>
    <xf numFmtId="0" fontId="23" fillId="0" borderId="0" xfId="0" applyFont="1" applyAlignment="1">
      <alignment horizontal="left" vertical="center"/>
    </xf>
    <xf numFmtId="177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6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27" fillId="0" borderId="0" xfId="0" applyFont="1">
      <alignment vertical="center"/>
    </xf>
    <xf numFmtId="17" fontId="9" fillId="0" borderId="0" xfId="0" applyNumberFormat="1" applyFont="1" applyBorder="1" applyAlignment="1">
      <alignment horizontal="center" vertical="center"/>
    </xf>
    <xf numFmtId="179" fontId="25" fillId="0" borderId="0" xfId="0" applyNumberFormat="1" applyFont="1" applyBorder="1" applyAlignment="1">
      <alignment horizontal="center" vertical="center"/>
    </xf>
    <xf numFmtId="180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17" fontId="11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177" fontId="25" fillId="0" borderId="0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0" fontId="28" fillId="0" borderId="0" xfId="0" applyFont="1" applyBorder="1">
      <alignment vertical="center"/>
    </xf>
    <xf numFmtId="0" fontId="24" fillId="0" borderId="0" xfId="0" applyFont="1">
      <alignment vertical="center"/>
    </xf>
    <xf numFmtId="58" fontId="17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77" fontId="17" fillId="0" borderId="0" xfId="0" applyNumberFormat="1" applyFont="1">
      <alignment vertical="center"/>
    </xf>
    <xf numFmtId="0" fontId="29" fillId="0" borderId="0" xfId="0" applyFont="1" applyBorder="1" applyAlignment="1">
      <alignment horizontal="center" vertical="center"/>
    </xf>
    <xf numFmtId="0" fontId="11" fillId="0" borderId="0" xfId="0" applyFont="1" applyBorder="1" applyAlignment="1" quotePrefix="1">
      <alignment horizontal="center" vertical="center"/>
    </xf>
    <xf numFmtId="0" fontId="9" fillId="0" borderId="0" xfId="0" applyFont="1" applyBorder="1" applyAlignment="1" quotePrefix="1">
      <alignment horizontal="center" vertical="center"/>
    </xf>
  </cellXfs>
  <cellStyles count="209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9 4" xfId="49"/>
    <cellStyle name="常规 3 4 4 3 2" xfId="50"/>
    <cellStyle name="常规 2 2 3 9" xfId="51"/>
    <cellStyle name="货币 3 12 2" xfId="52"/>
    <cellStyle name="常规 2 2 3 7 2" xfId="53"/>
    <cellStyle name="常规 3 9 2 2" xfId="54"/>
    <cellStyle name="货币 3 4 5 2 2" xfId="55"/>
    <cellStyle name="常规 3 4 4 5" xfId="56"/>
    <cellStyle name="常规 2 2 7 5" xfId="57"/>
    <cellStyle name="常规 7 5 2 2" xfId="58"/>
    <cellStyle name="常规 3 3 2 6 2" xfId="59"/>
    <cellStyle name="常规 39" xfId="60"/>
    <cellStyle name="货币 2 3 2 3 4 2" xfId="61"/>
    <cellStyle name="常规 4 3 7 2" xfId="62"/>
    <cellStyle name="常规 5 9 2" xfId="63"/>
    <cellStyle name="常规 2 2 4" xfId="64"/>
    <cellStyle name="常规 2 3 6 3 2" xfId="65"/>
    <cellStyle name="货币 2 3 7 2 2" xfId="66"/>
    <cellStyle name="常规 3 14" xfId="67"/>
    <cellStyle name="常规 3 4 3" xfId="68"/>
    <cellStyle name="常规 31 2" xfId="69"/>
    <cellStyle name="常规 26 2" xfId="70"/>
    <cellStyle name="常规 2 2 3 10 2" xfId="71"/>
    <cellStyle name="常规 3 2 3 4 4 2" xfId="72"/>
    <cellStyle name="常规 7 3" xfId="73"/>
    <cellStyle name="常规 4 13" xfId="74"/>
    <cellStyle name="常规 2 7 3" xfId="75"/>
    <cellStyle name="常规 3 3 2 4" xfId="76"/>
    <cellStyle name="适中 2 4 2" xfId="77"/>
    <cellStyle name="常规 3 3 8" xfId="78"/>
    <cellStyle name="常规 2 3 5 2 2" xfId="79"/>
    <cellStyle name="货币 3 2 2 2 3 2" xfId="80"/>
    <cellStyle name="常规 6" xfId="81"/>
    <cellStyle name="常规 14 3 2" xfId="82"/>
    <cellStyle name="常规 5 3 2 4" xfId="83"/>
    <cellStyle name="常规 4 12" xfId="84"/>
    <cellStyle name="常规 12 2 2" xfId="85"/>
    <cellStyle name="常规 4 2 2 3" xfId="86"/>
    <cellStyle name="常规 4 4 3" xfId="87"/>
    <cellStyle name="常规 6 5" xfId="88"/>
    <cellStyle name="常规 7 11 2" xfId="89"/>
    <cellStyle name="常规 3 3 7 2" xfId="90"/>
    <cellStyle name="常规 2 3 11" xfId="91"/>
    <cellStyle name="常规 6 2 10 2" xfId="92"/>
    <cellStyle name="货币 2 4 2 3 2 2" xfId="93"/>
    <cellStyle name="常规 2 2 9 2" xfId="94"/>
    <cellStyle name="常规 3 3 2 4 4" xfId="95"/>
    <cellStyle name="常规 3 4 6 3" xfId="96"/>
    <cellStyle name="常规 3 3 2 4 5" xfId="97"/>
    <cellStyle name="常规 3 4 6 4" xfId="98"/>
    <cellStyle name="常规 4 11" xfId="99"/>
    <cellStyle name="常规 2 2 4 5 3 2" xfId="100"/>
    <cellStyle name="货币 2 3 2 9 2" xfId="101"/>
    <cellStyle name="常规 2 2 4 7 3" xfId="102"/>
    <cellStyle name="常规 2 2 3 9 2" xfId="103"/>
    <cellStyle name="常规 4 14" xfId="104"/>
    <cellStyle name="常规 3 2 2 2 4" xfId="105"/>
    <cellStyle name="常规 2 4 4 3" xfId="106"/>
    <cellStyle name="常规 2 3 3 5 3" xfId="107"/>
    <cellStyle name="常规 31" xfId="108"/>
    <cellStyle name="常规 26" xfId="109"/>
    <cellStyle name="货币 2 3 2 10" xfId="110"/>
    <cellStyle name="常规 4 3 4 3 2" xfId="111"/>
    <cellStyle name="常规 5 6 3 2" xfId="112"/>
    <cellStyle name="常规 2 3 4 4" xfId="113"/>
    <cellStyle name="常规 31 3 2" xfId="114"/>
    <cellStyle name="常规 26 3 2" xfId="115"/>
    <cellStyle name="货币 2 3 5 3" xfId="116"/>
    <cellStyle name="常规 2 2 2 5" xfId="117"/>
    <cellStyle name="货币 2 2 2 10" xfId="118"/>
    <cellStyle name="常规 3 2 3 6 2 2" xfId="119"/>
    <cellStyle name="常规 2 3 2 6 2 2" xfId="120"/>
    <cellStyle name="货币 2 3 3 6 3" xfId="121"/>
    <cellStyle name="货币 2 3 3 5 2 2" xfId="122"/>
    <cellStyle name="常规 2 2 2 4" xfId="123"/>
    <cellStyle name="货币 2 4 2 6 2 2" xfId="124"/>
    <cellStyle name="常规 2 3 2 2 5" xfId="125"/>
    <cellStyle name="货币 2 4 2 2 2 2" xfId="126"/>
    <cellStyle name="常规 3 2 2 2 4 2" xfId="127"/>
    <cellStyle name="常规 2 4 4 3 2" xfId="128"/>
    <cellStyle name="货币 2 4 2 7 2" xfId="129"/>
    <cellStyle name="常规 2 2 2 6" xfId="130"/>
    <cellStyle name="常规 2 2 2 7" xfId="131"/>
    <cellStyle name="常规 7 8 4 2" xfId="132"/>
    <cellStyle name="常规 3 8 2" xfId="133"/>
    <cellStyle name="常规 7 4 4 2" xfId="134"/>
    <cellStyle name="货币 3 3 2 7 2" xfId="135"/>
    <cellStyle name="常规 31 3" xfId="136"/>
    <cellStyle name="常规 26 3" xfId="137"/>
    <cellStyle name="常规 2 2 2 8" xfId="138"/>
    <cellStyle name="常规 3 8 3" xfId="139"/>
    <cellStyle name="常规 2 5 3 2" xfId="140"/>
    <cellStyle name="常规 31 4" xfId="141"/>
    <cellStyle name="常规 26 4" xfId="142"/>
    <cellStyle name="常规 2 2 8 2" xfId="143"/>
    <cellStyle name="常规 3 4 3 5" xfId="144"/>
    <cellStyle name="货币 2 2 3 8" xfId="145"/>
    <cellStyle name="常规 2 2 3 6 2" xfId="146"/>
    <cellStyle name="常规 2 2 2 9" xfId="147"/>
    <cellStyle name="货币 3 11 2" xfId="148"/>
    <cellStyle name="常规 3 8 4" xfId="149"/>
    <cellStyle name="常规 3 4 4 2 2" xfId="150"/>
    <cellStyle name="货币 3 4 4 4" xfId="151"/>
    <cellStyle name="常规 3 3 2 2 3 2" xfId="152"/>
    <cellStyle name="常规 31 5" xfId="153"/>
    <cellStyle name="常规 3 2 6 2" xfId="154"/>
    <cellStyle name="常规 2 4 5 2 2" xfId="155"/>
    <cellStyle name="常规 2 2 8 3" xfId="156"/>
    <cellStyle name="常规 3 2 2 3 3 2" xfId="157"/>
    <cellStyle name="常规 2 4 4 4 2" xfId="158"/>
    <cellStyle name="常规 10 3" xfId="159"/>
    <cellStyle name="常规 6 2 4 4" xfId="160"/>
    <cellStyle name="货币 2 4 5 3 2" xfId="161"/>
    <cellStyle name="常规 5 2 9" xfId="162"/>
    <cellStyle name="常规 10 5 2" xfId="163"/>
    <cellStyle name="货币 2 3 2 3 2" xfId="164"/>
    <cellStyle name="常规 10 4 2" xfId="165"/>
    <cellStyle name="货币 2 3 2 2 2" xfId="166"/>
    <cellStyle name="常规 3 11" xfId="167"/>
    <cellStyle name="常规 10 6 2" xfId="168"/>
    <cellStyle name="货币 2 3 2 4 2" xfId="169"/>
    <cellStyle name="常规 2 2 4 2 3" xfId="170"/>
    <cellStyle name="常规 10 5" xfId="171"/>
    <cellStyle name="货币 2 3 2 3" xfId="172"/>
    <cellStyle name="常规 3 4 2 3" xfId="173"/>
    <cellStyle name="常规 2 2 2 8 4 2" xfId="174"/>
    <cellStyle name="货币 2 2 2 6" xfId="175"/>
    <cellStyle name="常规 10 3 2 2" xfId="176"/>
    <cellStyle name="货币 2 2 2 3 2 2" xfId="177"/>
    <cellStyle name="货币 2 4 2 2 3" xfId="178"/>
    <cellStyle name="常规 21 2" xfId="179"/>
    <cellStyle name="常规 16 2" xfId="180"/>
    <cellStyle name="常规 10" xfId="181"/>
    <cellStyle name="常规 10 2" xfId="182"/>
    <cellStyle name="常规 6 2 4 3" xfId="183"/>
    <cellStyle name="常规 5 2 8" xfId="184"/>
    <cellStyle name="常规 2 3 2 3 5" xfId="185"/>
    <cellStyle name="货币 2 4 2 2 3 2" xfId="186"/>
    <cellStyle name="常规 21 2 2" xfId="187"/>
    <cellStyle name="常规 16 2 2" xfId="188"/>
    <cellStyle name="常规 2 7" xfId="189"/>
    <cellStyle name="常规 10 2 2" xfId="190"/>
    <cellStyle name="常规 6 2 4 3 2" xfId="191"/>
    <cellStyle name="常规 5 2 8 2" xfId="192"/>
    <cellStyle name="常规 2 7 2" xfId="193"/>
    <cellStyle name="常规 3 3 2 3" xfId="194"/>
    <cellStyle name="常规 10 2 2 2" xfId="195"/>
    <cellStyle name="常规 3 3 2 6 2 2" xfId="196"/>
    <cellStyle name="货币 3 3 4" xfId="197"/>
    <cellStyle name="常规 2 8" xfId="198"/>
    <cellStyle name="常规 10 2 3" xfId="199"/>
    <cellStyle name="常规 10 3 2" xfId="200"/>
    <cellStyle name="常规 6 2 4 4 2" xfId="201"/>
    <cellStyle name="常规 5 2 9 2" xfId="202"/>
    <cellStyle name="常规 2 2 2 8 4" xfId="203"/>
    <cellStyle name="常规 10 3 3" xfId="204"/>
    <cellStyle name="常规 2 2 2 8 5" xfId="205"/>
    <cellStyle name="常规 10 4" xfId="206"/>
    <cellStyle name="常规 6 2 4 5" xfId="207"/>
    <cellStyle name="货币 2 3 2 2" xfId="208"/>
    <cellStyle name="常规 10 6" xfId="209"/>
    <cellStyle name="货币 2 3 2 4" xfId="210"/>
    <cellStyle name="常规 3 5 2 2" xfId="211"/>
    <cellStyle name="常规 10 7" xfId="212"/>
    <cellStyle name="货币 2 3 2 5" xfId="213"/>
    <cellStyle name="常规 2 3 7 2" xfId="214"/>
    <cellStyle name="常规 11" xfId="215"/>
    <cellStyle name="货币 2 4 2 2 4" xfId="216"/>
    <cellStyle name="常规 21 3" xfId="217"/>
    <cellStyle name="常规 16 3" xfId="218"/>
    <cellStyle name="常规 5 2 2 3 2" xfId="219"/>
    <cellStyle name="常规 11 2" xfId="220"/>
    <cellStyle name="常规 6 2 5 3" xfId="221"/>
    <cellStyle name="常规 2 3 7 2 2" xfId="222"/>
    <cellStyle name="常规 5 3 8" xfId="223"/>
    <cellStyle name="常规 2 3 2 4 5" xfId="224"/>
    <cellStyle name="常规 21 3 2" xfId="225"/>
    <cellStyle name="常规 16 3 2" xfId="226"/>
    <cellStyle name="常规 5 3 8 2" xfId="227"/>
    <cellStyle name="常规 11 2 2" xfId="228"/>
    <cellStyle name="常规 2 3 2 2" xfId="229"/>
    <cellStyle name="常规 11 3" xfId="230"/>
    <cellStyle name="货币 2 4 5 4 2" xfId="231"/>
    <cellStyle name="常规 5 3 9" xfId="232"/>
    <cellStyle name="常规 2 3 2 2 2" xfId="233"/>
    <cellStyle name="常规 5 3 9 2" xfId="234"/>
    <cellStyle name="常规 11 3 2" xfId="235"/>
    <cellStyle name="常规 2 3 2 3" xfId="236"/>
    <cellStyle name="常规 11 4" xfId="237"/>
    <cellStyle name="货币 2 3 3 2" xfId="238"/>
    <cellStyle name="常规 2 3 2 3 2" xfId="239"/>
    <cellStyle name="常规 11 4 2" xfId="240"/>
    <cellStyle name="货币 2 3 3 2 2" xfId="241"/>
    <cellStyle name="常规 2 3 2 4" xfId="242"/>
    <cellStyle name="常规 11 5" xfId="243"/>
    <cellStyle name="货币 2 3 3 3" xfId="244"/>
    <cellStyle name="常规 2 3 7 3" xfId="245"/>
    <cellStyle name="常规 3 2 2 4 2 2" xfId="246"/>
    <cellStyle name="常规 12" xfId="247"/>
    <cellStyle name="常规 2 4 2 2 3 2" xfId="248"/>
    <cellStyle name="货币 3 2 3 3 2 2" xfId="249"/>
    <cellStyle name="常规 21 4" xfId="250"/>
    <cellStyle name="常规 16 4" xfId="251"/>
    <cellStyle name="货币 2 3 8 2" xfId="252"/>
    <cellStyle name="常规 12 2" xfId="253"/>
    <cellStyle name="常规 6 2 6 3" xfId="254"/>
    <cellStyle name="常规 2 3 3 2" xfId="255"/>
    <cellStyle name="常规 12 3" xfId="256"/>
    <cellStyle name="常规 2 3 3 2 2" xfId="257"/>
    <cellStyle name="常规 12 3 2" xfId="258"/>
    <cellStyle name="常规 2 3 3 3" xfId="259"/>
    <cellStyle name="常规 12 4" xfId="260"/>
    <cellStyle name="货币 2 3 4 2" xfId="261"/>
    <cellStyle name="常规 13" xfId="262"/>
    <cellStyle name="常规 3 2 6 3 2" xfId="263"/>
    <cellStyle name="常规 13 2" xfId="264"/>
    <cellStyle name="常规 2 2 8" xfId="265"/>
    <cellStyle name="常规 13 2 2" xfId="266"/>
    <cellStyle name="常规 2 3 4 2" xfId="267"/>
    <cellStyle name="常规 13 3" xfId="268"/>
    <cellStyle name="常规 2 3 4 2 2" xfId="269"/>
    <cellStyle name="常规 2 3 8" xfId="270"/>
    <cellStyle name="常规 13 3 2" xfId="271"/>
    <cellStyle name="常规 5 2 2 4" xfId="272"/>
    <cellStyle name="常规 2 3 4 3" xfId="273"/>
    <cellStyle name="常规 13 4" xfId="274"/>
    <cellStyle name="货币 2 3 5 2" xfId="275"/>
    <cellStyle name="常规 2 10 2" xfId="276"/>
    <cellStyle name="常规 14" xfId="277"/>
    <cellStyle name="常规 7 6 2 2" xfId="278"/>
    <cellStyle name="常规 14 2" xfId="279"/>
    <cellStyle name="常规 14 2 2" xfId="280"/>
    <cellStyle name="货币 2 3 3 10" xfId="281"/>
    <cellStyle name="常规 2 3 5 2" xfId="282"/>
    <cellStyle name="常规 14 3" xfId="283"/>
    <cellStyle name="常规 2 3 5 3" xfId="284"/>
    <cellStyle name="常规 14 4" xfId="285"/>
    <cellStyle name="货币 2 3 6 2" xfId="286"/>
    <cellStyle name="常规 20" xfId="287"/>
    <cellStyle name="常规 15" xfId="288"/>
    <cellStyle name="常规 20 2" xfId="289"/>
    <cellStyle name="常规 15 2" xfId="290"/>
    <cellStyle name="常规 20 2 2" xfId="291"/>
    <cellStyle name="常规 15 2 2" xfId="292"/>
    <cellStyle name="常规 2 3 6 2" xfId="293"/>
    <cellStyle name="常规 20 3" xfId="294"/>
    <cellStyle name="常规 15 3" xfId="295"/>
    <cellStyle name="常规 5 2 2 2 2" xfId="296"/>
    <cellStyle name="常规 2 3 6 2 2" xfId="297"/>
    <cellStyle name="常规 4 3 8" xfId="298"/>
    <cellStyle name="常规 20 3 2" xfId="299"/>
    <cellStyle name="常规 15 3 2" xfId="300"/>
    <cellStyle name="常规 2 3 6 3" xfId="301"/>
    <cellStyle name="常规 2 4 2 2 2 2" xfId="302"/>
    <cellStyle name="常规 20 4" xfId="303"/>
    <cellStyle name="常规 15 4" xfId="304"/>
    <cellStyle name="货币 2 3 7 2" xfId="305"/>
    <cellStyle name="货币 3 2 2 4" xfId="306"/>
    <cellStyle name="常规 36 4 2" xfId="307"/>
    <cellStyle name="货币 2 2 2 3 2" xfId="308"/>
    <cellStyle name="常规 21" xfId="309"/>
    <cellStyle name="常规 16" xfId="310"/>
    <cellStyle name="常规 4 2 2 2 2" xfId="311"/>
    <cellStyle name="常规 4 4 2 2" xfId="312"/>
    <cellStyle name="常规 6 4 2" xfId="313"/>
    <cellStyle name="货币 3 2 2 5" xfId="314"/>
    <cellStyle name="货币 2 2 2 3 3" xfId="315"/>
    <cellStyle name="常规 22" xfId="316"/>
    <cellStyle name="常规 17" xfId="317"/>
    <cellStyle name="常规 6 2 11" xfId="318"/>
    <cellStyle name="货币 2 2 2 3 3 2" xfId="319"/>
    <cellStyle name="货币 2 4 2 3 3" xfId="320"/>
    <cellStyle name="常规 22 2" xfId="321"/>
    <cellStyle name="常规 17 2" xfId="322"/>
    <cellStyle name="常规 2 3 3 3 5" xfId="323"/>
    <cellStyle name="货币 2 4 2 3 3 2" xfId="324"/>
    <cellStyle name="常规 22 2 2" xfId="325"/>
    <cellStyle name="常规 17 2 2" xfId="326"/>
    <cellStyle name="常规 2 3 8 2" xfId="327"/>
    <cellStyle name="货币 2 4 2 3 4" xfId="328"/>
    <cellStyle name="常规 22 3" xfId="329"/>
    <cellStyle name="常规 17 3" xfId="330"/>
    <cellStyle name="常规 5 2 2 4 2" xfId="331"/>
    <cellStyle name="常规 2 3 3 4 5" xfId="332"/>
    <cellStyle name="货币 2 4 2 3 4 2" xfId="333"/>
    <cellStyle name="常规 22 3 2" xfId="334"/>
    <cellStyle name="常规 17 3 2" xfId="335"/>
    <cellStyle name="常规 3 2 2 4 3 2" xfId="336"/>
    <cellStyle name="常规 2 4 6 2 2" xfId="337"/>
    <cellStyle name="货币 2 4 2 3 5" xfId="338"/>
    <cellStyle name="货币 3 2 3 3 3 2" xfId="339"/>
    <cellStyle name="常规 22 4" xfId="340"/>
    <cellStyle name="常规 17 4" xfId="341"/>
    <cellStyle name="货币 2 3 9 2" xfId="342"/>
    <cellStyle name="常规 17 4 2" xfId="343"/>
    <cellStyle name="常规 17 5" xfId="344"/>
    <cellStyle name="常规 3 2 2 2" xfId="345"/>
    <cellStyle name="常规 2 3 2 2 2 2" xfId="346"/>
    <cellStyle name="货币 2 2 2 3 4" xfId="347"/>
    <cellStyle name="常规 23" xfId="348"/>
    <cellStyle name="常规 18" xfId="349"/>
    <cellStyle name="货币 2 2 2 3 4 2" xfId="350"/>
    <cellStyle name="货币 2 4 2 4 3" xfId="351"/>
    <cellStyle name="常规 23 2" xfId="352"/>
    <cellStyle name="常规 18 2" xfId="353"/>
    <cellStyle name="常规 24 3" xfId="354"/>
    <cellStyle name="常规 19 3" xfId="355"/>
    <cellStyle name="货币 2 4 2 4 3 2" xfId="356"/>
    <cellStyle name="常规 23 2 2" xfId="357"/>
    <cellStyle name="常规 18 2 2" xfId="358"/>
    <cellStyle name="货币 2 4 2 4 2 2" xfId="359"/>
    <cellStyle name="常规 2 3 9 2" xfId="360"/>
    <cellStyle name="货币 2 4 2 4 4" xfId="361"/>
    <cellStyle name="常规 23 3" xfId="362"/>
    <cellStyle name="常规 18 3" xfId="363"/>
    <cellStyle name="货币 2 4 2 4 4 2" xfId="364"/>
    <cellStyle name="常规 23 3 2" xfId="365"/>
    <cellStyle name="常规 18 3 2" xfId="366"/>
    <cellStyle name="货币 2 4 2 4 5" xfId="367"/>
    <cellStyle name="货币 3 2 3 3 4 2" xfId="368"/>
    <cellStyle name="常规 23 4" xfId="369"/>
    <cellStyle name="常规 18 4" xfId="370"/>
    <cellStyle name="常规 2 2 6 2 2" xfId="371"/>
    <cellStyle name="货币 2 2 2 3 5" xfId="372"/>
    <cellStyle name="常规 24" xfId="373"/>
    <cellStyle name="常规 19" xfId="374"/>
    <cellStyle name="货币 2 4 2 5 3" xfId="375"/>
    <cellStyle name="常规 24 2" xfId="376"/>
    <cellStyle name="常规 19 2" xfId="377"/>
    <cellStyle name="常规 24 2 2" xfId="378"/>
    <cellStyle name="常规 19 2 2" xfId="379"/>
    <cellStyle name="常规 24 3 2" xfId="380"/>
    <cellStyle name="常规 19 3 2" xfId="381"/>
    <cellStyle name="常规 24 4" xfId="382"/>
    <cellStyle name="常规 19 4" xfId="383"/>
    <cellStyle name="常规 19 4 2" xfId="384"/>
    <cellStyle name="常规 2 2 2 10" xfId="385"/>
    <cellStyle name="常规 19 5" xfId="386"/>
    <cellStyle name="常规 3 2 4 2" xfId="387"/>
    <cellStyle name="常规 2" xfId="388"/>
    <cellStyle name="常规 2 10" xfId="389"/>
    <cellStyle name="常规 2 2 2 6 3" xfId="390"/>
    <cellStyle name="常规 2 3 2 3 4 2" xfId="391"/>
    <cellStyle name="常规 2 11" xfId="392"/>
    <cellStyle name="常规 3 2 2 3" xfId="393"/>
    <cellStyle name="常规 2 11 2" xfId="394"/>
    <cellStyle name="常规 2 12" xfId="395"/>
    <cellStyle name="常规 2 2 7 4 2" xfId="396"/>
    <cellStyle name="常规 3 2 3 3" xfId="397"/>
    <cellStyle name="常规 2 12 2" xfId="398"/>
    <cellStyle name="常规 2 13" xfId="399"/>
    <cellStyle name="常规 2 2 2 11" xfId="400"/>
    <cellStyle name="常规 3 2 4 3" xfId="401"/>
    <cellStyle name="常规 2 13 2" xfId="402"/>
    <cellStyle name="常规 2 14" xfId="403"/>
    <cellStyle name="常规 2 2" xfId="404"/>
    <cellStyle name="常规 2 3 6 4 2" xfId="405"/>
    <cellStyle name="适中 2 2 2" xfId="406"/>
    <cellStyle name="常规 2 2 10" xfId="407"/>
    <cellStyle name="常规 2 2 10 2" xfId="408"/>
    <cellStyle name="常规 2 2 11" xfId="409"/>
    <cellStyle name="常规 2 2 4 2" xfId="410"/>
    <cellStyle name="常规 3 10" xfId="411"/>
    <cellStyle name="常规 2 2 11 2" xfId="412"/>
    <cellStyle name="常规 2 2 4 2 2" xfId="413"/>
    <cellStyle name="常规 3 2 3 9 2" xfId="414"/>
    <cellStyle name="常规 2 2 12" xfId="415"/>
    <cellStyle name="常规 2 2 4 3" xfId="416"/>
    <cellStyle name="常规 2 2 12 2" xfId="417"/>
    <cellStyle name="常规 2 2 4 3 2" xfId="418"/>
    <cellStyle name="常规 2 2 4 4" xfId="419"/>
    <cellStyle name="常规 30 3 2" xfId="420"/>
    <cellStyle name="常规 25 3 2" xfId="421"/>
    <cellStyle name="常规 2 2 13" xfId="422"/>
    <cellStyle name="常规 2 2 2" xfId="423"/>
    <cellStyle name="常规 2 4 3 5" xfId="424"/>
    <cellStyle name="常规 2 2 2 10 2" xfId="425"/>
    <cellStyle name="常规 2 2 2 11 2" xfId="426"/>
    <cellStyle name="常规 2 2 2 12" xfId="427"/>
    <cellStyle name="常规 2 2 2 12 2" xfId="428"/>
    <cellStyle name="常规 3 4 2 3 2" xfId="429"/>
    <cellStyle name="常规 2 2 2 13" xfId="430"/>
    <cellStyle name="货币 2 2 2 6 2" xfId="431"/>
    <cellStyle name="常规 3 11 2" xfId="432"/>
    <cellStyle name="货币 2 3 2 4 2 2" xfId="433"/>
    <cellStyle name="常规 2 2 4 2 3 2" xfId="434"/>
    <cellStyle name="常规 2 2 2 14" xfId="435"/>
    <cellStyle name="货币 2 2 2 6 3" xfId="436"/>
    <cellStyle name="货币 2 3 2" xfId="437"/>
    <cellStyle name="货币 3 7 3 2" xfId="438"/>
    <cellStyle name="常规 9 2 2 2" xfId="439"/>
    <cellStyle name="常规 2 2 2 2" xfId="440"/>
    <cellStyle name="常规 4 3 9 2" xfId="441"/>
    <cellStyle name="常规 2 4 4" xfId="442"/>
    <cellStyle name="常规 2 2 2 2 2" xfId="443"/>
    <cellStyle name="常规 3 2 2 2 3" xfId="444"/>
    <cellStyle name="常规 2 4 4 2" xfId="445"/>
    <cellStyle name="常规 2 2 2 2 2 2" xfId="446"/>
    <cellStyle name="常规 2 4 5" xfId="447"/>
    <cellStyle name="常规 2 2 2 2 3" xfId="448"/>
    <cellStyle name="常规 7 2 2 2" xfId="449"/>
    <cellStyle name="常规 3 2 2 3 3" xfId="450"/>
    <cellStyle name="常规 2 4 5 2" xfId="451"/>
    <cellStyle name="货币 2 4 2 10" xfId="452"/>
    <cellStyle name="货币 3 2 3 2 3" xfId="453"/>
    <cellStyle name="常规 2 2 2 2 3 2" xfId="454"/>
    <cellStyle name="货币 2 2 9" xfId="455"/>
    <cellStyle name="常规 2 4 6" xfId="456"/>
    <cellStyle name="常规 2 2 2 2 4" xfId="457"/>
    <cellStyle name="常规 7 2 3 2" xfId="458"/>
    <cellStyle name="常规 3 2 2 4 3" xfId="459"/>
    <cellStyle name="常规 2 4 6 2" xfId="460"/>
    <cellStyle name="常规 2 4 2 2 4" xfId="461"/>
    <cellStyle name="货币 3 2 3 3 3" xfId="462"/>
    <cellStyle name="常规 2 2 2 2 4 2" xfId="463"/>
    <cellStyle name="货币 2 3 9" xfId="464"/>
    <cellStyle name="常规 2 4 7" xfId="465"/>
    <cellStyle name="常规 2 2 2 2 5" xfId="466"/>
    <cellStyle name="常规 3 2 3 7 2" xfId="467"/>
    <cellStyle name="常规 2 2 2 3" xfId="468"/>
    <cellStyle name="常规 3 10 3 2" xfId="469"/>
    <cellStyle name="常规 2 5 4" xfId="470"/>
    <cellStyle name="货币 2 2 3 2 2" xfId="471"/>
    <cellStyle name="常规 2 2 2 3 2" xfId="472"/>
    <cellStyle name="常规 3 2 3 2 3" xfId="473"/>
    <cellStyle name="常规 2 5 4 2" xfId="474"/>
    <cellStyle name="货币 2 2 3 2 2 2" xfId="475"/>
    <cellStyle name="常规 32 4" xfId="476"/>
    <cellStyle name="常规 27 4" xfId="477"/>
    <cellStyle name="常规 2 2 2 3 2 2" xfId="478"/>
    <cellStyle name="常规 2 5 5" xfId="479"/>
    <cellStyle name="货币 2 2 3 2 3" xfId="480"/>
    <cellStyle name="常规 2 2 2 3 3" xfId="481"/>
    <cellStyle name="常规 7 3 2 2" xfId="482"/>
    <cellStyle name="常规 3 2 3 3 3" xfId="483"/>
    <cellStyle name="常规 2 5 5 2" xfId="484"/>
    <cellStyle name="货币 2 2 3 2 3 2" xfId="485"/>
    <cellStyle name="常规 28 4" xfId="486"/>
    <cellStyle name="常规 2 2 2 3 3 2" xfId="487"/>
    <cellStyle name="货币 3 2 9" xfId="488"/>
    <cellStyle name="常规 2 5 6" xfId="489"/>
    <cellStyle name="货币 2 2 3 2 4" xfId="490"/>
    <cellStyle name="常规 2 2 2 3 4" xfId="491"/>
    <cellStyle name="常规 29 4" xfId="492"/>
    <cellStyle name="常规 2 2 2 3 4 2" xfId="493"/>
    <cellStyle name="货币 3 3 9" xfId="494"/>
    <cellStyle name="常规 2 2 2 3 5" xfId="495"/>
    <cellStyle name="常规 2 6 4" xfId="496"/>
    <cellStyle name="货币 2 2 3 3 2" xfId="497"/>
    <cellStyle name="常规 2 2 2 4 2" xfId="498"/>
    <cellStyle name="常规 2 6 4 2" xfId="499"/>
    <cellStyle name="货币 2 2 3 3 2 2" xfId="500"/>
    <cellStyle name="常规 2 2 2 4 2 2" xfId="501"/>
    <cellStyle name="常规 4 2 3 2 2" xfId="502"/>
    <cellStyle name="常规 4 5 2 2" xfId="503"/>
    <cellStyle name="常规 7 4 2" xfId="504"/>
    <cellStyle name="货币 3 3 2 5" xfId="505"/>
    <cellStyle name="常规 2 6 5" xfId="506"/>
    <cellStyle name="货币 2 2 3 3 3" xfId="507"/>
    <cellStyle name="常规 2 2 2 4 3" xfId="508"/>
    <cellStyle name="常规 2 2 2 4 3 2" xfId="509"/>
    <cellStyle name="常规 2 3 2 3 2 2" xfId="510"/>
    <cellStyle name="常规 2 2 2 4 4" xfId="511"/>
    <cellStyle name="货币 3 4 10" xfId="512"/>
    <cellStyle name="常规 2 2 2 4 4 2" xfId="513"/>
    <cellStyle name="常规 2 2 2 4 5" xfId="514"/>
    <cellStyle name="常规 5 2 5 3" xfId="515"/>
    <cellStyle name="常规 2 2 7 2 2" xfId="516"/>
    <cellStyle name="常规 2 7 4" xfId="517"/>
    <cellStyle name="货币 2 2 3 4 2" xfId="518"/>
    <cellStyle name="常规 3 3 2 5" xfId="519"/>
    <cellStyle name="常规 2 2 2 5 2" xfId="520"/>
    <cellStyle name="常规 3 2 11" xfId="521"/>
    <cellStyle name="货币 3 3 3 4 2" xfId="522"/>
    <cellStyle name="常规 2 7 4 2" xfId="523"/>
    <cellStyle name="货币 2 2 3 4 2 2" xfId="524"/>
    <cellStyle name="常规 3 3 2 5 2" xfId="525"/>
    <cellStyle name="常规 2 2 2 5 2 2" xfId="526"/>
    <cellStyle name="常规 4 2 3 3 2" xfId="527"/>
    <cellStyle name="常规 4 5 3 2" xfId="528"/>
    <cellStyle name="常规 7 5 2" xfId="529"/>
    <cellStyle name="货币 3 3 3 5" xfId="530"/>
    <cellStyle name="常规 2 7 5" xfId="531"/>
    <cellStyle name="货币 2 2 3 4 3" xfId="532"/>
    <cellStyle name="常规 3 3 2 6" xfId="533"/>
    <cellStyle name="常规 2 2 2 5 3" xfId="534"/>
    <cellStyle name="常规 3 3 3 5" xfId="535"/>
    <cellStyle name="常规 2 2 2 6 2" xfId="536"/>
    <cellStyle name="常规 2 8 4 2" xfId="537"/>
    <cellStyle name="货币 2 2 3 5 2 2" xfId="538"/>
    <cellStyle name="货币 3 3 4 4 2" xfId="539"/>
    <cellStyle name="常规 2 3 6 5" xfId="540"/>
    <cellStyle name="常规 2 2 2 6 2 2" xfId="541"/>
    <cellStyle name="常规 3 4 3 3 2" xfId="542"/>
    <cellStyle name="货币 2 2 3 6 2" xfId="543"/>
    <cellStyle name="货币 3 3 5 4" xfId="544"/>
    <cellStyle name="常规 2 5" xfId="545"/>
    <cellStyle name="常规 2 2 2 7 2" xfId="546"/>
    <cellStyle name="常规 3 8 2 2" xfId="547"/>
    <cellStyle name="货币 3 4 4 2 2" xfId="548"/>
    <cellStyle name="常规 3 3 4 5" xfId="549"/>
    <cellStyle name="常规 2 2 2 8 2" xfId="550"/>
    <cellStyle name="常规 3 8 3 2" xfId="551"/>
    <cellStyle name="货币 3 4 4 3 2" xfId="552"/>
    <cellStyle name="常规 3 3 5 5" xfId="553"/>
    <cellStyle name="常规 2 2 2 8 2 2" xfId="554"/>
    <cellStyle name="常规 2 2 2 8 3" xfId="555"/>
    <cellStyle name="常规 2 2 2 8 3 2" xfId="556"/>
    <cellStyle name="常规 4 2 3" xfId="557"/>
    <cellStyle name="常规 2 2 3 6 2 2" xfId="558"/>
    <cellStyle name="常规 4 5" xfId="559"/>
    <cellStyle name="常规 2 2 2 9 2" xfId="560"/>
    <cellStyle name="常规 3 8 4 2" xfId="561"/>
    <cellStyle name="常规 2 2 3" xfId="562"/>
    <cellStyle name="常规 2 2 3 4 2 2" xfId="563"/>
    <cellStyle name="常规 2 2 3 10" xfId="564"/>
    <cellStyle name="常规 2 4 2 4 2 2" xfId="565"/>
    <cellStyle name="常规 3 2 3 4 4" xfId="566"/>
    <cellStyle name="常规 2 2 3 11" xfId="567"/>
    <cellStyle name="货币 2 10 2" xfId="568"/>
    <cellStyle name="常规 3 2 3 4 5" xfId="569"/>
    <cellStyle name="常规 2 2 3 2" xfId="570"/>
    <cellStyle name="常规 2 2 3 2 2" xfId="571"/>
    <cellStyle name="常规 2 2 3 2 2 2" xfId="572"/>
    <cellStyle name="常规 2 2 3 6" xfId="573"/>
    <cellStyle name="常规 2 2 3 2 3" xfId="574"/>
    <cellStyle name="常规 2 2 3 2 3 2" xfId="575"/>
    <cellStyle name="常规 2 2 4 6" xfId="576"/>
    <cellStyle name="常规 3 4 6" xfId="577"/>
    <cellStyle name="常规 8 2 3" xfId="578"/>
    <cellStyle name="货币 2 7 4" xfId="579"/>
    <cellStyle name="常规 2 4 2 10" xfId="580"/>
    <cellStyle name="常规 2 2 3 2 4" xfId="581"/>
    <cellStyle name="常规 3 2 3 8 2" xfId="582"/>
    <cellStyle name="常规 2 2 3 3" xfId="583"/>
    <cellStyle name="常规 3 10 4 2" xfId="584"/>
    <cellStyle name="常规 2 2 3 3 2" xfId="585"/>
    <cellStyle name="常规 2 2 3 3 2 2" xfId="586"/>
    <cellStyle name="常规 2 3 3 6" xfId="587"/>
    <cellStyle name="常规 2 2 3 3 3" xfId="588"/>
    <cellStyle name="常规 2 2 3 3 3 2" xfId="589"/>
    <cellStyle name="常规 2 2 3 3 4" xfId="590"/>
    <cellStyle name="常规 2 2 3 3 4 2" xfId="591"/>
    <cellStyle name="常规 2 2 3 3 5" xfId="592"/>
    <cellStyle name="常规 2 2 3 4" xfId="593"/>
    <cellStyle name="常规 30 2 2" xfId="594"/>
    <cellStyle name="常规 25 2 2" xfId="595"/>
    <cellStyle name="常规 2 2 3 4 2" xfId="596"/>
    <cellStyle name="常规 2 2 3 4 3" xfId="597"/>
    <cellStyle name="常规 4 3 10" xfId="598"/>
    <cellStyle name="常规 2 2 3 4 3 2" xfId="599"/>
    <cellStyle name="常规 2 3 3" xfId="600"/>
    <cellStyle name="常规 2 3 2 4 2 2" xfId="601"/>
    <cellStyle name="常规 2 2 3 4 4" xfId="602"/>
    <cellStyle name="常规 2 2 3 4 4 2" xfId="603"/>
    <cellStyle name="常规 2 4 3" xfId="604"/>
    <cellStyle name="常规 2 2 3 4 5" xfId="605"/>
    <cellStyle name="常规 5 3 5 3" xfId="606"/>
    <cellStyle name="常规 2 2 8 2 2" xfId="607"/>
    <cellStyle name="常规 2 2 3 5" xfId="608"/>
    <cellStyle name="常规 2 2 3 5 2" xfId="609"/>
    <cellStyle name="常规 2 3 2 10" xfId="610"/>
    <cellStyle name="常规 3 2 3" xfId="611"/>
    <cellStyle name="常规 2 2 3 5 2 2" xfId="612"/>
    <cellStyle name="常规 2 2 3 5 3" xfId="613"/>
    <cellStyle name="常规 2 2 3 6 3" xfId="614"/>
    <cellStyle name="常规 7 10" xfId="615"/>
    <cellStyle name="常规 2 2 3 7" xfId="616"/>
    <cellStyle name="常规 3 9 2" xfId="617"/>
    <cellStyle name="常规 2 2 3 8" xfId="618"/>
    <cellStyle name="常规 3 9 3" xfId="619"/>
    <cellStyle name="常规 2 2 4 9" xfId="620"/>
    <cellStyle name="常规 3 4 4 4 2" xfId="621"/>
    <cellStyle name="货币 9" xfId="622"/>
    <cellStyle name="常规 2 2 3 8 2" xfId="623"/>
    <cellStyle name="常规 3 9 3 2" xfId="624"/>
    <cellStyle name="常规 3 2 3 6" xfId="625"/>
    <cellStyle name="常规 2 2 4 2 2 2" xfId="626"/>
    <cellStyle name="常规 3 10 2" xfId="627"/>
    <cellStyle name="常规 4 3 2 3 2" xfId="628"/>
    <cellStyle name="常规 5 4 3 2" xfId="629"/>
    <cellStyle name="常规 3 12" xfId="630"/>
    <cellStyle name="货币 2 3 2 4 3" xfId="631"/>
    <cellStyle name="常规 2 2 4 2 4" xfId="632"/>
    <cellStyle name="常规 2 2 4 4 2" xfId="633"/>
    <cellStyle name="货币 3 3 3 2 2" xfId="634"/>
    <cellStyle name="常规 2 2 4 5" xfId="635"/>
    <cellStyle name="常规 2 7 2 2" xfId="636"/>
    <cellStyle name="常规 3 5 2 5" xfId="637"/>
    <cellStyle name="货币 2 3 2 8" xfId="638"/>
    <cellStyle name="常规 2 2 4 5 2" xfId="639"/>
    <cellStyle name="常规 2 2 4 5 2 2" xfId="640"/>
    <cellStyle name="货币 2 3 3 9" xfId="641"/>
    <cellStyle name="常规 3 5 2 4 2" xfId="642"/>
    <cellStyle name="货币 2 3 2 7 2" xfId="643"/>
    <cellStyle name="常规 2 2 4 5 3" xfId="644"/>
    <cellStyle name="常规 2 2 4 5 4" xfId="645"/>
    <cellStyle name="常规 2 2 4 5 4 2" xfId="646"/>
    <cellStyle name="常规 2 2 4 5 5" xfId="647"/>
    <cellStyle name="常规 2 3 2 9" xfId="648"/>
    <cellStyle name="常规 3 4 5 2 2" xfId="649"/>
    <cellStyle name="货币 6 2" xfId="650"/>
    <cellStyle name="常规 3 3 2 3 3 2" xfId="651"/>
    <cellStyle name="常规 3 5 3 5" xfId="652"/>
    <cellStyle name="货币 2 3 3 8" xfId="653"/>
    <cellStyle name="常规 2 2 4 6 2" xfId="654"/>
    <cellStyle name="常规 2 2 4 7" xfId="655"/>
    <cellStyle name="常规 2 3 3 9" xfId="656"/>
    <cellStyle name="常规 3 4 5 3 2" xfId="657"/>
    <cellStyle name="货币 7 2" xfId="658"/>
    <cellStyle name="常规 3 3 2 3 4 2" xfId="659"/>
    <cellStyle name="货币 3 4 6 2 2" xfId="660"/>
    <cellStyle name="常规 4 10" xfId="661"/>
    <cellStyle name="常规 2 2 4 7 2" xfId="662"/>
    <cellStyle name="常规 2 3 3 9 2" xfId="663"/>
    <cellStyle name="货币 2 4 5" xfId="664"/>
    <cellStyle name="常规 4 10 2" xfId="665"/>
    <cellStyle name="常规 2 2 4 7 2 2" xfId="666"/>
    <cellStyle name="货币 3 3 2 4 2 2" xfId="667"/>
    <cellStyle name="常规 2 2 4 8" xfId="668"/>
    <cellStyle name="常规 2 2 5" xfId="669"/>
    <cellStyle name="常规 2 2 5 2" xfId="670"/>
    <cellStyle name="常规 2 2 5 2 2" xfId="671"/>
    <cellStyle name="常规 2 2 5 3" xfId="672"/>
    <cellStyle name="常规 2 2 5 3 2" xfId="673"/>
    <cellStyle name="常规 2 2 5 4" xfId="674"/>
    <cellStyle name="常规 2 2 5 4 2" xfId="675"/>
    <cellStyle name="货币 3 3 3 3 2" xfId="676"/>
    <cellStyle name="常规 2 2 5 5" xfId="677"/>
    <cellStyle name="常规 2 7 3 2" xfId="678"/>
    <cellStyle name="常规 2 2 6" xfId="679"/>
    <cellStyle name="常规 3 4 6 3 2" xfId="680"/>
    <cellStyle name="常规 3 3 2 4 4 2" xfId="681"/>
    <cellStyle name="常规 2 2 6 2" xfId="682"/>
    <cellStyle name="常规 2 2 6 3" xfId="683"/>
    <cellStyle name="常规 2 4 10 2" xfId="684"/>
    <cellStyle name="常规 5 11" xfId="685"/>
    <cellStyle name="常规 3 2 2 8" xfId="686"/>
    <cellStyle name="常规 2 2 6 3 2" xfId="687"/>
    <cellStyle name="常规 3 2 5 2 2" xfId="688"/>
    <cellStyle name="常规 2 2 6 4" xfId="689"/>
    <cellStyle name="常规 3 2 10" xfId="690"/>
    <cellStyle name="常规 2 2 7" xfId="691"/>
    <cellStyle name="常规 9 6 2 2" xfId="692"/>
    <cellStyle name="常规 2 2 7 2" xfId="693"/>
    <cellStyle name="常规 2 2 7 3" xfId="694"/>
    <cellStyle name="常规 3 2 2 3 2 2" xfId="695"/>
    <cellStyle name="常规 5 2 6 3" xfId="696"/>
    <cellStyle name="常规 3 3 2 8" xfId="697"/>
    <cellStyle name="常规 2 2 7 3 2" xfId="698"/>
    <cellStyle name="常规 3 2 5 3 2" xfId="699"/>
    <cellStyle name="常规 2 2 7 4" xfId="700"/>
    <cellStyle name="常规 6 2 10" xfId="701"/>
    <cellStyle name="货币 2 4 2 3 2" xfId="702"/>
    <cellStyle name="常规 2 2 9" xfId="703"/>
    <cellStyle name="常规 2 9 2" xfId="704"/>
    <cellStyle name="货币 3 3 5 2" xfId="705"/>
    <cellStyle name="常规 2 3" xfId="706"/>
    <cellStyle name="货币 2 2 2 2 4 2" xfId="707"/>
    <cellStyle name="常规 2 3 3 2 4" xfId="708"/>
    <cellStyle name="常规 2 3 10" xfId="709"/>
    <cellStyle name="常规 2 3 10 2" xfId="710"/>
    <cellStyle name="常规 2 3 11 2" xfId="711"/>
    <cellStyle name="常规 3 2 2 3 4 2" xfId="712"/>
    <cellStyle name="常规 2 4 5 3 2" xfId="713"/>
    <cellStyle name="常规 2 3 12" xfId="714"/>
    <cellStyle name="常规 2 9 2 2" xfId="715"/>
    <cellStyle name="货币 3 3 5 2 2" xfId="716"/>
    <cellStyle name="常规 2 3 2" xfId="717"/>
    <cellStyle name="常规 2 4 4 5" xfId="718"/>
    <cellStyle name="常规 2 3 2 2 3" xfId="719"/>
    <cellStyle name="常规 5 10" xfId="720"/>
    <cellStyle name="常规 3 2 2 7" xfId="721"/>
    <cellStyle name="常规 2 3 2 2 3 2" xfId="722"/>
    <cellStyle name="常规 2 3 2 2 4" xfId="723"/>
    <cellStyle name="常规 3 2 3 7" xfId="724"/>
    <cellStyle name="常规 6 2 3 2 2" xfId="725"/>
    <cellStyle name="常规 3 10 3" xfId="726"/>
    <cellStyle name="常规 2 3 2 2 4 2" xfId="727"/>
    <cellStyle name="常规 2 3 2 3 3" xfId="728"/>
    <cellStyle name="常规 5 2 6 2" xfId="729"/>
    <cellStyle name="常规 3 3 2 7" xfId="730"/>
    <cellStyle name="常规 2 3 2 3 3 2" xfId="731"/>
    <cellStyle name="常规 2 3 2 3 4" xfId="732"/>
    <cellStyle name="常规 2 3 2 4 2" xfId="733"/>
    <cellStyle name="常规 2 3 2 4 3" xfId="734"/>
    <cellStyle name="常规 2 3 2 4 3 2" xfId="735"/>
    <cellStyle name="货币 3 2 2 10" xfId="736"/>
    <cellStyle name="常规 2 3 3 3 2 2" xfId="737"/>
    <cellStyle name="常规 2 3 2 4 4" xfId="738"/>
    <cellStyle name="常规 7 11" xfId="739"/>
    <cellStyle name="常规 2 3 2 4 4 2" xfId="740"/>
    <cellStyle name="常规 3 4 10 2 2" xfId="741"/>
    <cellStyle name="常规 2 3 2 5" xfId="742"/>
    <cellStyle name="常规 2 3 2 5 2" xfId="743"/>
    <cellStyle name="常规 2 3 2 5 2 2" xfId="744"/>
    <cellStyle name="货币 2 3 2 6 3" xfId="745"/>
    <cellStyle name="常规 2 3 2 5 3" xfId="746"/>
    <cellStyle name="常规 2 3 2 6" xfId="747"/>
    <cellStyle name="常规 4 3 3 5" xfId="748"/>
    <cellStyle name="常规 5 5 5" xfId="749"/>
    <cellStyle name="常规 2 3 2 6 2" xfId="750"/>
    <cellStyle name="常规 2 3 2 6 3" xfId="751"/>
    <cellStyle name="常规 4 2 6 2" xfId="752"/>
    <cellStyle name="常规 4 8 2" xfId="753"/>
    <cellStyle name="常规 2 3 2 7" xfId="754"/>
    <cellStyle name="常规 4 2 6 2 2" xfId="755"/>
    <cellStyle name="常规 4 8 2 2" xfId="756"/>
    <cellStyle name="常规 2 3 2 7 2" xfId="757"/>
    <cellStyle name="常规 4 2 6 3" xfId="758"/>
    <cellStyle name="常规 4 8 3" xfId="759"/>
    <cellStyle name="常规 2 3 2 8" xfId="760"/>
    <cellStyle name="常规 2 3 2 8 2" xfId="761"/>
    <cellStyle name="常规 5 2 11" xfId="762"/>
    <cellStyle name="常规 2 3 2 9 2" xfId="763"/>
    <cellStyle name="常规 2 3 3 10" xfId="764"/>
    <cellStyle name="常规 3 7 3" xfId="765"/>
    <cellStyle name="货币 3 6 5" xfId="766"/>
    <cellStyle name="常规 2 3 3 2 2 2" xfId="767"/>
    <cellStyle name="常规 2 3 3 2 3" xfId="768"/>
    <cellStyle name="货币 2 5" xfId="769"/>
    <cellStyle name="货币 3 7 5" xfId="770"/>
    <cellStyle name="常规 2 3 3 2 3 2" xfId="771"/>
    <cellStyle name="常规 9 2 4" xfId="772"/>
    <cellStyle name="常规 2 3 3 3 2" xfId="773"/>
    <cellStyle name="常规 2 3 3 3 3" xfId="774"/>
    <cellStyle name="常规 2 3 3 3 3 2" xfId="775"/>
    <cellStyle name="常规 2 3 3 3 4" xfId="776"/>
    <cellStyle name="常规 2 3 3 3 4 2" xfId="777"/>
    <cellStyle name="常规 2 3 3 4" xfId="778"/>
    <cellStyle name="常规 31 2 2" xfId="779"/>
    <cellStyle name="常规 26 2 2" xfId="780"/>
    <cellStyle name="常规 2 3 3 4 2" xfId="781"/>
    <cellStyle name="常规 2 3 3 4 4" xfId="782"/>
    <cellStyle name="常规 2 3 3 4 2 2" xfId="783"/>
    <cellStyle name="常规 2 3 3 4 3" xfId="784"/>
    <cellStyle name="货币 2 2 10" xfId="785"/>
    <cellStyle name="常规 32" xfId="786"/>
    <cellStyle name="常规 27" xfId="787"/>
    <cellStyle name="常规 2 3 3 4 3 2" xfId="788"/>
    <cellStyle name="常规 2 3 3 4 4 2" xfId="789"/>
    <cellStyle name="常规 2 3 3 5" xfId="790"/>
    <cellStyle name="常规 2 3 3 5 2" xfId="791"/>
    <cellStyle name="常规 30" xfId="792"/>
    <cellStyle name="常规 25" xfId="793"/>
    <cellStyle name="常规 2 3 3 5 2 2" xfId="794"/>
    <cellStyle name="货币 2 4 2 6 3" xfId="795"/>
    <cellStyle name="常规 30 2" xfId="796"/>
    <cellStyle name="常规 25 2" xfId="797"/>
    <cellStyle name="常规 2 3 3 6 2" xfId="798"/>
    <cellStyle name="常规 2 3 3 6 2 2" xfId="799"/>
    <cellStyle name="常规 2 3 3 6 3" xfId="800"/>
    <cellStyle name="常规 4 2 7 2" xfId="801"/>
    <cellStyle name="常规 4 9 2" xfId="802"/>
    <cellStyle name="常规 2 3 3 7" xfId="803"/>
    <cellStyle name="常规 2 3 3 7 2" xfId="804"/>
    <cellStyle name="货币 2 2 5" xfId="805"/>
    <cellStyle name="常规 2 3 3 8" xfId="806"/>
    <cellStyle name="常规 2 3 3 8 2" xfId="807"/>
    <cellStyle name="货币 2 3 5" xfId="808"/>
    <cellStyle name="常规 4 3 8 2" xfId="809"/>
    <cellStyle name="常规 2 3 4" xfId="810"/>
    <cellStyle name="常规 2 3 4 3 2" xfId="811"/>
    <cellStyle name="常规 2 4 8" xfId="812"/>
    <cellStyle name="常规 2 3 4 4 2" xfId="813"/>
    <cellStyle name="货币 3 3 4 2 2" xfId="814"/>
    <cellStyle name="常规 2 3 4 5" xfId="815"/>
    <cellStyle name="常规 2 8 2 2" xfId="816"/>
    <cellStyle name="货币 3 3 2 6 2 2" xfId="817"/>
    <cellStyle name="常规 2 3 5" xfId="818"/>
    <cellStyle name="常规 3 4 8" xfId="819"/>
    <cellStyle name="常规 2 3 5 3 2" xfId="820"/>
    <cellStyle name="常规 2 3 5 4" xfId="821"/>
    <cellStyle name="常规 31 4 2" xfId="822"/>
    <cellStyle name="常规 3 5 8" xfId="823"/>
    <cellStyle name="常规 2 3 5 4 2" xfId="824"/>
    <cellStyle name="常规 2 8 3 2" xfId="825"/>
    <cellStyle name="货币 3 3 4 3 2" xfId="826"/>
    <cellStyle name="常规 2 3 5 5" xfId="827"/>
    <cellStyle name="常规 2 3 6" xfId="828"/>
    <cellStyle name="常规 3 2 6 2 2" xfId="829"/>
    <cellStyle name="常规 2 3 6 4" xfId="830"/>
    <cellStyle name="常规 31 5 2" xfId="831"/>
    <cellStyle name="常规 2 3 7" xfId="832"/>
    <cellStyle name="常规 9 6 3 2" xfId="833"/>
    <cellStyle name="货币 2 4 2 4 2" xfId="834"/>
    <cellStyle name="常规 2 3 9" xfId="835"/>
    <cellStyle name="常规 2 9 3" xfId="836"/>
    <cellStyle name="货币 3 3 5 3" xfId="837"/>
    <cellStyle name="常规 2 4" xfId="838"/>
    <cellStyle name="常规 2 4 10" xfId="839"/>
    <cellStyle name="常规 3 2 2 3 2" xfId="840"/>
    <cellStyle name="常规 2 4 11" xfId="841"/>
    <cellStyle name="货币 3 3 5 3 2" xfId="842"/>
    <cellStyle name="常规 2 4 2" xfId="843"/>
    <cellStyle name="常规 2 4 5 5" xfId="844"/>
    <cellStyle name="常规 2 4 2 2" xfId="845"/>
    <cellStyle name="常规 2 4 2 2 2" xfId="846"/>
    <cellStyle name="常规 3 2 2 4 2" xfId="847"/>
    <cellStyle name="常规 2 4 2 2 3" xfId="848"/>
    <cellStyle name="常规 3 3 10" xfId="849"/>
    <cellStyle name="常规 2 4 2 3" xfId="850"/>
    <cellStyle name="常规 3 3 10 2" xfId="851"/>
    <cellStyle name="常规 2 4 2 3 2" xfId="852"/>
    <cellStyle name="常规 2 4 2 3 2 2" xfId="853"/>
    <cellStyle name="常规 3 2 2 4 4" xfId="854"/>
    <cellStyle name="常规 2 4 6 3" xfId="855"/>
    <cellStyle name="常规 3 2 2 5 2" xfId="856"/>
    <cellStyle name="常规 2 4 2 3 3" xfId="857"/>
    <cellStyle name="常规 2 4 2 3 3 2" xfId="858"/>
    <cellStyle name="常规 3 4 10" xfId="859"/>
    <cellStyle name="常规 3 2 2 5 2 2" xfId="860"/>
    <cellStyle name="常规 2 4 2 3 5" xfId="861"/>
    <cellStyle name="常规 7 2 4 2" xfId="862"/>
    <cellStyle name="常规 3 2 2 5 3" xfId="863"/>
    <cellStyle name="常规 2 4 7 2" xfId="864"/>
    <cellStyle name="常规 2 4 2 3 4" xfId="865"/>
    <cellStyle name="常规 2 4 2 3 4 2" xfId="866"/>
    <cellStyle name="常规 2 4 2 4 5" xfId="867"/>
    <cellStyle name="常规 3 3 11" xfId="868"/>
    <cellStyle name="常规 2 4 2 4" xfId="869"/>
    <cellStyle name="常规 2 4 2 4 2" xfId="870"/>
    <cellStyle name="常规 3 2 2 6 2" xfId="871"/>
    <cellStyle name="常规 2 4 2 4 3" xfId="872"/>
    <cellStyle name="常规 3 2 2 6 2 2" xfId="873"/>
    <cellStyle name="常规 2 4 2 4 3 2" xfId="874"/>
    <cellStyle name="常规 3 2 2 6 3" xfId="875"/>
    <cellStyle name="常规 2 4 8 2" xfId="876"/>
    <cellStyle name="常规 2 4 2 4 4" xfId="877"/>
    <cellStyle name="常规 2 4 2 4 4 2" xfId="878"/>
    <cellStyle name="常规 3 2 3 10" xfId="879"/>
    <cellStyle name="常规 2 4 2 5" xfId="880"/>
    <cellStyle name="常规 2 4 2 5 2" xfId="881"/>
    <cellStyle name="常规 2 4 2 5 2 2" xfId="882"/>
    <cellStyle name="货币 3 3 2 6 3" xfId="883"/>
    <cellStyle name="常规 5 10 2" xfId="884"/>
    <cellStyle name="常规 8" xfId="885"/>
    <cellStyle name="常规 3 2 2 7 2" xfId="886"/>
    <cellStyle name="常规 2 4 2 5 3" xfId="887"/>
    <cellStyle name="常规 2 4 2 6" xfId="888"/>
    <cellStyle name="常规 2 4 2 6 2" xfId="889"/>
    <cellStyle name="常规 2 4 2 6 2 2" xfId="890"/>
    <cellStyle name="常规 5 11 2" xfId="891"/>
    <cellStyle name="常规 3 2 2 8 2" xfId="892"/>
    <cellStyle name="常规 2 4 2 6 3" xfId="893"/>
    <cellStyle name="常规 4 3 6 2" xfId="894"/>
    <cellStyle name="常规 5 8 2" xfId="895"/>
    <cellStyle name="常规 2 4 2 7" xfId="896"/>
    <cellStyle name="常规 4 3 6 2 2" xfId="897"/>
    <cellStyle name="常规 2 4 2 7 2" xfId="898"/>
    <cellStyle name="常规 4 3 6 3" xfId="899"/>
    <cellStyle name="常规 2 4 2 8" xfId="900"/>
    <cellStyle name="常规 2 4 2 8 2" xfId="901"/>
    <cellStyle name="常规 2 4 2 9" xfId="902"/>
    <cellStyle name="常规 3 4 6 2 2" xfId="903"/>
    <cellStyle name="常规 3 3 2 4 3 2" xfId="904"/>
    <cellStyle name="常规 2 4 2 9 2" xfId="905"/>
    <cellStyle name="常规 2 4 3 2" xfId="906"/>
    <cellStyle name="常规 2 4 3 2 2" xfId="907"/>
    <cellStyle name="常规 2 4 3 3" xfId="908"/>
    <cellStyle name="常规 2 4 3 3 2" xfId="909"/>
    <cellStyle name="常规 2 4 3 4" xfId="910"/>
    <cellStyle name="常规 32 2 2" xfId="911"/>
    <cellStyle name="常规 27 2 2" xfId="912"/>
    <cellStyle name="常规 2 4 3 4 2" xfId="913"/>
    <cellStyle name="常规 3 2 2 2 3 2" xfId="914"/>
    <cellStyle name="常规 2 4 4 2 2" xfId="915"/>
    <cellStyle name="常规 2 4 4 4" xfId="916"/>
    <cellStyle name="常规 32 3 2" xfId="917"/>
    <cellStyle name="常规 27 3 2" xfId="918"/>
    <cellStyle name="常规 3 2 2 2 5" xfId="919"/>
    <cellStyle name="常规 3 2 2 3 4" xfId="920"/>
    <cellStyle name="常规 2 4 5 3" xfId="921"/>
    <cellStyle name="常规 2 4 5 4" xfId="922"/>
    <cellStyle name="常规 32 4 2" xfId="923"/>
    <cellStyle name="常规 3 2 2 3 5" xfId="924"/>
    <cellStyle name="常规 2 4 5 4 2" xfId="925"/>
    <cellStyle name="货币 2 4 2 5 2" xfId="926"/>
    <cellStyle name="常规 2 4 9" xfId="927"/>
    <cellStyle name="货币 2 4 2 5 2 2" xfId="928"/>
    <cellStyle name="常规 2 4 9 2" xfId="929"/>
    <cellStyle name="货币 3 3 5 4 2" xfId="930"/>
    <cellStyle name="常规 2 5 2" xfId="931"/>
    <cellStyle name="常规 2 5 2 2" xfId="932"/>
    <cellStyle name="常规 2 5 3" xfId="933"/>
    <cellStyle name="常规 7 7 2" xfId="934"/>
    <cellStyle name="货币 3 3 5 5" xfId="935"/>
    <cellStyle name="常规 2 6" xfId="936"/>
    <cellStyle name="货币 3 3 2 2" xfId="937"/>
    <cellStyle name="常规 3 4 12" xfId="938"/>
    <cellStyle name="常规 2 6 2" xfId="939"/>
    <cellStyle name="常规 2 6 2 2" xfId="940"/>
    <cellStyle name="常规 2 6 3" xfId="941"/>
    <cellStyle name="常规 3 5 10" xfId="942"/>
    <cellStyle name="常规 2 6 3 2" xfId="943"/>
    <cellStyle name="常规 2 8 2" xfId="944"/>
    <cellStyle name="常规 2 8 3" xfId="945"/>
    <cellStyle name="常规 3 4 3 2 2" xfId="946"/>
    <cellStyle name="常规 2 8 4" xfId="947"/>
    <cellStyle name="货币 2 2 3 5 2" xfId="948"/>
    <cellStyle name="常规 4 2 3 4 2" xfId="949"/>
    <cellStyle name="常规 4 5 4 2" xfId="950"/>
    <cellStyle name="常规 7 6 2" xfId="951"/>
    <cellStyle name="货币 3 3 4 5" xfId="952"/>
    <cellStyle name="常规 2 8 5" xfId="953"/>
    <cellStyle name="货币 2 2 3 5 3" xfId="954"/>
    <cellStyle name="货币 3 2 2" xfId="955"/>
    <cellStyle name="常规 2 9" xfId="956"/>
    <cellStyle name="常规 30 3" xfId="957"/>
    <cellStyle name="常规 25 3" xfId="958"/>
    <cellStyle name="常规 30 4" xfId="959"/>
    <cellStyle name="常规 25 4" xfId="960"/>
    <cellStyle name="货币 2 2 10 2" xfId="961"/>
    <cellStyle name="常规 32 2" xfId="962"/>
    <cellStyle name="常规 27 2" xfId="963"/>
    <cellStyle name="常规 32 3" xfId="964"/>
    <cellStyle name="常规 27 3" xfId="965"/>
    <cellStyle name="货币 2 2 11" xfId="966"/>
    <cellStyle name="常规 33" xfId="967"/>
    <cellStyle name="常规 28" xfId="968"/>
    <cellStyle name="常规 33 2" xfId="969"/>
    <cellStyle name="常规 28 2" xfId="970"/>
    <cellStyle name="货币 3 2 7" xfId="971"/>
    <cellStyle name="货币 2 2 11 2" xfId="972"/>
    <cellStyle name="常规 28 2 2" xfId="973"/>
    <cellStyle name="货币 3 2 7 2" xfId="974"/>
    <cellStyle name="常规 28 3" xfId="975"/>
    <cellStyle name="货币 3 2 8" xfId="976"/>
    <cellStyle name="货币 3 2 4 2 2" xfId="977"/>
    <cellStyle name="常规 28 3 2" xfId="978"/>
    <cellStyle name="货币 3 2 8 2" xfId="979"/>
    <cellStyle name="货币 2 2 12" xfId="980"/>
    <cellStyle name="常规 34" xfId="981"/>
    <cellStyle name="常规 29" xfId="982"/>
    <cellStyle name="常规 34 2" xfId="983"/>
    <cellStyle name="常规 29 2" xfId="984"/>
    <cellStyle name="货币 3 3 7" xfId="985"/>
    <cellStyle name="常规 29 2 2" xfId="986"/>
    <cellStyle name="货币 3 3 7 2" xfId="987"/>
    <cellStyle name="常规 4 3" xfId="988"/>
    <cellStyle name="常规 29 3" xfId="989"/>
    <cellStyle name="货币 3 3 8" xfId="990"/>
    <cellStyle name="货币 3 2 4 3 2" xfId="991"/>
    <cellStyle name="常规 29 3 2" xfId="992"/>
    <cellStyle name="货币 3 3 8 2" xfId="993"/>
    <cellStyle name="常规 5 3" xfId="994"/>
    <cellStyle name="常规 3" xfId="995"/>
    <cellStyle name="常规 3 2 3 6 2" xfId="996"/>
    <cellStyle name="常规 3 10 2 2" xfId="997"/>
    <cellStyle name="常规 3 2 10 2" xfId="998"/>
    <cellStyle name="常规 3 2 3 8" xfId="999"/>
    <cellStyle name="常规 3 10 4" xfId="1000"/>
    <cellStyle name="常规 3 2 3 9" xfId="1001"/>
    <cellStyle name="常规 3 10 5" xfId="1002"/>
    <cellStyle name="常规 3 12 2" xfId="1003"/>
    <cellStyle name="常规 3 13" xfId="1004"/>
    <cellStyle name="常规 3 13 2" xfId="1005"/>
    <cellStyle name="常规 3 2" xfId="1006"/>
    <cellStyle name="常规 3 2 11 2" xfId="1007"/>
    <cellStyle name="常规 3 2 2 10" xfId="1008"/>
    <cellStyle name="常规 5 3 3 3 2" xfId="1009"/>
    <cellStyle name="常规 3 2 12" xfId="1010"/>
    <cellStyle name="货币 3 2 7 3" xfId="1011"/>
    <cellStyle name="常规 3 2 2" xfId="1012"/>
    <cellStyle name="常规 3 2 2 2 2" xfId="1013"/>
    <cellStyle name="常规 3 2 2 2 2 2" xfId="1014"/>
    <cellStyle name="常规 3 2 2 4" xfId="1015"/>
    <cellStyle name="常规 3 5 9 2" xfId="1016"/>
    <cellStyle name="常规 3 2 2 4 4 2" xfId="1017"/>
    <cellStyle name="常规 3 2 7 2 2" xfId="1018"/>
    <cellStyle name="常规 3 2 2 4 5" xfId="1019"/>
    <cellStyle name="常规 3 2 2 5" xfId="1020"/>
    <cellStyle name="常规 3 2 2 6" xfId="1021"/>
    <cellStyle name="常规 5 12" xfId="1022"/>
    <cellStyle name="常规 3 5 4 2 2" xfId="1023"/>
    <cellStyle name="常规 3 2 2 9" xfId="1024"/>
    <cellStyle name="常规 3 2 2 9 2" xfId="1025"/>
    <cellStyle name="常规 3 2 3 2" xfId="1026"/>
    <cellStyle name="常规 3 2 3 2 2" xfId="1027"/>
    <cellStyle name="常规 3 2 3 2 2 2" xfId="1028"/>
    <cellStyle name="常规 3 2 3 2 3 2" xfId="1029"/>
    <cellStyle name="常规 3 2 3 2 4" xfId="1030"/>
    <cellStyle name="常规 3 2 3 3 2" xfId="1031"/>
    <cellStyle name="常规 3 2 3 3 2 2" xfId="1032"/>
    <cellStyle name="常规 3 2 7 3" xfId="1033"/>
    <cellStyle name="常规 3 2 3 3 3 2" xfId="1034"/>
    <cellStyle name="常规 3 2 3 3 4" xfId="1035"/>
    <cellStyle name="常规 3 2 3 3 4 2" xfId="1036"/>
    <cellStyle name="常规 3 2 3 3 5" xfId="1037"/>
    <cellStyle name="常规 3 2 3 4" xfId="1038"/>
    <cellStyle name="常规 3 2 3 4 2" xfId="1039"/>
    <cellStyle name="常规 3 2 3 4 2 2" xfId="1040"/>
    <cellStyle name="常规 7 3 3 2" xfId="1041"/>
    <cellStyle name="常规 3 2 3 4 3" xfId="1042"/>
    <cellStyle name="常规 3 2 3 4 3 2" xfId="1043"/>
    <cellStyle name="常规 3 2 3 5" xfId="1044"/>
    <cellStyle name="常规 3 2 3 5 2" xfId="1045"/>
    <cellStyle name="常规 3 2 3 5 2 2" xfId="1046"/>
    <cellStyle name="常规 7 3 4 2" xfId="1047"/>
    <cellStyle name="常规 3 2 3 5 3" xfId="1048"/>
    <cellStyle name="常规 3 2 3 6 3" xfId="1049"/>
    <cellStyle name="常规 6 9 2" xfId="1050"/>
    <cellStyle name="常规 3 2 4" xfId="1051"/>
    <cellStyle name="常规 3 2 4 2 2" xfId="1052"/>
    <cellStyle name="常规 3 2 4 3 2" xfId="1053"/>
    <cellStyle name="常规 3 2 4 4" xfId="1054"/>
    <cellStyle name="常规 3 2 4 4 2" xfId="1055"/>
    <cellStyle name="常规 3 7 2 2" xfId="1056"/>
    <cellStyle name="货币 3 4 3 2 2" xfId="1057"/>
    <cellStyle name="常规 3 2 4 5" xfId="1058"/>
    <cellStyle name="常规 3 2 5" xfId="1059"/>
    <cellStyle name="常规 3 2 5 2" xfId="1060"/>
    <cellStyle name="常规 3 2 5 3" xfId="1061"/>
    <cellStyle name="常规 3 2 5 4" xfId="1062"/>
    <cellStyle name="常规 3 2 5 4 2" xfId="1063"/>
    <cellStyle name="常规 3 7 3 2" xfId="1064"/>
    <cellStyle name="货币 3 4 3 3 2" xfId="1065"/>
    <cellStyle name="常规 3 2 5 5" xfId="1066"/>
    <cellStyle name="常规 3 2 6" xfId="1067"/>
    <cellStyle name="常规 3 2 6 3" xfId="1068"/>
    <cellStyle name="常规 31 6" xfId="1069"/>
    <cellStyle name="常规 3 3 5 2 2" xfId="1070"/>
    <cellStyle name="常规 3 2 6 4" xfId="1071"/>
    <cellStyle name="常规 3 2 6 4 2" xfId="1072"/>
    <cellStyle name="常规 3 7 4 2" xfId="1073"/>
    <cellStyle name="货币 3 4 3 4 2" xfId="1074"/>
    <cellStyle name="常规 3 2 6 5" xfId="1075"/>
    <cellStyle name="常规 3 2 7" xfId="1076"/>
    <cellStyle name="常规 9 7 2 2" xfId="1077"/>
    <cellStyle name="常规 3 2 7 2" xfId="1078"/>
    <cellStyle name="常规 32 5" xfId="1079"/>
    <cellStyle name="常规 3 2 8" xfId="1080"/>
    <cellStyle name="常规 3 2 8 2" xfId="1081"/>
    <cellStyle name="货币 2 4 3 3 2" xfId="1082"/>
    <cellStyle name="常规 3 2 9" xfId="1083"/>
    <cellStyle name="常规 3 2 9 2" xfId="1084"/>
    <cellStyle name="货币 3 3 6 2" xfId="1085"/>
    <cellStyle name="常规 3 3" xfId="1086"/>
    <cellStyle name="货币 3 3 6 2 2" xfId="1087"/>
    <cellStyle name="常规 3 3 2" xfId="1088"/>
    <cellStyle name="常规 4 3 3 3" xfId="1089"/>
    <cellStyle name="常规 5 5 3" xfId="1090"/>
    <cellStyle name="常规 3 3 2 10" xfId="1091"/>
    <cellStyle name="常规 3 3 2 2" xfId="1092"/>
    <cellStyle name="常规 38 5" xfId="1093"/>
    <cellStyle name="常规 3 3 2 2 2" xfId="1094"/>
    <cellStyle name="货币 3 10 2" xfId="1095"/>
    <cellStyle name="常规 3 7 4" xfId="1096"/>
    <cellStyle name="货币 2 2 4 4 2" xfId="1097"/>
    <cellStyle name="货币 3 4 3 4" xfId="1098"/>
    <cellStyle name="常规 3 3 2 2 2 2" xfId="1099"/>
    <cellStyle name="货币 3 11" xfId="1100"/>
    <cellStyle name="常规 3 4 4 2" xfId="1101"/>
    <cellStyle name="货币 2 2 4 5" xfId="1102"/>
    <cellStyle name="货币 2 7 2 2" xfId="1103"/>
    <cellStyle name="常规 3 3 2 2 3" xfId="1104"/>
    <cellStyle name="货币 3 12" xfId="1105"/>
    <cellStyle name="常规 3 4 4 3" xfId="1106"/>
    <cellStyle name="常规 3 3 2 2 4" xfId="1107"/>
    <cellStyle name="货币 5" xfId="1108"/>
    <cellStyle name="常规 3 3 2 3 2" xfId="1109"/>
    <cellStyle name="货币 5 2" xfId="1110"/>
    <cellStyle name="常规 3 3 2 3 2 2" xfId="1111"/>
    <cellStyle name="常规 3 4 5 2" xfId="1112"/>
    <cellStyle name="货币 2 2 5 5" xfId="1113"/>
    <cellStyle name="常规 8 2 2 2" xfId="1114"/>
    <cellStyle name="货币 2 7 3 2" xfId="1115"/>
    <cellStyle name="货币 6" xfId="1116"/>
    <cellStyle name="常规 3 3 2 3 3" xfId="1117"/>
    <cellStyle name="常规 3 4 5 3" xfId="1118"/>
    <cellStyle name="货币 7" xfId="1119"/>
    <cellStyle name="常规 3 3 2 3 4" xfId="1120"/>
    <cellStyle name="常规 3 4 5 4" xfId="1121"/>
    <cellStyle name="货币 8" xfId="1122"/>
    <cellStyle name="常规 3 3 2 3 5" xfId="1123"/>
    <cellStyle name="常规 3 3 2 4 2" xfId="1124"/>
    <cellStyle name="常规 3 3 2 4 2 2" xfId="1125"/>
    <cellStyle name="常规 5 2 10" xfId="1126"/>
    <cellStyle name="常规 3 4 6 2" xfId="1127"/>
    <cellStyle name="货币 2 2 6 5" xfId="1128"/>
    <cellStyle name="常规 8 2 3 2" xfId="1129"/>
    <cellStyle name="货币 2 7 4 2" xfId="1130"/>
    <cellStyle name="常规 3 3 2 4 3" xfId="1131"/>
    <cellStyle name="常规 3 3 2 5 2 2" xfId="1132"/>
    <cellStyle name="货币 2 3 4" xfId="1133"/>
    <cellStyle name="常规 3 4 7 2" xfId="1134"/>
    <cellStyle name="常规 8 2 4 2" xfId="1135"/>
    <cellStyle name="常规 3 3 2 5 3" xfId="1136"/>
    <cellStyle name="常规 3 4 8 2" xfId="1137"/>
    <cellStyle name="常规 3 3 2 6 3" xfId="1138"/>
    <cellStyle name="常规 5 2 6 2 2" xfId="1139"/>
    <cellStyle name="常规 3 3 2 7 2" xfId="1140"/>
    <cellStyle name="常规 3 3 2 8 2" xfId="1141"/>
    <cellStyle name="常规 3 3 2 9" xfId="1142"/>
    <cellStyle name="常规 3 5 5 2 2" xfId="1143"/>
    <cellStyle name="常规 3 3 2 9 2" xfId="1144"/>
    <cellStyle name="货币 2 4 2 3" xfId="1145"/>
    <cellStyle name="常规 3 3 3" xfId="1146"/>
    <cellStyle name="常规 3 3 3 2" xfId="1147"/>
    <cellStyle name="常规 3 3 3 2 2" xfId="1148"/>
    <cellStyle name="常规 3 3 3 3" xfId="1149"/>
    <cellStyle name="常规 3 3 3 3 2" xfId="1150"/>
    <cellStyle name="常规 3 3 3 4" xfId="1151"/>
    <cellStyle name="常规 3 3 3 4 2" xfId="1152"/>
    <cellStyle name="常规 3 3 4" xfId="1153"/>
    <cellStyle name="常规 3 3 4 2" xfId="1154"/>
    <cellStyle name="货币 3 3 11" xfId="1155"/>
    <cellStyle name="常规 37" xfId="1156"/>
    <cellStyle name="常规 3 3 4 2 2" xfId="1157"/>
    <cellStyle name="常规 42" xfId="1158"/>
    <cellStyle name="常规 3 3 4 3" xfId="1159"/>
    <cellStyle name="常规 3 3 4 3 2" xfId="1160"/>
    <cellStyle name="常规 3 3 4 4" xfId="1161"/>
    <cellStyle name="常规 3 3 4 4 2" xfId="1162"/>
    <cellStyle name="常规 3 3 5" xfId="1163"/>
    <cellStyle name="常规 3 3 5 2" xfId="1164"/>
    <cellStyle name="常规 3 3 5 3" xfId="1165"/>
    <cellStyle name="常规 3 3 5 3 2" xfId="1166"/>
    <cellStyle name="常规 3 3 5 4" xfId="1167"/>
    <cellStyle name="常规 3 3 5 4 2" xfId="1168"/>
    <cellStyle name="常规 3 3 6" xfId="1169"/>
    <cellStyle name="常规 3 3 6 2" xfId="1170"/>
    <cellStyle name="常规 3 3 6 2 2" xfId="1171"/>
    <cellStyle name="常规 3 3 6 3" xfId="1172"/>
    <cellStyle name="常规 3 3 7" xfId="1173"/>
    <cellStyle name="常规 9 7 3 2" xfId="1174"/>
    <cellStyle name="常规 3 3 8 2" xfId="1175"/>
    <cellStyle name="货币 2 4 3 4 2" xfId="1176"/>
    <cellStyle name="常规 3 3 9" xfId="1177"/>
    <cellStyle name="常规 3 3 9 2" xfId="1178"/>
    <cellStyle name="货币 3 4 11" xfId="1179"/>
    <cellStyle name="货币 3 3 6 3" xfId="1180"/>
    <cellStyle name="常规 3 4" xfId="1181"/>
    <cellStyle name="常规 3 4 10 2" xfId="1182"/>
    <cellStyle name="常规 3 4 10 3" xfId="1183"/>
    <cellStyle name="常规 3 4 11" xfId="1184"/>
    <cellStyle name="常规 3 4 11 2" xfId="1185"/>
    <cellStyle name="常规 3 4 2" xfId="1186"/>
    <cellStyle name="常规 3 4 2 2" xfId="1187"/>
    <cellStyle name="货币 2 2 2 5" xfId="1188"/>
    <cellStyle name="常规 3 4 2 2 2" xfId="1189"/>
    <cellStyle name="货币 2 2 2 5 2" xfId="1190"/>
    <cellStyle name="常规 3 4 2 4" xfId="1191"/>
    <cellStyle name="货币 2 2 2 7" xfId="1192"/>
    <cellStyle name="常规 3 4 3 2" xfId="1193"/>
    <cellStyle name="货币 2 2 3 5" xfId="1194"/>
    <cellStyle name="常规 3 4 3 3" xfId="1195"/>
    <cellStyle name="货币 2 2 3 6" xfId="1196"/>
    <cellStyle name="常规 3 4 3 4" xfId="1197"/>
    <cellStyle name="货币 2 2 3 7" xfId="1198"/>
    <cellStyle name="常规 3 5" xfId="1199"/>
    <cellStyle name="常规 3 4 3 4 2" xfId="1200"/>
    <cellStyle name="货币 2 2 3 7 2" xfId="1201"/>
    <cellStyle name="货币 2 7 2" xfId="1202"/>
    <cellStyle name="常规 38 2 2" xfId="1203"/>
    <cellStyle name="常规 3 4 4" xfId="1204"/>
    <cellStyle name="货币 3 13" xfId="1205"/>
    <cellStyle name="常规 3 4 4 4" xfId="1206"/>
    <cellStyle name="常规 3 4 5" xfId="1207"/>
    <cellStyle name="常规 3 4 7" xfId="1208"/>
    <cellStyle name="常规 9 7 4 2" xfId="1209"/>
    <cellStyle name="常规 3 4 9" xfId="1210"/>
    <cellStyle name="常规 3 4 9 2" xfId="1211"/>
    <cellStyle name="常规 3 5 2" xfId="1212"/>
    <cellStyle name="常规 3 5 2 2 2" xfId="1213"/>
    <cellStyle name="货币 2 3 2 5 2" xfId="1214"/>
    <cellStyle name="常规 3 5 2 3" xfId="1215"/>
    <cellStyle name="货币 2 3 2 6" xfId="1216"/>
    <cellStyle name="常规 3 5 2 3 2" xfId="1217"/>
    <cellStyle name="货币 2 3 2 6 2" xfId="1218"/>
    <cellStyle name="常规 3 5 2 4" xfId="1219"/>
    <cellStyle name="货币 2 3 2 7" xfId="1220"/>
    <cellStyle name="常规 3 5 3" xfId="1221"/>
    <cellStyle name="常规 3 5 3 2" xfId="1222"/>
    <cellStyle name="货币 2 3 3 5" xfId="1223"/>
    <cellStyle name="常规 3 5 3 2 2" xfId="1224"/>
    <cellStyle name="货币 2 3 3 5 2" xfId="1225"/>
    <cellStyle name="常规 3 5 3 3" xfId="1226"/>
    <cellStyle name="货币 2 3 3 6" xfId="1227"/>
    <cellStyle name="常规 3 5 3 3 2" xfId="1228"/>
    <cellStyle name="货币 2 3 3 6 2" xfId="1229"/>
    <cellStyle name="常规 3 5 3 4" xfId="1230"/>
    <cellStyle name="货币 2 3 3 7" xfId="1231"/>
    <cellStyle name="常规 3 5 3 4 2" xfId="1232"/>
    <cellStyle name="货币 2 3 3 7 2" xfId="1233"/>
    <cellStyle name="货币 2 8 2" xfId="1234"/>
    <cellStyle name="常规 38 3 2" xfId="1235"/>
    <cellStyle name="常规 3 5 4" xfId="1236"/>
    <cellStyle name="货币 2 2 4 2 2" xfId="1237"/>
    <cellStyle name="常规 3 5 4 2" xfId="1238"/>
    <cellStyle name="货币 2 3 4 5" xfId="1239"/>
    <cellStyle name="常规 3 5 4 3" xfId="1240"/>
    <cellStyle name="常规 3 5 5" xfId="1241"/>
    <cellStyle name="常规 3 5 5 2" xfId="1242"/>
    <cellStyle name="货币 2 3 5 5" xfId="1243"/>
    <cellStyle name="常规 3 5 5 3" xfId="1244"/>
    <cellStyle name="常规 3 5 6" xfId="1245"/>
    <cellStyle name="常规 3 5 6 2" xfId="1246"/>
    <cellStyle name="货币 2 3 6 5" xfId="1247"/>
    <cellStyle name="常规 3 5 7" xfId="1248"/>
    <cellStyle name="适中 2 4" xfId="1249"/>
    <cellStyle name="常规 3 5 7 2" xfId="1250"/>
    <cellStyle name="常规 3 5 8 2" xfId="1251"/>
    <cellStyle name="常规 3 5 9" xfId="1252"/>
    <cellStyle name="常规 7 8 2" xfId="1253"/>
    <cellStyle name="常规 3 6" xfId="1254"/>
    <cellStyle name="常规 7 8 2 2" xfId="1255"/>
    <cellStyle name="常规 3 6 2" xfId="1256"/>
    <cellStyle name="常规 3 6 2 2" xfId="1257"/>
    <cellStyle name="货币 2 4 2 5" xfId="1258"/>
    <cellStyle name="常规 3 6 3" xfId="1259"/>
    <cellStyle name="常规 3 6 3 2" xfId="1260"/>
    <cellStyle name="货币 2 4 3 5" xfId="1261"/>
    <cellStyle name="货币 2 9 2" xfId="1262"/>
    <cellStyle name="货币 3 4 2 4" xfId="1263"/>
    <cellStyle name="常规 38 4 2" xfId="1264"/>
    <cellStyle name="常规 3 6 4" xfId="1265"/>
    <cellStyle name="货币 2 2 4 3 2" xfId="1266"/>
    <cellStyle name="货币 2 9 2 2" xfId="1267"/>
    <cellStyle name="常规 38" xfId="1268"/>
    <cellStyle name="常规 3 6 4 2" xfId="1269"/>
    <cellStyle name="货币 2 4 4 5" xfId="1270"/>
    <cellStyle name="常规 4 2 4 2 2" xfId="1271"/>
    <cellStyle name="常规 4 6 2 2" xfId="1272"/>
    <cellStyle name="常规 8 4 2" xfId="1273"/>
    <cellStyle name="货币 2 9 3" xfId="1274"/>
    <cellStyle name="常规 3 6 5" xfId="1275"/>
    <cellStyle name="常规 3 6 5 2" xfId="1276"/>
    <cellStyle name="货币 2 4 5 5" xfId="1277"/>
    <cellStyle name="货币 2 3 3 3 2 2" xfId="1278"/>
    <cellStyle name="常规 3 6 6" xfId="1279"/>
    <cellStyle name="常规 3 6 6 2" xfId="1280"/>
    <cellStyle name="常规 3 6 7" xfId="1281"/>
    <cellStyle name="常规 7 8 3" xfId="1282"/>
    <cellStyle name="常规 3 7" xfId="1283"/>
    <cellStyle name="常规 7 8 3 2" xfId="1284"/>
    <cellStyle name="常规 3 7 2" xfId="1285"/>
    <cellStyle name="常规 4 2 4 3 2" xfId="1286"/>
    <cellStyle name="常规 4 6 3 2" xfId="1287"/>
    <cellStyle name="常规 8 5 2" xfId="1288"/>
    <cellStyle name="货币 3 4 3 5" xfId="1289"/>
    <cellStyle name="常规 3 7 5" xfId="1290"/>
    <cellStyle name="常规 7 8 4" xfId="1291"/>
    <cellStyle name="常规 3 8" xfId="1292"/>
    <cellStyle name="常规 4 2 4 4 2" xfId="1293"/>
    <cellStyle name="常规 8 6 2" xfId="1294"/>
    <cellStyle name="货币 3 4 4 5" xfId="1295"/>
    <cellStyle name="货币 4 2 2" xfId="1296"/>
    <cellStyle name="常规 3 8 5" xfId="1297"/>
    <cellStyle name="常规 7 8 5" xfId="1298"/>
    <cellStyle name="常规 3 9" xfId="1299"/>
    <cellStyle name="常规 6 8 4 2" xfId="1300"/>
    <cellStyle name="常规 35" xfId="1301"/>
    <cellStyle name="常规 40" xfId="1302"/>
    <cellStyle name="常规 35 2" xfId="1303"/>
    <cellStyle name="常规 40 2" xfId="1304"/>
    <cellStyle name="货币 3 4 7" xfId="1305"/>
    <cellStyle name="常规 36" xfId="1306"/>
    <cellStyle name="常规 41" xfId="1307"/>
    <cellStyle name="货币 2 4 4 3 2" xfId="1308"/>
    <cellStyle name="常规 4 2 9" xfId="1309"/>
    <cellStyle name="常规 36 2" xfId="1310"/>
    <cellStyle name="常规 41 2" xfId="1311"/>
    <cellStyle name="常规 4 2 9 2" xfId="1312"/>
    <cellStyle name="常规 36 2 2" xfId="1313"/>
    <cellStyle name="常规 6 6 2 2" xfId="1314"/>
    <cellStyle name="常规 36 3" xfId="1315"/>
    <cellStyle name="常规 36 3 2" xfId="1316"/>
    <cellStyle name="常规 36 4" xfId="1317"/>
    <cellStyle name="常规 36 5" xfId="1318"/>
    <cellStyle name="常规 37 2" xfId="1319"/>
    <cellStyle name="货币 2 7" xfId="1320"/>
    <cellStyle name="常规 38 2" xfId="1321"/>
    <cellStyle name="货币 2 8" xfId="1322"/>
    <cellStyle name="常规 38 3" xfId="1323"/>
    <cellStyle name="货币 2 9" xfId="1324"/>
    <cellStyle name="常规 38 4" xfId="1325"/>
    <cellStyle name="常规 39 2" xfId="1326"/>
    <cellStyle name="货币 2" xfId="1327"/>
    <cellStyle name="常规 5 3 2 2" xfId="1328"/>
    <cellStyle name="常规 4" xfId="1329"/>
    <cellStyle name="常规 4 11 2" xfId="1330"/>
    <cellStyle name="常规 4 12 2" xfId="1331"/>
    <cellStyle name="常规 6 12" xfId="1332"/>
    <cellStyle name="常规 4 13 2" xfId="1333"/>
    <cellStyle name="常规 5 3 2 2 2" xfId="1334"/>
    <cellStyle name="常规 4 2" xfId="1335"/>
    <cellStyle name="常规 4 2 10" xfId="1336"/>
    <cellStyle name="常规 4 2 10 2" xfId="1337"/>
    <cellStyle name="常规 4 3 3 2" xfId="1338"/>
    <cellStyle name="常规 5 5 2" xfId="1339"/>
    <cellStyle name="常规 4 2 11" xfId="1340"/>
    <cellStyle name="常规 4 2 2" xfId="1341"/>
    <cellStyle name="常规 4 4" xfId="1342"/>
    <cellStyle name="常规 4 2 2 2" xfId="1343"/>
    <cellStyle name="常规 4 4 2" xfId="1344"/>
    <cellStyle name="常规 6 4" xfId="1345"/>
    <cellStyle name="常规 4 2 2 3 2" xfId="1346"/>
    <cellStyle name="常规 4 4 3 2" xfId="1347"/>
    <cellStyle name="常规 6 5 2" xfId="1348"/>
    <cellStyle name="货币 3 2 3 5" xfId="1349"/>
    <cellStyle name="常规 4 2 2 4" xfId="1350"/>
    <cellStyle name="常规 4 4 4" xfId="1351"/>
    <cellStyle name="常规 6 6" xfId="1352"/>
    <cellStyle name="常规 4 2 2 4 2" xfId="1353"/>
    <cellStyle name="常规 4 4 4 2" xfId="1354"/>
    <cellStyle name="常规 6 6 2" xfId="1355"/>
    <cellStyle name="货币 3 2 4 5" xfId="1356"/>
    <cellStyle name="常规 4 2 2 5" xfId="1357"/>
    <cellStyle name="常规 4 4 5" xfId="1358"/>
    <cellStyle name="常规 6 7" xfId="1359"/>
    <cellStyle name="常规 4 2 3 2" xfId="1360"/>
    <cellStyle name="常规 4 5 2" xfId="1361"/>
    <cellStyle name="常规 7 4" xfId="1362"/>
    <cellStyle name="常规 4 2 3 3" xfId="1363"/>
    <cellStyle name="常规 4 5 3" xfId="1364"/>
    <cellStyle name="常规 7 12 2" xfId="1365"/>
    <cellStyle name="常规 7 5" xfId="1366"/>
    <cellStyle name="常规 4 2 3 4" xfId="1367"/>
    <cellStyle name="常规 4 5 4" xfId="1368"/>
    <cellStyle name="常规 7 6" xfId="1369"/>
    <cellStyle name="货币 2 2 5 2 2" xfId="1370"/>
    <cellStyle name="常规 4 2 3 5" xfId="1371"/>
    <cellStyle name="常规 4 5 5" xfId="1372"/>
    <cellStyle name="常规 7 7" xfId="1373"/>
    <cellStyle name="常规 7 9 2" xfId="1374"/>
    <cellStyle name="常规 4 2 4" xfId="1375"/>
    <cellStyle name="常规 4 6" xfId="1376"/>
    <cellStyle name="常规 4 2 4 2" xfId="1377"/>
    <cellStyle name="常规 4 6 2" xfId="1378"/>
    <cellStyle name="常规 8 4" xfId="1379"/>
    <cellStyle name="常规 4 2 4 3" xfId="1380"/>
    <cellStyle name="常规 4 6 3" xfId="1381"/>
    <cellStyle name="常规 8 5" xfId="1382"/>
    <cellStyle name="常规 4 2 4 4" xfId="1383"/>
    <cellStyle name="常规 4 6 4" xfId="1384"/>
    <cellStyle name="常规 8 6" xfId="1385"/>
    <cellStyle name="货币 2 2 5 3 2" xfId="1386"/>
    <cellStyle name="常规 4 2 5 2 2" xfId="1387"/>
    <cellStyle name="常规 4 7 2 2" xfId="1388"/>
    <cellStyle name="常规 9 4 2" xfId="1389"/>
    <cellStyle name="常规 4 2 4 5" xfId="1390"/>
    <cellStyle name="常规 8 7" xfId="1391"/>
    <cellStyle name="常规 4 2 5" xfId="1392"/>
    <cellStyle name="常规 4 7" xfId="1393"/>
    <cellStyle name="常规 4 2 5 2" xfId="1394"/>
    <cellStyle name="常规 4 7 2" xfId="1395"/>
    <cellStyle name="常规 9 4" xfId="1396"/>
    <cellStyle name="常规 4 2 5 3" xfId="1397"/>
    <cellStyle name="常规 4 7 3" xfId="1398"/>
    <cellStyle name="常规 9 5" xfId="1399"/>
    <cellStyle name="常规 4 2 6" xfId="1400"/>
    <cellStyle name="常规 4 8" xfId="1401"/>
    <cellStyle name="常规 4 2 7" xfId="1402"/>
    <cellStyle name="常规 4 9" xfId="1403"/>
    <cellStyle name="常规 4 2 8" xfId="1404"/>
    <cellStyle name="常规 4 2 8 2" xfId="1405"/>
    <cellStyle name="常规 4 3 2" xfId="1406"/>
    <cellStyle name="常规 5 4" xfId="1407"/>
    <cellStyle name="常规 4 3 2 2" xfId="1408"/>
    <cellStyle name="常规 5 4 2" xfId="1409"/>
    <cellStyle name="常规 4 3 2 2 2" xfId="1410"/>
    <cellStyle name="常规 5 4 2 2" xfId="1411"/>
    <cellStyle name="常规 4 3 2 3" xfId="1412"/>
    <cellStyle name="常规 5 4 3" xfId="1413"/>
    <cellStyle name="常规 4 3 2 4" xfId="1414"/>
    <cellStyle name="常规 5 4 4" xfId="1415"/>
    <cellStyle name="常规 4 3 3" xfId="1416"/>
    <cellStyle name="常规 5 5" xfId="1417"/>
    <cellStyle name="常规 7 10 2" xfId="1418"/>
    <cellStyle name="常规 4 3 3 2 2" xfId="1419"/>
    <cellStyle name="常规 5 5 2 2" xfId="1420"/>
    <cellStyle name="常规 4 3 3 3 2" xfId="1421"/>
    <cellStyle name="常规 5 5 3 2" xfId="1422"/>
    <cellStyle name="常规 4 3 3 4" xfId="1423"/>
    <cellStyle name="常规 5 5 4" xfId="1424"/>
    <cellStyle name="货币 2 2 6 2 2" xfId="1425"/>
    <cellStyle name="常规 4 3 3 4 2" xfId="1426"/>
    <cellStyle name="常规 5 5 4 2" xfId="1427"/>
    <cellStyle name="常规 4 3 4" xfId="1428"/>
    <cellStyle name="常规 5 6" xfId="1429"/>
    <cellStyle name="常规 4 3 4 2" xfId="1430"/>
    <cellStyle name="常规 5 6 2" xfId="1431"/>
    <cellStyle name="常规 4 3 4 2 2" xfId="1432"/>
    <cellStyle name="常规 5 6 2 2" xfId="1433"/>
    <cellStyle name="常规 4 3 4 3" xfId="1434"/>
    <cellStyle name="常规 5 6 3" xfId="1435"/>
    <cellStyle name="常规 4 3 4 4" xfId="1436"/>
    <cellStyle name="常规 5 6 4" xfId="1437"/>
    <cellStyle name="货币 2 2 6 3 2" xfId="1438"/>
    <cellStyle name="常规 4 3 4 4 2" xfId="1439"/>
    <cellStyle name="常规 5 6 4 2" xfId="1440"/>
    <cellStyle name="常规 4 3 4 5" xfId="1441"/>
    <cellStyle name="常规 5 6 5" xfId="1442"/>
    <cellStyle name="常规 4 3 5" xfId="1443"/>
    <cellStyle name="常规 5 7" xfId="1444"/>
    <cellStyle name="常规 4 3 5 2" xfId="1445"/>
    <cellStyle name="常规 5 7 2" xfId="1446"/>
    <cellStyle name="常规 4 3 5 2 2" xfId="1447"/>
    <cellStyle name="常规 5 7 2 2" xfId="1448"/>
    <cellStyle name="常规 4 3 5 3" xfId="1449"/>
    <cellStyle name="常规 5 7 3" xfId="1450"/>
    <cellStyle name="常规 4 3 6" xfId="1451"/>
    <cellStyle name="常规 5 8" xfId="1452"/>
    <cellStyle name="常规 4 3 7" xfId="1453"/>
    <cellStyle name="常规 5 9" xfId="1454"/>
    <cellStyle name="货币 2 4 4 4 2" xfId="1455"/>
    <cellStyle name="常规 4 3 9" xfId="1456"/>
    <cellStyle name="常规 4 4 2 2 2" xfId="1457"/>
    <cellStyle name="常规 6 4 2 2" xfId="1458"/>
    <cellStyle name="货币 3 2 2 5 2" xfId="1459"/>
    <cellStyle name="常规 4 4 2 3" xfId="1460"/>
    <cellStyle name="常规 6 4 3" xfId="1461"/>
    <cellStyle name="货币 3 2 2 6" xfId="1462"/>
    <cellStyle name="常规 4 4 2 3 2" xfId="1463"/>
    <cellStyle name="常规 6 4 3 2" xfId="1464"/>
    <cellStyle name="货币 3 2 2 6 2" xfId="1465"/>
    <cellStyle name="常规 4 4 2 4" xfId="1466"/>
    <cellStyle name="常规 6 4 4" xfId="1467"/>
    <cellStyle name="货币 3 2 2 7" xfId="1468"/>
    <cellStyle name="常规 4 7 3 2" xfId="1469"/>
    <cellStyle name="常规 9 5 2" xfId="1470"/>
    <cellStyle name="常规 4 7 4" xfId="1471"/>
    <cellStyle name="常规 9 6" xfId="1472"/>
    <cellStyle name="货币 2 2 5 4 2" xfId="1473"/>
    <cellStyle name="常规 4 7 4 2" xfId="1474"/>
    <cellStyle name="常规 9 6 2" xfId="1475"/>
    <cellStyle name="常规 4 7 5" xfId="1476"/>
    <cellStyle name="常规 9 7" xfId="1477"/>
    <cellStyle name="常规 5 3 2 3" xfId="1478"/>
    <cellStyle name="常规 5" xfId="1479"/>
    <cellStyle name="常规 5 3 2 3 2" xfId="1480"/>
    <cellStyle name="常规 5 2" xfId="1481"/>
    <cellStyle name="常规 5 2 10 2" xfId="1482"/>
    <cellStyle name="常规 5 2 2" xfId="1483"/>
    <cellStyle name="常规 5 2 2 2" xfId="1484"/>
    <cellStyle name="常规 5 2 2 3" xfId="1485"/>
    <cellStyle name="常规 5 2 2 5" xfId="1486"/>
    <cellStyle name="常规 5 2 3" xfId="1487"/>
    <cellStyle name="常规 5 2 3 2" xfId="1488"/>
    <cellStyle name="常规 5 2 3 2 2" xfId="1489"/>
    <cellStyle name="常规 5 2 3 3" xfId="1490"/>
    <cellStyle name="常规 5 2 3 3 2" xfId="1491"/>
    <cellStyle name="常规 5 2 3 4" xfId="1492"/>
    <cellStyle name="货币 2 3 5 2 2" xfId="1493"/>
    <cellStyle name="常规 5 2 3 4 2" xfId="1494"/>
    <cellStyle name="常规 5 2 3 5" xfId="1495"/>
    <cellStyle name="常规 8 9 2" xfId="1496"/>
    <cellStyle name="常规 5 2 4" xfId="1497"/>
    <cellStyle name="常规 5 2 4 2" xfId="1498"/>
    <cellStyle name="常规 5 2 4 2 2" xfId="1499"/>
    <cellStyle name="常规 5 2 4 3" xfId="1500"/>
    <cellStyle name="常规 5 2 4 3 2" xfId="1501"/>
    <cellStyle name="常规 5 2 4 4" xfId="1502"/>
    <cellStyle name="货币 2 3 5 3 2" xfId="1503"/>
    <cellStyle name="货币 2 2 2 3" xfId="1504"/>
    <cellStyle name="常规 5 2 4 4 2" xfId="1505"/>
    <cellStyle name="常规 5 2 4 5" xfId="1506"/>
    <cellStyle name="常规 5 2 5" xfId="1507"/>
    <cellStyle name="常规 5 2 5 2" xfId="1508"/>
    <cellStyle name="常规 5 2 5 2 2" xfId="1509"/>
    <cellStyle name="常规 5 2 6" xfId="1510"/>
    <cellStyle name="常规 5 2 7" xfId="1511"/>
    <cellStyle name="常规 9 9 2 2" xfId="1512"/>
    <cellStyle name="常规 6 2 4 2" xfId="1513"/>
    <cellStyle name="常规 6 2 4 2 2" xfId="1514"/>
    <cellStyle name="常规 5 2 7 2" xfId="1515"/>
    <cellStyle name="常规 5 3 10" xfId="1516"/>
    <cellStyle name="常规 7 3 3" xfId="1517"/>
    <cellStyle name="常规 5 3 2" xfId="1518"/>
    <cellStyle name="常规 5 3 3" xfId="1519"/>
    <cellStyle name="常规 5 3 3 2" xfId="1520"/>
    <cellStyle name="常规 5 3 3 2 2" xfId="1521"/>
    <cellStyle name="常规 5 3 3 3" xfId="1522"/>
    <cellStyle name="常规 5 3 3 4" xfId="1523"/>
    <cellStyle name="货币 2 3 6 2 2" xfId="1524"/>
    <cellStyle name="常规 5 3 3 4 2" xfId="1525"/>
    <cellStyle name="常规 5 3 3 5" xfId="1526"/>
    <cellStyle name="常规 5 3 4" xfId="1527"/>
    <cellStyle name="常规 5 3 4 2" xfId="1528"/>
    <cellStyle name="常规 5 3 4 2 2" xfId="1529"/>
    <cellStyle name="常规 5 3 4 3" xfId="1530"/>
    <cellStyle name="常规 5 3 4 3 2" xfId="1531"/>
    <cellStyle name="常规 5 3 4 4" xfId="1532"/>
    <cellStyle name="货币 2 3 6 3 2" xfId="1533"/>
    <cellStyle name="货币 3 2 2 3" xfId="1534"/>
    <cellStyle name="常规 5 3 4 4 2" xfId="1535"/>
    <cellStyle name="常规 5 3 4 5" xfId="1536"/>
    <cellStyle name="常规 5 3 5" xfId="1537"/>
    <cellStyle name="常规 5 3 5 2" xfId="1538"/>
    <cellStyle name="常规 5 3 5 2 2" xfId="1539"/>
    <cellStyle name="常规 5 3 6" xfId="1540"/>
    <cellStyle name="常规 5 3 6 2" xfId="1541"/>
    <cellStyle name="常规 5 3 6 2 2" xfId="1542"/>
    <cellStyle name="常规 5 3 6 3" xfId="1543"/>
    <cellStyle name="常规 6 2 5 2" xfId="1544"/>
    <cellStyle name="常规 5 3 7" xfId="1545"/>
    <cellStyle name="常规 6 2 5 2 2" xfId="1546"/>
    <cellStyle name="常规 5 3 7 2" xfId="1547"/>
    <cellStyle name="常规 5 4 4 2" xfId="1548"/>
    <cellStyle name="常规 5 4 5" xfId="1549"/>
    <cellStyle name="常规 6 10" xfId="1550"/>
    <cellStyle name="货币 3 3 2 2 3" xfId="1551"/>
    <cellStyle name="常规 6 10 2" xfId="1552"/>
    <cellStyle name="常规 6 11" xfId="1553"/>
    <cellStyle name="货币 3 3 2 3 3" xfId="1554"/>
    <cellStyle name="常规 6 11 2" xfId="1555"/>
    <cellStyle name="常规 6 2" xfId="1556"/>
    <cellStyle name="常规 6 2 2" xfId="1557"/>
    <cellStyle name="常规 6 2 2 2" xfId="1558"/>
    <cellStyle name="常规 6 2 2 2 2" xfId="1559"/>
    <cellStyle name="常规 6 2 2 3" xfId="1560"/>
    <cellStyle name="常规 6 2 2 3 2" xfId="1561"/>
    <cellStyle name="常规 6 2 2 4" xfId="1562"/>
    <cellStyle name="常规 6 2 3" xfId="1563"/>
    <cellStyle name="常规 6 2 3 2" xfId="1564"/>
    <cellStyle name="常规 6 2 3 3" xfId="1565"/>
    <cellStyle name="常规 6 2 3 3 2" xfId="1566"/>
    <cellStyle name="货币 2 2 3 10" xfId="1567"/>
    <cellStyle name="常规 6 2 3 4" xfId="1568"/>
    <cellStyle name="货币 2 4 5 2 2" xfId="1569"/>
    <cellStyle name="常规 6 2 3 4 2" xfId="1570"/>
    <cellStyle name="常规 6 2 3 5" xfId="1571"/>
    <cellStyle name="货币 2 2 2 6 2 2" xfId="1572"/>
    <cellStyle name="常规 9 9 2" xfId="1573"/>
    <cellStyle name="常规 6 2 4" xfId="1574"/>
    <cellStyle name="常规 9 9 3" xfId="1575"/>
    <cellStyle name="常规 6 2 5" xfId="1576"/>
    <cellStyle name="常规 6 2 6" xfId="1577"/>
    <cellStyle name="常规 6 2 6 2" xfId="1578"/>
    <cellStyle name="常规 6 2 6 2 2" xfId="1579"/>
    <cellStyle name="常规 6 3 4 2" xfId="1580"/>
    <cellStyle name="常规 6 2 7" xfId="1581"/>
    <cellStyle name="常规 6 2 7 2" xfId="1582"/>
    <cellStyle name="常规 6 2 8" xfId="1583"/>
    <cellStyle name="常规 6 2 8 2" xfId="1584"/>
    <cellStyle name="常规 6 2 9" xfId="1585"/>
    <cellStyle name="货币 3 2 11 2" xfId="1586"/>
    <cellStyle name="常规 6 2 9 2" xfId="1587"/>
    <cellStyle name="货币 3 3 9 2" xfId="1588"/>
    <cellStyle name="常规 6 3" xfId="1589"/>
    <cellStyle name="常规 6 3 2" xfId="1590"/>
    <cellStyle name="常规 6 3 2 2" xfId="1591"/>
    <cellStyle name="常规 9 7 5" xfId="1592"/>
    <cellStyle name="常规 6 3 3" xfId="1593"/>
    <cellStyle name="常规 6 3 3 2" xfId="1594"/>
    <cellStyle name="常规 6 3 4" xfId="1595"/>
    <cellStyle name="常规 6 3 5" xfId="1596"/>
    <cellStyle name="常规 6 4 4 2" xfId="1597"/>
    <cellStyle name="货币 3 2 2 7 2" xfId="1598"/>
    <cellStyle name="常规 6 4 5" xfId="1599"/>
    <cellStyle name="货币 3 2 2 8" xfId="1600"/>
    <cellStyle name="常规 6 5 2 2" xfId="1601"/>
    <cellStyle name="货币 3 2 3 5 2" xfId="1602"/>
    <cellStyle name="货币 2 3 11" xfId="1603"/>
    <cellStyle name="常规 6 5 3" xfId="1604"/>
    <cellStyle name="货币 3 2 3 6" xfId="1605"/>
    <cellStyle name="常规 6 5 3 2" xfId="1606"/>
    <cellStyle name="货币 3 2 3 6 2" xfId="1607"/>
    <cellStyle name="常规 6 5 4" xfId="1608"/>
    <cellStyle name="货币 2 2 7 2 2" xfId="1609"/>
    <cellStyle name="货币 3 2 3 7" xfId="1610"/>
    <cellStyle name="常规 6 5 4 2" xfId="1611"/>
    <cellStyle name="货币 3 2 3 7 2" xfId="1612"/>
    <cellStyle name="常规 6 5 5" xfId="1613"/>
    <cellStyle name="货币 3 2 3 8" xfId="1614"/>
    <cellStyle name="常规 6 6 3" xfId="1615"/>
    <cellStyle name="常规 6 7 2" xfId="1616"/>
    <cellStyle name="货币 3 2 5 5" xfId="1617"/>
    <cellStyle name="常规 6 8" xfId="1618"/>
    <cellStyle name="常规 6 8 2" xfId="1619"/>
    <cellStyle name="货币 3 2 6 5" xfId="1620"/>
    <cellStyle name="常规 6 8 2 2" xfId="1621"/>
    <cellStyle name="常规 6 8 3" xfId="1622"/>
    <cellStyle name="常规 6 8 3 2" xfId="1623"/>
    <cellStyle name="常规 6 8 4" xfId="1624"/>
    <cellStyle name="货币 7 2 2" xfId="1625"/>
    <cellStyle name="常规 6 8 5" xfId="1626"/>
    <cellStyle name="常规 6 9" xfId="1627"/>
    <cellStyle name="常规 7" xfId="1628"/>
    <cellStyle name="常规 7 12" xfId="1629"/>
    <cellStyle name="常规 7 13" xfId="1630"/>
    <cellStyle name="常规 7 14" xfId="1631"/>
    <cellStyle name="常规 7 2" xfId="1632"/>
    <cellStyle name="常规 7 2 2" xfId="1633"/>
    <cellStyle name="常规 7 2 3" xfId="1634"/>
    <cellStyle name="常规 7 2 4" xfId="1635"/>
    <cellStyle name="常规 7 2 5" xfId="1636"/>
    <cellStyle name="常规 7 3 2" xfId="1637"/>
    <cellStyle name="常规 7 3 4" xfId="1638"/>
    <cellStyle name="常规 7 3 5" xfId="1639"/>
    <cellStyle name="常规 7 4 2 2" xfId="1640"/>
    <cellStyle name="货币 3 3 2 5 2" xfId="1641"/>
    <cellStyle name="常规 7 4 3" xfId="1642"/>
    <cellStyle name="货币 3 3 2 6" xfId="1643"/>
    <cellStyle name="常规 7 4 3 2" xfId="1644"/>
    <cellStyle name="货币 3 3 2 6 2" xfId="1645"/>
    <cellStyle name="常规 7 4 4" xfId="1646"/>
    <cellStyle name="货币 3 3 2 7" xfId="1647"/>
    <cellStyle name="常规 7 4 5" xfId="1648"/>
    <cellStyle name="货币 3 3 2 8" xfId="1649"/>
    <cellStyle name="常规 7 5 3" xfId="1650"/>
    <cellStyle name="常规 7 6 3" xfId="1651"/>
    <cellStyle name="常规 7 8" xfId="1652"/>
    <cellStyle name="常规 7 9" xfId="1653"/>
    <cellStyle name="常规 8 10" xfId="1654"/>
    <cellStyle name="常规 8 2" xfId="1655"/>
    <cellStyle name="常规 8 2 2" xfId="1656"/>
    <cellStyle name="货币 2 7 3" xfId="1657"/>
    <cellStyle name="常规 8 2 4" xfId="1658"/>
    <cellStyle name="货币 2 7 5" xfId="1659"/>
    <cellStyle name="常规 8 2 5" xfId="1660"/>
    <cellStyle name="常规 8 3" xfId="1661"/>
    <cellStyle name="常规 8 3 2" xfId="1662"/>
    <cellStyle name="货币 2 8 3" xfId="1663"/>
    <cellStyle name="常规 8 3 2 2" xfId="1664"/>
    <cellStyle name="货币 2 8 3 2" xfId="1665"/>
    <cellStyle name="常规 8 3 3" xfId="1666"/>
    <cellStyle name="货币 2 8 4" xfId="1667"/>
    <cellStyle name="常规 8 3 3 2" xfId="1668"/>
    <cellStyle name="货币 2 8 4 2" xfId="1669"/>
    <cellStyle name="常规 8 3 4" xfId="1670"/>
    <cellStyle name="货币 2 8 5" xfId="1671"/>
    <cellStyle name="常规 8 3 4 2" xfId="1672"/>
    <cellStyle name="常规 8 3 5" xfId="1673"/>
    <cellStyle name="常规 8 4 2 2" xfId="1674"/>
    <cellStyle name="常规 8 4 3" xfId="1675"/>
    <cellStyle name="常规 8 4 3 2" xfId="1676"/>
    <cellStyle name="常规 8 4 4" xfId="1677"/>
    <cellStyle name="常规 8 4 4 2" xfId="1678"/>
    <cellStyle name="常规 8 4 5" xfId="1679"/>
    <cellStyle name="常规 8 5 2 2" xfId="1680"/>
    <cellStyle name="常规 8 5 3" xfId="1681"/>
    <cellStyle name="常规 8 6 2 2" xfId="1682"/>
    <cellStyle name="常规 8 6 3" xfId="1683"/>
    <cellStyle name="常规 8 7 2" xfId="1684"/>
    <cellStyle name="货币 2 3 3 4 2 2" xfId="1685"/>
    <cellStyle name="常规 8 8" xfId="1686"/>
    <cellStyle name="常规 8 8 2" xfId="1687"/>
    <cellStyle name="常规 8 9" xfId="1688"/>
    <cellStyle name="常规 9" xfId="1689"/>
    <cellStyle name="常规 9 10" xfId="1690"/>
    <cellStyle name="常规 9 2" xfId="1691"/>
    <cellStyle name="货币 2 3" xfId="1692"/>
    <cellStyle name="货币 3 7 3" xfId="1693"/>
    <cellStyle name="常规 9 2 2" xfId="1694"/>
    <cellStyle name="货币 2 4" xfId="1695"/>
    <cellStyle name="货币 3 7 4" xfId="1696"/>
    <cellStyle name="常规 9 2 3" xfId="1697"/>
    <cellStyle name="货币 2 4 2" xfId="1698"/>
    <cellStyle name="货币 3 7 4 2" xfId="1699"/>
    <cellStyle name="常规 9 2 3 2" xfId="1700"/>
    <cellStyle name="常规 9 3" xfId="1701"/>
    <cellStyle name="货币 3 3" xfId="1702"/>
    <cellStyle name="货币 3 8 3" xfId="1703"/>
    <cellStyle name="常规 9 3 2" xfId="1704"/>
    <cellStyle name="货币 2 2 3 6 3" xfId="1705"/>
    <cellStyle name="货币 3 3 2" xfId="1706"/>
    <cellStyle name="常规 9 3 2 2" xfId="1707"/>
    <cellStyle name="货币 3 4" xfId="1708"/>
    <cellStyle name="常规 9 3 3" xfId="1709"/>
    <cellStyle name="货币 3 4 2" xfId="1710"/>
    <cellStyle name="常规 9 3 3 2" xfId="1711"/>
    <cellStyle name="货币 3 5" xfId="1712"/>
    <cellStyle name="常规 9 3 4" xfId="1713"/>
    <cellStyle name="货币 3 5 2" xfId="1714"/>
    <cellStyle name="常规 9 3 4 2" xfId="1715"/>
    <cellStyle name="货币 3 6" xfId="1716"/>
    <cellStyle name="常规 9 3 5" xfId="1717"/>
    <cellStyle name="常规 9 4 2 2" xfId="1718"/>
    <cellStyle name="常规 9 4 3" xfId="1719"/>
    <cellStyle name="常规 9 4 3 2" xfId="1720"/>
    <cellStyle name="常规 9 4 4" xfId="1721"/>
    <cellStyle name="常规 9 4 4 2" xfId="1722"/>
    <cellStyle name="常规 9 4 5" xfId="1723"/>
    <cellStyle name="常规 9 5 2 2" xfId="1724"/>
    <cellStyle name="常规 9 5 3" xfId="1725"/>
    <cellStyle name="常规 9 5 3 2" xfId="1726"/>
    <cellStyle name="常规 9 5 4" xfId="1727"/>
    <cellStyle name="常规 9 6 3" xfId="1728"/>
    <cellStyle name="常规 9 6 4" xfId="1729"/>
    <cellStyle name="常规 9 7 2" xfId="1730"/>
    <cellStyle name="常规 9 7 3" xfId="1731"/>
    <cellStyle name="常规 9 7 4" xfId="1732"/>
    <cellStyle name="货币 2 3 3 4 3 2" xfId="1733"/>
    <cellStyle name="常规 9 8" xfId="1734"/>
    <cellStyle name="常规 9 8 2" xfId="1735"/>
    <cellStyle name="常规 9 9" xfId="1736"/>
    <cellStyle name="货币 2 10" xfId="1737"/>
    <cellStyle name="货币 2 11" xfId="1738"/>
    <cellStyle name="货币 2 11 2" xfId="1739"/>
    <cellStyle name="货币 2 12" xfId="1740"/>
    <cellStyle name="货币 2 12 2" xfId="1741"/>
    <cellStyle name="货币 2 13" xfId="1742"/>
    <cellStyle name="货币 2 13 2" xfId="1743"/>
    <cellStyle name="货币 2 14" xfId="1744"/>
    <cellStyle name="货币 2 2" xfId="1745"/>
    <cellStyle name="货币 2 2 2" xfId="1746"/>
    <cellStyle name="货币 2 2 2 5 3" xfId="1747"/>
    <cellStyle name="货币 2 2 2 2" xfId="1748"/>
    <cellStyle name="货币 2 2 2 2 2" xfId="1749"/>
    <cellStyle name="货币 2 2 2 2 2 2" xfId="1750"/>
    <cellStyle name="货币 2 2 2 2 3" xfId="1751"/>
    <cellStyle name="货币 2 2 2 2 3 2" xfId="1752"/>
    <cellStyle name="货币 2 2 2 2 4" xfId="1753"/>
    <cellStyle name="货币 2 2 2 2 5" xfId="1754"/>
    <cellStyle name="货币 2 2 2 4" xfId="1755"/>
    <cellStyle name="货币 2 2 2 4 2" xfId="1756"/>
    <cellStyle name="货币 2 2 2 4 2 2" xfId="1757"/>
    <cellStyle name="货币 2 2 2 4 3" xfId="1758"/>
    <cellStyle name="货币 2 2 2 4 3 2" xfId="1759"/>
    <cellStyle name="货币 2 2 2 4 4" xfId="1760"/>
    <cellStyle name="货币 2 2 2 4 4 2" xfId="1761"/>
    <cellStyle name="货币 2 2 2 4 5" xfId="1762"/>
    <cellStyle name="货币 2 2 2 5 2 2" xfId="1763"/>
    <cellStyle name="货币 2 2 2 7 2" xfId="1764"/>
    <cellStyle name="货币 2 2 2 8" xfId="1765"/>
    <cellStyle name="货币 2 2 2 8 2" xfId="1766"/>
    <cellStyle name="货币 2 2 2 9" xfId="1767"/>
    <cellStyle name="货币 2 2 2 9 2" xfId="1768"/>
    <cellStyle name="货币 2 2 3" xfId="1769"/>
    <cellStyle name="货币 2 2 3 2" xfId="1770"/>
    <cellStyle name="货币 2 2 3 3" xfId="1771"/>
    <cellStyle name="货币 2 2 3 3 3 2" xfId="1772"/>
    <cellStyle name="货币 2 3 3 2 2 2" xfId="1773"/>
    <cellStyle name="货币 2 2 3 3 4" xfId="1774"/>
    <cellStyle name="货币 2 2 3 3 4 2" xfId="1775"/>
    <cellStyle name="货币 2 2 3 3 5" xfId="1776"/>
    <cellStyle name="货币 2 2 3 4" xfId="1777"/>
    <cellStyle name="货币 2 2 3 4 3 2" xfId="1778"/>
    <cellStyle name="货币 2 3 3 2 3 2" xfId="1779"/>
    <cellStyle name="货币 2 2 3 4 4" xfId="1780"/>
    <cellStyle name="货币 2 2 3 4 4 2" xfId="1781"/>
    <cellStyle name="货币 2 2 3 4 5" xfId="1782"/>
    <cellStyle name="货币 2 2 3 6 2 2" xfId="1783"/>
    <cellStyle name="货币 2 2 3 8 2" xfId="1784"/>
    <cellStyle name="货币 2 2 3 9" xfId="1785"/>
    <cellStyle name="货币 2 2 3 9 2" xfId="1786"/>
    <cellStyle name="货币 2 2 4" xfId="1787"/>
    <cellStyle name="货币 2 2 4 2" xfId="1788"/>
    <cellStyle name="货币 2 2 4 3" xfId="1789"/>
    <cellStyle name="货币 3 10" xfId="1790"/>
    <cellStyle name="货币 2 2 4 4" xfId="1791"/>
    <cellStyle name="货币 2 2 5 2" xfId="1792"/>
    <cellStyle name="货币 2 2 5 3" xfId="1793"/>
    <cellStyle name="货币 2 2 5 4" xfId="1794"/>
    <cellStyle name="货币 2 2 6" xfId="1795"/>
    <cellStyle name="货币 2 2 6 2" xfId="1796"/>
    <cellStyle name="货币 2 2 6 3" xfId="1797"/>
    <cellStyle name="货币 2 2 6 4" xfId="1798"/>
    <cellStyle name="货币 2 2 6 4 2" xfId="1799"/>
    <cellStyle name="货币 2 2 7" xfId="1800"/>
    <cellStyle name="货币 2 2 7 2" xfId="1801"/>
    <cellStyle name="货币 2 2 7 3" xfId="1802"/>
    <cellStyle name="货币 3 2 3 2 2" xfId="1803"/>
    <cellStyle name="货币 2 2 8" xfId="1804"/>
    <cellStyle name="货币 3 2 3 2 2 2" xfId="1805"/>
    <cellStyle name="货币 2 2 8 2" xfId="1806"/>
    <cellStyle name="货币 3 2 3 2 3 2" xfId="1807"/>
    <cellStyle name="货币 2 2 9 2" xfId="1808"/>
    <cellStyle name="货币 2 3 10" xfId="1809"/>
    <cellStyle name="货币 2 3 10 2" xfId="1810"/>
    <cellStyle name="货币 3 2 3 5 2 2" xfId="1811"/>
    <cellStyle name="货币 2 3 11 2" xfId="1812"/>
    <cellStyle name="货币 3 2 3 5 3" xfId="1813"/>
    <cellStyle name="货币 2 3 12" xfId="1814"/>
    <cellStyle name="货币 2 3 2 2 2 2" xfId="1815"/>
    <cellStyle name="货币 2 3 2 2 3" xfId="1816"/>
    <cellStyle name="货币 2 3 2 2 3 2" xfId="1817"/>
    <cellStyle name="货币 2 3 2 2 4" xfId="1818"/>
    <cellStyle name="货币 2 3 2 2 4 2" xfId="1819"/>
    <cellStyle name="货币 2 3 2 2 5" xfId="1820"/>
    <cellStyle name="货币 3 2 2 3 2 2" xfId="1821"/>
    <cellStyle name="货币 2 3 2 3 2 2" xfId="1822"/>
    <cellStyle name="货币 2 3 2 3 3" xfId="1823"/>
    <cellStyle name="货币 2 3 2 3 3 2" xfId="1824"/>
    <cellStyle name="货币 2 3 2 3 4" xfId="1825"/>
    <cellStyle name="货币 2 3 2 3 5" xfId="1826"/>
    <cellStyle name="货币 3 2 2 3 3 2" xfId="1827"/>
    <cellStyle name="货币 2 3 2 4 3 2" xfId="1828"/>
    <cellStyle name="货币 2 3 2 4 4" xfId="1829"/>
    <cellStyle name="货币 2 3 2 4 4 2" xfId="1830"/>
    <cellStyle name="货币 2 3 2 4 5" xfId="1831"/>
    <cellStyle name="货币 3 2 2 3 4 2" xfId="1832"/>
    <cellStyle name="货币 2 3 2 5 2 2" xfId="1833"/>
    <cellStyle name="货币 2 3 2 5 3" xfId="1834"/>
    <cellStyle name="货币 2 3 2 6 2 2" xfId="1835"/>
    <cellStyle name="货币 2 3 2 8 2" xfId="1836"/>
    <cellStyle name="货币 2 3 2 9" xfId="1837"/>
    <cellStyle name="货币 2 3 3" xfId="1838"/>
    <cellStyle name="货币 2 3 3 2 3" xfId="1839"/>
    <cellStyle name="货币 2 3 3 2 4" xfId="1840"/>
    <cellStyle name="货币 2 3 3 3 2" xfId="1841"/>
    <cellStyle name="货币 2 3 3 3 3" xfId="1842"/>
    <cellStyle name="货币 2 3 3 3 3 2" xfId="1843"/>
    <cellStyle name="货币 2 3 3 3 4" xfId="1844"/>
    <cellStyle name="货币 2 3 3 3 4 2" xfId="1845"/>
    <cellStyle name="货币 2 3 3 3 5" xfId="1846"/>
    <cellStyle name="货币 3 2 2 4 3 2" xfId="1847"/>
    <cellStyle name="货币 2 3 3 4" xfId="1848"/>
    <cellStyle name="货币 2 3 3 4 2" xfId="1849"/>
    <cellStyle name="货币 2 3 3 4 3" xfId="1850"/>
    <cellStyle name="货币 2 3 3 4 4" xfId="1851"/>
    <cellStyle name="货币 2 3 3 4 4 2" xfId="1852"/>
    <cellStyle name="货币 2 3 3 4 5" xfId="1853"/>
    <cellStyle name="货币 3 2 2 4 4 2" xfId="1854"/>
    <cellStyle name="货币 2 3 3 5 3" xfId="1855"/>
    <cellStyle name="货币 2 3 3 6 2 2" xfId="1856"/>
    <cellStyle name="货币 2 3 3 8 2" xfId="1857"/>
    <cellStyle name="货币 2 3 3 9 2" xfId="1858"/>
    <cellStyle name="货币 2 3 4 2 2" xfId="1859"/>
    <cellStyle name="货币 2 3 4 3" xfId="1860"/>
    <cellStyle name="货币 2 3 4 3 2" xfId="1861"/>
    <cellStyle name="货币 2 3 4 4" xfId="1862"/>
    <cellStyle name="货币 2 3 4 4 2" xfId="1863"/>
    <cellStyle name="货币 2 3 5 4" xfId="1864"/>
    <cellStyle name="货币 2 3 5 4 2" xfId="1865"/>
    <cellStyle name="货币 2 3 6" xfId="1866"/>
    <cellStyle name="货币 2 3 6 3" xfId="1867"/>
    <cellStyle name="货币 2 3 6 4" xfId="1868"/>
    <cellStyle name="货币 2 3 6 4 2" xfId="1869"/>
    <cellStyle name="货币 2 3 7" xfId="1870"/>
    <cellStyle name="适中 2 2" xfId="1871"/>
    <cellStyle name="货币 2 3 7 3" xfId="1872"/>
    <cellStyle name="货币 3 2 3 3 2" xfId="1873"/>
    <cellStyle name="货币 2 3 8" xfId="1874"/>
    <cellStyle name="货币 2 4 10" xfId="1875"/>
    <cellStyle name="货币 2 4 10 2" xfId="1876"/>
    <cellStyle name="货币 2 4 11" xfId="1877"/>
    <cellStyle name="货币 2 4 2 2" xfId="1878"/>
    <cellStyle name="货币 2 4 2 2 2" xfId="1879"/>
    <cellStyle name="货币 2 4 2 4" xfId="1880"/>
    <cellStyle name="货币 2 4 2 6" xfId="1881"/>
    <cellStyle name="货币 2 4 2 6 2" xfId="1882"/>
    <cellStyle name="货币 2 4 2 7" xfId="1883"/>
    <cellStyle name="货币 2 4 2 8" xfId="1884"/>
    <cellStyle name="货币 2 4 2 8 2" xfId="1885"/>
    <cellStyle name="货币 2 4 2 9" xfId="1886"/>
    <cellStyle name="货币 3 2 6" xfId="1887"/>
    <cellStyle name="货币 2 4 2 9 2" xfId="1888"/>
    <cellStyle name="货币 2 4 3" xfId="1889"/>
    <cellStyle name="货币 2 4 3 2" xfId="1890"/>
    <cellStyle name="货币 2 4 3 2 2" xfId="1891"/>
    <cellStyle name="货币 2 4 3 3" xfId="1892"/>
    <cellStyle name="货币 2 4 3 4" xfId="1893"/>
    <cellStyle name="货币 2 4 4" xfId="1894"/>
    <cellStyle name="货币 2 4 4 2" xfId="1895"/>
    <cellStyle name="货币 2 4 4 2 2" xfId="1896"/>
    <cellStyle name="货币 2 4 4 3" xfId="1897"/>
    <cellStyle name="货币 2 4 4 4" xfId="1898"/>
    <cellStyle name="货币 2 4 5 2" xfId="1899"/>
    <cellStyle name="货币 2 4 5 3" xfId="1900"/>
    <cellStyle name="货币 2 4 5 4" xfId="1901"/>
    <cellStyle name="货币 2 4 6" xfId="1902"/>
    <cellStyle name="货币 3 2 10" xfId="1903"/>
    <cellStyle name="货币 2 4 6 2" xfId="1904"/>
    <cellStyle name="货币 3 2 10 2" xfId="1905"/>
    <cellStyle name="货币 2 4 6 2 2" xfId="1906"/>
    <cellStyle name="货币 3 2 11" xfId="1907"/>
    <cellStyle name="货币 2 4 6 3" xfId="1908"/>
    <cellStyle name="货币 2 4 7" xfId="1909"/>
    <cellStyle name="货币 2 4 7 2" xfId="1910"/>
    <cellStyle name="货币 3 2 3 4 2" xfId="1911"/>
    <cellStyle name="货币 2 4 8" xfId="1912"/>
    <cellStyle name="货币 3 2 3 4 2 2" xfId="1913"/>
    <cellStyle name="货币 2 4 8 2" xfId="1914"/>
    <cellStyle name="货币 3 2 3 4 3" xfId="1915"/>
    <cellStyle name="货币 2 4 9" xfId="1916"/>
    <cellStyle name="货币 3 2 3 4 3 2" xfId="1917"/>
    <cellStyle name="货币 2 4 9 2" xfId="1918"/>
    <cellStyle name="货币 2 5 2" xfId="1919"/>
    <cellStyle name="货币 2 5 2 2" xfId="1920"/>
    <cellStyle name="货币 2 5 3" xfId="1921"/>
    <cellStyle name="货币 2 5 3 2" xfId="1922"/>
    <cellStyle name="货币 2 5 4" xfId="1923"/>
    <cellStyle name="货币 2 5 4 2" xfId="1924"/>
    <cellStyle name="货币 2 5 5" xfId="1925"/>
    <cellStyle name="货币 2 5 5 2" xfId="1926"/>
    <cellStyle name="货币 2 5 6" xfId="1927"/>
    <cellStyle name="货币 2 6" xfId="1928"/>
    <cellStyle name="货币 2 6 2" xfId="1929"/>
    <cellStyle name="货币 2 6 2 2" xfId="1930"/>
    <cellStyle name="货币 2 6 3" xfId="1931"/>
    <cellStyle name="货币 2 6 3 2" xfId="1932"/>
    <cellStyle name="货币 2 6 4" xfId="1933"/>
    <cellStyle name="货币 2 6 4 2" xfId="1934"/>
    <cellStyle name="货币 2 6 5" xfId="1935"/>
    <cellStyle name="货币 2 8 2 2" xfId="1936"/>
    <cellStyle name="货币 3" xfId="1937"/>
    <cellStyle name="货币 3 2" xfId="1938"/>
    <cellStyle name="货币 3 2 12" xfId="1939"/>
    <cellStyle name="货币 3 2 2 2" xfId="1940"/>
    <cellStyle name="货币 3 2 2 2 2" xfId="1941"/>
    <cellStyle name="货币 3 2 2 2 2 2" xfId="1942"/>
    <cellStyle name="货币 3 2 2 2 3" xfId="1943"/>
    <cellStyle name="货币 3 2 2 2 4" xfId="1944"/>
    <cellStyle name="货币 3 2 2 2 4 2" xfId="1945"/>
    <cellStyle name="货币 3 2 2 2 5" xfId="1946"/>
    <cellStyle name="货币 3 2 2 3 2" xfId="1947"/>
    <cellStyle name="货币 3 2 2 3 3" xfId="1948"/>
    <cellStyle name="货币 3 2 2 3 4" xfId="1949"/>
    <cellStyle name="货币 3 2 2 3 5" xfId="1950"/>
    <cellStyle name="货币 3 2 2 4 2" xfId="1951"/>
    <cellStyle name="货币 3 2 2 4 2 2" xfId="1952"/>
    <cellStyle name="货币 3 2 2 4 3" xfId="1953"/>
    <cellStyle name="货币 3 2 2 4 4" xfId="1954"/>
    <cellStyle name="货币 3 2 2 4 5" xfId="1955"/>
    <cellStyle name="货币 3 2 2 5 2 2" xfId="1956"/>
    <cellStyle name="货币 3 2 2 5 3" xfId="1957"/>
    <cellStyle name="货币 3 2 2 6 2 2" xfId="1958"/>
    <cellStyle name="货币 3 2 2 6 3" xfId="1959"/>
    <cellStyle name="货币 3 2 2 8 2" xfId="1960"/>
    <cellStyle name="货币 3 2 2 9" xfId="1961"/>
    <cellStyle name="货币 3 2 2 9 2" xfId="1962"/>
    <cellStyle name="货币 3 2 3" xfId="1963"/>
    <cellStyle name="货币 3 2 3 10" xfId="1964"/>
    <cellStyle name="货币 3 2 3 2" xfId="1965"/>
    <cellStyle name="货币 3 2 3 2 4" xfId="1966"/>
    <cellStyle name="货币 3 2 3 3" xfId="1967"/>
    <cellStyle name="货币 3 2 3 3 4" xfId="1968"/>
    <cellStyle name="货币 3 2 3 3 5" xfId="1969"/>
    <cellStyle name="货币 3 2 3 4" xfId="1970"/>
    <cellStyle name="货币 3 2 3 4 4" xfId="1971"/>
    <cellStyle name="货币 3 2 3 4 4 2" xfId="1972"/>
    <cellStyle name="货币 3 2 3 4 5" xfId="1973"/>
    <cellStyle name="货币 3 2 3 6 2 2" xfId="1974"/>
    <cellStyle name="货币 3 2 3 6 3" xfId="1975"/>
    <cellStyle name="货币 3 2 3 8 2" xfId="1976"/>
    <cellStyle name="货币 3 2 3 9" xfId="1977"/>
    <cellStyle name="货币 3 2 3 9 2" xfId="1978"/>
    <cellStyle name="货币 3 2 4" xfId="1979"/>
    <cellStyle name="货币 3 2 4 2" xfId="1980"/>
    <cellStyle name="货币 3 2 4 3" xfId="1981"/>
    <cellStyle name="货币 3 2 4 4" xfId="1982"/>
    <cellStyle name="货币 3 4 8" xfId="1983"/>
    <cellStyle name="货币 3 2 4 4 2" xfId="1984"/>
    <cellStyle name="货币 3 2 5" xfId="1985"/>
    <cellStyle name="货币 3 2 5 2" xfId="1986"/>
    <cellStyle name="货币 3 2 5 2 2" xfId="1987"/>
    <cellStyle name="货币 3 2 5 3" xfId="1988"/>
    <cellStyle name="货币 3 2 5 3 2" xfId="1989"/>
    <cellStyle name="货币 3 2 5 4" xfId="1990"/>
    <cellStyle name="货币 3 2 5 4 2" xfId="1991"/>
    <cellStyle name="货币 3 2 6 2" xfId="1992"/>
    <cellStyle name="货币 3 2 6 2 2" xfId="1993"/>
    <cellStyle name="货币 3 2 6 3" xfId="1994"/>
    <cellStyle name="货币 3 2 6 3 2" xfId="1995"/>
    <cellStyle name="货币 3 2 6 4" xfId="1996"/>
    <cellStyle name="货币 3 2 6 4 2" xfId="1997"/>
    <cellStyle name="货币 3 2 7 2 2" xfId="1998"/>
    <cellStyle name="货币 3 2 9 2" xfId="1999"/>
    <cellStyle name="货币 3 3 10" xfId="2000"/>
    <cellStyle name="货币 3 3 10 2" xfId="2001"/>
    <cellStyle name="货币 3 3 2 10" xfId="2002"/>
    <cellStyle name="货币 3 3 2 2 2" xfId="2003"/>
    <cellStyle name="货币 3 3 2 2 2 2" xfId="2004"/>
    <cellStyle name="货币 3 3 2 2 3 2" xfId="2005"/>
    <cellStyle name="货币 3 3 2 2 4" xfId="2006"/>
    <cellStyle name="货币 3 3 2 3" xfId="2007"/>
    <cellStyle name="货币 3 3 2 3 2" xfId="2008"/>
    <cellStyle name="货币 3 3 2 3 2 2" xfId="2009"/>
    <cellStyle name="货币 3 3 2 3 3 2" xfId="2010"/>
    <cellStyle name="货币 3 3 2 3 5" xfId="2011"/>
    <cellStyle name="货币 3 3 2 3 4" xfId="2012"/>
    <cellStyle name="货币 3 3 2 3 4 2" xfId="2013"/>
    <cellStyle name="货币 3 3 2 4 5" xfId="2014"/>
    <cellStyle name="货币 3 3 2 4" xfId="2015"/>
    <cellStyle name="货币 3 3 2 4 2" xfId="2016"/>
    <cellStyle name="货币 3 3 2 4 3" xfId="2017"/>
    <cellStyle name="货币 3 3 2 4 3 2" xfId="2018"/>
    <cellStyle name="货币 3 3 2 4 4" xfId="2019"/>
    <cellStyle name="货币 3 3 2 4 4 2" xfId="2020"/>
    <cellStyle name="货币 3 3 2 5 2 2" xfId="2021"/>
    <cellStyle name="货币 3 3 2 5 3" xfId="2022"/>
    <cellStyle name="货币 3 3 2 8 2" xfId="2023"/>
    <cellStyle name="货币 3 3 2 9" xfId="2024"/>
    <cellStyle name="货币 3 3 2 9 2" xfId="2025"/>
    <cellStyle name="货币 3 3 3" xfId="2026"/>
    <cellStyle name="货币 3 3 3 2" xfId="2027"/>
    <cellStyle name="货币 3 3 3 3" xfId="2028"/>
    <cellStyle name="货币 3 3 3 4" xfId="2029"/>
    <cellStyle name="货币 3 3 4 2" xfId="2030"/>
    <cellStyle name="货币 3 3 4 3" xfId="2031"/>
    <cellStyle name="货币 3 3 4 4" xfId="2032"/>
    <cellStyle name="货币 3 3 5" xfId="2033"/>
    <cellStyle name="货币 3 3 6" xfId="2034"/>
    <cellStyle name="货币 3 4 10 2" xfId="2035"/>
    <cellStyle name="货币 3 4 2 2" xfId="2036"/>
    <cellStyle name="货币 3 4 2 2 2" xfId="2037"/>
    <cellStyle name="货币 3 4 2 3" xfId="2038"/>
    <cellStyle name="货币 3 4 2 3 2" xfId="2039"/>
    <cellStyle name="货币 3 4 3" xfId="2040"/>
    <cellStyle name="货币 3 4 3 2" xfId="2041"/>
    <cellStyle name="货币 3 4 3 3" xfId="2042"/>
    <cellStyle name="货币 3 4 4" xfId="2043"/>
    <cellStyle name="货币 3 4 4 2" xfId="2044"/>
    <cellStyle name="货币 3 4 4 3" xfId="2045"/>
    <cellStyle name="货币 3 4 4 4 2" xfId="2046"/>
    <cellStyle name="货币 3 4 5" xfId="2047"/>
    <cellStyle name="货币 3 4 5 2" xfId="2048"/>
    <cellStyle name="货币 3 4 5 3" xfId="2049"/>
    <cellStyle name="货币 3 4 6" xfId="2050"/>
    <cellStyle name="货币 3 4 6 2" xfId="2051"/>
    <cellStyle name="货币 3 4 6 3" xfId="2052"/>
    <cellStyle name="货币 3 4 7 2" xfId="2053"/>
    <cellStyle name="货币 3 4 8 2" xfId="2054"/>
    <cellStyle name="货币 3 4 9" xfId="2055"/>
    <cellStyle name="货币 3 4 9 2" xfId="2056"/>
    <cellStyle name="货币 3 5 2 2" xfId="2057"/>
    <cellStyle name="货币 3 5 3" xfId="2058"/>
    <cellStyle name="货币 3 5 3 2" xfId="2059"/>
    <cellStyle name="货币 3 5 4" xfId="2060"/>
    <cellStyle name="货币 3 5 4 2" xfId="2061"/>
    <cellStyle name="货币 3 5 5" xfId="2062"/>
    <cellStyle name="货币 3 6 2" xfId="2063"/>
    <cellStyle name="货币 3 6 2 2" xfId="2064"/>
    <cellStyle name="货币 3 6 3" xfId="2065"/>
    <cellStyle name="货币 3 6 3 2" xfId="2066"/>
    <cellStyle name="货币 3 6 4" xfId="2067"/>
    <cellStyle name="货币 3 6 4 2" xfId="2068"/>
    <cellStyle name="货币 3 7" xfId="2069"/>
    <cellStyle name="货币 3 7 2" xfId="2070"/>
    <cellStyle name="货币 3 7 2 2" xfId="2071"/>
    <cellStyle name="货币 3 8" xfId="2072"/>
    <cellStyle name="货币 3 8 2" xfId="2073"/>
    <cellStyle name="货币 3 8 2 2" xfId="2074"/>
    <cellStyle name="货币 3 9" xfId="2075"/>
    <cellStyle name="货币 3 9 2" xfId="2076"/>
    <cellStyle name="货币 4" xfId="2077"/>
    <cellStyle name="货币 4 2" xfId="2078"/>
    <cellStyle name="货币 4 3" xfId="2079"/>
    <cellStyle name="货币 4 3 2" xfId="2080"/>
    <cellStyle name="货币 4 4" xfId="2081"/>
    <cellStyle name="货币 4 4 2" xfId="2082"/>
    <cellStyle name="货币 4 5" xfId="2083"/>
    <cellStyle name="货币 5 2 2" xfId="2084"/>
    <cellStyle name="货币 5 3" xfId="2085"/>
    <cellStyle name="货币 6 2 2" xfId="2086"/>
    <cellStyle name="货币 6 3" xfId="2087"/>
    <cellStyle name="货币 7 3" xfId="2088"/>
    <cellStyle name="货币 8 2" xfId="2089"/>
    <cellStyle name="适中 2" xfId="2090"/>
    <cellStyle name="适中 2 3" xfId="2091"/>
    <cellStyle name="适中 2 3 2" xfId="2092"/>
    <cellStyle name="适中 2 5" xfId="2093"/>
    <cellStyle name="适中 2 5 2" xfId="2094"/>
    <cellStyle name="适中 2 6" xfId="2095"/>
  </cellStyles>
  <tableStyles count="1" defaultTableStyle="TableStyleMedium9" defaultPivotStyle="PivotStyleLight16">
    <tableStyle name="表样式 1" pivot="0" count="0" xr9:uid="{742950F0-A7F4-4CB6-895C-68F8AEB5CDAE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3"/>
  <sheetViews>
    <sheetView topLeftCell="A46" workbookViewId="0">
      <selection activeCell="O63" sqref="O63"/>
    </sheetView>
  </sheetViews>
  <sheetFormatPr defaultColWidth="9" defaultRowHeight="20.25"/>
  <cols>
    <col min="1" max="1" width="12.625" style="61"/>
    <col min="2" max="3" width="9" style="61"/>
    <col min="4" max="4" width="8.375" style="61" customWidth="1"/>
    <col min="5" max="5" width="9" style="61" hidden="1" customWidth="1"/>
    <col min="6" max="6" width="24.875" style="61" customWidth="1"/>
    <col min="7" max="9" width="9" style="61"/>
    <col min="10" max="10" width="11.125" style="142" customWidth="1"/>
    <col min="11" max="11" width="14.5" style="142"/>
    <col min="12" max="12" width="15.75" style="61" customWidth="1"/>
    <col min="13" max="13" width="11.5" style="61" customWidth="1"/>
    <col min="14" max="14" width="9.875" style="61"/>
    <col min="15" max="15" width="9.125"/>
  </cols>
  <sheetData>
    <row r="1" s="139" customFormat="1" ht="18" customHeight="1" spans="1:13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4" t="s">
        <v>1</v>
      </c>
      <c r="K1" s="144">
        <f>SUM(K3:K121)</f>
        <v>151004</v>
      </c>
      <c r="M1" s="145"/>
    </row>
    <row r="2" s="22" customFormat="1" spans="1:14">
      <c r="A2" s="36" t="s">
        <v>2</v>
      </c>
      <c r="B2" s="36" t="s">
        <v>3</v>
      </c>
      <c r="C2" s="37" t="s">
        <v>4</v>
      </c>
      <c r="D2" s="37"/>
      <c r="E2" s="37"/>
      <c r="F2" s="38" t="s">
        <v>5</v>
      </c>
      <c r="G2" s="37" t="s">
        <v>6</v>
      </c>
      <c r="H2" s="37" t="s">
        <v>7</v>
      </c>
      <c r="I2" s="37" t="s">
        <v>8</v>
      </c>
      <c r="J2" s="58" t="s">
        <v>9</v>
      </c>
      <c r="K2" s="58" t="s">
        <v>10</v>
      </c>
      <c r="L2" s="37" t="s">
        <v>11</v>
      </c>
      <c r="M2" s="37" t="s">
        <v>12</v>
      </c>
      <c r="N2" s="59"/>
    </row>
    <row r="3" s="23" customFormat="1" spans="1:14">
      <c r="A3" s="39">
        <v>45152</v>
      </c>
      <c r="B3" s="40" t="s">
        <v>13</v>
      </c>
      <c r="C3" s="33" t="s">
        <v>14</v>
      </c>
      <c r="D3" s="33"/>
      <c r="E3" s="33"/>
      <c r="F3" s="42" t="s">
        <v>15</v>
      </c>
      <c r="G3" s="35">
        <v>10</v>
      </c>
      <c r="H3" s="35">
        <v>28</v>
      </c>
      <c r="I3" s="35">
        <f t="shared" ref="I3:I35" si="0">G3*H3</f>
        <v>280</v>
      </c>
      <c r="J3" s="56">
        <v>9.5</v>
      </c>
      <c r="K3" s="56">
        <f t="shared" ref="K3:K35" si="1">I3*J3</f>
        <v>2660</v>
      </c>
      <c r="L3" s="21"/>
      <c r="M3" s="35"/>
      <c r="N3" s="21"/>
    </row>
    <row r="4" s="25" customFormat="1" spans="1:14">
      <c r="A4" s="43">
        <v>45153</v>
      </c>
      <c r="B4" s="44">
        <v>5</v>
      </c>
      <c r="C4" s="45">
        <v>3528</v>
      </c>
      <c r="D4" s="45"/>
      <c r="E4" s="45"/>
      <c r="F4" s="46" t="s">
        <v>16</v>
      </c>
      <c r="G4" s="47">
        <v>2</v>
      </c>
      <c r="H4" s="47">
        <v>20</v>
      </c>
      <c r="I4" s="47">
        <f t="shared" si="0"/>
        <v>40</v>
      </c>
      <c r="J4" s="60">
        <v>26</v>
      </c>
      <c r="K4" s="60">
        <f t="shared" si="1"/>
        <v>1040</v>
      </c>
      <c r="L4" s="24"/>
      <c r="M4" s="47"/>
      <c r="N4" s="24"/>
    </row>
    <row r="5" s="25" customFormat="1" spans="1:14">
      <c r="A5" s="43">
        <v>45153</v>
      </c>
      <c r="B5" s="44">
        <v>5</v>
      </c>
      <c r="C5" s="45" t="s">
        <v>17</v>
      </c>
      <c r="D5" s="45"/>
      <c r="E5" s="45"/>
      <c r="F5" s="46" t="s">
        <v>18</v>
      </c>
      <c r="G5" s="47">
        <v>2</v>
      </c>
      <c r="H5" s="47">
        <v>20</v>
      </c>
      <c r="I5" s="47">
        <f t="shared" si="0"/>
        <v>40</v>
      </c>
      <c r="J5" s="60">
        <v>26</v>
      </c>
      <c r="K5" s="60">
        <f t="shared" si="1"/>
        <v>1040</v>
      </c>
      <c r="L5" s="24"/>
      <c r="M5" s="47"/>
      <c r="N5" s="24"/>
    </row>
    <row r="6" s="25" customFormat="1" spans="1:14">
      <c r="A6" s="43">
        <v>45153</v>
      </c>
      <c r="B6" s="44">
        <v>5</v>
      </c>
      <c r="C6" s="54" t="s">
        <v>19</v>
      </c>
      <c r="D6" s="45"/>
      <c r="E6" s="45"/>
      <c r="F6" s="46" t="s">
        <v>20</v>
      </c>
      <c r="G6" s="47">
        <v>2</v>
      </c>
      <c r="H6" s="47">
        <v>26</v>
      </c>
      <c r="I6" s="47">
        <f t="shared" si="0"/>
        <v>52</v>
      </c>
      <c r="J6" s="60">
        <v>23.5</v>
      </c>
      <c r="K6" s="60">
        <f t="shared" si="1"/>
        <v>1222</v>
      </c>
      <c r="L6" s="24" t="s">
        <v>21</v>
      </c>
      <c r="M6" s="47"/>
      <c r="N6" s="24"/>
    </row>
    <row r="7" s="25" customFormat="1" spans="1:14">
      <c r="A7" s="43">
        <v>45153</v>
      </c>
      <c r="B7" s="44">
        <v>5</v>
      </c>
      <c r="C7" s="45"/>
      <c r="D7" s="45"/>
      <c r="E7" s="45"/>
      <c r="F7" s="46" t="s">
        <v>22</v>
      </c>
      <c r="G7" s="47">
        <v>5</v>
      </c>
      <c r="H7" s="47">
        <v>25</v>
      </c>
      <c r="I7" s="47">
        <f t="shared" si="0"/>
        <v>125</v>
      </c>
      <c r="J7" s="60">
        <v>18.5</v>
      </c>
      <c r="K7" s="60">
        <f t="shared" si="1"/>
        <v>2312.5</v>
      </c>
      <c r="L7" s="24"/>
      <c r="M7" s="47"/>
      <c r="N7" s="24"/>
    </row>
    <row r="8" s="27" customFormat="1" spans="1:14">
      <c r="A8" s="43">
        <v>45153</v>
      </c>
      <c r="B8" s="44">
        <v>5</v>
      </c>
      <c r="C8" s="45"/>
      <c r="D8" s="45"/>
      <c r="E8" s="45"/>
      <c r="F8" s="46" t="s">
        <v>23</v>
      </c>
      <c r="G8" s="47">
        <v>6</v>
      </c>
      <c r="H8" s="47">
        <v>20</v>
      </c>
      <c r="I8" s="47">
        <f t="shared" si="0"/>
        <v>120</v>
      </c>
      <c r="J8" s="60">
        <v>17.5</v>
      </c>
      <c r="K8" s="60">
        <f t="shared" si="1"/>
        <v>2100</v>
      </c>
      <c r="L8" s="24">
        <f>SUM(K4:K8)</f>
        <v>7714.5</v>
      </c>
      <c r="M8" s="47"/>
      <c r="N8" s="24"/>
    </row>
    <row r="9" s="23" customFormat="1" spans="1:14">
      <c r="A9" s="39">
        <v>45163</v>
      </c>
      <c r="B9" s="40">
        <v>30</v>
      </c>
      <c r="C9" s="33" t="s">
        <v>14</v>
      </c>
      <c r="D9" s="33"/>
      <c r="E9" s="33"/>
      <c r="F9" s="42" t="s">
        <v>15</v>
      </c>
      <c r="G9" s="35">
        <v>5</v>
      </c>
      <c r="H9" s="35">
        <v>28</v>
      </c>
      <c r="I9" s="35">
        <f t="shared" si="0"/>
        <v>140</v>
      </c>
      <c r="J9" s="56">
        <v>9.5</v>
      </c>
      <c r="K9" s="56">
        <f t="shared" si="1"/>
        <v>1330</v>
      </c>
      <c r="L9" s="21"/>
      <c r="M9" s="35"/>
      <c r="N9" s="21"/>
    </row>
    <row r="10" s="26" customFormat="1" spans="1:14">
      <c r="A10" s="39">
        <v>45163</v>
      </c>
      <c r="B10" s="40">
        <v>30</v>
      </c>
      <c r="C10" s="33">
        <v>3527</v>
      </c>
      <c r="D10" s="33"/>
      <c r="E10" s="33"/>
      <c r="F10" s="42" t="s">
        <v>24</v>
      </c>
      <c r="G10" s="35">
        <v>2</v>
      </c>
      <c r="H10" s="35">
        <v>26</v>
      </c>
      <c r="I10" s="35">
        <f t="shared" si="0"/>
        <v>52</v>
      </c>
      <c r="J10" s="56">
        <v>23.5</v>
      </c>
      <c r="K10" s="56">
        <f t="shared" si="1"/>
        <v>1222</v>
      </c>
      <c r="L10" s="21"/>
      <c r="M10" s="35"/>
      <c r="N10" s="21"/>
    </row>
    <row r="11" s="23" customFormat="1" spans="1:14">
      <c r="A11" s="39">
        <v>45163</v>
      </c>
      <c r="B11" s="40">
        <v>30</v>
      </c>
      <c r="C11" s="33"/>
      <c r="D11" s="33"/>
      <c r="E11" s="33"/>
      <c r="F11" s="42" t="s">
        <v>22</v>
      </c>
      <c r="G11" s="35">
        <v>4</v>
      </c>
      <c r="H11" s="35">
        <v>25</v>
      </c>
      <c r="I11" s="35">
        <f t="shared" si="0"/>
        <v>100</v>
      </c>
      <c r="J11" s="56">
        <v>18.5</v>
      </c>
      <c r="K11" s="56">
        <f t="shared" si="1"/>
        <v>1850</v>
      </c>
      <c r="L11" s="146" t="s">
        <v>25</v>
      </c>
      <c r="M11" s="35"/>
      <c r="N11" s="21"/>
    </row>
    <row r="12" s="23" customFormat="1" spans="1:14">
      <c r="A12" s="39">
        <v>45163</v>
      </c>
      <c r="B12" s="40">
        <v>30</v>
      </c>
      <c r="C12" s="33"/>
      <c r="D12" s="33"/>
      <c r="E12" s="33"/>
      <c r="F12" s="42" t="s">
        <v>22</v>
      </c>
      <c r="G12" s="35">
        <v>1</v>
      </c>
      <c r="H12" s="35">
        <v>26</v>
      </c>
      <c r="I12" s="35">
        <f t="shared" si="0"/>
        <v>26</v>
      </c>
      <c r="J12" s="56">
        <v>18.5</v>
      </c>
      <c r="K12" s="56">
        <f t="shared" si="1"/>
        <v>481</v>
      </c>
      <c r="L12" s="21"/>
      <c r="M12" s="35"/>
      <c r="N12" s="21"/>
    </row>
    <row r="13" s="26" customFormat="1" spans="1:14">
      <c r="A13" s="39">
        <v>45163</v>
      </c>
      <c r="B13" s="40">
        <v>30</v>
      </c>
      <c r="C13" s="33"/>
      <c r="D13" s="33"/>
      <c r="E13" s="33"/>
      <c r="F13" s="42" t="s">
        <v>23</v>
      </c>
      <c r="G13" s="35">
        <v>7</v>
      </c>
      <c r="H13" s="35">
        <v>20</v>
      </c>
      <c r="I13" s="35">
        <f t="shared" si="0"/>
        <v>140</v>
      </c>
      <c r="J13" s="56">
        <v>17.5</v>
      </c>
      <c r="K13" s="56">
        <f t="shared" si="1"/>
        <v>2450</v>
      </c>
      <c r="L13" s="21">
        <f>SUM(K9:K13)</f>
        <v>7333</v>
      </c>
      <c r="M13" s="35"/>
      <c r="N13" s="21"/>
    </row>
    <row r="14" s="24" customFormat="1" spans="1:13">
      <c r="A14" s="43">
        <v>45166</v>
      </c>
      <c r="B14" s="44">
        <v>42</v>
      </c>
      <c r="C14" s="45" t="s">
        <v>26</v>
      </c>
      <c r="D14" s="45"/>
      <c r="E14" s="45"/>
      <c r="F14" s="96" t="s">
        <v>27</v>
      </c>
      <c r="G14" s="47">
        <v>1</v>
      </c>
      <c r="H14" s="47">
        <v>20</v>
      </c>
      <c r="I14" s="47">
        <f t="shared" si="0"/>
        <v>20</v>
      </c>
      <c r="J14" s="60">
        <v>26</v>
      </c>
      <c r="K14" s="60">
        <f t="shared" si="1"/>
        <v>520</v>
      </c>
      <c r="M14" s="47"/>
    </row>
    <row r="15" s="23" customFormat="1" spans="1:14">
      <c r="A15" s="39">
        <v>45173</v>
      </c>
      <c r="B15" s="40">
        <v>6</v>
      </c>
      <c r="C15" s="33" t="s">
        <v>14</v>
      </c>
      <c r="D15" s="33"/>
      <c r="E15" s="33"/>
      <c r="F15" s="42" t="s">
        <v>15</v>
      </c>
      <c r="G15" s="35">
        <v>5</v>
      </c>
      <c r="H15" s="35">
        <v>28</v>
      </c>
      <c r="I15" s="35">
        <f t="shared" si="0"/>
        <v>140</v>
      </c>
      <c r="J15" s="56">
        <v>9.5</v>
      </c>
      <c r="K15" s="56">
        <f t="shared" si="1"/>
        <v>1330</v>
      </c>
      <c r="L15" s="21" t="s">
        <v>28</v>
      </c>
      <c r="M15" s="35"/>
      <c r="N15" s="21"/>
    </row>
    <row r="16" s="21" customFormat="1" spans="1:13">
      <c r="A16" s="39">
        <v>45173</v>
      </c>
      <c r="B16" s="40">
        <v>6</v>
      </c>
      <c r="C16" s="33" t="s">
        <v>29</v>
      </c>
      <c r="D16" s="33"/>
      <c r="E16" s="33"/>
      <c r="F16" s="48" t="s">
        <v>30</v>
      </c>
      <c r="G16" s="35">
        <v>1</v>
      </c>
      <c r="H16" s="35">
        <v>25</v>
      </c>
      <c r="I16" s="35">
        <f t="shared" si="0"/>
        <v>25</v>
      </c>
      <c r="J16" s="56">
        <v>13.5</v>
      </c>
      <c r="K16" s="56">
        <f t="shared" si="1"/>
        <v>337.5</v>
      </c>
      <c r="L16" s="21">
        <f>SUM(K15:K16)</f>
        <v>1667.5</v>
      </c>
      <c r="M16" s="35"/>
    </row>
    <row r="17" s="27" customFormat="1" spans="1:14">
      <c r="A17" s="43">
        <v>45174</v>
      </c>
      <c r="B17" s="44">
        <v>12</v>
      </c>
      <c r="C17" s="45" t="s">
        <v>31</v>
      </c>
      <c r="D17" s="45"/>
      <c r="E17" s="45"/>
      <c r="F17" s="52" t="s">
        <v>32</v>
      </c>
      <c r="G17" s="47">
        <v>1</v>
      </c>
      <c r="H17" s="47">
        <v>8</v>
      </c>
      <c r="I17" s="47">
        <f t="shared" si="0"/>
        <v>8</v>
      </c>
      <c r="J17" s="60">
        <v>18.5</v>
      </c>
      <c r="K17" s="60">
        <f t="shared" si="1"/>
        <v>148</v>
      </c>
      <c r="L17" s="24"/>
      <c r="M17" s="47"/>
      <c r="N17" s="24"/>
    </row>
    <row r="18" s="25" customFormat="1" spans="1:14">
      <c r="A18" s="43">
        <v>45174</v>
      </c>
      <c r="B18" s="44">
        <v>12</v>
      </c>
      <c r="C18" s="45" t="s">
        <v>14</v>
      </c>
      <c r="D18" s="45"/>
      <c r="E18" s="45"/>
      <c r="F18" s="46" t="s">
        <v>15</v>
      </c>
      <c r="G18" s="47">
        <v>10</v>
      </c>
      <c r="H18" s="47">
        <v>28</v>
      </c>
      <c r="I18" s="47">
        <f t="shared" si="0"/>
        <v>280</v>
      </c>
      <c r="J18" s="60">
        <v>9.5</v>
      </c>
      <c r="K18" s="60">
        <f t="shared" si="1"/>
        <v>2660</v>
      </c>
      <c r="L18" s="24"/>
      <c r="M18" s="47"/>
      <c r="N18" s="24"/>
    </row>
    <row r="19" s="24" customFormat="1" spans="1:13">
      <c r="A19" s="43">
        <v>45174</v>
      </c>
      <c r="B19" s="44">
        <v>12</v>
      </c>
      <c r="C19" s="45" t="s">
        <v>29</v>
      </c>
      <c r="D19" s="45"/>
      <c r="E19" s="45"/>
      <c r="F19" s="52" t="s">
        <v>30</v>
      </c>
      <c r="G19" s="47">
        <v>5</v>
      </c>
      <c r="H19" s="47">
        <v>25</v>
      </c>
      <c r="I19" s="47">
        <f t="shared" si="0"/>
        <v>125</v>
      </c>
      <c r="J19" s="60">
        <v>13.5</v>
      </c>
      <c r="K19" s="60">
        <f t="shared" si="1"/>
        <v>1687.5</v>
      </c>
      <c r="L19" s="24">
        <f t="shared" ref="L19:L23" si="2">SUM(K17:K19)</f>
        <v>4495.5</v>
      </c>
      <c r="M19" s="47"/>
    </row>
    <row r="20" s="23" customFormat="1" spans="1:14">
      <c r="A20" s="39">
        <v>45180</v>
      </c>
      <c r="B20" s="40">
        <v>32</v>
      </c>
      <c r="C20" s="91" t="s">
        <v>19</v>
      </c>
      <c r="D20" s="33"/>
      <c r="E20" s="33"/>
      <c r="F20" s="42" t="s">
        <v>20</v>
      </c>
      <c r="G20" s="35">
        <v>1</v>
      </c>
      <c r="H20" s="35">
        <v>25</v>
      </c>
      <c r="I20" s="35">
        <f t="shared" si="0"/>
        <v>25</v>
      </c>
      <c r="J20" s="56">
        <v>23.5</v>
      </c>
      <c r="K20" s="56">
        <f t="shared" si="1"/>
        <v>587.5</v>
      </c>
      <c r="L20" s="21" t="s">
        <v>21</v>
      </c>
      <c r="M20" s="35"/>
      <c r="N20" s="21"/>
    </row>
    <row r="21" s="23" customFormat="1" spans="1:14">
      <c r="A21" s="39">
        <v>45180</v>
      </c>
      <c r="B21" s="40">
        <v>32</v>
      </c>
      <c r="C21" s="33"/>
      <c r="D21" s="33"/>
      <c r="E21" s="33"/>
      <c r="F21" s="42" t="s">
        <v>22</v>
      </c>
      <c r="G21" s="35">
        <v>5</v>
      </c>
      <c r="H21" s="35">
        <v>25</v>
      </c>
      <c r="I21" s="35">
        <f t="shared" si="0"/>
        <v>125</v>
      </c>
      <c r="J21" s="56">
        <v>18.5</v>
      </c>
      <c r="K21" s="56">
        <f t="shared" si="1"/>
        <v>2312.5</v>
      </c>
      <c r="L21" s="21"/>
      <c r="M21" s="35"/>
      <c r="N21" s="21"/>
    </row>
    <row r="22" s="26" customFormat="1" spans="1:14">
      <c r="A22" s="39">
        <v>45180</v>
      </c>
      <c r="B22" s="40">
        <v>32</v>
      </c>
      <c r="C22" s="33"/>
      <c r="D22" s="33"/>
      <c r="E22" s="33"/>
      <c r="F22" s="42" t="s">
        <v>23</v>
      </c>
      <c r="G22" s="35">
        <v>3</v>
      </c>
      <c r="H22" s="35">
        <v>20</v>
      </c>
      <c r="I22" s="35">
        <f t="shared" si="0"/>
        <v>60</v>
      </c>
      <c r="J22" s="56">
        <v>17.5</v>
      </c>
      <c r="K22" s="56">
        <f t="shared" si="1"/>
        <v>1050</v>
      </c>
      <c r="L22" s="21">
        <f t="shared" si="2"/>
        <v>3950</v>
      </c>
      <c r="M22" s="35"/>
      <c r="N22" s="21"/>
    </row>
    <row r="23" s="27" customFormat="1" spans="1:14">
      <c r="A23" s="43">
        <v>45184</v>
      </c>
      <c r="B23" s="44">
        <v>47</v>
      </c>
      <c r="C23" s="45" t="s">
        <v>33</v>
      </c>
      <c r="D23" s="45"/>
      <c r="E23" s="45"/>
      <c r="F23" s="46" t="s">
        <v>34</v>
      </c>
      <c r="G23" s="47">
        <v>2</v>
      </c>
      <c r="H23" s="47">
        <v>10</v>
      </c>
      <c r="I23" s="47">
        <f t="shared" si="0"/>
        <v>20</v>
      </c>
      <c r="J23" s="60">
        <v>17.5</v>
      </c>
      <c r="K23" s="60">
        <f t="shared" si="1"/>
        <v>350</v>
      </c>
      <c r="L23" s="24">
        <f>K23</f>
        <v>350</v>
      </c>
      <c r="M23" s="47"/>
      <c r="N23" s="24"/>
    </row>
    <row r="24" s="21" customFormat="1" spans="1:13">
      <c r="A24" s="39">
        <v>45185</v>
      </c>
      <c r="B24" s="40">
        <v>54</v>
      </c>
      <c r="C24" s="33"/>
      <c r="D24" s="33"/>
      <c r="E24" s="33"/>
      <c r="F24" s="48" t="s">
        <v>35</v>
      </c>
      <c r="G24" s="35">
        <v>2</v>
      </c>
      <c r="H24" s="35">
        <v>20</v>
      </c>
      <c r="I24" s="35">
        <f t="shared" si="0"/>
        <v>40</v>
      </c>
      <c r="J24" s="35">
        <v>28</v>
      </c>
      <c r="K24" s="56">
        <f t="shared" si="1"/>
        <v>1120</v>
      </c>
      <c r="M24" s="35"/>
    </row>
    <row r="25" s="21" customFormat="1" spans="1:13">
      <c r="A25" s="39">
        <v>45185</v>
      </c>
      <c r="B25" s="40">
        <v>54</v>
      </c>
      <c r="C25" s="33"/>
      <c r="D25" s="33"/>
      <c r="E25" s="33"/>
      <c r="F25" s="48" t="s">
        <v>36</v>
      </c>
      <c r="G25" s="35">
        <v>2</v>
      </c>
      <c r="H25" s="35">
        <v>22</v>
      </c>
      <c r="I25" s="35">
        <f t="shared" si="0"/>
        <v>44</v>
      </c>
      <c r="J25" s="35">
        <v>26</v>
      </c>
      <c r="K25" s="56">
        <f t="shared" si="1"/>
        <v>1144</v>
      </c>
      <c r="M25" s="35"/>
    </row>
    <row r="26" s="21" customFormat="1" spans="1:13">
      <c r="A26" s="39">
        <v>45185</v>
      </c>
      <c r="B26" s="40">
        <v>54</v>
      </c>
      <c r="C26" s="33"/>
      <c r="D26" s="33"/>
      <c r="E26" s="33"/>
      <c r="F26" s="42" t="s">
        <v>23</v>
      </c>
      <c r="G26" s="35">
        <v>3</v>
      </c>
      <c r="H26" s="35">
        <v>20</v>
      </c>
      <c r="I26" s="35">
        <f t="shared" si="0"/>
        <v>60</v>
      </c>
      <c r="J26" s="56">
        <v>17.5</v>
      </c>
      <c r="K26" s="56">
        <f t="shared" si="1"/>
        <v>1050</v>
      </c>
      <c r="M26" s="35"/>
    </row>
    <row r="27" s="24" customFormat="1" spans="1:13">
      <c r="A27" s="43">
        <v>45190</v>
      </c>
      <c r="B27" s="44"/>
      <c r="C27" s="45"/>
      <c r="D27" s="45"/>
      <c r="E27" s="45"/>
      <c r="F27" s="46" t="s">
        <v>23</v>
      </c>
      <c r="G27" s="47">
        <v>2</v>
      </c>
      <c r="H27" s="47">
        <v>20</v>
      </c>
      <c r="I27" s="47">
        <f t="shared" si="0"/>
        <v>40</v>
      </c>
      <c r="J27" s="60"/>
      <c r="K27" s="60">
        <f t="shared" si="1"/>
        <v>0</v>
      </c>
      <c r="L27" s="24" t="s">
        <v>37</v>
      </c>
      <c r="M27" s="47"/>
    </row>
    <row r="28" s="21" customFormat="1" spans="1:14">
      <c r="A28" s="39">
        <v>45190</v>
      </c>
      <c r="B28" s="40">
        <v>66</v>
      </c>
      <c r="C28" s="33"/>
      <c r="D28" s="33"/>
      <c r="E28" s="33"/>
      <c r="F28" s="42" t="s">
        <v>23</v>
      </c>
      <c r="G28" s="35">
        <v>1</v>
      </c>
      <c r="H28" s="35">
        <v>20</v>
      </c>
      <c r="I28" s="35">
        <f t="shared" si="0"/>
        <v>20</v>
      </c>
      <c r="J28" s="56">
        <v>17.5</v>
      </c>
      <c r="K28" s="56">
        <f t="shared" si="1"/>
        <v>350</v>
      </c>
      <c r="L28" s="57"/>
      <c r="M28" s="35"/>
      <c r="N28" s="57"/>
    </row>
    <row r="29" s="23" customFormat="1" spans="1:14">
      <c r="A29" s="39">
        <v>45190</v>
      </c>
      <c r="B29" s="40">
        <v>66</v>
      </c>
      <c r="C29" s="33" t="s">
        <v>14</v>
      </c>
      <c r="D29" s="33"/>
      <c r="E29" s="33"/>
      <c r="F29" s="42" t="s">
        <v>15</v>
      </c>
      <c r="G29" s="35">
        <v>10</v>
      </c>
      <c r="H29" s="35">
        <v>28</v>
      </c>
      <c r="I29" s="35">
        <f t="shared" si="0"/>
        <v>280</v>
      </c>
      <c r="J29" s="56">
        <v>9.5</v>
      </c>
      <c r="K29" s="56">
        <f t="shared" si="1"/>
        <v>2660</v>
      </c>
      <c r="L29" s="21"/>
      <c r="M29" s="35"/>
      <c r="N29" s="21"/>
    </row>
    <row r="30" s="23" customFormat="1" spans="1:14">
      <c r="A30" s="39">
        <v>45190</v>
      </c>
      <c r="B30" s="40">
        <v>66</v>
      </c>
      <c r="C30" s="33" t="s">
        <v>29</v>
      </c>
      <c r="D30" s="33"/>
      <c r="E30" s="33"/>
      <c r="F30" s="42" t="s">
        <v>30</v>
      </c>
      <c r="G30" s="35">
        <v>2</v>
      </c>
      <c r="H30" s="35">
        <v>25</v>
      </c>
      <c r="I30" s="35">
        <f t="shared" si="0"/>
        <v>50</v>
      </c>
      <c r="J30" s="56">
        <v>13.5</v>
      </c>
      <c r="K30" s="56">
        <f t="shared" si="1"/>
        <v>675</v>
      </c>
      <c r="L30" s="21">
        <f>SUM(K27:K30)</f>
        <v>3685</v>
      </c>
      <c r="M30" s="35"/>
      <c r="N30" s="21"/>
    </row>
    <row r="31" s="25" customFormat="1" spans="1:14">
      <c r="A31" s="43">
        <v>45206</v>
      </c>
      <c r="B31" s="44">
        <v>9</v>
      </c>
      <c r="C31" s="45" t="s">
        <v>14</v>
      </c>
      <c r="D31" s="45"/>
      <c r="E31" s="45"/>
      <c r="F31" s="46" t="s">
        <v>15</v>
      </c>
      <c r="G31" s="47">
        <v>10</v>
      </c>
      <c r="H31" s="47">
        <v>28</v>
      </c>
      <c r="I31" s="47">
        <f t="shared" si="0"/>
        <v>280</v>
      </c>
      <c r="J31" s="60">
        <v>9.5</v>
      </c>
      <c r="K31" s="60">
        <f t="shared" si="1"/>
        <v>2660</v>
      </c>
      <c r="L31" s="24"/>
      <c r="M31" s="47"/>
      <c r="N31" s="24"/>
    </row>
    <row r="32" s="25" customFormat="1" spans="1:14">
      <c r="A32" s="43">
        <v>45206</v>
      </c>
      <c r="B32" s="44">
        <v>9</v>
      </c>
      <c r="C32" s="45" t="s">
        <v>29</v>
      </c>
      <c r="D32" s="45"/>
      <c r="E32" s="45"/>
      <c r="F32" s="46" t="s">
        <v>30</v>
      </c>
      <c r="G32" s="47">
        <v>5</v>
      </c>
      <c r="H32" s="47">
        <v>25</v>
      </c>
      <c r="I32" s="47">
        <f t="shared" si="0"/>
        <v>125</v>
      </c>
      <c r="J32" s="60">
        <v>13.5</v>
      </c>
      <c r="K32" s="60">
        <f t="shared" si="1"/>
        <v>1687.5</v>
      </c>
      <c r="L32" s="24"/>
      <c r="M32" s="47"/>
      <c r="N32" s="24"/>
    </row>
    <row r="33" s="24" customFormat="1" spans="1:13">
      <c r="A33" s="43">
        <v>45206</v>
      </c>
      <c r="B33" s="44">
        <v>9</v>
      </c>
      <c r="C33" s="45"/>
      <c r="D33" s="45"/>
      <c r="E33" s="45"/>
      <c r="F33" s="46" t="s">
        <v>23</v>
      </c>
      <c r="G33" s="47">
        <v>2</v>
      </c>
      <c r="H33" s="47">
        <v>20</v>
      </c>
      <c r="I33" s="47">
        <f t="shared" si="0"/>
        <v>40</v>
      </c>
      <c r="J33" s="60">
        <v>17.5</v>
      </c>
      <c r="K33" s="60">
        <f t="shared" si="1"/>
        <v>700</v>
      </c>
      <c r="L33" s="24">
        <f>SUM(K31:K33)</f>
        <v>5047.5</v>
      </c>
      <c r="M33" s="47"/>
    </row>
    <row r="34" s="21" customFormat="1" spans="1:14">
      <c r="A34" s="39">
        <v>45206</v>
      </c>
      <c r="B34" s="40">
        <v>11</v>
      </c>
      <c r="C34" s="33"/>
      <c r="D34" s="33"/>
      <c r="E34" s="33"/>
      <c r="F34" s="48" t="s">
        <v>36</v>
      </c>
      <c r="G34" s="35">
        <v>1</v>
      </c>
      <c r="H34" s="35">
        <v>22</v>
      </c>
      <c r="I34" s="35">
        <f t="shared" ref="I34:I60" si="3">G34*H34</f>
        <v>22</v>
      </c>
      <c r="J34" s="35">
        <v>26</v>
      </c>
      <c r="K34" s="56">
        <f t="shared" ref="K34:K60" si="4">I34*J34</f>
        <v>572</v>
      </c>
      <c r="L34" s="57"/>
      <c r="M34" s="35"/>
      <c r="N34" s="57"/>
    </row>
    <row r="35" s="23" customFormat="1" spans="1:14">
      <c r="A35" s="39">
        <v>45206</v>
      </c>
      <c r="B35" s="40">
        <v>11</v>
      </c>
      <c r="C35" s="33"/>
      <c r="D35" s="33"/>
      <c r="E35" s="33"/>
      <c r="F35" s="42" t="s">
        <v>22</v>
      </c>
      <c r="G35" s="35">
        <v>3</v>
      </c>
      <c r="H35" s="35">
        <v>25</v>
      </c>
      <c r="I35" s="35">
        <f t="shared" si="3"/>
        <v>75</v>
      </c>
      <c r="J35" s="56">
        <v>18.5</v>
      </c>
      <c r="K35" s="56">
        <f t="shared" si="4"/>
        <v>1387.5</v>
      </c>
      <c r="L35" s="21"/>
      <c r="M35" s="35"/>
      <c r="N35" s="21"/>
    </row>
    <row r="36" s="23" customFormat="1" spans="1:14">
      <c r="A36" s="39">
        <v>45206</v>
      </c>
      <c r="B36" s="40">
        <v>11</v>
      </c>
      <c r="C36" s="33"/>
      <c r="D36" s="33"/>
      <c r="E36" s="33"/>
      <c r="F36" s="42" t="s">
        <v>22</v>
      </c>
      <c r="G36" s="35">
        <v>1</v>
      </c>
      <c r="H36" s="35">
        <v>26</v>
      </c>
      <c r="I36" s="35">
        <f t="shared" si="3"/>
        <v>26</v>
      </c>
      <c r="J36" s="56">
        <v>18.5</v>
      </c>
      <c r="K36" s="56">
        <f t="shared" si="4"/>
        <v>481</v>
      </c>
      <c r="L36" s="21"/>
      <c r="M36" s="35"/>
      <c r="N36" s="21"/>
    </row>
    <row r="37" s="21" customFormat="1" spans="1:14">
      <c r="A37" s="39">
        <v>45206</v>
      </c>
      <c r="B37" s="40">
        <v>11</v>
      </c>
      <c r="C37" s="33"/>
      <c r="D37" s="33"/>
      <c r="E37" s="33"/>
      <c r="F37" s="42" t="s">
        <v>23</v>
      </c>
      <c r="G37" s="35">
        <v>4</v>
      </c>
      <c r="H37" s="35">
        <v>20</v>
      </c>
      <c r="I37" s="35">
        <f t="shared" si="3"/>
        <v>80</v>
      </c>
      <c r="J37" s="56">
        <v>17.5</v>
      </c>
      <c r="K37" s="56">
        <f t="shared" si="4"/>
        <v>1400</v>
      </c>
      <c r="L37" s="21">
        <f>SUM(K34:K37)</f>
        <v>3840.5</v>
      </c>
      <c r="M37" s="35"/>
      <c r="N37" s="57"/>
    </row>
    <row r="38" s="24" customFormat="1" spans="1:13">
      <c r="A38" s="43">
        <v>45211</v>
      </c>
      <c r="B38" s="44">
        <v>25</v>
      </c>
      <c r="C38" s="45"/>
      <c r="D38" s="45"/>
      <c r="E38" s="45"/>
      <c r="F38" s="52" t="s">
        <v>35</v>
      </c>
      <c r="G38" s="47">
        <v>1</v>
      </c>
      <c r="H38" s="47">
        <v>20</v>
      </c>
      <c r="I38" s="47">
        <f t="shared" si="3"/>
        <v>20</v>
      </c>
      <c r="J38" s="60">
        <v>28</v>
      </c>
      <c r="K38" s="60">
        <f t="shared" si="4"/>
        <v>560</v>
      </c>
      <c r="M38" s="47"/>
    </row>
    <row r="39" s="24" customFormat="1" spans="1:13">
      <c r="A39" s="43">
        <v>45211</v>
      </c>
      <c r="B39" s="44">
        <v>25</v>
      </c>
      <c r="C39" s="45"/>
      <c r="D39" s="45"/>
      <c r="E39" s="45"/>
      <c r="F39" s="52" t="s">
        <v>36</v>
      </c>
      <c r="G39" s="47">
        <v>1</v>
      </c>
      <c r="H39" s="47">
        <v>22</v>
      </c>
      <c r="I39" s="47">
        <f t="shared" si="3"/>
        <v>22</v>
      </c>
      <c r="J39" s="60">
        <v>26</v>
      </c>
      <c r="K39" s="60">
        <f t="shared" si="4"/>
        <v>572</v>
      </c>
      <c r="M39" s="47"/>
    </row>
    <row r="40" s="27" customFormat="1" spans="1:14">
      <c r="A40" s="43">
        <v>45211</v>
      </c>
      <c r="B40" s="44">
        <v>25</v>
      </c>
      <c r="C40" s="45">
        <v>3527</v>
      </c>
      <c r="D40" s="45"/>
      <c r="E40" s="45"/>
      <c r="F40" s="46" t="s">
        <v>24</v>
      </c>
      <c r="G40" s="47">
        <v>3</v>
      </c>
      <c r="H40" s="47">
        <v>26</v>
      </c>
      <c r="I40" s="47">
        <f t="shared" si="3"/>
        <v>78</v>
      </c>
      <c r="J40" s="60">
        <v>23.5</v>
      </c>
      <c r="K40" s="60">
        <f t="shared" si="4"/>
        <v>1833</v>
      </c>
      <c r="L40" s="24"/>
      <c r="M40" s="47"/>
      <c r="N40" s="24"/>
    </row>
    <row r="41" s="24" customFormat="1" spans="1:13">
      <c r="A41" s="43">
        <v>45211</v>
      </c>
      <c r="B41" s="44">
        <v>25</v>
      </c>
      <c r="C41" s="45"/>
      <c r="D41" s="45"/>
      <c r="E41" s="45"/>
      <c r="F41" s="46" t="s">
        <v>23</v>
      </c>
      <c r="G41" s="47">
        <v>1</v>
      </c>
      <c r="H41" s="47">
        <v>20</v>
      </c>
      <c r="I41" s="47">
        <f t="shared" si="3"/>
        <v>20</v>
      </c>
      <c r="J41" s="60">
        <v>17.5</v>
      </c>
      <c r="K41" s="60">
        <f t="shared" si="4"/>
        <v>350</v>
      </c>
      <c r="M41" s="47"/>
    </row>
    <row r="42" s="27" customFormat="1" spans="1:13">
      <c r="A42" s="43">
        <v>45211</v>
      </c>
      <c r="B42" s="44">
        <v>25</v>
      </c>
      <c r="C42" s="45" t="s">
        <v>33</v>
      </c>
      <c r="D42" s="45"/>
      <c r="E42" s="45"/>
      <c r="F42" s="46" t="s">
        <v>34</v>
      </c>
      <c r="G42" s="47">
        <v>1</v>
      </c>
      <c r="H42" s="47">
        <v>10</v>
      </c>
      <c r="I42" s="47">
        <f t="shared" si="3"/>
        <v>10</v>
      </c>
      <c r="J42" s="60">
        <v>17.5</v>
      </c>
      <c r="K42" s="60">
        <f t="shared" si="4"/>
        <v>175</v>
      </c>
      <c r="L42" s="24">
        <f>SUM(K38:K42)</f>
        <v>3490</v>
      </c>
      <c r="M42" s="47"/>
    </row>
    <row r="43" s="23" customFormat="1" spans="1:14">
      <c r="A43" s="39">
        <v>45219</v>
      </c>
      <c r="B43" s="40">
        <v>41</v>
      </c>
      <c r="C43" s="33" t="s">
        <v>14</v>
      </c>
      <c r="D43" s="33"/>
      <c r="E43" s="33"/>
      <c r="F43" s="42" t="s">
        <v>15</v>
      </c>
      <c r="G43" s="35">
        <v>10</v>
      </c>
      <c r="H43" s="35">
        <v>28</v>
      </c>
      <c r="I43" s="35">
        <f t="shared" si="3"/>
        <v>280</v>
      </c>
      <c r="J43" s="56">
        <v>9.5</v>
      </c>
      <c r="K43" s="56">
        <f t="shared" si="4"/>
        <v>2660</v>
      </c>
      <c r="L43" s="21"/>
      <c r="M43" s="35"/>
      <c r="N43" s="24"/>
    </row>
    <row r="44" s="23" customFormat="1" spans="1:14">
      <c r="A44" s="39">
        <v>45219</v>
      </c>
      <c r="B44" s="40">
        <v>41</v>
      </c>
      <c r="C44" s="33">
        <v>3528</v>
      </c>
      <c r="D44" s="33"/>
      <c r="E44" s="33"/>
      <c r="F44" s="42" t="s">
        <v>16</v>
      </c>
      <c r="G44" s="35">
        <v>2</v>
      </c>
      <c r="H44" s="35">
        <v>20</v>
      </c>
      <c r="I44" s="35">
        <f t="shared" si="3"/>
        <v>40</v>
      </c>
      <c r="J44" s="56">
        <v>26</v>
      </c>
      <c r="K44" s="56">
        <f t="shared" si="4"/>
        <v>1040</v>
      </c>
      <c r="L44" s="21"/>
      <c r="M44" s="35"/>
      <c r="N44" s="21"/>
    </row>
    <row r="45" s="23" customFormat="1" spans="1:14">
      <c r="A45" s="39">
        <v>45219</v>
      </c>
      <c r="B45" s="40">
        <v>41</v>
      </c>
      <c r="C45" s="33" t="s">
        <v>17</v>
      </c>
      <c r="D45" s="33"/>
      <c r="E45" s="33"/>
      <c r="F45" s="42" t="s">
        <v>18</v>
      </c>
      <c r="G45" s="35">
        <v>2</v>
      </c>
      <c r="H45" s="35">
        <v>21</v>
      </c>
      <c r="I45" s="35">
        <f t="shared" si="3"/>
        <v>42</v>
      </c>
      <c r="J45" s="56">
        <v>26</v>
      </c>
      <c r="K45" s="56">
        <f t="shared" si="4"/>
        <v>1092</v>
      </c>
      <c r="L45" s="21"/>
      <c r="M45" s="35"/>
      <c r="N45" s="21"/>
    </row>
    <row r="46" s="23" customFormat="1" spans="1:14">
      <c r="A46" s="39">
        <v>45219</v>
      </c>
      <c r="B46" s="40">
        <v>41</v>
      </c>
      <c r="C46" s="33"/>
      <c r="D46" s="33"/>
      <c r="E46" s="33"/>
      <c r="F46" s="42" t="s">
        <v>22</v>
      </c>
      <c r="G46" s="35">
        <v>4</v>
      </c>
      <c r="H46" s="35">
        <v>25</v>
      </c>
      <c r="I46" s="35">
        <f t="shared" si="3"/>
        <v>100</v>
      </c>
      <c r="J46" s="56">
        <v>18.5</v>
      </c>
      <c r="K46" s="56">
        <f t="shared" si="4"/>
        <v>1850</v>
      </c>
      <c r="L46" s="21"/>
      <c r="M46" s="35"/>
      <c r="N46" s="21"/>
    </row>
    <row r="47" s="21" customFormat="1" spans="1:14">
      <c r="A47" s="39">
        <v>45219</v>
      </c>
      <c r="B47" s="40">
        <v>41</v>
      </c>
      <c r="C47" s="33"/>
      <c r="D47" s="33"/>
      <c r="E47" s="33"/>
      <c r="F47" s="42" t="s">
        <v>23</v>
      </c>
      <c r="G47" s="35">
        <v>5</v>
      </c>
      <c r="H47" s="35">
        <v>20</v>
      </c>
      <c r="I47" s="35">
        <f t="shared" si="3"/>
        <v>100</v>
      </c>
      <c r="J47" s="56">
        <v>17.5</v>
      </c>
      <c r="K47" s="56">
        <f t="shared" si="4"/>
        <v>1750</v>
      </c>
      <c r="L47" s="21">
        <f>SUM(K43:K48)</f>
        <v>8392</v>
      </c>
      <c r="M47" s="35"/>
      <c r="N47" s="57"/>
    </row>
    <row r="48" s="25" customFormat="1" spans="1:14">
      <c r="A48" s="39">
        <v>45219</v>
      </c>
      <c r="B48" s="40">
        <v>41</v>
      </c>
      <c r="C48" s="33" t="s">
        <v>29</v>
      </c>
      <c r="D48" s="33"/>
      <c r="E48" s="33"/>
      <c r="F48" s="42" t="s">
        <v>30</v>
      </c>
      <c r="G48" s="35">
        <v>3</v>
      </c>
      <c r="H48" s="35">
        <v>25</v>
      </c>
      <c r="I48" s="35">
        <f t="shared" si="3"/>
        <v>75</v>
      </c>
      <c r="J48" s="56"/>
      <c r="K48" s="56">
        <f t="shared" si="4"/>
        <v>0</v>
      </c>
      <c r="L48" s="82" t="s">
        <v>38</v>
      </c>
      <c r="M48" s="35"/>
      <c r="N48" s="24"/>
    </row>
    <row r="49" s="25" customFormat="1" spans="1:14">
      <c r="A49" s="43">
        <v>45230</v>
      </c>
      <c r="B49" s="44">
        <v>78</v>
      </c>
      <c r="C49" s="45"/>
      <c r="D49" s="45"/>
      <c r="E49" s="45"/>
      <c r="F49" s="46" t="s">
        <v>22</v>
      </c>
      <c r="G49" s="47">
        <v>4</v>
      </c>
      <c r="H49" s="47">
        <v>25</v>
      </c>
      <c r="I49" s="47">
        <f t="shared" si="3"/>
        <v>100</v>
      </c>
      <c r="J49" s="60">
        <v>18.5</v>
      </c>
      <c r="K49" s="60">
        <f t="shared" si="4"/>
        <v>1850</v>
      </c>
      <c r="L49" s="24"/>
      <c r="M49" s="47"/>
      <c r="N49" s="24"/>
    </row>
    <row r="50" s="24" customFormat="1" spans="1:14">
      <c r="A50" s="43">
        <v>45230</v>
      </c>
      <c r="B50" s="44">
        <v>78</v>
      </c>
      <c r="C50" s="45"/>
      <c r="D50" s="45"/>
      <c r="E50" s="45"/>
      <c r="F50" s="46" t="s">
        <v>23</v>
      </c>
      <c r="G50" s="47">
        <v>6</v>
      </c>
      <c r="H50" s="47">
        <v>20</v>
      </c>
      <c r="I50" s="47">
        <f t="shared" si="3"/>
        <v>120</v>
      </c>
      <c r="J50" s="60">
        <v>17.5</v>
      </c>
      <c r="K50" s="60">
        <f t="shared" si="4"/>
        <v>2100</v>
      </c>
      <c r="M50" s="47"/>
      <c r="N50" s="61"/>
    </row>
    <row r="51" s="25" customFormat="1" spans="1:14">
      <c r="A51" s="43">
        <v>45230</v>
      </c>
      <c r="B51" s="44">
        <v>78</v>
      </c>
      <c r="C51" s="45" t="s">
        <v>14</v>
      </c>
      <c r="D51" s="45"/>
      <c r="E51" s="45"/>
      <c r="F51" s="46" t="s">
        <v>15</v>
      </c>
      <c r="G51" s="47">
        <v>10</v>
      </c>
      <c r="H51" s="47">
        <v>28</v>
      </c>
      <c r="I51" s="47">
        <f t="shared" si="3"/>
        <v>280</v>
      </c>
      <c r="J51" s="60">
        <v>9.5</v>
      </c>
      <c r="K51" s="60">
        <f t="shared" si="4"/>
        <v>2660</v>
      </c>
      <c r="L51" s="24"/>
      <c r="M51" s="47"/>
      <c r="N51" s="24"/>
    </row>
    <row r="52" s="25" customFormat="1" spans="1:15">
      <c r="A52" s="43">
        <v>45230</v>
      </c>
      <c r="B52" s="44">
        <v>78</v>
      </c>
      <c r="C52" s="45" t="s">
        <v>29</v>
      </c>
      <c r="D52" s="45"/>
      <c r="E52" s="45"/>
      <c r="F52" s="46" t="s">
        <v>30</v>
      </c>
      <c r="G52" s="47">
        <v>5</v>
      </c>
      <c r="H52" s="47">
        <v>25</v>
      </c>
      <c r="I52" s="47">
        <f t="shared" si="3"/>
        <v>125</v>
      </c>
      <c r="J52" s="60">
        <v>13.5</v>
      </c>
      <c r="K52" s="60">
        <f t="shared" si="4"/>
        <v>1687.5</v>
      </c>
      <c r="L52" s="24" t="s">
        <v>38</v>
      </c>
      <c r="M52" s="47"/>
      <c r="N52" s="24"/>
      <c r="O52" s="25">
        <f>SUM(K49:K52)</f>
        <v>8297.5</v>
      </c>
    </row>
    <row r="53" s="21" customFormat="1" spans="1:14">
      <c r="A53" s="39">
        <v>45236</v>
      </c>
      <c r="B53" s="40">
        <v>12</v>
      </c>
      <c r="C53" s="33"/>
      <c r="D53" s="33"/>
      <c r="E53" s="33"/>
      <c r="F53" s="48" t="s">
        <v>35</v>
      </c>
      <c r="G53" s="35">
        <v>2</v>
      </c>
      <c r="H53" s="35">
        <v>20</v>
      </c>
      <c r="I53" s="35">
        <f t="shared" si="3"/>
        <v>40</v>
      </c>
      <c r="J53" s="56">
        <v>28</v>
      </c>
      <c r="K53" s="56">
        <f t="shared" si="4"/>
        <v>1120</v>
      </c>
      <c r="L53" s="57"/>
      <c r="M53" s="35"/>
      <c r="N53" s="57"/>
    </row>
    <row r="54" s="21" customFormat="1" ht="15" customHeight="1" spans="1:14">
      <c r="A54" s="39">
        <v>45236</v>
      </c>
      <c r="B54" s="40">
        <v>12</v>
      </c>
      <c r="C54" s="33"/>
      <c r="D54" s="33"/>
      <c r="E54" s="33"/>
      <c r="F54" s="42" t="s">
        <v>23</v>
      </c>
      <c r="G54" s="35">
        <v>2</v>
      </c>
      <c r="H54" s="35">
        <v>20</v>
      </c>
      <c r="I54" s="35">
        <f t="shared" si="3"/>
        <v>40</v>
      </c>
      <c r="J54" s="56">
        <v>17.5</v>
      </c>
      <c r="K54" s="56">
        <f t="shared" si="4"/>
        <v>700</v>
      </c>
      <c r="M54" s="35"/>
      <c r="N54" s="57"/>
    </row>
    <row r="55" s="21" customFormat="1" ht="24" customHeight="1" spans="1:14">
      <c r="A55" s="32"/>
      <c r="B55" s="32"/>
      <c r="C55" s="32"/>
      <c r="D55" s="32"/>
      <c r="E55" s="33"/>
      <c r="F55" s="34" t="s">
        <v>39</v>
      </c>
      <c r="G55" s="35"/>
      <c r="H55" s="35"/>
      <c r="I55" s="35"/>
      <c r="J55" s="56"/>
      <c r="K55" s="56"/>
      <c r="M55" s="35"/>
      <c r="N55" s="57"/>
    </row>
    <row r="56" s="22" customFormat="1" spans="1:14">
      <c r="A56" s="36" t="s">
        <v>2</v>
      </c>
      <c r="B56" s="36" t="s">
        <v>3</v>
      </c>
      <c r="C56" s="37" t="s">
        <v>4</v>
      </c>
      <c r="D56" s="37"/>
      <c r="E56" s="37"/>
      <c r="F56" s="38" t="s">
        <v>5</v>
      </c>
      <c r="G56" s="37" t="s">
        <v>6</v>
      </c>
      <c r="H56" s="37" t="s">
        <v>7</v>
      </c>
      <c r="I56" s="37" t="s">
        <v>8</v>
      </c>
      <c r="J56" s="58" t="s">
        <v>9</v>
      </c>
      <c r="K56" s="58" t="s">
        <v>10</v>
      </c>
      <c r="L56" s="37" t="s">
        <v>11</v>
      </c>
      <c r="M56" s="37" t="s">
        <v>12</v>
      </c>
      <c r="N56" s="59"/>
    </row>
    <row r="57" s="25" customFormat="1" spans="1:14">
      <c r="A57" s="43">
        <v>45345</v>
      </c>
      <c r="B57" s="44">
        <v>4</v>
      </c>
      <c r="C57" s="45" t="s">
        <v>14</v>
      </c>
      <c r="D57" s="45"/>
      <c r="E57" s="45"/>
      <c r="F57" s="46" t="s">
        <v>15</v>
      </c>
      <c r="G57" s="47">
        <v>14</v>
      </c>
      <c r="H57" s="47">
        <v>28</v>
      </c>
      <c r="I57" s="47">
        <f t="shared" ref="I57:I120" si="5">G57*H57</f>
        <v>392</v>
      </c>
      <c r="J57" s="60">
        <v>9.5</v>
      </c>
      <c r="K57" s="60">
        <f t="shared" ref="K57:K120" si="6">I57*J57</f>
        <v>3724</v>
      </c>
      <c r="L57" s="24"/>
      <c r="M57" s="47"/>
      <c r="N57" s="24"/>
    </row>
    <row r="58" s="25" customFormat="1" spans="1:15">
      <c r="A58" s="43">
        <v>45345</v>
      </c>
      <c r="B58" s="44">
        <v>4</v>
      </c>
      <c r="C58" s="45" t="s">
        <v>40</v>
      </c>
      <c r="D58" s="45"/>
      <c r="E58" s="45"/>
      <c r="F58" s="46" t="s">
        <v>30</v>
      </c>
      <c r="G58" s="47">
        <v>7</v>
      </c>
      <c r="H58" s="47">
        <v>22</v>
      </c>
      <c r="I58" s="47">
        <f t="shared" si="5"/>
        <v>154</v>
      </c>
      <c r="J58" s="60">
        <v>14.5</v>
      </c>
      <c r="K58" s="60">
        <f t="shared" si="6"/>
        <v>2233</v>
      </c>
      <c r="L58" s="24" t="s">
        <v>40</v>
      </c>
      <c r="M58" s="47"/>
      <c r="N58" s="24"/>
      <c r="O58" s="25">
        <f>SUM(K57:K58)</f>
        <v>5957</v>
      </c>
    </row>
    <row r="59" s="24" customFormat="1" spans="1:13">
      <c r="A59" s="43">
        <v>45345</v>
      </c>
      <c r="B59" s="44">
        <v>4</v>
      </c>
      <c r="C59" s="45"/>
      <c r="D59" s="45"/>
      <c r="E59" s="45"/>
      <c r="F59" s="52" t="s">
        <v>35</v>
      </c>
      <c r="G59" s="47">
        <v>1</v>
      </c>
      <c r="H59" s="47">
        <v>21</v>
      </c>
      <c r="I59" s="47">
        <f t="shared" si="5"/>
        <v>21</v>
      </c>
      <c r="J59" s="60">
        <v>28</v>
      </c>
      <c r="K59" s="60">
        <f t="shared" si="6"/>
        <v>588</v>
      </c>
      <c r="M59" s="47"/>
    </row>
    <row r="60" s="27" customFormat="1" spans="1:14">
      <c r="A60" s="43">
        <v>45345</v>
      </c>
      <c r="B60" s="44">
        <v>4</v>
      </c>
      <c r="C60" s="45" t="s">
        <v>31</v>
      </c>
      <c r="D60" s="45"/>
      <c r="E60" s="45"/>
      <c r="F60" s="52" t="s">
        <v>32</v>
      </c>
      <c r="G60" s="47">
        <v>1</v>
      </c>
      <c r="H60" s="47">
        <v>4</v>
      </c>
      <c r="I60" s="47">
        <f t="shared" si="5"/>
        <v>4</v>
      </c>
      <c r="J60" s="60">
        <v>18.5</v>
      </c>
      <c r="K60" s="60">
        <f t="shared" si="6"/>
        <v>74</v>
      </c>
      <c r="L60" s="24"/>
      <c r="M60" s="47"/>
      <c r="N60" s="24"/>
    </row>
    <row r="61" s="25" customFormat="1" spans="1:14">
      <c r="A61" s="43">
        <v>45345</v>
      </c>
      <c r="B61" s="44">
        <v>4</v>
      </c>
      <c r="C61" s="50">
        <v>625</v>
      </c>
      <c r="D61" s="50"/>
      <c r="E61" s="50"/>
      <c r="F61" s="46" t="s">
        <v>41</v>
      </c>
      <c r="G61" s="47">
        <v>1</v>
      </c>
      <c r="H61" s="47">
        <v>4</v>
      </c>
      <c r="I61" s="47">
        <f t="shared" si="5"/>
        <v>4</v>
      </c>
      <c r="J61" s="60">
        <v>23.5</v>
      </c>
      <c r="K61" s="60">
        <f t="shared" si="6"/>
        <v>94</v>
      </c>
      <c r="L61" s="147" t="s">
        <v>42</v>
      </c>
      <c r="M61" s="47">
        <f>SUM(K57:K61)</f>
        <v>6713</v>
      </c>
      <c r="N61" s="24"/>
    </row>
    <row r="62" s="26" customFormat="1" spans="1:14">
      <c r="A62" s="39">
        <v>45351</v>
      </c>
      <c r="B62" s="40">
        <v>10</v>
      </c>
      <c r="C62" s="33">
        <v>3527</v>
      </c>
      <c r="D62" s="33"/>
      <c r="E62" s="33"/>
      <c r="F62" s="42" t="s">
        <v>24</v>
      </c>
      <c r="G62" s="35">
        <v>1</v>
      </c>
      <c r="H62" s="35">
        <v>24</v>
      </c>
      <c r="I62" s="35">
        <f t="shared" si="5"/>
        <v>24</v>
      </c>
      <c r="J62" s="56">
        <v>23.5</v>
      </c>
      <c r="K62" s="56">
        <f t="shared" si="6"/>
        <v>564</v>
      </c>
      <c r="L62" s="21"/>
      <c r="M62" s="47"/>
      <c r="N62" s="21"/>
    </row>
    <row r="63" s="26" customFormat="1" spans="1:14">
      <c r="A63" s="39">
        <v>45351</v>
      </c>
      <c r="B63" s="40">
        <v>10</v>
      </c>
      <c r="C63" s="33">
        <v>3527</v>
      </c>
      <c r="D63" s="33"/>
      <c r="E63" s="33"/>
      <c r="F63" s="42" t="s">
        <v>24</v>
      </c>
      <c r="G63" s="35">
        <v>1</v>
      </c>
      <c r="H63" s="35">
        <v>25</v>
      </c>
      <c r="I63" s="35">
        <f t="shared" si="5"/>
        <v>25</v>
      </c>
      <c r="J63" s="56">
        <v>23.5</v>
      </c>
      <c r="K63" s="56">
        <f t="shared" si="6"/>
        <v>587.5</v>
      </c>
      <c r="L63" s="21"/>
      <c r="M63" s="47"/>
      <c r="N63" s="21"/>
    </row>
    <row r="64" s="23" customFormat="1" spans="1:14">
      <c r="A64" s="39">
        <v>45351</v>
      </c>
      <c r="B64" s="40">
        <v>10</v>
      </c>
      <c r="C64" s="33" t="s">
        <v>17</v>
      </c>
      <c r="D64" s="33"/>
      <c r="E64" s="33"/>
      <c r="F64" s="42" t="s">
        <v>18</v>
      </c>
      <c r="G64" s="35">
        <v>3</v>
      </c>
      <c r="H64" s="35">
        <v>20</v>
      </c>
      <c r="I64" s="35">
        <f t="shared" si="5"/>
        <v>60</v>
      </c>
      <c r="J64" s="56">
        <v>26</v>
      </c>
      <c r="K64" s="56">
        <f t="shared" si="6"/>
        <v>1560</v>
      </c>
      <c r="L64" s="21"/>
      <c r="M64" s="47"/>
      <c r="N64" s="21"/>
    </row>
    <row r="65" s="21" customFormat="1" spans="1:13">
      <c r="A65" s="39">
        <v>45351</v>
      </c>
      <c r="B65" s="40">
        <v>10</v>
      </c>
      <c r="C65" s="33"/>
      <c r="D65" s="33"/>
      <c r="E65" s="33"/>
      <c r="F65" s="48" t="s">
        <v>35</v>
      </c>
      <c r="G65" s="35">
        <v>3</v>
      </c>
      <c r="H65" s="35">
        <v>20</v>
      </c>
      <c r="I65" s="35">
        <f t="shared" si="5"/>
        <v>60</v>
      </c>
      <c r="J65" s="56">
        <v>28</v>
      </c>
      <c r="K65" s="56">
        <f t="shared" si="6"/>
        <v>1680</v>
      </c>
      <c r="L65" s="57"/>
      <c r="M65" s="47"/>
    </row>
    <row r="66" s="23" customFormat="1" spans="1:14">
      <c r="A66" s="39">
        <v>45351</v>
      </c>
      <c r="B66" s="40">
        <v>10</v>
      </c>
      <c r="C66" s="33"/>
      <c r="D66" s="33"/>
      <c r="E66" s="33"/>
      <c r="F66" s="42" t="s">
        <v>22</v>
      </c>
      <c r="G66" s="35">
        <v>4</v>
      </c>
      <c r="H66" s="35">
        <v>25</v>
      </c>
      <c r="I66" s="35">
        <f t="shared" si="5"/>
        <v>100</v>
      </c>
      <c r="J66" s="56">
        <v>18.5</v>
      </c>
      <c r="K66" s="56">
        <f t="shared" si="6"/>
        <v>1850</v>
      </c>
      <c r="L66" s="21"/>
      <c r="M66" s="35">
        <f>SUM(K62:K66)</f>
        <v>6241.5</v>
      </c>
      <c r="N66" s="21"/>
    </row>
    <row r="67" s="25" customFormat="1" spans="1:14">
      <c r="A67" s="43">
        <v>45353</v>
      </c>
      <c r="B67" s="44">
        <v>5</v>
      </c>
      <c r="C67" s="45" t="s">
        <v>14</v>
      </c>
      <c r="D67" s="45"/>
      <c r="E67" s="45"/>
      <c r="F67" s="46" t="s">
        <v>15</v>
      </c>
      <c r="G67" s="47">
        <v>9</v>
      </c>
      <c r="H67" s="47">
        <v>28</v>
      </c>
      <c r="I67" s="47">
        <f t="shared" si="5"/>
        <v>252</v>
      </c>
      <c r="J67" s="60">
        <v>9.5</v>
      </c>
      <c r="K67" s="60">
        <f t="shared" si="6"/>
        <v>2394</v>
      </c>
      <c r="L67" s="24"/>
      <c r="M67" s="47"/>
      <c r="N67" s="24"/>
    </row>
    <row r="68" s="27" customFormat="1" spans="1:16384">
      <c r="A68" s="43">
        <v>45353</v>
      </c>
      <c r="B68" s="44">
        <v>5</v>
      </c>
      <c r="C68" s="45" t="s">
        <v>43</v>
      </c>
      <c r="D68" s="45"/>
      <c r="E68" s="45"/>
      <c r="F68" s="46" t="s">
        <v>44</v>
      </c>
      <c r="G68" s="47">
        <v>1</v>
      </c>
      <c r="H68" s="47">
        <v>23</v>
      </c>
      <c r="I68" s="47">
        <f t="shared" si="5"/>
        <v>23</v>
      </c>
      <c r="J68" s="60">
        <v>23.5</v>
      </c>
      <c r="K68" s="60">
        <f t="shared" si="6"/>
        <v>540.5</v>
      </c>
      <c r="L68" s="47"/>
      <c r="M68" s="24"/>
      <c r="XFD68" s="21"/>
    </row>
    <row r="69" s="24" customFormat="1" spans="1:16384">
      <c r="A69" s="43">
        <v>45353</v>
      </c>
      <c r="B69" s="44">
        <v>5</v>
      </c>
      <c r="C69" s="45"/>
      <c r="D69" s="45"/>
      <c r="E69" s="45"/>
      <c r="F69" s="46" t="s">
        <v>36</v>
      </c>
      <c r="G69" s="47">
        <v>3</v>
      </c>
      <c r="H69" s="47">
        <v>23</v>
      </c>
      <c r="I69" s="47">
        <f t="shared" si="5"/>
        <v>69</v>
      </c>
      <c r="J69" s="60">
        <v>26</v>
      </c>
      <c r="K69" s="60">
        <f t="shared" si="6"/>
        <v>1794</v>
      </c>
      <c r="L69" s="47"/>
      <c r="XFD69" s="21"/>
    </row>
    <row r="70" s="23" customFormat="1" spans="1:16384">
      <c r="A70" s="43">
        <v>45353</v>
      </c>
      <c r="B70" s="44">
        <v>5</v>
      </c>
      <c r="C70" s="45"/>
      <c r="D70" s="45"/>
      <c r="E70" s="45"/>
      <c r="F70" s="46" t="s">
        <v>23</v>
      </c>
      <c r="G70" s="47">
        <v>5</v>
      </c>
      <c r="H70" s="47">
        <v>20</v>
      </c>
      <c r="I70" s="47">
        <f t="shared" si="5"/>
        <v>100</v>
      </c>
      <c r="J70" s="60">
        <v>17.5</v>
      </c>
      <c r="K70" s="60">
        <f t="shared" si="6"/>
        <v>1750</v>
      </c>
      <c r="L70" s="35"/>
      <c r="M70" s="21"/>
      <c r="XFD70" s="21"/>
    </row>
    <row r="71" s="21" customFormat="1" spans="1:14">
      <c r="A71" s="43">
        <v>45353</v>
      </c>
      <c r="B71" s="44">
        <v>5</v>
      </c>
      <c r="C71" s="45">
        <v>3528</v>
      </c>
      <c r="D71" s="45"/>
      <c r="E71" s="45"/>
      <c r="F71" s="46" t="s">
        <v>16</v>
      </c>
      <c r="G71" s="47">
        <v>3</v>
      </c>
      <c r="H71" s="47">
        <v>21</v>
      </c>
      <c r="I71" s="47">
        <f t="shared" si="5"/>
        <v>63</v>
      </c>
      <c r="J71" s="60">
        <v>26</v>
      </c>
      <c r="K71" s="60">
        <f t="shared" si="6"/>
        <v>1638</v>
      </c>
      <c r="M71" s="35">
        <f>SUM(K67:K71)</f>
        <v>8116.5</v>
      </c>
      <c r="N71" s="57"/>
    </row>
    <row r="72" s="23" customFormat="1" spans="1:14">
      <c r="A72" s="39">
        <v>45371</v>
      </c>
      <c r="B72" s="40">
        <v>58</v>
      </c>
      <c r="C72" s="91" t="s">
        <v>19</v>
      </c>
      <c r="D72" s="33"/>
      <c r="E72" s="33"/>
      <c r="F72" s="42" t="s">
        <v>20</v>
      </c>
      <c r="G72" s="35">
        <v>1</v>
      </c>
      <c r="H72" s="35">
        <v>23</v>
      </c>
      <c r="I72" s="35">
        <f t="shared" si="5"/>
        <v>23</v>
      </c>
      <c r="J72" s="56">
        <v>23.5</v>
      </c>
      <c r="K72" s="56">
        <f t="shared" si="6"/>
        <v>540.5</v>
      </c>
      <c r="L72" s="21" t="s">
        <v>21</v>
      </c>
      <c r="M72" s="35"/>
      <c r="N72" s="21"/>
    </row>
    <row r="73" s="23" customFormat="1" spans="1:14">
      <c r="A73" s="39">
        <v>45371</v>
      </c>
      <c r="B73" s="40">
        <v>58</v>
      </c>
      <c r="C73" s="91" t="s">
        <v>19</v>
      </c>
      <c r="D73" s="33"/>
      <c r="E73" s="33"/>
      <c r="F73" s="42" t="s">
        <v>20</v>
      </c>
      <c r="G73" s="35">
        <v>1</v>
      </c>
      <c r="H73" s="35">
        <v>22</v>
      </c>
      <c r="I73" s="35">
        <f t="shared" si="5"/>
        <v>22</v>
      </c>
      <c r="J73" s="56">
        <v>23.5</v>
      </c>
      <c r="K73" s="56">
        <f t="shared" si="6"/>
        <v>517</v>
      </c>
      <c r="L73" s="21" t="s">
        <v>21</v>
      </c>
      <c r="M73" s="35"/>
      <c r="N73" s="21"/>
    </row>
    <row r="74" s="23" customFormat="1" spans="1:14">
      <c r="A74" s="39">
        <v>45371</v>
      </c>
      <c r="B74" s="40">
        <v>58</v>
      </c>
      <c r="C74" s="33"/>
      <c r="D74" s="33"/>
      <c r="E74" s="33"/>
      <c r="F74" s="42" t="s">
        <v>22</v>
      </c>
      <c r="G74" s="35">
        <v>5</v>
      </c>
      <c r="H74" s="35">
        <v>25</v>
      </c>
      <c r="I74" s="35">
        <f t="shared" si="5"/>
        <v>125</v>
      </c>
      <c r="J74" s="56">
        <v>18.5</v>
      </c>
      <c r="K74" s="56">
        <f t="shared" si="6"/>
        <v>2312.5</v>
      </c>
      <c r="L74" s="21"/>
      <c r="M74" s="35"/>
      <c r="N74" s="21"/>
    </row>
    <row r="75" s="26" customFormat="1" spans="1:14">
      <c r="A75" s="39">
        <v>45371</v>
      </c>
      <c r="B75" s="40">
        <v>58</v>
      </c>
      <c r="C75" s="33" t="s">
        <v>31</v>
      </c>
      <c r="D75" s="33"/>
      <c r="E75" s="33"/>
      <c r="F75" s="48" t="s">
        <v>32</v>
      </c>
      <c r="G75" s="35">
        <v>2</v>
      </c>
      <c r="H75" s="35">
        <v>25</v>
      </c>
      <c r="I75" s="35">
        <f t="shared" si="5"/>
        <v>50</v>
      </c>
      <c r="J75" s="56">
        <v>18.5</v>
      </c>
      <c r="K75" s="56">
        <f t="shared" si="6"/>
        <v>925</v>
      </c>
      <c r="L75" s="21"/>
      <c r="M75" s="35"/>
      <c r="N75" s="21"/>
    </row>
    <row r="76" s="23" customFormat="1" spans="1:16384">
      <c r="A76" s="39">
        <v>45371</v>
      </c>
      <c r="B76" s="40">
        <v>58</v>
      </c>
      <c r="C76" s="33"/>
      <c r="D76" s="33"/>
      <c r="E76" s="33"/>
      <c r="F76" s="42" t="s">
        <v>23</v>
      </c>
      <c r="G76" s="35">
        <v>8</v>
      </c>
      <c r="H76" s="35">
        <v>20</v>
      </c>
      <c r="I76" s="35">
        <f t="shared" si="5"/>
        <v>160</v>
      </c>
      <c r="J76" s="56">
        <v>17.5</v>
      </c>
      <c r="K76" s="56">
        <f t="shared" si="6"/>
        <v>2800</v>
      </c>
      <c r="L76" s="35"/>
      <c r="M76" s="21"/>
      <c r="XFD76" s="21"/>
    </row>
    <row r="77" s="23" customFormat="1" spans="1:16384">
      <c r="A77" s="39">
        <v>45371</v>
      </c>
      <c r="B77" s="40">
        <v>58</v>
      </c>
      <c r="C77" s="33"/>
      <c r="D77" s="33"/>
      <c r="E77" s="33"/>
      <c r="F77" s="42" t="s">
        <v>34</v>
      </c>
      <c r="G77" s="35">
        <v>3</v>
      </c>
      <c r="H77" s="35">
        <v>10</v>
      </c>
      <c r="I77" s="35">
        <f t="shared" si="5"/>
        <v>30</v>
      </c>
      <c r="J77" s="56">
        <v>17.5</v>
      </c>
      <c r="K77" s="56">
        <f t="shared" si="6"/>
        <v>525</v>
      </c>
      <c r="L77" s="35"/>
      <c r="M77" s="21">
        <f>SUM(K72:K77)</f>
        <v>7620</v>
      </c>
      <c r="XFD77" s="21"/>
    </row>
    <row r="78" s="25" customFormat="1" spans="1:14">
      <c r="A78" s="43">
        <v>45379</v>
      </c>
      <c r="B78" s="44">
        <v>60</v>
      </c>
      <c r="C78" s="45" t="s">
        <v>14</v>
      </c>
      <c r="D78" s="45"/>
      <c r="E78" s="45"/>
      <c r="F78" s="46" t="s">
        <v>15</v>
      </c>
      <c r="G78" s="47">
        <v>15</v>
      </c>
      <c r="H78" s="47">
        <v>28</v>
      </c>
      <c r="I78" s="47">
        <f t="shared" si="5"/>
        <v>420</v>
      </c>
      <c r="J78" s="60">
        <v>9.5</v>
      </c>
      <c r="K78" s="60">
        <f t="shared" si="6"/>
        <v>3990</v>
      </c>
      <c r="L78" s="24"/>
      <c r="M78" s="47"/>
      <c r="N78" s="24"/>
    </row>
    <row r="79" s="25" customFormat="1" spans="1:15">
      <c r="A79" s="43">
        <v>45379</v>
      </c>
      <c r="B79" s="44">
        <v>60</v>
      </c>
      <c r="C79" s="45" t="s">
        <v>40</v>
      </c>
      <c r="D79" s="45"/>
      <c r="E79" s="45"/>
      <c r="F79" s="46" t="s">
        <v>30</v>
      </c>
      <c r="G79" s="47">
        <v>5</v>
      </c>
      <c r="H79" s="47">
        <v>22</v>
      </c>
      <c r="I79" s="47">
        <f t="shared" si="5"/>
        <v>110</v>
      </c>
      <c r="J79" s="60">
        <v>14.5</v>
      </c>
      <c r="K79" s="60">
        <f t="shared" si="6"/>
        <v>1595</v>
      </c>
      <c r="L79" s="24" t="s">
        <v>40</v>
      </c>
      <c r="M79" s="47"/>
      <c r="N79" s="24"/>
      <c r="O79" s="25">
        <f>SUM(K78:K79)</f>
        <v>5585</v>
      </c>
    </row>
    <row r="80" s="21" customFormat="1" spans="1:14">
      <c r="A80" s="39">
        <v>45383</v>
      </c>
      <c r="B80" s="40">
        <v>1</v>
      </c>
      <c r="C80" s="33" t="s">
        <v>26</v>
      </c>
      <c r="D80" s="33"/>
      <c r="E80" s="33"/>
      <c r="F80" s="42" t="s">
        <v>27</v>
      </c>
      <c r="G80" s="35">
        <v>2</v>
      </c>
      <c r="H80" s="35">
        <v>21</v>
      </c>
      <c r="I80" s="35">
        <f t="shared" si="5"/>
        <v>42</v>
      </c>
      <c r="J80" s="56">
        <v>26</v>
      </c>
      <c r="K80" s="56">
        <f t="shared" si="6"/>
        <v>1092</v>
      </c>
      <c r="L80" s="148" t="s">
        <v>45</v>
      </c>
      <c r="M80" s="35"/>
      <c r="N80" s="57"/>
    </row>
    <row r="81" s="23" customFormat="1" spans="1:16384">
      <c r="A81" s="39">
        <v>45383</v>
      </c>
      <c r="B81" s="40">
        <v>1</v>
      </c>
      <c r="C81" s="33"/>
      <c r="D81" s="33"/>
      <c r="E81" s="33"/>
      <c r="F81" s="42" t="s">
        <v>23</v>
      </c>
      <c r="G81" s="35">
        <v>2</v>
      </c>
      <c r="H81" s="35">
        <v>20</v>
      </c>
      <c r="I81" s="35">
        <f t="shared" si="5"/>
        <v>40</v>
      </c>
      <c r="J81" s="56">
        <v>17.5</v>
      </c>
      <c r="K81" s="56">
        <f t="shared" si="6"/>
        <v>700</v>
      </c>
      <c r="L81" s="35"/>
      <c r="M81" s="21">
        <f>SUM(K80:K81)</f>
        <v>1792</v>
      </c>
      <c r="XFD81" s="21"/>
    </row>
    <row r="82" s="25" customFormat="1" spans="1:14">
      <c r="A82" s="43">
        <v>45384</v>
      </c>
      <c r="B82" s="44">
        <v>3</v>
      </c>
      <c r="C82" s="45"/>
      <c r="D82" s="45"/>
      <c r="E82" s="45"/>
      <c r="F82" s="46" t="s">
        <v>22</v>
      </c>
      <c r="G82" s="47">
        <v>6</v>
      </c>
      <c r="H82" s="47">
        <v>26</v>
      </c>
      <c r="I82" s="47">
        <f t="shared" si="5"/>
        <v>156</v>
      </c>
      <c r="J82" s="60">
        <v>18.5</v>
      </c>
      <c r="K82" s="60">
        <f t="shared" si="6"/>
        <v>2886</v>
      </c>
      <c r="L82" s="24"/>
      <c r="M82" s="47"/>
      <c r="N82" s="24"/>
    </row>
    <row r="83" s="27" customFormat="1" spans="1:14">
      <c r="A83" s="43">
        <v>45384</v>
      </c>
      <c r="B83" s="44">
        <v>3</v>
      </c>
      <c r="C83" s="45" t="s">
        <v>31</v>
      </c>
      <c r="D83" s="45"/>
      <c r="E83" s="45"/>
      <c r="F83" s="52" t="s">
        <v>32</v>
      </c>
      <c r="G83" s="47">
        <v>1</v>
      </c>
      <c r="H83" s="47">
        <v>26</v>
      </c>
      <c r="I83" s="47">
        <f t="shared" si="5"/>
        <v>26</v>
      </c>
      <c r="J83" s="60">
        <v>18.5</v>
      </c>
      <c r="K83" s="60">
        <f t="shared" si="6"/>
        <v>481</v>
      </c>
      <c r="L83" s="24"/>
      <c r="M83" s="47"/>
      <c r="N83" s="24"/>
    </row>
    <row r="84" s="27" customFormat="1" spans="1:14">
      <c r="A84" s="43">
        <v>45384</v>
      </c>
      <c r="B84" s="44">
        <v>3</v>
      </c>
      <c r="C84" s="45" t="s">
        <v>31</v>
      </c>
      <c r="D84" s="45"/>
      <c r="E84" s="45"/>
      <c r="F84" s="52" t="s">
        <v>32</v>
      </c>
      <c r="G84" s="47">
        <v>1</v>
      </c>
      <c r="H84" s="47">
        <v>25</v>
      </c>
      <c r="I84" s="47">
        <f t="shared" si="5"/>
        <v>25</v>
      </c>
      <c r="J84" s="60">
        <v>18.5</v>
      </c>
      <c r="K84" s="60">
        <f t="shared" si="6"/>
        <v>462.5</v>
      </c>
      <c r="L84" s="24"/>
      <c r="M84" s="47"/>
      <c r="N84" s="24"/>
    </row>
    <row r="85" s="25" customFormat="1" spans="1:16384">
      <c r="A85" s="43">
        <v>45384</v>
      </c>
      <c r="B85" s="44">
        <v>3</v>
      </c>
      <c r="C85" s="45"/>
      <c r="D85" s="45"/>
      <c r="E85" s="45"/>
      <c r="F85" s="46" t="s">
        <v>23</v>
      </c>
      <c r="G85" s="47">
        <v>7</v>
      </c>
      <c r="H85" s="47">
        <v>20</v>
      </c>
      <c r="I85" s="47">
        <f t="shared" si="5"/>
        <v>140</v>
      </c>
      <c r="J85" s="60">
        <v>17.5</v>
      </c>
      <c r="K85" s="60">
        <f t="shared" si="6"/>
        <v>2450</v>
      </c>
      <c r="L85" s="47"/>
      <c r="M85" s="24"/>
      <c r="XFD85" s="24"/>
    </row>
    <row r="86" s="25" customFormat="1" spans="1:16384">
      <c r="A86" s="43">
        <v>45384</v>
      </c>
      <c r="B86" s="44">
        <v>3</v>
      </c>
      <c r="C86" s="45"/>
      <c r="D86" s="45"/>
      <c r="E86" s="45"/>
      <c r="F86" s="46" t="s">
        <v>34</v>
      </c>
      <c r="G86" s="47">
        <v>2</v>
      </c>
      <c r="H86" s="47">
        <v>10</v>
      </c>
      <c r="I86" s="47">
        <f t="shared" si="5"/>
        <v>20</v>
      </c>
      <c r="J86" s="60">
        <v>17.5</v>
      </c>
      <c r="K86" s="60">
        <f t="shared" si="6"/>
        <v>350</v>
      </c>
      <c r="L86" s="47"/>
      <c r="M86" s="24">
        <f>SUM(K82:K86)</f>
        <v>6629.5</v>
      </c>
      <c r="XFD86" s="24"/>
    </row>
    <row r="87" s="23" customFormat="1" spans="1:14">
      <c r="A87" s="39">
        <v>45391</v>
      </c>
      <c r="B87" s="40">
        <v>26</v>
      </c>
      <c r="C87" s="33" t="s">
        <v>17</v>
      </c>
      <c r="D87" s="33"/>
      <c r="E87" s="33"/>
      <c r="F87" s="42" t="s">
        <v>18</v>
      </c>
      <c r="G87" s="35">
        <v>3</v>
      </c>
      <c r="H87" s="35">
        <v>20</v>
      </c>
      <c r="I87" s="35">
        <f t="shared" si="5"/>
        <v>60</v>
      </c>
      <c r="J87" s="56">
        <v>26</v>
      </c>
      <c r="K87" s="56">
        <f t="shared" si="6"/>
        <v>1560</v>
      </c>
      <c r="L87" s="21"/>
      <c r="M87" s="35"/>
      <c r="N87" s="21"/>
    </row>
    <row r="88" s="23" customFormat="1" spans="1:16384">
      <c r="A88" s="39">
        <v>45391</v>
      </c>
      <c r="B88" s="40">
        <v>26</v>
      </c>
      <c r="C88" s="33"/>
      <c r="D88" s="33"/>
      <c r="E88" s="33"/>
      <c r="F88" s="42" t="s">
        <v>23</v>
      </c>
      <c r="G88" s="35">
        <v>3</v>
      </c>
      <c r="H88" s="35">
        <v>20</v>
      </c>
      <c r="I88" s="35">
        <f t="shared" si="5"/>
        <v>60</v>
      </c>
      <c r="J88" s="56">
        <v>17.5</v>
      </c>
      <c r="K88" s="56">
        <f t="shared" si="6"/>
        <v>1050</v>
      </c>
      <c r="L88" s="35"/>
      <c r="M88" s="21"/>
      <c r="XFD88" s="21"/>
    </row>
    <row r="89" s="23" customFormat="1" spans="1:16384">
      <c r="A89" s="39">
        <v>45391</v>
      </c>
      <c r="B89" s="40">
        <v>26</v>
      </c>
      <c r="C89" s="33"/>
      <c r="D89" s="33"/>
      <c r="E89" s="33"/>
      <c r="F89" s="42" t="s">
        <v>23</v>
      </c>
      <c r="G89" s="35">
        <v>4</v>
      </c>
      <c r="H89" s="35">
        <v>20</v>
      </c>
      <c r="I89" s="35">
        <f t="shared" si="5"/>
        <v>80</v>
      </c>
      <c r="J89" s="56"/>
      <c r="K89" s="56">
        <f t="shared" si="6"/>
        <v>0</v>
      </c>
      <c r="L89" s="42" t="s">
        <v>46</v>
      </c>
      <c r="M89" s="21"/>
      <c r="XFD89" s="21"/>
    </row>
    <row r="90" s="26" customFormat="1" spans="1:14">
      <c r="A90" s="39">
        <v>45351</v>
      </c>
      <c r="B90" s="40">
        <v>10</v>
      </c>
      <c r="C90" s="33">
        <v>3527</v>
      </c>
      <c r="D90" s="33"/>
      <c r="E90" s="33"/>
      <c r="F90" s="42" t="s">
        <v>24</v>
      </c>
      <c r="G90" s="35">
        <v>1</v>
      </c>
      <c r="H90" s="35">
        <v>26</v>
      </c>
      <c r="I90" s="35">
        <f t="shared" si="5"/>
        <v>26</v>
      </c>
      <c r="J90" s="56">
        <v>23.5</v>
      </c>
      <c r="K90" s="56">
        <f t="shared" si="6"/>
        <v>611</v>
      </c>
      <c r="L90" s="21"/>
      <c r="M90" s="47"/>
      <c r="N90" s="21"/>
    </row>
    <row r="91" s="26" customFormat="1" spans="1:14">
      <c r="A91" s="39">
        <v>45351</v>
      </c>
      <c r="B91" s="40">
        <v>10</v>
      </c>
      <c r="C91" s="33">
        <v>3527</v>
      </c>
      <c r="D91" s="33"/>
      <c r="E91" s="33"/>
      <c r="F91" s="42" t="s">
        <v>24</v>
      </c>
      <c r="G91" s="35">
        <v>2</v>
      </c>
      <c r="H91" s="35">
        <v>25</v>
      </c>
      <c r="I91" s="35">
        <f t="shared" si="5"/>
        <v>50</v>
      </c>
      <c r="J91" s="56">
        <v>23.5</v>
      </c>
      <c r="K91" s="56">
        <f t="shared" si="6"/>
        <v>1175</v>
      </c>
      <c r="L91" s="21"/>
      <c r="M91" s="47"/>
      <c r="N91" s="21"/>
    </row>
    <row r="92" s="25" customFormat="1" spans="1:16384">
      <c r="A92" s="43">
        <v>45384</v>
      </c>
      <c r="B92" s="44">
        <v>3</v>
      </c>
      <c r="C92" s="45"/>
      <c r="D92" s="45"/>
      <c r="E92" s="45"/>
      <c r="F92" s="46" t="s">
        <v>23</v>
      </c>
      <c r="G92" s="47">
        <v>3</v>
      </c>
      <c r="H92" s="47">
        <v>20</v>
      </c>
      <c r="I92" s="47">
        <f t="shared" si="5"/>
        <v>60</v>
      </c>
      <c r="J92" s="60">
        <v>17.5</v>
      </c>
      <c r="K92" s="60">
        <f t="shared" si="6"/>
        <v>1050</v>
      </c>
      <c r="L92" s="47"/>
      <c r="M92" s="24"/>
      <c r="XFD92" s="24"/>
    </row>
    <row r="93" s="23" customFormat="1" spans="1:14">
      <c r="A93" s="39">
        <v>45405</v>
      </c>
      <c r="B93" s="40">
        <v>77</v>
      </c>
      <c r="C93" s="33" t="s">
        <v>14</v>
      </c>
      <c r="D93" s="33"/>
      <c r="E93" s="33"/>
      <c r="F93" s="42" t="s">
        <v>15</v>
      </c>
      <c r="G93" s="35">
        <v>10</v>
      </c>
      <c r="H93" s="35">
        <v>28</v>
      </c>
      <c r="I93" s="35">
        <f t="shared" si="5"/>
        <v>280</v>
      </c>
      <c r="J93" s="56">
        <v>9.5</v>
      </c>
      <c r="K93" s="56">
        <f t="shared" si="6"/>
        <v>2660</v>
      </c>
      <c r="L93" s="21"/>
      <c r="M93" s="35"/>
      <c r="N93" s="21"/>
    </row>
    <row r="94" s="25" customFormat="1" spans="1:14">
      <c r="A94" s="43">
        <v>45407</v>
      </c>
      <c r="B94" s="44">
        <v>84</v>
      </c>
      <c r="C94" s="54" t="s">
        <v>19</v>
      </c>
      <c r="D94" s="45"/>
      <c r="E94" s="45"/>
      <c r="F94" s="46" t="s">
        <v>20</v>
      </c>
      <c r="G94" s="47">
        <v>2</v>
      </c>
      <c r="H94" s="47">
        <v>25</v>
      </c>
      <c r="I94" s="47">
        <f t="shared" si="5"/>
        <v>50</v>
      </c>
      <c r="J94" s="60">
        <v>23.5</v>
      </c>
      <c r="K94" s="60">
        <f t="shared" si="6"/>
        <v>1175</v>
      </c>
      <c r="L94" s="24" t="s">
        <v>21</v>
      </c>
      <c r="M94" s="47"/>
      <c r="N94" s="24"/>
    </row>
    <row r="95" s="25" customFormat="1" spans="1:16384">
      <c r="A95" s="43">
        <v>45407</v>
      </c>
      <c r="B95" s="44">
        <v>84</v>
      </c>
      <c r="C95" s="45"/>
      <c r="D95" s="45"/>
      <c r="E95" s="45"/>
      <c r="F95" s="46" t="s">
        <v>23</v>
      </c>
      <c r="G95" s="47">
        <v>2</v>
      </c>
      <c r="H95" s="47">
        <v>20</v>
      </c>
      <c r="I95" s="47">
        <f t="shared" si="5"/>
        <v>40</v>
      </c>
      <c r="J95" s="60">
        <v>17.5</v>
      </c>
      <c r="K95" s="60">
        <f t="shared" si="6"/>
        <v>700</v>
      </c>
      <c r="L95" s="47"/>
      <c r="M95" s="24"/>
      <c r="XFD95" s="24"/>
    </row>
    <row r="96" s="23" customFormat="1" spans="1:14">
      <c r="A96" s="39">
        <v>45411</v>
      </c>
      <c r="B96" s="40">
        <v>97</v>
      </c>
      <c r="C96" s="50"/>
      <c r="D96" s="50"/>
      <c r="E96" s="50"/>
      <c r="F96" s="69" t="s">
        <v>22</v>
      </c>
      <c r="G96" s="68">
        <v>1</v>
      </c>
      <c r="H96" s="68">
        <v>26</v>
      </c>
      <c r="I96" s="68">
        <f t="shared" si="5"/>
        <v>26</v>
      </c>
      <c r="J96" s="81">
        <v>18.5</v>
      </c>
      <c r="K96" s="81">
        <f t="shared" si="6"/>
        <v>481</v>
      </c>
      <c r="L96" s="21"/>
      <c r="M96" s="35"/>
      <c r="N96" s="21"/>
    </row>
    <row r="97" s="23" customFormat="1" spans="1:16384">
      <c r="A97" s="39">
        <v>45411</v>
      </c>
      <c r="B97" s="40">
        <v>97</v>
      </c>
      <c r="C97" s="50"/>
      <c r="D97" s="50"/>
      <c r="E97" s="50"/>
      <c r="F97" s="69" t="s">
        <v>23</v>
      </c>
      <c r="G97" s="68">
        <v>1</v>
      </c>
      <c r="H97" s="68">
        <v>20</v>
      </c>
      <c r="I97" s="68">
        <f t="shared" si="5"/>
        <v>20</v>
      </c>
      <c r="J97" s="81">
        <v>17.5</v>
      </c>
      <c r="K97" s="81">
        <f t="shared" si="6"/>
        <v>350</v>
      </c>
      <c r="L97" s="35"/>
      <c r="M97" s="21"/>
      <c r="XFD97" s="21"/>
    </row>
    <row r="98" s="21" customFormat="1" spans="1:14">
      <c r="A98" s="39">
        <v>45411</v>
      </c>
      <c r="B98" s="40">
        <v>97</v>
      </c>
      <c r="C98" s="50" t="s">
        <v>47</v>
      </c>
      <c r="D98" s="50"/>
      <c r="E98" s="50"/>
      <c r="F98" s="69" t="s">
        <v>48</v>
      </c>
      <c r="G98" s="68">
        <v>1</v>
      </c>
      <c r="H98" s="68">
        <v>180</v>
      </c>
      <c r="I98" s="68">
        <f t="shared" si="5"/>
        <v>180</v>
      </c>
      <c r="J98" s="81">
        <v>9.2</v>
      </c>
      <c r="K98" s="81">
        <f t="shared" si="6"/>
        <v>1656</v>
      </c>
      <c r="L98" s="57" t="s">
        <v>49</v>
      </c>
      <c r="M98" s="35">
        <f>SUM(K96:K98)</f>
        <v>2487</v>
      </c>
      <c r="N98" s="57"/>
    </row>
    <row r="99" s="27" customFormat="1" spans="1:14">
      <c r="A99" s="43">
        <v>45412</v>
      </c>
      <c r="B99" s="44">
        <v>105</v>
      </c>
      <c r="C99" s="45" t="s">
        <v>50</v>
      </c>
      <c r="D99" s="45"/>
      <c r="E99" s="45"/>
      <c r="F99" s="46" t="s">
        <v>24</v>
      </c>
      <c r="G99" s="47">
        <v>3</v>
      </c>
      <c r="H99" s="47">
        <v>26</v>
      </c>
      <c r="I99" s="47">
        <f t="shared" si="5"/>
        <v>78</v>
      </c>
      <c r="J99" s="60">
        <v>23.5</v>
      </c>
      <c r="K99" s="60">
        <f t="shared" si="6"/>
        <v>1833</v>
      </c>
      <c r="L99" s="24" t="s">
        <v>51</v>
      </c>
      <c r="M99" s="47"/>
      <c r="N99" s="24"/>
    </row>
    <row r="100" s="25" customFormat="1" spans="1:16384">
      <c r="A100" s="43">
        <v>45412</v>
      </c>
      <c r="B100" s="44">
        <v>105</v>
      </c>
      <c r="C100" s="45"/>
      <c r="D100" s="45"/>
      <c r="E100" s="45"/>
      <c r="F100" s="46" t="s">
        <v>23</v>
      </c>
      <c r="G100" s="47">
        <v>5</v>
      </c>
      <c r="H100" s="47">
        <v>20</v>
      </c>
      <c r="I100" s="47">
        <f t="shared" si="5"/>
        <v>100</v>
      </c>
      <c r="J100" s="60">
        <v>17.5</v>
      </c>
      <c r="K100" s="60">
        <f t="shared" si="6"/>
        <v>1750</v>
      </c>
      <c r="L100" s="47"/>
      <c r="M100" s="24"/>
      <c r="XFD100" s="24"/>
    </row>
    <row r="101" s="24" customFormat="1" spans="1:14">
      <c r="A101" s="43">
        <v>45412</v>
      </c>
      <c r="B101" s="44">
        <v>105</v>
      </c>
      <c r="C101" s="45">
        <v>3528</v>
      </c>
      <c r="D101" s="45"/>
      <c r="E101" s="45"/>
      <c r="F101" s="46" t="s">
        <v>16</v>
      </c>
      <c r="G101" s="47">
        <v>2</v>
      </c>
      <c r="H101" s="47">
        <v>20</v>
      </c>
      <c r="I101" s="47">
        <f t="shared" si="5"/>
        <v>40</v>
      </c>
      <c r="J101" s="60">
        <v>26</v>
      </c>
      <c r="K101" s="60">
        <f t="shared" si="6"/>
        <v>1040</v>
      </c>
      <c r="M101" s="47">
        <f>SUM(K97:K101)</f>
        <v>6629</v>
      </c>
      <c r="N101" s="61"/>
    </row>
    <row r="102" s="21" customFormat="1" spans="1:14">
      <c r="A102" s="39">
        <v>45417</v>
      </c>
      <c r="B102" s="40">
        <v>2</v>
      </c>
      <c r="C102" s="33" t="s">
        <v>52</v>
      </c>
      <c r="D102" s="33"/>
      <c r="E102" s="33"/>
      <c r="F102" s="41" t="s">
        <v>53</v>
      </c>
      <c r="G102" s="35">
        <v>1</v>
      </c>
      <c r="H102" s="35">
        <v>25</v>
      </c>
      <c r="I102" s="35">
        <f t="shared" si="5"/>
        <v>25</v>
      </c>
      <c r="J102" s="56">
        <v>26</v>
      </c>
      <c r="K102" s="56">
        <f t="shared" si="6"/>
        <v>650</v>
      </c>
      <c r="L102" s="57"/>
      <c r="M102" s="35"/>
      <c r="N102" s="57"/>
    </row>
    <row r="103" s="26" customFormat="1" spans="1:14">
      <c r="A103" s="39">
        <v>45417</v>
      </c>
      <c r="B103" s="40">
        <v>2</v>
      </c>
      <c r="C103" s="33">
        <v>24056</v>
      </c>
      <c r="D103" s="33"/>
      <c r="E103" s="33"/>
      <c r="F103" s="42" t="s">
        <v>54</v>
      </c>
      <c r="G103" s="35">
        <v>1</v>
      </c>
      <c r="H103" s="35">
        <v>25</v>
      </c>
      <c r="I103" s="35">
        <f t="shared" si="5"/>
        <v>25</v>
      </c>
      <c r="J103" s="56">
        <v>23.5</v>
      </c>
      <c r="K103" s="56">
        <f t="shared" si="6"/>
        <v>587.5</v>
      </c>
      <c r="L103" s="21" t="s">
        <v>55</v>
      </c>
      <c r="M103" s="35"/>
      <c r="N103" s="21"/>
    </row>
    <row r="104" s="26" customFormat="1" spans="1:14">
      <c r="A104" s="39">
        <v>45417</v>
      </c>
      <c r="B104" s="40">
        <v>2</v>
      </c>
      <c r="C104" s="33">
        <v>24055</v>
      </c>
      <c r="D104" s="33"/>
      <c r="E104" s="33"/>
      <c r="F104" s="48" t="s">
        <v>56</v>
      </c>
      <c r="G104" s="35">
        <v>1</v>
      </c>
      <c r="H104" s="35">
        <v>25</v>
      </c>
      <c r="I104" s="35">
        <f t="shared" si="5"/>
        <v>25</v>
      </c>
      <c r="J104" s="56">
        <v>18.5</v>
      </c>
      <c r="K104" s="56">
        <f t="shared" si="6"/>
        <v>462.5</v>
      </c>
      <c r="L104" s="21" t="s">
        <v>57</v>
      </c>
      <c r="M104" s="35"/>
      <c r="N104" s="21"/>
    </row>
    <row r="105" s="23" customFormat="1" spans="1:16384">
      <c r="A105" s="39">
        <v>45417</v>
      </c>
      <c r="B105" s="40">
        <v>2</v>
      </c>
      <c r="C105" s="33"/>
      <c r="D105" s="33"/>
      <c r="E105" s="33"/>
      <c r="F105" s="42" t="s">
        <v>23</v>
      </c>
      <c r="G105" s="35">
        <v>1</v>
      </c>
      <c r="H105" s="35">
        <v>20</v>
      </c>
      <c r="I105" s="35">
        <f t="shared" si="5"/>
        <v>20</v>
      </c>
      <c r="J105" s="56">
        <v>17.5</v>
      </c>
      <c r="K105" s="56">
        <f t="shared" si="6"/>
        <v>350</v>
      </c>
      <c r="L105" s="35"/>
      <c r="M105" s="21"/>
      <c r="XFD105" s="21"/>
    </row>
    <row r="106" s="23" customFormat="1" spans="1:14">
      <c r="A106" s="39">
        <v>45417</v>
      </c>
      <c r="B106" s="40">
        <v>2</v>
      </c>
      <c r="C106" s="33" t="s">
        <v>14</v>
      </c>
      <c r="D106" s="33"/>
      <c r="E106" s="33"/>
      <c r="F106" s="42" t="s">
        <v>15</v>
      </c>
      <c r="G106" s="35">
        <v>10</v>
      </c>
      <c r="H106" s="35">
        <v>28</v>
      </c>
      <c r="I106" s="35">
        <f t="shared" si="5"/>
        <v>280</v>
      </c>
      <c r="J106" s="56">
        <v>9.5</v>
      </c>
      <c r="K106" s="56">
        <f t="shared" si="6"/>
        <v>2660</v>
      </c>
      <c r="L106" s="21"/>
      <c r="M106" s="42">
        <f>SUM(K102:K106)</f>
        <v>4710</v>
      </c>
      <c r="N106" s="21"/>
    </row>
    <row r="107" s="24" customFormat="1" spans="1:14">
      <c r="A107" s="43">
        <v>45422</v>
      </c>
      <c r="B107" s="44">
        <v>19</v>
      </c>
      <c r="C107" s="45" t="s">
        <v>26</v>
      </c>
      <c r="D107" s="45"/>
      <c r="E107" s="45"/>
      <c r="F107" s="46" t="s">
        <v>27</v>
      </c>
      <c r="G107" s="47">
        <v>2</v>
      </c>
      <c r="H107" s="47">
        <v>20</v>
      </c>
      <c r="I107" s="47">
        <f t="shared" si="5"/>
        <v>40</v>
      </c>
      <c r="J107" s="60">
        <v>26</v>
      </c>
      <c r="K107" s="60">
        <f t="shared" si="6"/>
        <v>1040</v>
      </c>
      <c r="L107" s="61"/>
      <c r="M107" s="47"/>
      <c r="N107" s="61"/>
    </row>
    <row r="108" s="27" customFormat="1" spans="1:14">
      <c r="A108" s="43">
        <v>45422</v>
      </c>
      <c r="B108" s="44">
        <v>19</v>
      </c>
      <c r="C108" s="45">
        <v>24055</v>
      </c>
      <c r="D108" s="45"/>
      <c r="E108" s="45"/>
      <c r="F108" s="52" t="s">
        <v>56</v>
      </c>
      <c r="G108" s="47">
        <v>4</v>
      </c>
      <c r="H108" s="47">
        <v>25</v>
      </c>
      <c r="I108" s="47">
        <f t="shared" si="5"/>
        <v>100</v>
      </c>
      <c r="J108" s="60">
        <v>18.5</v>
      </c>
      <c r="K108" s="60">
        <f t="shared" si="6"/>
        <v>1850</v>
      </c>
      <c r="L108" s="24" t="s">
        <v>57</v>
      </c>
      <c r="M108" s="47"/>
      <c r="N108" s="24"/>
    </row>
    <row r="109" s="23" customFormat="1" spans="1:16384">
      <c r="A109" s="43">
        <v>45422</v>
      </c>
      <c r="B109" s="44">
        <v>19</v>
      </c>
      <c r="C109" s="45"/>
      <c r="D109" s="45"/>
      <c r="E109" s="45"/>
      <c r="F109" s="46" t="s">
        <v>23</v>
      </c>
      <c r="G109" s="47">
        <v>5</v>
      </c>
      <c r="H109" s="47">
        <v>20</v>
      </c>
      <c r="I109" s="47">
        <f t="shared" si="5"/>
        <v>100</v>
      </c>
      <c r="J109" s="60">
        <v>17.5</v>
      </c>
      <c r="K109" s="60">
        <f t="shared" si="6"/>
        <v>1750</v>
      </c>
      <c r="L109" s="35"/>
      <c r="M109" s="46">
        <f>SUM(K107:K109)</f>
        <v>4640</v>
      </c>
      <c r="XFD109" s="21"/>
    </row>
    <row r="110" s="21" customFormat="1" spans="1:14">
      <c r="A110" s="39">
        <v>45426</v>
      </c>
      <c r="B110" s="40">
        <v>35</v>
      </c>
      <c r="C110" s="33" t="s">
        <v>47</v>
      </c>
      <c r="D110" s="33"/>
      <c r="E110" s="33"/>
      <c r="F110" s="42" t="s">
        <v>48</v>
      </c>
      <c r="G110" s="35">
        <v>1</v>
      </c>
      <c r="H110" s="35">
        <v>180</v>
      </c>
      <c r="I110" s="35">
        <f t="shared" si="5"/>
        <v>180</v>
      </c>
      <c r="J110" s="56">
        <v>9.2</v>
      </c>
      <c r="K110" s="56">
        <f t="shared" si="6"/>
        <v>1656</v>
      </c>
      <c r="L110" s="57"/>
      <c r="M110" s="35">
        <f>SUM(K108:K110)</f>
        <v>5256</v>
      </c>
      <c r="N110" s="57"/>
    </row>
    <row r="111" s="24" customFormat="1" spans="1:14">
      <c r="A111" s="43">
        <v>45427</v>
      </c>
      <c r="B111" s="44">
        <v>38</v>
      </c>
      <c r="C111" s="45">
        <v>240514</v>
      </c>
      <c r="D111" s="45"/>
      <c r="E111" s="45"/>
      <c r="F111" s="90" t="s">
        <v>41</v>
      </c>
      <c r="G111" s="47">
        <v>1</v>
      </c>
      <c r="H111" s="47">
        <v>5</v>
      </c>
      <c r="I111" s="47">
        <f t="shared" si="5"/>
        <v>5</v>
      </c>
      <c r="J111" s="60">
        <v>18.5</v>
      </c>
      <c r="K111" s="60">
        <f t="shared" si="6"/>
        <v>92.5</v>
      </c>
      <c r="L111" s="65" t="s">
        <v>58</v>
      </c>
      <c r="M111" s="47" t="s">
        <v>59</v>
      </c>
      <c r="N111" s="61"/>
    </row>
    <row r="112" s="24" customFormat="1" spans="1:14">
      <c r="A112" s="43">
        <v>45427</v>
      </c>
      <c r="B112" s="44">
        <v>38</v>
      </c>
      <c r="C112" s="45">
        <v>240513</v>
      </c>
      <c r="D112" s="45"/>
      <c r="E112" s="45"/>
      <c r="F112" s="90" t="s">
        <v>60</v>
      </c>
      <c r="G112" s="47">
        <v>1</v>
      </c>
      <c r="H112" s="47">
        <v>5</v>
      </c>
      <c r="I112" s="47">
        <f t="shared" si="5"/>
        <v>5</v>
      </c>
      <c r="J112" s="60">
        <v>26</v>
      </c>
      <c r="K112" s="60">
        <f t="shared" si="6"/>
        <v>130</v>
      </c>
      <c r="L112" s="65" t="s">
        <v>58</v>
      </c>
      <c r="M112" s="47" t="s">
        <v>61</v>
      </c>
      <c r="N112" s="61"/>
    </row>
    <row r="113" s="24" customFormat="1" spans="1:14">
      <c r="A113" s="43">
        <v>45427</v>
      </c>
      <c r="B113" s="44">
        <v>38</v>
      </c>
      <c r="C113" s="45">
        <v>240512</v>
      </c>
      <c r="D113" s="45"/>
      <c r="E113" s="45"/>
      <c r="F113" s="90" t="s">
        <v>62</v>
      </c>
      <c r="G113" s="47">
        <v>1</v>
      </c>
      <c r="H113" s="47">
        <v>5</v>
      </c>
      <c r="I113" s="47">
        <f t="shared" si="5"/>
        <v>5</v>
      </c>
      <c r="J113" s="60">
        <v>26</v>
      </c>
      <c r="K113" s="60">
        <f t="shared" si="6"/>
        <v>130</v>
      </c>
      <c r="L113" s="65" t="s">
        <v>58</v>
      </c>
      <c r="M113" s="47" t="s">
        <v>63</v>
      </c>
      <c r="N113" s="86">
        <f>SUM(K111:K114)</f>
        <v>622.5</v>
      </c>
    </row>
    <row r="114" s="24" customFormat="1" spans="1:17">
      <c r="A114" s="43">
        <v>45427</v>
      </c>
      <c r="B114" s="44">
        <v>38</v>
      </c>
      <c r="C114" s="50" t="s">
        <v>64</v>
      </c>
      <c r="D114" s="50"/>
      <c r="E114" s="50"/>
      <c r="F114" s="90" t="s">
        <v>30</v>
      </c>
      <c r="G114" s="47">
        <v>1</v>
      </c>
      <c r="H114" s="47">
        <v>25</v>
      </c>
      <c r="I114" s="47">
        <f t="shared" si="5"/>
        <v>25</v>
      </c>
      <c r="J114" s="60">
        <v>10.8</v>
      </c>
      <c r="K114" s="60">
        <f t="shared" si="6"/>
        <v>270</v>
      </c>
      <c r="L114" s="5" t="s">
        <v>65</v>
      </c>
      <c r="M114" s="68"/>
      <c r="N114" s="86"/>
      <c r="O114" s="82"/>
      <c r="P114" s="82"/>
      <c r="Q114" s="82"/>
    </row>
    <row r="115" s="26" customFormat="1" spans="1:14">
      <c r="A115" s="39">
        <v>45430</v>
      </c>
      <c r="B115" s="40">
        <v>57</v>
      </c>
      <c r="C115" s="33">
        <v>24055</v>
      </c>
      <c r="D115" s="33"/>
      <c r="E115" s="33"/>
      <c r="F115" s="48" t="s">
        <v>56</v>
      </c>
      <c r="G115" s="35">
        <v>5</v>
      </c>
      <c r="H115" s="35">
        <v>25</v>
      </c>
      <c r="I115" s="35">
        <f t="shared" si="5"/>
        <v>125</v>
      </c>
      <c r="J115" s="56">
        <v>18.5</v>
      </c>
      <c r="K115" s="56">
        <f t="shared" si="6"/>
        <v>2312.5</v>
      </c>
      <c r="L115" s="21" t="s">
        <v>57</v>
      </c>
      <c r="M115" s="35"/>
      <c r="N115" s="21"/>
    </row>
    <row r="116" s="23" customFormat="1" spans="1:16384">
      <c r="A116" s="39">
        <v>45430</v>
      </c>
      <c r="B116" s="40">
        <v>57</v>
      </c>
      <c r="C116" s="33"/>
      <c r="D116" s="33"/>
      <c r="E116" s="33"/>
      <c r="F116" s="42" t="s">
        <v>23</v>
      </c>
      <c r="G116" s="35">
        <v>5</v>
      </c>
      <c r="H116" s="35">
        <v>20</v>
      </c>
      <c r="I116" s="35">
        <f t="shared" si="5"/>
        <v>100</v>
      </c>
      <c r="J116" s="56">
        <v>17.5</v>
      </c>
      <c r="K116" s="56">
        <f t="shared" si="6"/>
        <v>1750</v>
      </c>
      <c r="L116" s="35"/>
      <c r="M116" s="42">
        <f>SUM(K114:K116)</f>
        <v>4332.5</v>
      </c>
      <c r="XFD116" s="21"/>
    </row>
    <row r="117" s="27" customFormat="1" spans="1:14">
      <c r="A117" s="43">
        <v>45431</v>
      </c>
      <c r="B117" s="44">
        <v>61</v>
      </c>
      <c r="C117" s="45" t="s">
        <v>66</v>
      </c>
      <c r="D117" s="45"/>
      <c r="E117" s="45"/>
      <c r="F117" s="46" t="s">
        <v>24</v>
      </c>
      <c r="G117" s="47">
        <v>3</v>
      </c>
      <c r="H117" s="47">
        <v>25</v>
      </c>
      <c r="I117" s="47">
        <f t="shared" si="5"/>
        <v>75</v>
      </c>
      <c r="J117" s="60">
        <v>23.5</v>
      </c>
      <c r="K117" s="60">
        <f t="shared" si="6"/>
        <v>1762.5</v>
      </c>
      <c r="L117" s="24" t="s">
        <v>67</v>
      </c>
      <c r="M117" s="47"/>
      <c r="N117" s="24"/>
    </row>
    <row r="118" s="25" customFormat="1" spans="1:14">
      <c r="A118" s="43">
        <v>45431</v>
      </c>
      <c r="B118" s="44">
        <v>61</v>
      </c>
      <c r="C118" s="45" t="s">
        <v>14</v>
      </c>
      <c r="D118" s="45"/>
      <c r="E118" s="45"/>
      <c r="F118" s="46" t="s">
        <v>15</v>
      </c>
      <c r="G118" s="47">
        <v>10</v>
      </c>
      <c r="H118" s="47">
        <v>28</v>
      </c>
      <c r="I118" s="47">
        <f t="shared" si="5"/>
        <v>280</v>
      </c>
      <c r="J118" s="60">
        <v>9.5</v>
      </c>
      <c r="K118" s="60">
        <f t="shared" si="6"/>
        <v>2660</v>
      </c>
      <c r="L118" s="24"/>
      <c r="M118" s="46">
        <f>SUM(K117:K118)</f>
        <v>4422.5</v>
      </c>
      <c r="N118" s="24"/>
    </row>
    <row r="119" s="26" customFormat="1" spans="1:14">
      <c r="A119" s="39">
        <v>45434</v>
      </c>
      <c r="B119" s="40">
        <v>69</v>
      </c>
      <c r="C119" s="33" t="s">
        <v>31</v>
      </c>
      <c r="D119" s="33"/>
      <c r="E119" s="33"/>
      <c r="F119" s="48" t="s">
        <v>32</v>
      </c>
      <c r="G119" s="35">
        <v>1</v>
      </c>
      <c r="H119" s="35">
        <v>25</v>
      </c>
      <c r="I119" s="35">
        <f t="shared" si="5"/>
        <v>25</v>
      </c>
      <c r="J119" s="56">
        <v>18.5</v>
      </c>
      <c r="K119" s="56">
        <f t="shared" si="6"/>
        <v>462.5</v>
      </c>
      <c r="L119" s="26" t="s">
        <v>68</v>
      </c>
      <c r="M119" s="35"/>
      <c r="N119" s="21"/>
    </row>
    <row r="120" s="26" customFormat="1" spans="1:14">
      <c r="A120" s="39">
        <v>45434</v>
      </c>
      <c r="B120" s="40">
        <v>69</v>
      </c>
      <c r="C120" s="33">
        <v>24055</v>
      </c>
      <c r="D120" s="33"/>
      <c r="E120" s="33"/>
      <c r="F120" s="48" t="s">
        <v>56</v>
      </c>
      <c r="G120" s="35">
        <v>5</v>
      </c>
      <c r="H120" s="35">
        <v>25</v>
      </c>
      <c r="I120" s="35">
        <f t="shared" si="5"/>
        <v>125</v>
      </c>
      <c r="J120" s="56">
        <v>18.5</v>
      </c>
      <c r="K120" s="56">
        <f t="shared" si="6"/>
        <v>2312.5</v>
      </c>
      <c r="L120" s="26" t="s">
        <v>57</v>
      </c>
      <c r="M120" s="35"/>
      <c r="N120" s="21"/>
    </row>
    <row r="121" s="23" customFormat="1" spans="1:16384">
      <c r="A121" s="39">
        <v>45434</v>
      </c>
      <c r="B121" s="40">
        <v>69</v>
      </c>
      <c r="C121" s="33"/>
      <c r="D121" s="33"/>
      <c r="E121" s="33"/>
      <c r="F121" s="42" t="s">
        <v>23</v>
      </c>
      <c r="G121" s="35">
        <v>5</v>
      </c>
      <c r="H121" s="35">
        <v>20</v>
      </c>
      <c r="I121" s="35">
        <f t="shared" ref="I121:I127" si="7">G121*H121</f>
        <v>100</v>
      </c>
      <c r="J121" s="56">
        <v>17.5</v>
      </c>
      <c r="K121" s="56">
        <f t="shared" ref="K121:K127" si="8">I121*J121</f>
        <v>1750</v>
      </c>
      <c r="L121" s="35"/>
      <c r="M121" s="46">
        <f>SUM(K119:K122)</f>
        <v>4655</v>
      </c>
      <c r="XFD121" s="21"/>
    </row>
    <row r="122" s="21" customFormat="1" spans="1:13">
      <c r="A122" s="39">
        <v>45434</v>
      </c>
      <c r="B122" s="40">
        <v>69</v>
      </c>
      <c r="C122" s="33"/>
      <c r="D122" s="33"/>
      <c r="E122" s="33"/>
      <c r="F122" s="48" t="s">
        <v>69</v>
      </c>
      <c r="G122" s="35">
        <v>1</v>
      </c>
      <c r="H122" s="35">
        <v>5</v>
      </c>
      <c r="I122" s="35">
        <f t="shared" si="7"/>
        <v>5</v>
      </c>
      <c r="J122" s="56">
        <v>26</v>
      </c>
      <c r="K122" s="56">
        <f t="shared" si="8"/>
        <v>130</v>
      </c>
      <c r="L122" s="64" t="s">
        <v>70</v>
      </c>
      <c r="M122" s="47"/>
    </row>
    <row r="123" s="24" customFormat="1" spans="1:14">
      <c r="A123" s="43">
        <v>45439</v>
      </c>
      <c r="B123" s="44">
        <v>77</v>
      </c>
      <c r="C123" s="45">
        <v>3528</v>
      </c>
      <c r="D123" s="45"/>
      <c r="E123" s="45"/>
      <c r="F123" s="46" t="s">
        <v>16</v>
      </c>
      <c r="G123" s="47">
        <v>3</v>
      </c>
      <c r="H123" s="47">
        <v>20</v>
      </c>
      <c r="I123" s="47">
        <f t="shared" si="7"/>
        <v>60</v>
      </c>
      <c r="J123" s="60">
        <v>26</v>
      </c>
      <c r="K123" s="60">
        <f t="shared" si="8"/>
        <v>1560</v>
      </c>
      <c r="M123" s="47">
        <f>SUM(K119:K123)</f>
        <v>6215</v>
      </c>
      <c r="N123" s="61"/>
    </row>
    <row r="124" s="24" customFormat="1" spans="1:13">
      <c r="A124" s="43">
        <v>45439</v>
      </c>
      <c r="B124" s="44">
        <v>77</v>
      </c>
      <c r="C124" s="45"/>
      <c r="D124" s="45"/>
      <c r="E124" s="45"/>
      <c r="F124" s="52" t="s">
        <v>35</v>
      </c>
      <c r="G124" s="47">
        <v>3</v>
      </c>
      <c r="H124" s="47">
        <v>20</v>
      </c>
      <c r="I124" s="47">
        <f t="shared" si="7"/>
        <v>60</v>
      </c>
      <c r="J124" s="60">
        <v>28</v>
      </c>
      <c r="K124" s="60">
        <f t="shared" si="8"/>
        <v>1680</v>
      </c>
      <c r="M124" s="47"/>
    </row>
    <row r="125" s="24" customFormat="1" spans="1:12">
      <c r="A125" s="43">
        <v>45439</v>
      </c>
      <c r="B125" s="44">
        <v>77</v>
      </c>
      <c r="C125" s="45"/>
      <c r="D125" s="45"/>
      <c r="E125" s="45"/>
      <c r="F125" s="46" t="s">
        <v>36</v>
      </c>
      <c r="G125" s="47">
        <v>3</v>
      </c>
      <c r="H125" s="47">
        <v>22</v>
      </c>
      <c r="I125" s="47">
        <f t="shared" si="7"/>
        <v>66</v>
      </c>
      <c r="J125" s="60">
        <v>26</v>
      </c>
      <c r="K125" s="60">
        <f t="shared" si="8"/>
        <v>1716</v>
      </c>
      <c r="L125" s="47"/>
    </row>
    <row r="126" s="24" customFormat="1" spans="1:14">
      <c r="A126" s="43">
        <v>45439</v>
      </c>
      <c r="B126" s="44">
        <v>77</v>
      </c>
      <c r="C126" s="45"/>
      <c r="D126" s="45"/>
      <c r="E126" s="45"/>
      <c r="F126" s="46" t="s">
        <v>23</v>
      </c>
      <c r="G126" s="47">
        <v>3</v>
      </c>
      <c r="H126" s="47">
        <v>20</v>
      </c>
      <c r="I126" s="47">
        <f t="shared" si="7"/>
        <v>60</v>
      </c>
      <c r="J126" s="60">
        <v>17.5</v>
      </c>
      <c r="K126" s="60">
        <f t="shared" si="8"/>
        <v>1050</v>
      </c>
      <c r="L126" s="45"/>
      <c r="N126" s="61"/>
    </row>
    <row r="127" s="24" customFormat="1" spans="1:14">
      <c r="A127" s="43">
        <v>45439</v>
      </c>
      <c r="B127" s="44">
        <v>77</v>
      </c>
      <c r="C127" s="45" t="s">
        <v>47</v>
      </c>
      <c r="D127" s="45"/>
      <c r="E127" s="45"/>
      <c r="F127" s="46" t="s">
        <v>48</v>
      </c>
      <c r="G127" s="47">
        <v>1</v>
      </c>
      <c r="H127" s="47">
        <v>180</v>
      </c>
      <c r="I127" s="47">
        <f t="shared" si="7"/>
        <v>180</v>
      </c>
      <c r="J127" s="60">
        <v>9.2</v>
      </c>
      <c r="K127" s="60">
        <f t="shared" si="8"/>
        <v>1656</v>
      </c>
      <c r="L127" s="61"/>
      <c r="M127" s="46">
        <f>SUM(K123:K127)</f>
        <v>7662</v>
      </c>
      <c r="N127" s="61"/>
    </row>
    <row r="128" s="24" customFormat="1" spans="1:17">
      <c r="A128" s="39">
        <v>45446</v>
      </c>
      <c r="B128" s="40">
        <v>6</v>
      </c>
      <c r="C128" s="33" t="s">
        <v>64</v>
      </c>
      <c r="D128" s="33"/>
      <c r="E128" s="33"/>
      <c r="F128" s="41" t="s">
        <v>30</v>
      </c>
      <c r="G128" s="35">
        <v>2</v>
      </c>
      <c r="H128" s="35">
        <v>25</v>
      </c>
      <c r="I128" s="35">
        <f t="shared" ref="I128:I141" si="9">G128*H128</f>
        <v>50</v>
      </c>
      <c r="J128" s="56">
        <v>10.8</v>
      </c>
      <c r="K128" s="56">
        <f t="shared" ref="K128:K141" si="10">I128*J128</f>
        <v>540</v>
      </c>
      <c r="L128" s="5" t="s">
        <v>65</v>
      </c>
      <c r="M128" s="68"/>
      <c r="N128" s="86"/>
      <c r="O128" s="82"/>
      <c r="P128" s="82"/>
      <c r="Q128" s="82"/>
    </row>
    <row r="129" s="23" customFormat="1" spans="1:14">
      <c r="A129" s="39">
        <v>45446</v>
      </c>
      <c r="B129" s="40">
        <v>6</v>
      </c>
      <c r="C129" s="33" t="s">
        <v>14</v>
      </c>
      <c r="D129" s="33"/>
      <c r="E129" s="33"/>
      <c r="F129" s="42" t="s">
        <v>15</v>
      </c>
      <c r="G129" s="35">
        <v>5</v>
      </c>
      <c r="H129" s="35">
        <v>28</v>
      </c>
      <c r="I129" s="35">
        <f t="shared" si="9"/>
        <v>140</v>
      </c>
      <c r="J129" s="56">
        <v>9.5</v>
      </c>
      <c r="K129" s="56">
        <f t="shared" si="10"/>
        <v>1330</v>
      </c>
      <c r="L129" s="21"/>
      <c r="M129" s="42">
        <f>SUM(K126:K129)</f>
        <v>4576</v>
      </c>
      <c r="N129" s="21"/>
    </row>
    <row r="130" s="25" customFormat="1" spans="1:14">
      <c r="A130" s="39">
        <v>45446</v>
      </c>
      <c r="B130" s="40">
        <v>6</v>
      </c>
      <c r="C130" s="91" t="s">
        <v>19</v>
      </c>
      <c r="D130" s="33"/>
      <c r="E130" s="33"/>
      <c r="F130" s="42" t="s">
        <v>20</v>
      </c>
      <c r="G130" s="35">
        <v>2</v>
      </c>
      <c r="H130" s="35">
        <v>24</v>
      </c>
      <c r="I130" s="35">
        <f t="shared" si="9"/>
        <v>48</v>
      </c>
      <c r="J130" s="56">
        <v>23.5</v>
      </c>
      <c r="K130" s="56">
        <f t="shared" si="10"/>
        <v>1128</v>
      </c>
      <c r="L130" s="24" t="s">
        <v>21</v>
      </c>
      <c r="M130" s="47"/>
      <c r="N130" s="24"/>
    </row>
    <row r="131" s="24" customFormat="1" spans="1:13">
      <c r="A131" s="43">
        <v>45451</v>
      </c>
      <c r="B131" s="44">
        <v>29</v>
      </c>
      <c r="C131" s="45"/>
      <c r="D131" s="45"/>
      <c r="E131" s="45"/>
      <c r="F131" s="52" t="s">
        <v>69</v>
      </c>
      <c r="G131" s="47">
        <v>1</v>
      </c>
      <c r="H131" s="47">
        <v>5</v>
      </c>
      <c r="I131" s="47">
        <f t="shared" si="9"/>
        <v>5</v>
      </c>
      <c r="J131" s="60">
        <v>26</v>
      </c>
      <c r="K131" s="60">
        <f t="shared" si="10"/>
        <v>130</v>
      </c>
      <c r="L131" s="65" t="s">
        <v>71</v>
      </c>
      <c r="M131" s="47"/>
    </row>
    <row r="132" s="24" customFormat="1" spans="1:14">
      <c r="A132" s="43">
        <v>45451</v>
      </c>
      <c r="B132" s="44">
        <v>29</v>
      </c>
      <c r="C132" s="45">
        <v>3528</v>
      </c>
      <c r="D132" s="45"/>
      <c r="E132" s="45"/>
      <c r="F132" s="46" t="s">
        <v>16</v>
      </c>
      <c r="G132" s="47">
        <v>3</v>
      </c>
      <c r="H132" s="47">
        <v>20</v>
      </c>
      <c r="I132" s="47">
        <f t="shared" si="9"/>
        <v>60</v>
      </c>
      <c r="J132" s="60">
        <v>26</v>
      </c>
      <c r="K132" s="60">
        <f t="shared" si="10"/>
        <v>1560</v>
      </c>
      <c r="M132" s="47"/>
      <c r="N132" s="61"/>
    </row>
    <row r="133" s="24" customFormat="1" spans="1:14">
      <c r="A133" s="43">
        <v>45451</v>
      </c>
      <c r="B133" s="44">
        <v>29</v>
      </c>
      <c r="C133" s="45"/>
      <c r="D133" s="45"/>
      <c r="E133" s="45"/>
      <c r="F133" s="46" t="s">
        <v>23</v>
      </c>
      <c r="G133" s="47">
        <v>2</v>
      </c>
      <c r="H133" s="47">
        <v>20</v>
      </c>
      <c r="I133" s="47">
        <f t="shared" si="9"/>
        <v>40</v>
      </c>
      <c r="J133" s="60">
        <v>17.5</v>
      </c>
      <c r="K133" s="60">
        <f t="shared" si="10"/>
        <v>700</v>
      </c>
      <c r="L133" s="45"/>
      <c r="N133" s="61"/>
    </row>
    <row r="134" s="24" customFormat="1" spans="1:14">
      <c r="A134" s="43">
        <v>45451</v>
      </c>
      <c r="B134" s="44">
        <v>29</v>
      </c>
      <c r="C134" s="45"/>
      <c r="D134" s="45"/>
      <c r="E134" s="45"/>
      <c r="F134" s="46" t="s">
        <v>34</v>
      </c>
      <c r="G134" s="47">
        <v>1</v>
      </c>
      <c r="H134" s="47">
        <v>10</v>
      </c>
      <c r="I134" s="47">
        <f t="shared" si="9"/>
        <v>10</v>
      </c>
      <c r="J134" s="60">
        <v>17.5</v>
      </c>
      <c r="K134" s="60">
        <f t="shared" si="10"/>
        <v>175</v>
      </c>
      <c r="L134" s="45"/>
      <c r="N134" s="61"/>
    </row>
    <row r="135" s="24" customFormat="1" spans="1:14">
      <c r="A135" s="43">
        <v>45451</v>
      </c>
      <c r="B135" s="44">
        <v>29</v>
      </c>
      <c r="C135" s="45" t="s">
        <v>47</v>
      </c>
      <c r="D135" s="45"/>
      <c r="E135" s="45"/>
      <c r="F135" s="46" t="s">
        <v>48</v>
      </c>
      <c r="G135" s="47">
        <v>1</v>
      </c>
      <c r="H135" s="47">
        <v>180</v>
      </c>
      <c r="I135" s="47">
        <f t="shared" si="9"/>
        <v>180</v>
      </c>
      <c r="J135" s="60">
        <v>9.2</v>
      </c>
      <c r="K135" s="60">
        <f t="shared" si="10"/>
        <v>1656</v>
      </c>
      <c r="L135" s="61"/>
      <c r="M135" s="46">
        <f>SUM(K131:K135)</f>
        <v>4221</v>
      </c>
      <c r="N135" s="61"/>
    </row>
    <row r="136" s="26" customFormat="1" spans="1:14">
      <c r="A136" s="39">
        <v>45457</v>
      </c>
      <c r="B136" s="40">
        <v>38</v>
      </c>
      <c r="C136" s="33">
        <v>24055</v>
      </c>
      <c r="D136" s="33"/>
      <c r="E136" s="33"/>
      <c r="F136" s="48" t="s">
        <v>56</v>
      </c>
      <c r="G136" s="35">
        <v>4</v>
      </c>
      <c r="H136" s="35">
        <v>25</v>
      </c>
      <c r="I136" s="35">
        <f t="shared" si="9"/>
        <v>100</v>
      </c>
      <c r="J136" s="56">
        <v>18.5</v>
      </c>
      <c r="K136" s="56">
        <f t="shared" si="10"/>
        <v>1850</v>
      </c>
      <c r="L136" s="26" t="s">
        <v>57</v>
      </c>
      <c r="M136" s="35"/>
      <c r="N136" s="21"/>
    </row>
    <row r="137" s="26" customFormat="1" spans="1:14">
      <c r="A137" s="39">
        <v>45457</v>
      </c>
      <c r="B137" s="40">
        <v>38</v>
      </c>
      <c r="C137" s="33">
        <v>24055</v>
      </c>
      <c r="D137" s="33"/>
      <c r="E137" s="33"/>
      <c r="F137" s="48" t="s">
        <v>56</v>
      </c>
      <c r="G137" s="35">
        <v>1</v>
      </c>
      <c r="H137" s="35">
        <v>26</v>
      </c>
      <c r="I137" s="35">
        <f t="shared" si="9"/>
        <v>26</v>
      </c>
      <c r="J137" s="56">
        <v>18.5</v>
      </c>
      <c r="K137" s="56">
        <f t="shared" si="10"/>
        <v>481</v>
      </c>
      <c r="L137" s="26" t="s">
        <v>57</v>
      </c>
      <c r="M137" s="35"/>
      <c r="N137" s="21"/>
    </row>
    <row r="138" s="24" customFormat="1" spans="1:12">
      <c r="A138" s="43">
        <v>45462</v>
      </c>
      <c r="B138" s="44">
        <v>51</v>
      </c>
      <c r="C138" s="45"/>
      <c r="D138" s="45"/>
      <c r="E138" s="45"/>
      <c r="F138" s="46" t="s">
        <v>36</v>
      </c>
      <c r="G138" s="47">
        <v>3</v>
      </c>
      <c r="H138" s="47">
        <v>20</v>
      </c>
      <c r="I138" s="47">
        <f t="shared" si="9"/>
        <v>60</v>
      </c>
      <c r="J138" s="60">
        <v>26</v>
      </c>
      <c r="K138" s="60">
        <f t="shared" si="10"/>
        <v>1560</v>
      </c>
      <c r="L138" s="47"/>
    </row>
    <row r="139" s="25" customFormat="1" spans="1:14">
      <c r="A139" s="43">
        <v>45462</v>
      </c>
      <c r="B139" s="44">
        <v>51</v>
      </c>
      <c r="C139" s="47" t="s">
        <v>17</v>
      </c>
      <c r="D139" s="47"/>
      <c r="E139" s="47"/>
      <c r="F139" s="46" t="s">
        <v>18</v>
      </c>
      <c r="G139" s="47">
        <v>2</v>
      </c>
      <c r="H139" s="47">
        <v>20</v>
      </c>
      <c r="I139" s="47">
        <f t="shared" si="9"/>
        <v>40</v>
      </c>
      <c r="J139" s="60">
        <v>26</v>
      </c>
      <c r="K139" s="60">
        <f t="shared" si="10"/>
        <v>1040</v>
      </c>
      <c r="L139" s="24"/>
      <c r="M139" s="47"/>
      <c r="N139" s="24"/>
    </row>
    <row r="140" s="24" customFormat="1" spans="1:12">
      <c r="A140" s="43">
        <v>45462</v>
      </c>
      <c r="B140" s="44">
        <v>51</v>
      </c>
      <c r="C140" s="47"/>
      <c r="D140" s="47"/>
      <c r="E140" s="47"/>
      <c r="F140" s="46" t="s">
        <v>23</v>
      </c>
      <c r="G140" s="47">
        <v>6</v>
      </c>
      <c r="H140" s="47">
        <v>20</v>
      </c>
      <c r="I140" s="47">
        <f t="shared" si="9"/>
        <v>120</v>
      </c>
      <c r="J140" s="60">
        <v>17.5</v>
      </c>
      <c r="K140" s="60">
        <f t="shared" si="10"/>
        <v>2100</v>
      </c>
      <c r="L140" s="47"/>
    </row>
    <row r="141" s="23" customFormat="1" spans="1:14">
      <c r="A141" s="43">
        <v>45462</v>
      </c>
      <c r="B141" s="44">
        <v>51</v>
      </c>
      <c r="C141" s="45" t="s">
        <v>14</v>
      </c>
      <c r="D141" s="45"/>
      <c r="E141" s="45"/>
      <c r="F141" s="46" t="s">
        <v>15</v>
      </c>
      <c r="G141" s="47">
        <v>5</v>
      </c>
      <c r="H141" s="47">
        <v>28</v>
      </c>
      <c r="I141" s="47">
        <f t="shared" si="9"/>
        <v>140</v>
      </c>
      <c r="J141" s="60">
        <v>9.5</v>
      </c>
      <c r="K141" s="60">
        <f t="shared" si="10"/>
        <v>1330</v>
      </c>
      <c r="L141" s="21"/>
      <c r="M141" s="42">
        <f>SUM(K138:K141)</f>
        <v>6030</v>
      </c>
      <c r="N141" s="21"/>
    </row>
    <row r="142" s="26" customFormat="1" spans="1:14">
      <c r="A142" s="39">
        <v>45467</v>
      </c>
      <c r="B142" s="40">
        <v>70</v>
      </c>
      <c r="C142" s="33">
        <v>24055</v>
      </c>
      <c r="D142" s="33"/>
      <c r="E142" s="33"/>
      <c r="F142" s="48" t="s">
        <v>56</v>
      </c>
      <c r="G142" s="35">
        <v>5</v>
      </c>
      <c r="H142" s="35">
        <v>25</v>
      </c>
      <c r="I142" s="35">
        <f t="shared" ref="I142:I202" si="11">G142*H142</f>
        <v>125</v>
      </c>
      <c r="J142" s="56">
        <v>18.5</v>
      </c>
      <c r="K142" s="56">
        <f t="shared" ref="K142:K202" si="12">I142*J142</f>
        <v>2312.5</v>
      </c>
      <c r="L142" s="26" t="s">
        <v>57</v>
      </c>
      <c r="M142" s="35"/>
      <c r="N142" s="21"/>
    </row>
    <row r="143" s="21" customFormat="1" spans="1:14">
      <c r="A143" s="39">
        <v>45467</v>
      </c>
      <c r="B143" s="40">
        <v>70</v>
      </c>
      <c r="C143" s="33" t="s">
        <v>26</v>
      </c>
      <c r="D143" s="33"/>
      <c r="E143" s="33"/>
      <c r="F143" s="42" t="s">
        <v>27</v>
      </c>
      <c r="G143" s="35">
        <v>3</v>
      </c>
      <c r="H143" s="35">
        <v>20</v>
      </c>
      <c r="I143" s="35">
        <f t="shared" si="11"/>
        <v>60</v>
      </c>
      <c r="J143" s="56">
        <v>26</v>
      </c>
      <c r="K143" s="56">
        <f t="shared" si="12"/>
        <v>1560</v>
      </c>
      <c r="L143" s="57"/>
      <c r="M143" s="35"/>
      <c r="N143" s="57"/>
    </row>
    <row r="144" s="23" customFormat="1" spans="1:17">
      <c r="A144" s="39">
        <v>45467</v>
      </c>
      <c r="B144" s="40">
        <v>70</v>
      </c>
      <c r="C144" s="33"/>
      <c r="D144" s="33"/>
      <c r="E144" s="33"/>
      <c r="F144" s="48" t="s">
        <v>69</v>
      </c>
      <c r="G144" s="35">
        <v>3</v>
      </c>
      <c r="H144" s="35">
        <v>20</v>
      </c>
      <c r="I144" s="35">
        <f t="shared" si="11"/>
        <v>60</v>
      </c>
      <c r="J144" s="56">
        <v>26</v>
      </c>
      <c r="K144" s="56">
        <f t="shared" si="12"/>
        <v>1560</v>
      </c>
      <c r="L144" s="82" t="s">
        <v>72</v>
      </c>
      <c r="M144" s="42"/>
      <c r="N144" s="21">
        <f>SUM(K142:K144)</f>
        <v>5432.5</v>
      </c>
      <c r="O144" s="65" t="s">
        <v>71</v>
      </c>
      <c r="P144" s="47"/>
      <c r="Q144" s="24"/>
    </row>
    <row r="145" s="25" customFormat="1" spans="1:14">
      <c r="A145" s="43">
        <v>45471</v>
      </c>
      <c r="B145" s="44">
        <v>82</v>
      </c>
      <c r="C145" s="45">
        <v>625</v>
      </c>
      <c r="D145" s="45"/>
      <c r="E145" s="45"/>
      <c r="F145" s="46" t="s">
        <v>73</v>
      </c>
      <c r="G145" s="47">
        <v>1</v>
      </c>
      <c r="H145" s="47">
        <v>22</v>
      </c>
      <c r="I145" s="47">
        <f t="shared" si="11"/>
        <v>22</v>
      </c>
      <c r="J145" s="60">
        <v>23.5</v>
      </c>
      <c r="K145" s="60">
        <f t="shared" si="12"/>
        <v>517</v>
      </c>
      <c r="L145" s="24" t="s">
        <v>42</v>
      </c>
      <c r="M145" s="47">
        <f>SUM(K141:K145)</f>
        <v>7279.5</v>
      </c>
      <c r="N145" s="24"/>
    </row>
    <row r="146" s="24" customFormat="1" spans="1:12">
      <c r="A146" s="43">
        <v>45471</v>
      </c>
      <c r="B146" s="44">
        <v>82</v>
      </c>
      <c r="C146" s="47"/>
      <c r="D146" s="47"/>
      <c r="E146" s="47"/>
      <c r="F146" s="46" t="s">
        <v>23</v>
      </c>
      <c r="G146" s="47">
        <v>3</v>
      </c>
      <c r="H146" s="47">
        <v>20</v>
      </c>
      <c r="I146" s="47">
        <f t="shared" si="11"/>
        <v>60</v>
      </c>
      <c r="J146" s="60">
        <v>17.5</v>
      </c>
      <c r="K146" s="60">
        <f t="shared" si="12"/>
        <v>1050</v>
      </c>
      <c r="L146" s="47"/>
    </row>
    <row r="147" s="23" customFormat="1" spans="1:14">
      <c r="A147" s="39">
        <v>45479</v>
      </c>
      <c r="B147" s="40">
        <v>19</v>
      </c>
      <c r="C147" s="35" t="s">
        <v>17</v>
      </c>
      <c r="D147" s="35"/>
      <c r="E147" s="35"/>
      <c r="F147" s="42" t="s">
        <v>18</v>
      </c>
      <c r="G147" s="35">
        <v>2</v>
      </c>
      <c r="H147" s="35">
        <v>20</v>
      </c>
      <c r="I147" s="35">
        <f t="shared" si="11"/>
        <v>40</v>
      </c>
      <c r="J147" s="56">
        <v>26</v>
      </c>
      <c r="K147" s="56">
        <f t="shared" si="12"/>
        <v>1040</v>
      </c>
      <c r="L147" s="21"/>
      <c r="M147" s="35"/>
      <c r="N147" s="21"/>
    </row>
    <row r="148" s="21" customFormat="1" spans="1:12">
      <c r="A148" s="39">
        <v>45479</v>
      </c>
      <c r="B148" s="40">
        <v>19</v>
      </c>
      <c r="C148" s="35"/>
      <c r="D148" s="35"/>
      <c r="E148" s="35"/>
      <c r="F148" s="42" t="s">
        <v>23</v>
      </c>
      <c r="G148" s="35">
        <v>2</v>
      </c>
      <c r="H148" s="35">
        <v>20</v>
      </c>
      <c r="I148" s="35">
        <f t="shared" si="11"/>
        <v>40</v>
      </c>
      <c r="J148" s="56">
        <v>17.5</v>
      </c>
      <c r="K148" s="56">
        <f t="shared" si="12"/>
        <v>700</v>
      </c>
      <c r="L148" s="35"/>
    </row>
    <row r="149" s="23" customFormat="1" spans="1:14">
      <c r="A149" s="39">
        <v>45479</v>
      </c>
      <c r="B149" s="40">
        <v>19</v>
      </c>
      <c r="C149" s="33" t="s">
        <v>14</v>
      </c>
      <c r="D149" s="33"/>
      <c r="E149" s="33"/>
      <c r="F149" s="42" t="s">
        <v>15</v>
      </c>
      <c r="G149" s="35">
        <v>10</v>
      </c>
      <c r="H149" s="35">
        <v>28</v>
      </c>
      <c r="I149" s="35">
        <f t="shared" si="11"/>
        <v>280</v>
      </c>
      <c r="J149" s="56">
        <v>9.5</v>
      </c>
      <c r="K149" s="56">
        <f t="shared" si="12"/>
        <v>2660</v>
      </c>
      <c r="L149" s="21" t="s">
        <v>74</v>
      </c>
      <c r="M149" s="42">
        <f>SUM(K147:K149)</f>
        <v>4400</v>
      </c>
      <c r="N149" s="21"/>
    </row>
    <row r="150" s="27" customFormat="1" spans="1:14">
      <c r="A150" s="43">
        <v>45483</v>
      </c>
      <c r="B150" s="44">
        <v>32</v>
      </c>
      <c r="C150" s="45">
        <v>24055</v>
      </c>
      <c r="D150" s="45"/>
      <c r="E150" s="45"/>
      <c r="F150" s="52" t="s">
        <v>56</v>
      </c>
      <c r="G150" s="47">
        <v>5</v>
      </c>
      <c r="H150" s="47">
        <v>25</v>
      </c>
      <c r="I150" s="47">
        <f t="shared" si="11"/>
        <v>125</v>
      </c>
      <c r="J150" s="60">
        <v>18.5</v>
      </c>
      <c r="K150" s="60">
        <f t="shared" si="12"/>
        <v>2312.5</v>
      </c>
      <c r="L150" s="27" t="s">
        <v>57</v>
      </c>
      <c r="M150" s="47"/>
      <c r="N150" s="24"/>
    </row>
    <row r="151" s="24" customFormat="1" spans="1:12">
      <c r="A151" s="43">
        <v>45483</v>
      </c>
      <c r="B151" s="44">
        <v>32</v>
      </c>
      <c r="C151" s="47"/>
      <c r="D151" s="47"/>
      <c r="E151" s="47"/>
      <c r="F151" s="46" t="s">
        <v>23</v>
      </c>
      <c r="G151" s="47">
        <v>8</v>
      </c>
      <c r="H151" s="47">
        <v>20</v>
      </c>
      <c r="I151" s="47">
        <f t="shared" si="11"/>
        <v>160</v>
      </c>
      <c r="J151" s="60">
        <v>17.5</v>
      </c>
      <c r="K151" s="60">
        <f t="shared" si="12"/>
        <v>2800</v>
      </c>
      <c r="L151" s="47"/>
    </row>
    <row r="152" s="23" customFormat="1" spans="1:14">
      <c r="A152" s="39">
        <v>45486</v>
      </c>
      <c r="B152" s="40">
        <v>48</v>
      </c>
      <c r="C152" s="35" t="s">
        <v>29</v>
      </c>
      <c r="D152" s="35"/>
      <c r="E152" s="35"/>
      <c r="F152" s="42" t="s">
        <v>30</v>
      </c>
      <c r="G152" s="35">
        <v>3</v>
      </c>
      <c r="H152" s="35">
        <v>25</v>
      </c>
      <c r="I152" s="35">
        <f t="shared" si="11"/>
        <v>75</v>
      </c>
      <c r="J152" s="56">
        <v>10.8</v>
      </c>
      <c r="K152" s="56">
        <f t="shared" si="12"/>
        <v>810</v>
      </c>
      <c r="L152" s="21" t="s">
        <v>38</v>
      </c>
      <c r="M152" s="35"/>
      <c r="N152" s="21"/>
    </row>
    <row r="153" s="23" customFormat="1" spans="1:14">
      <c r="A153" s="39">
        <v>45486</v>
      </c>
      <c r="B153" s="40">
        <v>48</v>
      </c>
      <c r="C153" s="35" t="s">
        <v>14</v>
      </c>
      <c r="D153" s="35"/>
      <c r="E153" s="35"/>
      <c r="F153" s="42" t="s">
        <v>15</v>
      </c>
      <c r="G153" s="35">
        <v>11</v>
      </c>
      <c r="H153" s="35">
        <v>28</v>
      </c>
      <c r="I153" s="35">
        <f t="shared" si="11"/>
        <v>308</v>
      </c>
      <c r="J153" s="56">
        <v>9.5</v>
      </c>
      <c r="K153" s="56">
        <f t="shared" si="12"/>
        <v>2926</v>
      </c>
      <c r="L153" s="21" t="s">
        <v>74</v>
      </c>
      <c r="M153" s="42"/>
      <c r="N153" s="21"/>
    </row>
    <row r="154" spans="1:13">
      <c r="A154" s="39">
        <v>45486</v>
      </c>
      <c r="B154" s="40">
        <v>48</v>
      </c>
      <c r="C154" s="149" t="s">
        <v>19</v>
      </c>
      <c r="D154" s="35"/>
      <c r="E154" s="35"/>
      <c r="F154" s="42" t="s">
        <v>20</v>
      </c>
      <c r="G154" s="35">
        <v>1</v>
      </c>
      <c r="H154" s="35">
        <v>25</v>
      </c>
      <c r="I154" s="35">
        <f t="shared" si="11"/>
        <v>25</v>
      </c>
      <c r="J154" s="56">
        <v>23.5</v>
      </c>
      <c r="K154" s="56">
        <f t="shared" si="12"/>
        <v>587.5</v>
      </c>
      <c r="M154" s="57">
        <f>SUM(K152:K154)</f>
        <v>4323.5</v>
      </c>
    </row>
    <row r="155" s="24" customFormat="1" spans="1:14">
      <c r="A155" s="43">
        <v>45496</v>
      </c>
      <c r="B155" s="44">
        <v>77</v>
      </c>
      <c r="C155" s="45" t="s">
        <v>47</v>
      </c>
      <c r="D155" s="45"/>
      <c r="E155" s="45"/>
      <c r="F155" s="46" t="s">
        <v>48</v>
      </c>
      <c r="G155" s="47">
        <v>1</v>
      </c>
      <c r="H155" s="47">
        <v>180</v>
      </c>
      <c r="I155" s="47">
        <f t="shared" si="11"/>
        <v>180</v>
      </c>
      <c r="J155" s="60">
        <v>9.2</v>
      </c>
      <c r="K155" s="60">
        <f t="shared" si="12"/>
        <v>1656</v>
      </c>
      <c r="L155" s="61"/>
      <c r="M155" s="46"/>
      <c r="N155" s="61"/>
    </row>
    <row r="156" s="24" customFormat="1" spans="1:14">
      <c r="A156" s="43">
        <v>45496</v>
      </c>
      <c r="B156" s="44">
        <v>77</v>
      </c>
      <c r="C156" s="45" t="s">
        <v>26</v>
      </c>
      <c r="D156" s="45"/>
      <c r="E156" s="45"/>
      <c r="F156" s="46" t="s">
        <v>27</v>
      </c>
      <c r="G156" s="47">
        <v>2</v>
      </c>
      <c r="H156" s="47">
        <v>20</v>
      </c>
      <c r="I156" s="47">
        <f t="shared" si="11"/>
        <v>40</v>
      </c>
      <c r="J156" s="60">
        <v>26</v>
      </c>
      <c r="K156" s="60">
        <f t="shared" si="12"/>
        <v>1040</v>
      </c>
      <c r="L156" s="61"/>
      <c r="M156" s="46"/>
      <c r="N156" s="61"/>
    </row>
    <row r="157" s="24" customFormat="1" spans="1:14">
      <c r="A157" s="43">
        <v>45496</v>
      </c>
      <c r="B157" s="44">
        <v>77</v>
      </c>
      <c r="C157" s="45" t="s">
        <v>50</v>
      </c>
      <c r="D157" s="45"/>
      <c r="E157" s="45"/>
      <c r="F157" s="46" t="s">
        <v>24</v>
      </c>
      <c r="G157" s="47">
        <v>2</v>
      </c>
      <c r="H157" s="47">
        <v>25</v>
      </c>
      <c r="I157" s="47">
        <f t="shared" si="11"/>
        <v>50</v>
      </c>
      <c r="J157" s="60">
        <v>23.5</v>
      </c>
      <c r="K157" s="60">
        <f t="shared" si="12"/>
        <v>1175</v>
      </c>
      <c r="L157" s="61" t="s">
        <v>51</v>
      </c>
      <c r="M157" s="46"/>
      <c r="N157" s="61"/>
    </row>
    <row r="158" s="24" customFormat="1" spans="1:14">
      <c r="A158" s="43">
        <v>45496</v>
      </c>
      <c r="B158" s="44">
        <v>77</v>
      </c>
      <c r="C158" s="45"/>
      <c r="D158" s="45"/>
      <c r="E158" s="45"/>
      <c r="F158" s="46" t="s">
        <v>23</v>
      </c>
      <c r="G158" s="47">
        <v>3</v>
      </c>
      <c r="H158" s="47">
        <v>20</v>
      </c>
      <c r="I158" s="47">
        <f t="shared" si="11"/>
        <v>60</v>
      </c>
      <c r="J158" s="60">
        <v>17.5</v>
      </c>
      <c r="K158" s="60">
        <f t="shared" si="12"/>
        <v>1050</v>
      </c>
      <c r="L158" s="61"/>
      <c r="M158" s="46">
        <f>SUM(K155:K158)</f>
        <v>4921</v>
      </c>
      <c r="N158" s="61"/>
    </row>
    <row r="159" s="23" customFormat="1" spans="1:14">
      <c r="A159" s="39">
        <v>45500</v>
      </c>
      <c r="B159" s="40">
        <v>84</v>
      </c>
      <c r="C159" s="35" t="s">
        <v>14</v>
      </c>
      <c r="D159" s="35"/>
      <c r="E159" s="35"/>
      <c r="F159" s="42" t="s">
        <v>15</v>
      </c>
      <c r="G159" s="35">
        <v>10</v>
      </c>
      <c r="H159" s="35">
        <v>28</v>
      </c>
      <c r="I159" s="35">
        <f t="shared" si="11"/>
        <v>280</v>
      </c>
      <c r="J159" s="56">
        <v>9.5</v>
      </c>
      <c r="K159" s="56">
        <f t="shared" si="12"/>
        <v>2660</v>
      </c>
      <c r="L159" s="21" t="s">
        <v>74</v>
      </c>
      <c r="M159" s="42"/>
      <c r="N159" s="21"/>
    </row>
    <row r="160" s="26" customFormat="1" spans="1:14">
      <c r="A160" s="39">
        <v>45500</v>
      </c>
      <c r="B160" s="40">
        <v>84</v>
      </c>
      <c r="C160" s="33">
        <v>24055</v>
      </c>
      <c r="D160" s="33"/>
      <c r="E160" s="33"/>
      <c r="F160" s="48" t="s">
        <v>56</v>
      </c>
      <c r="G160" s="35">
        <v>5</v>
      </c>
      <c r="H160" s="35">
        <v>25</v>
      </c>
      <c r="I160" s="35">
        <f t="shared" si="11"/>
        <v>125</v>
      </c>
      <c r="J160" s="56">
        <v>18.5</v>
      </c>
      <c r="K160" s="56">
        <f t="shared" si="12"/>
        <v>2312.5</v>
      </c>
      <c r="L160" s="26" t="s">
        <v>57</v>
      </c>
      <c r="M160" s="35"/>
      <c r="N160" s="21"/>
    </row>
    <row r="161" s="23" customFormat="1" spans="1:17">
      <c r="A161" s="39">
        <v>45500</v>
      </c>
      <c r="B161" s="40">
        <v>84</v>
      </c>
      <c r="C161" s="33"/>
      <c r="D161" s="33"/>
      <c r="E161" s="33"/>
      <c r="F161" s="48" t="s">
        <v>69</v>
      </c>
      <c r="G161" s="35">
        <v>2</v>
      </c>
      <c r="H161" s="35">
        <v>20</v>
      </c>
      <c r="I161" s="35">
        <f t="shared" si="11"/>
        <v>40</v>
      </c>
      <c r="J161" s="56">
        <v>26</v>
      </c>
      <c r="K161" s="56">
        <f t="shared" si="12"/>
        <v>1040</v>
      </c>
      <c r="L161" s="21" t="s">
        <v>72</v>
      </c>
      <c r="M161" s="42"/>
      <c r="N161" s="21">
        <f>SUM(K159:K161)</f>
        <v>6012.5</v>
      </c>
      <c r="O161" s="64" t="s">
        <v>71</v>
      </c>
      <c r="P161" s="35"/>
      <c r="Q161" s="21"/>
    </row>
    <row r="162" s="23" customFormat="1" spans="1:16384">
      <c r="A162" s="39">
        <v>45500</v>
      </c>
      <c r="B162" s="40">
        <v>84</v>
      </c>
      <c r="C162" s="33"/>
      <c r="D162" s="33"/>
      <c r="E162" s="33"/>
      <c r="F162" s="42" t="s">
        <v>23</v>
      </c>
      <c r="G162" s="35">
        <v>5</v>
      </c>
      <c r="H162" s="35">
        <v>20</v>
      </c>
      <c r="I162" s="35">
        <f t="shared" si="11"/>
        <v>100</v>
      </c>
      <c r="J162" s="56">
        <v>17.5</v>
      </c>
      <c r="K162" s="56">
        <f t="shared" si="12"/>
        <v>1750</v>
      </c>
      <c r="L162" s="35"/>
      <c r="M162" s="21"/>
      <c r="N162" s="57"/>
      <c r="XFD162" s="21"/>
    </row>
    <row r="163" s="24" customFormat="1" spans="1:12">
      <c r="A163" s="39">
        <v>45500</v>
      </c>
      <c r="B163" s="40">
        <v>84</v>
      </c>
      <c r="C163" s="33"/>
      <c r="D163" s="33"/>
      <c r="E163" s="33"/>
      <c r="F163" s="42" t="s">
        <v>36</v>
      </c>
      <c r="G163" s="35">
        <v>1</v>
      </c>
      <c r="H163" s="35">
        <v>22</v>
      </c>
      <c r="I163" s="35">
        <f t="shared" si="11"/>
        <v>22</v>
      </c>
      <c r="J163" s="56">
        <v>26</v>
      </c>
      <c r="K163" s="56">
        <f t="shared" si="12"/>
        <v>572</v>
      </c>
      <c r="L163" s="47"/>
    </row>
    <row r="164" s="24" customFormat="1" spans="1:13">
      <c r="A164" s="39">
        <v>45500</v>
      </c>
      <c r="B164" s="40">
        <v>84</v>
      </c>
      <c r="C164" s="33"/>
      <c r="D164" s="33"/>
      <c r="E164" s="33"/>
      <c r="F164" s="42" t="s">
        <v>36</v>
      </c>
      <c r="G164" s="35">
        <v>1</v>
      </c>
      <c r="H164" s="35">
        <v>23</v>
      </c>
      <c r="I164" s="35">
        <f t="shared" si="11"/>
        <v>23</v>
      </c>
      <c r="J164" s="56">
        <v>26</v>
      </c>
      <c r="K164" s="56">
        <f t="shared" si="12"/>
        <v>598</v>
      </c>
      <c r="L164" s="47"/>
      <c r="M164" s="24">
        <f>SUM(K159:K165)</f>
        <v>9107.5</v>
      </c>
    </row>
    <row r="165" s="21" customFormat="1" spans="1:14">
      <c r="A165" s="39">
        <v>45500</v>
      </c>
      <c r="B165" s="40">
        <v>84</v>
      </c>
      <c r="C165" s="33"/>
      <c r="D165" s="33"/>
      <c r="E165" s="33"/>
      <c r="F165" s="42" t="s">
        <v>34</v>
      </c>
      <c r="G165" s="35">
        <v>1</v>
      </c>
      <c r="H165" s="35">
        <v>10</v>
      </c>
      <c r="I165" s="35">
        <f t="shared" si="11"/>
        <v>10</v>
      </c>
      <c r="J165" s="56">
        <v>17.5</v>
      </c>
      <c r="K165" s="56">
        <f t="shared" si="12"/>
        <v>175</v>
      </c>
      <c r="L165" s="33"/>
      <c r="N165" s="57"/>
    </row>
    <row r="166" s="24" customFormat="1" spans="1:14">
      <c r="A166" s="43">
        <v>45510</v>
      </c>
      <c r="B166" s="44">
        <v>10</v>
      </c>
      <c r="C166" s="45" t="s">
        <v>47</v>
      </c>
      <c r="D166" s="45"/>
      <c r="E166" s="45"/>
      <c r="F166" s="46" t="s">
        <v>48</v>
      </c>
      <c r="G166" s="47">
        <v>1</v>
      </c>
      <c r="H166" s="47">
        <v>180</v>
      </c>
      <c r="I166" s="47">
        <f t="shared" si="11"/>
        <v>180</v>
      </c>
      <c r="J166" s="60">
        <v>9.2</v>
      </c>
      <c r="K166" s="60">
        <f t="shared" si="12"/>
        <v>1656</v>
      </c>
      <c r="L166" s="61"/>
      <c r="M166" s="46"/>
      <c r="N166" s="61"/>
    </row>
    <row r="167" s="26" customFormat="1" spans="1:14">
      <c r="A167" s="39">
        <v>45517</v>
      </c>
      <c r="B167" s="40">
        <v>37</v>
      </c>
      <c r="C167" s="33" t="s">
        <v>31</v>
      </c>
      <c r="D167" s="33"/>
      <c r="E167" s="33"/>
      <c r="F167" s="48" t="s">
        <v>32</v>
      </c>
      <c r="G167" s="35">
        <v>1</v>
      </c>
      <c r="H167" s="35">
        <v>25</v>
      </c>
      <c r="I167" s="35">
        <f t="shared" si="11"/>
        <v>25</v>
      </c>
      <c r="J167" s="56">
        <v>18.5</v>
      </c>
      <c r="K167" s="56">
        <f t="shared" si="12"/>
        <v>462.5</v>
      </c>
      <c r="L167" s="21"/>
      <c r="M167" s="35"/>
      <c r="N167" s="21"/>
    </row>
    <row r="168" s="26" customFormat="1" spans="1:14">
      <c r="A168" s="39">
        <v>45517</v>
      </c>
      <c r="B168" s="40">
        <v>37</v>
      </c>
      <c r="C168" s="33">
        <v>24055</v>
      </c>
      <c r="D168" s="33"/>
      <c r="E168" s="33"/>
      <c r="F168" s="48" t="s">
        <v>56</v>
      </c>
      <c r="G168" s="35">
        <v>4</v>
      </c>
      <c r="H168" s="35">
        <v>25</v>
      </c>
      <c r="I168" s="35">
        <f t="shared" si="11"/>
        <v>100</v>
      </c>
      <c r="J168" s="56">
        <v>18.5</v>
      </c>
      <c r="K168" s="56">
        <f t="shared" si="12"/>
        <v>1850</v>
      </c>
      <c r="L168" s="26" t="s">
        <v>57</v>
      </c>
      <c r="M168" s="35"/>
      <c r="N168" s="21"/>
    </row>
    <row r="169" s="26" customFormat="1" spans="1:14">
      <c r="A169" s="39">
        <v>45517</v>
      </c>
      <c r="B169" s="40">
        <v>37</v>
      </c>
      <c r="C169" s="33">
        <v>24055</v>
      </c>
      <c r="D169" s="33"/>
      <c r="E169" s="33"/>
      <c r="F169" s="48" t="s">
        <v>56</v>
      </c>
      <c r="G169" s="35">
        <v>1</v>
      </c>
      <c r="H169" s="35">
        <v>26</v>
      </c>
      <c r="I169" s="35">
        <f t="shared" si="11"/>
        <v>26</v>
      </c>
      <c r="J169" s="56">
        <v>18.5</v>
      </c>
      <c r="K169" s="56">
        <f t="shared" si="12"/>
        <v>481</v>
      </c>
      <c r="L169" s="26" t="s">
        <v>57</v>
      </c>
      <c r="M169" s="35"/>
      <c r="N169" s="21"/>
    </row>
    <row r="170" s="23" customFormat="1" spans="1:16384">
      <c r="A170" s="39">
        <v>45517</v>
      </c>
      <c r="B170" s="40">
        <v>37</v>
      </c>
      <c r="C170" s="33"/>
      <c r="D170" s="33"/>
      <c r="E170" s="33"/>
      <c r="F170" s="42" t="s">
        <v>23</v>
      </c>
      <c r="G170" s="35">
        <v>5</v>
      </c>
      <c r="H170" s="35">
        <v>20</v>
      </c>
      <c r="I170" s="35">
        <f t="shared" si="11"/>
        <v>100</v>
      </c>
      <c r="J170" s="56">
        <v>17.5</v>
      </c>
      <c r="K170" s="56">
        <f t="shared" si="12"/>
        <v>1750</v>
      </c>
      <c r="L170" s="35"/>
      <c r="M170" s="21">
        <f>SUM(K167:K171)</f>
        <v>4718.5</v>
      </c>
      <c r="N170" s="57"/>
      <c r="XFD170" s="21"/>
    </row>
    <row r="171" s="21" customFormat="1" spans="1:14">
      <c r="A171" s="39">
        <v>45517</v>
      </c>
      <c r="B171" s="40">
        <v>37</v>
      </c>
      <c r="C171" s="33"/>
      <c r="D171" s="33"/>
      <c r="E171" s="33"/>
      <c r="F171" s="42" t="s">
        <v>34</v>
      </c>
      <c r="G171" s="35">
        <v>1</v>
      </c>
      <c r="H171" s="35">
        <v>10</v>
      </c>
      <c r="I171" s="35">
        <f t="shared" si="11"/>
        <v>10</v>
      </c>
      <c r="J171" s="56">
        <v>17.5</v>
      </c>
      <c r="K171" s="56">
        <f t="shared" si="12"/>
        <v>175</v>
      </c>
      <c r="L171" s="33"/>
      <c r="M171" s="57"/>
      <c r="N171" s="57"/>
    </row>
    <row r="172" s="27" customFormat="1" spans="1:14">
      <c r="A172" s="43">
        <v>45523</v>
      </c>
      <c r="B172" s="44">
        <v>63</v>
      </c>
      <c r="C172" s="45" t="s">
        <v>31</v>
      </c>
      <c r="D172" s="45"/>
      <c r="E172" s="45"/>
      <c r="F172" s="52" t="s">
        <v>32</v>
      </c>
      <c r="G172" s="47">
        <v>1</v>
      </c>
      <c r="H172" s="47">
        <v>25</v>
      </c>
      <c r="I172" s="47">
        <f t="shared" si="11"/>
        <v>25</v>
      </c>
      <c r="J172" s="60">
        <v>18.5</v>
      </c>
      <c r="K172" s="60">
        <f t="shared" si="12"/>
        <v>462.5</v>
      </c>
      <c r="L172" s="24"/>
      <c r="M172" s="47"/>
      <c r="N172" s="24"/>
    </row>
    <row r="173" s="23" customFormat="1" spans="1:14">
      <c r="A173" s="43">
        <v>45523</v>
      </c>
      <c r="B173" s="44">
        <v>63</v>
      </c>
      <c r="C173" s="47" t="s">
        <v>14</v>
      </c>
      <c r="D173" s="47"/>
      <c r="E173" s="47"/>
      <c r="F173" s="46" t="s">
        <v>15</v>
      </c>
      <c r="G173" s="47">
        <v>5</v>
      </c>
      <c r="H173" s="47">
        <v>28</v>
      </c>
      <c r="I173" s="47">
        <f t="shared" si="11"/>
        <v>140</v>
      </c>
      <c r="J173" s="60">
        <v>9.5</v>
      </c>
      <c r="K173" s="60">
        <f t="shared" si="12"/>
        <v>1330</v>
      </c>
      <c r="L173" s="21" t="s">
        <v>74</v>
      </c>
      <c r="M173" s="42">
        <f>SUM(K172:K173)</f>
        <v>1792.5</v>
      </c>
      <c r="N173" s="21"/>
    </row>
    <row r="174" s="21" customFormat="1" spans="1:14">
      <c r="A174" s="39">
        <v>45526</v>
      </c>
      <c r="B174" s="40">
        <v>74</v>
      </c>
      <c r="C174" s="33" t="s">
        <v>47</v>
      </c>
      <c r="D174" s="33"/>
      <c r="E174" s="33"/>
      <c r="F174" s="42" t="s">
        <v>48</v>
      </c>
      <c r="G174" s="35">
        <v>1</v>
      </c>
      <c r="H174" s="35">
        <v>180</v>
      </c>
      <c r="I174" s="35">
        <f t="shared" si="11"/>
        <v>180</v>
      </c>
      <c r="J174" s="56">
        <v>9.2</v>
      </c>
      <c r="K174" s="56">
        <f t="shared" si="12"/>
        <v>1656</v>
      </c>
      <c r="L174" s="57"/>
      <c r="M174" s="42"/>
      <c r="N174" s="57"/>
    </row>
    <row r="175" s="27" customFormat="1" ht="21" customHeight="1" spans="1:14">
      <c r="A175" s="43">
        <v>45530</v>
      </c>
      <c r="B175" s="44">
        <v>83</v>
      </c>
      <c r="C175" s="45">
        <v>24055</v>
      </c>
      <c r="D175" s="45"/>
      <c r="E175" s="45"/>
      <c r="F175" s="52" t="s">
        <v>56</v>
      </c>
      <c r="G175" s="47">
        <v>4</v>
      </c>
      <c r="H175" s="47">
        <v>25</v>
      </c>
      <c r="I175" s="47">
        <f t="shared" si="11"/>
        <v>100</v>
      </c>
      <c r="J175" s="60">
        <v>18.5</v>
      </c>
      <c r="K175" s="60">
        <f t="shared" si="12"/>
        <v>1850</v>
      </c>
      <c r="L175" s="27" t="s">
        <v>57</v>
      </c>
      <c r="M175" s="47"/>
      <c r="N175" s="24"/>
    </row>
    <row r="176" s="24" customFormat="1" spans="1:14">
      <c r="A176" s="43">
        <v>45530</v>
      </c>
      <c r="B176" s="44">
        <v>83</v>
      </c>
      <c r="C176" s="45">
        <v>3528</v>
      </c>
      <c r="D176" s="45"/>
      <c r="E176" s="45"/>
      <c r="F176" s="46" t="s">
        <v>16</v>
      </c>
      <c r="G176" s="47">
        <v>3</v>
      </c>
      <c r="H176" s="47">
        <v>21</v>
      </c>
      <c r="I176" s="47">
        <f t="shared" si="11"/>
        <v>63</v>
      </c>
      <c r="J176" s="60">
        <v>26</v>
      </c>
      <c r="K176" s="60">
        <f t="shared" si="12"/>
        <v>1638</v>
      </c>
      <c r="M176" s="47"/>
      <c r="N176" s="61"/>
    </row>
    <row r="177" s="25" customFormat="1" spans="1:16384">
      <c r="A177" s="43">
        <v>45530</v>
      </c>
      <c r="B177" s="44">
        <v>83</v>
      </c>
      <c r="C177" s="45"/>
      <c r="D177" s="45"/>
      <c r="E177" s="45"/>
      <c r="F177" s="46" t="s">
        <v>23</v>
      </c>
      <c r="G177" s="47">
        <v>6</v>
      </c>
      <c r="H177" s="47">
        <v>20</v>
      </c>
      <c r="I177" s="47">
        <f t="shared" si="11"/>
        <v>120</v>
      </c>
      <c r="J177" s="60">
        <v>17.5</v>
      </c>
      <c r="K177" s="60">
        <f t="shared" si="12"/>
        <v>2100</v>
      </c>
      <c r="L177" s="47"/>
      <c r="M177" s="24">
        <f>SUM(K174:K178)</f>
        <v>7409.6</v>
      </c>
      <c r="N177" s="61"/>
      <c r="XFD177" s="24"/>
    </row>
    <row r="178" s="21" customFormat="1" spans="1:14">
      <c r="A178" s="39">
        <v>45538</v>
      </c>
      <c r="B178" s="40">
        <v>5</v>
      </c>
      <c r="C178" s="33" t="s">
        <v>47</v>
      </c>
      <c r="D178" s="33"/>
      <c r="E178" s="33"/>
      <c r="F178" s="42" t="s">
        <v>48</v>
      </c>
      <c r="G178" s="35">
        <v>1</v>
      </c>
      <c r="H178" s="35">
        <v>18</v>
      </c>
      <c r="I178" s="35">
        <f t="shared" si="11"/>
        <v>18</v>
      </c>
      <c r="J178" s="56">
        <v>9.2</v>
      </c>
      <c r="K178" s="56">
        <f t="shared" si="12"/>
        <v>165.6</v>
      </c>
      <c r="L178" s="57" t="s">
        <v>75</v>
      </c>
      <c r="M178" s="42"/>
      <c r="N178" s="57"/>
    </row>
    <row r="179" s="21" customFormat="1" spans="1:14">
      <c r="A179" s="39">
        <v>45538</v>
      </c>
      <c r="B179" s="40">
        <v>5</v>
      </c>
      <c r="C179" s="33" t="s">
        <v>47</v>
      </c>
      <c r="D179" s="33"/>
      <c r="E179" s="33"/>
      <c r="F179" s="42" t="s">
        <v>48</v>
      </c>
      <c r="G179" s="35">
        <v>1</v>
      </c>
      <c r="H179" s="35">
        <v>180</v>
      </c>
      <c r="I179" s="35">
        <f t="shared" si="11"/>
        <v>180</v>
      </c>
      <c r="J179" s="56">
        <v>9.2</v>
      </c>
      <c r="K179" s="56">
        <f t="shared" si="12"/>
        <v>1656</v>
      </c>
      <c r="L179" s="57" t="s">
        <v>75</v>
      </c>
      <c r="M179" s="42"/>
      <c r="N179" s="57"/>
    </row>
    <row r="180" s="23" customFormat="1" spans="1:14">
      <c r="A180" s="39">
        <v>45538</v>
      </c>
      <c r="B180" s="40">
        <v>5</v>
      </c>
      <c r="C180" s="35" t="s">
        <v>14</v>
      </c>
      <c r="D180" s="35"/>
      <c r="E180" s="35"/>
      <c r="F180" s="42" t="s">
        <v>15</v>
      </c>
      <c r="G180" s="35">
        <v>5</v>
      </c>
      <c r="H180" s="35">
        <v>28</v>
      </c>
      <c r="I180" s="35">
        <f t="shared" si="11"/>
        <v>140</v>
      </c>
      <c r="J180" s="56">
        <v>9.5</v>
      </c>
      <c r="K180" s="56">
        <f t="shared" si="12"/>
        <v>1330</v>
      </c>
      <c r="L180" s="21" t="s">
        <v>76</v>
      </c>
      <c r="M180" s="42"/>
      <c r="N180" s="21"/>
    </row>
    <row r="181" s="21" customFormat="1" spans="1:14">
      <c r="A181" s="39">
        <v>45538</v>
      </c>
      <c r="B181" s="40">
        <v>5</v>
      </c>
      <c r="C181" s="33"/>
      <c r="D181" s="33"/>
      <c r="E181" s="33"/>
      <c r="F181" s="42" t="s">
        <v>36</v>
      </c>
      <c r="G181" s="35">
        <v>4</v>
      </c>
      <c r="H181" s="35">
        <v>20</v>
      </c>
      <c r="I181" s="35">
        <f t="shared" si="11"/>
        <v>80</v>
      </c>
      <c r="J181" s="56">
        <v>26</v>
      </c>
      <c r="K181" s="56">
        <f t="shared" si="12"/>
        <v>2080</v>
      </c>
      <c r="L181" s="35" t="s">
        <v>77</v>
      </c>
      <c r="M181" s="57"/>
      <c r="N181" s="57"/>
    </row>
    <row r="182" s="21" customFormat="1" spans="1:14">
      <c r="A182" s="39">
        <v>45538</v>
      </c>
      <c r="B182" s="40">
        <v>5</v>
      </c>
      <c r="C182" s="33"/>
      <c r="D182" s="33"/>
      <c r="E182" s="33"/>
      <c r="F182" s="48" t="s">
        <v>35</v>
      </c>
      <c r="G182" s="35">
        <v>3</v>
      </c>
      <c r="H182" s="35">
        <v>20</v>
      </c>
      <c r="I182" s="35">
        <f t="shared" si="11"/>
        <v>60</v>
      </c>
      <c r="J182" s="56">
        <v>28</v>
      </c>
      <c r="K182" s="56">
        <f t="shared" si="12"/>
        <v>1680</v>
      </c>
      <c r="L182" s="57" t="s">
        <v>77</v>
      </c>
      <c r="M182" s="35"/>
      <c r="N182" s="57"/>
    </row>
    <row r="183" s="23" customFormat="1" spans="1:16384">
      <c r="A183" s="39">
        <v>45538</v>
      </c>
      <c r="B183" s="40">
        <v>5</v>
      </c>
      <c r="C183" s="33"/>
      <c r="D183" s="33"/>
      <c r="E183" s="33"/>
      <c r="F183" s="42" t="s">
        <v>23</v>
      </c>
      <c r="G183" s="35">
        <v>4</v>
      </c>
      <c r="H183" s="35">
        <v>20</v>
      </c>
      <c r="I183" s="35">
        <f t="shared" si="11"/>
        <v>80</v>
      </c>
      <c r="J183" s="56">
        <v>17.5</v>
      </c>
      <c r="K183" s="56">
        <f t="shared" si="12"/>
        <v>1400</v>
      </c>
      <c r="L183" s="35">
        <f>SUM(K178:K183)</f>
        <v>8311.6</v>
      </c>
      <c r="M183" s="21">
        <f>SUM(K178:K183)</f>
        <v>8311.6</v>
      </c>
      <c r="N183" s="57"/>
      <c r="XFD183" s="21"/>
    </row>
    <row r="184" s="24" customFormat="1" spans="1:14">
      <c r="A184" s="43">
        <v>45553</v>
      </c>
      <c r="B184" s="44">
        <v>48</v>
      </c>
      <c r="C184" s="45" t="s">
        <v>26</v>
      </c>
      <c r="D184" s="45"/>
      <c r="E184" s="45"/>
      <c r="F184" s="46" t="s">
        <v>27</v>
      </c>
      <c r="G184" s="47">
        <v>2</v>
      </c>
      <c r="H184" s="47">
        <v>21</v>
      </c>
      <c r="I184" s="47">
        <f t="shared" si="11"/>
        <v>42</v>
      </c>
      <c r="J184" s="60">
        <v>26</v>
      </c>
      <c r="K184" s="60">
        <f t="shared" si="12"/>
        <v>1092</v>
      </c>
      <c r="L184" s="61" t="s">
        <v>78</v>
      </c>
      <c r="M184" s="46"/>
      <c r="N184" s="61"/>
    </row>
    <row r="185" s="24" customFormat="1" spans="1:14">
      <c r="A185" s="43">
        <v>45553</v>
      </c>
      <c r="B185" s="44">
        <v>48</v>
      </c>
      <c r="C185" s="45"/>
      <c r="D185" s="45"/>
      <c r="E185" s="45"/>
      <c r="F185" s="46" t="s">
        <v>23</v>
      </c>
      <c r="G185" s="47">
        <v>2</v>
      </c>
      <c r="H185" s="47">
        <v>20</v>
      </c>
      <c r="I185" s="47">
        <f t="shared" si="11"/>
        <v>40</v>
      </c>
      <c r="J185" s="60">
        <v>17.5</v>
      </c>
      <c r="K185" s="60">
        <f t="shared" si="12"/>
        <v>700</v>
      </c>
      <c r="L185" s="61" t="s">
        <v>78</v>
      </c>
      <c r="N185" s="61"/>
    </row>
    <row r="186" s="25" customFormat="1" spans="1:14">
      <c r="A186" s="43">
        <v>45553</v>
      </c>
      <c r="B186" s="44">
        <v>48</v>
      </c>
      <c r="C186" s="47" t="s">
        <v>17</v>
      </c>
      <c r="D186" s="47"/>
      <c r="E186" s="47"/>
      <c r="F186" s="46" t="s">
        <v>18</v>
      </c>
      <c r="G186" s="47">
        <v>3</v>
      </c>
      <c r="H186" s="47">
        <v>20</v>
      </c>
      <c r="I186" s="47">
        <f t="shared" si="11"/>
        <v>60</v>
      </c>
      <c r="J186" s="60">
        <v>26</v>
      </c>
      <c r="K186" s="60">
        <f t="shared" si="12"/>
        <v>1560</v>
      </c>
      <c r="L186" s="24"/>
      <c r="M186" s="47"/>
      <c r="N186" s="24"/>
    </row>
    <row r="187" s="24" customFormat="1" spans="1:14">
      <c r="A187" s="43">
        <v>45553</v>
      </c>
      <c r="B187" s="44">
        <v>48</v>
      </c>
      <c r="C187" s="45"/>
      <c r="D187" s="45"/>
      <c r="E187" s="45"/>
      <c r="F187" s="46" t="s">
        <v>23</v>
      </c>
      <c r="G187" s="47">
        <v>3</v>
      </c>
      <c r="H187" s="47">
        <v>20</v>
      </c>
      <c r="I187" s="47">
        <f t="shared" si="11"/>
        <v>60</v>
      </c>
      <c r="J187" s="60">
        <v>17.5</v>
      </c>
      <c r="K187" s="60">
        <f t="shared" si="12"/>
        <v>1050</v>
      </c>
      <c r="L187" s="61"/>
      <c r="N187" s="61"/>
    </row>
    <row r="188" s="26" customFormat="1" spans="1:14">
      <c r="A188" s="39">
        <v>45558</v>
      </c>
      <c r="B188" s="40">
        <v>76</v>
      </c>
      <c r="C188" s="33" t="s">
        <v>50</v>
      </c>
      <c r="D188" s="33"/>
      <c r="E188" s="33"/>
      <c r="F188" s="42" t="s">
        <v>24</v>
      </c>
      <c r="G188" s="35">
        <v>2</v>
      </c>
      <c r="H188" s="35">
        <v>25</v>
      </c>
      <c r="I188" s="35">
        <f t="shared" si="11"/>
        <v>50</v>
      </c>
      <c r="J188" s="56">
        <v>23.5</v>
      </c>
      <c r="K188" s="56">
        <f t="shared" si="12"/>
        <v>1175</v>
      </c>
      <c r="L188" s="21" t="s">
        <v>79</v>
      </c>
      <c r="M188" s="35"/>
      <c r="N188" s="21"/>
    </row>
    <row r="189" s="21" customFormat="1" spans="1:14">
      <c r="A189" s="39">
        <v>45558</v>
      </c>
      <c r="B189" s="40">
        <v>76</v>
      </c>
      <c r="C189" s="33" t="s">
        <v>52</v>
      </c>
      <c r="D189" s="33"/>
      <c r="E189" s="33"/>
      <c r="F189" s="41" t="s">
        <v>53</v>
      </c>
      <c r="G189" s="35">
        <v>1</v>
      </c>
      <c r="H189" s="35">
        <v>18</v>
      </c>
      <c r="I189" s="35">
        <f t="shared" si="11"/>
        <v>18</v>
      </c>
      <c r="J189" s="56">
        <v>26</v>
      </c>
      <c r="K189" s="56">
        <f t="shared" si="12"/>
        <v>468</v>
      </c>
      <c r="L189" s="57"/>
      <c r="M189" s="35"/>
      <c r="N189" s="57"/>
    </row>
    <row r="190" s="23" customFormat="1" spans="1:14">
      <c r="A190" s="39">
        <v>45558</v>
      </c>
      <c r="B190" s="40">
        <v>76</v>
      </c>
      <c r="C190" s="35" t="s">
        <v>14</v>
      </c>
      <c r="D190" s="35"/>
      <c r="E190" s="35"/>
      <c r="F190" s="42" t="s">
        <v>15</v>
      </c>
      <c r="G190" s="35">
        <v>10</v>
      </c>
      <c r="H190" s="35">
        <v>28</v>
      </c>
      <c r="I190" s="35">
        <f t="shared" si="11"/>
        <v>280</v>
      </c>
      <c r="J190" s="56">
        <v>9.5</v>
      </c>
      <c r="K190" s="56">
        <f t="shared" si="12"/>
        <v>2660</v>
      </c>
      <c r="L190" s="42">
        <v>9805</v>
      </c>
      <c r="M190" s="42">
        <f>SUM(K188:K190)</f>
        <v>4303</v>
      </c>
      <c r="N190" s="21"/>
    </row>
    <row r="191" s="24" customFormat="1" spans="1:14">
      <c r="A191" s="43">
        <v>45576</v>
      </c>
      <c r="B191" s="44"/>
      <c r="C191" s="45"/>
      <c r="D191" s="45"/>
      <c r="E191" s="45"/>
      <c r="F191" s="52" t="s">
        <v>35</v>
      </c>
      <c r="G191" s="47">
        <v>3</v>
      </c>
      <c r="H191" s="47">
        <v>20</v>
      </c>
      <c r="I191" s="47">
        <f t="shared" si="11"/>
        <v>60</v>
      </c>
      <c r="J191" s="60">
        <v>28</v>
      </c>
      <c r="K191" s="60">
        <f t="shared" si="12"/>
        <v>1680</v>
      </c>
      <c r="L191" s="61"/>
      <c r="M191" s="47"/>
      <c r="N191" s="61"/>
    </row>
    <row r="192" s="24" customFormat="1" spans="1:14">
      <c r="A192" s="43">
        <v>45576</v>
      </c>
      <c r="B192" s="44"/>
      <c r="C192" s="45" t="s">
        <v>26</v>
      </c>
      <c r="D192" s="45"/>
      <c r="E192" s="45"/>
      <c r="F192" s="46" t="s">
        <v>27</v>
      </c>
      <c r="G192" s="47">
        <v>4</v>
      </c>
      <c r="H192" s="47">
        <v>20</v>
      </c>
      <c r="I192" s="47">
        <f t="shared" si="11"/>
        <v>80</v>
      </c>
      <c r="J192" s="60">
        <v>26</v>
      </c>
      <c r="K192" s="60">
        <f t="shared" si="12"/>
        <v>2080</v>
      </c>
      <c r="L192" s="61"/>
      <c r="M192" s="46"/>
      <c r="N192" s="61"/>
    </row>
    <row r="193" s="24" customFormat="1" spans="1:14">
      <c r="A193" s="43">
        <v>45576</v>
      </c>
      <c r="B193" s="44"/>
      <c r="C193" s="45"/>
      <c r="D193" s="45"/>
      <c r="E193" s="45"/>
      <c r="F193" s="46" t="s">
        <v>23</v>
      </c>
      <c r="G193" s="47">
        <v>4</v>
      </c>
      <c r="H193" s="47">
        <v>20</v>
      </c>
      <c r="I193" s="47">
        <f t="shared" si="11"/>
        <v>80</v>
      </c>
      <c r="J193" s="60">
        <v>17.5</v>
      </c>
      <c r="K193" s="60">
        <f t="shared" si="12"/>
        <v>1400</v>
      </c>
      <c r="L193" s="61"/>
      <c r="M193" s="24">
        <f>SUM(K191:K193)</f>
        <v>5160</v>
      </c>
      <c r="N193" s="61"/>
    </row>
    <row r="194" s="23" customFormat="1" spans="1:14">
      <c r="A194" s="39">
        <v>45579</v>
      </c>
      <c r="B194" s="40">
        <v>37</v>
      </c>
      <c r="C194" s="35" t="s">
        <v>17</v>
      </c>
      <c r="D194" s="35"/>
      <c r="E194" s="35"/>
      <c r="F194" s="42" t="s">
        <v>18</v>
      </c>
      <c r="G194" s="35">
        <v>3</v>
      </c>
      <c r="H194" s="35">
        <v>20</v>
      </c>
      <c r="I194" s="35">
        <f t="shared" si="11"/>
        <v>60</v>
      </c>
      <c r="J194" s="56">
        <v>26</v>
      </c>
      <c r="K194" s="56">
        <f t="shared" si="12"/>
        <v>1560</v>
      </c>
      <c r="L194" s="21"/>
      <c r="M194" s="35"/>
      <c r="N194" s="21"/>
    </row>
    <row r="195" s="23" customFormat="1" spans="1:14">
      <c r="A195" s="39">
        <v>45579</v>
      </c>
      <c r="B195" s="40">
        <v>37</v>
      </c>
      <c r="C195" s="33"/>
      <c r="D195" s="33"/>
      <c r="E195" s="33"/>
      <c r="F195" s="42" t="s">
        <v>23</v>
      </c>
      <c r="G195" s="35">
        <v>3</v>
      </c>
      <c r="H195" s="35">
        <v>20</v>
      </c>
      <c r="I195" s="35">
        <f t="shared" si="11"/>
        <v>60</v>
      </c>
      <c r="J195" s="56">
        <v>17.5</v>
      </c>
      <c r="K195" s="56">
        <f t="shared" si="12"/>
        <v>1050</v>
      </c>
      <c r="L195" s="42"/>
      <c r="M195" s="42"/>
      <c r="N195" s="21"/>
    </row>
    <row r="196" s="140" customFormat="1" spans="1:16384">
      <c r="A196" s="150">
        <v>45591</v>
      </c>
      <c r="B196" s="151">
        <v>76</v>
      </c>
      <c r="C196" s="152" t="s">
        <v>31</v>
      </c>
      <c r="D196" s="152"/>
      <c r="E196" s="153" t="s">
        <v>32</v>
      </c>
      <c r="F196" s="153" t="s">
        <v>32</v>
      </c>
      <c r="G196" s="152">
        <v>1</v>
      </c>
      <c r="H196" s="152">
        <v>25</v>
      </c>
      <c r="I196" s="152">
        <f t="shared" si="11"/>
        <v>25</v>
      </c>
      <c r="J196" s="158">
        <v>18.5</v>
      </c>
      <c r="K196" s="158">
        <f t="shared" si="12"/>
        <v>462.5</v>
      </c>
      <c r="L196" s="154"/>
      <c r="M196" s="154"/>
      <c r="N196" s="159"/>
      <c r="XFD196" s="160"/>
    </row>
    <row r="197" s="140" customFormat="1" spans="1:16384">
      <c r="A197" s="150">
        <v>45591</v>
      </c>
      <c r="B197" s="151">
        <v>76</v>
      </c>
      <c r="C197" s="152">
        <v>24055</v>
      </c>
      <c r="D197" s="152"/>
      <c r="E197" s="153" t="s">
        <v>56</v>
      </c>
      <c r="F197" s="153" t="s">
        <v>56</v>
      </c>
      <c r="G197" s="152">
        <v>5</v>
      </c>
      <c r="H197" s="152">
        <v>25</v>
      </c>
      <c r="I197" s="152">
        <f t="shared" si="11"/>
        <v>125</v>
      </c>
      <c r="J197" s="158">
        <v>18.5</v>
      </c>
      <c r="K197" s="158">
        <f t="shared" si="12"/>
        <v>2312.5</v>
      </c>
      <c r="L197" s="154"/>
      <c r="M197" s="154"/>
      <c r="N197" s="159"/>
      <c r="XFD197" s="161"/>
    </row>
    <row r="198" s="141" customFormat="1" spans="1:16384">
      <c r="A198" s="150">
        <v>45591</v>
      </c>
      <c r="B198" s="151">
        <v>76</v>
      </c>
      <c r="C198" s="152">
        <v>3528</v>
      </c>
      <c r="D198" s="152"/>
      <c r="E198" s="154" t="s">
        <v>16</v>
      </c>
      <c r="F198" s="154" t="s">
        <v>16</v>
      </c>
      <c r="G198" s="152">
        <v>3</v>
      </c>
      <c r="H198" s="152">
        <v>20</v>
      </c>
      <c r="I198" s="152">
        <f t="shared" si="11"/>
        <v>60</v>
      </c>
      <c r="J198" s="158">
        <v>26</v>
      </c>
      <c r="K198" s="158">
        <f t="shared" si="12"/>
        <v>1560</v>
      </c>
      <c r="L198" s="154"/>
      <c r="M198" s="154"/>
      <c r="N198" s="159"/>
      <c r="XFD198" s="161"/>
    </row>
    <row r="199" s="141" customFormat="1" spans="1:14">
      <c r="A199" s="150">
        <v>45591</v>
      </c>
      <c r="B199" s="151">
        <v>76</v>
      </c>
      <c r="C199" s="155"/>
      <c r="D199" s="155"/>
      <c r="E199" s="155"/>
      <c r="F199" s="154" t="s">
        <v>34</v>
      </c>
      <c r="G199" s="152">
        <v>2</v>
      </c>
      <c r="H199" s="152">
        <v>10</v>
      </c>
      <c r="I199" s="152">
        <f t="shared" si="11"/>
        <v>20</v>
      </c>
      <c r="J199" s="158">
        <v>17.5</v>
      </c>
      <c r="K199" s="158">
        <f t="shared" si="12"/>
        <v>350</v>
      </c>
      <c r="L199" s="155"/>
      <c r="M199" s="159"/>
      <c r="N199" s="159"/>
    </row>
    <row r="200" s="141" customFormat="1" spans="1:14">
      <c r="A200" s="150">
        <v>45591</v>
      </c>
      <c r="B200" s="151">
        <v>76</v>
      </c>
      <c r="C200" s="155"/>
      <c r="D200" s="155"/>
      <c r="E200" s="155"/>
      <c r="F200" s="154" t="s">
        <v>23</v>
      </c>
      <c r="G200" s="152">
        <v>6</v>
      </c>
      <c r="H200" s="152">
        <v>20</v>
      </c>
      <c r="I200" s="152">
        <f t="shared" si="11"/>
        <v>120</v>
      </c>
      <c r="J200" s="158">
        <v>17.5</v>
      </c>
      <c r="K200" s="158">
        <f t="shared" si="12"/>
        <v>2100</v>
      </c>
      <c r="L200" s="159"/>
      <c r="M200" s="141">
        <f>SUM(K196:K200)</f>
        <v>6785</v>
      </c>
      <c r="N200" s="159"/>
    </row>
    <row r="201" s="23" customFormat="1" spans="1:14">
      <c r="A201" s="39">
        <v>45593</v>
      </c>
      <c r="B201" s="40">
        <v>83</v>
      </c>
      <c r="C201" s="35" t="s">
        <v>14</v>
      </c>
      <c r="D201" s="35"/>
      <c r="E201" s="35"/>
      <c r="F201" s="42" t="s">
        <v>15</v>
      </c>
      <c r="G201" s="35">
        <v>5</v>
      </c>
      <c r="H201" s="35">
        <v>28</v>
      </c>
      <c r="I201" s="35">
        <f t="shared" si="11"/>
        <v>140</v>
      </c>
      <c r="J201" s="56">
        <v>9.5</v>
      </c>
      <c r="K201" s="56">
        <f t="shared" si="12"/>
        <v>1330</v>
      </c>
      <c r="L201" s="42">
        <v>9805</v>
      </c>
      <c r="M201" s="42">
        <f>SUM(K199:K201)</f>
        <v>3780</v>
      </c>
      <c r="N201" s="21"/>
    </row>
    <row r="202" s="27" customFormat="1" spans="1:14">
      <c r="A202" s="43">
        <v>45595</v>
      </c>
      <c r="B202" s="44">
        <v>98</v>
      </c>
      <c r="C202" s="45" t="s">
        <v>50</v>
      </c>
      <c r="D202" s="45"/>
      <c r="E202" s="45"/>
      <c r="F202" s="46" t="s">
        <v>24</v>
      </c>
      <c r="G202" s="47">
        <v>3</v>
      </c>
      <c r="H202" s="47">
        <v>25</v>
      </c>
      <c r="I202" s="47">
        <f t="shared" si="11"/>
        <v>75</v>
      </c>
      <c r="J202" s="60">
        <v>23.5</v>
      </c>
      <c r="K202" s="60">
        <f t="shared" si="12"/>
        <v>1762.5</v>
      </c>
      <c r="L202" s="24" t="s">
        <v>79</v>
      </c>
      <c r="M202" s="47"/>
      <c r="N202" s="24"/>
    </row>
    <row r="203" s="27" customFormat="1" spans="1:14">
      <c r="A203" s="43">
        <v>45595</v>
      </c>
      <c r="B203" s="44">
        <v>98</v>
      </c>
      <c r="C203" s="45"/>
      <c r="D203" s="45"/>
      <c r="E203" s="45"/>
      <c r="F203" s="46" t="s">
        <v>80</v>
      </c>
      <c r="G203" s="47">
        <v>1</v>
      </c>
      <c r="H203" s="47">
        <v>15</v>
      </c>
      <c r="I203" s="47">
        <f t="shared" ref="I203:I215" si="13">G203*H203</f>
        <v>15</v>
      </c>
      <c r="J203" s="60">
        <v>26</v>
      </c>
      <c r="K203" s="60">
        <f t="shared" ref="K203:K215" si="14">I203*J203</f>
        <v>390</v>
      </c>
      <c r="L203" s="24"/>
      <c r="M203" s="47"/>
      <c r="N203" s="24"/>
    </row>
    <row r="204" s="23" customFormat="1" spans="1:14">
      <c r="A204" s="39">
        <v>45619</v>
      </c>
      <c r="B204" s="40">
        <v>69</v>
      </c>
      <c r="C204" s="35" t="s">
        <v>14</v>
      </c>
      <c r="D204" s="35"/>
      <c r="E204" s="35"/>
      <c r="F204" s="42" t="s">
        <v>15</v>
      </c>
      <c r="G204" s="35">
        <v>5</v>
      </c>
      <c r="H204" s="35">
        <v>28</v>
      </c>
      <c r="I204" s="35">
        <f t="shared" si="13"/>
        <v>140</v>
      </c>
      <c r="J204" s="56">
        <v>9.5</v>
      </c>
      <c r="K204" s="56">
        <f t="shared" si="14"/>
        <v>1330</v>
      </c>
      <c r="L204" s="42">
        <v>9805</v>
      </c>
      <c r="M204" s="42"/>
      <c r="N204" s="21"/>
    </row>
    <row r="205" s="26" customFormat="1" spans="1:16384">
      <c r="A205" s="39">
        <v>45619</v>
      </c>
      <c r="B205" s="40">
        <v>69</v>
      </c>
      <c r="C205" s="35">
        <v>24055</v>
      </c>
      <c r="D205" s="35"/>
      <c r="E205" s="48" t="s">
        <v>56</v>
      </c>
      <c r="F205" s="48" t="s">
        <v>56</v>
      </c>
      <c r="G205" s="35">
        <v>5</v>
      </c>
      <c r="H205" s="35">
        <v>25</v>
      </c>
      <c r="I205" s="35">
        <f t="shared" si="13"/>
        <v>125</v>
      </c>
      <c r="J205" s="56">
        <v>18.5</v>
      </c>
      <c r="K205" s="56">
        <f t="shared" si="14"/>
        <v>2312.5</v>
      </c>
      <c r="L205" s="42"/>
      <c r="M205" s="42"/>
      <c r="N205" s="57"/>
      <c r="XFD205" s="64"/>
    </row>
    <row r="206" s="21" customFormat="1" spans="1:14">
      <c r="A206" s="39">
        <v>45619</v>
      </c>
      <c r="B206" s="40">
        <v>69</v>
      </c>
      <c r="C206" s="33"/>
      <c r="D206" s="33"/>
      <c r="E206" s="33"/>
      <c r="F206" s="42" t="s">
        <v>34</v>
      </c>
      <c r="G206" s="35">
        <v>1</v>
      </c>
      <c r="H206" s="35">
        <v>10</v>
      </c>
      <c r="I206" s="35">
        <f t="shared" si="13"/>
        <v>10</v>
      </c>
      <c r="J206" s="56">
        <v>17.5</v>
      </c>
      <c r="K206" s="56">
        <f t="shared" si="14"/>
        <v>175</v>
      </c>
      <c r="L206" s="33"/>
      <c r="M206" s="57"/>
      <c r="N206" s="57"/>
    </row>
    <row r="207" s="21" customFormat="1" spans="1:14">
      <c r="A207" s="39">
        <v>45619</v>
      </c>
      <c r="B207" s="40">
        <v>69</v>
      </c>
      <c r="C207" s="33"/>
      <c r="D207" s="33"/>
      <c r="E207" s="33"/>
      <c r="F207" s="42" t="s">
        <v>23</v>
      </c>
      <c r="G207" s="35">
        <v>5</v>
      </c>
      <c r="H207" s="35">
        <v>20</v>
      </c>
      <c r="I207" s="35">
        <f t="shared" si="13"/>
        <v>100</v>
      </c>
      <c r="J207" s="56">
        <v>17.5</v>
      </c>
      <c r="K207" s="56">
        <f t="shared" si="14"/>
        <v>1750</v>
      </c>
      <c r="L207" s="57"/>
      <c r="M207" s="21">
        <f>SUM(K204:K207)</f>
        <v>5567.5</v>
      </c>
      <c r="N207" s="57"/>
    </row>
    <row r="208" s="65" customFormat="1" spans="1:14">
      <c r="A208" s="43">
        <v>45624</v>
      </c>
      <c r="B208" s="44">
        <v>87</v>
      </c>
      <c r="C208" s="156" t="s">
        <v>19</v>
      </c>
      <c r="D208" s="47"/>
      <c r="E208" s="47"/>
      <c r="F208" s="46" t="s">
        <v>20</v>
      </c>
      <c r="G208" s="47">
        <v>1</v>
      </c>
      <c r="H208" s="47">
        <v>26</v>
      </c>
      <c r="I208" s="47">
        <f t="shared" si="13"/>
        <v>26</v>
      </c>
      <c r="J208" s="60">
        <v>23.5</v>
      </c>
      <c r="K208" s="60">
        <f t="shared" si="14"/>
        <v>611</v>
      </c>
      <c r="L208" s="61"/>
      <c r="M208" s="61"/>
      <c r="N208" s="61"/>
    </row>
    <row r="209" s="24" customFormat="1" spans="1:14">
      <c r="A209" s="43">
        <v>45624</v>
      </c>
      <c r="B209" s="44">
        <v>87</v>
      </c>
      <c r="C209" s="45"/>
      <c r="D209" s="45"/>
      <c r="E209" s="45"/>
      <c r="F209" s="46" t="s">
        <v>23</v>
      </c>
      <c r="G209" s="47">
        <v>5</v>
      </c>
      <c r="H209" s="47">
        <v>20</v>
      </c>
      <c r="I209" s="47">
        <f t="shared" si="13"/>
        <v>100</v>
      </c>
      <c r="J209" s="60">
        <v>17.5</v>
      </c>
      <c r="K209" s="60">
        <f t="shared" si="14"/>
        <v>1750</v>
      </c>
      <c r="L209" s="61"/>
      <c r="M209" s="24">
        <f>SUM(K208:K209)</f>
        <v>2361</v>
      </c>
      <c r="N209" s="61"/>
    </row>
    <row r="210" s="21" customFormat="1" spans="1:14">
      <c r="A210" s="39">
        <v>45625</v>
      </c>
      <c r="B210" s="40">
        <v>92</v>
      </c>
      <c r="C210" s="33" t="s">
        <v>47</v>
      </c>
      <c r="D210" s="33"/>
      <c r="E210" s="33"/>
      <c r="F210" s="42" t="s">
        <v>48</v>
      </c>
      <c r="G210" s="35">
        <v>1</v>
      </c>
      <c r="H210" s="35">
        <v>180</v>
      </c>
      <c r="I210" s="35">
        <f t="shared" si="13"/>
        <v>180</v>
      </c>
      <c r="J210" s="56">
        <v>9.2</v>
      </c>
      <c r="K210" s="56">
        <f t="shared" si="14"/>
        <v>1656</v>
      </c>
      <c r="L210" s="57" t="s">
        <v>75</v>
      </c>
      <c r="M210" s="42"/>
      <c r="N210" s="57"/>
    </row>
    <row r="211" s="25" customFormat="1" spans="1:14">
      <c r="A211" s="43">
        <v>45629</v>
      </c>
      <c r="B211" s="44">
        <v>6</v>
      </c>
      <c r="C211" s="47" t="s">
        <v>17</v>
      </c>
      <c r="D211" s="47"/>
      <c r="E211" s="47"/>
      <c r="F211" s="46" t="s">
        <v>18</v>
      </c>
      <c r="G211" s="47">
        <v>3</v>
      </c>
      <c r="H211" s="47">
        <v>20</v>
      </c>
      <c r="I211" s="47">
        <f t="shared" si="13"/>
        <v>60</v>
      </c>
      <c r="J211" s="60">
        <v>26</v>
      </c>
      <c r="K211" s="60">
        <f t="shared" si="14"/>
        <v>1560</v>
      </c>
      <c r="L211" s="24"/>
      <c r="M211" s="47"/>
      <c r="N211" s="24"/>
    </row>
    <row r="212" s="25" customFormat="1" spans="1:14">
      <c r="A212" s="43">
        <v>45629</v>
      </c>
      <c r="B212" s="44">
        <v>6</v>
      </c>
      <c r="C212" s="47">
        <v>24055</v>
      </c>
      <c r="D212" s="47"/>
      <c r="E212" s="47" t="s">
        <v>56</v>
      </c>
      <c r="F212" s="46" t="s">
        <v>56</v>
      </c>
      <c r="G212" s="47">
        <v>1</v>
      </c>
      <c r="H212" s="47">
        <v>26</v>
      </c>
      <c r="I212" s="47">
        <f t="shared" ref="I212:I254" si="15">G212*H212</f>
        <v>26</v>
      </c>
      <c r="J212" s="60">
        <v>18.5</v>
      </c>
      <c r="K212" s="60">
        <f t="shared" ref="K212:K254" si="16">I212*J212</f>
        <v>481</v>
      </c>
      <c r="L212" s="24"/>
      <c r="M212" s="47"/>
      <c r="N212" s="24"/>
    </row>
    <row r="213" s="25" customFormat="1" spans="1:14">
      <c r="A213" s="43">
        <v>45629</v>
      </c>
      <c r="B213" s="44">
        <v>6</v>
      </c>
      <c r="C213" s="47">
        <v>24055</v>
      </c>
      <c r="D213" s="47"/>
      <c r="E213" s="47"/>
      <c r="F213" s="46" t="s">
        <v>56</v>
      </c>
      <c r="G213" s="47">
        <v>4</v>
      </c>
      <c r="H213" s="47">
        <v>25</v>
      </c>
      <c r="I213" s="47">
        <f t="shared" si="15"/>
        <v>100</v>
      </c>
      <c r="J213" s="60">
        <v>18.5</v>
      </c>
      <c r="K213" s="60">
        <f t="shared" si="16"/>
        <v>1850</v>
      </c>
      <c r="L213" s="24"/>
      <c r="M213" s="47"/>
      <c r="N213" s="24"/>
    </row>
    <row r="214" s="25" customFormat="1" spans="1:14">
      <c r="A214" s="43">
        <v>45629</v>
      </c>
      <c r="B214" s="44">
        <v>6</v>
      </c>
      <c r="C214" s="47">
        <v>3528</v>
      </c>
      <c r="D214" s="47"/>
      <c r="E214" s="47" t="s">
        <v>16</v>
      </c>
      <c r="F214" s="46" t="s">
        <v>16</v>
      </c>
      <c r="G214" s="47">
        <v>1</v>
      </c>
      <c r="H214" s="47">
        <v>20</v>
      </c>
      <c r="I214" s="47">
        <f t="shared" si="15"/>
        <v>20</v>
      </c>
      <c r="J214" s="60">
        <v>26</v>
      </c>
      <c r="K214" s="60">
        <f t="shared" si="16"/>
        <v>520</v>
      </c>
      <c r="L214" s="24"/>
      <c r="M214" s="47"/>
      <c r="N214" s="24"/>
    </row>
    <row r="215" s="25" customFormat="1" spans="1:14">
      <c r="A215" s="43">
        <v>45629</v>
      </c>
      <c r="B215" s="44">
        <v>6</v>
      </c>
      <c r="C215" s="47">
        <v>3528</v>
      </c>
      <c r="D215" s="47"/>
      <c r="E215" s="47"/>
      <c r="F215" s="46" t="s">
        <v>16</v>
      </c>
      <c r="G215" s="47">
        <v>2</v>
      </c>
      <c r="H215" s="47">
        <v>21</v>
      </c>
      <c r="I215" s="47">
        <f t="shared" si="15"/>
        <v>42</v>
      </c>
      <c r="J215" s="60">
        <v>26</v>
      </c>
      <c r="K215" s="60">
        <f t="shared" si="16"/>
        <v>1092</v>
      </c>
      <c r="L215" s="24"/>
      <c r="M215" s="47"/>
      <c r="N215" s="24"/>
    </row>
    <row r="216" s="25" customFormat="1" spans="1:14">
      <c r="A216" s="43">
        <v>45629</v>
      </c>
      <c r="B216" s="44">
        <v>6</v>
      </c>
      <c r="C216" s="47"/>
      <c r="D216" s="47"/>
      <c r="E216" s="47"/>
      <c r="F216" s="46" t="s">
        <v>23</v>
      </c>
      <c r="G216" s="47">
        <v>15</v>
      </c>
      <c r="H216" s="47">
        <v>20</v>
      </c>
      <c r="I216" s="47">
        <f t="shared" si="15"/>
        <v>300</v>
      </c>
      <c r="J216" s="60">
        <v>17.5</v>
      </c>
      <c r="K216" s="60">
        <f t="shared" si="16"/>
        <v>5250</v>
      </c>
      <c r="L216" s="24"/>
      <c r="M216" s="47">
        <f>SUM(K211:K216)</f>
        <v>10753</v>
      </c>
      <c r="N216" s="24"/>
    </row>
    <row r="217" s="23" customFormat="1" spans="1:14">
      <c r="A217" s="39">
        <v>45637</v>
      </c>
      <c r="B217" s="40">
        <v>31</v>
      </c>
      <c r="C217" s="35" t="s">
        <v>14</v>
      </c>
      <c r="D217" s="35"/>
      <c r="E217" s="35"/>
      <c r="F217" s="42" t="s">
        <v>15</v>
      </c>
      <c r="G217" s="35">
        <v>12</v>
      </c>
      <c r="H217" s="35">
        <v>28</v>
      </c>
      <c r="I217" s="35">
        <f t="shared" si="15"/>
        <v>336</v>
      </c>
      <c r="J217" s="56">
        <v>9.5</v>
      </c>
      <c r="K217" s="56">
        <f t="shared" si="16"/>
        <v>3192</v>
      </c>
      <c r="L217" s="42">
        <v>9804</v>
      </c>
      <c r="M217" s="42"/>
      <c r="N217" s="21"/>
    </row>
    <row r="218" s="27" customFormat="1" spans="1:16384">
      <c r="A218" s="43">
        <v>45643</v>
      </c>
      <c r="B218" s="44">
        <v>54</v>
      </c>
      <c r="C218" s="47" t="s">
        <v>31</v>
      </c>
      <c r="D218" s="47"/>
      <c r="E218" s="52" t="s">
        <v>32</v>
      </c>
      <c r="F218" s="52" t="s">
        <v>32</v>
      </c>
      <c r="G218" s="47">
        <v>2</v>
      </c>
      <c r="H218" s="47">
        <v>25</v>
      </c>
      <c r="I218" s="47">
        <f t="shared" si="15"/>
        <v>50</v>
      </c>
      <c r="J218" s="60">
        <v>18.5</v>
      </c>
      <c r="K218" s="60">
        <f t="shared" si="16"/>
        <v>925</v>
      </c>
      <c r="L218" s="46"/>
      <c r="M218" s="46"/>
      <c r="N218" s="61"/>
      <c r="XFD218" s="25"/>
    </row>
    <row r="219" s="24" customFormat="1" spans="1:14">
      <c r="A219" s="43">
        <v>45643</v>
      </c>
      <c r="B219" s="44">
        <v>54</v>
      </c>
      <c r="C219" s="45"/>
      <c r="D219" s="45"/>
      <c r="E219" s="45"/>
      <c r="F219" s="46" t="s">
        <v>34</v>
      </c>
      <c r="G219" s="47">
        <v>4</v>
      </c>
      <c r="H219" s="47">
        <v>10</v>
      </c>
      <c r="I219" s="47">
        <f t="shared" si="15"/>
        <v>40</v>
      </c>
      <c r="J219" s="60">
        <v>17.5</v>
      </c>
      <c r="K219" s="60">
        <f t="shared" si="16"/>
        <v>700</v>
      </c>
      <c r="L219" s="45"/>
      <c r="M219" s="61">
        <f>SUM(K218:K219)</f>
        <v>1625</v>
      </c>
      <c r="N219" s="61"/>
    </row>
    <row r="220" s="23" customFormat="1" spans="1:14">
      <c r="A220" s="39">
        <v>45647</v>
      </c>
      <c r="B220" s="40">
        <v>71</v>
      </c>
      <c r="C220" s="35" t="s">
        <v>14</v>
      </c>
      <c r="D220" s="35"/>
      <c r="E220" s="35"/>
      <c r="F220" s="42" t="s">
        <v>15</v>
      </c>
      <c r="G220" s="35">
        <v>5</v>
      </c>
      <c r="H220" s="35">
        <v>28</v>
      </c>
      <c r="I220" s="35">
        <f t="shared" si="15"/>
        <v>140</v>
      </c>
      <c r="J220" s="56">
        <v>9.5</v>
      </c>
      <c r="K220" s="56">
        <f t="shared" si="16"/>
        <v>1330</v>
      </c>
      <c r="L220" s="42">
        <v>9804</v>
      </c>
      <c r="M220" s="42"/>
      <c r="N220" s="61"/>
    </row>
    <row r="221" s="64" customFormat="1" spans="1:14">
      <c r="A221" s="39">
        <v>45647</v>
      </c>
      <c r="B221" s="40">
        <v>71</v>
      </c>
      <c r="C221" s="149" t="s">
        <v>19</v>
      </c>
      <c r="D221" s="35"/>
      <c r="E221" s="35"/>
      <c r="F221" s="42" t="s">
        <v>20</v>
      </c>
      <c r="G221" s="35">
        <v>1</v>
      </c>
      <c r="H221" s="35">
        <v>24</v>
      </c>
      <c r="I221" s="35">
        <f t="shared" si="15"/>
        <v>24</v>
      </c>
      <c r="J221" s="56">
        <v>23.5</v>
      </c>
      <c r="K221" s="56">
        <f t="shared" si="16"/>
        <v>564</v>
      </c>
      <c r="L221" s="57" t="s">
        <v>81</v>
      </c>
      <c r="M221" s="57"/>
      <c r="N221" s="61"/>
    </row>
    <row r="222" s="64" customFormat="1" spans="1:14">
      <c r="A222" s="39">
        <v>45647</v>
      </c>
      <c r="B222" s="40">
        <v>71</v>
      </c>
      <c r="C222" s="149" t="s">
        <v>19</v>
      </c>
      <c r="D222" s="35"/>
      <c r="E222" s="35"/>
      <c r="F222" s="42" t="s">
        <v>20</v>
      </c>
      <c r="G222" s="35">
        <v>1</v>
      </c>
      <c r="H222" s="35">
        <v>26</v>
      </c>
      <c r="I222" s="35">
        <f t="shared" si="15"/>
        <v>26</v>
      </c>
      <c r="J222" s="56">
        <v>23.5</v>
      </c>
      <c r="K222" s="56">
        <f t="shared" si="16"/>
        <v>611</v>
      </c>
      <c r="L222" s="57"/>
      <c r="M222" s="57"/>
      <c r="N222" s="61"/>
    </row>
    <row r="223" s="23" customFormat="1" spans="1:14">
      <c r="A223" s="39">
        <v>45647</v>
      </c>
      <c r="B223" s="40">
        <v>71</v>
      </c>
      <c r="C223" s="35" t="s">
        <v>17</v>
      </c>
      <c r="D223" s="35"/>
      <c r="E223" s="35"/>
      <c r="F223" s="42" t="s">
        <v>18</v>
      </c>
      <c r="G223" s="35">
        <v>3</v>
      </c>
      <c r="H223" s="35">
        <v>20</v>
      </c>
      <c r="I223" s="35">
        <f t="shared" si="15"/>
        <v>60</v>
      </c>
      <c r="J223" s="56">
        <v>26</v>
      </c>
      <c r="K223" s="56">
        <f t="shared" si="16"/>
        <v>1560</v>
      </c>
      <c r="L223" s="21" t="s">
        <v>82</v>
      </c>
      <c r="M223" s="35"/>
      <c r="N223" s="61"/>
    </row>
    <row r="224" s="23" customFormat="1" spans="1:14">
      <c r="A224" s="39">
        <v>45647</v>
      </c>
      <c r="B224" s="40">
        <v>71</v>
      </c>
      <c r="C224" s="35">
        <v>24055</v>
      </c>
      <c r="D224" s="35"/>
      <c r="E224" s="35"/>
      <c r="F224" s="42" t="s">
        <v>56</v>
      </c>
      <c r="G224" s="35">
        <v>1</v>
      </c>
      <c r="H224" s="35">
        <v>26</v>
      </c>
      <c r="I224" s="35">
        <f t="shared" si="15"/>
        <v>26</v>
      </c>
      <c r="J224" s="56">
        <v>18.5</v>
      </c>
      <c r="K224" s="56">
        <f t="shared" si="16"/>
        <v>481</v>
      </c>
      <c r="L224" s="21"/>
      <c r="M224" s="35"/>
      <c r="N224" s="61"/>
    </row>
    <row r="225" s="23" customFormat="1" spans="1:14">
      <c r="A225" s="39">
        <v>45647</v>
      </c>
      <c r="B225" s="40">
        <v>71</v>
      </c>
      <c r="C225" s="35">
        <v>24055</v>
      </c>
      <c r="D225" s="35"/>
      <c r="E225" s="35"/>
      <c r="F225" s="42" t="s">
        <v>56</v>
      </c>
      <c r="G225" s="35">
        <v>4</v>
      </c>
      <c r="H225" s="35">
        <v>25</v>
      </c>
      <c r="I225" s="35">
        <f t="shared" si="15"/>
        <v>100</v>
      </c>
      <c r="J225" s="56">
        <v>18.5</v>
      </c>
      <c r="K225" s="56">
        <f t="shared" si="16"/>
        <v>1850</v>
      </c>
      <c r="L225" s="21"/>
      <c r="M225" s="35"/>
      <c r="N225" s="61"/>
    </row>
    <row r="226" s="24" customFormat="1" spans="1:14">
      <c r="A226" s="39">
        <v>45647</v>
      </c>
      <c r="B226" s="40">
        <v>71</v>
      </c>
      <c r="C226" s="33" t="s">
        <v>26</v>
      </c>
      <c r="D226" s="33"/>
      <c r="E226" s="33"/>
      <c r="F226" s="42" t="s">
        <v>27</v>
      </c>
      <c r="G226" s="35">
        <v>2</v>
      </c>
      <c r="H226" s="35">
        <v>20</v>
      </c>
      <c r="I226" s="35">
        <f t="shared" si="15"/>
        <v>40</v>
      </c>
      <c r="J226" s="56">
        <v>26</v>
      </c>
      <c r="K226" s="56">
        <f t="shared" si="16"/>
        <v>1040</v>
      </c>
      <c r="L226" s="61"/>
      <c r="M226" s="46"/>
      <c r="N226" s="61"/>
    </row>
    <row r="227" s="25" customFormat="1" spans="1:14">
      <c r="A227" s="39">
        <v>45647</v>
      </c>
      <c r="B227" s="40">
        <v>71</v>
      </c>
      <c r="C227" s="35"/>
      <c r="D227" s="35"/>
      <c r="E227" s="35"/>
      <c r="F227" s="42" t="s">
        <v>23</v>
      </c>
      <c r="G227" s="35">
        <v>10</v>
      </c>
      <c r="H227" s="35">
        <v>20</v>
      </c>
      <c r="I227" s="35">
        <f t="shared" si="15"/>
        <v>200</v>
      </c>
      <c r="J227" s="56">
        <v>17.5</v>
      </c>
      <c r="K227" s="56">
        <f t="shared" si="16"/>
        <v>3500</v>
      </c>
      <c r="L227" s="24"/>
      <c r="M227" s="47">
        <f>SUM(K220:K227)</f>
        <v>10936</v>
      </c>
      <c r="N227" s="61"/>
    </row>
    <row r="228" s="27" customFormat="1" spans="1:14">
      <c r="A228" s="43">
        <v>45653</v>
      </c>
      <c r="B228" s="44">
        <v>86</v>
      </c>
      <c r="C228" s="45" t="s">
        <v>50</v>
      </c>
      <c r="D228" s="45"/>
      <c r="E228" s="45"/>
      <c r="F228" s="46" t="s">
        <v>24</v>
      </c>
      <c r="G228" s="47">
        <v>2</v>
      </c>
      <c r="H228" s="47">
        <v>25</v>
      </c>
      <c r="I228" s="47">
        <f t="shared" si="15"/>
        <v>50</v>
      </c>
      <c r="J228" s="60">
        <v>23.5</v>
      </c>
      <c r="K228" s="60">
        <f t="shared" si="16"/>
        <v>1175</v>
      </c>
      <c r="L228" s="24" t="s">
        <v>79</v>
      </c>
      <c r="M228" s="47"/>
      <c r="N228" s="24"/>
    </row>
    <row r="229" s="25" customFormat="1" spans="1:14">
      <c r="A229" s="43">
        <v>45653</v>
      </c>
      <c r="B229" s="44">
        <v>86</v>
      </c>
      <c r="C229" s="47">
        <v>3528</v>
      </c>
      <c r="D229" s="47"/>
      <c r="E229" s="47"/>
      <c r="F229" s="46" t="s">
        <v>16</v>
      </c>
      <c r="G229" s="47">
        <v>2</v>
      </c>
      <c r="H229" s="47">
        <v>20</v>
      </c>
      <c r="I229" s="47">
        <f t="shared" si="15"/>
        <v>40</v>
      </c>
      <c r="J229" s="60">
        <v>26</v>
      </c>
      <c r="K229" s="60">
        <f t="shared" si="16"/>
        <v>1040</v>
      </c>
      <c r="L229" s="24"/>
      <c r="M229" s="47"/>
      <c r="N229" s="24"/>
    </row>
    <row r="230" s="25" customFormat="1" spans="1:14">
      <c r="A230" s="43">
        <v>45653</v>
      </c>
      <c r="B230" s="44">
        <v>86</v>
      </c>
      <c r="C230" s="47"/>
      <c r="D230" s="47"/>
      <c r="E230" s="47"/>
      <c r="F230" s="46" t="s">
        <v>23</v>
      </c>
      <c r="G230" s="47">
        <v>2</v>
      </c>
      <c r="H230" s="47">
        <v>20</v>
      </c>
      <c r="I230" s="47">
        <f t="shared" si="15"/>
        <v>40</v>
      </c>
      <c r="J230" s="60">
        <v>17.5</v>
      </c>
      <c r="K230" s="60">
        <f t="shared" si="16"/>
        <v>700</v>
      </c>
      <c r="L230" s="24"/>
      <c r="M230" s="47">
        <f t="shared" ref="M230:M234" si="17">SUM(K228:K230)</f>
        <v>2915</v>
      </c>
      <c r="N230" s="61"/>
    </row>
    <row r="231" s="23" customFormat="1" spans="1:14">
      <c r="A231" s="39">
        <v>45660</v>
      </c>
      <c r="B231" s="40" t="s">
        <v>83</v>
      </c>
      <c r="C231" s="35" t="s">
        <v>14</v>
      </c>
      <c r="D231" s="35"/>
      <c r="E231" s="35"/>
      <c r="F231" s="42" t="s">
        <v>15</v>
      </c>
      <c r="G231" s="35">
        <v>10</v>
      </c>
      <c r="H231" s="35">
        <v>28</v>
      </c>
      <c r="I231" s="35">
        <f t="shared" si="15"/>
        <v>280</v>
      </c>
      <c r="J231" s="56">
        <v>9.5</v>
      </c>
      <c r="K231" s="56">
        <f t="shared" si="16"/>
        <v>2660</v>
      </c>
      <c r="L231" s="42">
        <v>9804</v>
      </c>
      <c r="M231" s="42"/>
      <c r="N231" s="57"/>
    </row>
    <row r="232" s="26" customFormat="1" spans="1:14">
      <c r="A232" s="39">
        <v>45660</v>
      </c>
      <c r="B232" s="40" t="s">
        <v>83</v>
      </c>
      <c r="C232" s="33" t="s">
        <v>50</v>
      </c>
      <c r="D232" s="33"/>
      <c r="E232" s="33"/>
      <c r="F232" s="42" t="s">
        <v>24</v>
      </c>
      <c r="G232" s="35">
        <v>2</v>
      </c>
      <c r="H232" s="35">
        <v>25</v>
      </c>
      <c r="I232" s="35">
        <f t="shared" si="15"/>
        <v>50</v>
      </c>
      <c r="J232" s="56">
        <v>23.5</v>
      </c>
      <c r="K232" s="56">
        <f t="shared" si="16"/>
        <v>1175</v>
      </c>
      <c r="L232" s="21" t="s">
        <v>79</v>
      </c>
      <c r="M232" s="35"/>
      <c r="N232" s="21"/>
    </row>
    <row r="233" s="23" customFormat="1" spans="1:14">
      <c r="A233" s="39">
        <v>45660</v>
      </c>
      <c r="B233" s="40" t="s">
        <v>83</v>
      </c>
      <c r="C233" s="35"/>
      <c r="D233" s="35"/>
      <c r="E233" s="35"/>
      <c r="F233" s="42" t="s">
        <v>23</v>
      </c>
      <c r="G233" s="35">
        <v>2</v>
      </c>
      <c r="H233" s="35">
        <v>20</v>
      </c>
      <c r="I233" s="35">
        <f t="shared" si="15"/>
        <v>40</v>
      </c>
      <c r="J233" s="56">
        <v>17.5</v>
      </c>
      <c r="K233" s="56">
        <f t="shared" si="16"/>
        <v>700</v>
      </c>
      <c r="L233" s="21"/>
      <c r="M233" s="35">
        <f t="shared" si="17"/>
        <v>4535</v>
      </c>
      <c r="N233" s="57"/>
    </row>
    <row r="234" s="25" customFormat="1" spans="1:14">
      <c r="A234" s="43">
        <v>45663</v>
      </c>
      <c r="B234" s="44">
        <v>20</v>
      </c>
      <c r="C234" s="47"/>
      <c r="D234" s="47"/>
      <c r="E234" s="47"/>
      <c r="F234" s="46" t="s">
        <v>23</v>
      </c>
      <c r="G234" s="47">
        <v>5</v>
      </c>
      <c r="H234" s="47">
        <v>20</v>
      </c>
      <c r="I234" s="47">
        <f t="shared" si="15"/>
        <v>100</v>
      </c>
      <c r="J234" s="60">
        <v>17.5</v>
      </c>
      <c r="K234" s="60">
        <f t="shared" si="16"/>
        <v>1750</v>
      </c>
      <c r="L234" s="24"/>
      <c r="M234" s="47">
        <f t="shared" si="17"/>
        <v>3625</v>
      </c>
      <c r="N234" s="61"/>
    </row>
    <row r="235" s="23" customFormat="1" spans="1:14">
      <c r="A235" s="39">
        <v>45665</v>
      </c>
      <c r="B235" s="40">
        <v>35</v>
      </c>
      <c r="C235" s="35">
        <v>24055</v>
      </c>
      <c r="D235" s="35"/>
      <c r="E235" s="35"/>
      <c r="F235" s="42" t="s">
        <v>56</v>
      </c>
      <c r="G235" s="35">
        <v>2</v>
      </c>
      <c r="H235" s="35">
        <v>26</v>
      </c>
      <c r="I235" s="35">
        <f t="shared" si="15"/>
        <v>52</v>
      </c>
      <c r="J235" s="56">
        <v>18.5</v>
      </c>
      <c r="K235" s="56">
        <f t="shared" si="16"/>
        <v>962</v>
      </c>
      <c r="L235" s="21"/>
      <c r="M235" s="35"/>
      <c r="N235" s="57"/>
    </row>
    <row r="236" s="23" customFormat="1" spans="1:14">
      <c r="A236" s="39">
        <v>45664</v>
      </c>
      <c r="B236" s="40">
        <v>35</v>
      </c>
      <c r="C236" s="35">
        <v>24055</v>
      </c>
      <c r="D236" s="35"/>
      <c r="E236" s="35"/>
      <c r="F236" s="42" t="s">
        <v>56</v>
      </c>
      <c r="G236" s="35">
        <v>3</v>
      </c>
      <c r="H236" s="35">
        <v>25</v>
      </c>
      <c r="I236" s="35">
        <f t="shared" si="15"/>
        <v>75</v>
      </c>
      <c r="J236" s="56">
        <v>18.5</v>
      </c>
      <c r="K236" s="56">
        <f t="shared" si="16"/>
        <v>1387.5</v>
      </c>
      <c r="L236" s="21"/>
      <c r="M236" s="35"/>
      <c r="N236" s="57"/>
    </row>
    <row r="237" s="21" customFormat="1" spans="1:14">
      <c r="A237" s="39">
        <v>45664</v>
      </c>
      <c r="B237" s="40">
        <v>35</v>
      </c>
      <c r="C237" s="33"/>
      <c r="D237" s="33"/>
      <c r="E237" s="33"/>
      <c r="F237" s="42" t="s">
        <v>34</v>
      </c>
      <c r="G237" s="35">
        <v>8</v>
      </c>
      <c r="H237" s="35">
        <v>10</v>
      </c>
      <c r="I237" s="35">
        <f t="shared" si="15"/>
        <v>80</v>
      </c>
      <c r="J237" s="56">
        <v>17.5</v>
      </c>
      <c r="K237" s="56">
        <f t="shared" si="16"/>
        <v>1400</v>
      </c>
      <c r="L237" s="33"/>
      <c r="M237" s="57"/>
      <c r="N237" s="57"/>
    </row>
    <row r="238" s="23" customFormat="1" spans="1:14">
      <c r="A238" s="39">
        <v>45664</v>
      </c>
      <c r="B238" s="40">
        <v>35</v>
      </c>
      <c r="C238" s="35">
        <v>3528</v>
      </c>
      <c r="D238" s="35"/>
      <c r="E238" s="35"/>
      <c r="F238" s="42" t="s">
        <v>16</v>
      </c>
      <c r="G238" s="35">
        <v>3</v>
      </c>
      <c r="H238" s="35">
        <v>20</v>
      </c>
      <c r="I238" s="35">
        <f t="shared" si="15"/>
        <v>60</v>
      </c>
      <c r="J238" s="56">
        <v>26</v>
      </c>
      <c r="K238" s="56">
        <f t="shared" si="16"/>
        <v>1560</v>
      </c>
      <c r="L238" s="21"/>
      <c r="M238" s="35">
        <f>SUM(K235:K238)</f>
        <v>5309.5</v>
      </c>
      <c r="N238" s="21"/>
    </row>
    <row r="239" s="25" customFormat="1" spans="1:14">
      <c r="A239" s="43">
        <v>45672</v>
      </c>
      <c r="B239" s="44">
        <v>51</v>
      </c>
      <c r="C239" s="47" t="s">
        <v>17</v>
      </c>
      <c r="D239" s="47"/>
      <c r="E239" s="47"/>
      <c r="F239" s="46" t="s">
        <v>18</v>
      </c>
      <c r="G239" s="47">
        <v>3</v>
      </c>
      <c r="H239" s="47">
        <v>20</v>
      </c>
      <c r="I239" s="47">
        <f t="shared" si="15"/>
        <v>60</v>
      </c>
      <c r="J239" s="60">
        <v>26</v>
      </c>
      <c r="K239" s="60">
        <f t="shared" si="16"/>
        <v>1560</v>
      </c>
      <c r="L239" s="24"/>
      <c r="M239" s="47"/>
      <c r="N239" s="24"/>
    </row>
    <row r="240" s="25" customFormat="1" spans="1:14">
      <c r="A240" s="43">
        <v>45672</v>
      </c>
      <c r="B240" s="44">
        <v>51</v>
      </c>
      <c r="C240" s="169" t="s">
        <v>84</v>
      </c>
      <c r="D240" s="47"/>
      <c r="E240" s="47"/>
      <c r="F240" s="46" t="s">
        <v>85</v>
      </c>
      <c r="G240" s="47">
        <v>1</v>
      </c>
      <c r="H240" s="47">
        <v>11</v>
      </c>
      <c r="I240" s="47">
        <f t="shared" si="15"/>
        <v>11</v>
      </c>
      <c r="J240" s="60">
        <v>27.5</v>
      </c>
      <c r="K240" s="60">
        <f t="shared" si="16"/>
        <v>302.5</v>
      </c>
      <c r="L240" s="24"/>
      <c r="M240" s="47"/>
      <c r="N240" s="24"/>
    </row>
    <row r="241" s="24" customFormat="1" spans="1:14">
      <c r="A241" s="43">
        <v>45672</v>
      </c>
      <c r="B241" s="44">
        <v>51</v>
      </c>
      <c r="C241" s="45"/>
      <c r="D241" s="45"/>
      <c r="E241" s="45"/>
      <c r="F241" s="46" t="s">
        <v>34</v>
      </c>
      <c r="G241" s="47">
        <v>4</v>
      </c>
      <c r="H241" s="47">
        <v>10</v>
      </c>
      <c r="I241" s="47">
        <f t="shared" si="15"/>
        <v>40</v>
      </c>
      <c r="J241" s="60">
        <v>17.5</v>
      </c>
      <c r="K241" s="60">
        <f t="shared" si="16"/>
        <v>700</v>
      </c>
      <c r="L241" s="45" t="s">
        <v>86</v>
      </c>
      <c r="M241" s="61">
        <f>SUM(K239:K241)</f>
        <v>2562.5</v>
      </c>
      <c r="N241" s="61"/>
    </row>
    <row r="242" s="21" customFormat="1" spans="1:14">
      <c r="A242" s="39">
        <v>45706</v>
      </c>
      <c r="B242" s="40">
        <v>11</v>
      </c>
      <c r="C242" s="33" t="s">
        <v>52</v>
      </c>
      <c r="D242" s="33"/>
      <c r="E242" s="33"/>
      <c r="F242" s="41" t="s">
        <v>53</v>
      </c>
      <c r="G242" s="35">
        <v>1</v>
      </c>
      <c r="H242" s="35">
        <v>18</v>
      </c>
      <c r="I242" s="35">
        <f t="shared" si="15"/>
        <v>18</v>
      </c>
      <c r="J242" s="56">
        <v>26</v>
      </c>
      <c r="K242" s="56">
        <f t="shared" si="16"/>
        <v>468</v>
      </c>
      <c r="L242" s="57" t="s">
        <v>87</v>
      </c>
      <c r="M242" s="35"/>
      <c r="N242" s="57"/>
    </row>
    <row r="243" s="23" customFormat="1" spans="1:14">
      <c r="A243" s="39">
        <v>45706</v>
      </c>
      <c r="B243" s="40">
        <v>11</v>
      </c>
      <c r="C243" s="35" t="s">
        <v>14</v>
      </c>
      <c r="D243" s="35"/>
      <c r="E243" s="35"/>
      <c r="F243" s="42" t="s">
        <v>15</v>
      </c>
      <c r="G243" s="35">
        <v>10</v>
      </c>
      <c r="H243" s="35">
        <v>28</v>
      </c>
      <c r="I243" s="35">
        <f t="shared" si="15"/>
        <v>280</v>
      </c>
      <c r="J243" s="56">
        <v>9.5</v>
      </c>
      <c r="K243" s="56">
        <f t="shared" si="16"/>
        <v>2660</v>
      </c>
      <c r="L243" s="42">
        <v>9804</v>
      </c>
      <c r="M243" s="42"/>
      <c r="N243" s="57"/>
    </row>
    <row r="244" s="23" customFormat="1" spans="1:14">
      <c r="A244" s="39">
        <v>45706</v>
      </c>
      <c r="B244" s="40">
        <v>11</v>
      </c>
      <c r="C244" s="35">
        <v>3528</v>
      </c>
      <c r="D244" s="35"/>
      <c r="E244" s="35"/>
      <c r="F244" s="42" t="s">
        <v>16</v>
      </c>
      <c r="G244" s="35">
        <v>4</v>
      </c>
      <c r="H244" s="35">
        <v>20</v>
      </c>
      <c r="I244" s="35">
        <f t="shared" si="15"/>
        <v>80</v>
      </c>
      <c r="J244" s="56">
        <v>26</v>
      </c>
      <c r="K244" s="56">
        <f t="shared" si="16"/>
        <v>2080</v>
      </c>
      <c r="L244" s="21"/>
      <c r="M244" s="42"/>
      <c r="N244" s="21"/>
    </row>
    <row r="245" s="23" customFormat="1" spans="1:14">
      <c r="A245" s="39">
        <v>45706</v>
      </c>
      <c r="B245" s="40">
        <v>11</v>
      </c>
      <c r="C245" s="35"/>
      <c r="D245" s="35"/>
      <c r="E245" s="35"/>
      <c r="F245" s="42" t="s">
        <v>23</v>
      </c>
      <c r="G245" s="35">
        <v>3</v>
      </c>
      <c r="H245" s="35">
        <v>20</v>
      </c>
      <c r="I245" s="35">
        <f t="shared" si="15"/>
        <v>60</v>
      </c>
      <c r="J245" s="56">
        <v>17.5</v>
      </c>
      <c r="K245" s="56">
        <f t="shared" si="16"/>
        <v>1050</v>
      </c>
      <c r="L245" s="21"/>
      <c r="M245" s="35">
        <f>SUM(K242:K245)</f>
        <v>6258</v>
      </c>
      <c r="N245" s="57"/>
    </row>
    <row r="246" s="24" customFormat="1" spans="1:14">
      <c r="A246" s="43">
        <v>45708</v>
      </c>
      <c r="B246" s="44">
        <v>28</v>
      </c>
      <c r="C246" s="45"/>
      <c r="D246" s="45"/>
      <c r="E246" s="45"/>
      <c r="F246" s="46" t="s">
        <v>34</v>
      </c>
      <c r="G246" s="47">
        <v>3</v>
      </c>
      <c r="H246" s="47">
        <v>10</v>
      </c>
      <c r="I246" s="47">
        <f t="shared" si="15"/>
        <v>30</v>
      </c>
      <c r="J246" s="60">
        <v>17.5</v>
      </c>
      <c r="K246" s="60">
        <f t="shared" si="16"/>
        <v>525</v>
      </c>
      <c r="L246" s="45"/>
      <c r="M246" s="61"/>
      <c r="N246" s="61"/>
    </row>
    <row r="247" s="25" customFormat="1" spans="1:14">
      <c r="A247" s="43">
        <v>45708</v>
      </c>
      <c r="B247" s="44">
        <v>28</v>
      </c>
      <c r="C247" s="47"/>
      <c r="D247" s="47"/>
      <c r="E247" s="47"/>
      <c r="F247" s="46" t="s">
        <v>23</v>
      </c>
      <c r="G247" s="47">
        <v>4</v>
      </c>
      <c r="H247" s="47">
        <v>20</v>
      </c>
      <c r="I247" s="47">
        <f t="shared" si="15"/>
        <v>80</v>
      </c>
      <c r="J247" s="60">
        <v>17.5</v>
      </c>
      <c r="K247" s="60">
        <f t="shared" si="16"/>
        <v>1400</v>
      </c>
      <c r="L247" s="24"/>
      <c r="M247" s="47">
        <f>SUM(K245:K247)</f>
        <v>2975</v>
      </c>
      <c r="N247" s="61"/>
    </row>
    <row r="248" s="26" customFormat="1" spans="1:16384">
      <c r="A248" s="39">
        <v>45740</v>
      </c>
      <c r="B248" s="40">
        <v>92</v>
      </c>
      <c r="C248" s="157" t="s">
        <v>88</v>
      </c>
      <c r="D248" s="48"/>
      <c r="E248" s="48"/>
      <c r="F248" s="48" t="s">
        <v>32</v>
      </c>
      <c r="G248" s="35">
        <v>2</v>
      </c>
      <c r="H248" s="35">
        <v>25</v>
      </c>
      <c r="I248" s="35">
        <f t="shared" si="15"/>
        <v>50</v>
      </c>
      <c r="J248" s="56">
        <v>18.5</v>
      </c>
      <c r="K248" s="56">
        <f t="shared" si="16"/>
        <v>925</v>
      </c>
      <c r="L248" s="42"/>
      <c r="M248" s="42"/>
      <c r="N248" s="57"/>
      <c r="XFD248" s="23"/>
    </row>
    <row r="249" s="21" customFormat="1" spans="1:14">
      <c r="A249" s="39">
        <v>45740</v>
      </c>
      <c r="B249" s="40">
        <v>92</v>
      </c>
      <c r="C249" s="35"/>
      <c r="D249" s="35"/>
      <c r="E249" s="35"/>
      <c r="F249" s="42" t="s">
        <v>34</v>
      </c>
      <c r="G249" s="35">
        <v>2</v>
      </c>
      <c r="H249" s="35">
        <v>10</v>
      </c>
      <c r="I249" s="35">
        <f t="shared" si="15"/>
        <v>20</v>
      </c>
      <c r="J249" s="56">
        <v>17.5</v>
      </c>
      <c r="K249" s="56">
        <f t="shared" si="16"/>
        <v>350</v>
      </c>
      <c r="L249" s="33"/>
      <c r="M249" s="57"/>
      <c r="N249" s="57"/>
    </row>
    <row r="250" s="64" customFormat="1" spans="1:14">
      <c r="A250" s="39">
        <v>45740</v>
      </c>
      <c r="B250" s="40">
        <v>92</v>
      </c>
      <c r="C250" s="35"/>
      <c r="D250" s="35"/>
      <c r="E250" s="35"/>
      <c r="F250" s="42" t="s">
        <v>23</v>
      </c>
      <c r="G250" s="35">
        <v>2</v>
      </c>
      <c r="H250" s="35">
        <v>20</v>
      </c>
      <c r="I250" s="35">
        <f t="shared" si="15"/>
        <v>40</v>
      </c>
      <c r="J250" s="56">
        <v>17.5</v>
      </c>
      <c r="K250" s="56">
        <f t="shared" si="16"/>
        <v>700</v>
      </c>
      <c r="L250" s="57"/>
      <c r="M250" s="57"/>
      <c r="N250" s="57"/>
    </row>
    <row r="251" s="25" customFormat="1" spans="1:14">
      <c r="A251" s="43">
        <v>45660</v>
      </c>
      <c r="B251" s="44" t="s">
        <v>83</v>
      </c>
      <c r="C251" s="47" t="s">
        <v>14</v>
      </c>
      <c r="D251" s="47"/>
      <c r="E251" s="47"/>
      <c r="F251" s="46" t="s">
        <v>15</v>
      </c>
      <c r="G251" s="47">
        <v>6</v>
      </c>
      <c r="H251" s="47">
        <v>28</v>
      </c>
      <c r="I251" s="47">
        <f t="shared" si="15"/>
        <v>168</v>
      </c>
      <c r="J251" s="60">
        <v>9.5</v>
      </c>
      <c r="K251" s="60">
        <f t="shared" si="16"/>
        <v>1596</v>
      </c>
      <c r="L251" s="46">
        <v>9804</v>
      </c>
      <c r="M251" s="46"/>
      <c r="N251" s="61"/>
    </row>
    <row r="252" s="26" customFormat="1" spans="1:16384">
      <c r="A252" s="39">
        <v>45740</v>
      </c>
      <c r="B252" s="40">
        <v>92</v>
      </c>
      <c r="C252" s="157" t="s">
        <v>88</v>
      </c>
      <c r="D252" s="48"/>
      <c r="E252" s="48"/>
      <c r="F252" s="48" t="s">
        <v>32</v>
      </c>
      <c r="G252" s="35">
        <v>2</v>
      </c>
      <c r="H252" s="35">
        <v>25</v>
      </c>
      <c r="I252" s="35">
        <f t="shared" si="15"/>
        <v>50</v>
      </c>
      <c r="J252" s="56">
        <v>18.5</v>
      </c>
      <c r="K252" s="56">
        <f t="shared" si="16"/>
        <v>925</v>
      </c>
      <c r="L252" s="42"/>
      <c r="M252" s="42"/>
      <c r="N252" s="57"/>
      <c r="XFD252" s="23"/>
    </row>
    <row r="253" s="21" customFormat="1" spans="1:14">
      <c r="A253" s="39">
        <v>45740</v>
      </c>
      <c r="B253" s="40">
        <v>92</v>
      </c>
      <c r="C253" s="35"/>
      <c r="D253" s="35"/>
      <c r="E253" s="35"/>
      <c r="F253" s="42" t="s">
        <v>34</v>
      </c>
      <c r="G253" s="35">
        <v>3</v>
      </c>
      <c r="H253" s="35">
        <v>10</v>
      </c>
      <c r="I253" s="35">
        <f t="shared" si="15"/>
        <v>30</v>
      </c>
      <c r="J253" s="56">
        <v>17.5</v>
      </c>
      <c r="K253" s="56">
        <f t="shared" si="16"/>
        <v>525</v>
      </c>
      <c r="L253" s="33"/>
      <c r="M253" s="57"/>
      <c r="N253" s="57"/>
    </row>
    <row r="254" s="25" customFormat="1" spans="1:14">
      <c r="A254" s="43">
        <v>45664</v>
      </c>
      <c r="B254" s="44">
        <v>35</v>
      </c>
      <c r="C254" s="47">
        <v>24055</v>
      </c>
      <c r="D254" s="47"/>
      <c r="E254" s="47"/>
      <c r="F254" s="46" t="s">
        <v>56</v>
      </c>
      <c r="G254" s="47">
        <v>5</v>
      </c>
      <c r="H254" s="47">
        <v>25</v>
      </c>
      <c r="I254" s="47">
        <f t="shared" si="15"/>
        <v>125</v>
      </c>
      <c r="J254" s="60">
        <v>18.5</v>
      </c>
      <c r="K254" s="60">
        <f t="shared" si="16"/>
        <v>2312.5</v>
      </c>
      <c r="L254" s="24"/>
      <c r="M254" s="47"/>
      <c r="N254" s="61"/>
    </row>
    <row r="255" s="25" customFormat="1" spans="1:14">
      <c r="A255" s="43"/>
      <c r="B255" s="44"/>
      <c r="C255" s="47"/>
      <c r="D255" s="47"/>
      <c r="E255" s="47"/>
      <c r="F255" s="46"/>
      <c r="G255" s="47"/>
      <c r="H255" s="47"/>
      <c r="I255" s="47"/>
      <c r="J255" s="60"/>
      <c r="K255" s="60"/>
      <c r="L255" s="24"/>
      <c r="M255" s="47"/>
      <c r="N255" s="61"/>
    </row>
    <row r="256" s="25" customFormat="1" spans="1:14">
      <c r="A256" s="43"/>
      <c r="B256" s="44"/>
      <c r="C256" s="47"/>
      <c r="D256" s="47"/>
      <c r="E256" s="47"/>
      <c r="F256" s="46"/>
      <c r="G256" s="47"/>
      <c r="H256" s="47"/>
      <c r="I256" s="47"/>
      <c r="J256" s="60"/>
      <c r="K256" s="60"/>
      <c r="L256" s="24"/>
      <c r="M256" s="47"/>
      <c r="N256" s="61"/>
    </row>
    <row r="257" s="25" customFormat="1" spans="1:14">
      <c r="A257" s="43"/>
      <c r="B257" s="44"/>
      <c r="C257" s="47"/>
      <c r="D257" s="47"/>
      <c r="E257" s="47"/>
      <c r="F257" s="46"/>
      <c r="G257" s="47"/>
      <c r="H257" s="47"/>
      <c r="I257" s="47"/>
      <c r="J257" s="60"/>
      <c r="K257" s="60"/>
      <c r="L257" s="24"/>
      <c r="M257" s="47"/>
      <c r="N257" s="61"/>
    </row>
    <row r="258" s="25" customFormat="1" spans="1:14">
      <c r="A258" s="43"/>
      <c r="B258" s="44"/>
      <c r="C258" s="47"/>
      <c r="D258" s="47"/>
      <c r="E258" s="47"/>
      <c r="F258" s="46"/>
      <c r="G258" s="47"/>
      <c r="H258" s="47"/>
      <c r="I258" s="47"/>
      <c r="J258" s="60"/>
      <c r="K258" s="60"/>
      <c r="L258" s="24"/>
      <c r="M258" s="47"/>
      <c r="N258" s="61"/>
    </row>
    <row r="259" s="25" customFormat="1" spans="1:14">
      <c r="A259" s="43"/>
      <c r="B259" s="44"/>
      <c r="C259" s="47"/>
      <c r="D259" s="47"/>
      <c r="E259" s="47"/>
      <c r="F259" s="46"/>
      <c r="G259" s="47"/>
      <c r="H259" s="47"/>
      <c r="I259" s="47"/>
      <c r="J259" s="60"/>
      <c r="K259" s="60"/>
      <c r="L259" s="24"/>
      <c r="M259" s="47"/>
      <c r="N259" s="61"/>
    </row>
    <row r="260" s="25" customFormat="1" spans="1:14">
      <c r="A260" s="43"/>
      <c r="B260" s="44"/>
      <c r="C260" s="47"/>
      <c r="D260" s="47"/>
      <c r="E260" s="47"/>
      <c r="F260" s="46"/>
      <c r="G260" s="47"/>
      <c r="H260" s="47"/>
      <c r="I260" s="47"/>
      <c r="J260" s="60"/>
      <c r="K260" s="60"/>
      <c r="L260" s="24"/>
      <c r="M260" s="47"/>
      <c r="N260" s="61"/>
    </row>
    <row r="261" s="25" customFormat="1" spans="1:14">
      <c r="A261" s="43"/>
      <c r="B261" s="44"/>
      <c r="C261" s="47"/>
      <c r="D261" s="47"/>
      <c r="E261" s="47"/>
      <c r="F261" s="46"/>
      <c r="G261" s="47"/>
      <c r="H261" s="47"/>
      <c r="I261" s="47"/>
      <c r="J261" s="60"/>
      <c r="K261" s="60"/>
      <c r="L261" s="24"/>
      <c r="M261" s="47"/>
      <c r="N261" s="61"/>
    </row>
    <row r="262" s="5" customFormat="1" spans="1:14">
      <c r="A262" s="162">
        <v>45576</v>
      </c>
      <c r="B262" s="86" t="s">
        <v>89</v>
      </c>
      <c r="C262" s="163" t="s">
        <v>90</v>
      </c>
      <c r="E262" s="164" t="s">
        <v>91</v>
      </c>
      <c r="F262" s="86" t="s">
        <v>92</v>
      </c>
      <c r="G262" s="86">
        <v>4</v>
      </c>
      <c r="H262" s="86">
        <v>20</v>
      </c>
      <c r="I262" s="68">
        <f>G262*H262</f>
        <v>80</v>
      </c>
      <c r="J262" s="167"/>
      <c r="K262" s="167"/>
      <c r="L262" s="86" t="s">
        <v>93</v>
      </c>
      <c r="M262" s="86"/>
      <c r="N262" s="86"/>
    </row>
    <row r="263" spans="6:13">
      <c r="F263" s="165"/>
      <c r="G263" s="166"/>
      <c r="H263" s="166"/>
      <c r="I263" s="168"/>
      <c r="J263" s="168"/>
      <c r="K263" s="168"/>
      <c r="L263" s="168"/>
      <c r="M263" s="168"/>
    </row>
  </sheetData>
  <autoFilter xmlns:etc="http://www.wps.cn/officeDocument/2017/etCustomData" ref="A2:XFD262" etc:filterBottomFollowUsedRange="0">
    <extLst/>
  </autoFilter>
  <mergeCells count="262">
    <mergeCell ref="A1:I1"/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A55:D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D196"/>
    <mergeCell ref="C197:D197"/>
    <mergeCell ref="C198:D198"/>
    <mergeCell ref="C199:E199"/>
    <mergeCell ref="C200:E200"/>
    <mergeCell ref="C201:E201"/>
    <mergeCell ref="C202:E202"/>
    <mergeCell ref="C203:E203"/>
    <mergeCell ref="C204:E204"/>
    <mergeCell ref="C205:D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D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D26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7"/>
  <sheetViews>
    <sheetView tabSelected="1" workbookViewId="0">
      <selection activeCell="O9" sqref="O9"/>
    </sheetView>
  </sheetViews>
  <sheetFormatPr defaultColWidth="9" defaultRowHeight="14.25"/>
  <cols>
    <col min="1" max="1" width="3.5" style="94" customWidth="1"/>
    <col min="2" max="2" width="2.25" style="94" customWidth="1"/>
    <col min="3" max="3" width="13" style="94" customWidth="1"/>
    <col min="4" max="4" width="26.375" style="94" customWidth="1"/>
    <col min="5" max="5" width="11.625" style="94" customWidth="1"/>
    <col min="6" max="6" width="12" style="94" customWidth="1"/>
    <col min="7" max="7" width="11.7583333333333" style="94" customWidth="1"/>
    <col min="8" max="8" width="12.875" style="94" customWidth="1"/>
    <col min="9" max="9" width="18.5" style="94" customWidth="1"/>
    <col min="10" max="10" width="13.125" style="94" customWidth="1"/>
    <col min="11" max="11" width="5.625" style="94" customWidth="1"/>
    <col min="12" max="12" width="2" style="94" hidden="1" customWidth="1"/>
    <col min="13" max="13" width="2.5" customWidth="1"/>
  </cols>
  <sheetData>
    <row r="1" ht="34" customHeight="1" spans="1:10">
      <c r="A1" s="95" t="s">
        <v>94</v>
      </c>
      <c r="B1" s="95"/>
      <c r="C1" s="95"/>
      <c r="D1" s="95"/>
      <c r="E1" s="95"/>
      <c r="F1" s="95"/>
      <c r="G1" s="95"/>
      <c r="H1" s="95"/>
      <c r="I1" s="95"/>
      <c r="J1" s="95"/>
    </row>
    <row r="2" ht="34" customHeight="1" spans="1:10">
      <c r="A2" s="96" t="s">
        <v>95</v>
      </c>
      <c r="B2" s="96"/>
      <c r="C2" s="96"/>
      <c r="D2" s="96"/>
      <c r="E2" s="96"/>
      <c r="F2" s="96"/>
      <c r="G2" s="96"/>
      <c r="H2" s="96"/>
      <c r="I2" s="96"/>
      <c r="J2" s="96"/>
    </row>
    <row r="3" ht="26" customHeight="1" spans="1:10">
      <c r="A3" s="37" t="s">
        <v>96</v>
      </c>
      <c r="B3" s="37"/>
      <c r="C3" s="37"/>
      <c r="D3" s="37" t="s">
        <v>97</v>
      </c>
      <c r="E3" s="37" t="s">
        <v>6</v>
      </c>
      <c r="F3" s="37" t="s">
        <v>7</v>
      </c>
      <c r="G3" s="37" t="s">
        <v>8</v>
      </c>
      <c r="H3" s="37" t="s">
        <v>9</v>
      </c>
      <c r="I3" s="37" t="s">
        <v>10</v>
      </c>
      <c r="J3" s="122" t="s">
        <v>98</v>
      </c>
    </row>
    <row r="4" s="61" customFormat="1" ht="24" customHeight="1" spans="1:12">
      <c r="A4" s="97">
        <v>555</v>
      </c>
      <c r="B4" s="97"/>
      <c r="C4" s="97"/>
      <c r="D4" s="98" t="s">
        <v>99</v>
      </c>
      <c r="E4" s="36">
        <v>3</v>
      </c>
      <c r="F4" s="36">
        <v>20</v>
      </c>
      <c r="G4" s="36">
        <f>E4*F4</f>
        <v>60</v>
      </c>
      <c r="H4" s="99">
        <v>18.5</v>
      </c>
      <c r="I4" s="99">
        <f>G4*H4</f>
        <v>1110</v>
      </c>
      <c r="J4" s="59"/>
      <c r="K4" s="45"/>
      <c r="L4" s="45"/>
    </row>
    <row r="5" s="61" customFormat="1" ht="24" customHeight="1" spans="1:12">
      <c r="A5" s="97"/>
      <c r="B5" s="97"/>
      <c r="C5" s="97"/>
      <c r="D5" s="98" t="s">
        <v>23</v>
      </c>
      <c r="E5" s="36">
        <v>3</v>
      </c>
      <c r="F5" s="36">
        <v>20</v>
      </c>
      <c r="G5" s="36">
        <f>E5*F5</f>
        <v>60</v>
      </c>
      <c r="H5" s="99">
        <v>17.5</v>
      </c>
      <c r="I5" s="99">
        <f>G5*H5</f>
        <v>1050</v>
      </c>
      <c r="J5" s="59"/>
      <c r="K5" s="45"/>
      <c r="L5" s="45"/>
    </row>
    <row r="6" ht="24" customHeight="1" spans="1:15">
      <c r="A6" s="36"/>
      <c r="B6" s="36"/>
      <c r="C6" s="36"/>
      <c r="D6" s="98"/>
      <c r="E6" s="36"/>
      <c r="F6" s="36"/>
      <c r="G6" s="36"/>
      <c r="H6" s="99"/>
      <c r="I6" s="99"/>
      <c r="J6" s="59"/>
      <c r="K6" s="123"/>
      <c r="L6" s="124"/>
      <c r="O6" s="125"/>
    </row>
    <row r="7" ht="24" customHeight="1" spans="1:12">
      <c r="A7" s="100"/>
      <c r="B7" s="100"/>
      <c r="C7" s="100"/>
      <c r="D7" s="101"/>
      <c r="E7" s="100"/>
      <c r="F7" s="100"/>
      <c r="G7" s="100"/>
      <c r="H7" s="102"/>
      <c r="I7" s="102"/>
      <c r="J7" s="59"/>
      <c r="K7" s="124"/>
      <c r="L7" s="124"/>
    </row>
    <row r="8" ht="24" customHeight="1" spans="1:12">
      <c r="A8" s="100"/>
      <c r="B8" s="100"/>
      <c r="C8" s="100"/>
      <c r="D8" s="98"/>
      <c r="E8" s="36"/>
      <c r="F8" s="36"/>
      <c r="G8" s="36"/>
      <c r="H8" s="99"/>
      <c r="I8" s="99"/>
      <c r="J8" s="59"/>
      <c r="K8" s="124"/>
      <c r="L8" s="124"/>
    </row>
    <row r="9" s="93" customFormat="1" ht="24" customHeight="1" spans="1:13">
      <c r="A9" s="100"/>
      <c r="B9" s="100"/>
      <c r="C9" s="100"/>
      <c r="D9" s="101"/>
      <c r="E9" s="100"/>
      <c r="F9" s="100"/>
      <c r="G9" s="100"/>
      <c r="H9" s="102"/>
      <c r="I9" s="102"/>
      <c r="J9" s="122"/>
      <c r="K9" s="126"/>
      <c r="L9"/>
      <c r="M9" s="127"/>
    </row>
    <row r="10" s="93" customFormat="1" ht="24" customHeight="1" spans="1:12">
      <c r="A10" s="100"/>
      <c r="B10" s="100"/>
      <c r="C10" s="100"/>
      <c r="D10" s="101"/>
      <c r="E10" s="100"/>
      <c r="F10" s="100"/>
      <c r="G10" s="100"/>
      <c r="H10" s="102"/>
      <c r="I10" s="102"/>
      <c r="J10" s="122"/>
      <c r="K10" s="126"/>
      <c r="L10" s="128"/>
    </row>
    <row r="11" s="93" customFormat="1" ht="24" customHeight="1" spans="1:12">
      <c r="A11" s="100"/>
      <c r="B11" s="100"/>
      <c r="C11" s="100"/>
      <c r="D11" s="101"/>
      <c r="E11" s="100"/>
      <c r="F11" s="100"/>
      <c r="G11" s="100"/>
      <c r="H11" s="102"/>
      <c r="I11" s="102"/>
      <c r="J11" s="122"/>
      <c r="K11" s="129"/>
      <c r="L11" s="128"/>
    </row>
    <row r="12" s="93" customFormat="1" ht="24" customHeight="1" spans="1:12">
      <c r="A12" s="100"/>
      <c r="B12" s="100"/>
      <c r="C12" s="100"/>
      <c r="D12" s="101"/>
      <c r="E12" s="100"/>
      <c r="F12" s="100"/>
      <c r="G12" s="100"/>
      <c r="H12" s="102"/>
      <c r="I12" s="102"/>
      <c r="J12" s="122"/>
      <c r="K12" s="126"/>
      <c r="L12" s="128"/>
    </row>
    <row r="13" s="93" customFormat="1" ht="24" customHeight="1" spans="1:12">
      <c r="A13" s="36"/>
      <c r="B13" s="36"/>
      <c r="C13" s="36"/>
      <c r="D13" s="98"/>
      <c r="E13" s="36"/>
      <c r="F13" s="36"/>
      <c r="G13" s="36"/>
      <c r="H13" s="99"/>
      <c r="I13" s="99"/>
      <c r="J13" s="122"/>
      <c r="K13" s="126"/>
      <c r="L13" s="128"/>
    </row>
    <row r="14" s="93" customFormat="1" ht="24" customHeight="1" spans="1:12">
      <c r="A14" s="103" t="s">
        <v>100</v>
      </c>
      <c r="B14" s="103"/>
      <c r="C14" s="103"/>
      <c r="D14" s="103"/>
      <c r="E14" s="103">
        <f>SUM(E4:E13)</f>
        <v>6</v>
      </c>
      <c r="F14" s="103"/>
      <c r="G14" s="103"/>
      <c r="H14" s="104"/>
      <c r="I14" s="104"/>
      <c r="J14" s="122"/>
      <c r="K14" s="126"/>
      <c r="L14" s="128"/>
    </row>
    <row r="15" s="93" customFormat="1" ht="24" customHeight="1" spans="1:12">
      <c r="A15" s="105" t="s">
        <v>101</v>
      </c>
      <c r="B15" s="105"/>
      <c r="C15" s="105"/>
      <c r="D15" s="106">
        <f>I15</f>
        <v>2160</v>
      </c>
      <c r="E15" s="106"/>
      <c r="F15" s="106"/>
      <c r="G15" s="106"/>
      <c r="H15" s="106"/>
      <c r="I15" s="130">
        <f>SUM(I4:I13)</f>
        <v>2160</v>
      </c>
      <c r="J15" s="122"/>
      <c r="K15" s="126"/>
      <c r="L15" s="128"/>
    </row>
    <row r="16" s="93" customFormat="1" ht="20" customHeight="1" spans="1:17">
      <c r="A16" s="107" t="s">
        <v>102</v>
      </c>
      <c r="B16" s="108" t="s">
        <v>103</v>
      </c>
      <c r="C16" s="108"/>
      <c r="D16" s="108"/>
      <c r="E16" s="108"/>
      <c r="F16" s="108"/>
      <c r="G16" s="108"/>
      <c r="H16" s="108"/>
      <c r="I16" s="108"/>
      <c r="J16" s="131"/>
      <c r="K16" s="129"/>
      <c r="L16" s="128"/>
      <c r="Q16" s="93" t="s">
        <v>104</v>
      </c>
    </row>
    <row r="17" s="93" customFormat="1" ht="20" customHeight="1" spans="1:12">
      <c r="A17" s="109"/>
      <c r="B17" s="110" t="s">
        <v>105</v>
      </c>
      <c r="C17" s="110"/>
      <c r="D17" s="110"/>
      <c r="E17" s="110"/>
      <c r="F17" s="110"/>
      <c r="G17" s="110"/>
      <c r="H17" s="110"/>
      <c r="I17" s="110"/>
      <c r="J17" s="132"/>
      <c r="K17" s="126"/>
      <c r="L17" s="115"/>
    </row>
    <row r="18" s="93" customFormat="1" ht="20" customHeight="1" spans="1:12">
      <c r="A18" s="109"/>
      <c r="B18" s="110"/>
      <c r="C18" s="110" t="s">
        <v>106</v>
      </c>
      <c r="D18" s="110"/>
      <c r="E18" s="110"/>
      <c r="F18" s="110"/>
      <c r="G18" s="110"/>
      <c r="H18" s="110"/>
      <c r="I18" s="110"/>
      <c r="J18" s="132"/>
      <c r="K18" s="115"/>
      <c r="L18" s="128"/>
    </row>
    <row r="19" s="93" customFormat="1" ht="20" customHeight="1" spans="1:15">
      <c r="A19" s="111"/>
      <c r="B19" s="112" t="s">
        <v>107</v>
      </c>
      <c r="C19" s="112"/>
      <c r="D19" s="112"/>
      <c r="E19" s="112"/>
      <c r="F19" s="112"/>
      <c r="G19" s="112"/>
      <c r="H19" s="112"/>
      <c r="I19" s="112"/>
      <c r="J19" s="133"/>
      <c r="K19" s="126"/>
      <c r="L19" s="128"/>
      <c r="O19"/>
    </row>
    <row r="20" s="93" customFormat="1" ht="20" customHeight="1" spans="1:15">
      <c r="A20" s="113" t="s">
        <v>108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26"/>
      <c r="L20" s="126"/>
      <c r="O20"/>
    </row>
    <row r="21" ht="20" customHeight="1" spans="1:20">
      <c r="A21" s="113" t="s">
        <v>109</v>
      </c>
      <c r="B21" s="113"/>
      <c r="C21" s="113"/>
      <c r="D21" s="113"/>
      <c r="E21" s="113"/>
      <c r="F21" s="113"/>
      <c r="G21" s="113"/>
      <c r="H21" s="113"/>
      <c r="I21" s="113"/>
      <c r="J21" s="113"/>
      <c r="K21" s="115"/>
      <c r="L21" s="126"/>
      <c r="T21" t="s">
        <v>104</v>
      </c>
    </row>
    <row r="22" ht="23.25" customHeight="1" spans="1:12">
      <c r="A22" s="114"/>
      <c r="B22" s="65"/>
      <c r="C22" s="93"/>
      <c r="D22" s="115"/>
      <c r="E22" s="115"/>
      <c r="F22" s="116"/>
      <c r="G22" s="117"/>
      <c r="H22" s="115"/>
      <c r="I22" s="115"/>
      <c r="J22" s="115"/>
      <c r="K22" s="134"/>
      <c r="L22" s="128"/>
    </row>
    <row r="23" ht="20.25" customHeight="1" spans="1:12">
      <c r="A23" s="117"/>
      <c r="B23" s="118"/>
      <c r="C23" s="117"/>
      <c r="D23" s="115"/>
      <c r="E23" s="115"/>
      <c r="F23" s="116"/>
      <c r="G23" s="117"/>
      <c r="H23" s="115"/>
      <c r="I23" s="135"/>
      <c r="J23" s="115"/>
      <c r="K23" s="126"/>
      <c r="L23" s="128"/>
    </row>
    <row r="24" ht="23.25" customHeight="1" spans="1:12">
      <c r="A24" s="119"/>
      <c r="B24" s="120"/>
      <c r="C24" s="120"/>
      <c r="D24" s="120"/>
      <c r="E24" s="120"/>
      <c r="F24" s="120"/>
      <c r="G24" s="120"/>
      <c r="H24" s="120"/>
      <c r="I24" s="120"/>
      <c r="J24" s="136"/>
      <c r="K24" s="137"/>
      <c r="L24" s="136"/>
    </row>
    <row r="25" spans="1:12">
      <c r="A25" s="121"/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38"/>
    </row>
    <row r="26" spans="1:12">
      <c r="A26" s="121"/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38"/>
    </row>
    <row r="27" spans="1:12">
      <c r="A27" s="121"/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38"/>
    </row>
    <row r="28" spans="1:12">
      <c r="A28" s="121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38"/>
    </row>
    <row r="29" spans="1:12">
      <c r="A29" s="121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38"/>
    </row>
    <row r="30" spans="1:12">
      <c r="A30" s="121"/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38"/>
    </row>
    <row r="31" spans="1:12">
      <c r="A31" s="121"/>
      <c r="B31" s="119"/>
      <c r="C31" s="119"/>
      <c r="D31" s="119"/>
      <c r="E31" s="119"/>
      <c r="F31" s="119"/>
      <c r="G31" s="119"/>
      <c r="H31" s="119"/>
      <c r="I31" s="119"/>
      <c r="J31" s="119"/>
      <c r="K31" s="119"/>
      <c r="L31" s="138"/>
    </row>
    <row r="32" spans="1:12">
      <c r="A32" s="121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38"/>
    </row>
    <row r="33" spans="12:12">
      <c r="L33" s="138"/>
    </row>
    <row r="34" spans="12:12">
      <c r="L34" s="138"/>
    </row>
    <row r="35" spans="12:12">
      <c r="L35" s="138"/>
    </row>
    <row r="36" spans="12:12">
      <c r="L36" s="138"/>
    </row>
    <row r="37" spans="12:12">
      <c r="L37" s="138"/>
    </row>
  </sheetData>
  <mergeCells count="25">
    <mergeCell ref="A1:J1"/>
    <mergeCell ref="A2:J2"/>
    <mergeCell ref="A3:C3"/>
    <mergeCell ref="A4:C4"/>
    <mergeCell ref="A5:C5"/>
    <mergeCell ref="A6:C6"/>
    <mergeCell ref="A7:C7"/>
    <mergeCell ref="A8:C8"/>
    <mergeCell ref="K8:L8"/>
    <mergeCell ref="A9:C9"/>
    <mergeCell ref="A10:C10"/>
    <mergeCell ref="A11:C11"/>
    <mergeCell ref="A12:C12"/>
    <mergeCell ref="A13:C13"/>
    <mergeCell ref="A14:C14"/>
    <mergeCell ref="A15:C15"/>
    <mergeCell ref="D15:H15"/>
    <mergeCell ref="B16:J16"/>
    <mergeCell ref="B17:J17"/>
    <mergeCell ref="C18:J18"/>
    <mergeCell ref="B19:J19"/>
    <mergeCell ref="A20:J20"/>
    <mergeCell ref="A21:J21"/>
    <mergeCell ref="B24:I24"/>
    <mergeCell ref="A16:A19"/>
  </mergeCells>
  <printOptions horizontalCentered="1"/>
  <pageMargins left="0.2125" right="0.196527777777778" top="0.2125" bottom="1" header="0.196527777777778" footer="0.393055555555556"/>
  <pageSetup paperSize="9" scale="74" orientation="portrait" horizontalDpi="600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3"/>
  <sheetViews>
    <sheetView topLeftCell="A162" workbookViewId="0">
      <selection activeCell="C182" sqref="C182:K183"/>
    </sheetView>
  </sheetViews>
  <sheetFormatPr defaultColWidth="9" defaultRowHeight="14.25"/>
  <cols>
    <col min="1" max="1" width="12.625"/>
    <col min="4" max="4" width="8.375" customWidth="1"/>
    <col min="5" max="5" width="9" hidden="1" customWidth="1"/>
    <col min="6" max="6" width="26.75" customWidth="1"/>
    <col min="9" max="9" width="9.875"/>
    <col min="10" max="10" width="11.125" customWidth="1"/>
    <col min="11" max="11" width="14.5"/>
    <col min="12" max="12" width="15.75" customWidth="1"/>
    <col min="13" max="13" width="11.5" customWidth="1"/>
    <col min="14" max="14" width="9.875"/>
    <col min="15" max="15" width="9.125"/>
  </cols>
  <sheetData>
    <row r="1" s="21" customFormat="1" ht="24" customHeight="1" spans="1:14">
      <c r="A1" s="32"/>
      <c r="B1" s="32"/>
      <c r="C1" s="32"/>
      <c r="D1" s="32"/>
      <c r="E1" s="33"/>
      <c r="F1" s="34" t="s">
        <v>110</v>
      </c>
      <c r="G1" s="35"/>
      <c r="H1" s="35"/>
      <c r="I1" s="35"/>
      <c r="J1" s="56"/>
      <c r="K1" s="56"/>
      <c r="M1" s="35"/>
      <c r="N1" s="57"/>
    </row>
    <row r="2" s="22" customFormat="1" ht="20.25" spans="1:14">
      <c r="A2" s="36" t="s">
        <v>2</v>
      </c>
      <c r="B2" s="36" t="s">
        <v>3</v>
      </c>
      <c r="C2" s="37" t="s">
        <v>4</v>
      </c>
      <c r="D2" s="37"/>
      <c r="E2" s="37"/>
      <c r="F2" s="38" t="s">
        <v>5</v>
      </c>
      <c r="G2" s="37" t="s">
        <v>6</v>
      </c>
      <c r="H2" s="37" t="s">
        <v>7</v>
      </c>
      <c r="I2" s="37" t="s">
        <v>8</v>
      </c>
      <c r="J2" s="58" t="s">
        <v>9</v>
      </c>
      <c r="K2" s="58" t="s">
        <v>10</v>
      </c>
      <c r="L2" s="37" t="s">
        <v>11</v>
      </c>
      <c r="M2" s="37" t="s">
        <v>12</v>
      </c>
      <c r="N2" s="59"/>
    </row>
    <row r="3" s="21" customFormat="1" ht="20.25" spans="1:14">
      <c r="A3" s="39">
        <v>45706</v>
      </c>
      <c r="B3" s="40">
        <v>11</v>
      </c>
      <c r="C3" s="33" t="s">
        <v>52</v>
      </c>
      <c r="D3" s="33"/>
      <c r="E3" s="33"/>
      <c r="F3" s="41" t="s">
        <v>53</v>
      </c>
      <c r="G3" s="35">
        <v>1</v>
      </c>
      <c r="H3" s="35">
        <v>18</v>
      </c>
      <c r="I3" s="35">
        <f t="shared" ref="I3:I16" si="0">G3*H3</f>
        <v>18</v>
      </c>
      <c r="J3" s="56">
        <v>26</v>
      </c>
      <c r="K3" s="56">
        <f t="shared" ref="K3:K10" si="1">I3*J3</f>
        <v>468</v>
      </c>
      <c r="L3" s="57" t="s">
        <v>87</v>
      </c>
      <c r="M3" s="35"/>
      <c r="N3" s="57"/>
    </row>
    <row r="4" s="23" customFormat="1" ht="20.25" spans="1:14">
      <c r="A4" s="39">
        <v>45706</v>
      </c>
      <c r="B4" s="40">
        <v>11</v>
      </c>
      <c r="C4" s="35" t="s">
        <v>14</v>
      </c>
      <c r="D4" s="35"/>
      <c r="E4" s="35"/>
      <c r="F4" s="42" t="s">
        <v>15</v>
      </c>
      <c r="G4" s="35">
        <v>10</v>
      </c>
      <c r="H4" s="35">
        <v>28</v>
      </c>
      <c r="I4" s="35">
        <f t="shared" si="0"/>
        <v>280</v>
      </c>
      <c r="J4" s="56">
        <v>9.5</v>
      </c>
      <c r="K4" s="56">
        <f t="shared" si="1"/>
        <v>2660</v>
      </c>
      <c r="L4" s="42">
        <v>9804</v>
      </c>
      <c r="M4" s="42"/>
      <c r="N4" s="57"/>
    </row>
    <row r="5" s="23" customFormat="1" ht="20.25" spans="1:14">
      <c r="A5" s="39">
        <v>45706</v>
      </c>
      <c r="B5" s="40">
        <v>11</v>
      </c>
      <c r="C5" s="35">
        <v>3528</v>
      </c>
      <c r="D5" s="35"/>
      <c r="E5" s="35"/>
      <c r="F5" s="42" t="s">
        <v>16</v>
      </c>
      <c r="G5" s="35">
        <v>4</v>
      </c>
      <c r="H5" s="35">
        <v>20</v>
      </c>
      <c r="I5" s="35">
        <f t="shared" si="0"/>
        <v>80</v>
      </c>
      <c r="J5" s="56">
        <v>26</v>
      </c>
      <c r="K5" s="56">
        <f t="shared" si="1"/>
        <v>2080</v>
      </c>
      <c r="L5" s="21"/>
      <c r="M5" s="42"/>
      <c r="N5" s="21"/>
    </row>
    <row r="6" s="23" customFormat="1" ht="20.25" spans="1:14">
      <c r="A6" s="39">
        <v>45706</v>
      </c>
      <c r="B6" s="40">
        <v>11</v>
      </c>
      <c r="C6" s="35"/>
      <c r="D6" s="35"/>
      <c r="E6" s="35"/>
      <c r="F6" s="42" t="s">
        <v>23</v>
      </c>
      <c r="G6" s="35">
        <v>3</v>
      </c>
      <c r="H6" s="35">
        <v>20</v>
      </c>
      <c r="I6" s="35">
        <f t="shared" si="0"/>
        <v>60</v>
      </c>
      <c r="J6" s="56">
        <v>17.5</v>
      </c>
      <c r="K6" s="56">
        <f t="shared" si="1"/>
        <v>1050</v>
      </c>
      <c r="L6" s="21"/>
      <c r="M6" s="35">
        <f>SUM(K4:K6)</f>
        <v>5790</v>
      </c>
      <c r="N6" s="57"/>
    </row>
    <row r="7" s="24" customFormat="1" ht="20.25" spans="1:14">
      <c r="A7" s="43">
        <v>45708</v>
      </c>
      <c r="B7" s="44">
        <v>28</v>
      </c>
      <c r="C7" s="45"/>
      <c r="D7" s="45"/>
      <c r="E7" s="45"/>
      <c r="F7" s="46" t="s">
        <v>34</v>
      </c>
      <c r="G7" s="47">
        <v>3</v>
      </c>
      <c r="H7" s="47">
        <v>10</v>
      </c>
      <c r="I7" s="47">
        <f t="shared" si="0"/>
        <v>30</v>
      </c>
      <c r="J7" s="60">
        <v>17.5</v>
      </c>
      <c r="K7" s="60">
        <f t="shared" si="1"/>
        <v>525</v>
      </c>
      <c r="L7" s="45"/>
      <c r="M7" s="61"/>
      <c r="N7" s="61"/>
    </row>
    <row r="8" s="25" customFormat="1" ht="20.25" spans="1:14">
      <c r="A8" s="43">
        <v>45708</v>
      </c>
      <c r="B8" s="44">
        <v>28</v>
      </c>
      <c r="C8" s="47"/>
      <c r="D8" s="47"/>
      <c r="E8" s="47"/>
      <c r="F8" s="46" t="s">
        <v>23</v>
      </c>
      <c r="G8" s="47">
        <v>4</v>
      </c>
      <c r="H8" s="47">
        <v>20</v>
      </c>
      <c r="I8" s="47">
        <f t="shared" si="0"/>
        <v>80</v>
      </c>
      <c r="J8" s="60">
        <v>17.5</v>
      </c>
      <c r="K8" s="60">
        <f t="shared" si="1"/>
        <v>1400</v>
      </c>
      <c r="L8" s="24"/>
      <c r="M8" s="47">
        <f>SUM(K6:K8)</f>
        <v>2975</v>
      </c>
      <c r="N8" s="61"/>
    </row>
    <row r="9" s="23" customFormat="1" ht="20.25" spans="1:14">
      <c r="A9" s="39">
        <v>45717</v>
      </c>
      <c r="B9" s="40">
        <v>1</v>
      </c>
      <c r="C9" s="35" t="s">
        <v>14</v>
      </c>
      <c r="D9" s="35"/>
      <c r="E9" s="35"/>
      <c r="F9" s="42" t="s">
        <v>15</v>
      </c>
      <c r="G9" s="35">
        <v>5</v>
      </c>
      <c r="H9" s="35">
        <v>28</v>
      </c>
      <c r="I9" s="35">
        <f t="shared" si="0"/>
        <v>140</v>
      </c>
      <c r="J9" s="56">
        <v>9.5</v>
      </c>
      <c r="K9" s="56">
        <f t="shared" si="1"/>
        <v>1330</v>
      </c>
      <c r="L9" s="42">
        <v>9804</v>
      </c>
      <c r="M9" s="42"/>
      <c r="N9" s="57"/>
    </row>
    <row r="10" s="26" customFormat="1" ht="20.25" spans="1:16384">
      <c r="A10" s="39">
        <v>45717</v>
      </c>
      <c r="B10" s="40">
        <v>1</v>
      </c>
      <c r="C10" s="35" t="s">
        <v>31</v>
      </c>
      <c r="D10" s="35"/>
      <c r="E10" s="48" t="s">
        <v>32</v>
      </c>
      <c r="F10" s="48" t="s">
        <v>32</v>
      </c>
      <c r="G10" s="35">
        <v>2</v>
      </c>
      <c r="H10" s="35">
        <v>25</v>
      </c>
      <c r="I10" s="35">
        <f t="shared" si="0"/>
        <v>50</v>
      </c>
      <c r="J10" s="56">
        <v>18.5</v>
      </c>
      <c r="K10" s="56">
        <f t="shared" ref="K10:K16" si="2">I10*J10</f>
        <v>925</v>
      </c>
      <c r="L10" s="42"/>
      <c r="M10" s="42"/>
      <c r="N10" s="57"/>
      <c r="XFD10" s="23"/>
    </row>
    <row r="11" s="26" customFormat="1" ht="20.25" spans="1:16384">
      <c r="A11" s="39">
        <v>45717</v>
      </c>
      <c r="B11" s="40">
        <v>1</v>
      </c>
      <c r="C11" s="35">
        <v>24055</v>
      </c>
      <c r="D11" s="35"/>
      <c r="E11" s="48" t="s">
        <v>56</v>
      </c>
      <c r="F11" s="48" t="s">
        <v>56</v>
      </c>
      <c r="G11" s="35">
        <v>4</v>
      </c>
      <c r="H11" s="35">
        <v>25</v>
      </c>
      <c r="I11" s="35">
        <f t="shared" si="0"/>
        <v>100</v>
      </c>
      <c r="J11" s="56">
        <v>18.5</v>
      </c>
      <c r="K11" s="56">
        <f t="shared" si="2"/>
        <v>1850</v>
      </c>
      <c r="L11" s="42"/>
      <c r="M11" s="42"/>
      <c r="N11" s="57"/>
      <c r="XFD11" s="64"/>
    </row>
    <row r="12" s="26" customFormat="1" ht="20.25" spans="1:16384">
      <c r="A12" s="39">
        <v>45717</v>
      </c>
      <c r="B12" s="40">
        <v>1</v>
      </c>
      <c r="C12" s="35">
        <v>24055</v>
      </c>
      <c r="D12" s="35"/>
      <c r="E12" s="48" t="s">
        <v>56</v>
      </c>
      <c r="F12" s="48" t="s">
        <v>56</v>
      </c>
      <c r="G12" s="35">
        <v>1</v>
      </c>
      <c r="H12" s="35">
        <v>26</v>
      </c>
      <c r="I12" s="35">
        <f t="shared" si="0"/>
        <v>26</v>
      </c>
      <c r="J12" s="56">
        <v>18.5</v>
      </c>
      <c r="K12" s="56">
        <f t="shared" si="2"/>
        <v>481</v>
      </c>
      <c r="L12" s="42"/>
      <c r="M12" s="42"/>
      <c r="N12" s="57"/>
      <c r="XFD12" s="64"/>
    </row>
    <row r="13" s="26" customFormat="1" ht="20.25" spans="1:16384">
      <c r="A13" s="39">
        <v>45717</v>
      </c>
      <c r="B13" s="40">
        <v>1</v>
      </c>
      <c r="C13" s="170" t="s">
        <v>111</v>
      </c>
      <c r="D13" s="35"/>
      <c r="E13" s="49"/>
      <c r="F13" s="48" t="s">
        <v>112</v>
      </c>
      <c r="G13" s="35">
        <v>1</v>
      </c>
      <c r="H13" s="35">
        <v>16</v>
      </c>
      <c r="I13" s="35">
        <f t="shared" si="0"/>
        <v>16</v>
      </c>
      <c r="J13" s="56">
        <v>18.5</v>
      </c>
      <c r="K13" s="56">
        <f t="shared" si="2"/>
        <v>296</v>
      </c>
      <c r="L13" s="62"/>
      <c r="M13" s="62"/>
      <c r="N13" s="57"/>
      <c r="XFD13" s="64"/>
    </row>
    <row r="14" s="21" customFormat="1" ht="20.25" spans="1:14">
      <c r="A14" s="39">
        <v>45717</v>
      </c>
      <c r="B14" s="40">
        <v>1</v>
      </c>
      <c r="C14" s="33"/>
      <c r="D14" s="33"/>
      <c r="E14" s="33"/>
      <c r="F14" s="42" t="s">
        <v>34</v>
      </c>
      <c r="G14" s="35">
        <v>3</v>
      </c>
      <c r="H14" s="35">
        <v>10</v>
      </c>
      <c r="I14" s="35">
        <f t="shared" si="0"/>
        <v>30</v>
      </c>
      <c r="J14" s="56">
        <v>17.5</v>
      </c>
      <c r="K14" s="56">
        <f t="shared" si="2"/>
        <v>525</v>
      </c>
      <c r="L14" s="33"/>
      <c r="M14" s="57"/>
      <c r="N14" s="57"/>
    </row>
    <row r="15" s="23" customFormat="1" ht="20.25" spans="1:14">
      <c r="A15" s="39">
        <v>45717</v>
      </c>
      <c r="B15" s="40">
        <v>1</v>
      </c>
      <c r="C15" s="35"/>
      <c r="D15" s="35"/>
      <c r="E15" s="35"/>
      <c r="F15" s="42" t="s">
        <v>23</v>
      </c>
      <c r="G15" s="35">
        <v>8</v>
      </c>
      <c r="H15" s="35">
        <v>20</v>
      </c>
      <c r="I15" s="35">
        <f t="shared" si="0"/>
        <v>160</v>
      </c>
      <c r="J15" s="56">
        <v>17.5</v>
      </c>
      <c r="K15" s="56">
        <f t="shared" si="2"/>
        <v>2800</v>
      </c>
      <c r="L15" s="21"/>
      <c r="M15" s="35">
        <f>SUM(K9:K15)</f>
        <v>8207</v>
      </c>
      <c r="N15" s="57"/>
    </row>
    <row r="16" s="25" customFormat="1" ht="20.25" spans="1:14">
      <c r="A16" s="43"/>
      <c r="B16" s="44"/>
      <c r="C16" s="47"/>
      <c r="D16" s="47"/>
      <c r="E16" s="47"/>
      <c r="F16" s="50" t="s">
        <v>113</v>
      </c>
      <c r="G16" s="50"/>
      <c r="H16" s="50"/>
      <c r="I16" s="50"/>
      <c r="J16" s="50"/>
      <c r="K16" s="60"/>
      <c r="L16" s="24"/>
      <c r="M16" s="47"/>
      <c r="N16" s="61"/>
    </row>
    <row r="17" s="25" customFormat="1" ht="20.25" spans="1:14">
      <c r="A17" s="43">
        <v>45726</v>
      </c>
      <c r="B17" s="44">
        <v>29</v>
      </c>
      <c r="C17" s="47" t="s">
        <v>17</v>
      </c>
      <c r="D17" s="47"/>
      <c r="E17" s="47"/>
      <c r="F17" s="46" t="s">
        <v>18</v>
      </c>
      <c r="G17" s="47">
        <v>2</v>
      </c>
      <c r="H17" s="47">
        <v>20</v>
      </c>
      <c r="I17" s="47">
        <f t="shared" ref="I17:I42" si="3">G17*H17</f>
        <v>40</v>
      </c>
      <c r="J17" s="60">
        <v>22</v>
      </c>
      <c r="K17" s="60">
        <f t="shared" ref="K17:K36" si="4">I17*J17</f>
        <v>880</v>
      </c>
      <c r="L17" s="24"/>
      <c r="M17" s="47"/>
      <c r="N17" s="24"/>
    </row>
    <row r="18" s="25" customFormat="1" ht="20.25" spans="1:14">
      <c r="A18" s="43">
        <v>45726</v>
      </c>
      <c r="B18" s="44">
        <v>29</v>
      </c>
      <c r="C18" s="51" t="s">
        <v>114</v>
      </c>
      <c r="D18" s="47"/>
      <c r="E18" s="47"/>
      <c r="F18" s="46" t="s">
        <v>115</v>
      </c>
      <c r="G18" s="47">
        <v>1</v>
      </c>
      <c r="H18" s="47">
        <v>21</v>
      </c>
      <c r="I18" s="47">
        <f t="shared" si="3"/>
        <v>21</v>
      </c>
      <c r="J18" s="60">
        <v>22</v>
      </c>
      <c r="K18" s="60">
        <f t="shared" si="4"/>
        <v>462</v>
      </c>
      <c r="L18" s="24" t="s">
        <v>116</v>
      </c>
      <c r="M18" s="47"/>
      <c r="N18" s="24"/>
    </row>
    <row r="19" s="23" customFormat="1" ht="20.25" spans="1:14">
      <c r="A19" s="43">
        <v>45726</v>
      </c>
      <c r="B19" s="44">
        <v>29</v>
      </c>
      <c r="C19" s="47"/>
      <c r="D19" s="47"/>
      <c r="E19" s="47"/>
      <c r="F19" s="46" t="s">
        <v>23</v>
      </c>
      <c r="G19" s="47">
        <v>5</v>
      </c>
      <c r="H19" s="47">
        <v>20</v>
      </c>
      <c r="I19" s="47">
        <f t="shared" si="3"/>
        <v>100</v>
      </c>
      <c r="J19" s="60">
        <v>17.5</v>
      </c>
      <c r="K19" s="60">
        <f t="shared" si="4"/>
        <v>1750</v>
      </c>
      <c r="L19" s="21"/>
      <c r="M19" s="35">
        <f>SUM(K17:K19)</f>
        <v>3092</v>
      </c>
      <c r="N19" s="57"/>
    </row>
    <row r="20" s="23" customFormat="1" ht="20.25" spans="1:14">
      <c r="A20" s="39">
        <v>45734</v>
      </c>
      <c r="B20" s="40">
        <v>64</v>
      </c>
      <c r="C20" s="35" t="s">
        <v>14</v>
      </c>
      <c r="D20" s="35"/>
      <c r="E20" s="35"/>
      <c r="F20" s="42" t="s">
        <v>15</v>
      </c>
      <c r="G20" s="35">
        <v>10</v>
      </c>
      <c r="H20" s="35">
        <v>28</v>
      </c>
      <c r="I20" s="35">
        <f t="shared" si="3"/>
        <v>280</v>
      </c>
      <c r="J20" s="56">
        <v>9.5</v>
      </c>
      <c r="K20" s="56">
        <f t="shared" si="4"/>
        <v>2660</v>
      </c>
      <c r="L20" s="42">
        <v>9804</v>
      </c>
      <c r="M20" s="42"/>
      <c r="N20" s="57"/>
    </row>
    <row r="21" s="21" customFormat="1" ht="20.25" spans="1:14">
      <c r="A21" s="39">
        <v>45734</v>
      </c>
      <c r="B21" s="40">
        <v>64</v>
      </c>
      <c r="C21" s="33" t="s">
        <v>50</v>
      </c>
      <c r="D21" s="33"/>
      <c r="E21" s="33"/>
      <c r="F21" s="42" t="s">
        <v>24</v>
      </c>
      <c r="G21" s="35">
        <v>3</v>
      </c>
      <c r="H21" s="35">
        <v>25</v>
      </c>
      <c r="I21" s="35">
        <f t="shared" si="3"/>
        <v>75</v>
      </c>
      <c r="J21" s="56">
        <v>18.5</v>
      </c>
      <c r="K21" s="56">
        <f t="shared" si="4"/>
        <v>1387.5</v>
      </c>
      <c r="L21" s="57" t="s">
        <v>51</v>
      </c>
      <c r="M21" s="42"/>
      <c r="N21" s="57"/>
    </row>
    <row r="22" s="21" customFormat="1" ht="20.25" spans="1:14">
      <c r="A22" s="39">
        <v>45734</v>
      </c>
      <c r="B22" s="40">
        <v>64</v>
      </c>
      <c r="C22" s="33" t="s">
        <v>43</v>
      </c>
      <c r="D22" s="33"/>
      <c r="E22" s="33"/>
      <c r="F22" s="42" t="s">
        <v>117</v>
      </c>
      <c r="G22" s="35">
        <v>1</v>
      </c>
      <c r="H22" s="35">
        <v>15</v>
      </c>
      <c r="I22" s="35">
        <f t="shared" si="3"/>
        <v>15</v>
      </c>
      <c r="J22" s="56">
        <v>18.5</v>
      </c>
      <c r="K22" s="56">
        <f t="shared" si="4"/>
        <v>277.5</v>
      </c>
      <c r="L22" s="57"/>
      <c r="M22" s="42"/>
      <c r="N22" s="57"/>
    </row>
    <row r="23" s="21" customFormat="1" ht="20.25" spans="1:14">
      <c r="A23" s="39">
        <v>45734</v>
      </c>
      <c r="B23" s="40">
        <v>64</v>
      </c>
      <c r="C23" s="33">
        <v>24055</v>
      </c>
      <c r="D23" s="33"/>
      <c r="E23" s="33"/>
      <c r="F23" s="42" t="s">
        <v>56</v>
      </c>
      <c r="G23" s="35">
        <v>5</v>
      </c>
      <c r="H23" s="35">
        <v>25</v>
      </c>
      <c r="I23" s="35">
        <f t="shared" si="3"/>
        <v>125</v>
      </c>
      <c r="J23" s="56">
        <v>18.5</v>
      </c>
      <c r="K23" s="56">
        <f t="shared" si="4"/>
        <v>2312.5</v>
      </c>
      <c r="L23" s="57"/>
      <c r="M23" s="42">
        <f>SUM(K20:K23)</f>
        <v>6637.5</v>
      </c>
      <c r="N23" s="57"/>
    </row>
    <row r="24" s="25" customFormat="1" ht="20.25" spans="1:14">
      <c r="A24" s="43">
        <v>45740</v>
      </c>
      <c r="B24" s="44">
        <v>92</v>
      </c>
      <c r="C24" s="47" t="s">
        <v>31</v>
      </c>
      <c r="D24" s="47"/>
      <c r="E24" s="52" t="s">
        <v>32</v>
      </c>
      <c r="F24" s="52" t="s">
        <v>32</v>
      </c>
      <c r="G24" s="47">
        <v>2</v>
      </c>
      <c r="H24" s="47">
        <v>25</v>
      </c>
      <c r="I24" s="47">
        <f t="shared" si="3"/>
        <v>50</v>
      </c>
      <c r="J24" s="60">
        <v>18.5</v>
      </c>
      <c r="K24" s="60">
        <f t="shared" si="4"/>
        <v>925</v>
      </c>
      <c r="L24" s="24"/>
      <c r="M24" s="47"/>
      <c r="N24" s="61"/>
    </row>
    <row r="25" s="24" customFormat="1" ht="20.25" spans="1:14">
      <c r="A25" s="43">
        <v>45740</v>
      </c>
      <c r="B25" s="44">
        <v>92</v>
      </c>
      <c r="C25" s="45"/>
      <c r="D25" s="45"/>
      <c r="E25" s="45"/>
      <c r="F25" s="46" t="s">
        <v>34</v>
      </c>
      <c r="G25" s="47">
        <v>2</v>
      </c>
      <c r="H25" s="47">
        <v>10</v>
      </c>
      <c r="I25" s="47">
        <f t="shared" si="3"/>
        <v>20</v>
      </c>
      <c r="J25" s="60">
        <v>17.5</v>
      </c>
      <c r="K25" s="60">
        <f t="shared" si="4"/>
        <v>350</v>
      </c>
      <c r="L25" s="61"/>
      <c r="M25" s="46"/>
      <c r="N25" s="61"/>
    </row>
    <row r="26" s="25" customFormat="1" ht="20.25" spans="1:14">
      <c r="A26" s="43">
        <v>45740</v>
      </c>
      <c r="B26" s="44">
        <v>92</v>
      </c>
      <c r="C26" s="47"/>
      <c r="D26" s="47"/>
      <c r="E26" s="47"/>
      <c r="F26" s="46" t="s">
        <v>23</v>
      </c>
      <c r="G26" s="47">
        <v>2</v>
      </c>
      <c r="H26" s="47">
        <v>20</v>
      </c>
      <c r="I26" s="47">
        <f t="shared" si="3"/>
        <v>40</v>
      </c>
      <c r="J26" s="60">
        <v>17.5</v>
      </c>
      <c r="K26" s="60">
        <f t="shared" si="4"/>
        <v>700</v>
      </c>
      <c r="L26" s="24"/>
      <c r="M26" s="47">
        <f>SUM(K24:K26)</f>
        <v>1975</v>
      </c>
      <c r="N26" s="61"/>
    </row>
    <row r="27" s="26" customFormat="1" ht="20.25" spans="1:16384">
      <c r="A27" s="39">
        <v>45748</v>
      </c>
      <c r="B27" s="40"/>
      <c r="C27" s="35">
        <v>24055</v>
      </c>
      <c r="D27" s="35"/>
      <c r="E27" s="48" t="s">
        <v>56</v>
      </c>
      <c r="F27" s="48" t="s">
        <v>56</v>
      </c>
      <c r="G27" s="35">
        <v>2</v>
      </c>
      <c r="H27" s="35">
        <v>26</v>
      </c>
      <c r="I27" s="35">
        <f t="shared" si="3"/>
        <v>52</v>
      </c>
      <c r="J27" s="56">
        <v>18.5</v>
      </c>
      <c r="K27" s="56">
        <f t="shared" si="4"/>
        <v>962</v>
      </c>
      <c r="L27" s="42"/>
      <c r="M27" s="42"/>
      <c r="N27" s="57"/>
      <c r="XFD27" s="64"/>
    </row>
    <row r="28" s="26" customFormat="1" ht="20.25" spans="1:16384">
      <c r="A28" s="39">
        <v>45748</v>
      </c>
      <c r="B28" s="40"/>
      <c r="C28" s="35">
        <v>24055</v>
      </c>
      <c r="D28" s="35"/>
      <c r="E28" s="48" t="s">
        <v>56</v>
      </c>
      <c r="F28" s="48" t="s">
        <v>56</v>
      </c>
      <c r="G28" s="35">
        <v>3</v>
      </c>
      <c r="H28" s="35">
        <v>25</v>
      </c>
      <c r="I28" s="35">
        <f t="shared" si="3"/>
        <v>75</v>
      </c>
      <c r="J28" s="56">
        <v>18.5</v>
      </c>
      <c r="K28" s="56">
        <f t="shared" si="4"/>
        <v>1387.5</v>
      </c>
      <c r="L28" s="42"/>
      <c r="M28" s="42"/>
      <c r="N28" s="57"/>
      <c r="XFD28" s="64"/>
    </row>
    <row r="29" s="23" customFormat="1" ht="19" customHeight="1" spans="1:14">
      <c r="A29" s="39">
        <v>45748</v>
      </c>
      <c r="B29" s="40"/>
      <c r="C29" s="35"/>
      <c r="D29" s="35"/>
      <c r="E29" s="35"/>
      <c r="F29" s="42" t="s">
        <v>23</v>
      </c>
      <c r="G29" s="35">
        <v>7</v>
      </c>
      <c r="H29" s="35">
        <v>20</v>
      </c>
      <c r="I29" s="35">
        <f t="shared" si="3"/>
        <v>140</v>
      </c>
      <c r="J29" s="56">
        <v>17.5</v>
      </c>
      <c r="K29" s="56">
        <f t="shared" si="4"/>
        <v>2450</v>
      </c>
      <c r="L29" s="21"/>
      <c r="M29" s="35">
        <f>SUM(K27:K29)</f>
        <v>4799.5</v>
      </c>
      <c r="N29" s="57"/>
    </row>
    <row r="30" s="25" customFormat="1" ht="20.25" spans="1:14">
      <c r="A30" s="43">
        <v>45761</v>
      </c>
      <c r="B30" s="44">
        <v>40</v>
      </c>
      <c r="C30" s="47" t="s">
        <v>14</v>
      </c>
      <c r="D30" s="47"/>
      <c r="E30" s="47"/>
      <c r="F30" s="46" t="s">
        <v>15</v>
      </c>
      <c r="G30" s="47">
        <v>10</v>
      </c>
      <c r="H30" s="47">
        <v>28</v>
      </c>
      <c r="I30" s="47">
        <f t="shared" si="3"/>
        <v>280</v>
      </c>
      <c r="J30" s="60">
        <v>9.5</v>
      </c>
      <c r="K30" s="60">
        <f t="shared" si="4"/>
        <v>2660</v>
      </c>
      <c r="L30" s="46">
        <v>9804</v>
      </c>
      <c r="M30" s="46"/>
      <c r="N30" s="61"/>
    </row>
    <row r="31" s="27" customFormat="1" ht="20.25" spans="1:16384">
      <c r="A31" s="43">
        <v>45761</v>
      </c>
      <c r="B31" s="44">
        <v>40</v>
      </c>
      <c r="C31" s="47" t="s">
        <v>31</v>
      </c>
      <c r="D31" s="47"/>
      <c r="E31" s="52" t="s">
        <v>32</v>
      </c>
      <c r="F31" s="52" t="s">
        <v>32</v>
      </c>
      <c r="G31" s="47">
        <v>1</v>
      </c>
      <c r="H31" s="47">
        <v>25</v>
      </c>
      <c r="I31" s="47">
        <f t="shared" si="3"/>
        <v>25</v>
      </c>
      <c r="J31" s="60">
        <v>18.5</v>
      </c>
      <c r="K31" s="60">
        <f t="shared" ref="K31:K42" si="5">I31*J31</f>
        <v>462.5</v>
      </c>
      <c r="L31" s="46"/>
      <c r="M31" s="46"/>
      <c r="N31" s="61"/>
      <c r="XFD31" s="25"/>
    </row>
    <row r="32" s="27" customFormat="1" ht="20.25" spans="1:16384">
      <c r="A32" s="43">
        <v>45761</v>
      </c>
      <c r="B32" s="44">
        <v>40</v>
      </c>
      <c r="C32" s="47">
        <v>24055</v>
      </c>
      <c r="D32" s="47"/>
      <c r="E32" s="52" t="s">
        <v>56</v>
      </c>
      <c r="F32" s="52" t="s">
        <v>56</v>
      </c>
      <c r="G32" s="47">
        <v>3</v>
      </c>
      <c r="H32" s="47">
        <v>25</v>
      </c>
      <c r="I32" s="47">
        <f t="shared" si="3"/>
        <v>75</v>
      </c>
      <c r="J32" s="60">
        <v>18.5</v>
      </c>
      <c r="K32" s="60">
        <f t="shared" si="5"/>
        <v>1387.5</v>
      </c>
      <c r="L32" s="46"/>
      <c r="M32" s="46"/>
      <c r="N32" s="61"/>
      <c r="XFD32" s="65"/>
    </row>
    <row r="33" s="27" customFormat="1" ht="20.25" spans="1:16384">
      <c r="A33" s="43">
        <v>45761</v>
      </c>
      <c r="B33" s="44">
        <v>40</v>
      </c>
      <c r="C33" s="47">
        <v>24055</v>
      </c>
      <c r="D33" s="47"/>
      <c r="E33" s="52" t="s">
        <v>56</v>
      </c>
      <c r="F33" s="52" t="s">
        <v>56</v>
      </c>
      <c r="G33" s="47">
        <v>2</v>
      </c>
      <c r="H33" s="47">
        <v>26</v>
      </c>
      <c r="I33" s="47">
        <f t="shared" si="3"/>
        <v>52</v>
      </c>
      <c r="J33" s="60">
        <v>18.5</v>
      </c>
      <c r="K33" s="60">
        <f t="shared" si="5"/>
        <v>962</v>
      </c>
      <c r="L33" s="46"/>
      <c r="M33" s="46"/>
      <c r="N33" s="61"/>
      <c r="XFD33" s="65"/>
    </row>
    <row r="34" s="25" customFormat="1" ht="20.25" spans="1:14">
      <c r="A34" s="43">
        <v>45761</v>
      </c>
      <c r="B34" s="44">
        <v>40</v>
      </c>
      <c r="C34" s="47">
        <v>3528</v>
      </c>
      <c r="D34" s="47"/>
      <c r="E34" s="47"/>
      <c r="F34" s="46" t="s">
        <v>16</v>
      </c>
      <c r="G34" s="47">
        <v>2</v>
      </c>
      <c r="H34" s="47">
        <v>21</v>
      </c>
      <c r="I34" s="47">
        <f t="shared" si="3"/>
        <v>42</v>
      </c>
      <c r="J34" s="60">
        <v>22</v>
      </c>
      <c r="K34" s="60">
        <f t="shared" si="5"/>
        <v>924</v>
      </c>
      <c r="L34" s="24"/>
      <c r="M34" s="46"/>
      <c r="N34" s="24"/>
    </row>
    <row r="35" s="25" customFormat="1" ht="20.25" spans="1:14">
      <c r="A35" s="43">
        <v>45726</v>
      </c>
      <c r="B35" s="44">
        <v>29</v>
      </c>
      <c r="C35" s="47" t="s">
        <v>17</v>
      </c>
      <c r="D35" s="47"/>
      <c r="E35" s="47"/>
      <c r="F35" s="46" t="s">
        <v>18</v>
      </c>
      <c r="G35" s="47">
        <v>2</v>
      </c>
      <c r="H35" s="47">
        <v>20</v>
      </c>
      <c r="I35" s="47">
        <f t="shared" si="3"/>
        <v>40</v>
      </c>
      <c r="J35" s="60">
        <v>22</v>
      </c>
      <c r="K35" s="60">
        <f t="shared" si="5"/>
        <v>880</v>
      </c>
      <c r="L35" s="24"/>
      <c r="M35" s="47"/>
      <c r="N35" s="24"/>
    </row>
    <row r="36" s="24" customFormat="1" ht="20.25" spans="1:14">
      <c r="A36" s="43">
        <v>45761</v>
      </c>
      <c r="B36" s="44">
        <v>40</v>
      </c>
      <c r="C36" s="45" t="s">
        <v>26</v>
      </c>
      <c r="D36" s="45"/>
      <c r="E36" s="45"/>
      <c r="F36" s="46" t="s">
        <v>27</v>
      </c>
      <c r="G36" s="47">
        <v>1</v>
      </c>
      <c r="H36" s="47">
        <v>20</v>
      </c>
      <c r="I36" s="47">
        <f t="shared" si="3"/>
        <v>20</v>
      </c>
      <c r="J36" s="60">
        <v>22</v>
      </c>
      <c r="K36" s="60">
        <f t="shared" si="5"/>
        <v>440</v>
      </c>
      <c r="L36" s="61"/>
      <c r="M36" s="46"/>
      <c r="N36" s="61"/>
    </row>
    <row r="37" s="24" customFormat="1" ht="20.25" spans="1:14">
      <c r="A37" s="43">
        <v>45761</v>
      </c>
      <c r="B37" s="44">
        <v>40</v>
      </c>
      <c r="C37" s="45" t="s">
        <v>26</v>
      </c>
      <c r="D37" s="45"/>
      <c r="E37" s="45"/>
      <c r="F37" s="46" t="s">
        <v>27</v>
      </c>
      <c r="G37" s="47">
        <v>1</v>
      </c>
      <c r="H37" s="47">
        <v>21</v>
      </c>
      <c r="I37" s="47">
        <f t="shared" si="3"/>
        <v>21</v>
      </c>
      <c r="J37" s="60">
        <v>22</v>
      </c>
      <c r="K37" s="60">
        <f t="shared" si="5"/>
        <v>462</v>
      </c>
      <c r="L37" s="61"/>
      <c r="M37" s="46"/>
      <c r="N37" s="61"/>
    </row>
    <row r="38" s="24" customFormat="1" ht="20.25" spans="1:14">
      <c r="A38" s="43">
        <v>45761</v>
      </c>
      <c r="B38" s="44">
        <v>40</v>
      </c>
      <c r="C38" s="45"/>
      <c r="D38" s="45"/>
      <c r="E38" s="45"/>
      <c r="F38" s="46" t="s">
        <v>34</v>
      </c>
      <c r="G38" s="47">
        <v>2</v>
      </c>
      <c r="H38" s="47">
        <v>10</v>
      </c>
      <c r="I38" s="47">
        <f t="shared" si="3"/>
        <v>20</v>
      </c>
      <c r="J38" s="60">
        <v>17.5</v>
      </c>
      <c r="K38" s="60">
        <f t="shared" si="5"/>
        <v>350</v>
      </c>
      <c r="L38" s="45"/>
      <c r="M38" s="61"/>
      <c r="N38" s="61"/>
    </row>
    <row r="39" s="25" customFormat="1" ht="20.25" spans="1:14">
      <c r="A39" s="43">
        <v>45761</v>
      </c>
      <c r="B39" s="44">
        <v>40</v>
      </c>
      <c r="C39" s="47"/>
      <c r="D39" s="47"/>
      <c r="E39" s="47"/>
      <c r="F39" s="46" t="s">
        <v>23</v>
      </c>
      <c r="G39" s="47">
        <v>11</v>
      </c>
      <c r="H39" s="47">
        <v>20</v>
      </c>
      <c r="I39" s="47">
        <f t="shared" si="3"/>
        <v>220</v>
      </c>
      <c r="J39" s="60">
        <v>17.5</v>
      </c>
      <c r="K39" s="60">
        <f t="shared" si="5"/>
        <v>3850</v>
      </c>
      <c r="L39" s="24"/>
      <c r="M39" s="47">
        <f>SUM(K30:K39)</f>
        <v>12378</v>
      </c>
      <c r="N39" s="61"/>
    </row>
    <row r="40" s="23" customFormat="1" ht="20.25" spans="1:13">
      <c r="A40" s="39">
        <v>45765</v>
      </c>
      <c r="B40" s="40">
        <v>53</v>
      </c>
      <c r="C40" s="35" t="s">
        <v>118</v>
      </c>
      <c r="D40" s="35"/>
      <c r="E40" s="42" t="s">
        <v>73</v>
      </c>
      <c r="F40" s="35" t="s">
        <v>41</v>
      </c>
      <c r="G40" s="35">
        <v>1</v>
      </c>
      <c r="H40" s="35">
        <v>14</v>
      </c>
      <c r="I40" s="35">
        <f t="shared" si="3"/>
        <v>14</v>
      </c>
      <c r="J40" s="56">
        <v>18.5</v>
      </c>
      <c r="K40" s="56">
        <f t="shared" si="5"/>
        <v>259</v>
      </c>
      <c r="L40" s="42" t="s">
        <v>119</v>
      </c>
      <c r="M40" s="21"/>
    </row>
    <row r="41" s="23" customFormat="1" ht="20.25" spans="1:13">
      <c r="A41" s="39">
        <v>45765</v>
      </c>
      <c r="B41" s="40">
        <v>53</v>
      </c>
      <c r="C41" s="35" t="s">
        <v>118</v>
      </c>
      <c r="D41" s="35"/>
      <c r="E41" s="42" t="s">
        <v>73</v>
      </c>
      <c r="F41" s="35" t="s">
        <v>41</v>
      </c>
      <c r="G41" s="35">
        <v>1</v>
      </c>
      <c r="H41" s="35">
        <v>5.5</v>
      </c>
      <c r="I41" s="35">
        <f t="shared" si="3"/>
        <v>5.5</v>
      </c>
      <c r="J41" s="56"/>
      <c r="K41" s="56"/>
      <c r="L41" s="35">
        <v>7279.5</v>
      </c>
      <c r="M41" s="21"/>
    </row>
    <row r="42" s="23" customFormat="1" ht="20.25" spans="1:14">
      <c r="A42" s="39">
        <v>45765</v>
      </c>
      <c r="B42" s="40">
        <v>53</v>
      </c>
      <c r="C42" s="53" t="s">
        <v>114</v>
      </c>
      <c r="D42" s="35"/>
      <c r="E42" s="35"/>
      <c r="F42" s="42" t="s">
        <v>120</v>
      </c>
      <c r="G42" s="35">
        <v>1</v>
      </c>
      <c r="H42" s="35">
        <v>20</v>
      </c>
      <c r="I42" s="35">
        <f t="shared" ref="I42:I52" si="6">G42*H42</f>
        <v>20</v>
      </c>
      <c r="J42" s="56">
        <v>22</v>
      </c>
      <c r="K42" s="56">
        <f t="shared" ref="K42:K52" si="7">I42*J42</f>
        <v>440</v>
      </c>
      <c r="L42" s="21" t="s">
        <v>116</v>
      </c>
      <c r="M42" s="35"/>
      <c r="N42" s="21"/>
    </row>
    <row r="43" s="26" customFormat="1" ht="20.25" spans="1:16384">
      <c r="A43" s="39">
        <v>45765</v>
      </c>
      <c r="B43" s="40">
        <v>53</v>
      </c>
      <c r="C43" s="35" t="s">
        <v>31</v>
      </c>
      <c r="D43" s="35"/>
      <c r="E43" s="48" t="s">
        <v>32</v>
      </c>
      <c r="F43" s="48" t="s">
        <v>32</v>
      </c>
      <c r="G43" s="35">
        <v>2</v>
      </c>
      <c r="H43" s="35">
        <v>25</v>
      </c>
      <c r="I43" s="35">
        <f t="shared" si="6"/>
        <v>50</v>
      </c>
      <c r="J43" s="56">
        <v>18.5</v>
      </c>
      <c r="K43" s="56">
        <f t="shared" si="7"/>
        <v>925</v>
      </c>
      <c r="L43" s="42"/>
      <c r="M43" s="42"/>
      <c r="N43" s="57"/>
      <c r="XFD43" s="23"/>
    </row>
    <row r="44" s="21" customFormat="1" ht="20.25" spans="1:14">
      <c r="A44" s="39">
        <v>45765</v>
      </c>
      <c r="B44" s="40">
        <v>53</v>
      </c>
      <c r="C44" s="33"/>
      <c r="D44" s="33"/>
      <c r="E44" s="33"/>
      <c r="F44" s="42" t="s">
        <v>34</v>
      </c>
      <c r="G44" s="35">
        <v>2</v>
      </c>
      <c r="H44" s="35">
        <v>10</v>
      </c>
      <c r="I44" s="35">
        <f t="shared" si="6"/>
        <v>20</v>
      </c>
      <c r="J44" s="56">
        <v>17.5</v>
      </c>
      <c r="K44" s="56">
        <f t="shared" si="7"/>
        <v>350</v>
      </c>
      <c r="L44" s="33"/>
      <c r="M44" s="57"/>
      <c r="N44" s="57"/>
    </row>
    <row r="45" s="23" customFormat="1" ht="20.25" spans="1:14">
      <c r="A45" s="39">
        <v>45765</v>
      </c>
      <c r="B45" s="40">
        <v>53</v>
      </c>
      <c r="C45" s="35"/>
      <c r="D45" s="35"/>
      <c r="E45" s="35"/>
      <c r="F45" s="42" t="s">
        <v>23</v>
      </c>
      <c r="G45" s="35">
        <v>11</v>
      </c>
      <c r="H45" s="35">
        <v>20</v>
      </c>
      <c r="I45" s="35">
        <f t="shared" si="6"/>
        <v>220</v>
      </c>
      <c r="J45" s="56">
        <v>17.5</v>
      </c>
      <c r="K45" s="56">
        <f t="shared" si="7"/>
        <v>3850</v>
      </c>
      <c r="L45" s="21"/>
      <c r="M45" s="35">
        <f>SUM(K36:K45)</f>
        <v>10926</v>
      </c>
      <c r="N45" s="57"/>
    </row>
    <row r="46" s="25" customFormat="1" ht="20.25" spans="1:14">
      <c r="A46" s="43">
        <v>45773</v>
      </c>
      <c r="B46" s="44">
        <v>83</v>
      </c>
      <c r="C46" s="47" t="s">
        <v>14</v>
      </c>
      <c r="D46" s="47"/>
      <c r="E46" s="47"/>
      <c r="F46" s="46" t="s">
        <v>15</v>
      </c>
      <c r="G46" s="47">
        <v>10</v>
      </c>
      <c r="H46" s="47">
        <v>28</v>
      </c>
      <c r="I46" s="47">
        <f t="shared" si="6"/>
        <v>280</v>
      </c>
      <c r="J46" s="60">
        <v>9.5</v>
      </c>
      <c r="K46" s="60">
        <f t="shared" si="7"/>
        <v>2660</v>
      </c>
      <c r="L46" s="46">
        <v>9804</v>
      </c>
      <c r="M46" s="46"/>
      <c r="N46" s="61"/>
    </row>
    <row r="47" s="21" customFormat="1" ht="20.25" spans="1:14">
      <c r="A47" s="39">
        <v>45775</v>
      </c>
      <c r="B47" s="40">
        <v>91</v>
      </c>
      <c r="C47" s="33" t="s">
        <v>50</v>
      </c>
      <c r="D47" s="33"/>
      <c r="E47" s="33"/>
      <c r="F47" s="42" t="s">
        <v>24</v>
      </c>
      <c r="G47" s="35">
        <v>2</v>
      </c>
      <c r="H47" s="35">
        <v>24</v>
      </c>
      <c r="I47" s="35">
        <f t="shared" si="6"/>
        <v>48</v>
      </c>
      <c r="J47" s="56">
        <v>18.5</v>
      </c>
      <c r="K47" s="56">
        <f t="shared" si="7"/>
        <v>888</v>
      </c>
      <c r="L47" s="57" t="s">
        <v>51</v>
      </c>
      <c r="M47" s="42"/>
      <c r="N47" s="57"/>
    </row>
    <row r="48" s="21" customFormat="1" ht="20.25" spans="1:14">
      <c r="A48" s="39">
        <v>45775</v>
      </c>
      <c r="B48" s="40">
        <v>91</v>
      </c>
      <c r="C48" s="33" t="s">
        <v>50</v>
      </c>
      <c r="D48" s="33"/>
      <c r="E48" s="33"/>
      <c r="F48" s="42" t="s">
        <v>24</v>
      </c>
      <c r="G48" s="35">
        <v>2</v>
      </c>
      <c r="H48" s="35">
        <v>25</v>
      </c>
      <c r="I48" s="35">
        <f t="shared" si="6"/>
        <v>50</v>
      </c>
      <c r="J48" s="56">
        <v>18.5</v>
      </c>
      <c r="K48" s="56">
        <f t="shared" si="7"/>
        <v>925</v>
      </c>
      <c r="L48" s="57" t="s">
        <v>51</v>
      </c>
      <c r="M48" s="42"/>
      <c r="N48" s="57"/>
    </row>
    <row r="49" s="23" customFormat="1" ht="20.25" spans="1:14">
      <c r="A49" s="39">
        <v>45775</v>
      </c>
      <c r="B49" s="40">
        <v>91</v>
      </c>
      <c r="C49" s="35"/>
      <c r="D49" s="35"/>
      <c r="E49" s="35"/>
      <c r="F49" s="42" t="s">
        <v>23</v>
      </c>
      <c r="G49" s="35">
        <v>4</v>
      </c>
      <c r="H49" s="35">
        <v>20</v>
      </c>
      <c r="I49" s="35">
        <f t="shared" si="6"/>
        <v>80</v>
      </c>
      <c r="J49" s="56">
        <v>17.5</v>
      </c>
      <c r="K49" s="56">
        <f t="shared" si="7"/>
        <v>1400</v>
      </c>
      <c r="L49" s="21"/>
      <c r="M49" s="35">
        <f>SUM(K47:K49)</f>
        <v>3213</v>
      </c>
      <c r="N49" s="57"/>
    </row>
    <row r="50" s="27" customFormat="1" ht="20.25" spans="1:16384">
      <c r="A50" s="43">
        <v>45786</v>
      </c>
      <c r="B50" s="44">
        <v>17</v>
      </c>
      <c r="C50" s="47">
        <v>24055</v>
      </c>
      <c r="D50" s="47"/>
      <c r="E50" s="52" t="s">
        <v>56</v>
      </c>
      <c r="F50" s="52" t="s">
        <v>56</v>
      </c>
      <c r="G50" s="47">
        <v>4</v>
      </c>
      <c r="H50" s="47">
        <v>25</v>
      </c>
      <c r="I50" s="47">
        <f t="shared" si="6"/>
        <v>100</v>
      </c>
      <c r="J50" s="60">
        <v>18.5</v>
      </c>
      <c r="K50" s="60">
        <f t="shared" si="7"/>
        <v>1850</v>
      </c>
      <c r="L50" s="46"/>
      <c r="M50" s="46"/>
      <c r="N50" s="61"/>
      <c r="XFD50" s="65"/>
    </row>
    <row r="51" s="27" customFormat="1" ht="20.25" spans="1:16384">
      <c r="A51" s="43">
        <v>45786</v>
      </c>
      <c r="B51" s="44">
        <v>17</v>
      </c>
      <c r="C51" s="47">
        <v>24055</v>
      </c>
      <c r="D51" s="47"/>
      <c r="E51" s="52" t="s">
        <v>56</v>
      </c>
      <c r="F51" s="52" t="s">
        <v>56</v>
      </c>
      <c r="G51" s="47">
        <v>1</v>
      </c>
      <c r="H51" s="47">
        <v>26</v>
      </c>
      <c r="I51" s="47">
        <f t="shared" si="6"/>
        <v>26</v>
      </c>
      <c r="J51" s="60">
        <v>18.5</v>
      </c>
      <c r="K51" s="60">
        <f t="shared" si="7"/>
        <v>481</v>
      </c>
      <c r="L51" s="46"/>
      <c r="M51" s="46"/>
      <c r="N51" s="61"/>
      <c r="XFD51" s="65"/>
    </row>
    <row r="52" s="25" customFormat="1" ht="20.25" spans="1:14">
      <c r="A52" s="43">
        <v>45786</v>
      </c>
      <c r="B52" s="44">
        <v>17</v>
      </c>
      <c r="C52" s="47" t="s">
        <v>17</v>
      </c>
      <c r="D52" s="47"/>
      <c r="E52" s="47"/>
      <c r="F52" s="46" t="s">
        <v>18</v>
      </c>
      <c r="G52" s="47">
        <v>3</v>
      </c>
      <c r="H52" s="47">
        <v>20</v>
      </c>
      <c r="I52" s="47">
        <f t="shared" ref="I52:I57" si="8">G52*H52</f>
        <v>60</v>
      </c>
      <c r="J52" s="60">
        <v>22</v>
      </c>
      <c r="K52" s="60">
        <f t="shared" ref="K52:K57" si="9">I52*J52</f>
        <v>1320</v>
      </c>
      <c r="L52" s="24"/>
      <c r="M52" s="47"/>
      <c r="N52" s="24"/>
    </row>
    <row r="53" s="25" customFormat="1" ht="20.25" spans="1:14">
      <c r="A53" s="43">
        <v>45786</v>
      </c>
      <c r="B53" s="44">
        <v>17</v>
      </c>
      <c r="C53" s="54" t="s">
        <v>19</v>
      </c>
      <c r="D53" s="45"/>
      <c r="E53" s="45"/>
      <c r="F53" s="46" t="s">
        <v>20</v>
      </c>
      <c r="G53" s="47">
        <v>1</v>
      </c>
      <c r="H53" s="47">
        <v>24</v>
      </c>
      <c r="I53" s="47">
        <f t="shared" si="8"/>
        <v>24</v>
      </c>
      <c r="J53" s="60">
        <v>18.5</v>
      </c>
      <c r="K53" s="60">
        <f t="shared" si="9"/>
        <v>444</v>
      </c>
      <c r="L53" s="24" t="s">
        <v>21</v>
      </c>
      <c r="M53" s="47"/>
      <c r="N53" s="24"/>
    </row>
    <row r="54" s="25" customFormat="1" ht="20.25" spans="1:14">
      <c r="A54" s="43">
        <v>45786</v>
      </c>
      <c r="B54" s="44">
        <v>17</v>
      </c>
      <c r="C54" s="47"/>
      <c r="D54" s="47"/>
      <c r="E54" s="47"/>
      <c r="F54" s="46" t="s">
        <v>23</v>
      </c>
      <c r="G54" s="47">
        <v>4</v>
      </c>
      <c r="H54" s="47">
        <v>20</v>
      </c>
      <c r="I54" s="47">
        <f t="shared" si="8"/>
        <v>80</v>
      </c>
      <c r="J54" s="60">
        <v>17.5</v>
      </c>
      <c r="K54" s="60">
        <f t="shared" si="9"/>
        <v>1400</v>
      </c>
      <c r="L54" s="24"/>
      <c r="M54" s="47">
        <f>SUM(K50:K55)</f>
        <v>7345</v>
      </c>
      <c r="N54" s="61"/>
    </row>
    <row r="55" s="25" customFormat="1" ht="20.25" spans="1:14">
      <c r="A55" s="43">
        <v>45786</v>
      </c>
      <c r="B55" s="44">
        <v>17</v>
      </c>
      <c r="C55" s="47">
        <v>555</v>
      </c>
      <c r="D55" s="47"/>
      <c r="E55" s="47"/>
      <c r="F55" s="46" t="s">
        <v>99</v>
      </c>
      <c r="G55" s="47">
        <v>5</v>
      </c>
      <c r="H55" s="47">
        <v>20</v>
      </c>
      <c r="I55" s="47">
        <f t="shared" si="8"/>
        <v>100</v>
      </c>
      <c r="J55" s="60">
        <v>18.5</v>
      </c>
      <c r="K55" s="60">
        <f t="shared" si="9"/>
        <v>1850</v>
      </c>
      <c r="L55" s="24"/>
      <c r="M55" s="47"/>
      <c r="N55" s="61"/>
    </row>
    <row r="56" s="26" customFormat="1" ht="20.25" spans="1:16384">
      <c r="A56" s="39">
        <v>45790</v>
      </c>
      <c r="B56" s="40">
        <v>26</v>
      </c>
      <c r="C56" s="55" t="s">
        <v>121</v>
      </c>
      <c r="D56" s="35"/>
      <c r="E56" s="48" t="s">
        <v>32</v>
      </c>
      <c r="F56" s="48" t="s">
        <v>122</v>
      </c>
      <c r="G56" s="35">
        <v>1</v>
      </c>
      <c r="H56" s="35">
        <v>3</v>
      </c>
      <c r="I56" s="35">
        <f t="shared" si="8"/>
        <v>3</v>
      </c>
      <c r="J56" s="56">
        <v>18.5</v>
      </c>
      <c r="K56" s="56">
        <f t="shared" si="9"/>
        <v>55.5</v>
      </c>
      <c r="L56" s="63" t="s">
        <v>123</v>
      </c>
      <c r="M56" s="42"/>
      <c r="N56" s="57"/>
      <c r="XFD56" s="23"/>
    </row>
    <row r="57" s="26" customFormat="1" ht="20.25" spans="1:16384">
      <c r="A57" s="39">
        <v>45790</v>
      </c>
      <c r="B57" s="40">
        <v>26</v>
      </c>
      <c r="C57" s="55" t="s">
        <v>124</v>
      </c>
      <c r="D57" s="35"/>
      <c r="E57" s="48" t="s">
        <v>32</v>
      </c>
      <c r="F57" s="48" t="s">
        <v>125</v>
      </c>
      <c r="G57" s="35">
        <v>1</v>
      </c>
      <c r="H57" s="35">
        <v>10</v>
      </c>
      <c r="I57" s="35">
        <f t="shared" si="8"/>
        <v>10</v>
      </c>
      <c r="J57" s="56">
        <v>18.5</v>
      </c>
      <c r="K57" s="56">
        <f t="shared" si="9"/>
        <v>185</v>
      </c>
      <c r="L57" s="42"/>
      <c r="M57" s="42"/>
      <c r="N57" s="57"/>
      <c r="XFD57" s="23"/>
    </row>
    <row r="58" s="26" customFormat="1" ht="20.25" spans="1:16384">
      <c r="A58" s="39">
        <v>45790</v>
      </c>
      <c r="B58" s="40">
        <v>26</v>
      </c>
      <c r="C58" s="55" t="s">
        <v>126</v>
      </c>
      <c r="D58" s="35"/>
      <c r="E58" s="48"/>
      <c r="F58" s="48" t="s">
        <v>127</v>
      </c>
      <c r="G58" s="35">
        <v>1</v>
      </c>
      <c r="H58" s="35">
        <v>4</v>
      </c>
      <c r="I58" s="35">
        <f t="shared" ref="I58:I78" si="10">G58*H58</f>
        <v>4</v>
      </c>
      <c r="J58" s="56">
        <v>22</v>
      </c>
      <c r="K58" s="56">
        <f t="shared" ref="K58:K66" si="11">I58*J58</f>
        <v>88</v>
      </c>
      <c r="L58" s="42"/>
      <c r="M58" s="42"/>
      <c r="N58" s="57"/>
      <c r="XFD58" s="23"/>
    </row>
    <row r="59" s="26" customFormat="1" ht="20.25" spans="1:16384">
      <c r="A59" s="39">
        <v>45790</v>
      </c>
      <c r="B59" s="40">
        <v>26</v>
      </c>
      <c r="C59" s="55" t="s">
        <v>128</v>
      </c>
      <c r="D59" s="35"/>
      <c r="E59" s="48"/>
      <c r="F59" s="48" t="s">
        <v>129</v>
      </c>
      <c r="G59" s="35">
        <v>1</v>
      </c>
      <c r="H59" s="35">
        <v>4</v>
      </c>
      <c r="I59" s="35">
        <f t="shared" si="10"/>
        <v>4</v>
      </c>
      <c r="J59" s="56">
        <v>22</v>
      </c>
      <c r="K59" s="56">
        <f t="shared" si="11"/>
        <v>88</v>
      </c>
      <c r="L59" s="42"/>
      <c r="M59" s="42"/>
      <c r="N59" s="57"/>
      <c r="XFD59" s="23"/>
    </row>
    <row r="60" s="27" customFormat="1" ht="20.25" spans="1:16384">
      <c r="A60" s="43">
        <v>45790</v>
      </c>
      <c r="B60" s="44">
        <v>35</v>
      </c>
      <c r="C60" s="47" t="s">
        <v>31</v>
      </c>
      <c r="D60" s="47"/>
      <c r="E60" s="52" t="s">
        <v>32</v>
      </c>
      <c r="F60" s="52" t="s">
        <v>32</v>
      </c>
      <c r="G60" s="47">
        <v>4</v>
      </c>
      <c r="H60" s="47">
        <v>25</v>
      </c>
      <c r="I60" s="47">
        <f t="shared" si="10"/>
        <v>100</v>
      </c>
      <c r="J60" s="60">
        <v>18.5</v>
      </c>
      <c r="K60" s="60">
        <f t="shared" si="11"/>
        <v>1850</v>
      </c>
      <c r="L60" s="46"/>
      <c r="M60" s="46"/>
      <c r="N60" s="61"/>
      <c r="XFD60" s="25"/>
    </row>
    <row r="61" s="24" customFormat="1" ht="20.25" spans="1:14">
      <c r="A61" s="43">
        <v>45790</v>
      </c>
      <c r="B61" s="44">
        <v>35</v>
      </c>
      <c r="C61" s="45"/>
      <c r="D61" s="45"/>
      <c r="E61" s="45"/>
      <c r="F61" s="46" t="s">
        <v>34</v>
      </c>
      <c r="G61" s="47">
        <v>4</v>
      </c>
      <c r="H61" s="47">
        <v>10</v>
      </c>
      <c r="I61" s="47">
        <f t="shared" si="10"/>
        <v>40</v>
      </c>
      <c r="J61" s="60">
        <v>17.5</v>
      </c>
      <c r="K61" s="60">
        <f t="shared" si="11"/>
        <v>700</v>
      </c>
      <c r="L61" s="45"/>
      <c r="M61" s="61"/>
      <c r="N61" s="61"/>
    </row>
    <row r="62" s="24" customFormat="1" ht="20.25" spans="1:14">
      <c r="A62" s="43">
        <v>45790</v>
      </c>
      <c r="B62" s="44">
        <v>35</v>
      </c>
      <c r="C62" s="45"/>
      <c r="D62" s="45"/>
      <c r="E62" s="45"/>
      <c r="F62" s="46" t="s">
        <v>34</v>
      </c>
      <c r="G62" s="47">
        <v>1</v>
      </c>
      <c r="H62" s="47">
        <v>10</v>
      </c>
      <c r="I62" s="47">
        <f t="shared" si="10"/>
        <v>10</v>
      </c>
      <c r="J62" s="60">
        <v>17.5</v>
      </c>
      <c r="K62" s="60">
        <f t="shared" si="11"/>
        <v>175</v>
      </c>
      <c r="L62" s="45" t="s">
        <v>130</v>
      </c>
      <c r="M62" s="61"/>
      <c r="N62" s="61"/>
    </row>
    <row r="63" s="26" customFormat="1" ht="20.25" spans="1:16384">
      <c r="A63" s="39">
        <v>45792</v>
      </c>
      <c r="B63" s="40">
        <v>41</v>
      </c>
      <c r="C63" s="55" t="s">
        <v>124</v>
      </c>
      <c r="D63" s="35"/>
      <c r="E63" s="48" t="s">
        <v>32</v>
      </c>
      <c r="F63" s="48" t="s">
        <v>125</v>
      </c>
      <c r="G63" s="35">
        <v>2</v>
      </c>
      <c r="H63" s="35">
        <v>25</v>
      </c>
      <c r="I63" s="35">
        <f t="shared" si="10"/>
        <v>50</v>
      </c>
      <c r="J63" s="56">
        <v>18.5</v>
      </c>
      <c r="K63" s="56">
        <f t="shared" si="11"/>
        <v>925</v>
      </c>
      <c r="L63" s="42"/>
      <c r="M63" s="42"/>
      <c r="N63" s="57"/>
      <c r="XFD63" s="23"/>
    </row>
    <row r="64" s="24" customFormat="1" ht="20.25" spans="1:14">
      <c r="A64" s="39">
        <v>45792</v>
      </c>
      <c r="B64" s="40">
        <v>41</v>
      </c>
      <c r="C64" s="45"/>
      <c r="D64" s="45"/>
      <c r="E64" s="45"/>
      <c r="F64" s="46" t="s">
        <v>34</v>
      </c>
      <c r="G64" s="47">
        <v>2</v>
      </c>
      <c r="H64" s="47">
        <v>10</v>
      </c>
      <c r="I64" s="47">
        <f t="shared" si="10"/>
        <v>20</v>
      </c>
      <c r="J64" s="60">
        <v>17.5</v>
      </c>
      <c r="K64" s="60">
        <f t="shared" si="11"/>
        <v>350</v>
      </c>
      <c r="L64" s="45"/>
      <c r="M64" s="61"/>
      <c r="N64" s="61"/>
    </row>
    <row r="65" s="25" customFormat="1" ht="20.25" spans="1:14">
      <c r="A65" s="39">
        <v>45792</v>
      </c>
      <c r="B65" s="40">
        <v>41</v>
      </c>
      <c r="C65" s="47" t="s">
        <v>14</v>
      </c>
      <c r="D65" s="47"/>
      <c r="E65" s="47"/>
      <c r="F65" s="46" t="s">
        <v>15</v>
      </c>
      <c r="G65" s="47">
        <v>10</v>
      </c>
      <c r="H65" s="47">
        <v>28</v>
      </c>
      <c r="I65" s="47">
        <f t="shared" si="10"/>
        <v>280</v>
      </c>
      <c r="J65" s="60">
        <v>9.5</v>
      </c>
      <c r="K65" s="60">
        <f t="shared" si="11"/>
        <v>2660</v>
      </c>
      <c r="L65" s="46">
        <v>9804</v>
      </c>
      <c r="M65" s="46"/>
      <c r="N65" s="61"/>
    </row>
    <row r="66" s="28" customFormat="1" ht="20.25" spans="1:14">
      <c r="A66" s="66">
        <v>45793</v>
      </c>
      <c r="B66" s="67"/>
      <c r="C66" s="68" t="s">
        <v>17</v>
      </c>
      <c r="D66" s="68"/>
      <c r="E66" s="68"/>
      <c r="F66" s="69" t="s">
        <v>18</v>
      </c>
      <c r="G66" s="68">
        <v>1</v>
      </c>
      <c r="H66" s="68">
        <v>20</v>
      </c>
      <c r="I66" s="68">
        <f t="shared" si="10"/>
        <v>20</v>
      </c>
      <c r="J66" s="81"/>
      <c r="K66" s="81"/>
      <c r="L66" s="82" t="s">
        <v>131</v>
      </c>
      <c r="M66" s="68"/>
      <c r="N66" s="82"/>
    </row>
    <row r="67" s="29" customFormat="1" ht="20.25" spans="1:14">
      <c r="A67" s="70">
        <v>45800</v>
      </c>
      <c r="B67" s="71"/>
      <c r="C67" s="72" t="s">
        <v>17</v>
      </c>
      <c r="D67" s="72"/>
      <c r="E67" s="72"/>
      <c r="F67" s="73" t="s">
        <v>18</v>
      </c>
      <c r="G67" s="72">
        <v>2</v>
      </c>
      <c r="H67" s="72">
        <v>20</v>
      </c>
      <c r="I67" s="72">
        <f t="shared" si="10"/>
        <v>40</v>
      </c>
      <c r="J67" s="83"/>
      <c r="K67" s="83"/>
      <c r="L67" s="84" t="s">
        <v>131</v>
      </c>
      <c r="M67" s="72"/>
      <c r="N67" s="84"/>
    </row>
    <row r="68" s="26" customFormat="1" ht="20.25" spans="1:16384">
      <c r="A68" s="39">
        <v>45803</v>
      </c>
      <c r="B68" s="40">
        <v>65</v>
      </c>
      <c r="C68" s="55" t="s">
        <v>126</v>
      </c>
      <c r="D68" s="35"/>
      <c r="E68" s="48"/>
      <c r="F68" s="48" t="s">
        <v>127</v>
      </c>
      <c r="G68" s="35">
        <v>1</v>
      </c>
      <c r="H68" s="35">
        <v>20</v>
      </c>
      <c r="I68" s="35">
        <f t="shared" si="10"/>
        <v>20</v>
      </c>
      <c r="J68" s="56">
        <v>22</v>
      </c>
      <c r="K68" s="56">
        <f t="shared" ref="K68:K78" si="12">I68*J68</f>
        <v>440</v>
      </c>
      <c r="L68" s="42"/>
      <c r="M68" s="42"/>
      <c r="N68" s="57"/>
      <c r="XFD68" s="23"/>
    </row>
    <row r="69" s="26" customFormat="1" ht="20.25" spans="1:16384">
      <c r="A69" s="39">
        <v>45803</v>
      </c>
      <c r="B69" s="40">
        <v>65</v>
      </c>
      <c r="C69" s="55" t="s">
        <v>128</v>
      </c>
      <c r="D69" s="35"/>
      <c r="E69" s="48"/>
      <c r="F69" s="48" t="s">
        <v>129</v>
      </c>
      <c r="G69" s="35">
        <v>1</v>
      </c>
      <c r="H69" s="35">
        <v>4</v>
      </c>
      <c r="I69" s="35">
        <f t="shared" si="10"/>
        <v>4</v>
      </c>
      <c r="J69" s="56"/>
      <c r="K69" s="56">
        <f t="shared" si="12"/>
        <v>0</v>
      </c>
      <c r="L69" s="42" t="s">
        <v>132</v>
      </c>
      <c r="M69" s="42"/>
      <c r="N69" s="57"/>
      <c r="XFD69" s="23"/>
    </row>
    <row r="70" s="25" customFormat="1" ht="20.25" spans="1:14">
      <c r="A70" s="43">
        <v>45805</v>
      </c>
      <c r="B70" s="44">
        <v>69</v>
      </c>
      <c r="C70" s="47" t="s">
        <v>17</v>
      </c>
      <c r="D70" s="47"/>
      <c r="E70" s="47"/>
      <c r="F70" s="46" t="s">
        <v>18</v>
      </c>
      <c r="G70" s="47">
        <v>2</v>
      </c>
      <c r="H70" s="47">
        <v>20</v>
      </c>
      <c r="I70" s="47">
        <f t="shared" si="10"/>
        <v>40</v>
      </c>
      <c r="J70" s="60">
        <v>22</v>
      </c>
      <c r="K70" s="60">
        <f t="shared" si="12"/>
        <v>880</v>
      </c>
      <c r="L70" s="24" t="s">
        <v>131</v>
      </c>
      <c r="M70" s="47"/>
      <c r="N70" s="24"/>
    </row>
    <row r="71" s="27" customFormat="1" ht="20.25" spans="1:16384">
      <c r="A71" s="43">
        <v>45805</v>
      </c>
      <c r="B71" s="44">
        <v>69</v>
      </c>
      <c r="C71" s="74" t="s">
        <v>128</v>
      </c>
      <c r="D71" s="47"/>
      <c r="E71" s="52"/>
      <c r="F71" s="52" t="s">
        <v>129</v>
      </c>
      <c r="G71" s="47">
        <v>1</v>
      </c>
      <c r="H71" s="47">
        <v>21</v>
      </c>
      <c r="I71" s="47">
        <f t="shared" si="10"/>
        <v>21</v>
      </c>
      <c r="J71" s="60">
        <v>22</v>
      </c>
      <c r="K71" s="60">
        <f t="shared" si="12"/>
        <v>462</v>
      </c>
      <c r="L71" s="46" t="s">
        <v>132</v>
      </c>
      <c r="M71" s="46"/>
      <c r="N71" s="61"/>
      <c r="XFD71" s="25"/>
    </row>
    <row r="72" s="25" customFormat="1" ht="20.25" spans="1:14">
      <c r="A72" s="43">
        <v>45805</v>
      </c>
      <c r="B72" s="44">
        <v>69</v>
      </c>
      <c r="C72" s="47"/>
      <c r="D72" s="47"/>
      <c r="E72" s="47"/>
      <c r="F72" s="46" t="s">
        <v>23</v>
      </c>
      <c r="G72" s="47">
        <v>2</v>
      </c>
      <c r="H72" s="47">
        <v>20</v>
      </c>
      <c r="I72" s="47">
        <f t="shared" si="10"/>
        <v>40</v>
      </c>
      <c r="J72" s="60">
        <v>17.5</v>
      </c>
      <c r="K72" s="60">
        <f t="shared" si="12"/>
        <v>700</v>
      </c>
      <c r="L72" s="24"/>
      <c r="M72" s="47">
        <f>SUM(K70:K73)</f>
        <v>2217</v>
      </c>
      <c r="N72" s="61"/>
    </row>
    <row r="73" s="24" customFormat="1" ht="20.25" spans="1:14">
      <c r="A73" s="43">
        <v>45805</v>
      </c>
      <c r="B73" s="44">
        <v>69</v>
      </c>
      <c r="C73" s="45"/>
      <c r="D73" s="45"/>
      <c r="E73" s="45"/>
      <c r="F73" s="46" t="s">
        <v>34</v>
      </c>
      <c r="G73" s="47">
        <v>1</v>
      </c>
      <c r="H73" s="47">
        <v>10</v>
      </c>
      <c r="I73" s="47">
        <f t="shared" si="10"/>
        <v>10</v>
      </c>
      <c r="J73" s="60">
        <v>17.5</v>
      </c>
      <c r="K73" s="60">
        <f t="shared" si="12"/>
        <v>175</v>
      </c>
      <c r="L73" s="45"/>
      <c r="M73" s="61"/>
      <c r="N73" s="61"/>
    </row>
    <row r="74" s="26" customFormat="1" ht="20.25" spans="1:16384">
      <c r="A74" s="39">
        <v>45821</v>
      </c>
      <c r="B74" s="40">
        <v>39</v>
      </c>
      <c r="C74" s="55" t="s">
        <v>124</v>
      </c>
      <c r="D74" s="35"/>
      <c r="E74" s="48" t="s">
        <v>32</v>
      </c>
      <c r="F74" s="48" t="s">
        <v>125</v>
      </c>
      <c r="G74" s="35">
        <v>2</v>
      </c>
      <c r="H74" s="35">
        <v>26</v>
      </c>
      <c r="I74" s="35">
        <f t="shared" si="10"/>
        <v>52</v>
      </c>
      <c r="J74" s="56">
        <v>18.5</v>
      </c>
      <c r="K74" s="56">
        <f t="shared" si="12"/>
        <v>962</v>
      </c>
      <c r="L74" s="42"/>
      <c r="M74" s="42"/>
      <c r="N74" s="57"/>
      <c r="XFD74" s="23"/>
    </row>
    <row r="75" s="21" customFormat="1" ht="20.25" spans="1:14">
      <c r="A75" s="39">
        <v>45821</v>
      </c>
      <c r="B75" s="40">
        <v>39</v>
      </c>
      <c r="C75" s="33" t="s">
        <v>26</v>
      </c>
      <c r="D75" s="33"/>
      <c r="E75" s="33"/>
      <c r="F75" s="42" t="s">
        <v>27</v>
      </c>
      <c r="G75" s="35">
        <v>2</v>
      </c>
      <c r="H75" s="35">
        <v>20</v>
      </c>
      <c r="I75" s="35">
        <f t="shared" si="10"/>
        <v>40</v>
      </c>
      <c r="J75" s="56">
        <v>22</v>
      </c>
      <c r="K75" s="56">
        <f t="shared" si="12"/>
        <v>880</v>
      </c>
      <c r="L75" s="57"/>
      <c r="M75" s="42"/>
      <c r="N75" s="57"/>
    </row>
    <row r="76" s="21" customFormat="1" ht="20.25" spans="1:14">
      <c r="A76" s="39">
        <v>45821</v>
      </c>
      <c r="B76" s="40">
        <v>39</v>
      </c>
      <c r="C76" s="33"/>
      <c r="D76" s="33"/>
      <c r="E76" s="33"/>
      <c r="F76" s="42" t="s">
        <v>34</v>
      </c>
      <c r="G76" s="35">
        <v>4</v>
      </c>
      <c r="H76" s="35">
        <v>10</v>
      </c>
      <c r="I76" s="35">
        <f t="shared" si="10"/>
        <v>40</v>
      </c>
      <c r="J76" s="56">
        <v>17.5</v>
      </c>
      <c r="K76" s="56">
        <f t="shared" si="12"/>
        <v>700</v>
      </c>
      <c r="L76" s="33">
        <f>SUM(K74:K76)</f>
        <v>2542</v>
      </c>
      <c r="M76" s="57"/>
      <c r="N76" s="57"/>
    </row>
    <row r="77" s="25" customFormat="1" ht="20.25" spans="1:14">
      <c r="A77" s="43">
        <v>45824</v>
      </c>
      <c r="B77" s="44">
        <v>47</v>
      </c>
      <c r="C77" s="47" t="s">
        <v>14</v>
      </c>
      <c r="D77" s="47"/>
      <c r="E77" s="47"/>
      <c r="F77" s="46" t="s">
        <v>15</v>
      </c>
      <c r="G77" s="47">
        <v>10</v>
      </c>
      <c r="H77" s="47">
        <v>28</v>
      </c>
      <c r="I77" s="47">
        <f t="shared" si="10"/>
        <v>280</v>
      </c>
      <c r="J77" s="60">
        <v>9.5</v>
      </c>
      <c r="K77" s="60">
        <f t="shared" si="12"/>
        <v>2660</v>
      </c>
      <c r="L77" s="46">
        <v>9804</v>
      </c>
      <c r="M77" s="46"/>
      <c r="N77" s="61"/>
    </row>
    <row r="78" s="27" customFormat="1" ht="20.25" spans="1:16384">
      <c r="A78" s="43">
        <v>45824</v>
      </c>
      <c r="B78" s="44">
        <v>47</v>
      </c>
      <c r="C78" s="74" t="s">
        <v>121</v>
      </c>
      <c r="D78" s="47"/>
      <c r="E78" s="52" t="s">
        <v>32</v>
      </c>
      <c r="F78" s="52" t="s">
        <v>122</v>
      </c>
      <c r="G78" s="47">
        <v>1</v>
      </c>
      <c r="H78" s="47">
        <v>10</v>
      </c>
      <c r="I78" s="47">
        <f t="shared" ref="I78:I108" si="13">G78*H78</f>
        <v>10</v>
      </c>
      <c r="J78" s="60">
        <v>18.5</v>
      </c>
      <c r="K78" s="60">
        <f t="shared" ref="K78:K97" si="14">I78*J78</f>
        <v>185</v>
      </c>
      <c r="L78" s="46"/>
      <c r="M78" s="46"/>
      <c r="N78" s="61"/>
      <c r="XFD78" s="25"/>
    </row>
    <row r="79" s="24" customFormat="1" ht="20.25" spans="1:14">
      <c r="A79" s="43">
        <v>45824</v>
      </c>
      <c r="B79" s="44">
        <v>47</v>
      </c>
      <c r="C79" s="75" t="s">
        <v>133</v>
      </c>
      <c r="D79" s="45"/>
      <c r="E79" s="45"/>
      <c r="F79" s="69" t="s">
        <v>127</v>
      </c>
      <c r="G79" s="47">
        <v>2</v>
      </c>
      <c r="H79" s="47">
        <v>21</v>
      </c>
      <c r="I79" s="47">
        <f t="shared" si="13"/>
        <v>42</v>
      </c>
      <c r="J79" s="60">
        <v>22</v>
      </c>
      <c r="K79" s="60">
        <f t="shared" si="14"/>
        <v>924</v>
      </c>
      <c r="L79" s="61"/>
      <c r="M79" s="46"/>
      <c r="N79" s="61"/>
    </row>
    <row r="80" s="25" customFormat="1" ht="20.25" spans="1:14">
      <c r="A80" s="43">
        <v>45824</v>
      </c>
      <c r="B80" s="44">
        <v>47</v>
      </c>
      <c r="C80" s="47"/>
      <c r="D80" s="47"/>
      <c r="E80" s="47"/>
      <c r="F80" s="46" t="s">
        <v>34</v>
      </c>
      <c r="G80" s="47">
        <v>3</v>
      </c>
      <c r="H80" s="47">
        <v>10</v>
      </c>
      <c r="I80" s="47">
        <f t="shared" si="13"/>
        <v>30</v>
      </c>
      <c r="J80" s="60">
        <v>17.5</v>
      </c>
      <c r="K80" s="60">
        <f t="shared" si="14"/>
        <v>525</v>
      </c>
      <c r="L80" s="24"/>
      <c r="M80" s="47">
        <f>SUM(K77:K80)</f>
        <v>4294</v>
      </c>
      <c r="N80" s="61"/>
    </row>
    <row r="81" s="23" customFormat="1" ht="20.25" spans="1:14">
      <c r="A81" s="39">
        <v>45829</v>
      </c>
      <c r="B81" s="40">
        <v>63</v>
      </c>
      <c r="C81" s="35" t="s">
        <v>17</v>
      </c>
      <c r="D81" s="35"/>
      <c r="E81" s="35"/>
      <c r="F81" s="42" t="s">
        <v>18</v>
      </c>
      <c r="G81" s="35">
        <v>3</v>
      </c>
      <c r="H81" s="35">
        <v>20</v>
      </c>
      <c r="I81" s="35">
        <f t="shared" si="13"/>
        <v>60</v>
      </c>
      <c r="J81" s="56">
        <v>22</v>
      </c>
      <c r="K81" s="56">
        <f t="shared" si="14"/>
        <v>1320</v>
      </c>
      <c r="L81" s="21" t="s">
        <v>131</v>
      </c>
      <c r="M81" s="35"/>
      <c r="N81" s="21"/>
    </row>
    <row r="82" s="26" customFormat="1" ht="20.25" spans="1:16384">
      <c r="A82" s="39">
        <v>45829</v>
      </c>
      <c r="B82" s="40">
        <v>63</v>
      </c>
      <c r="C82" s="55" t="s">
        <v>128</v>
      </c>
      <c r="D82" s="35"/>
      <c r="E82" s="48"/>
      <c r="F82" s="48" t="s">
        <v>129</v>
      </c>
      <c r="G82" s="35">
        <v>1</v>
      </c>
      <c r="H82" s="35">
        <v>22</v>
      </c>
      <c r="I82" s="35">
        <f t="shared" si="13"/>
        <v>22</v>
      </c>
      <c r="J82" s="56">
        <v>22</v>
      </c>
      <c r="K82" s="56">
        <f t="shared" si="14"/>
        <v>484</v>
      </c>
      <c r="L82" s="42" t="s">
        <v>132</v>
      </c>
      <c r="M82" s="42"/>
      <c r="N82" s="57"/>
      <c r="XFD82" s="23"/>
    </row>
    <row r="83" s="26" customFormat="1" ht="20.25" spans="1:16384">
      <c r="A83" s="39">
        <v>45829</v>
      </c>
      <c r="B83" s="40">
        <v>63</v>
      </c>
      <c r="C83" s="35" t="s">
        <v>31</v>
      </c>
      <c r="D83" s="35"/>
      <c r="E83" s="48" t="s">
        <v>32</v>
      </c>
      <c r="F83" s="48" t="s">
        <v>32</v>
      </c>
      <c r="G83" s="35">
        <v>4</v>
      </c>
      <c r="H83" s="35">
        <v>25</v>
      </c>
      <c r="I83" s="35">
        <f t="shared" si="13"/>
        <v>100</v>
      </c>
      <c r="J83" s="56">
        <v>18.5</v>
      </c>
      <c r="K83" s="56">
        <f t="shared" si="14"/>
        <v>1850</v>
      </c>
      <c r="L83" s="42"/>
      <c r="M83" s="42"/>
      <c r="N83" s="57"/>
      <c r="XFD83" s="23"/>
    </row>
    <row r="84" s="27" customFormat="1" ht="20.25" spans="1:16384">
      <c r="A84" s="43">
        <v>45838</v>
      </c>
      <c r="B84" s="44">
        <v>98</v>
      </c>
      <c r="C84" s="74" t="s">
        <v>124</v>
      </c>
      <c r="D84" s="47"/>
      <c r="E84" s="52" t="s">
        <v>32</v>
      </c>
      <c r="F84" s="52" t="s">
        <v>125</v>
      </c>
      <c r="G84" s="47">
        <v>1</v>
      </c>
      <c r="H84" s="47">
        <v>25</v>
      </c>
      <c r="I84" s="47">
        <f t="shared" si="13"/>
        <v>25</v>
      </c>
      <c r="J84" s="60">
        <v>18.5</v>
      </c>
      <c r="K84" s="60">
        <f t="shared" si="14"/>
        <v>462.5</v>
      </c>
      <c r="L84" s="46"/>
      <c r="M84" s="46"/>
      <c r="N84" s="61"/>
      <c r="XFD84" s="25"/>
    </row>
    <row r="85" s="25" customFormat="1" ht="20.25" spans="1:14">
      <c r="A85" s="43">
        <v>45838</v>
      </c>
      <c r="B85" s="44">
        <v>98</v>
      </c>
      <c r="C85" s="54" t="s">
        <v>19</v>
      </c>
      <c r="D85" s="45"/>
      <c r="E85" s="45"/>
      <c r="F85" s="46" t="s">
        <v>20</v>
      </c>
      <c r="G85" s="47">
        <v>1</v>
      </c>
      <c r="H85" s="47">
        <v>25</v>
      </c>
      <c r="I85" s="47">
        <f t="shared" si="13"/>
        <v>25</v>
      </c>
      <c r="J85" s="60">
        <v>18.5</v>
      </c>
      <c r="K85" s="60">
        <f t="shared" si="14"/>
        <v>462.5</v>
      </c>
      <c r="L85" s="24" t="s">
        <v>21</v>
      </c>
      <c r="M85" s="47"/>
      <c r="N85" s="24"/>
    </row>
    <row r="86" s="23" customFormat="1" ht="20.25" spans="1:14">
      <c r="A86" s="39">
        <v>45839</v>
      </c>
      <c r="B86" s="40">
        <v>2</v>
      </c>
      <c r="C86" s="35"/>
      <c r="D86" s="35"/>
      <c r="E86" s="35"/>
      <c r="F86" s="42" t="s">
        <v>34</v>
      </c>
      <c r="G86" s="35">
        <v>5</v>
      </c>
      <c r="H86" s="35">
        <v>10</v>
      </c>
      <c r="I86" s="35">
        <f t="shared" si="13"/>
        <v>50</v>
      </c>
      <c r="J86" s="56">
        <v>17.5</v>
      </c>
      <c r="K86" s="56">
        <f t="shared" si="14"/>
        <v>875</v>
      </c>
      <c r="L86" s="21"/>
      <c r="M86" s="35">
        <f>SUM(K83:K86)</f>
        <v>3650</v>
      </c>
      <c r="N86" s="57"/>
    </row>
    <row r="87" s="25" customFormat="1" ht="20.25" spans="1:14">
      <c r="A87" s="43">
        <v>45824</v>
      </c>
      <c r="B87" s="44">
        <v>47</v>
      </c>
      <c r="C87" s="47" t="s">
        <v>14</v>
      </c>
      <c r="D87" s="47"/>
      <c r="E87" s="47"/>
      <c r="F87" s="46" t="s">
        <v>15</v>
      </c>
      <c r="G87" s="47">
        <v>5</v>
      </c>
      <c r="H87" s="47">
        <v>28</v>
      </c>
      <c r="I87" s="47">
        <f t="shared" si="13"/>
        <v>140</v>
      </c>
      <c r="J87" s="60">
        <v>9.5</v>
      </c>
      <c r="K87" s="60">
        <f t="shared" si="14"/>
        <v>1330</v>
      </c>
      <c r="L87" s="46">
        <v>9804</v>
      </c>
      <c r="M87" s="46"/>
      <c r="N87" s="61"/>
    </row>
    <row r="88" s="27" customFormat="1" ht="20.25" spans="1:16384">
      <c r="A88" s="43">
        <v>45838</v>
      </c>
      <c r="B88" s="44">
        <v>98</v>
      </c>
      <c r="C88" s="74" t="s">
        <v>124</v>
      </c>
      <c r="D88" s="47"/>
      <c r="E88" s="52" t="s">
        <v>32</v>
      </c>
      <c r="F88" s="52" t="s">
        <v>125</v>
      </c>
      <c r="G88" s="47">
        <v>2</v>
      </c>
      <c r="H88" s="47">
        <v>26</v>
      </c>
      <c r="I88" s="47">
        <f t="shared" si="13"/>
        <v>52</v>
      </c>
      <c r="J88" s="60">
        <v>18.5</v>
      </c>
      <c r="K88" s="60">
        <f t="shared" si="14"/>
        <v>962</v>
      </c>
      <c r="L88" s="46"/>
      <c r="M88" s="46"/>
      <c r="N88" s="61"/>
      <c r="XFD88" s="25"/>
    </row>
    <row r="89" s="27" customFormat="1" ht="20.25" spans="1:16384">
      <c r="A89" s="43">
        <v>45838</v>
      </c>
      <c r="B89" s="44">
        <v>98</v>
      </c>
      <c r="C89" s="74" t="s">
        <v>124</v>
      </c>
      <c r="D89" s="47"/>
      <c r="E89" s="52" t="s">
        <v>32</v>
      </c>
      <c r="F89" s="52" t="s">
        <v>125</v>
      </c>
      <c r="G89" s="47">
        <v>1</v>
      </c>
      <c r="H89" s="47">
        <v>25</v>
      </c>
      <c r="I89" s="47">
        <f t="shared" si="13"/>
        <v>25</v>
      </c>
      <c r="J89" s="60">
        <v>18.5</v>
      </c>
      <c r="K89" s="60">
        <f t="shared" si="14"/>
        <v>462.5</v>
      </c>
      <c r="L89" s="46"/>
      <c r="M89" s="46"/>
      <c r="N89" s="61"/>
      <c r="XFD89" s="25"/>
    </row>
    <row r="90" s="23" customFormat="1" ht="20.25" spans="1:14">
      <c r="A90" s="39">
        <v>45839</v>
      </c>
      <c r="B90" s="40">
        <v>2</v>
      </c>
      <c r="C90" s="35"/>
      <c r="D90" s="35"/>
      <c r="E90" s="35"/>
      <c r="F90" s="42" t="s">
        <v>34</v>
      </c>
      <c r="G90" s="35">
        <v>3</v>
      </c>
      <c r="H90" s="35">
        <v>10</v>
      </c>
      <c r="I90" s="35">
        <f t="shared" si="13"/>
        <v>30</v>
      </c>
      <c r="J90" s="56">
        <v>17.5</v>
      </c>
      <c r="K90" s="56">
        <f t="shared" si="14"/>
        <v>525</v>
      </c>
      <c r="L90" s="21"/>
      <c r="M90" s="35">
        <f>SUM(K87:K90)</f>
        <v>3279.5</v>
      </c>
      <c r="N90" s="57"/>
    </row>
    <row r="91" s="27" customFormat="1" ht="20.25" spans="1:16384">
      <c r="A91" s="43">
        <v>45849</v>
      </c>
      <c r="B91" s="44">
        <v>40</v>
      </c>
      <c r="C91" s="47">
        <v>24055</v>
      </c>
      <c r="D91" s="47"/>
      <c r="E91" s="52" t="s">
        <v>56</v>
      </c>
      <c r="F91" s="52" t="s">
        <v>56</v>
      </c>
      <c r="G91" s="47">
        <v>1</v>
      </c>
      <c r="H91" s="47">
        <v>26</v>
      </c>
      <c r="I91" s="47">
        <f t="shared" si="13"/>
        <v>26</v>
      </c>
      <c r="J91" s="60">
        <v>18.5</v>
      </c>
      <c r="K91" s="60">
        <f t="shared" si="14"/>
        <v>481</v>
      </c>
      <c r="L91" s="46"/>
      <c r="M91" s="46"/>
      <c r="N91" s="61"/>
      <c r="XFD91" s="65"/>
    </row>
    <row r="92" s="27" customFormat="1" ht="20.25" spans="1:16384">
      <c r="A92" s="43">
        <v>45849</v>
      </c>
      <c r="B92" s="44">
        <v>40</v>
      </c>
      <c r="C92" s="47">
        <v>24055</v>
      </c>
      <c r="D92" s="47"/>
      <c r="E92" s="52" t="s">
        <v>56</v>
      </c>
      <c r="F92" s="52" t="s">
        <v>56</v>
      </c>
      <c r="G92" s="47">
        <v>4</v>
      </c>
      <c r="H92" s="47">
        <v>25</v>
      </c>
      <c r="I92" s="47">
        <f t="shared" si="13"/>
        <v>100</v>
      </c>
      <c r="J92" s="60">
        <v>18.5</v>
      </c>
      <c r="K92" s="60">
        <f t="shared" ref="K92:K114" si="15">I92*J92</f>
        <v>1850</v>
      </c>
      <c r="L92" s="46"/>
      <c r="M92" s="46"/>
      <c r="N92" s="61"/>
      <c r="XFD92" s="65"/>
    </row>
    <row r="93" s="24" customFormat="1" ht="20.25" spans="1:14">
      <c r="A93" s="43">
        <v>45849</v>
      </c>
      <c r="B93" s="44">
        <v>40</v>
      </c>
      <c r="C93" s="45" t="s">
        <v>50</v>
      </c>
      <c r="D93" s="45"/>
      <c r="E93" s="45"/>
      <c r="F93" s="46" t="s">
        <v>24</v>
      </c>
      <c r="G93" s="47">
        <v>2</v>
      </c>
      <c r="H93" s="47">
        <v>23</v>
      </c>
      <c r="I93" s="47">
        <f t="shared" si="13"/>
        <v>46</v>
      </c>
      <c r="J93" s="60">
        <v>18.5</v>
      </c>
      <c r="K93" s="60">
        <f t="shared" si="15"/>
        <v>851</v>
      </c>
      <c r="L93" s="61" t="s">
        <v>51</v>
      </c>
      <c r="M93" s="46">
        <f>SUM(K91:K94)</f>
        <v>5032</v>
      </c>
      <c r="N93" s="61"/>
    </row>
    <row r="94" s="25" customFormat="1" ht="20.25" spans="1:14">
      <c r="A94" s="43">
        <v>45849</v>
      </c>
      <c r="B94" s="44">
        <v>40</v>
      </c>
      <c r="C94" s="47">
        <v>555</v>
      </c>
      <c r="D94" s="47"/>
      <c r="E94" s="47"/>
      <c r="F94" s="46" t="s">
        <v>99</v>
      </c>
      <c r="G94" s="47">
        <v>5</v>
      </c>
      <c r="H94" s="47">
        <v>20</v>
      </c>
      <c r="I94" s="47">
        <f t="shared" si="13"/>
        <v>100</v>
      </c>
      <c r="J94" s="60">
        <v>18.5</v>
      </c>
      <c r="K94" s="60">
        <f t="shared" si="15"/>
        <v>1850</v>
      </c>
      <c r="L94" s="24"/>
      <c r="M94" s="47"/>
      <c r="N94" s="61"/>
    </row>
    <row r="95" s="25" customFormat="1" ht="20.25" spans="1:14">
      <c r="A95" s="43">
        <v>45849</v>
      </c>
      <c r="B95" s="44">
        <v>40</v>
      </c>
      <c r="C95" s="47" t="s">
        <v>14</v>
      </c>
      <c r="D95" s="47"/>
      <c r="E95" s="47"/>
      <c r="F95" s="46" t="s">
        <v>15</v>
      </c>
      <c r="G95" s="47">
        <v>10</v>
      </c>
      <c r="H95" s="47">
        <v>28</v>
      </c>
      <c r="I95" s="47">
        <f t="shared" si="13"/>
        <v>280</v>
      </c>
      <c r="J95" s="60">
        <v>9.5</v>
      </c>
      <c r="K95" s="60">
        <f t="shared" si="15"/>
        <v>2660</v>
      </c>
      <c r="L95" s="46">
        <v>9804</v>
      </c>
      <c r="M95" s="46"/>
      <c r="N95" s="61"/>
    </row>
    <row r="96" s="25" customFormat="1" ht="20.25" spans="1:14">
      <c r="A96" s="43">
        <v>45849</v>
      </c>
      <c r="B96" s="44">
        <v>40</v>
      </c>
      <c r="C96" s="47">
        <v>3528</v>
      </c>
      <c r="D96" s="47"/>
      <c r="E96" s="47"/>
      <c r="F96" s="46" t="s">
        <v>16</v>
      </c>
      <c r="G96" s="47">
        <v>1</v>
      </c>
      <c r="H96" s="47">
        <v>21</v>
      </c>
      <c r="I96" s="47">
        <f t="shared" si="13"/>
        <v>21</v>
      </c>
      <c r="J96" s="60">
        <v>22</v>
      </c>
      <c r="K96" s="60">
        <f t="shared" si="15"/>
        <v>462</v>
      </c>
      <c r="L96" s="24"/>
      <c r="M96" s="46"/>
      <c r="N96" s="24"/>
    </row>
    <row r="97" s="25" customFormat="1" ht="20.25" spans="1:14">
      <c r="A97" s="43">
        <v>45849</v>
      </c>
      <c r="B97" s="44">
        <v>40</v>
      </c>
      <c r="C97" s="47">
        <v>3528</v>
      </c>
      <c r="D97" s="47"/>
      <c r="E97" s="47"/>
      <c r="F97" s="46" t="s">
        <v>16</v>
      </c>
      <c r="G97" s="47">
        <v>1</v>
      </c>
      <c r="H97" s="47">
        <v>20</v>
      </c>
      <c r="I97" s="47">
        <f t="shared" si="13"/>
        <v>20</v>
      </c>
      <c r="J97" s="60">
        <v>22</v>
      </c>
      <c r="K97" s="60">
        <f t="shared" si="15"/>
        <v>440</v>
      </c>
      <c r="L97" s="24"/>
      <c r="M97" s="46"/>
      <c r="N97" s="24"/>
    </row>
    <row r="98" s="25" customFormat="1" ht="20.25" spans="1:14">
      <c r="A98" s="43">
        <v>45849</v>
      </c>
      <c r="B98" s="44">
        <v>40</v>
      </c>
      <c r="C98" s="47"/>
      <c r="D98" s="47"/>
      <c r="E98" s="47"/>
      <c r="F98" s="46" t="s">
        <v>23</v>
      </c>
      <c r="G98" s="47">
        <v>4</v>
      </c>
      <c r="H98" s="47">
        <v>20</v>
      </c>
      <c r="I98" s="47">
        <f t="shared" si="13"/>
        <v>80</v>
      </c>
      <c r="J98" s="60">
        <v>17.5</v>
      </c>
      <c r="K98" s="60">
        <f t="shared" si="15"/>
        <v>1400</v>
      </c>
      <c r="L98" s="24"/>
      <c r="M98" s="47">
        <f>SUM(K91:K98)</f>
        <v>9994</v>
      </c>
      <c r="N98" s="61"/>
    </row>
    <row r="99" s="26" customFormat="1" ht="20.25" spans="1:16384">
      <c r="A99" s="39">
        <v>45857</v>
      </c>
      <c r="B99" s="40">
        <v>68</v>
      </c>
      <c r="C99" s="35">
        <v>24055</v>
      </c>
      <c r="D99" s="35"/>
      <c r="E99" s="48" t="s">
        <v>56</v>
      </c>
      <c r="F99" s="48" t="s">
        <v>56</v>
      </c>
      <c r="G99" s="35">
        <v>3</v>
      </c>
      <c r="H99" s="35">
        <v>25</v>
      </c>
      <c r="I99" s="35">
        <f t="shared" si="13"/>
        <v>75</v>
      </c>
      <c r="J99" s="56">
        <v>18.5</v>
      </c>
      <c r="K99" s="56">
        <f t="shared" si="15"/>
        <v>1387.5</v>
      </c>
      <c r="L99" s="42"/>
      <c r="M99" s="42"/>
      <c r="N99" s="57"/>
      <c r="XFD99" s="64"/>
    </row>
    <row r="100" s="26" customFormat="1" ht="20.25" spans="1:16384">
      <c r="A100" s="39">
        <v>45857</v>
      </c>
      <c r="B100" s="40">
        <v>68</v>
      </c>
      <c r="C100" s="35" t="s">
        <v>31</v>
      </c>
      <c r="D100" s="35"/>
      <c r="E100" s="48" t="s">
        <v>32</v>
      </c>
      <c r="F100" s="48" t="s">
        <v>32</v>
      </c>
      <c r="G100" s="35">
        <v>3</v>
      </c>
      <c r="H100" s="35">
        <v>25</v>
      </c>
      <c r="I100" s="35">
        <f t="shared" si="13"/>
        <v>75</v>
      </c>
      <c r="J100" s="56">
        <v>18.5</v>
      </c>
      <c r="K100" s="56">
        <f t="shared" si="15"/>
        <v>1387.5</v>
      </c>
      <c r="L100" s="42"/>
      <c r="M100" s="42"/>
      <c r="N100" s="57"/>
      <c r="XFD100" s="23"/>
    </row>
    <row r="101" s="23" customFormat="1" ht="20.25" spans="1:14">
      <c r="A101" s="39">
        <v>45857</v>
      </c>
      <c r="B101" s="40">
        <v>68</v>
      </c>
      <c r="C101" s="35" t="s">
        <v>17</v>
      </c>
      <c r="D101" s="35"/>
      <c r="E101" s="35"/>
      <c r="F101" s="42" t="s">
        <v>18</v>
      </c>
      <c r="G101" s="35">
        <v>2</v>
      </c>
      <c r="H101" s="35">
        <v>20</v>
      </c>
      <c r="I101" s="35">
        <f t="shared" si="13"/>
        <v>40</v>
      </c>
      <c r="J101" s="56">
        <v>22</v>
      </c>
      <c r="K101" s="56">
        <f t="shared" si="15"/>
        <v>880</v>
      </c>
      <c r="L101" s="21" t="s">
        <v>134</v>
      </c>
      <c r="M101" s="35"/>
      <c r="N101" s="21"/>
    </row>
    <row r="102" s="23" customFormat="1" ht="20.25" spans="1:14">
      <c r="A102" s="39">
        <v>45857</v>
      </c>
      <c r="B102" s="40">
        <v>68</v>
      </c>
      <c r="C102" s="35"/>
      <c r="D102" s="35"/>
      <c r="E102" s="35"/>
      <c r="F102" s="42" t="s">
        <v>34</v>
      </c>
      <c r="G102" s="35">
        <v>3</v>
      </c>
      <c r="H102" s="35">
        <v>10</v>
      </c>
      <c r="I102" s="35">
        <f t="shared" si="13"/>
        <v>30</v>
      </c>
      <c r="J102" s="56">
        <v>17.5</v>
      </c>
      <c r="K102" s="56">
        <f t="shared" si="15"/>
        <v>525</v>
      </c>
      <c r="L102" s="21"/>
      <c r="M102" s="35"/>
      <c r="N102" s="57"/>
    </row>
    <row r="103" s="25" customFormat="1" ht="20.25" spans="1:14">
      <c r="A103" s="39">
        <v>45857</v>
      </c>
      <c r="B103" s="40">
        <v>68</v>
      </c>
      <c r="C103" s="35">
        <v>555</v>
      </c>
      <c r="D103" s="35"/>
      <c r="E103" s="35"/>
      <c r="F103" s="42" t="s">
        <v>99</v>
      </c>
      <c r="G103" s="35">
        <v>5</v>
      </c>
      <c r="H103" s="35">
        <v>20</v>
      </c>
      <c r="I103" s="35">
        <f t="shared" si="13"/>
        <v>100</v>
      </c>
      <c r="J103" s="56">
        <v>18.5</v>
      </c>
      <c r="K103" s="56">
        <f t="shared" si="15"/>
        <v>1850</v>
      </c>
      <c r="L103" s="24"/>
      <c r="M103" s="47">
        <f>SUM(K99:K103)</f>
        <v>6030</v>
      </c>
      <c r="N103" s="61"/>
    </row>
    <row r="104" s="27" customFormat="1" ht="20.25" spans="1:16384">
      <c r="A104" s="43">
        <v>45878</v>
      </c>
      <c r="B104" s="44">
        <v>17</v>
      </c>
      <c r="C104" s="47">
        <v>24055</v>
      </c>
      <c r="D104" s="47"/>
      <c r="E104" s="52" t="s">
        <v>56</v>
      </c>
      <c r="F104" s="52" t="s">
        <v>56</v>
      </c>
      <c r="G104" s="47">
        <v>3</v>
      </c>
      <c r="H104" s="47">
        <v>25</v>
      </c>
      <c r="I104" s="47">
        <f t="shared" si="13"/>
        <v>75</v>
      </c>
      <c r="J104" s="60">
        <v>18.5</v>
      </c>
      <c r="K104" s="60">
        <f t="shared" si="15"/>
        <v>1387.5</v>
      </c>
      <c r="L104" s="46"/>
      <c r="M104" s="46"/>
      <c r="N104" s="61"/>
      <c r="XFD104" s="65"/>
    </row>
    <row r="105" s="27" customFormat="1" ht="20.25" spans="1:16384">
      <c r="A105" s="43">
        <v>45878</v>
      </c>
      <c r="B105" s="44">
        <v>17</v>
      </c>
      <c r="C105" s="47">
        <v>24055</v>
      </c>
      <c r="D105" s="47"/>
      <c r="E105" s="52" t="s">
        <v>56</v>
      </c>
      <c r="F105" s="52" t="s">
        <v>56</v>
      </c>
      <c r="G105" s="47">
        <v>2</v>
      </c>
      <c r="H105" s="47">
        <v>26</v>
      </c>
      <c r="I105" s="47">
        <f t="shared" si="13"/>
        <v>52</v>
      </c>
      <c r="J105" s="60">
        <v>18.5</v>
      </c>
      <c r="K105" s="60">
        <f t="shared" si="15"/>
        <v>962</v>
      </c>
      <c r="L105" s="46"/>
      <c r="M105" s="46"/>
      <c r="N105" s="61"/>
      <c r="XFD105" s="65"/>
    </row>
    <row r="106" s="25" customFormat="1" ht="20.25" spans="1:14">
      <c r="A106" s="43">
        <v>45878</v>
      </c>
      <c r="B106" s="44">
        <v>17</v>
      </c>
      <c r="C106" s="47" t="s">
        <v>14</v>
      </c>
      <c r="D106" s="47"/>
      <c r="E106" s="47"/>
      <c r="F106" s="46" t="s">
        <v>15</v>
      </c>
      <c r="G106" s="47">
        <v>5</v>
      </c>
      <c r="H106" s="47">
        <v>28</v>
      </c>
      <c r="I106" s="47">
        <f t="shared" si="13"/>
        <v>140</v>
      </c>
      <c r="J106" s="60">
        <v>9.5</v>
      </c>
      <c r="K106" s="60">
        <f t="shared" si="15"/>
        <v>1330</v>
      </c>
      <c r="L106" s="46">
        <v>9804</v>
      </c>
      <c r="M106" s="46">
        <f>SUM(K104:K106)</f>
        <v>3679.5</v>
      </c>
      <c r="N106" s="61"/>
    </row>
    <row r="107" s="28" customFormat="1" ht="20.25" spans="1:14">
      <c r="A107" s="66">
        <v>45880</v>
      </c>
      <c r="B107" s="67"/>
      <c r="C107" s="68">
        <v>3528</v>
      </c>
      <c r="D107" s="68"/>
      <c r="E107" s="68"/>
      <c r="F107" s="69" t="s">
        <v>16</v>
      </c>
      <c r="G107" s="68">
        <v>1</v>
      </c>
      <c r="H107" s="68">
        <v>20</v>
      </c>
      <c r="I107" s="68">
        <f t="shared" si="13"/>
        <v>20</v>
      </c>
      <c r="J107" s="68"/>
      <c r="K107" s="81">
        <f t="shared" si="15"/>
        <v>0</v>
      </c>
      <c r="L107" s="85" t="s">
        <v>135</v>
      </c>
      <c r="M107" s="69"/>
      <c r="N107" s="86"/>
    </row>
    <row r="108" s="23" customFormat="1" ht="20.25" spans="1:14">
      <c r="A108" s="39">
        <v>45885</v>
      </c>
      <c r="B108" s="40">
        <v>37</v>
      </c>
      <c r="C108" s="35" t="s">
        <v>52</v>
      </c>
      <c r="D108" s="35"/>
      <c r="E108" s="35" t="s">
        <v>53</v>
      </c>
      <c r="F108" s="42" t="s">
        <v>53</v>
      </c>
      <c r="G108" s="35">
        <v>1</v>
      </c>
      <c r="H108" s="35">
        <v>6</v>
      </c>
      <c r="I108" s="35">
        <f t="shared" ref="I108:I142" si="16">G108*H108</f>
        <v>6</v>
      </c>
      <c r="J108" s="35">
        <v>22</v>
      </c>
      <c r="K108" s="56">
        <f t="shared" si="15"/>
        <v>132</v>
      </c>
      <c r="L108" s="56" t="s">
        <v>136</v>
      </c>
      <c r="M108" s="42"/>
      <c r="N108" s="57"/>
    </row>
    <row r="109" s="23" customFormat="1" ht="20.25" spans="1:14">
      <c r="A109" s="39">
        <v>45885</v>
      </c>
      <c r="B109" s="40">
        <v>37</v>
      </c>
      <c r="C109" s="35">
        <v>3528</v>
      </c>
      <c r="D109" s="35"/>
      <c r="E109" s="35" t="s">
        <v>16</v>
      </c>
      <c r="F109" s="42" t="s">
        <v>16</v>
      </c>
      <c r="G109" s="35">
        <v>3</v>
      </c>
      <c r="H109" s="35">
        <v>21</v>
      </c>
      <c r="I109" s="35">
        <f t="shared" si="16"/>
        <v>63</v>
      </c>
      <c r="J109" s="35">
        <v>22</v>
      </c>
      <c r="K109" s="56">
        <f t="shared" si="15"/>
        <v>1386</v>
      </c>
      <c r="L109" s="87"/>
      <c r="M109" s="42"/>
      <c r="N109" s="57"/>
    </row>
    <row r="110" s="23" customFormat="1" ht="20.25" spans="1:14">
      <c r="A110" s="39">
        <v>45885</v>
      </c>
      <c r="B110" s="40">
        <v>37</v>
      </c>
      <c r="C110" s="35" t="s">
        <v>17</v>
      </c>
      <c r="D110" s="35"/>
      <c r="E110" s="35"/>
      <c r="F110" s="42" t="s">
        <v>18</v>
      </c>
      <c r="G110" s="35">
        <v>2</v>
      </c>
      <c r="H110" s="35">
        <v>20</v>
      </c>
      <c r="I110" s="35">
        <f t="shared" si="16"/>
        <v>40</v>
      </c>
      <c r="J110" s="56">
        <v>22</v>
      </c>
      <c r="K110" s="56">
        <f t="shared" si="15"/>
        <v>880</v>
      </c>
      <c r="L110" s="21"/>
      <c r="M110" s="35"/>
      <c r="N110" s="21"/>
    </row>
    <row r="111" s="23" customFormat="1" ht="20.25" spans="1:14">
      <c r="A111" s="39">
        <v>45885</v>
      </c>
      <c r="B111" s="40">
        <v>37</v>
      </c>
      <c r="C111" s="35" t="s">
        <v>14</v>
      </c>
      <c r="D111" s="35"/>
      <c r="E111" s="35"/>
      <c r="F111" s="42" t="s">
        <v>15</v>
      </c>
      <c r="G111" s="35">
        <v>5</v>
      </c>
      <c r="H111" s="35">
        <v>28</v>
      </c>
      <c r="I111" s="35">
        <f t="shared" si="16"/>
        <v>140</v>
      </c>
      <c r="J111" s="56">
        <v>9.5</v>
      </c>
      <c r="K111" s="56">
        <f t="shared" si="15"/>
        <v>1330</v>
      </c>
      <c r="L111" s="42">
        <v>9804</v>
      </c>
      <c r="M111" s="42">
        <f>SUM(K108:K111)</f>
        <v>3728</v>
      </c>
      <c r="N111" s="57"/>
    </row>
    <row r="112" s="30" customFormat="1" ht="20.25" spans="1:14">
      <c r="A112" s="76">
        <v>45887</v>
      </c>
      <c r="B112" s="77">
        <v>45</v>
      </c>
      <c r="C112" s="78" t="s">
        <v>26</v>
      </c>
      <c r="D112" s="78"/>
      <c r="E112" s="78"/>
      <c r="F112" s="79" t="s">
        <v>27</v>
      </c>
      <c r="G112" s="80">
        <v>1</v>
      </c>
      <c r="H112" s="80">
        <v>20</v>
      </c>
      <c r="I112" s="80">
        <f t="shared" si="16"/>
        <v>20</v>
      </c>
      <c r="J112" s="88">
        <v>22</v>
      </c>
      <c r="K112" s="88">
        <f t="shared" si="15"/>
        <v>440</v>
      </c>
      <c r="L112" s="89"/>
      <c r="M112" s="79"/>
      <c r="N112" s="89"/>
    </row>
    <row r="113" s="31" customFormat="1" ht="20.25" spans="1:14">
      <c r="A113" s="76">
        <v>45887</v>
      </c>
      <c r="B113" s="77">
        <v>45</v>
      </c>
      <c r="C113" s="80" t="s">
        <v>17</v>
      </c>
      <c r="D113" s="80"/>
      <c r="E113" s="80"/>
      <c r="F113" s="79" t="s">
        <v>18</v>
      </c>
      <c r="G113" s="80">
        <v>2</v>
      </c>
      <c r="H113" s="80">
        <v>20</v>
      </c>
      <c r="I113" s="80">
        <f t="shared" si="16"/>
        <v>40</v>
      </c>
      <c r="J113" s="88"/>
      <c r="K113" s="88"/>
      <c r="L113" s="30" t="s">
        <v>137</v>
      </c>
      <c r="M113" s="80"/>
      <c r="N113" s="30"/>
    </row>
    <row r="114" s="31" customFormat="1" ht="20.25" spans="1:14">
      <c r="A114" s="76">
        <v>45887</v>
      </c>
      <c r="B114" s="77">
        <v>45</v>
      </c>
      <c r="C114" s="80" t="s">
        <v>17</v>
      </c>
      <c r="D114" s="80"/>
      <c r="E114" s="80"/>
      <c r="F114" s="79" t="s">
        <v>18</v>
      </c>
      <c r="G114" s="80">
        <v>1</v>
      </c>
      <c r="H114" s="80">
        <v>6</v>
      </c>
      <c r="I114" s="80">
        <f t="shared" si="16"/>
        <v>6</v>
      </c>
      <c r="J114" s="88"/>
      <c r="K114" s="88"/>
      <c r="L114" s="30" t="s">
        <v>137</v>
      </c>
      <c r="M114" s="80"/>
      <c r="N114" s="30"/>
    </row>
    <row r="115" s="26" customFormat="1" ht="20.25" spans="1:16384">
      <c r="A115" s="39">
        <v>45889</v>
      </c>
      <c r="B115" s="40">
        <v>50</v>
      </c>
      <c r="C115" s="55" t="s">
        <v>128</v>
      </c>
      <c r="D115" s="35"/>
      <c r="E115" s="48"/>
      <c r="F115" s="48" t="s">
        <v>129</v>
      </c>
      <c r="G115" s="35">
        <v>1</v>
      </c>
      <c r="H115" s="35">
        <v>20</v>
      </c>
      <c r="I115" s="35">
        <f t="shared" si="16"/>
        <v>20</v>
      </c>
      <c r="J115" s="56">
        <v>22</v>
      </c>
      <c r="K115" s="56">
        <f t="shared" ref="K115:K151" si="17">I115*J115</f>
        <v>440</v>
      </c>
      <c r="L115" s="42" t="s">
        <v>132</v>
      </c>
      <c r="M115" s="42"/>
      <c r="N115" s="57"/>
      <c r="XFD115" s="23"/>
    </row>
    <row r="116" s="23" customFormat="1" ht="20.25" spans="1:14">
      <c r="A116" s="39">
        <v>45889</v>
      </c>
      <c r="B116" s="40">
        <v>50</v>
      </c>
      <c r="C116" s="35"/>
      <c r="D116" s="35"/>
      <c r="E116" s="35"/>
      <c r="F116" s="42" t="s">
        <v>34</v>
      </c>
      <c r="G116" s="35">
        <v>1</v>
      </c>
      <c r="H116" s="35">
        <v>10</v>
      </c>
      <c r="I116" s="35">
        <f t="shared" si="16"/>
        <v>10</v>
      </c>
      <c r="J116" s="56">
        <v>17.5</v>
      </c>
      <c r="K116" s="56">
        <f t="shared" si="17"/>
        <v>175</v>
      </c>
      <c r="L116" s="21"/>
      <c r="M116" s="35"/>
      <c r="N116" s="57"/>
    </row>
    <row r="117" s="25" customFormat="1" ht="20.25" spans="1:14">
      <c r="A117" s="43">
        <v>45903</v>
      </c>
      <c r="B117" s="44" t="s">
        <v>138</v>
      </c>
      <c r="C117" s="47" t="s">
        <v>14</v>
      </c>
      <c r="D117" s="47"/>
      <c r="E117" s="47"/>
      <c r="F117" s="46" t="s">
        <v>15</v>
      </c>
      <c r="G117" s="47">
        <v>10</v>
      </c>
      <c r="H117" s="47">
        <v>28</v>
      </c>
      <c r="I117" s="47">
        <f t="shared" si="16"/>
        <v>280</v>
      </c>
      <c r="J117" s="60">
        <v>9.5</v>
      </c>
      <c r="K117" s="60">
        <f t="shared" si="17"/>
        <v>2660</v>
      </c>
      <c r="L117" s="46">
        <v>9804</v>
      </c>
      <c r="M117" s="46">
        <f>SUM(K116:K117)</f>
        <v>2835</v>
      </c>
      <c r="N117" s="61"/>
    </row>
    <row r="118" s="25" customFormat="1" ht="20.25" spans="1:14">
      <c r="A118" s="43">
        <v>45903</v>
      </c>
      <c r="B118" s="44" t="s">
        <v>138</v>
      </c>
      <c r="C118" s="47" t="s">
        <v>17</v>
      </c>
      <c r="D118" s="47"/>
      <c r="E118" s="47"/>
      <c r="F118" s="46" t="s">
        <v>18</v>
      </c>
      <c r="G118" s="47">
        <v>2</v>
      </c>
      <c r="H118" s="47">
        <v>20</v>
      </c>
      <c r="I118" s="47">
        <f t="shared" si="16"/>
        <v>40</v>
      </c>
      <c r="J118" s="60">
        <v>22</v>
      </c>
      <c r="K118" s="60">
        <f t="shared" si="17"/>
        <v>880</v>
      </c>
      <c r="L118" s="24" t="s">
        <v>134</v>
      </c>
      <c r="M118" s="47"/>
      <c r="N118" s="24"/>
    </row>
    <row r="119" s="24" customFormat="1" ht="20.25" spans="1:14">
      <c r="A119" s="43">
        <v>45903</v>
      </c>
      <c r="B119" s="44" t="s">
        <v>138</v>
      </c>
      <c r="C119" s="45" t="s">
        <v>50</v>
      </c>
      <c r="D119" s="45"/>
      <c r="E119" s="45"/>
      <c r="F119" s="46" t="s">
        <v>24</v>
      </c>
      <c r="G119" s="47">
        <v>1</v>
      </c>
      <c r="H119" s="47">
        <v>25</v>
      </c>
      <c r="I119" s="47">
        <f t="shared" si="16"/>
        <v>25</v>
      </c>
      <c r="J119" s="60">
        <v>18.5</v>
      </c>
      <c r="K119" s="60">
        <f t="shared" si="17"/>
        <v>462.5</v>
      </c>
      <c r="L119" s="61" t="s">
        <v>51</v>
      </c>
      <c r="M119" s="46">
        <f>SUM(K116:K122)</f>
        <v>9040</v>
      </c>
      <c r="N119" s="61"/>
    </row>
    <row r="120" s="27" customFormat="1" ht="20.25" spans="1:16384">
      <c r="A120" s="43">
        <v>45903</v>
      </c>
      <c r="B120" s="44" t="s">
        <v>138</v>
      </c>
      <c r="C120" s="47">
        <v>24055</v>
      </c>
      <c r="D120" s="47"/>
      <c r="E120" s="52" t="s">
        <v>56</v>
      </c>
      <c r="F120" s="52" t="s">
        <v>56</v>
      </c>
      <c r="G120" s="47">
        <v>5</v>
      </c>
      <c r="H120" s="47">
        <v>25</v>
      </c>
      <c r="I120" s="47">
        <f t="shared" si="16"/>
        <v>125</v>
      </c>
      <c r="J120" s="60">
        <v>18.5</v>
      </c>
      <c r="K120" s="60">
        <f t="shared" si="17"/>
        <v>2312.5</v>
      </c>
      <c r="L120" s="46"/>
      <c r="M120" s="46"/>
      <c r="N120" s="61"/>
      <c r="XFD120" s="65"/>
    </row>
    <row r="121" s="25" customFormat="1" ht="20.25" spans="1:14">
      <c r="A121" s="43">
        <v>45903</v>
      </c>
      <c r="B121" s="44" t="s">
        <v>138</v>
      </c>
      <c r="C121" s="47">
        <v>555</v>
      </c>
      <c r="D121" s="47"/>
      <c r="E121" s="47"/>
      <c r="F121" s="46" t="s">
        <v>99</v>
      </c>
      <c r="G121" s="47">
        <v>5</v>
      </c>
      <c r="H121" s="47">
        <v>20</v>
      </c>
      <c r="I121" s="47">
        <f t="shared" si="16"/>
        <v>100</v>
      </c>
      <c r="J121" s="60">
        <v>18.5</v>
      </c>
      <c r="K121" s="60">
        <f t="shared" si="17"/>
        <v>1850</v>
      </c>
      <c r="L121" s="24"/>
      <c r="M121" s="47">
        <f>SUM(K117:K122)</f>
        <v>8865</v>
      </c>
      <c r="N121" s="61"/>
    </row>
    <row r="122" s="25" customFormat="1" ht="20.25" spans="1:14">
      <c r="A122" s="43">
        <v>45903</v>
      </c>
      <c r="B122" s="44" t="s">
        <v>138</v>
      </c>
      <c r="C122" s="47"/>
      <c r="D122" s="47"/>
      <c r="E122" s="47"/>
      <c r="F122" s="46" t="s">
        <v>23</v>
      </c>
      <c r="G122" s="47">
        <v>2</v>
      </c>
      <c r="H122" s="47">
        <v>20</v>
      </c>
      <c r="I122" s="47">
        <f t="shared" si="16"/>
        <v>40</v>
      </c>
      <c r="J122" s="60">
        <v>17.5</v>
      </c>
      <c r="K122" s="60">
        <f t="shared" si="17"/>
        <v>700</v>
      </c>
      <c r="L122" s="24"/>
      <c r="M122" s="47"/>
      <c r="N122" s="61"/>
    </row>
    <row r="123" s="26" customFormat="1" ht="20.25" spans="1:16384">
      <c r="A123" s="39">
        <v>45910</v>
      </c>
      <c r="B123" s="40">
        <v>28</v>
      </c>
      <c r="C123" s="35" t="s">
        <v>31</v>
      </c>
      <c r="D123" s="35"/>
      <c r="E123" s="48" t="s">
        <v>32</v>
      </c>
      <c r="F123" s="48" t="s">
        <v>32</v>
      </c>
      <c r="G123" s="35">
        <v>2</v>
      </c>
      <c r="H123" s="35">
        <v>25</v>
      </c>
      <c r="I123" s="35">
        <f t="shared" si="16"/>
        <v>50</v>
      </c>
      <c r="J123" s="56">
        <v>18.5</v>
      </c>
      <c r="K123" s="56">
        <f t="shared" si="17"/>
        <v>925</v>
      </c>
      <c r="L123" s="42"/>
      <c r="M123" s="42"/>
      <c r="N123" s="57"/>
      <c r="XFD123" s="23"/>
    </row>
    <row r="124" s="23" customFormat="1" ht="20.25" spans="1:14">
      <c r="A124" s="39">
        <v>45910</v>
      </c>
      <c r="B124" s="40">
        <v>28</v>
      </c>
      <c r="C124" s="35"/>
      <c r="D124" s="35"/>
      <c r="E124" s="35"/>
      <c r="F124" s="42" t="s">
        <v>34</v>
      </c>
      <c r="G124" s="35">
        <v>2</v>
      </c>
      <c r="H124" s="35">
        <v>10</v>
      </c>
      <c r="I124" s="35">
        <f t="shared" si="16"/>
        <v>20</v>
      </c>
      <c r="J124" s="56">
        <v>17.5</v>
      </c>
      <c r="K124" s="56">
        <f t="shared" si="17"/>
        <v>350</v>
      </c>
      <c r="L124" s="21"/>
      <c r="M124" s="35"/>
      <c r="N124" s="57"/>
    </row>
    <row r="125" s="25" customFormat="1" ht="20.25" spans="1:14">
      <c r="A125" s="43">
        <v>45922</v>
      </c>
      <c r="B125" s="44">
        <v>58</v>
      </c>
      <c r="C125" s="47" t="s">
        <v>14</v>
      </c>
      <c r="D125" s="47"/>
      <c r="E125" s="47"/>
      <c r="F125" s="46" t="s">
        <v>15</v>
      </c>
      <c r="G125" s="47">
        <v>5</v>
      </c>
      <c r="H125" s="47">
        <v>28</v>
      </c>
      <c r="I125" s="47">
        <f t="shared" si="16"/>
        <v>140</v>
      </c>
      <c r="J125" s="60">
        <v>9.5</v>
      </c>
      <c r="K125" s="60">
        <f t="shared" si="17"/>
        <v>1330</v>
      </c>
      <c r="L125" s="46">
        <v>9804</v>
      </c>
      <c r="M125" s="46"/>
      <c r="N125" s="61"/>
    </row>
    <row r="126" s="24" customFormat="1" ht="20.25" spans="1:14">
      <c r="A126" s="43">
        <v>45922</v>
      </c>
      <c r="B126" s="44">
        <v>58</v>
      </c>
      <c r="C126" s="45" t="s">
        <v>50</v>
      </c>
      <c r="D126" s="45"/>
      <c r="E126" s="45"/>
      <c r="F126" s="46" t="s">
        <v>24</v>
      </c>
      <c r="G126" s="47">
        <v>1</v>
      </c>
      <c r="H126" s="47">
        <v>27</v>
      </c>
      <c r="I126" s="47">
        <f t="shared" si="16"/>
        <v>27</v>
      </c>
      <c r="J126" s="60">
        <v>18.5</v>
      </c>
      <c r="K126" s="60">
        <f t="shared" si="17"/>
        <v>499.5</v>
      </c>
      <c r="L126" s="61" t="s">
        <v>51</v>
      </c>
      <c r="M126" s="46"/>
      <c r="N126" s="61"/>
    </row>
    <row r="127" s="27" customFormat="1" ht="20.25" spans="1:16384">
      <c r="A127" s="43">
        <v>45922</v>
      </c>
      <c r="B127" s="44">
        <v>58</v>
      </c>
      <c r="C127" s="47" t="s">
        <v>31</v>
      </c>
      <c r="D127" s="47"/>
      <c r="E127" s="52" t="s">
        <v>32</v>
      </c>
      <c r="F127" s="52" t="s">
        <v>32</v>
      </c>
      <c r="G127" s="47">
        <v>2</v>
      </c>
      <c r="H127" s="47">
        <v>26</v>
      </c>
      <c r="I127" s="47">
        <f t="shared" si="16"/>
        <v>52</v>
      </c>
      <c r="J127" s="60">
        <v>18.5</v>
      </c>
      <c r="K127" s="60">
        <f t="shared" si="17"/>
        <v>962</v>
      </c>
      <c r="L127" s="46"/>
      <c r="M127" s="46"/>
      <c r="N127" s="61"/>
      <c r="XFD127" s="25"/>
    </row>
    <row r="128" s="25" customFormat="1" ht="20.25" spans="1:14">
      <c r="A128" s="43">
        <v>45922</v>
      </c>
      <c r="B128" s="44">
        <v>58</v>
      </c>
      <c r="C128" s="47"/>
      <c r="D128" s="47"/>
      <c r="E128" s="47"/>
      <c r="F128" s="46" t="s">
        <v>34</v>
      </c>
      <c r="G128" s="47">
        <v>2</v>
      </c>
      <c r="H128" s="47">
        <v>10</v>
      </c>
      <c r="I128" s="47">
        <f t="shared" si="16"/>
        <v>20</v>
      </c>
      <c r="J128" s="60">
        <v>17.5</v>
      </c>
      <c r="K128" s="60">
        <f t="shared" si="17"/>
        <v>350</v>
      </c>
      <c r="L128" s="24">
        <f>SUM(K125:K128)</f>
        <v>3141.5</v>
      </c>
      <c r="M128" s="47"/>
      <c r="N128" s="61"/>
    </row>
    <row r="129" s="21" customFormat="1" ht="20.25" spans="1:14">
      <c r="A129" s="39">
        <v>45940</v>
      </c>
      <c r="B129" s="40">
        <v>11</v>
      </c>
      <c r="C129" s="33" t="s">
        <v>50</v>
      </c>
      <c r="D129" s="33"/>
      <c r="E129" s="33"/>
      <c r="F129" s="42" t="s">
        <v>24</v>
      </c>
      <c r="G129" s="35">
        <v>3</v>
      </c>
      <c r="H129" s="35">
        <v>26</v>
      </c>
      <c r="I129" s="35">
        <f t="shared" si="16"/>
        <v>78</v>
      </c>
      <c r="J129" s="56">
        <v>18.5</v>
      </c>
      <c r="K129" s="56">
        <f t="shared" si="17"/>
        <v>1443</v>
      </c>
      <c r="L129" s="57" t="s">
        <v>51</v>
      </c>
      <c r="M129" s="42">
        <f>SUM(K126:K133)</f>
        <v>8135.5</v>
      </c>
      <c r="N129" s="57"/>
    </row>
    <row r="130" s="26" customFormat="1" ht="20.25" spans="1:16384">
      <c r="A130" s="39">
        <v>45940</v>
      </c>
      <c r="B130" s="40">
        <v>11</v>
      </c>
      <c r="C130" s="35">
        <v>24055</v>
      </c>
      <c r="D130" s="35"/>
      <c r="E130" s="48" t="s">
        <v>56</v>
      </c>
      <c r="F130" s="48" t="s">
        <v>56</v>
      </c>
      <c r="G130" s="35">
        <v>4</v>
      </c>
      <c r="H130" s="35">
        <v>25</v>
      </c>
      <c r="I130" s="35">
        <f t="shared" si="16"/>
        <v>100</v>
      </c>
      <c r="J130" s="56">
        <v>18.5</v>
      </c>
      <c r="K130" s="56">
        <f t="shared" si="17"/>
        <v>1850</v>
      </c>
      <c r="L130" s="42"/>
      <c r="M130" s="42"/>
      <c r="N130" s="57"/>
      <c r="XFD130" s="64"/>
    </row>
    <row r="131" s="26" customFormat="1" ht="20.25" spans="1:16384">
      <c r="A131" s="39">
        <v>45940</v>
      </c>
      <c r="B131" s="40">
        <v>11</v>
      </c>
      <c r="C131" s="35">
        <v>24055</v>
      </c>
      <c r="D131" s="35"/>
      <c r="E131" s="48" t="s">
        <v>56</v>
      </c>
      <c r="F131" s="48" t="s">
        <v>56</v>
      </c>
      <c r="G131" s="35">
        <v>1</v>
      </c>
      <c r="H131" s="35">
        <v>26</v>
      </c>
      <c r="I131" s="35">
        <f t="shared" si="16"/>
        <v>26</v>
      </c>
      <c r="J131" s="56">
        <v>18.5</v>
      </c>
      <c r="K131" s="56">
        <f t="shared" si="17"/>
        <v>481</v>
      </c>
      <c r="L131" s="42"/>
      <c r="M131" s="42"/>
      <c r="N131" s="57"/>
      <c r="XFD131" s="64"/>
    </row>
    <row r="132" s="23" customFormat="1" ht="20.25" spans="1:14">
      <c r="A132" s="39">
        <v>45940</v>
      </c>
      <c r="B132" s="40">
        <v>11</v>
      </c>
      <c r="C132" s="35">
        <v>555</v>
      </c>
      <c r="D132" s="35"/>
      <c r="E132" s="35"/>
      <c r="F132" s="42" t="s">
        <v>99</v>
      </c>
      <c r="G132" s="35">
        <v>5</v>
      </c>
      <c r="H132" s="35">
        <v>20</v>
      </c>
      <c r="I132" s="35">
        <f t="shared" si="16"/>
        <v>100</v>
      </c>
      <c r="J132" s="56">
        <v>18.5</v>
      </c>
      <c r="K132" s="56">
        <f t="shared" si="17"/>
        <v>1850</v>
      </c>
      <c r="L132" s="21"/>
      <c r="M132" s="35">
        <f>SUM(K127:K133)</f>
        <v>7636</v>
      </c>
      <c r="N132" s="57"/>
    </row>
    <row r="133" s="23" customFormat="1" ht="20.25" spans="1:14">
      <c r="A133" s="39">
        <v>45940</v>
      </c>
      <c r="B133" s="40">
        <v>11</v>
      </c>
      <c r="C133" s="35"/>
      <c r="D133" s="35"/>
      <c r="E133" s="35"/>
      <c r="F133" s="42" t="s">
        <v>23</v>
      </c>
      <c r="G133" s="35">
        <v>2</v>
      </c>
      <c r="H133" s="35">
        <v>20</v>
      </c>
      <c r="I133" s="35">
        <f t="shared" si="16"/>
        <v>40</v>
      </c>
      <c r="J133" s="56">
        <v>17.5</v>
      </c>
      <c r="K133" s="56">
        <f t="shared" si="17"/>
        <v>700</v>
      </c>
      <c r="L133" s="21"/>
      <c r="M133" s="35"/>
      <c r="N133" s="57"/>
    </row>
    <row r="134" s="27" customFormat="1" ht="20.25" spans="1:16384">
      <c r="A134" s="43">
        <v>45943</v>
      </c>
      <c r="B134" s="44">
        <v>17</v>
      </c>
      <c r="C134" s="47" t="s">
        <v>31</v>
      </c>
      <c r="D134" s="47"/>
      <c r="E134" s="52" t="s">
        <v>32</v>
      </c>
      <c r="F134" s="52" t="s">
        <v>32</v>
      </c>
      <c r="G134" s="47">
        <v>3</v>
      </c>
      <c r="H134" s="47">
        <v>25</v>
      </c>
      <c r="I134" s="47">
        <f t="shared" si="16"/>
        <v>75</v>
      </c>
      <c r="J134" s="60">
        <v>18.5</v>
      </c>
      <c r="K134" s="60">
        <f t="shared" si="17"/>
        <v>1387.5</v>
      </c>
      <c r="L134" s="46"/>
      <c r="M134" s="46"/>
      <c r="N134" s="61"/>
      <c r="XFD134" s="25"/>
    </row>
    <row r="135" s="25" customFormat="1" ht="20.25" spans="1:14">
      <c r="A135" s="43">
        <v>45943</v>
      </c>
      <c r="B135" s="44">
        <v>17</v>
      </c>
      <c r="C135" s="47"/>
      <c r="D135" s="47"/>
      <c r="E135" s="47"/>
      <c r="F135" s="46" t="s">
        <v>34</v>
      </c>
      <c r="G135" s="47">
        <v>5</v>
      </c>
      <c r="H135" s="47">
        <v>10</v>
      </c>
      <c r="I135" s="47">
        <f t="shared" si="16"/>
        <v>50</v>
      </c>
      <c r="J135" s="60">
        <v>17.5</v>
      </c>
      <c r="K135" s="60">
        <f t="shared" si="17"/>
        <v>875</v>
      </c>
      <c r="L135" s="24">
        <f>SUM(K132:K135)</f>
        <v>4812.5</v>
      </c>
      <c r="M135" s="47"/>
      <c r="N135" s="61"/>
    </row>
    <row r="136" s="23" customFormat="1" ht="20.25" spans="1:14">
      <c r="A136" s="39">
        <v>45948</v>
      </c>
      <c r="B136" s="40">
        <v>45</v>
      </c>
      <c r="C136" s="35" t="s">
        <v>14</v>
      </c>
      <c r="D136" s="35"/>
      <c r="E136" s="35"/>
      <c r="F136" s="42" t="s">
        <v>15</v>
      </c>
      <c r="G136" s="35">
        <v>10</v>
      </c>
      <c r="H136" s="35">
        <v>28</v>
      </c>
      <c r="I136" s="35">
        <f t="shared" si="16"/>
        <v>280</v>
      </c>
      <c r="J136" s="56">
        <v>9.5</v>
      </c>
      <c r="K136" s="56">
        <f t="shared" si="17"/>
        <v>2660</v>
      </c>
      <c r="L136" s="42" t="s">
        <v>139</v>
      </c>
      <c r="M136" s="42"/>
      <c r="N136" s="57"/>
    </row>
    <row r="137" s="23" customFormat="1" ht="20.25" spans="1:14">
      <c r="A137" s="39">
        <v>45948</v>
      </c>
      <c r="B137" s="40">
        <v>45</v>
      </c>
      <c r="C137" s="35">
        <v>3528</v>
      </c>
      <c r="D137" s="35"/>
      <c r="E137" s="35"/>
      <c r="F137" s="42" t="s">
        <v>16</v>
      </c>
      <c r="G137" s="35">
        <v>2</v>
      </c>
      <c r="H137" s="35">
        <v>21</v>
      </c>
      <c r="I137" s="35">
        <f t="shared" si="16"/>
        <v>42</v>
      </c>
      <c r="J137" s="56">
        <v>22</v>
      </c>
      <c r="K137" s="56">
        <f t="shared" si="17"/>
        <v>924</v>
      </c>
      <c r="L137" s="21"/>
      <c r="M137" s="42"/>
      <c r="N137" s="21"/>
    </row>
    <row r="138" s="23" customFormat="1" ht="20.25" spans="1:14">
      <c r="A138" s="39">
        <v>45948</v>
      </c>
      <c r="B138" s="40">
        <v>45</v>
      </c>
      <c r="C138" s="53" t="s">
        <v>114</v>
      </c>
      <c r="D138" s="35"/>
      <c r="E138" s="35"/>
      <c r="F138" s="42" t="s">
        <v>120</v>
      </c>
      <c r="G138" s="35">
        <v>2</v>
      </c>
      <c r="H138" s="35">
        <v>20</v>
      </c>
      <c r="I138" s="35">
        <f t="shared" si="16"/>
        <v>40</v>
      </c>
      <c r="J138" s="56">
        <v>22</v>
      </c>
      <c r="K138" s="56">
        <f t="shared" si="17"/>
        <v>880</v>
      </c>
      <c r="L138" s="21" t="s">
        <v>116</v>
      </c>
      <c r="M138" s="35"/>
      <c r="N138" s="21"/>
    </row>
    <row r="139" s="23" customFormat="1" ht="20.25" spans="1:14">
      <c r="A139" s="39">
        <v>45948</v>
      </c>
      <c r="B139" s="40">
        <v>45</v>
      </c>
      <c r="C139" s="35" t="s">
        <v>17</v>
      </c>
      <c r="D139" s="35"/>
      <c r="E139" s="35"/>
      <c r="F139" s="42" t="s">
        <v>18</v>
      </c>
      <c r="G139" s="35">
        <v>2</v>
      </c>
      <c r="H139" s="35">
        <v>20</v>
      </c>
      <c r="I139" s="35">
        <f t="shared" si="16"/>
        <v>40</v>
      </c>
      <c r="J139" s="56">
        <v>22</v>
      </c>
      <c r="K139" s="56">
        <f t="shared" si="17"/>
        <v>880</v>
      </c>
      <c r="L139" s="21"/>
      <c r="M139" s="35"/>
      <c r="N139" s="21"/>
    </row>
    <row r="140" s="23" customFormat="1" ht="20.25" spans="1:14">
      <c r="A140" s="39">
        <v>45948</v>
      </c>
      <c r="B140" s="40">
        <v>45</v>
      </c>
      <c r="C140" s="35"/>
      <c r="D140" s="35"/>
      <c r="E140" s="35"/>
      <c r="F140" s="42" t="s">
        <v>23</v>
      </c>
      <c r="G140" s="35">
        <v>3</v>
      </c>
      <c r="H140" s="35">
        <v>20</v>
      </c>
      <c r="I140" s="35">
        <f t="shared" si="16"/>
        <v>60</v>
      </c>
      <c r="J140" s="56">
        <v>17.5</v>
      </c>
      <c r="K140" s="56">
        <f t="shared" si="17"/>
        <v>1050</v>
      </c>
      <c r="L140" s="21">
        <f>SUM(K136:K140)</f>
        <v>6394</v>
      </c>
      <c r="M140" s="35"/>
      <c r="N140" s="57"/>
    </row>
    <row r="141" s="25" customFormat="1" ht="20.25" spans="1:14">
      <c r="A141" s="43">
        <v>45957</v>
      </c>
      <c r="B141" s="44" t="s">
        <v>140</v>
      </c>
      <c r="C141" s="54" t="s">
        <v>19</v>
      </c>
      <c r="D141" s="45"/>
      <c r="E141" s="45"/>
      <c r="F141" s="46" t="s">
        <v>20</v>
      </c>
      <c r="G141" s="47">
        <v>1</v>
      </c>
      <c r="H141" s="47">
        <v>24</v>
      </c>
      <c r="I141" s="47">
        <f t="shared" si="16"/>
        <v>24</v>
      </c>
      <c r="J141" s="60">
        <v>18.5</v>
      </c>
      <c r="K141" s="60">
        <f t="shared" si="17"/>
        <v>444</v>
      </c>
      <c r="L141" s="24" t="s">
        <v>21</v>
      </c>
      <c r="M141" s="47"/>
      <c r="N141" s="24"/>
    </row>
    <row r="142" s="27" customFormat="1" ht="20.25" spans="1:16384">
      <c r="A142" s="43">
        <v>45957</v>
      </c>
      <c r="B142" s="44" t="s">
        <v>140</v>
      </c>
      <c r="C142" s="47">
        <v>24055</v>
      </c>
      <c r="D142" s="47"/>
      <c r="E142" s="52" t="s">
        <v>56</v>
      </c>
      <c r="F142" s="52" t="s">
        <v>56</v>
      </c>
      <c r="G142" s="47">
        <v>5</v>
      </c>
      <c r="H142" s="47">
        <v>25</v>
      </c>
      <c r="I142" s="47">
        <f t="shared" ref="I142:I151" si="18">G142*H142</f>
        <v>125</v>
      </c>
      <c r="J142" s="60">
        <v>18.5</v>
      </c>
      <c r="K142" s="60">
        <f t="shared" si="17"/>
        <v>2312.5</v>
      </c>
      <c r="L142" s="46"/>
      <c r="M142" s="46"/>
      <c r="N142" s="61"/>
      <c r="XFD142" s="65"/>
    </row>
    <row r="143" s="25" customFormat="1" ht="20.25" spans="1:14">
      <c r="A143" s="43">
        <v>45957</v>
      </c>
      <c r="B143" s="44" t="s">
        <v>140</v>
      </c>
      <c r="C143" s="47">
        <v>555</v>
      </c>
      <c r="D143" s="47"/>
      <c r="E143" s="47"/>
      <c r="F143" s="46" t="s">
        <v>99</v>
      </c>
      <c r="G143" s="47">
        <v>5</v>
      </c>
      <c r="H143" s="47">
        <v>20</v>
      </c>
      <c r="I143" s="47">
        <f t="shared" si="18"/>
        <v>100</v>
      </c>
      <c r="J143" s="60">
        <v>18.5</v>
      </c>
      <c r="K143" s="60">
        <f t="shared" si="17"/>
        <v>1850</v>
      </c>
      <c r="L143" s="24"/>
      <c r="M143" s="47">
        <f>SUM(K141:K144)</f>
        <v>4738.5</v>
      </c>
      <c r="N143" s="61"/>
    </row>
    <row r="144" s="25" customFormat="1" ht="20.25" spans="1:14">
      <c r="A144" s="43">
        <v>45957</v>
      </c>
      <c r="B144" s="44" t="s">
        <v>140</v>
      </c>
      <c r="C144" s="45" t="s">
        <v>52</v>
      </c>
      <c r="D144" s="45"/>
      <c r="E144" s="45"/>
      <c r="F144" s="90" t="s">
        <v>53</v>
      </c>
      <c r="G144" s="47">
        <v>1</v>
      </c>
      <c r="H144" s="47">
        <v>6</v>
      </c>
      <c r="I144" s="47">
        <f t="shared" si="18"/>
        <v>6</v>
      </c>
      <c r="J144" s="60">
        <v>22</v>
      </c>
      <c r="K144" s="60">
        <f t="shared" si="17"/>
        <v>132</v>
      </c>
      <c r="L144" s="61"/>
      <c r="M144" s="47"/>
      <c r="N144" s="61"/>
    </row>
    <row r="145" s="23" customFormat="1" ht="20.25" spans="1:14">
      <c r="A145" s="39">
        <v>45969</v>
      </c>
      <c r="B145" s="40">
        <v>19</v>
      </c>
      <c r="C145" s="35" t="s">
        <v>14</v>
      </c>
      <c r="D145" s="35"/>
      <c r="E145" s="35"/>
      <c r="F145" s="42" t="s">
        <v>15</v>
      </c>
      <c r="G145" s="35">
        <v>10</v>
      </c>
      <c r="H145" s="35">
        <v>28</v>
      </c>
      <c r="I145" s="35">
        <f t="shared" si="18"/>
        <v>280</v>
      </c>
      <c r="J145" s="56">
        <v>9.5</v>
      </c>
      <c r="K145" s="56">
        <f t="shared" si="17"/>
        <v>2660</v>
      </c>
      <c r="L145" s="42" t="s">
        <v>141</v>
      </c>
      <c r="M145" s="42"/>
      <c r="N145" s="57"/>
    </row>
    <row r="146" s="25" customFormat="1" ht="20.25" spans="1:14">
      <c r="A146" s="43">
        <v>45975</v>
      </c>
      <c r="B146" s="44">
        <v>37</v>
      </c>
      <c r="C146" s="47"/>
      <c r="D146" s="47"/>
      <c r="E146" s="47"/>
      <c r="F146" s="46" t="s">
        <v>23</v>
      </c>
      <c r="G146" s="47">
        <v>5</v>
      </c>
      <c r="H146" s="47">
        <v>20</v>
      </c>
      <c r="I146" s="47">
        <f t="shared" si="18"/>
        <v>100</v>
      </c>
      <c r="J146" s="60">
        <v>17.5</v>
      </c>
      <c r="K146" s="60">
        <f t="shared" si="17"/>
        <v>1750</v>
      </c>
      <c r="L146" s="24">
        <f>K146</f>
        <v>1750</v>
      </c>
      <c r="M146" s="47"/>
      <c r="N146" s="61"/>
    </row>
    <row r="147" s="23" customFormat="1" ht="20.25" spans="1:14">
      <c r="A147" s="39">
        <v>45980</v>
      </c>
      <c r="B147" s="40">
        <v>51</v>
      </c>
      <c r="C147" s="35" t="s">
        <v>17</v>
      </c>
      <c r="D147" s="35"/>
      <c r="E147" s="35"/>
      <c r="F147" s="42" t="s">
        <v>18</v>
      </c>
      <c r="G147" s="35">
        <v>3</v>
      </c>
      <c r="H147" s="35">
        <v>20</v>
      </c>
      <c r="I147" s="35">
        <f t="shared" si="18"/>
        <v>60</v>
      </c>
      <c r="J147" s="56">
        <v>22</v>
      </c>
      <c r="K147" s="56">
        <f t="shared" si="17"/>
        <v>1320</v>
      </c>
      <c r="L147" s="21"/>
      <c r="M147" s="35"/>
      <c r="N147" s="21"/>
    </row>
    <row r="148" s="21" customFormat="1" ht="20.25" spans="1:14">
      <c r="A148" s="39">
        <v>45980</v>
      </c>
      <c r="B148" s="40">
        <v>51</v>
      </c>
      <c r="C148" s="33" t="s">
        <v>50</v>
      </c>
      <c r="D148" s="33"/>
      <c r="E148" s="33"/>
      <c r="F148" s="42" t="s">
        <v>24</v>
      </c>
      <c r="G148" s="35">
        <v>1</v>
      </c>
      <c r="H148" s="35">
        <v>24</v>
      </c>
      <c r="I148" s="35">
        <f t="shared" si="18"/>
        <v>24</v>
      </c>
      <c r="J148" s="56">
        <v>18.5</v>
      </c>
      <c r="K148" s="56">
        <f t="shared" ref="K148:K156" si="19">I148*J148</f>
        <v>444</v>
      </c>
      <c r="L148" s="57"/>
      <c r="M148" s="42"/>
      <c r="N148" s="57"/>
    </row>
    <row r="149" s="21" customFormat="1" ht="20.25" spans="1:14">
      <c r="A149" s="39">
        <v>45980</v>
      </c>
      <c r="B149" s="40">
        <v>51</v>
      </c>
      <c r="C149" s="33" t="s">
        <v>50</v>
      </c>
      <c r="D149" s="33"/>
      <c r="E149" s="33"/>
      <c r="F149" s="42" t="s">
        <v>24</v>
      </c>
      <c r="G149" s="35">
        <v>2</v>
      </c>
      <c r="H149" s="35">
        <v>25</v>
      </c>
      <c r="I149" s="35">
        <f t="shared" si="18"/>
        <v>50</v>
      </c>
      <c r="J149" s="56">
        <v>18.5</v>
      </c>
      <c r="K149" s="56">
        <f t="shared" si="19"/>
        <v>925</v>
      </c>
      <c r="L149" s="57"/>
      <c r="M149" s="42"/>
      <c r="N149" s="57"/>
    </row>
    <row r="150" s="23" customFormat="1" ht="20.25" spans="1:14">
      <c r="A150" s="39">
        <v>45980</v>
      </c>
      <c r="B150" s="40">
        <v>51</v>
      </c>
      <c r="C150" s="35">
        <v>3528</v>
      </c>
      <c r="D150" s="35"/>
      <c r="E150" s="35"/>
      <c r="F150" s="42" t="s">
        <v>16</v>
      </c>
      <c r="G150" s="35">
        <v>2</v>
      </c>
      <c r="H150" s="35">
        <v>20</v>
      </c>
      <c r="I150" s="35">
        <f t="shared" ref="I150:I167" si="20">G150*H150</f>
        <v>40</v>
      </c>
      <c r="J150" s="56">
        <v>22</v>
      </c>
      <c r="K150" s="56">
        <f t="shared" si="19"/>
        <v>880</v>
      </c>
      <c r="L150" s="87"/>
      <c r="M150" s="42"/>
      <c r="N150" s="57"/>
    </row>
    <row r="151" s="26" customFormat="1" ht="20.25" spans="1:16384">
      <c r="A151" s="39">
        <v>45980</v>
      </c>
      <c r="B151" s="40">
        <v>51</v>
      </c>
      <c r="C151" s="35">
        <v>24055</v>
      </c>
      <c r="D151" s="35"/>
      <c r="E151" s="48" t="s">
        <v>56</v>
      </c>
      <c r="F151" s="48" t="s">
        <v>56</v>
      </c>
      <c r="G151" s="35">
        <v>5</v>
      </c>
      <c r="H151" s="35">
        <v>25</v>
      </c>
      <c r="I151" s="35">
        <f t="shared" si="20"/>
        <v>125</v>
      </c>
      <c r="J151" s="56">
        <v>18.5</v>
      </c>
      <c r="K151" s="56">
        <f t="shared" si="19"/>
        <v>2312.5</v>
      </c>
      <c r="L151" s="42"/>
      <c r="M151" s="42"/>
      <c r="N151" s="57"/>
      <c r="XFD151" s="64"/>
    </row>
    <row r="152" s="21" customFormat="1" ht="20.25" spans="1:14">
      <c r="A152" s="39">
        <v>45980</v>
      </c>
      <c r="B152" s="40">
        <v>51</v>
      </c>
      <c r="C152" s="33" t="s">
        <v>26</v>
      </c>
      <c r="D152" s="33"/>
      <c r="E152" s="33"/>
      <c r="F152" s="42" t="s">
        <v>27</v>
      </c>
      <c r="G152" s="35">
        <v>1</v>
      </c>
      <c r="H152" s="35">
        <v>20</v>
      </c>
      <c r="I152" s="35">
        <f t="shared" si="20"/>
        <v>20</v>
      </c>
      <c r="J152" s="56">
        <v>22</v>
      </c>
      <c r="K152" s="56">
        <f t="shared" si="19"/>
        <v>440</v>
      </c>
      <c r="L152" s="57"/>
      <c r="M152" s="42"/>
      <c r="N152" s="57"/>
    </row>
    <row r="153" s="21" customFormat="1" ht="20.25" spans="1:14">
      <c r="A153" s="39">
        <v>45980</v>
      </c>
      <c r="B153" s="40">
        <v>51</v>
      </c>
      <c r="C153" s="33">
        <v>555</v>
      </c>
      <c r="D153" s="33"/>
      <c r="E153" s="33"/>
      <c r="F153" s="42" t="s">
        <v>99</v>
      </c>
      <c r="G153" s="35">
        <v>5</v>
      </c>
      <c r="H153" s="35">
        <v>20</v>
      </c>
      <c r="I153" s="35">
        <f t="shared" si="20"/>
        <v>100</v>
      </c>
      <c r="J153" s="56">
        <v>18.5</v>
      </c>
      <c r="K153" s="56">
        <f t="shared" si="19"/>
        <v>1850</v>
      </c>
      <c r="L153" s="57"/>
      <c r="M153" s="42"/>
      <c r="N153" s="57"/>
    </row>
    <row r="154" s="21" customFormat="1" ht="20.25" spans="1:14">
      <c r="A154" s="39">
        <v>45980</v>
      </c>
      <c r="B154" s="40">
        <v>51</v>
      </c>
      <c r="C154" s="33"/>
      <c r="D154" s="33"/>
      <c r="E154" s="33"/>
      <c r="F154" s="42" t="s">
        <v>23</v>
      </c>
      <c r="G154" s="35">
        <v>5</v>
      </c>
      <c r="H154" s="35">
        <v>20</v>
      </c>
      <c r="I154" s="35">
        <f t="shared" si="20"/>
        <v>100</v>
      </c>
      <c r="J154" s="56">
        <v>17.5</v>
      </c>
      <c r="K154" s="56">
        <f t="shared" si="19"/>
        <v>1750</v>
      </c>
      <c r="L154" s="57"/>
      <c r="M154" s="42"/>
      <c r="N154" s="57"/>
    </row>
    <row r="155" s="21" customFormat="1" ht="20.25" spans="1:14">
      <c r="A155" s="39">
        <v>45980</v>
      </c>
      <c r="B155" s="40">
        <v>51</v>
      </c>
      <c r="C155" s="33"/>
      <c r="D155" s="33"/>
      <c r="E155" s="33"/>
      <c r="F155" s="42" t="s">
        <v>34</v>
      </c>
      <c r="G155" s="35">
        <v>2</v>
      </c>
      <c r="H155" s="35">
        <v>10</v>
      </c>
      <c r="I155" s="35">
        <f t="shared" si="20"/>
        <v>20</v>
      </c>
      <c r="J155" s="56">
        <v>17.5</v>
      </c>
      <c r="K155" s="56">
        <f t="shared" si="19"/>
        <v>350</v>
      </c>
      <c r="L155" s="57">
        <f>SUM(K147:K155)</f>
        <v>10271.5</v>
      </c>
      <c r="M155" s="42"/>
      <c r="N155" s="57"/>
    </row>
    <row r="156" s="27" customFormat="1" ht="20.25" spans="1:16384">
      <c r="A156" s="43">
        <v>45987</v>
      </c>
      <c r="B156" s="44" t="s">
        <v>142</v>
      </c>
      <c r="C156" s="47" t="s">
        <v>17</v>
      </c>
      <c r="D156" s="47"/>
      <c r="E156" s="52"/>
      <c r="F156" s="52" t="s">
        <v>18</v>
      </c>
      <c r="G156" s="47">
        <v>1</v>
      </c>
      <c r="H156" s="47">
        <v>50</v>
      </c>
      <c r="I156" s="47">
        <f t="shared" si="20"/>
        <v>50</v>
      </c>
      <c r="J156" s="60"/>
      <c r="K156" s="60"/>
      <c r="L156" s="46" t="s">
        <v>143</v>
      </c>
      <c r="M156" s="46">
        <f>SUM(K156:K156)</f>
        <v>0</v>
      </c>
      <c r="N156" s="61"/>
      <c r="XFD156" s="25"/>
    </row>
    <row r="157" s="23" customFormat="1" ht="20.25" spans="1:14">
      <c r="A157" s="39">
        <v>45988</v>
      </c>
      <c r="B157" s="40">
        <v>78</v>
      </c>
      <c r="C157" s="35" t="s">
        <v>14</v>
      </c>
      <c r="D157" s="35"/>
      <c r="E157" s="35"/>
      <c r="F157" s="42" t="s">
        <v>15</v>
      </c>
      <c r="G157" s="35">
        <v>5</v>
      </c>
      <c r="H157" s="35">
        <v>28</v>
      </c>
      <c r="I157" s="35">
        <f t="shared" si="20"/>
        <v>140</v>
      </c>
      <c r="J157" s="56">
        <v>9.5</v>
      </c>
      <c r="K157" s="56">
        <f t="shared" ref="K157:K167" si="21">I157*J157</f>
        <v>1330</v>
      </c>
      <c r="L157" s="42" t="s">
        <v>141</v>
      </c>
      <c r="M157" s="42"/>
      <c r="N157" s="57"/>
    </row>
    <row r="158" s="23" customFormat="1" ht="20.25" spans="1:14">
      <c r="A158" s="39">
        <v>45988</v>
      </c>
      <c r="B158" s="40">
        <v>78</v>
      </c>
      <c r="C158" s="91" t="s">
        <v>19</v>
      </c>
      <c r="D158" s="33"/>
      <c r="E158" s="33"/>
      <c r="F158" s="42" t="s">
        <v>20</v>
      </c>
      <c r="G158" s="35">
        <v>2</v>
      </c>
      <c r="H158" s="35">
        <v>20</v>
      </c>
      <c r="I158" s="35">
        <f t="shared" si="20"/>
        <v>40</v>
      </c>
      <c r="J158" s="56">
        <v>18.5</v>
      </c>
      <c r="K158" s="56">
        <f t="shared" si="21"/>
        <v>740</v>
      </c>
      <c r="L158" s="21" t="s">
        <v>21</v>
      </c>
      <c r="M158" s="35"/>
      <c r="N158" s="21"/>
    </row>
    <row r="159" s="21" customFormat="1" ht="20.25" spans="1:14">
      <c r="A159" s="39">
        <v>45988</v>
      </c>
      <c r="B159" s="40">
        <v>78</v>
      </c>
      <c r="C159" s="33"/>
      <c r="D159" s="33"/>
      <c r="E159" s="33"/>
      <c r="F159" s="42" t="s">
        <v>23</v>
      </c>
      <c r="G159" s="35">
        <v>1</v>
      </c>
      <c r="H159" s="35">
        <v>20</v>
      </c>
      <c r="I159" s="35">
        <f t="shared" si="20"/>
        <v>20</v>
      </c>
      <c r="J159" s="56">
        <v>17.5</v>
      </c>
      <c r="K159" s="56">
        <f t="shared" si="21"/>
        <v>350</v>
      </c>
      <c r="L159" s="57">
        <f>SUM(K157:K159)</f>
        <v>2420</v>
      </c>
      <c r="M159" s="42"/>
      <c r="N159" s="57"/>
    </row>
    <row r="160" s="24" customFormat="1" ht="20.25" spans="1:14">
      <c r="A160" s="43">
        <v>45995</v>
      </c>
      <c r="B160" s="44">
        <v>9</v>
      </c>
      <c r="C160" s="45"/>
      <c r="D160" s="45"/>
      <c r="E160" s="45"/>
      <c r="F160" s="46" t="s">
        <v>34</v>
      </c>
      <c r="G160" s="47">
        <v>2</v>
      </c>
      <c r="H160" s="47">
        <v>10</v>
      </c>
      <c r="I160" s="47">
        <f t="shared" si="20"/>
        <v>20</v>
      </c>
      <c r="J160" s="60">
        <v>17.5</v>
      </c>
      <c r="K160" s="60">
        <f t="shared" si="21"/>
        <v>350</v>
      </c>
      <c r="L160" s="61">
        <f>SUM(K160:K161)</f>
        <v>3010</v>
      </c>
      <c r="M160" s="46"/>
      <c r="N160" s="61"/>
    </row>
    <row r="161" s="25" customFormat="1" ht="20.25" spans="1:14">
      <c r="A161" s="43">
        <v>45995</v>
      </c>
      <c r="B161" s="44">
        <v>9</v>
      </c>
      <c r="C161" s="47" t="s">
        <v>14</v>
      </c>
      <c r="D161" s="47"/>
      <c r="E161" s="47"/>
      <c r="F161" s="46" t="s">
        <v>15</v>
      </c>
      <c r="G161" s="47">
        <v>10</v>
      </c>
      <c r="H161" s="47">
        <v>28</v>
      </c>
      <c r="I161" s="47">
        <f t="shared" si="20"/>
        <v>280</v>
      </c>
      <c r="J161" s="60">
        <v>9.5</v>
      </c>
      <c r="K161" s="60">
        <f t="shared" si="21"/>
        <v>2660</v>
      </c>
      <c r="L161" s="46" t="s">
        <v>141</v>
      </c>
      <c r="M161" s="46"/>
      <c r="N161" s="61"/>
    </row>
    <row r="162" s="26" customFormat="1" ht="20.25" spans="1:16384">
      <c r="A162" s="39">
        <v>45996</v>
      </c>
      <c r="B162" s="40">
        <v>11</v>
      </c>
      <c r="C162" s="55" t="s">
        <v>124</v>
      </c>
      <c r="D162" s="35"/>
      <c r="E162" s="48" t="s">
        <v>32</v>
      </c>
      <c r="F162" s="48" t="s">
        <v>125</v>
      </c>
      <c r="G162" s="35">
        <v>2</v>
      </c>
      <c r="H162" s="35">
        <v>26</v>
      </c>
      <c r="I162" s="35">
        <f t="shared" si="20"/>
        <v>52</v>
      </c>
      <c r="J162" s="56">
        <v>18.5</v>
      </c>
      <c r="K162" s="56">
        <f t="shared" si="21"/>
        <v>962</v>
      </c>
      <c r="L162" s="42"/>
      <c r="M162" s="42"/>
      <c r="N162" s="57"/>
      <c r="XFD162" s="23"/>
    </row>
    <row r="163" s="21" customFormat="1" ht="20.25" spans="1:14">
      <c r="A163" s="39">
        <v>45996</v>
      </c>
      <c r="B163" s="40">
        <v>11</v>
      </c>
      <c r="C163" s="33"/>
      <c r="D163" s="33"/>
      <c r="E163" s="33"/>
      <c r="F163" s="42" t="s">
        <v>34</v>
      </c>
      <c r="G163" s="35">
        <v>3</v>
      </c>
      <c r="H163" s="35">
        <v>10</v>
      </c>
      <c r="I163" s="35">
        <f t="shared" si="20"/>
        <v>30</v>
      </c>
      <c r="J163" s="56">
        <v>17.5</v>
      </c>
      <c r="K163" s="56">
        <f t="shared" si="21"/>
        <v>525</v>
      </c>
      <c r="L163" s="57">
        <f>SUM(K162:K163)</f>
        <v>1487</v>
      </c>
      <c r="M163" s="42"/>
      <c r="N163" s="57"/>
    </row>
    <row r="164" s="27" customFormat="1" ht="20.25" spans="1:16384">
      <c r="A164" s="43">
        <v>46001</v>
      </c>
      <c r="B164" s="44">
        <v>26</v>
      </c>
      <c r="C164" s="47" t="s">
        <v>31</v>
      </c>
      <c r="D164" s="47"/>
      <c r="E164" s="52" t="s">
        <v>32</v>
      </c>
      <c r="F164" s="52" t="s">
        <v>32</v>
      </c>
      <c r="G164" s="47">
        <v>4</v>
      </c>
      <c r="H164" s="47">
        <v>25</v>
      </c>
      <c r="I164" s="47">
        <f t="shared" si="20"/>
        <v>100</v>
      </c>
      <c r="J164" s="60">
        <v>18.5</v>
      </c>
      <c r="K164" s="60">
        <f t="shared" si="21"/>
        <v>1850</v>
      </c>
      <c r="L164" s="46"/>
      <c r="M164" s="46"/>
      <c r="N164" s="61"/>
      <c r="XFD164" s="25"/>
    </row>
    <row r="165" s="25" customFormat="1" ht="20.25" spans="1:14">
      <c r="A165" s="43">
        <v>46001</v>
      </c>
      <c r="B165" s="44">
        <v>26</v>
      </c>
      <c r="C165" s="47"/>
      <c r="D165" s="47"/>
      <c r="E165" s="47"/>
      <c r="F165" s="46" t="s">
        <v>34</v>
      </c>
      <c r="G165" s="47">
        <v>4</v>
      </c>
      <c r="H165" s="47">
        <v>10</v>
      </c>
      <c r="I165" s="47">
        <f t="shared" si="20"/>
        <v>40</v>
      </c>
      <c r="J165" s="60">
        <v>17.5</v>
      </c>
      <c r="K165" s="60">
        <f t="shared" si="21"/>
        <v>700</v>
      </c>
      <c r="L165" s="24"/>
      <c r="M165" s="47"/>
      <c r="N165" s="61"/>
    </row>
    <row r="166" s="25" customFormat="1" ht="20.25" spans="1:14">
      <c r="A166" s="43">
        <v>46001</v>
      </c>
      <c r="B166" s="44">
        <v>26</v>
      </c>
      <c r="C166" s="47" t="s">
        <v>17</v>
      </c>
      <c r="D166" s="47"/>
      <c r="E166" s="47"/>
      <c r="F166" s="46" t="s">
        <v>18</v>
      </c>
      <c r="G166" s="47">
        <v>3</v>
      </c>
      <c r="H166" s="47">
        <v>20</v>
      </c>
      <c r="I166" s="47">
        <f t="shared" si="20"/>
        <v>60</v>
      </c>
      <c r="J166" s="60">
        <v>22</v>
      </c>
      <c r="K166" s="60">
        <f t="shared" si="21"/>
        <v>1320</v>
      </c>
      <c r="L166" s="24"/>
      <c r="M166" s="47"/>
      <c r="N166" s="24"/>
    </row>
    <row r="167" s="24" customFormat="1" ht="20.25" spans="1:14">
      <c r="A167" s="43">
        <v>46001</v>
      </c>
      <c r="B167" s="44">
        <v>26</v>
      </c>
      <c r="C167" s="45"/>
      <c r="D167" s="45"/>
      <c r="E167" s="45"/>
      <c r="F167" s="46" t="s">
        <v>23</v>
      </c>
      <c r="G167" s="47">
        <v>2</v>
      </c>
      <c r="H167" s="47">
        <v>20</v>
      </c>
      <c r="I167" s="47">
        <f t="shared" si="20"/>
        <v>40</v>
      </c>
      <c r="J167" s="60">
        <v>17.5</v>
      </c>
      <c r="K167" s="60">
        <f t="shared" si="21"/>
        <v>700</v>
      </c>
      <c r="L167" s="61">
        <f>SUM(K164:K167)</f>
        <v>4570</v>
      </c>
      <c r="M167" s="46"/>
      <c r="N167" s="61"/>
    </row>
    <row r="168" s="21" customFormat="1" ht="20.25" spans="1:16384">
      <c r="A168" s="39">
        <v>46016</v>
      </c>
      <c r="B168" s="40">
        <v>67</v>
      </c>
      <c r="C168" s="33" t="s">
        <v>43</v>
      </c>
      <c r="D168" s="33"/>
      <c r="E168" s="42" t="s">
        <v>117</v>
      </c>
      <c r="F168" s="35" t="s">
        <v>117</v>
      </c>
      <c r="G168" s="35">
        <v>1</v>
      </c>
      <c r="H168" s="35">
        <v>21</v>
      </c>
      <c r="I168" s="35">
        <f t="shared" ref="I168:I170" si="22">G168*H168</f>
        <v>21</v>
      </c>
      <c r="J168" s="56">
        <v>18.5</v>
      </c>
      <c r="K168" s="56">
        <f t="shared" ref="K168:K170" si="23">I168*J168</f>
        <v>388.5</v>
      </c>
      <c r="L168" s="42"/>
      <c r="M168" s="57"/>
      <c r="XFD168" s="64"/>
    </row>
    <row r="169" s="26" customFormat="1" ht="20.25" spans="1:16384">
      <c r="A169" s="39">
        <v>46016</v>
      </c>
      <c r="B169" s="40">
        <v>67</v>
      </c>
      <c r="C169" s="92" t="s">
        <v>128</v>
      </c>
      <c r="D169" s="92"/>
      <c r="E169" s="48" t="s">
        <v>129</v>
      </c>
      <c r="F169" s="35" t="s">
        <v>129</v>
      </c>
      <c r="G169" s="35">
        <v>1</v>
      </c>
      <c r="H169" s="35">
        <v>20</v>
      </c>
      <c r="I169" s="35">
        <f t="shared" si="22"/>
        <v>20</v>
      </c>
      <c r="J169" s="56">
        <v>22</v>
      </c>
      <c r="K169" s="56">
        <f t="shared" si="23"/>
        <v>440</v>
      </c>
      <c r="L169" s="42"/>
      <c r="M169" s="57"/>
      <c r="XFC169" s="23"/>
      <c r="XFD169" s="64"/>
    </row>
    <row r="170" s="25" customFormat="1" ht="20.25" spans="1:14">
      <c r="A170" s="43">
        <v>45995</v>
      </c>
      <c r="B170" s="44">
        <v>9</v>
      </c>
      <c r="C170" s="47" t="s">
        <v>14</v>
      </c>
      <c r="D170" s="47"/>
      <c r="E170" s="47"/>
      <c r="F170" s="46" t="s">
        <v>15</v>
      </c>
      <c r="G170" s="47">
        <v>5</v>
      </c>
      <c r="H170" s="47">
        <v>28</v>
      </c>
      <c r="I170" s="47">
        <f t="shared" si="22"/>
        <v>140</v>
      </c>
      <c r="J170" s="60">
        <v>9.5</v>
      </c>
      <c r="K170" s="60">
        <f t="shared" si="23"/>
        <v>1330</v>
      </c>
      <c r="L170" s="46" t="s">
        <v>141</v>
      </c>
      <c r="M170" s="46"/>
      <c r="N170" s="61"/>
    </row>
    <row r="171" s="27" customFormat="1" ht="20.25" spans="1:16384">
      <c r="A171" s="43">
        <v>45980</v>
      </c>
      <c r="B171" s="44">
        <v>51</v>
      </c>
      <c r="C171" s="47">
        <v>24055</v>
      </c>
      <c r="D171" s="47"/>
      <c r="E171" s="52" t="s">
        <v>56</v>
      </c>
      <c r="F171" s="52" t="s">
        <v>56</v>
      </c>
      <c r="G171" s="47">
        <v>2</v>
      </c>
      <c r="H171" s="47">
        <v>25</v>
      </c>
      <c r="I171" s="47">
        <f t="shared" ref="I171:I183" si="24">G171*H171</f>
        <v>50</v>
      </c>
      <c r="J171" s="60">
        <v>18.5</v>
      </c>
      <c r="K171" s="60">
        <f t="shared" ref="K171:K183" si="25">I171*J171</f>
        <v>925</v>
      </c>
      <c r="L171" s="46"/>
      <c r="M171" s="46"/>
      <c r="N171" s="61"/>
      <c r="XFD171" s="65"/>
    </row>
    <row r="172" s="21" customFormat="1" ht="20.25" spans="1:14">
      <c r="A172" s="39">
        <v>45980</v>
      </c>
      <c r="B172" s="40">
        <v>51</v>
      </c>
      <c r="C172" s="33">
        <v>555</v>
      </c>
      <c r="D172" s="33"/>
      <c r="E172" s="33"/>
      <c r="F172" s="42" t="s">
        <v>99</v>
      </c>
      <c r="G172" s="35">
        <v>2</v>
      </c>
      <c r="H172" s="35">
        <v>20</v>
      </c>
      <c r="I172" s="35">
        <f t="shared" si="24"/>
        <v>40</v>
      </c>
      <c r="J172" s="56">
        <v>18.5</v>
      </c>
      <c r="K172" s="56">
        <f t="shared" si="25"/>
        <v>740</v>
      </c>
      <c r="L172" s="57"/>
      <c r="M172" s="42"/>
      <c r="N172" s="57"/>
    </row>
    <row r="173" s="24" customFormat="1" ht="20.25" spans="1:14">
      <c r="A173" s="43">
        <v>45995</v>
      </c>
      <c r="B173" s="44">
        <v>9</v>
      </c>
      <c r="C173" s="45"/>
      <c r="D173" s="45"/>
      <c r="E173" s="45"/>
      <c r="F173" s="46" t="s">
        <v>34</v>
      </c>
      <c r="G173" s="47">
        <v>1</v>
      </c>
      <c r="H173" s="47">
        <v>10</v>
      </c>
      <c r="I173" s="47">
        <f t="shared" si="24"/>
        <v>10</v>
      </c>
      <c r="J173" s="60">
        <v>17.5</v>
      </c>
      <c r="K173" s="60">
        <f t="shared" si="25"/>
        <v>175</v>
      </c>
      <c r="L173" s="61">
        <f>SUM(K173:K176)</f>
        <v>2855</v>
      </c>
      <c r="M173" s="46"/>
      <c r="N173" s="61"/>
    </row>
    <row r="174" s="23" customFormat="1" ht="20.25" spans="1:14">
      <c r="A174" s="39">
        <v>46025</v>
      </c>
      <c r="B174" s="40">
        <v>4</v>
      </c>
      <c r="C174" s="35">
        <v>3528</v>
      </c>
      <c r="D174" s="35"/>
      <c r="E174" s="35"/>
      <c r="F174" s="42" t="s">
        <v>16</v>
      </c>
      <c r="G174" s="35">
        <v>2</v>
      </c>
      <c r="H174" s="35">
        <v>20</v>
      </c>
      <c r="I174" s="35">
        <f t="shared" si="24"/>
        <v>40</v>
      </c>
      <c r="J174" s="56">
        <v>22</v>
      </c>
      <c r="K174" s="56">
        <f t="shared" si="25"/>
        <v>880</v>
      </c>
      <c r="L174" s="87"/>
      <c r="M174" s="42"/>
      <c r="N174" s="57"/>
    </row>
    <row r="175" s="26" customFormat="1" ht="20.25" spans="1:16384">
      <c r="A175" s="39">
        <v>46025</v>
      </c>
      <c r="B175" s="40">
        <v>4</v>
      </c>
      <c r="C175" s="35" t="s">
        <v>31</v>
      </c>
      <c r="D175" s="35"/>
      <c r="E175" s="48" t="s">
        <v>32</v>
      </c>
      <c r="F175" s="48" t="s">
        <v>32</v>
      </c>
      <c r="G175" s="35">
        <v>2</v>
      </c>
      <c r="H175" s="35">
        <v>25</v>
      </c>
      <c r="I175" s="35">
        <f t="shared" si="24"/>
        <v>50</v>
      </c>
      <c r="J175" s="56">
        <v>18.5</v>
      </c>
      <c r="K175" s="56">
        <f t="shared" si="25"/>
        <v>925</v>
      </c>
      <c r="L175" s="42"/>
      <c r="M175" s="42"/>
      <c r="N175" s="57"/>
      <c r="XFD175" s="23"/>
    </row>
    <row r="176" s="21" customFormat="1" ht="20.25" spans="1:14">
      <c r="A176" s="39">
        <v>46025</v>
      </c>
      <c r="B176" s="40">
        <v>4</v>
      </c>
      <c r="C176" s="33"/>
      <c r="D176" s="33"/>
      <c r="E176" s="33"/>
      <c r="F176" s="42" t="s">
        <v>34</v>
      </c>
      <c r="G176" s="35">
        <v>5</v>
      </c>
      <c r="H176" s="35">
        <v>10</v>
      </c>
      <c r="I176" s="35">
        <f t="shared" si="24"/>
        <v>50</v>
      </c>
      <c r="J176" s="56">
        <v>17.5</v>
      </c>
      <c r="K176" s="56">
        <f t="shared" si="25"/>
        <v>875</v>
      </c>
      <c r="L176" s="57"/>
      <c r="M176" s="42"/>
      <c r="N176" s="57"/>
    </row>
    <row r="177" s="21" customFormat="1" ht="20.25" spans="1:14">
      <c r="A177" s="39">
        <v>46025</v>
      </c>
      <c r="B177" s="40">
        <v>4</v>
      </c>
      <c r="C177" s="33"/>
      <c r="D177" s="33"/>
      <c r="E177" s="33"/>
      <c r="F177" s="42" t="s">
        <v>23</v>
      </c>
      <c r="G177" s="35">
        <v>2</v>
      </c>
      <c r="H177" s="35">
        <v>20</v>
      </c>
      <c r="I177" s="35">
        <f t="shared" si="24"/>
        <v>40</v>
      </c>
      <c r="J177" s="56">
        <v>17.5</v>
      </c>
      <c r="K177" s="56">
        <f t="shared" si="25"/>
        <v>700</v>
      </c>
      <c r="L177" s="57">
        <f>SUM(K174:K178)</f>
        <v>4767.5</v>
      </c>
      <c r="M177" s="42"/>
      <c r="N177" s="57"/>
    </row>
    <row r="178" s="26" customFormat="1" ht="20.25" spans="1:16384">
      <c r="A178" s="39">
        <v>46025</v>
      </c>
      <c r="B178" s="40">
        <v>4</v>
      </c>
      <c r="C178" s="35">
        <v>24055</v>
      </c>
      <c r="D178" s="35"/>
      <c r="E178" s="48" t="s">
        <v>56</v>
      </c>
      <c r="F178" s="48" t="s">
        <v>56</v>
      </c>
      <c r="G178" s="35">
        <v>3</v>
      </c>
      <c r="H178" s="35">
        <v>25</v>
      </c>
      <c r="I178" s="35">
        <f t="shared" si="24"/>
        <v>75</v>
      </c>
      <c r="J178" s="56">
        <v>18.5</v>
      </c>
      <c r="K178" s="56">
        <f t="shared" si="25"/>
        <v>1387.5</v>
      </c>
      <c r="L178" s="42"/>
      <c r="M178" s="42"/>
      <c r="N178" s="57"/>
      <c r="XFD178" s="64"/>
    </row>
    <row r="179" s="24" customFormat="1" ht="20.25" spans="1:14">
      <c r="A179" s="43">
        <v>46032</v>
      </c>
      <c r="B179" s="44">
        <v>24</v>
      </c>
      <c r="C179" s="45" t="s">
        <v>26</v>
      </c>
      <c r="D179" s="45"/>
      <c r="E179" s="45"/>
      <c r="F179" s="46" t="s">
        <v>27</v>
      </c>
      <c r="G179" s="47">
        <v>1</v>
      </c>
      <c r="H179" s="47">
        <v>20</v>
      </c>
      <c r="I179" s="47">
        <f t="shared" si="24"/>
        <v>20</v>
      </c>
      <c r="J179" s="60">
        <v>22</v>
      </c>
      <c r="K179" s="60">
        <f t="shared" si="25"/>
        <v>440</v>
      </c>
      <c r="L179" s="61"/>
      <c r="M179" s="46"/>
      <c r="N179" s="61"/>
    </row>
    <row r="180" s="24" customFormat="1" ht="20.25" spans="1:14">
      <c r="A180" s="43">
        <v>46032</v>
      </c>
      <c r="B180" s="44">
        <v>24</v>
      </c>
      <c r="C180" s="45"/>
      <c r="D180" s="45"/>
      <c r="E180" s="45"/>
      <c r="F180" s="46" t="s">
        <v>34</v>
      </c>
      <c r="G180" s="47">
        <v>1</v>
      </c>
      <c r="H180" s="47">
        <v>10</v>
      </c>
      <c r="I180" s="47">
        <f t="shared" si="24"/>
        <v>10</v>
      </c>
      <c r="J180" s="60">
        <v>17.5</v>
      </c>
      <c r="K180" s="60">
        <f t="shared" si="25"/>
        <v>175</v>
      </c>
      <c r="L180" s="61"/>
      <c r="M180" s="46"/>
      <c r="N180" s="61"/>
    </row>
    <row r="181" s="23" customFormat="1" ht="20.25" spans="1:14">
      <c r="A181" s="39">
        <v>46034</v>
      </c>
      <c r="B181" s="40">
        <v>29</v>
      </c>
      <c r="C181" s="35" t="s">
        <v>14</v>
      </c>
      <c r="D181" s="35"/>
      <c r="E181" s="35"/>
      <c r="F181" s="42" t="s">
        <v>15</v>
      </c>
      <c r="G181" s="35">
        <v>5</v>
      </c>
      <c r="H181" s="35">
        <v>28</v>
      </c>
      <c r="I181" s="35">
        <f t="shared" si="24"/>
        <v>140</v>
      </c>
      <c r="J181" s="56">
        <v>9.5</v>
      </c>
      <c r="K181" s="56">
        <f t="shared" si="25"/>
        <v>1330</v>
      </c>
      <c r="L181" s="42" t="s">
        <v>141</v>
      </c>
      <c r="M181" s="42"/>
      <c r="N181" s="57"/>
    </row>
    <row r="182" s="24" customFormat="1" ht="20.25" spans="1:14">
      <c r="A182" s="43">
        <v>46034</v>
      </c>
      <c r="B182" s="44">
        <v>33</v>
      </c>
      <c r="C182" s="45">
        <v>555</v>
      </c>
      <c r="D182" s="45"/>
      <c r="E182" s="45"/>
      <c r="F182" s="46" t="s">
        <v>99</v>
      </c>
      <c r="G182" s="47">
        <v>3</v>
      </c>
      <c r="H182" s="47">
        <v>20</v>
      </c>
      <c r="I182" s="47">
        <f t="shared" si="24"/>
        <v>60</v>
      </c>
      <c r="J182" s="60">
        <v>18.5</v>
      </c>
      <c r="K182" s="60">
        <f t="shared" si="25"/>
        <v>1110</v>
      </c>
      <c r="L182" s="61"/>
      <c r="M182" s="46"/>
      <c r="N182" s="61"/>
    </row>
    <row r="183" s="24" customFormat="1" ht="20.25" spans="1:14">
      <c r="A183" s="43">
        <v>46034</v>
      </c>
      <c r="B183" s="44">
        <v>33</v>
      </c>
      <c r="C183" s="45"/>
      <c r="D183" s="45"/>
      <c r="E183" s="45"/>
      <c r="F183" s="46" t="s">
        <v>23</v>
      </c>
      <c r="G183" s="47">
        <v>3</v>
      </c>
      <c r="H183" s="47">
        <v>20</v>
      </c>
      <c r="I183" s="47">
        <f t="shared" si="24"/>
        <v>60</v>
      </c>
      <c r="J183" s="60">
        <v>17.5</v>
      </c>
      <c r="K183" s="60">
        <f t="shared" si="25"/>
        <v>1050</v>
      </c>
      <c r="L183" s="61">
        <f>SUM(K180:K184)</f>
        <v>3665</v>
      </c>
      <c r="M183" s="46"/>
      <c r="N183" s="61"/>
    </row>
  </sheetData>
  <autoFilter xmlns:etc="http://www.wps.cn/officeDocument/2017/etCustomData" ref="A2:XFD180" etc:filterBottomFollowUsedRange="0">
    <extLst/>
  </autoFilter>
  <mergeCells count="184">
    <mergeCell ref="A1:D1"/>
    <mergeCell ref="C2:E2"/>
    <mergeCell ref="C3:E3"/>
    <mergeCell ref="C4:E4"/>
    <mergeCell ref="C5:E5"/>
    <mergeCell ref="C6:E6"/>
    <mergeCell ref="C7:E7"/>
    <mergeCell ref="C8:E8"/>
    <mergeCell ref="C9:E9"/>
    <mergeCell ref="C10:D10"/>
    <mergeCell ref="C11:D11"/>
    <mergeCell ref="C12:D12"/>
    <mergeCell ref="C13:D13"/>
    <mergeCell ref="C14:E14"/>
    <mergeCell ref="C15:E15"/>
    <mergeCell ref="C16:E16"/>
    <mergeCell ref="F16:J16"/>
    <mergeCell ref="C17:E17"/>
    <mergeCell ref="C18:E18"/>
    <mergeCell ref="C19:E19"/>
    <mergeCell ref="C20:E20"/>
    <mergeCell ref="C21:E21"/>
    <mergeCell ref="C22:E22"/>
    <mergeCell ref="C23:E23"/>
    <mergeCell ref="C24:D24"/>
    <mergeCell ref="C25:E25"/>
    <mergeCell ref="C26:E26"/>
    <mergeCell ref="C27:D27"/>
    <mergeCell ref="C28:D28"/>
    <mergeCell ref="C29:E29"/>
    <mergeCell ref="C30:E30"/>
    <mergeCell ref="C31:D31"/>
    <mergeCell ref="C32:D32"/>
    <mergeCell ref="C33:D33"/>
    <mergeCell ref="C34:E34"/>
    <mergeCell ref="C35:E35"/>
    <mergeCell ref="C36:E36"/>
    <mergeCell ref="C37:E37"/>
    <mergeCell ref="C38:E38"/>
    <mergeCell ref="C39:E39"/>
    <mergeCell ref="C40:D40"/>
    <mergeCell ref="C41:D41"/>
    <mergeCell ref="C42:E42"/>
    <mergeCell ref="C43:D43"/>
    <mergeCell ref="C44:E44"/>
    <mergeCell ref="C45:E45"/>
    <mergeCell ref="C46:E46"/>
    <mergeCell ref="C47:E47"/>
    <mergeCell ref="C48:E48"/>
    <mergeCell ref="C49:E49"/>
    <mergeCell ref="C50:D50"/>
    <mergeCell ref="C51:D51"/>
    <mergeCell ref="C52:E52"/>
    <mergeCell ref="C53:E53"/>
    <mergeCell ref="C54:E54"/>
    <mergeCell ref="C55:E55"/>
    <mergeCell ref="C56:D56"/>
    <mergeCell ref="C57:D57"/>
    <mergeCell ref="C58:D58"/>
    <mergeCell ref="C59:D59"/>
    <mergeCell ref="C60:D60"/>
    <mergeCell ref="C61:E61"/>
    <mergeCell ref="C62:E62"/>
    <mergeCell ref="C63:D63"/>
    <mergeCell ref="C64:E64"/>
    <mergeCell ref="C65:E65"/>
    <mergeCell ref="C66:E66"/>
    <mergeCell ref="C67:E67"/>
    <mergeCell ref="C68:D68"/>
    <mergeCell ref="C69:D69"/>
    <mergeCell ref="C70:E70"/>
    <mergeCell ref="C71:D71"/>
    <mergeCell ref="C72:E72"/>
    <mergeCell ref="C73:E73"/>
    <mergeCell ref="C74:D74"/>
    <mergeCell ref="C75:E75"/>
    <mergeCell ref="C76:E76"/>
    <mergeCell ref="C77:E77"/>
    <mergeCell ref="C78:D78"/>
    <mergeCell ref="C79:E79"/>
    <mergeCell ref="C80:E80"/>
    <mergeCell ref="C81:E81"/>
    <mergeCell ref="C82:D82"/>
    <mergeCell ref="C83:D83"/>
    <mergeCell ref="C84:D84"/>
    <mergeCell ref="C85:E85"/>
    <mergeCell ref="C86:E86"/>
    <mergeCell ref="C87:E87"/>
    <mergeCell ref="C88:D88"/>
    <mergeCell ref="C89:D89"/>
    <mergeCell ref="C90:E90"/>
    <mergeCell ref="C91:D91"/>
    <mergeCell ref="C92:D92"/>
    <mergeCell ref="C93:E93"/>
    <mergeCell ref="C94:E94"/>
    <mergeCell ref="C95:E95"/>
    <mergeCell ref="C96:E96"/>
    <mergeCell ref="C97:E97"/>
    <mergeCell ref="C98:E98"/>
    <mergeCell ref="C99:D99"/>
    <mergeCell ref="C100:D100"/>
    <mergeCell ref="C101:E101"/>
    <mergeCell ref="C102:E102"/>
    <mergeCell ref="C103:E103"/>
    <mergeCell ref="C104:D104"/>
    <mergeCell ref="C105:D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D115"/>
    <mergeCell ref="C116:E116"/>
    <mergeCell ref="C117:E117"/>
    <mergeCell ref="C118:E118"/>
    <mergeCell ref="C119:E119"/>
    <mergeCell ref="C120:D120"/>
    <mergeCell ref="C121:E121"/>
    <mergeCell ref="C122:E122"/>
    <mergeCell ref="C123:D123"/>
    <mergeCell ref="C124:E124"/>
    <mergeCell ref="C125:E125"/>
    <mergeCell ref="C126:E126"/>
    <mergeCell ref="C127:D127"/>
    <mergeCell ref="C128:E128"/>
    <mergeCell ref="C129:E129"/>
    <mergeCell ref="C130:D130"/>
    <mergeCell ref="C131:D131"/>
    <mergeCell ref="C132:E132"/>
    <mergeCell ref="C133:E133"/>
    <mergeCell ref="C134:D134"/>
    <mergeCell ref="C135:E135"/>
    <mergeCell ref="C136:E136"/>
    <mergeCell ref="C137:E137"/>
    <mergeCell ref="C138:E138"/>
    <mergeCell ref="C139:E139"/>
    <mergeCell ref="C140:E140"/>
    <mergeCell ref="C141:E141"/>
    <mergeCell ref="C142:D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D151"/>
    <mergeCell ref="C152:E152"/>
    <mergeCell ref="C153:E153"/>
    <mergeCell ref="C154:E154"/>
    <mergeCell ref="C155:E155"/>
    <mergeCell ref="C156:D156"/>
    <mergeCell ref="C157:E157"/>
    <mergeCell ref="C158:E158"/>
    <mergeCell ref="C159:E159"/>
    <mergeCell ref="C160:E160"/>
    <mergeCell ref="C161:E161"/>
    <mergeCell ref="C162:D162"/>
    <mergeCell ref="C163:E163"/>
    <mergeCell ref="C164:D164"/>
    <mergeCell ref="C165:E165"/>
    <mergeCell ref="C166:E166"/>
    <mergeCell ref="C167:E167"/>
    <mergeCell ref="C168:D168"/>
    <mergeCell ref="C169:D169"/>
    <mergeCell ref="C170:E170"/>
    <mergeCell ref="C171:D171"/>
    <mergeCell ref="C172:E172"/>
    <mergeCell ref="C173:E173"/>
    <mergeCell ref="C174:E174"/>
    <mergeCell ref="C175:D175"/>
    <mergeCell ref="C176:E176"/>
    <mergeCell ref="C177:E177"/>
    <mergeCell ref="C178:D178"/>
    <mergeCell ref="C179:E179"/>
    <mergeCell ref="C180:E180"/>
    <mergeCell ref="C181:E181"/>
    <mergeCell ref="C182:E182"/>
    <mergeCell ref="C183:E18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workbookViewId="0">
      <selection activeCell="I9" sqref="I9"/>
    </sheetView>
  </sheetViews>
  <sheetFormatPr defaultColWidth="9" defaultRowHeight="14.25"/>
  <cols>
    <col min="1" max="1" width="11.5" customWidth="1"/>
    <col min="2" max="2" width="23.125" customWidth="1"/>
    <col min="3" max="3" width="7.125" customWidth="1"/>
    <col min="5" max="5" width="13.375" customWidth="1"/>
    <col min="6" max="6" width="17.75" customWidth="1"/>
  </cols>
  <sheetData>
    <row r="1" ht="22.5" spans="1:6">
      <c r="A1" s="1" t="s">
        <v>144</v>
      </c>
      <c r="B1" s="1"/>
      <c r="C1" s="1"/>
      <c r="D1" s="1"/>
      <c r="E1" s="1"/>
      <c r="F1" s="2" t="s">
        <v>145</v>
      </c>
    </row>
    <row r="2" ht="22.5" spans="1:18">
      <c r="A2" s="1" t="s">
        <v>146</v>
      </c>
      <c r="B2" s="1" t="s">
        <v>147</v>
      </c>
      <c r="C2" s="1" t="s">
        <v>148</v>
      </c>
      <c r="D2" s="1" t="s">
        <v>149</v>
      </c>
      <c r="E2" s="3" t="s">
        <v>150</v>
      </c>
      <c r="F2" s="4" t="s">
        <v>11</v>
      </c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18.75" spans="1:6">
      <c r="A3" s="7" t="s">
        <v>14</v>
      </c>
      <c r="B3" s="7" t="s">
        <v>15</v>
      </c>
      <c r="C3" s="8">
        <v>28</v>
      </c>
      <c r="D3" s="8" t="s">
        <v>151</v>
      </c>
      <c r="E3" s="9">
        <v>9.5</v>
      </c>
      <c r="F3" s="10"/>
    </row>
    <row r="4" ht="18.75" spans="1:6">
      <c r="A4" s="7" t="s">
        <v>29</v>
      </c>
      <c r="B4" s="7" t="s">
        <v>30</v>
      </c>
      <c r="C4" s="8">
        <v>22</v>
      </c>
      <c r="D4" s="8" t="s">
        <v>151</v>
      </c>
      <c r="E4" s="9">
        <v>12</v>
      </c>
      <c r="F4" s="11" t="s">
        <v>29</v>
      </c>
    </row>
    <row r="5" ht="18.75" spans="1:6">
      <c r="A5" s="7" t="s">
        <v>152</v>
      </c>
      <c r="B5" s="7" t="s">
        <v>153</v>
      </c>
      <c r="C5" s="8">
        <v>22</v>
      </c>
      <c r="D5" s="8" t="s">
        <v>151</v>
      </c>
      <c r="E5" s="9">
        <v>13</v>
      </c>
      <c r="F5" s="12"/>
    </row>
    <row r="6" ht="18.75" spans="1:6">
      <c r="A6" s="7" t="s">
        <v>154</v>
      </c>
      <c r="B6" s="7" t="s">
        <v>155</v>
      </c>
      <c r="C6" s="8">
        <v>25</v>
      </c>
      <c r="D6" s="8" t="s">
        <v>151</v>
      </c>
      <c r="E6" s="9">
        <v>18.5</v>
      </c>
      <c r="F6" s="12"/>
    </row>
    <row r="7" ht="18.75" spans="1:6">
      <c r="A7" s="7"/>
      <c r="B7" s="7" t="s">
        <v>156</v>
      </c>
      <c r="C7" s="8">
        <v>20</v>
      </c>
      <c r="D7" s="8" t="s">
        <v>151</v>
      </c>
      <c r="E7" s="9">
        <v>17.5</v>
      </c>
      <c r="F7" s="12"/>
    </row>
    <row r="8" ht="18.75" spans="1:8">
      <c r="A8" s="7"/>
      <c r="B8" s="7" t="s">
        <v>157</v>
      </c>
      <c r="C8" s="8">
        <v>25</v>
      </c>
      <c r="D8" s="8" t="s">
        <v>151</v>
      </c>
      <c r="E8" s="9">
        <v>18.5</v>
      </c>
      <c r="F8" s="13"/>
      <c r="G8" s="14"/>
      <c r="H8" s="15"/>
    </row>
    <row r="9" ht="18.75" spans="1:6">
      <c r="A9" s="7"/>
      <c r="B9" s="7" t="s">
        <v>158</v>
      </c>
      <c r="C9" s="8">
        <v>25</v>
      </c>
      <c r="D9" s="8" t="s">
        <v>151</v>
      </c>
      <c r="E9" s="9">
        <v>18.5</v>
      </c>
      <c r="F9" s="9"/>
    </row>
    <row r="10" ht="18.75" spans="1:6">
      <c r="A10" s="10" t="s">
        <v>159</v>
      </c>
      <c r="B10" s="7" t="s">
        <v>160</v>
      </c>
      <c r="C10" s="8">
        <v>10</v>
      </c>
      <c r="D10" s="8" t="s">
        <v>151</v>
      </c>
      <c r="E10" s="9">
        <v>13</v>
      </c>
      <c r="F10" s="9"/>
    </row>
    <row r="11" ht="18.75" spans="1:6">
      <c r="A11" s="8" t="s">
        <v>161</v>
      </c>
      <c r="B11" s="7" t="s">
        <v>162</v>
      </c>
      <c r="C11" s="8">
        <v>20</v>
      </c>
      <c r="D11" s="8" t="s">
        <v>151</v>
      </c>
      <c r="E11" s="9">
        <v>18.5</v>
      </c>
      <c r="F11" s="9"/>
    </row>
    <row r="12" ht="18.75" spans="1:6">
      <c r="A12" s="7"/>
      <c r="B12" s="7" t="s">
        <v>163</v>
      </c>
      <c r="C12" s="8">
        <v>17</v>
      </c>
      <c r="D12" s="8" t="s">
        <v>151</v>
      </c>
      <c r="E12" s="9">
        <v>22</v>
      </c>
      <c r="F12" s="9"/>
    </row>
    <row r="13" ht="18.75" spans="1:6">
      <c r="A13" s="7"/>
      <c r="B13" s="7" t="s">
        <v>164</v>
      </c>
      <c r="C13" s="8">
        <v>20</v>
      </c>
      <c r="D13" s="8" t="s">
        <v>151</v>
      </c>
      <c r="E13" s="9">
        <v>22</v>
      </c>
      <c r="F13" s="9"/>
    </row>
    <row r="14" ht="18.75" spans="1:6">
      <c r="A14" s="7"/>
      <c r="B14" s="7" t="s">
        <v>165</v>
      </c>
      <c r="C14" s="8">
        <v>20</v>
      </c>
      <c r="D14" s="8" t="s">
        <v>151</v>
      </c>
      <c r="E14" s="9">
        <v>24</v>
      </c>
      <c r="F14" s="9"/>
    </row>
    <row r="15" ht="18.75" spans="1:6">
      <c r="A15" s="7" t="s">
        <v>166</v>
      </c>
      <c r="B15" s="16" t="s">
        <v>167</v>
      </c>
      <c r="C15" s="8">
        <v>20</v>
      </c>
      <c r="D15" s="8" t="s">
        <v>151</v>
      </c>
      <c r="E15" s="9">
        <v>18.5</v>
      </c>
      <c r="F15" s="9"/>
    </row>
    <row r="16" ht="18.75" spans="1:6">
      <c r="A16" s="8" t="s">
        <v>33</v>
      </c>
      <c r="B16" s="16" t="s">
        <v>34</v>
      </c>
      <c r="C16" s="8">
        <v>10</v>
      </c>
      <c r="D16" s="8" t="s">
        <v>151</v>
      </c>
      <c r="E16" s="9">
        <v>17.5</v>
      </c>
      <c r="F16" s="9"/>
    </row>
    <row r="17" ht="18.75" spans="1:6">
      <c r="A17" s="8" t="s">
        <v>168</v>
      </c>
      <c r="B17" s="16" t="s">
        <v>22</v>
      </c>
      <c r="C17" s="8">
        <v>25</v>
      </c>
      <c r="D17" s="8" t="s">
        <v>151</v>
      </c>
      <c r="E17" s="9">
        <v>20</v>
      </c>
      <c r="F17" s="9"/>
    </row>
    <row r="18" ht="18.75" spans="1:6">
      <c r="A18" s="8" t="s">
        <v>168</v>
      </c>
      <c r="B18" s="16" t="s">
        <v>169</v>
      </c>
      <c r="C18" s="8">
        <v>20</v>
      </c>
      <c r="D18" s="8" t="s">
        <v>151</v>
      </c>
      <c r="E18" s="9">
        <v>20</v>
      </c>
      <c r="F18" s="9"/>
    </row>
    <row r="19" ht="18.75" spans="1:6">
      <c r="A19" s="8" t="s">
        <v>168</v>
      </c>
      <c r="B19" s="16" t="s">
        <v>32</v>
      </c>
      <c r="C19" s="8">
        <v>25</v>
      </c>
      <c r="D19" s="8" t="s">
        <v>151</v>
      </c>
      <c r="E19" s="9">
        <v>20</v>
      </c>
      <c r="F19" s="9"/>
    </row>
    <row r="20" ht="18.75" spans="1:6">
      <c r="A20" s="8" t="s">
        <v>168</v>
      </c>
      <c r="B20" s="16" t="s">
        <v>170</v>
      </c>
      <c r="C20" s="8">
        <v>10</v>
      </c>
      <c r="D20" s="8" t="s">
        <v>151</v>
      </c>
      <c r="E20" s="9">
        <v>20</v>
      </c>
      <c r="F20" s="9"/>
    </row>
    <row r="21" ht="18.75" spans="1:6">
      <c r="A21" s="17"/>
      <c r="B21" s="17"/>
      <c r="C21" s="18"/>
      <c r="D21" s="18"/>
      <c r="E21" s="19"/>
      <c r="F21" s="19"/>
    </row>
    <row r="30" ht="22.5" spans="1:6">
      <c r="A30" s="1" t="s">
        <v>144</v>
      </c>
      <c r="B30" s="1"/>
      <c r="C30" s="1"/>
      <c r="D30" s="1"/>
      <c r="E30" s="1"/>
      <c r="F30" s="2" t="s">
        <v>171</v>
      </c>
    </row>
    <row r="31" ht="22.5" spans="1:18">
      <c r="A31" s="1" t="s">
        <v>146</v>
      </c>
      <c r="B31" s="1" t="s">
        <v>147</v>
      </c>
      <c r="C31" s="1" t="s">
        <v>148</v>
      </c>
      <c r="D31" s="1" t="s">
        <v>149</v>
      </c>
      <c r="E31" s="3" t="s">
        <v>150</v>
      </c>
      <c r="F31" s="4" t="s">
        <v>11</v>
      </c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ht="18.75" spans="1:6">
      <c r="A32" s="7" t="s">
        <v>14</v>
      </c>
      <c r="B32" s="7" t="s">
        <v>15</v>
      </c>
      <c r="C32" s="8">
        <v>28</v>
      </c>
      <c r="D32" s="8" t="s">
        <v>151</v>
      </c>
      <c r="E32" s="10">
        <v>9.5</v>
      </c>
      <c r="F32" s="10"/>
    </row>
    <row r="33" ht="18.75" spans="1:6">
      <c r="A33" s="7" t="s">
        <v>29</v>
      </c>
      <c r="B33" s="7" t="s">
        <v>30</v>
      </c>
      <c r="C33" s="8">
        <v>22</v>
      </c>
      <c r="D33" s="8" t="s">
        <v>151</v>
      </c>
      <c r="E33" s="20">
        <v>13.5</v>
      </c>
      <c r="F33" s="11" t="s">
        <v>29</v>
      </c>
    </row>
    <row r="34" ht="18.75" spans="1:6">
      <c r="A34" s="7" t="s">
        <v>152</v>
      </c>
      <c r="B34" s="7" t="s">
        <v>153</v>
      </c>
      <c r="C34" s="8">
        <v>22</v>
      </c>
      <c r="D34" s="8" t="s">
        <v>151</v>
      </c>
      <c r="E34" s="12">
        <v>15</v>
      </c>
      <c r="F34" s="12"/>
    </row>
    <row r="35" ht="18.75" spans="1:6">
      <c r="A35" s="7" t="s">
        <v>154</v>
      </c>
      <c r="B35" s="7" t="s">
        <v>155</v>
      </c>
      <c r="C35" s="8">
        <v>25</v>
      </c>
      <c r="D35" s="8" t="s">
        <v>151</v>
      </c>
      <c r="E35" s="12">
        <v>18.5</v>
      </c>
      <c r="F35" s="12"/>
    </row>
    <row r="36" ht="18.75" spans="1:6">
      <c r="A36" s="7"/>
      <c r="B36" s="7" t="s">
        <v>156</v>
      </c>
      <c r="C36" s="8">
        <v>20</v>
      </c>
      <c r="D36" s="8" t="s">
        <v>151</v>
      </c>
      <c r="E36" s="12">
        <v>17.5</v>
      </c>
      <c r="F36" s="12"/>
    </row>
    <row r="37" ht="18.75" spans="1:8">
      <c r="A37" s="7"/>
      <c r="B37" s="7" t="s">
        <v>157</v>
      </c>
      <c r="C37" s="8">
        <v>25</v>
      </c>
      <c r="D37" s="8" t="s">
        <v>151</v>
      </c>
      <c r="E37" s="13">
        <v>18.5</v>
      </c>
      <c r="F37" s="13"/>
      <c r="G37" s="14"/>
      <c r="H37" s="15"/>
    </row>
    <row r="38" ht="18.75" spans="1:6">
      <c r="A38" s="7"/>
      <c r="B38" s="7" t="s">
        <v>158</v>
      </c>
      <c r="C38" s="8">
        <v>25</v>
      </c>
      <c r="D38" s="8" t="s">
        <v>151</v>
      </c>
      <c r="E38" s="9">
        <v>23.5</v>
      </c>
      <c r="F38" s="9"/>
    </row>
    <row r="39" ht="18.75" spans="1:6">
      <c r="A39" s="10" t="s">
        <v>159</v>
      </c>
      <c r="B39" s="7" t="s">
        <v>160</v>
      </c>
      <c r="C39" s="8">
        <v>10</v>
      </c>
      <c r="D39" s="8" t="s">
        <v>151</v>
      </c>
      <c r="E39" s="9">
        <v>13.5</v>
      </c>
      <c r="F39" s="9"/>
    </row>
    <row r="40" ht="18.75" spans="1:6">
      <c r="A40" s="8" t="s">
        <v>161</v>
      </c>
      <c r="B40" s="7" t="s">
        <v>162</v>
      </c>
      <c r="C40" s="8">
        <v>20</v>
      </c>
      <c r="D40" s="8" t="s">
        <v>151</v>
      </c>
      <c r="E40" s="9">
        <v>19.5</v>
      </c>
      <c r="F40" s="9"/>
    </row>
    <row r="41" ht="18.75" spans="1:6">
      <c r="A41" s="7"/>
      <c r="B41" s="7" t="s">
        <v>163</v>
      </c>
      <c r="C41" s="8">
        <v>17</v>
      </c>
      <c r="D41" s="8" t="s">
        <v>151</v>
      </c>
      <c r="E41" s="9">
        <v>27.5</v>
      </c>
      <c r="F41" s="9"/>
    </row>
    <row r="42" ht="18.75" spans="1:6">
      <c r="A42" s="7" t="s">
        <v>166</v>
      </c>
      <c r="B42" s="16" t="s">
        <v>167</v>
      </c>
      <c r="C42" s="8">
        <v>20</v>
      </c>
      <c r="D42" s="8" t="s">
        <v>151</v>
      </c>
      <c r="E42" s="9">
        <v>18.5</v>
      </c>
      <c r="F42" s="9"/>
    </row>
    <row r="43" ht="18.75" spans="1:6">
      <c r="A43" s="8" t="s">
        <v>33</v>
      </c>
      <c r="B43" s="16" t="s">
        <v>34</v>
      </c>
      <c r="C43" s="8">
        <v>10</v>
      </c>
      <c r="D43" s="8" t="s">
        <v>151</v>
      </c>
      <c r="E43" s="9">
        <v>17.5</v>
      </c>
      <c r="F43" s="9"/>
    </row>
    <row r="44" ht="18.75" spans="1:6">
      <c r="A44" s="8" t="s">
        <v>168</v>
      </c>
      <c r="B44" s="16" t="s">
        <v>22</v>
      </c>
      <c r="C44" s="8">
        <v>25</v>
      </c>
      <c r="D44" s="8" t="s">
        <v>151</v>
      </c>
      <c r="E44" s="9">
        <v>26</v>
      </c>
      <c r="F44" s="9"/>
    </row>
    <row r="45" ht="18.75" spans="1:6">
      <c r="A45" s="8" t="s">
        <v>168</v>
      </c>
      <c r="B45" s="16" t="s">
        <v>169</v>
      </c>
      <c r="C45" s="8">
        <v>20</v>
      </c>
      <c r="D45" s="8" t="s">
        <v>151</v>
      </c>
      <c r="E45" s="9">
        <v>27</v>
      </c>
      <c r="F45" s="9"/>
    </row>
    <row r="46" ht="18.75" spans="1:6">
      <c r="A46" s="8" t="s">
        <v>168</v>
      </c>
      <c r="B46" s="16" t="s">
        <v>32</v>
      </c>
      <c r="C46" s="8">
        <v>25</v>
      </c>
      <c r="D46" s="8" t="s">
        <v>151</v>
      </c>
      <c r="E46" s="9">
        <v>26</v>
      </c>
      <c r="F46" s="9"/>
    </row>
    <row r="47" ht="18.75" spans="1:6">
      <c r="A47" s="8" t="s">
        <v>168</v>
      </c>
      <c r="B47" s="16" t="s">
        <v>170</v>
      </c>
      <c r="C47" s="8">
        <v>10</v>
      </c>
      <c r="D47" s="8" t="s">
        <v>151</v>
      </c>
      <c r="E47" s="9">
        <v>25</v>
      </c>
      <c r="F47" s="9"/>
    </row>
    <row r="48" ht="18.75" spans="1:6">
      <c r="A48" s="17"/>
      <c r="B48" s="17"/>
      <c r="C48" s="18"/>
      <c r="D48" s="18"/>
      <c r="E48" s="19"/>
      <c r="F48" s="19"/>
    </row>
  </sheetData>
  <mergeCells count="4">
    <mergeCell ref="A1:E1"/>
    <mergeCell ref="G8:H8"/>
    <mergeCell ref="A30:E30"/>
    <mergeCell ref="G37:H37"/>
  </mergeCells>
  <pageMargins left="0.7" right="0.7" top="0.75" bottom="0.75" header="0.3" footer="0.3"/>
  <pageSetup paperSize="9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24出货</vt:lpstr>
      <vt:lpstr>新旺博旺</vt:lpstr>
      <vt:lpstr>25年</vt:lpstr>
      <vt:lpstr>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白龙马^_^李秋林欧意宝五星花</cp:lastModifiedBy>
  <dcterms:created xsi:type="dcterms:W3CDTF">2013-02-26T11:10:00Z</dcterms:created>
  <cp:lastPrinted>2022-07-11T03:30:00Z</cp:lastPrinted>
  <dcterms:modified xsi:type="dcterms:W3CDTF">2026-01-12T06:25:16Z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8E27025BB08A4C659DA2FD77DF123603</vt:lpwstr>
  </property>
  <property fmtid="{D5CDD505-2E9C-101B-9397-08002B2CF9AE}" pid="3" name="KSOProductBuildVer">
    <vt:lpwstr>2052-12.1.0.19302</vt:lpwstr>
  </property>
</Properties>
</file>