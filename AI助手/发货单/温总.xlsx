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2"/>
  </bookViews>
  <sheets>
    <sheet name="温总" sheetId="1" r:id="rId1"/>
    <sheet name="温总出货" sheetId="11" state="hidden" r:id="rId2"/>
    <sheet name="出货" sheetId="14" r:id="rId3"/>
    <sheet name="温总回款明细" sheetId="10" r:id="rId4"/>
    <sheet name="5月回款明细" sheetId="13" state="hidden" r:id="rId5"/>
    <sheet name="5月以前的回款" sheetId="12" r:id="rId6"/>
  </sheets>
  <definedNames>
    <definedName name="_xlnm._FilterDatabase" localSheetId="1" hidden="1">温总出货!$A$2:$XFC$257</definedName>
    <definedName name="_xlnm._FilterDatabase" localSheetId="2" hidden="1">出货!$A$1:$P$285</definedName>
    <definedName name="_xlnm.Print_Area" localSheetId="0">温总!$A$1:$J$15</definedName>
    <definedName name="_xlnm.Print_Area" localSheetId="3">温总回款明细!$A$37:$G$45</definedName>
    <definedName name="_xlnm.Print_Area" localSheetId="2">出货!$C$23:$K$76</definedName>
    <definedName name="_xlnm.Print_Area" localSheetId="1">温总出货!$A$199:$K$199</definedName>
    <definedName name="_xlnm.Print_Area" localSheetId="4">'5月回款明细'!$A$51:$G$59</definedName>
    <definedName name="_xlnm.Print_Area" localSheetId="5">'5月以前的回款'!$A$27:$G$37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<sst xmlns="http://schemas.openxmlformats.org/spreadsheetml/2006/main" count="1523" uniqueCount="439">
  <si>
    <t>成都国圣工业有限公司（五星花）送货单</t>
  </si>
  <si>
    <t>购货单位（乙方）：温总     联系人： 温总         日期：2026年01月21日      订单编号：26-010058A</t>
  </si>
  <si>
    <t>顺达化工</t>
  </si>
  <si>
    <t>杨姐</t>
  </si>
  <si>
    <t xml:space="preserve"> 产 品 型 号</t>
  </si>
  <si>
    <t xml:space="preserve"> 产 品 名 称</t>
  </si>
  <si>
    <t>数量/件</t>
  </si>
  <si>
    <t>规格/KG</t>
  </si>
  <si>
    <t>数量/KG</t>
  </si>
  <si>
    <t>单价/元</t>
  </si>
  <si>
    <t>金额/元</t>
  </si>
  <si>
    <t>备  注</t>
  </si>
  <si>
    <t>借大铁桶</t>
  </si>
  <si>
    <t>减李总借锌粉</t>
  </si>
  <si>
    <t>合计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</si>
  <si>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</si>
  <si>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</si>
  <si>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</si>
  <si>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</si>
  <si>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</si>
  <si>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</si>
  <si>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</si>
  <si>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</si>
  <si>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h</t>
  </si>
  <si>
    <t>2023年8月14日起出货</t>
  </si>
  <si>
    <t>金额总计</t>
  </si>
  <si>
    <t>日期</t>
  </si>
  <si>
    <t>单号</t>
  </si>
  <si>
    <t>产品型号
产品名称</t>
  </si>
  <si>
    <t>备注</t>
  </si>
  <si>
    <t>金额合计</t>
  </si>
  <si>
    <t>70FG</t>
  </si>
  <si>
    <t>净味哑光清面漆</t>
  </si>
  <si>
    <t>R006</t>
  </si>
  <si>
    <t>净味哑光固化剂</t>
  </si>
  <si>
    <t>不含包装</t>
  </si>
  <si>
    <t>R006不含包装</t>
  </si>
  <si>
    <t>改</t>
  </si>
  <si>
    <t>12.66:ben</t>
  </si>
  <si>
    <t>13.52:ben</t>
  </si>
  <si>
    <t>已调价R006不含包装</t>
  </si>
  <si>
    <t>PU亮光象牙白色漆</t>
  </si>
  <si>
    <t>原油调遮盖力</t>
  </si>
  <si>
    <t>PU哑光浅灰色漆</t>
  </si>
  <si>
    <t>608#</t>
  </si>
  <si>
    <t>PU哑光粉白面漆：哑光米白</t>
  </si>
  <si>
    <t>样油：七分光不含包装</t>
  </si>
  <si>
    <t>PE封固底漆</t>
  </si>
  <si>
    <t>6827B不含包装</t>
  </si>
  <si>
    <t>PU哑光固化剂</t>
  </si>
  <si>
    <t>BA303不含包装</t>
  </si>
  <si>
    <t>借LK906:</t>
  </si>
  <si>
    <t>NC清面漆</t>
  </si>
  <si>
    <t>50F:9.5KG+9.5kg:1/4NC浆+1KG:808不含包装</t>
  </si>
  <si>
    <t>11.5/KG</t>
  </si>
  <si>
    <t>PU半哑粉白面漆</t>
  </si>
  <si>
    <t>原油改哑度：改成5分光不含包装</t>
  </si>
  <si>
    <t>五分光不含包装</t>
  </si>
  <si>
    <t>479#</t>
  </si>
  <si>
    <t>PU半哑浅灰面漆</t>
  </si>
  <si>
    <t>样油</t>
  </si>
  <si>
    <t>PU半哑玉兰白色面漆</t>
  </si>
  <si>
    <t>PU净味哑光深蓝色漆</t>
  </si>
  <si>
    <t>无包装：16.2</t>
  </si>
  <si>
    <t>9910B</t>
  </si>
  <si>
    <t>已调不含包装</t>
  </si>
  <si>
    <t>：无包装11.3</t>
  </si>
  <si>
    <t>PU亮光奶白色漆</t>
  </si>
  <si>
    <r>
      <rPr>
        <sz val="16"/>
        <rFont val="宋体"/>
        <charset val="134"/>
      </rPr>
      <t>常用：</t>
    </r>
    <r>
      <rPr>
        <sz val="10"/>
        <rFont val="宋体"/>
        <charset val="134"/>
      </rPr>
      <t>原来的象牙白已调遮盖力</t>
    </r>
  </si>
  <si>
    <t>1/4定制：不含包装</t>
  </si>
  <si>
    <t>仿黑檀木修色油</t>
  </si>
  <si>
    <t>另加包装4L罐</t>
  </si>
  <si>
    <t>A-20</t>
  </si>
  <si>
    <t>PU亮光玉柏色漆</t>
  </si>
  <si>
    <t>8/4提货不含包装</t>
  </si>
  <si>
    <t>PU哑光象牙白色漆</t>
  </si>
  <si>
    <t>净味基料（普哑调：加白浆4KG+0.33哑粉）</t>
  </si>
  <si>
    <t>退货11桶改成12桶不含包装</t>
  </si>
  <si>
    <t>退30/3：半哑玉兰白面漆</t>
  </si>
  <si>
    <t>退30/3（608#）：半哑粉白面漆</t>
  </si>
  <si>
    <t>退30/3：哑光固化剂</t>
  </si>
  <si>
    <t>已调价26/4已调整：不含包装</t>
  </si>
  <si>
    <t>常用：原来的象牙白已调遮盖力加白浆6KG/桶</t>
  </si>
  <si>
    <r>
      <rPr>
        <sz val="16"/>
        <color theme="9" tint="-0.25"/>
        <rFont val="宋体"/>
        <charset val="134"/>
      </rPr>
      <t>已调价</t>
    </r>
    <r>
      <rPr>
        <sz val="16"/>
        <rFont val="宋体"/>
        <charset val="134"/>
      </rPr>
      <t>R006不含包装</t>
    </r>
  </si>
  <si>
    <t>李借温蓝水瓶：1件*126个李总已付现90</t>
  </si>
  <si>
    <t>借5L圆罐</t>
  </si>
  <si>
    <t>PU哑光固化剂:退货</t>
  </si>
  <si>
    <t>PU哑光黑面漆</t>
  </si>
  <si>
    <t>70FA：15KG+5KG色浆不含包装</t>
  </si>
  <si>
    <t>5022*</t>
  </si>
  <si>
    <t>22/5：样油</t>
  </si>
  <si>
    <t>从下次起色漆用普通基料调</t>
  </si>
  <si>
    <t>原油改哑度：5桶改成6桶不含包装</t>
  </si>
  <si>
    <t>10825*</t>
  </si>
  <si>
    <t>PU亮光浅灰色漆</t>
  </si>
  <si>
    <t>PU亮光香槟色漆</t>
  </si>
  <si>
    <t>另加包装5L罐</t>
  </si>
  <si>
    <t>608*</t>
  </si>
  <si>
    <t>PU半哑粉白面漆（新款）</t>
  </si>
  <si>
    <t>样油：:11/6</t>
  </si>
  <si>
    <t>11/6*</t>
  </si>
  <si>
    <t>下批调价：不含包装</t>
  </si>
  <si>
    <t>208*</t>
  </si>
  <si>
    <t>PU面漆稀释剂</t>
  </si>
  <si>
    <t>包装自备</t>
  </si>
  <si>
    <t>清底漆：自备</t>
  </si>
  <si>
    <t>自备基料、包装</t>
  </si>
  <si>
    <t>紫红浆</t>
  </si>
  <si>
    <t>中黄浆</t>
  </si>
  <si>
    <t>枣红底：25KG/桶</t>
  </si>
  <si>
    <t>枣红底漆加工费</t>
  </si>
  <si>
    <t>3705*</t>
  </si>
  <si>
    <t>黑浆</t>
  </si>
  <si>
    <t>亮白面漆</t>
  </si>
  <si>
    <t>亮光枣红面漆加工费</t>
  </si>
  <si>
    <t>：加白浆4KG/桶包装自备</t>
  </si>
  <si>
    <t>12.9/KG</t>
  </si>
  <si>
    <t>五分光清面漆</t>
  </si>
  <si>
    <t>11/KG</t>
  </si>
  <si>
    <t>枣红面：20KG/桶</t>
  </si>
  <si>
    <t>未加白浆的，包装自备</t>
  </si>
  <si>
    <r>
      <rPr>
        <sz val="12"/>
        <color rgb="FFFF0000"/>
        <rFont val="宋体"/>
        <charset val="134"/>
      </rPr>
      <t>50FA货（从8/7起配方已调整，以后统一用此配</t>
    </r>
    <r>
      <rPr>
        <sz val="12"/>
        <color rgb="FF00B0F0"/>
        <rFont val="宋体"/>
        <charset val="134"/>
      </rPr>
      <t>方）不含包装</t>
    </r>
  </si>
  <si>
    <t>购4L圆罐</t>
  </si>
  <si>
    <t>购5L圆罐</t>
  </si>
  <si>
    <t>PU哑光深红棕色漆</t>
  </si>
  <si>
    <t>第一次调</t>
  </si>
  <si>
    <t>PU哑光浅红棕色漆</t>
  </si>
  <si>
    <t>须调价：不含包装</t>
  </si>
  <si>
    <t>净味哑光固化剂于19/7已调成:13.7/KG</t>
  </si>
  <si>
    <t>70FG货</t>
  </si>
  <si>
    <t>19/7已下调0.8/KG,R006不含包装</t>
  </si>
  <si>
    <t>PU净味全哑嫩黄色漆</t>
  </si>
  <si>
    <t>样油：铁板样</t>
  </si>
  <si>
    <t>PU净味全哑深绿色漆</t>
  </si>
  <si>
    <t>PU哑光菜花黄色漆</t>
  </si>
  <si>
    <t>净味七分光清面漆</t>
  </si>
  <si>
    <t>购4L方罐</t>
  </si>
  <si>
    <t>NC清底漆</t>
  </si>
  <si>
    <t>(不含包装）</t>
  </si>
  <si>
    <t>PU亮光深灰色漆</t>
  </si>
  <si>
    <t>桌腿样</t>
  </si>
  <si>
    <t>D377</t>
  </si>
  <si>
    <t>亮光浅灰色漆</t>
  </si>
  <si>
    <t>25.02.24:B77已改成D377</t>
  </si>
  <si>
    <t>028*</t>
  </si>
  <si>
    <t>亮光米灰色漆</t>
  </si>
  <si>
    <t>C05</t>
  </si>
  <si>
    <t>PU哑光深灰色漆</t>
  </si>
  <si>
    <t>PU净味哑光清面漆</t>
  </si>
  <si>
    <t>50FA货（从8/7起配方已调整，以后统一用此配方）不含包装</t>
  </si>
  <si>
    <t>70FA货</t>
  </si>
  <si>
    <t>PU净味哑光固化剂</t>
  </si>
  <si>
    <t>1021*</t>
  </si>
  <si>
    <t>PU哑光象牙黄色漆</t>
  </si>
  <si>
    <t>21/10调衣柜门板样净味基料调</t>
  </si>
  <si>
    <t>NC哑光清面漆</t>
  </si>
  <si>
    <t>上次剩下的（50F:9.5KG+9.5kg:1/4NC浆+1KG:808不含包装）</t>
  </si>
  <si>
    <t>13.5/KG</t>
  </si>
  <si>
    <t>11号</t>
  </si>
  <si>
    <t>李总购黄色精</t>
  </si>
  <si>
    <t>14/11已微转</t>
  </si>
  <si>
    <t>ZK-035*</t>
  </si>
  <si>
    <t>PU哑光泥黄色漆</t>
  </si>
  <si>
    <t>1116*</t>
  </si>
  <si>
    <t>PU哑光玉兰色漆</t>
  </si>
  <si>
    <t>11月4日
1</t>
  </si>
  <si>
    <t>借温总锌粉</t>
  </si>
  <si>
    <t>现金：9/12日已减账900（10月货款中减账）</t>
  </si>
  <si>
    <t>12月6日
4</t>
  </si>
  <si>
    <t>B18</t>
  </si>
  <si>
    <t>PU亮光冷灰色漆</t>
  </si>
  <si>
    <t>B80</t>
  </si>
  <si>
    <t>脱水机</t>
  </si>
  <si>
    <t>1229*</t>
  </si>
  <si>
    <t>PU亮光深蓝色漆</t>
  </si>
  <si>
    <t>亮深蓝色漆包装：5L</t>
  </si>
  <si>
    <t>借4L罐子</t>
  </si>
  <si>
    <t>8/元月做的</t>
  </si>
  <si>
    <t>三江龚总306#</t>
  </si>
  <si>
    <t>用蕊芯的哑白调的所以价要高0.5/kg因已放假未签单</t>
  </si>
  <si>
    <t>2号</t>
  </si>
  <si>
    <t>PU净味4分光清面漆</t>
  </si>
  <si>
    <t>实际只有2桶、下欠1桶28/2减账</t>
  </si>
  <si>
    <t>还2月17借的货：刘英用</t>
  </si>
  <si>
    <t>22/2做</t>
  </si>
  <si>
    <t>9025*</t>
  </si>
  <si>
    <t>B77</t>
  </si>
  <si>
    <t>2月24日多记的</t>
  </si>
  <si>
    <t>PU哑光青灰色漆</t>
  </si>
  <si>
    <t>PU哑光开放灰色漆</t>
  </si>
  <si>
    <t>PU哑光香草冰激凌色漆</t>
  </si>
  <si>
    <t>PU哑光矿石灰色漆</t>
  </si>
  <si>
    <t>包装桶：4L</t>
  </si>
  <si>
    <t>干板样</t>
  </si>
  <si>
    <t>PU全哑半透修色油</t>
  </si>
  <si>
    <t>PU全哑黑面漆</t>
  </si>
  <si>
    <t>(（70B:15.3KG+黑浆：4KG+0.7KG:100C）13/kg：不含包装</t>
  </si>
  <si>
    <t>PU净味全哑清面漆</t>
  </si>
  <si>
    <t>七彩乐园货：不含包装</t>
  </si>
  <si>
    <t>购温总黄色精</t>
  </si>
  <si>
    <t>购温总红色精</t>
  </si>
  <si>
    <t>购温总黑色精</t>
  </si>
  <si>
    <t>蓝山咖啡</t>
  </si>
  <si>
    <t>3706A（3705：20）</t>
  </si>
  <si>
    <t>PU哑光中黄色漆</t>
  </si>
  <si>
    <t>亮黑</t>
  </si>
  <si>
    <t>康巴工作室</t>
  </si>
  <si>
    <t>PU亮光蓝山咖啡色漆</t>
  </si>
  <si>
    <t>须留样:色卡样R74-Y26</t>
  </si>
  <si>
    <t>裸成：13.2</t>
  </si>
  <si>
    <t>亮白面</t>
  </si>
  <si>
    <t>1213*</t>
  </si>
  <si>
    <t>PU亮光色漆</t>
  </si>
  <si>
    <t>PU哑光色漆</t>
  </si>
  <si>
    <t>借温总三分光清面</t>
  </si>
  <si>
    <t>25/3借的货：刘英用</t>
  </si>
  <si>
    <t>借温总哑光</t>
  </si>
  <si>
    <t>R008  31/3做</t>
  </si>
  <si>
    <t>10/4借温总</t>
  </si>
  <si>
    <t>蕊芯用</t>
  </si>
  <si>
    <t>PU哑光米白色漆</t>
  </si>
  <si>
    <t>23/4已调价</t>
  </si>
  <si>
    <t>我方借白小口桶：5个未还于25/4已还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</si>
  <si>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</si>
  <si>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借温总哑光固化剂</t>
  </si>
  <si>
    <t>R008</t>
  </si>
  <si>
    <t>R00623/4已调价</t>
  </si>
  <si>
    <t>PU哑光浅黄色漆</t>
  </si>
  <si>
    <t>另加包装费4L</t>
  </si>
  <si>
    <t>干板样不留样</t>
  </si>
  <si>
    <t>PU哑光色漆（3分光)</t>
  </si>
  <si>
    <t>干板样：3个不留样</t>
  </si>
  <si>
    <t>干板样：1个不留样</t>
  </si>
  <si>
    <t>另加包装费5L</t>
  </si>
  <si>
    <t>PU哑光雅士灰色漆</t>
  </si>
  <si>
    <t>图册样不留样</t>
  </si>
  <si>
    <t>色卡样不留样</t>
  </si>
  <si>
    <t>527*</t>
  </si>
  <si>
    <t>PU净味哑光泥黄色漆</t>
  </si>
  <si>
    <t>有留样 用蕊芯的哑白调的所以价要高0.5/kg单</t>
  </si>
  <si>
    <t>PU哑光灰色漆</t>
  </si>
  <si>
    <t>PU亮光灰色漆</t>
  </si>
  <si>
    <t>微信图片样</t>
  </si>
  <si>
    <t>PU亮光蓝色漆</t>
  </si>
  <si>
    <t>另购包装费4L</t>
  </si>
  <si>
    <t>减李总购锌粉</t>
  </si>
  <si>
    <t>减李总购胶壶</t>
  </si>
  <si>
    <t>S5-28</t>
  </si>
  <si>
    <t>哑光色漆</t>
  </si>
  <si>
    <t>S5-56：曹先生</t>
  </si>
  <si>
    <t>S5-35：黄世界</t>
  </si>
  <si>
    <t>57号</t>
  </si>
  <si>
    <t>PU哑光珍珠白色漆</t>
  </si>
  <si>
    <t>七分光</t>
  </si>
  <si>
    <t>PU哑光炭灰色漆</t>
  </si>
  <si>
    <t>40FA</t>
  </si>
  <si>
    <t>PU哑光雅枫色漆</t>
  </si>
  <si>
    <t>PU哑光橙色漆</t>
  </si>
  <si>
    <t>07#：雅枫</t>
  </si>
  <si>
    <t>PU哑光星光灰色漆</t>
  </si>
  <si>
    <t>木条样</t>
  </si>
  <si>
    <t>PU哑光奶油茉莉色漆</t>
  </si>
  <si>
    <t>S5-87:秦总</t>
  </si>
  <si>
    <t>PU哑光银灰色漆</t>
  </si>
  <si>
    <t>S5-80:</t>
  </si>
  <si>
    <t>6-5单</t>
  </si>
  <si>
    <t>PU哑光可可蛋奶色漆</t>
  </si>
  <si>
    <t>PU哑光绿色漆</t>
  </si>
  <si>
    <t>PU净味5分光清面漆</t>
  </si>
  <si>
    <t>50FA</t>
  </si>
  <si>
    <t>PU净味哑光墨绿色漆</t>
  </si>
  <si>
    <t>535F</t>
  </si>
  <si>
    <t>PU净味面漆稀释剂</t>
  </si>
  <si>
    <r>
      <rPr>
        <sz val="10"/>
        <color rgb="FFFF0000"/>
        <rFont val="宋体"/>
        <charset val="134"/>
      </rPr>
      <t>本6.3</t>
    </r>
    <r>
      <rPr>
        <sz val="16"/>
        <color rgb="FFFF0000"/>
        <rFont val="宋体"/>
        <charset val="134"/>
      </rPr>
      <t>(802A:2+0.7:807A+1:813+1.1:818+0.2:807+)</t>
    </r>
  </si>
  <si>
    <t>另加包装费10L</t>
  </si>
  <si>
    <t>PU净味3分光色漆</t>
  </si>
  <si>
    <t>许总干板样</t>
  </si>
  <si>
    <t>705-1</t>
  </si>
  <si>
    <t>样油：须留样</t>
  </si>
  <si>
    <t>S6-66</t>
  </si>
  <si>
    <t>PU哑光金属灰色漆</t>
  </si>
  <si>
    <t>干板：实色</t>
  </si>
  <si>
    <t>S6-64</t>
  </si>
  <si>
    <t>S6-69</t>
  </si>
  <si>
    <t>S6-56</t>
  </si>
  <si>
    <t>PU哑光浅香槟色漆</t>
  </si>
  <si>
    <t>S6-36</t>
  </si>
  <si>
    <t>PU奶黄底漆</t>
  </si>
  <si>
    <t>另购包装5L罐子</t>
  </si>
  <si>
    <t>搽色精</t>
  </si>
  <si>
    <t>B18（1213）</t>
  </si>
  <si>
    <t>2036*</t>
  </si>
  <si>
    <t>PU亮光米白色漆</t>
  </si>
  <si>
    <t>2066*</t>
  </si>
  <si>
    <t>B028</t>
  </si>
  <si>
    <t>PU亮光米灰色漆</t>
  </si>
  <si>
    <t>028（B028）</t>
  </si>
  <si>
    <t>59号</t>
  </si>
  <si>
    <t>PU哑光半透修色油</t>
  </si>
  <si>
    <t>干板</t>
  </si>
  <si>
    <t>未留样</t>
  </si>
  <si>
    <t>PU哑光棕灰色漆</t>
  </si>
  <si>
    <t>R008  较上次亮点</t>
  </si>
  <si>
    <t>PU净味3分光清面漆</t>
  </si>
  <si>
    <t>70FA</t>
  </si>
  <si>
    <t>用蕊芯的哑白调的所以价要高0.5/kg</t>
  </si>
  <si>
    <t>PU净味哑光米白色漆</t>
  </si>
  <si>
    <t>PU哑光深蓝色漆</t>
  </si>
  <si>
    <t>另购包装4L罐子</t>
  </si>
  <si>
    <t>哑光绿色漆</t>
  </si>
  <si>
    <t>PU亮光粉绿色漆</t>
  </si>
  <si>
    <t>23号</t>
  </si>
  <si>
    <t>PU哑光宝宝灰色漆</t>
  </si>
  <si>
    <t>S10-3</t>
  </si>
  <si>
    <t>PU哑光博金色漆</t>
  </si>
  <si>
    <t>张秀</t>
  </si>
  <si>
    <t>S10-18</t>
  </si>
  <si>
    <t>PU哑光米绸色漆</t>
  </si>
  <si>
    <t>多计2KG于10/11减单</t>
  </si>
  <si>
    <t>S10-43</t>
  </si>
  <si>
    <t>50FA：（10/11已调价）</t>
  </si>
  <si>
    <t>R006：配方已改23/4已调价</t>
  </si>
  <si>
    <t>减：S10-18</t>
  </si>
  <si>
    <t>11月8日多计2KG</t>
  </si>
  <si>
    <t>美景家私</t>
  </si>
  <si>
    <t>PU哑光牛奶白色漆</t>
  </si>
  <si>
    <t>许总：样油</t>
  </si>
  <si>
    <t>PU哑光深灰色漆:加工费</t>
  </si>
  <si>
    <t>自备基料</t>
  </si>
  <si>
    <t>B12-1</t>
  </si>
  <si>
    <r>
      <rPr>
        <sz val="16"/>
        <rFont val="宋体"/>
        <charset val="134"/>
      </rPr>
      <t>PU哑光</t>
    </r>
    <r>
      <rPr>
        <sz val="16"/>
        <color rgb="FFFF0000"/>
        <rFont val="宋体"/>
        <charset val="134"/>
      </rPr>
      <t>深</t>
    </r>
    <r>
      <rPr>
        <sz val="16"/>
        <rFont val="宋体"/>
        <charset val="134"/>
      </rPr>
      <t>灰色漆:加工费</t>
    </r>
  </si>
  <si>
    <t>干板样   自备基料</t>
  </si>
  <si>
    <t>B12-2</t>
  </si>
  <si>
    <r>
      <rPr>
        <sz val="16"/>
        <rFont val="宋体"/>
        <charset val="134"/>
      </rPr>
      <t>PU哑光</t>
    </r>
    <r>
      <rPr>
        <sz val="16"/>
        <color rgb="FFFF0000"/>
        <rFont val="宋体"/>
        <charset val="134"/>
      </rPr>
      <t>浅</t>
    </r>
    <r>
      <rPr>
        <sz val="16"/>
        <rFont val="宋体"/>
        <charset val="134"/>
      </rPr>
      <t>灰色漆:加工费</t>
    </r>
  </si>
  <si>
    <t>PU哑光清面漆</t>
  </si>
  <si>
    <t>色漆加工</t>
  </si>
  <si>
    <t>铁红浆</t>
  </si>
  <si>
    <t>铁黄浆</t>
  </si>
  <si>
    <t>酞蓝浆</t>
  </si>
  <si>
    <t>购黑色浆</t>
  </si>
  <si>
    <t>0907-4哑光可可蛋奶色漆</t>
  </si>
  <si>
    <t>40FA（10/11已调价）</t>
  </si>
  <si>
    <t>R006 23/4已调价</t>
  </si>
  <si>
    <t>PU哑光奶白色漆</t>
  </si>
  <si>
    <t>PU哑光香槟色漆</t>
  </si>
  <si>
    <t>R00823/4已调价</t>
  </si>
  <si>
    <t>PU哑光米色漆</t>
  </si>
  <si>
    <t>是以前剩下（以前配方50F:9.5KG+9.5kg:1/4NC浆+1KG:808不含包装）</t>
  </si>
  <si>
    <t>NC亮光黑面漆</t>
  </si>
  <si>
    <t>S12-19(1#)</t>
  </si>
  <si>
    <t>哑光浅色漆</t>
  </si>
  <si>
    <t>S12-19(2#)</t>
  </si>
  <si>
    <t>哑光墨绿色漆</t>
  </si>
  <si>
    <t>S12-19(3#)</t>
  </si>
  <si>
    <t>哑光米白色漆</t>
  </si>
  <si>
    <t>K03</t>
  </si>
  <si>
    <t>图片大开</t>
  </si>
  <si>
    <t>哑光浅绿色漆</t>
  </si>
  <si>
    <t>S11-72</t>
  </si>
  <si>
    <t>哑光黄世界色漆</t>
  </si>
  <si>
    <t>S12-32</t>
  </si>
  <si>
    <t>哑光白巧克力色漆</t>
  </si>
  <si>
    <t>S12-6</t>
  </si>
  <si>
    <t>哑光九品色漆</t>
  </si>
  <si>
    <t>S12-31</t>
  </si>
  <si>
    <t>哑光砂黄灰色漆</t>
  </si>
  <si>
    <t>COLOUR</t>
  </si>
  <si>
    <t>哑光百合白色漆</t>
  </si>
  <si>
    <t>另加包装费1L</t>
  </si>
  <si>
    <t>13号</t>
  </si>
  <si>
    <t>哑光肤感漆</t>
  </si>
  <si>
    <t>27号</t>
  </si>
  <si>
    <t>12-45</t>
  </si>
  <si>
    <t>S12-40</t>
  </si>
  <si>
    <t>7575C</t>
  </si>
  <si>
    <t>PU哑光红棕色漆</t>
  </si>
  <si>
    <t>BVZCK7C</t>
  </si>
  <si>
    <t>NC50F</t>
  </si>
  <si>
    <t>何川NC清面14+3：50F+1:807A+2:3705</t>
  </si>
  <si>
    <t>现金不开单</t>
  </si>
  <si>
    <t>1-15日借锌粉</t>
  </si>
  <si>
    <t>1包于21/元月减账</t>
  </si>
  <si>
    <t>元月购黑色精：5KG：老板收9月货款已经减账</t>
  </si>
  <si>
    <t>李总购锌粉5包*20*9=900于8月货款已减账</t>
  </si>
  <si>
    <t>温总购大铁桶：23个*30=690已微转李总</t>
  </si>
  <si>
    <t>温总借树脂桶：7个于20/9已还蓉经手</t>
  </si>
  <si>
    <t>8月4日借锌粉：5包。于12/8日在5月应付款中已减</t>
  </si>
  <si>
    <t>7/8日借大铁桶：10个贺经手于12/8日在5月应付款中已减</t>
  </si>
  <si>
    <t>15/7温借988:2桶已还老板经手</t>
  </si>
  <si>
    <t>25年温总10月回款明细</t>
  </si>
  <si>
    <t>购货应付款金额总计/元</t>
  </si>
  <si>
    <t>已付款金额/元</t>
  </si>
  <si>
    <t>余款合计金额/元</t>
  </si>
  <si>
    <t>明细如下：</t>
  </si>
  <si>
    <t>随机单号</t>
  </si>
  <si>
    <t>摘要</t>
  </si>
  <si>
    <t>金额</t>
  </si>
  <si>
    <t>已付金额</t>
  </si>
  <si>
    <t>下欠款结存</t>
  </si>
  <si>
    <t>购货</t>
  </si>
  <si>
    <t>25年温总元月回款明细</t>
  </si>
  <si>
    <t>送货</t>
  </si>
  <si>
    <t>25年温总7月回款明细</t>
  </si>
  <si>
    <t>7月5</t>
  </si>
  <si>
    <t>25年温总6月回款明细</t>
  </si>
  <si>
    <t>25年温总5月回款明细</t>
  </si>
  <si>
    <t xml:space="preserve">5月 </t>
  </si>
  <si>
    <t>李总借锌粉5包</t>
  </si>
  <si>
    <t>温总购大铁桶</t>
  </si>
  <si>
    <t>12/8日已付</t>
  </si>
  <si>
    <t>8月7日借大铁桶：10个贺经手于12/8日在5月应付款中已减</t>
  </si>
  <si>
    <t>25年温总9月回款明细</t>
  </si>
  <si>
    <t>固化剂已调价</t>
  </si>
  <si>
    <t>25年温总8月回款明细</t>
  </si>
  <si>
    <t>减李总11月7购锌粉5包</t>
  </si>
  <si>
    <t>已付款</t>
  </si>
  <si>
    <t>24年温总10月起回款明细</t>
  </si>
  <si>
    <t>12月9</t>
  </si>
  <si>
    <t>减账（4/11、6/12借锌粉）</t>
  </si>
  <si>
    <t>12月</t>
  </si>
  <si>
    <t>24年温总回款明细</t>
  </si>
  <si>
    <t>微转</t>
  </si>
  <si>
    <t>8月减账</t>
  </si>
  <si>
    <t>以前的纸箱</t>
  </si>
  <si>
    <t>尾数清账</t>
  </si>
  <si>
    <t>13/6日608打样含包装79.1和5月净味色漆差价共计减账155</t>
  </si>
  <si>
    <t>结存</t>
  </si>
  <si>
    <t>购总</t>
  </si>
  <si>
    <t>尾数抹账</t>
  </si>
  <si>
    <t>实转16700</t>
  </si>
  <si>
    <t>23温总回款</t>
  </si>
  <si>
    <t>购货款总计金额/元</t>
  </si>
  <si>
    <t>销售额</t>
  </si>
  <si>
    <t>余款</t>
  </si>
  <si>
    <t>温总老婆转</t>
  </si>
  <si>
    <t>温总微转</t>
  </si>
  <si>
    <t>转账</t>
  </si>
  <si>
    <t>温总</t>
  </si>
  <si>
    <t>24.2月04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</si>
</sst>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_ "/>
    <numFmt numFmtId="178" formatCode="m&quot;月&quot;d&quot;日&quot;;@"/>
    <numFmt numFmtId="179" formatCode="General&quot;号&quot;"/>
    <numFmt numFmtId="180" formatCode="0.0_ "/>
    <numFmt numFmtId="181" formatCode="0_ ;[Red]\-0\ "/>
    <numFmt numFmtId="182" formatCode="0.00_ "/>
    <numFmt numFmtId="183" formatCode="General&quot;个&quot;"/>
    <numFmt numFmtId="184" formatCode="000000"/>
    <numFmt numFmtId="185" formatCode="[DBNum2][$RMB]General;[Red][DBNum2][$RMB]General"/>
  </numFmts>
  <fonts count="67">
    <font>
      <sz val="12"/>
      <name val="宋体"/>
      <charset val="134"/>
    </font>
    <font>
      <b/>
      <sz val="20"/>
      <name val="宋体"/>
      <charset val="134"/>
    </font>
    <font>
      <b/>
      <sz val="14"/>
      <name val="宋体"/>
      <charset val="134"/>
    </font>
    <font>
      <b/>
      <sz val="16"/>
      <color rgb="FF00B0F0"/>
      <name val="宋体"/>
      <charset val="134"/>
    </font>
    <font>
      <b/>
      <sz val="16"/>
      <name val="宋体"/>
      <charset val="134"/>
    </font>
    <font>
      <b/>
      <sz val="14"/>
      <color rgb="FF7030A0"/>
      <name val="宋体"/>
      <charset val="134"/>
    </font>
    <font>
      <b/>
      <sz val="12"/>
      <color rgb="FF7030A0"/>
      <name val="宋体"/>
      <charset val="134"/>
    </font>
    <font>
      <b/>
      <sz val="14"/>
      <color rgb="FF00B0F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2"/>
      <color rgb="FF00B0F0"/>
      <name val="宋体"/>
      <charset val="134"/>
    </font>
    <font>
      <b/>
      <sz val="14"/>
      <color rgb="FFFF0000"/>
      <name val="宋体"/>
      <charset val="134"/>
    </font>
    <font>
      <b/>
      <sz val="12"/>
      <color rgb="FFFF0000"/>
      <name val="宋体"/>
      <charset val="134"/>
    </font>
    <font>
      <b/>
      <sz val="20"/>
      <color rgb="FF00B0F0"/>
      <name val="宋体"/>
      <charset val="134"/>
    </font>
    <font>
      <b/>
      <sz val="14"/>
      <color theme="9" tint="-0.25"/>
      <name val="宋体"/>
      <charset val="134"/>
    </font>
    <font>
      <b/>
      <sz val="10"/>
      <color theme="9" tint="-0.25"/>
      <name val="宋体"/>
      <charset val="134"/>
    </font>
    <font>
      <b/>
      <sz val="20"/>
      <color rgb="FF7030A0"/>
      <name val="宋体"/>
      <charset val="134"/>
    </font>
    <font>
      <b/>
      <sz val="16"/>
      <color theme="3"/>
      <name val="宋体"/>
      <charset val="134"/>
    </font>
    <font>
      <b/>
      <sz val="14"/>
      <color theme="3"/>
      <name val="宋体"/>
      <charset val="134"/>
    </font>
    <font>
      <sz val="16"/>
      <color rgb="FFFF0000"/>
      <name val="宋体"/>
      <charset val="134"/>
    </font>
    <font>
      <sz val="12"/>
      <color rgb="FF00B0F0"/>
      <name val="宋体"/>
      <charset val="134"/>
    </font>
    <font>
      <sz val="12"/>
      <color rgb="FF7030A0"/>
      <name val="宋体"/>
      <charset val="134"/>
    </font>
    <font>
      <sz val="16"/>
      <color rgb="FF00B0F0"/>
      <name val="宋体"/>
      <charset val="134"/>
    </font>
    <font>
      <sz val="16"/>
      <name val="宋体"/>
      <charset val="134"/>
    </font>
    <font>
      <sz val="10"/>
      <color rgb="FF00B0F0"/>
      <name val="宋体"/>
      <charset val="134"/>
    </font>
    <font>
      <sz val="16"/>
      <color rgb="FF00B0F0"/>
      <name val="宋体"/>
      <charset val="134"/>
      <scheme val="minor"/>
    </font>
    <font>
      <sz val="10"/>
      <color rgb="FFFF0000"/>
      <name val="宋体"/>
      <charset val="134"/>
    </font>
    <font>
      <sz val="12"/>
      <color rgb="FFFF0000"/>
      <name val="宋体"/>
      <charset val="134"/>
    </font>
    <font>
      <b/>
      <sz val="16"/>
      <color rgb="FFFF0000"/>
      <name val="宋体"/>
      <charset val="134"/>
    </font>
    <font>
      <sz val="16"/>
      <color rgb="FF7030A0"/>
      <name val="宋体"/>
      <charset val="134"/>
    </font>
    <font>
      <sz val="14"/>
      <name val="宋体"/>
      <charset val="134"/>
    </font>
    <font>
      <sz val="16"/>
      <color theme="9" tint="-0.25"/>
      <name val="宋体"/>
      <charset val="134"/>
    </font>
    <font>
      <sz val="12"/>
      <color theme="9" tint="-0.25"/>
      <name val="宋体"/>
      <charset val="134"/>
    </font>
    <font>
      <sz val="8"/>
      <name val="宋体"/>
      <charset val="134"/>
    </font>
    <font>
      <sz val="8"/>
      <color rgb="FF00B0F0"/>
      <name val="宋体"/>
      <charset val="134"/>
    </font>
    <font>
      <sz val="14"/>
      <color rgb="FFFF0000"/>
      <name val="宋体"/>
      <charset val="134"/>
    </font>
    <font>
      <sz val="16"/>
      <color rgb="FFFF0000"/>
      <name val="宋体"/>
      <charset val="134"/>
      <scheme val="minor"/>
    </font>
    <font>
      <sz val="18"/>
      <name val="宋体"/>
      <charset val="134"/>
    </font>
    <font>
      <sz val="24"/>
      <name val="宋体"/>
      <charset val="134"/>
    </font>
    <font>
      <sz val="11"/>
      <color rgb="FF00B0F0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9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44" fillId="0" borderId="0" applyFont="0" applyFill="0" applyBorder="0" applyAlignment="0" applyProtection="0">
      <alignment vertical="center"/>
    </xf>
    <xf numFmtId="44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3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2" applyNumberFormat="0" applyFill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" borderId="14" applyNumberFormat="0" applyAlignment="0" applyProtection="0">
      <alignment vertical="center"/>
    </xf>
    <xf numFmtId="0" fontId="54" fillId="5" borderId="15" applyNumberFormat="0" applyAlignment="0" applyProtection="0">
      <alignment vertical="center"/>
    </xf>
    <xf numFmtId="0" fontId="55" fillId="5" borderId="14" applyNumberFormat="0" applyAlignment="0" applyProtection="0">
      <alignment vertical="center"/>
    </xf>
    <xf numFmtId="0" fontId="56" fillId="6" borderId="16" applyNumberFormat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0" fillId="0" borderId="0"/>
    <xf numFmtId="0" fontId="6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0" borderId="0"/>
    <xf numFmtId="0" fontId="44" fillId="0" borderId="0">
      <alignment vertical="center"/>
    </xf>
    <xf numFmtId="0" fontId="66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</cellStyleXfs>
  <cellXfs count="22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/>
    </xf>
    <xf numFmtId="0" fontId="1" fillId="0" borderId="1" xfId="51" applyFont="1" applyBorder="1" applyAlignment="1">
      <alignment horizontal="center"/>
    </xf>
    <xf numFmtId="0" fontId="1" fillId="2" borderId="1" xfId="51" applyFont="1" applyFill="1" applyBorder="1" applyAlignment="1">
      <alignment horizontal="center"/>
    </xf>
    <xf numFmtId="0" fontId="2" fillId="2" borderId="1" xfId="51" applyFont="1" applyFill="1" applyBorder="1" applyAlignment="1">
      <alignment horizontal="center" vertical="center" textRotation="255"/>
    </xf>
    <xf numFmtId="0" fontId="3" fillId="2" borderId="1" xfId="51" applyFont="1" applyFill="1" applyBorder="1" applyAlignment="1">
      <alignment horizontal="center"/>
    </xf>
    <xf numFmtId="177" fontId="3" fillId="2" borderId="1" xfId="51" applyNumberFormat="1" applyFont="1" applyFill="1" applyBorder="1" applyAlignment="1">
      <alignment horizontal="center" vertical="center"/>
    </xf>
    <xf numFmtId="0" fontId="3" fillId="2" borderId="1" xfId="51" applyFont="1" applyFill="1" applyBorder="1" applyAlignment="1">
      <alignment horizontal="center" vertical="center"/>
    </xf>
    <xf numFmtId="177" fontId="3" fillId="2" borderId="2" xfId="51" applyNumberFormat="1" applyFont="1" applyFill="1" applyBorder="1" applyAlignment="1">
      <alignment horizontal="center" vertical="center"/>
    </xf>
    <xf numFmtId="0" fontId="3" fillId="2" borderId="2" xfId="51" applyFont="1" applyFill="1" applyBorder="1" applyAlignment="1">
      <alignment horizontal="center" vertical="center"/>
    </xf>
    <xf numFmtId="0" fontId="2" fillId="2" borderId="3" xfId="51" applyFont="1" applyFill="1" applyBorder="1" applyAlignment="1">
      <alignment horizontal="center" vertical="center" textRotation="255"/>
    </xf>
    <xf numFmtId="177" fontId="4" fillId="2" borderId="4" xfId="51" applyNumberFormat="1" applyFont="1" applyFill="1" applyBorder="1" applyAlignment="1">
      <alignment horizontal="left" vertical="center"/>
    </xf>
    <xf numFmtId="177" fontId="4" fillId="2" borderId="5" xfId="51" applyNumberFormat="1" applyFont="1" applyFill="1" applyBorder="1" applyAlignment="1">
      <alignment horizontal="left" vertical="center"/>
    </xf>
    <xf numFmtId="177" fontId="4" fillId="2" borderId="6" xfId="51" applyNumberFormat="1" applyFont="1" applyFill="1" applyBorder="1" applyAlignment="1">
      <alignment horizontal="left" vertical="center"/>
    </xf>
    <xf numFmtId="0" fontId="2" fillId="2" borderId="7" xfId="51" applyFont="1" applyFill="1" applyBorder="1" applyAlignment="1">
      <alignment horizontal="center" vertical="center" textRotation="255"/>
    </xf>
    <xf numFmtId="0" fontId="2" fillId="2" borderId="1" xfId="51" applyFont="1" applyFill="1" applyBorder="1" applyAlignment="1">
      <alignment horizontal="center"/>
    </xf>
    <xf numFmtId="178" fontId="5" fillId="2" borderId="1" xfId="51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/>
    </xf>
    <xf numFmtId="0" fontId="5" fillId="2" borderId="1" xfId="53" applyFont="1" applyFill="1" applyBorder="1" applyAlignment="1">
      <alignment horizontal="center" vertical="center"/>
    </xf>
    <xf numFmtId="0" fontId="2" fillId="2" borderId="1" xfId="51" applyFont="1" applyFill="1" applyBorder="1" applyAlignment="1">
      <alignment horizontal="center" vertical="center"/>
    </xf>
    <xf numFmtId="180" fontId="2" fillId="2" borderId="1" xfId="51" applyNumberFormat="1" applyFont="1" applyFill="1" applyBorder="1" applyAlignment="1">
      <alignment horizontal="center" vertical="center"/>
    </xf>
    <xf numFmtId="0" fontId="7" fillId="2" borderId="1" xfId="51" applyFont="1" applyFill="1" applyBorder="1" applyAlignment="1">
      <alignment vertical="center"/>
    </xf>
    <xf numFmtId="178" fontId="2" fillId="2" borderId="1" xfId="51" applyNumberFormat="1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/>
    </xf>
    <xf numFmtId="179" fontId="8" fillId="2" borderId="1" xfId="0" applyNumberFormat="1" applyFont="1" applyFill="1" applyBorder="1" applyAlignment="1">
      <alignment horizontal="center" vertical="center"/>
    </xf>
    <xf numFmtId="0" fontId="2" fillId="2" borderId="1" xfId="53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vertical="center"/>
    </xf>
    <xf numFmtId="178" fontId="7" fillId="2" borderId="1" xfId="51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 applyAlignment="1">
      <alignment horizontal="center" vertical="center"/>
    </xf>
    <xf numFmtId="179" fontId="10" fillId="2" borderId="1" xfId="0" applyNumberFormat="1" applyFont="1" applyFill="1" applyBorder="1" applyAlignment="1">
      <alignment horizontal="center" vertical="center"/>
    </xf>
    <xf numFmtId="0" fontId="7" fillId="2" borderId="1" xfId="53" applyFont="1" applyFill="1" applyBorder="1" applyAlignment="1">
      <alignment horizontal="center" vertical="center"/>
    </xf>
    <xf numFmtId="180" fontId="7" fillId="2" borderId="1" xfId="51" applyNumberFormat="1" applyFont="1" applyFill="1" applyBorder="1" applyAlignment="1">
      <alignment horizontal="center" vertical="center"/>
    </xf>
    <xf numFmtId="178" fontId="11" fillId="2" borderId="1" xfId="51" applyNumberFormat="1" applyFont="1" applyFill="1" applyBorder="1" applyAlignment="1">
      <alignment horizontal="center" vertical="center"/>
    </xf>
    <xf numFmtId="179" fontId="11" fillId="2" borderId="1" xfId="0" applyNumberFormat="1" applyFont="1" applyFill="1" applyBorder="1" applyAlignment="1">
      <alignment horizontal="center" vertical="center"/>
    </xf>
    <xf numFmtId="179" fontId="12" fillId="2" borderId="1" xfId="0" applyNumberFormat="1" applyFont="1" applyFill="1" applyBorder="1" applyAlignment="1">
      <alignment horizontal="center" vertical="center"/>
    </xf>
    <xf numFmtId="0" fontId="11" fillId="2" borderId="1" xfId="53" applyFont="1" applyFill="1" applyBorder="1" applyAlignment="1">
      <alignment horizontal="center" vertical="center"/>
    </xf>
    <xf numFmtId="0" fontId="11" fillId="2" borderId="1" xfId="51" applyFont="1" applyFill="1" applyBorder="1" applyAlignment="1">
      <alignment horizontal="center" vertical="center"/>
    </xf>
    <xf numFmtId="180" fontId="11" fillId="2" borderId="1" xfId="51" applyNumberFormat="1" applyFont="1" applyFill="1" applyBorder="1" applyAlignment="1">
      <alignment horizontal="center" vertical="center"/>
    </xf>
    <xf numFmtId="0" fontId="11" fillId="2" borderId="1" xfId="51" applyFont="1" applyFill="1" applyBorder="1" applyAlignment="1">
      <alignment vertical="center"/>
    </xf>
    <xf numFmtId="0" fontId="13" fillId="0" borderId="3" xfId="51" applyFont="1" applyBorder="1" applyAlignment="1">
      <alignment horizontal="center"/>
    </xf>
    <xf numFmtId="0" fontId="13" fillId="0" borderId="8" xfId="51" applyFont="1" applyFill="1" applyBorder="1" applyAlignment="1">
      <alignment horizontal="center"/>
    </xf>
    <xf numFmtId="0" fontId="13" fillId="0" borderId="8" xfId="51" applyFont="1" applyBorder="1" applyAlignment="1">
      <alignment horizontal="center"/>
    </xf>
    <xf numFmtId="0" fontId="13" fillId="0" borderId="7" xfId="51" applyFont="1" applyBorder="1" applyAlignment="1">
      <alignment horizontal="center"/>
    </xf>
    <xf numFmtId="0" fontId="7" fillId="2" borderId="1" xfId="51" applyFont="1" applyFill="1" applyBorder="1" applyAlignment="1">
      <alignment horizontal="center" vertical="center" textRotation="255"/>
    </xf>
    <xf numFmtId="177" fontId="3" fillId="2" borderId="1" xfId="51" applyNumberFormat="1" applyFont="1" applyFill="1" applyBorder="1" applyAlignment="1">
      <alignment horizontal="left" vertical="center"/>
    </xf>
    <xf numFmtId="0" fontId="7" fillId="2" borderId="1" xfId="51" applyFont="1" applyFill="1" applyBorder="1" applyAlignment="1">
      <alignment horizontal="center"/>
    </xf>
    <xf numFmtId="0" fontId="7" fillId="2" borderId="1" xfId="51" applyFont="1" applyFill="1" applyBorder="1" applyAlignment="1">
      <alignment horizontal="center" vertical="center"/>
    </xf>
    <xf numFmtId="177" fontId="7" fillId="2" borderId="1" xfId="51" applyNumberFormat="1" applyFont="1" applyFill="1" applyBorder="1" applyAlignment="1">
      <alignment horizontal="center" vertical="center"/>
    </xf>
    <xf numFmtId="0" fontId="4" fillId="2" borderId="1" xfId="51" applyFont="1" applyFill="1" applyBorder="1" applyAlignment="1">
      <alignment horizontal="center"/>
    </xf>
    <xf numFmtId="177" fontId="4" fillId="2" borderId="1" xfId="51" applyNumberFormat="1" applyFont="1" applyFill="1" applyBorder="1" applyAlignment="1">
      <alignment horizontal="center" vertical="center"/>
    </xf>
    <xf numFmtId="0" fontId="4" fillId="2" borderId="1" xfId="51" applyFont="1" applyFill="1" applyBorder="1" applyAlignment="1">
      <alignment horizontal="center" vertical="center"/>
    </xf>
    <xf numFmtId="177" fontId="4" fillId="2" borderId="2" xfId="51" applyNumberFormat="1" applyFont="1" applyFill="1" applyBorder="1" applyAlignment="1">
      <alignment horizontal="center" vertical="center"/>
    </xf>
    <xf numFmtId="0" fontId="4" fillId="2" borderId="2" xfId="51" applyFont="1" applyFill="1" applyBorder="1" applyAlignment="1">
      <alignment horizontal="center" vertical="center"/>
    </xf>
    <xf numFmtId="0" fontId="2" fillId="2" borderId="1" xfId="51" applyFont="1" applyFill="1" applyBorder="1" applyAlignment="1">
      <alignment vertical="center"/>
    </xf>
    <xf numFmtId="0" fontId="5" fillId="2" borderId="1" xfId="51" applyFont="1" applyFill="1" applyBorder="1" applyAlignment="1">
      <alignment vertical="center"/>
    </xf>
    <xf numFmtId="178" fontId="14" fillId="2" borderId="1" xfId="51" applyNumberFormat="1" applyFont="1" applyFill="1" applyBorder="1" applyAlignment="1">
      <alignment horizontal="center" vertical="center"/>
    </xf>
    <xf numFmtId="179" fontId="14" fillId="2" borderId="1" xfId="0" applyNumberFormat="1" applyFont="1" applyFill="1" applyBorder="1" applyAlignment="1">
      <alignment horizontal="center" vertical="center"/>
    </xf>
    <xf numFmtId="179" fontId="15" fillId="2" borderId="1" xfId="0" applyNumberFormat="1" applyFont="1" applyFill="1" applyBorder="1" applyAlignment="1">
      <alignment horizontal="center" vertical="center"/>
    </xf>
    <xf numFmtId="0" fontId="14" fillId="2" borderId="1" xfId="53" applyFont="1" applyFill="1" applyBorder="1" applyAlignment="1">
      <alignment horizontal="center" vertical="center"/>
    </xf>
    <xf numFmtId="0" fontId="14" fillId="2" borderId="1" xfId="51" applyFont="1" applyFill="1" applyBorder="1" applyAlignment="1">
      <alignment horizontal="center" vertical="center"/>
    </xf>
    <xf numFmtId="180" fontId="14" fillId="2" borderId="1" xfId="51" applyNumberFormat="1" applyFont="1" applyFill="1" applyBorder="1" applyAlignment="1">
      <alignment horizontal="center" vertical="center"/>
    </xf>
    <xf numFmtId="177" fontId="2" fillId="2" borderId="1" xfId="51" applyNumberFormat="1" applyFont="1" applyFill="1" applyBorder="1" applyAlignment="1">
      <alignment horizontal="center" vertical="center"/>
    </xf>
    <xf numFmtId="177" fontId="11" fillId="2" borderId="1" xfId="51" applyNumberFormat="1" applyFont="1" applyFill="1" applyBorder="1" applyAlignment="1">
      <alignment horizontal="center" vertical="center"/>
    </xf>
    <xf numFmtId="179" fontId="2" fillId="2" borderId="9" xfId="0" applyNumberFormat="1" applyFont="1" applyFill="1" applyBorder="1" applyAlignment="1">
      <alignment horizontal="center" vertical="center"/>
    </xf>
    <xf numFmtId="0" fontId="2" fillId="2" borderId="9" xfId="53" applyFont="1" applyFill="1" applyBorder="1" applyAlignment="1">
      <alignment horizontal="center" vertical="center"/>
    </xf>
    <xf numFmtId="0" fontId="2" fillId="2" borderId="9" xfId="51" applyFont="1" applyFill="1" applyBorder="1" applyAlignment="1">
      <alignment horizontal="center" vertical="center"/>
    </xf>
    <xf numFmtId="177" fontId="2" fillId="2" borderId="9" xfId="51" applyNumberFormat="1" applyFont="1" applyFill="1" applyBorder="1" applyAlignment="1">
      <alignment horizontal="center" vertical="center"/>
    </xf>
    <xf numFmtId="0" fontId="14" fillId="2" borderId="1" xfId="51" applyFont="1" applyFill="1" applyBorder="1" applyAlignment="1">
      <alignment vertical="center"/>
    </xf>
    <xf numFmtId="0" fontId="16" fillId="0" borderId="10" xfId="51" applyFont="1" applyBorder="1" applyAlignment="1">
      <alignment horizontal="center"/>
    </xf>
    <xf numFmtId="0" fontId="16" fillId="0" borderId="0" xfId="51" applyFont="1" applyFill="1" applyAlignment="1">
      <alignment horizontal="center"/>
    </xf>
    <xf numFmtId="0" fontId="16" fillId="0" borderId="0" xfId="51" applyFont="1" applyAlignment="1">
      <alignment horizontal="center"/>
    </xf>
    <xf numFmtId="0" fontId="5" fillId="2" borderId="9" xfId="51" applyFont="1" applyFill="1" applyBorder="1" applyAlignment="1">
      <alignment horizontal="center" vertical="center" textRotation="255"/>
    </xf>
    <xf numFmtId="0" fontId="5" fillId="2" borderId="1" xfId="51" applyFont="1" applyFill="1" applyBorder="1" applyAlignment="1">
      <alignment horizontal="center" vertical="center" textRotation="255"/>
    </xf>
    <xf numFmtId="0" fontId="17" fillId="2" borderId="1" xfId="51" applyFont="1" applyFill="1" applyBorder="1" applyAlignment="1">
      <alignment horizontal="center"/>
    </xf>
    <xf numFmtId="177" fontId="17" fillId="2" borderId="1" xfId="51" applyNumberFormat="1" applyFont="1" applyFill="1" applyBorder="1" applyAlignment="1">
      <alignment horizontal="center" vertical="center"/>
    </xf>
    <xf numFmtId="0" fontId="18" fillId="2" borderId="1" xfId="51" applyFont="1" applyFill="1" applyBorder="1" applyAlignment="1">
      <alignment horizontal="center"/>
    </xf>
    <xf numFmtId="178" fontId="2" fillId="2" borderId="3" xfId="51" applyNumberFormat="1" applyFont="1" applyFill="1" applyBorder="1" applyAlignment="1">
      <alignment horizontal="center" vertical="center"/>
    </xf>
    <xf numFmtId="178" fontId="2" fillId="2" borderId="8" xfId="51" applyNumberFormat="1" applyFont="1" applyFill="1" applyBorder="1" applyAlignment="1">
      <alignment horizontal="center" vertical="center"/>
    </xf>
    <xf numFmtId="178" fontId="2" fillId="2" borderId="7" xfId="51" applyNumberFormat="1" applyFont="1" applyFill="1" applyBorder="1" applyAlignment="1">
      <alignment horizontal="center" vertical="center"/>
    </xf>
    <xf numFmtId="181" fontId="7" fillId="2" borderId="1" xfId="51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Border="1" applyAlignment="1">
      <alignment horizontal="center" vertical="center"/>
    </xf>
    <xf numFmtId="182" fontId="19" fillId="0" borderId="0" xfId="0" applyNumberFormat="1" applyFont="1" applyBorder="1" applyAlignment="1">
      <alignment horizontal="center" vertical="center"/>
    </xf>
    <xf numFmtId="0" fontId="19" fillId="0" borderId="0" xfId="0" applyFont="1" applyBorder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 applyBorder="1">
      <alignment vertical="center"/>
    </xf>
    <xf numFmtId="0" fontId="23" fillId="0" borderId="0" xfId="0" applyFont="1" applyBorder="1">
      <alignment vertical="center"/>
    </xf>
    <xf numFmtId="178" fontId="22" fillId="0" borderId="0" xfId="0" applyNumberFormat="1" applyFont="1" applyBorder="1" applyAlignment="1">
      <alignment horizontal="center" vertical="center"/>
    </xf>
    <xf numFmtId="179" fontId="22" fillId="0" borderId="0" xfId="0" applyNumberFormat="1" applyFont="1" applyBorder="1" applyAlignment="1">
      <alignment horizontal="center" vertical="center"/>
    </xf>
    <xf numFmtId="58" fontId="22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2" fontId="22" fillId="0" borderId="0" xfId="0" applyNumberFormat="1" applyFont="1" applyBorder="1" applyAlignment="1">
      <alignment horizontal="center" vertical="center"/>
    </xf>
    <xf numFmtId="0" fontId="20" fillId="0" borderId="0" xfId="0" applyFont="1" applyBorder="1">
      <alignment vertical="center"/>
    </xf>
    <xf numFmtId="0" fontId="22" fillId="0" borderId="0" xfId="0" applyFont="1" applyBorder="1" applyAlignment="1">
      <alignment horizontal="left" vertical="center"/>
    </xf>
    <xf numFmtId="178" fontId="23" fillId="0" borderId="0" xfId="0" applyNumberFormat="1" applyFont="1" applyBorder="1" applyAlignment="1">
      <alignment horizontal="center" vertical="center"/>
    </xf>
    <xf numFmtId="179" fontId="23" fillId="0" borderId="0" xfId="0" applyNumberFormat="1" applyFont="1" applyBorder="1" applyAlignment="1">
      <alignment horizontal="center" vertical="center"/>
    </xf>
    <xf numFmtId="58" fontId="23" fillId="0" borderId="0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82" fontId="23" fillId="0" borderId="0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left" vertical="center"/>
    </xf>
    <xf numFmtId="0" fontId="0" fillId="0" borderId="0" xfId="0" applyFont="1" applyBorder="1">
      <alignment vertical="center"/>
    </xf>
    <xf numFmtId="58" fontId="19" fillId="0" borderId="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179" fontId="23" fillId="0" borderId="0" xfId="0" applyNumberFormat="1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58" fontId="0" fillId="0" borderId="0" xfId="0" applyNumberFormat="1" applyFont="1" applyAlignment="1">
      <alignment horizontal="left" vertical="center"/>
    </xf>
    <xf numFmtId="179" fontId="22" fillId="0" borderId="0" xfId="0" applyNumberFormat="1" applyFont="1" applyAlignment="1">
      <alignment horizontal="center" vertical="center"/>
    </xf>
    <xf numFmtId="58" fontId="24" fillId="0" borderId="0" xfId="0" applyNumberFormat="1" applyFont="1" applyAlignment="1">
      <alignment horizontal="left" vertical="center"/>
    </xf>
    <xf numFmtId="58" fontId="20" fillId="0" borderId="0" xfId="0" applyNumberFormat="1" applyFont="1" applyAlignment="1">
      <alignment horizontal="left" vertical="center"/>
    </xf>
    <xf numFmtId="0" fontId="25" fillId="0" borderId="0" xfId="0" applyFont="1" applyFill="1" applyAlignment="1">
      <alignment vertical="center"/>
    </xf>
    <xf numFmtId="58" fontId="23" fillId="0" borderId="0" xfId="0" applyNumberFormat="1" applyFont="1" applyBorder="1" applyAlignment="1">
      <alignment vertical="center"/>
    </xf>
    <xf numFmtId="0" fontId="12" fillId="0" borderId="0" xfId="0" applyFont="1">
      <alignment vertical="center"/>
    </xf>
    <xf numFmtId="58" fontId="22" fillId="0" borderId="0" xfId="0" applyNumberFormat="1" applyFont="1" applyBorder="1" applyAlignment="1">
      <alignment vertical="center"/>
    </xf>
    <xf numFmtId="0" fontId="10" fillId="0" borderId="0" xfId="0" applyFont="1">
      <alignment vertical="center"/>
    </xf>
    <xf numFmtId="0" fontId="12" fillId="0" borderId="0" xfId="0" applyFont="1" applyBorder="1">
      <alignment vertical="center"/>
    </xf>
    <xf numFmtId="58" fontId="23" fillId="0" borderId="0" xfId="0" applyNumberFormat="1" applyFont="1" applyBorder="1" applyAlignment="1">
      <alignment horizontal="left" vertical="center"/>
    </xf>
    <xf numFmtId="58" fontId="26" fillId="0" borderId="0" xfId="0" applyNumberFormat="1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>
      <alignment vertical="center"/>
    </xf>
    <xf numFmtId="178" fontId="19" fillId="0" borderId="0" xfId="0" applyNumberFormat="1" applyFont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27" fillId="0" borderId="0" xfId="0" applyFont="1">
      <alignment vertical="center"/>
    </xf>
    <xf numFmtId="58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8" fillId="0" borderId="0" xfId="0" applyFont="1">
      <alignment vertical="center"/>
    </xf>
    <xf numFmtId="182" fontId="4" fillId="0" borderId="0" xfId="0" applyNumberFormat="1" applyFont="1" applyBorder="1" applyAlignment="1">
      <alignment horizontal="center" vertical="center"/>
    </xf>
    <xf numFmtId="182" fontId="23" fillId="0" borderId="0" xfId="0" applyNumberFormat="1" applyFont="1" applyAlignment="1">
      <alignment horizontal="center" vertical="center"/>
    </xf>
    <xf numFmtId="0" fontId="10" fillId="0" borderId="0" xfId="0" applyFont="1" applyBorder="1">
      <alignment vertical="center"/>
    </xf>
    <xf numFmtId="0" fontId="0" fillId="0" borderId="0" xfId="0" applyFont="1" applyAlignment="1">
      <alignment vertical="center"/>
    </xf>
    <xf numFmtId="0" fontId="23" fillId="0" borderId="0" xfId="0" applyFont="1" applyBorder="1" applyAlignment="1">
      <alignment vertical="center"/>
    </xf>
    <xf numFmtId="179" fontId="19" fillId="0" borderId="0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58" fontId="29" fillId="0" borderId="0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58" fontId="29" fillId="0" borderId="0" xfId="0" applyNumberFormat="1" applyFont="1" applyBorder="1" applyAlignment="1">
      <alignment vertical="center"/>
    </xf>
    <xf numFmtId="0" fontId="30" fillId="0" borderId="1" xfId="0" applyFont="1" applyBorder="1">
      <alignment vertical="center"/>
    </xf>
    <xf numFmtId="0" fontId="31" fillId="0" borderId="0" xfId="0" applyFont="1" applyBorder="1">
      <alignment vertical="center"/>
    </xf>
    <xf numFmtId="0" fontId="23" fillId="0" borderId="3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3" fillId="0" borderId="3" xfId="0" applyFont="1" applyFill="1" applyBorder="1" applyAlignment="1">
      <alignment vertical="center" wrapText="1"/>
    </xf>
    <xf numFmtId="0" fontId="23" fillId="0" borderId="8" xfId="0" applyFont="1" applyFill="1" applyBorder="1" applyAlignment="1">
      <alignment vertical="center"/>
    </xf>
    <xf numFmtId="0" fontId="23" fillId="0" borderId="7" xfId="0" applyFont="1" applyFill="1" applyBorder="1" applyAlignment="1">
      <alignment vertical="center"/>
    </xf>
    <xf numFmtId="0" fontId="23" fillId="0" borderId="1" xfId="0" applyFont="1" applyFill="1" applyBorder="1" applyAlignment="1">
      <alignment horizontal="center" vertical="center"/>
    </xf>
    <xf numFmtId="0" fontId="22" fillId="0" borderId="0" xfId="0" applyFont="1" applyAlignment="1"/>
    <xf numFmtId="0" fontId="19" fillId="0" borderId="0" xfId="0" applyFont="1" applyAlignment="1">
      <alignment horizontal="center" vertical="center" wrapText="1"/>
    </xf>
    <xf numFmtId="178" fontId="31" fillId="0" borderId="0" xfId="0" applyNumberFormat="1" applyFont="1" applyBorder="1" applyAlignment="1">
      <alignment horizontal="center" vertical="center"/>
    </xf>
    <xf numFmtId="179" fontId="31" fillId="0" borderId="0" xfId="0" applyNumberFormat="1" applyFont="1" applyAlignment="1">
      <alignment horizontal="center" vertical="center"/>
    </xf>
    <xf numFmtId="58" fontId="31" fillId="0" borderId="0" xfId="0" applyNumberFormat="1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2" fontId="31" fillId="0" borderId="0" xfId="0" applyNumberFormat="1" applyFont="1" applyBorder="1" applyAlignment="1">
      <alignment horizontal="center" vertical="center"/>
    </xf>
    <xf numFmtId="0" fontId="32" fillId="0" borderId="0" xfId="0" applyFont="1">
      <alignment vertical="center"/>
    </xf>
    <xf numFmtId="0" fontId="31" fillId="0" borderId="0" xfId="0" applyFont="1" applyBorder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5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58" fontId="23" fillId="0" borderId="0" xfId="0" applyNumberFormat="1" applyFont="1" applyAlignment="1">
      <alignment horizontal="left" vertical="center"/>
    </xf>
    <xf numFmtId="58" fontId="22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182" fontId="29" fillId="0" borderId="0" xfId="0" applyNumberFormat="1" applyFont="1" applyBorder="1" applyAlignment="1">
      <alignment horizontal="center" vertical="center"/>
    </xf>
    <xf numFmtId="58" fontId="27" fillId="0" borderId="0" xfId="0" applyNumberFormat="1" applyFont="1" applyAlignment="1">
      <alignment horizontal="left" vertical="center"/>
    </xf>
    <xf numFmtId="58" fontId="36" fillId="0" borderId="0" xfId="0" applyNumberFormat="1" applyFont="1" applyFill="1" applyAlignment="1">
      <alignment horizontal="left" vertical="center"/>
    </xf>
    <xf numFmtId="58" fontId="36" fillId="0" borderId="0" xfId="0" applyNumberFormat="1" applyFont="1" applyFill="1" applyAlignment="1">
      <alignment vertical="center"/>
    </xf>
    <xf numFmtId="58" fontId="36" fillId="0" borderId="0" xfId="0" applyNumberFormat="1" applyFont="1" applyFill="1" applyAlignment="1">
      <alignment vertical="center" wrapText="1"/>
    </xf>
    <xf numFmtId="0" fontId="36" fillId="0" borderId="0" xfId="0" applyFont="1" applyFill="1" applyAlignment="1">
      <alignment horizontal="center" vertical="center"/>
    </xf>
    <xf numFmtId="0" fontId="36" fillId="0" borderId="0" xfId="0" applyFont="1" applyFill="1" applyAlignment="1">
      <alignment vertical="center"/>
    </xf>
    <xf numFmtId="58" fontId="22" fillId="0" borderId="0" xfId="0" applyNumberFormat="1" applyFont="1" applyAlignment="1">
      <alignment vertical="center"/>
    </xf>
    <xf numFmtId="182" fontId="2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58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23" fillId="0" borderId="1" xfId="0" applyNumberFormat="1" applyFont="1" applyFill="1" applyBorder="1" applyAlignment="1">
      <alignment vertical="center"/>
    </xf>
    <xf numFmtId="0" fontId="23" fillId="0" borderId="1" xfId="0" applyNumberFormat="1" applyFont="1" applyFill="1" applyBorder="1" applyAlignment="1">
      <alignment horizontal="center" vertical="center"/>
    </xf>
    <xf numFmtId="58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182" fontId="22" fillId="0" borderId="1" xfId="0" applyNumberFormat="1" applyFont="1" applyBorder="1" applyAlignment="1">
      <alignment horizontal="center" vertical="center"/>
    </xf>
    <xf numFmtId="182" fontId="23" fillId="0" borderId="1" xfId="0" applyNumberFormat="1" applyFont="1" applyBorder="1" applyAlignment="1">
      <alignment horizontal="center" vertical="center"/>
    </xf>
    <xf numFmtId="58" fontId="39" fillId="0" borderId="1" xfId="0" applyNumberFormat="1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58" fontId="39" fillId="0" borderId="1" xfId="0" applyNumberFormat="1" applyFont="1" applyFill="1" applyBorder="1" applyAlignment="1">
      <alignment horizontal="left" vertical="center"/>
    </xf>
    <xf numFmtId="58" fontId="23" fillId="0" borderId="1" xfId="0" applyNumberFormat="1" applyFont="1" applyBorder="1" applyAlignment="1">
      <alignment horizontal="center" vertical="center"/>
    </xf>
    <xf numFmtId="58" fontId="10" fillId="0" borderId="1" xfId="0" applyNumberFormat="1" applyFont="1" applyFill="1" applyBorder="1" applyAlignment="1">
      <alignment horizontal="left" vertical="center"/>
    </xf>
    <xf numFmtId="58" fontId="40" fillId="0" borderId="1" xfId="0" applyNumberFormat="1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183" fontId="23" fillId="0" borderId="1" xfId="0" applyNumberFormat="1" applyFont="1" applyBorder="1" applyAlignment="1">
      <alignment horizontal="center" vertical="center"/>
    </xf>
    <xf numFmtId="184" fontId="23" fillId="0" borderId="1" xfId="0" applyNumberFormat="1" applyFont="1" applyFill="1" applyBorder="1" applyAlignment="1">
      <alignment horizontal="left" vertical="center"/>
    </xf>
    <xf numFmtId="185" fontId="23" fillId="0" borderId="1" xfId="0" applyNumberFormat="1" applyFont="1" applyFill="1" applyBorder="1" applyAlignment="1">
      <alignment horizontal="left" vertical="center"/>
    </xf>
    <xf numFmtId="5" fontId="23" fillId="0" borderId="1" xfId="0" applyNumberFormat="1" applyFont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 textRotation="255"/>
    </xf>
    <xf numFmtId="0" fontId="30" fillId="0" borderId="1" xfId="0" applyFont="1" applyFill="1" applyBorder="1" applyAlignment="1">
      <alignment horizontal="left" vertical="center" wrapText="1" readingOrder="1"/>
    </xf>
    <xf numFmtId="0" fontId="30" fillId="0" borderId="0" xfId="0" applyFont="1" applyFill="1" applyBorder="1" applyAlignment="1">
      <alignment horizontal="left" vertical="center"/>
    </xf>
    <xf numFmtId="58" fontId="41" fillId="0" borderId="0" xfId="0" applyNumberFormat="1" applyFont="1" applyFill="1" applyAlignment="1">
      <alignment vertical="center"/>
    </xf>
    <xf numFmtId="0" fontId="0" fillId="0" borderId="0" xfId="0" applyFont="1" applyAlignment="1">
      <alignment horizontal="left" vertical="center"/>
    </xf>
    <xf numFmtId="0" fontId="40" fillId="0" borderId="0" xfId="0" applyFont="1" applyFill="1" applyBorder="1" applyAlignment="1">
      <alignment horizontal="center" vertical="center"/>
    </xf>
    <xf numFmtId="0" fontId="40" fillId="0" borderId="0" xfId="0" applyFont="1" applyBorder="1" applyAlignment="1">
      <alignment horizontal="left" vertical="center"/>
    </xf>
    <xf numFmtId="0" fontId="4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7" fontId="40" fillId="0" borderId="0" xfId="0" applyNumberFormat="1" applyFont="1" applyFill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40" fillId="0" borderId="0" xfId="0" applyFont="1" applyAlignment="1">
      <alignment horizontal="center" vertical="center"/>
    </xf>
    <xf numFmtId="177" fontId="40" fillId="0" borderId="0" xfId="0" applyNumberFormat="1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43" fillId="0" borderId="0" xfId="0" applyFont="1" applyBorder="1" applyAlignment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12 2" xfId="49"/>
    <cellStyle name="适中 2 4 2" xfId="50"/>
    <cellStyle name="常规 10" xfId="51"/>
    <cellStyle name="差 2" xfId="52"/>
    <cellStyle name="常规 8" xfId="53"/>
    <cellStyle name="常规 33" xfId="54"/>
    <cellStyle name="常规 38 5" xfId="55"/>
    <cellStyle name="好_2020前期总表" xfId="56"/>
    <cellStyle name="货币 4 3" xfId="57"/>
  </cellStyles>
  <tableStyles count="1" defaultTableStyle="TableStyleMedium9" defaultPivotStyle="PivotStyleLight16">
    <tableStyle name="表样式 1" pivot="0" count="0" xr9:uid="{1E8AAA24-0AD3-47A6-9783-813828E13AF4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R37"/>
  <sheetViews>
    <sheetView topLeftCell="A2" workbookViewId="0">
      <selection activeCell="N15" sqref="N15"/>
    </sheetView>
  </sheetViews>
  <sheetFormatPr defaultColWidth="9" defaultRowHeight="14.25"/>
  <cols>
    <col min="1" max="1" width="3.50833333333333" style="185" customWidth="1"/>
    <col min="2" max="2" width="2.25833333333333" style="185" customWidth="1"/>
    <col min="3" max="3" width="13.125" style="185" customWidth="1"/>
    <col min="4" max="4" width="29.875" style="185" customWidth="1"/>
    <col min="5" max="5" width="11.7583333333333" style="185" customWidth="1"/>
    <col min="6" max="6" width="12.0083333333333" style="185" customWidth="1"/>
    <col min="7" max="7" width="12.875" style="185" customWidth="1"/>
    <col min="8" max="8" width="11.625" style="185" customWidth="1"/>
    <col min="9" max="9" width="18.5083333333333" style="185" customWidth="1"/>
    <col min="10" max="10" width="17.875" style="185" customWidth="1"/>
    <col min="11" max="12" width="9" style="186"/>
  </cols>
  <sheetData>
    <row r="1" s="2" customFormat="1" ht="34" customHeight="1" spans="1:1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</row>
    <row r="2" s="184" customFormat="1" ht="34" customHeight="1" spans="1:1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9" t="s">
        <v>2</v>
      </c>
      <c r="M2" s="184" t="s">
        <v>3</v>
      </c>
    </row>
    <row r="3" s="108" customFormat="1" ht="26" customHeight="1" spans="1:13">
      <c r="A3" s="190" t="s">
        <v>4</v>
      </c>
      <c r="B3" s="190"/>
      <c r="C3" s="190"/>
      <c r="D3" s="191" t="s">
        <v>5</v>
      </c>
      <c r="E3" s="191" t="s">
        <v>6</v>
      </c>
      <c r="F3" s="191" t="s">
        <v>7</v>
      </c>
      <c r="G3" s="191" t="s">
        <v>8</v>
      </c>
      <c r="H3" s="191" t="s">
        <v>9</v>
      </c>
      <c r="I3" s="191" t="s">
        <v>10</v>
      </c>
      <c r="J3" s="191" t="s">
        <v>11</v>
      </c>
    </row>
    <row r="4" s="106" customFormat="1" ht="24" customHeight="1" spans="1:13">
      <c r="A4" s="192">
        <v>46042</v>
      </c>
      <c r="B4" s="193"/>
      <c r="C4" s="193"/>
      <c r="D4" s="194" t="s">
        <v>12</v>
      </c>
      <c r="E4" s="193">
        <v>25</v>
      </c>
      <c r="F4" s="193">
        <v>1</v>
      </c>
      <c r="G4" s="147">
        <f>E4*F4</f>
        <v>25</v>
      </c>
      <c r="H4" s="195">
        <v>30</v>
      </c>
      <c r="I4" s="196">
        <f>G4*H4</f>
        <v>750</v>
      </c>
      <c r="J4" s="197"/>
      <c r="K4" s="198"/>
      <c r="L4" s="105"/>
    </row>
    <row r="5" s="106" customFormat="1" ht="24" customHeight="1" spans="1:13">
      <c r="A5" s="192">
        <v>46037</v>
      </c>
      <c r="B5" s="193"/>
      <c r="C5" s="193"/>
      <c r="D5" s="194" t="s">
        <v>13</v>
      </c>
      <c r="E5" s="193">
        <v>-1</v>
      </c>
      <c r="F5" s="193">
        <v>20</v>
      </c>
      <c r="G5" s="147">
        <f>E5*F5</f>
        <v>-20</v>
      </c>
      <c r="H5" s="195">
        <v>9</v>
      </c>
      <c r="I5" s="196">
        <f>G5*H5</f>
        <v>-180</v>
      </c>
      <c r="J5" s="199"/>
      <c r="K5" s="198"/>
      <c r="L5" s="105"/>
    </row>
    <row r="6" s="86" customFormat="1" ht="24" customHeight="1" spans="1:13">
      <c r="A6" s="200"/>
      <c r="B6" s="147"/>
      <c r="C6" s="147"/>
      <c r="D6" s="148"/>
      <c r="E6" s="147"/>
      <c r="F6" s="147"/>
      <c r="G6" s="147"/>
      <c r="H6" s="147"/>
      <c r="I6" s="196"/>
      <c r="J6" s="201"/>
      <c r="K6" s="198"/>
      <c r="L6" s="198"/>
    </row>
    <row r="7" s="86" customFormat="1" ht="24" customHeight="1" spans="1:13">
      <c r="A7" s="192"/>
      <c r="B7" s="193"/>
      <c r="C7" s="193"/>
      <c r="D7" s="194"/>
      <c r="E7" s="193"/>
      <c r="F7" s="193"/>
      <c r="G7" s="193"/>
      <c r="H7" s="195"/>
      <c r="I7" s="195"/>
      <c r="J7" s="199"/>
      <c r="K7" s="198"/>
      <c r="L7" s="198"/>
    </row>
    <row r="8" s="86" customFormat="1" ht="24" customHeight="1" spans="1:13">
      <c r="A8" s="200"/>
      <c r="B8" s="147"/>
      <c r="C8" s="147"/>
      <c r="D8" s="148"/>
      <c r="E8" s="147"/>
      <c r="F8" s="147"/>
      <c r="G8" s="147"/>
      <c r="H8" s="147"/>
      <c r="I8" s="196"/>
      <c r="J8" s="199"/>
      <c r="K8" s="198"/>
      <c r="L8" s="198"/>
    </row>
    <row r="9" customFormat="1" ht="24" customHeight="1" spans="1:13">
      <c r="A9" s="192"/>
      <c r="B9" s="193"/>
      <c r="C9" s="193"/>
      <c r="D9" s="194"/>
      <c r="E9" s="193"/>
      <c r="F9" s="193"/>
      <c r="G9" s="193"/>
      <c r="H9" s="193"/>
      <c r="I9" s="195"/>
      <c r="J9" s="202"/>
    </row>
    <row r="10" customFormat="1" ht="24" customHeight="1" spans="1:13">
      <c r="A10" s="192"/>
      <c r="B10" s="193"/>
      <c r="C10" s="193"/>
      <c r="D10" s="194"/>
      <c r="E10" s="193"/>
      <c r="F10" s="193"/>
      <c r="G10" s="193"/>
      <c r="H10" s="193"/>
      <c r="I10" s="195"/>
      <c r="J10" s="202"/>
    </row>
    <row r="11" customFormat="1" ht="24" customHeight="1" spans="1:13">
      <c r="A11" s="192"/>
      <c r="B11" s="193"/>
      <c r="C11" s="193"/>
      <c r="D11" s="194"/>
      <c r="E11" s="193"/>
      <c r="F11" s="193"/>
      <c r="G11" s="193"/>
      <c r="H11" s="195"/>
      <c r="I11" s="195"/>
      <c r="J11" s="202"/>
    </row>
    <row r="12" customFormat="1" ht="24" customHeight="1" spans="1:13">
      <c r="A12" s="192"/>
      <c r="B12" s="193"/>
      <c r="C12" s="193"/>
      <c r="D12" s="194"/>
      <c r="E12" s="193"/>
      <c r="F12" s="193"/>
      <c r="G12" s="193"/>
      <c r="H12" s="195"/>
      <c r="I12" s="195"/>
      <c r="J12" s="190"/>
    </row>
    <row r="13" customFormat="1" ht="24" customHeight="1" spans="1:13">
      <c r="A13" s="192"/>
      <c r="B13" s="193"/>
      <c r="C13" s="193"/>
      <c r="D13" s="194"/>
      <c r="E13" s="193"/>
      <c r="F13" s="193"/>
      <c r="G13" s="193"/>
      <c r="H13" s="195"/>
      <c r="I13" s="195"/>
      <c r="J13" s="190"/>
    </row>
    <row r="14" customFormat="1" ht="24" customHeight="1" spans="1:13">
      <c r="A14" s="191" t="s">
        <v>14</v>
      </c>
      <c r="B14" s="191"/>
      <c r="C14" s="191"/>
      <c r="D14" s="203"/>
      <c r="E14" s="204"/>
      <c r="F14" s="147"/>
      <c r="G14" s="204"/>
      <c r="H14" s="196"/>
      <c r="I14" s="196"/>
      <c r="J14" s="190"/>
    </row>
    <row r="15" customFormat="1" ht="24" customHeight="1" spans="1:13">
      <c r="A15" s="205" t="s">
        <v>15</v>
      </c>
      <c r="B15" s="205"/>
      <c r="C15" s="205"/>
      <c r="D15" s="206">
        <f>I15</f>
        <v>570</v>
      </c>
      <c r="E15" s="206"/>
      <c r="F15" s="206"/>
      <c r="G15" s="206"/>
      <c r="H15" s="206"/>
      <c r="I15" s="207">
        <f>SUM(I4:I14)</f>
        <v>570</v>
      </c>
      <c r="J15" s="190"/>
    </row>
    <row r="16" customFormat="1" ht="20" customHeight="1" spans="1:13">
      <c r="A16" s="208" t="s">
        <v>16</v>
      </c>
      <c r="B16" s="209" t="s">
        <v>17</v>
      </c>
      <c r="C16" s="209"/>
      <c r="D16" s="209"/>
      <c r="E16" s="209"/>
      <c r="F16" s="209"/>
      <c r="G16" s="209"/>
      <c r="H16" s="209"/>
      <c r="I16" s="209"/>
      <c r="J16" s="209"/>
    </row>
    <row r="17" customFormat="1" ht="20" customHeight="1" spans="1:18">
      <c r="A17" s="208"/>
      <c r="B17" s="209" t="s">
        <v>18</v>
      </c>
      <c r="C17" s="209"/>
      <c r="D17" s="209"/>
      <c r="E17" s="209"/>
      <c r="F17" s="209"/>
      <c r="G17" s="209"/>
      <c r="H17" s="209"/>
      <c r="I17" s="209"/>
      <c r="J17" s="209"/>
    </row>
    <row r="18" customFormat="1" ht="20" customHeight="1" spans="1:18">
      <c r="A18" s="208"/>
      <c r="B18" s="209"/>
      <c r="C18" s="209" t="s">
        <v>19</v>
      </c>
      <c r="D18" s="209"/>
      <c r="E18" s="209"/>
      <c r="F18" s="209"/>
      <c r="G18" s="209"/>
      <c r="H18" s="209"/>
      <c r="I18" s="209"/>
      <c r="J18" s="209"/>
    </row>
    <row r="19" customFormat="1" ht="20" customHeight="1" spans="1:18">
      <c r="A19" s="208"/>
      <c r="B19" s="209" t="s">
        <v>20</v>
      </c>
      <c r="C19" s="209"/>
      <c r="D19" s="209"/>
      <c r="E19" s="209"/>
      <c r="F19" s="209"/>
      <c r="G19" s="209"/>
      <c r="H19" s="209"/>
      <c r="I19" s="209"/>
      <c r="J19" s="209"/>
    </row>
    <row r="20" customFormat="1" ht="20" customHeight="1" spans="1:18">
      <c r="A20" s="210" t="s">
        <v>21</v>
      </c>
      <c r="B20" s="210"/>
      <c r="C20" s="210"/>
      <c r="D20" s="210"/>
      <c r="E20" s="210"/>
      <c r="F20" s="210"/>
      <c r="G20" s="210"/>
      <c r="H20" s="210"/>
      <c r="I20" s="210"/>
      <c r="J20" s="210"/>
    </row>
    <row r="21" customFormat="1" ht="20" customHeight="1" spans="1:18">
      <c r="A21" s="210" t="s">
        <v>22</v>
      </c>
      <c r="B21" s="210"/>
      <c r="C21" s="210"/>
      <c r="D21" s="210"/>
      <c r="E21" s="210"/>
      <c r="F21" s="210"/>
      <c r="G21" s="210"/>
      <c r="H21" s="210"/>
      <c r="I21" s="210"/>
      <c r="J21" s="210"/>
    </row>
    <row r="22" ht="23.25" customHeight="1" spans="1:18">
      <c r="A22" s="211"/>
      <c r="B22" s="212"/>
      <c r="C22" s="213"/>
      <c r="D22" s="214"/>
      <c r="E22" s="215"/>
      <c r="F22" s="216"/>
      <c r="G22" s="216"/>
      <c r="H22" s="215"/>
      <c r="I22" s="217"/>
      <c r="J22" s="214"/>
      <c r="K22" s="215"/>
      <c r="L22" s="215"/>
      <c r="R22" t="s">
        <v>23</v>
      </c>
    </row>
    <row r="23" ht="19" customHeight="1" spans="1:18">
      <c r="A23" s="211"/>
      <c r="B23" s="212"/>
      <c r="C23" s="213"/>
      <c r="D23" s="214"/>
      <c r="E23" s="215"/>
      <c r="F23" s="216"/>
      <c r="G23" s="216"/>
      <c r="H23" s="215"/>
      <c r="I23" s="217"/>
      <c r="J23" s="214"/>
      <c r="K23" s="218"/>
      <c r="L23" s="215"/>
    </row>
    <row r="24" s="185" customFormat="1" ht="20" customHeight="1" spans="1:18">
      <c r="A24" s="219"/>
      <c r="B24" s="220"/>
      <c r="C24" s="220"/>
      <c r="D24" s="220"/>
      <c r="E24" s="220"/>
      <c r="F24" s="220"/>
      <c r="G24" s="220"/>
      <c r="H24" s="220"/>
      <c r="I24" s="220"/>
      <c r="J24" s="214"/>
      <c r="K24" s="221"/>
      <c r="L24" s="214"/>
      <c r="P24"/>
    </row>
    <row r="25" spans="1:18">
      <c r="A25" s="222"/>
      <c r="B25" s="219"/>
      <c r="C25" s="219"/>
      <c r="D25" s="219"/>
      <c r="E25" s="219"/>
      <c r="F25" s="219"/>
      <c r="G25" s="219"/>
      <c r="H25" s="219"/>
      <c r="I25" s="219"/>
      <c r="J25" s="219"/>
      <c r="K25" s="223"/>
      <c r="L25" s="224"/>
    </row>
    <row r="26" spans="1:18">
      <c r="A26" s="222"/>
      <c r="B26" s="219"/>
      <c r="C26" s="219"/>
      <c r="D26" s="219"/>
      <c r="E26" s="219"/>
      <c r="F26" s="219"/>
      <c r="G26" s="219"/>
      <c r="H26" s="219"/>
      <c r="I26" s="219"/>
      <c r="J26" s="219"/>
      <c r="K26" s="223"/>
      <c r="L26" s="224"/>
    </row>
    <row r="27" spans="1:18">
      <c r="A27" s="222"/>
      <c r="B27" s="219"/>
      <c r="C27" s="219"/>
      <c r="D27" s="219"/>
      <c r="E27" s="219"/>
      <c r="F27" s="219"/>
      <c r="G27" s="219"/>
      <c r="H27" s="219"/>
      <c r="I27" s="219"/>
      <c r="J27" s="219"/>
      <c r="K27" s="223"/>
      <c r="L27" s="224"/>
    </row>
    <row r="28" spans="1:18">
      <c r="A28" s="222"/>
      <c r="B28" s="219"/>
      <c r="C28" s="219"/>
      <c r="D28" s="219"/>
      <c r="E28" s="219"/>
      <c r="F28" s="219"/>
      <c r="G28" s="219"/>
      <c r="H28" s="219"/>
      <c r="I28" s="219"/>
      <c r="J28" s="219"/>
      <c r="K28" s="223"/>
      <c r="L28" s="224"/>
    </row>
    <row r="29" spans="1:18">
      <c r="A29" s="222"/>
      <c r="B29" s="219"/>
      <c r="C29" s="219"/>
      <c r="D29" s="219"/>
      <c r="E29" s="219"/>
      <c r="F29" s="219"/>
      <c r="G29" s="219"/>
      <c r="H29" s="219"/>
      <c r="I29" s="219"/>
      <c r="J29" s="219"/>
      <c r="K29" s="223"/>
      <c r="L29" s="224"/>
    </row>
    <row r="30" spans="1:18">
      <c r="A30" s="222"/>
      <c r="B30" s="219"/>
      <c r="C30" s="219"/>
      <c r="D30" s="219"/>
      <c r="E30" s="219"/>
      <c r="F30" s="219"/>
      <c r="G30" s="219"/>
      <c r="H30" s="219"/>
      <c r="I30" s="219"/>
      <c r="J30" s="219"/>
      <c r="K30" s="223"/>
      <c r="L30" s="224"/>
    </row>
    <row r="31" spans="1:18">
      <c r="A31" s="222"/>
      <c r="B31" s="219"/>
      <c r="C31" s="219"/>
      <c r="D31" s="219"/>
      <c r="E31" s="219"/>
      <c r="F31" s="219"/>
      <c r="G31" s="219"/>
      <c r="H31" s="219"/>
      <c r="I31" s="219"/>
      <c r="J31" s="219"/>
      <c r="K31" s="223"/>
      <c r="L31" s="224"/>
    </row>
    <row r="32" spans="1:18">
      <c r="A32" s="222"/>
      <c r="B32" s="219"/>
      <c r="C32" s="219"/>
      <c r="D32" s="219"/>
      <c r="E32" s="219"/>
      <c r="F32" s="219"/>
      <c r="G32" s="219"/>
      <c r="H32" s="219"/>
      <c r="I32" s="219"/>
      <c r="J32" s="219"/>
      <c r="K32" s="223"/>
      <c r="L32" s="224"/>
    </row>
    <row r="33" spans="12:12">
      <c r="L33" s="224"/>
    </row>
    <row r="34" spans="12:12">
      <c r="L34" s="224"/>
    </row>
    <row r="35" spans="12:12">
      <c r="L35" s="224"/>
    </row>
    <row r="36" spans="12:12">
      <c r="L36" s="224"/>
    </row>
    <row r="37" spans="12:12">
      <c r="L37" s="224"/>
    </row>
  </sheetData>
  <mergeCells count="25">
    <mergeCell ref="A1:J1"/>
    <mergeCell ref="A2:J2"/>
    <mergeCell ref="K2:L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D15:H15"/>
    <mergeCell ref="B16:J16"/>
    <mergeCell ref="B17:J17"/>
    <mergeCell ref="C18:J18"/>
    <mergeCell ref="B19:J19"/>
    <mergeCell ref="A20:J20"/>
    <mergeCell ref="A21:J21"/>
    <mergeCell ref="B24:I24"/>
    <mergeCell ref="A16:A19"/>
  </mergeCells>
  <printOptions horizontalCentered="1"/>
  <pageMargins left="0.393055555555556" right="0.196527777777778" top="0.196527777777778" bottom="0.393055555555556" header="0.196527777777778" footer="0.393055555555556"/>
  <pageSetup paperSize="9" scale="69" orientation="portrait" horizontalDpi="600" verticalDpi="18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73"/>
  <sheetViews>
    <sheetView topLeftCell="C1" workbookViewId="0">
      <selection activeCell="J266" sqref="J266"/>
    </sheetView>
  </sheetViews>
  <sheetFormatPr defaultColWidth="9" defaultRowHeight="14.25"/>
  <cols>
    <col min="1" max="1" width="14.25" customWidth="1"/>
    <col min="2" max="2" width="12.625"/>
    <col min="4" max="4" width="4" customWidth="1"/>
    <col min="5" max="5" width="4.625" customWidth="1"/>
    <col min="6" max="6" width="28.375" customWidth="1"/>
    <col min="7" max="7" width="11" customWidth="1"/>
    <col min="8" max="8" width="11.125"/>
    <col min="9" max="9" width="12.25" customWidth="1"/>
    <col min="10" max="10" width="14.5" customWidth="1"/>
    <col min="11" max="11" width="16.875" customWidth="1"/>
    <col min="12" max="12" width="18.75" customWidth="1"/>
    <col min="13" max="13" width="15.375" customWidth="1"/>
  </cols>
  <sheetData>
    <row r="1" s="142" customFormat="1" ht="20.25" spans="1:14">
      <c r="A1" s="144" t="s">
        <v>24</v>
      </c>
      <c r="B1" s="145"/>
      <c r="C1" s="145"/>
      <c r="D1" s="145"/>
      <c r="E1" s="145"/>
      <c r="F1" s="146"/>
      <c r="G1" s="147"/>
      <c r="H1" s="147"/>
      <c r="I1" s="147" t="s">
        <v>25</v>
      </c>
      <c r="J1" s="147">
        <v>23167.1</v>
      </c>
      <c r="K1" s="148"/>
      <c r="L1" s="147"/>
    </row>
    <row r="2" s="142" customFormat="1" ht="20.25" spans="1:14">
      <c r="A2" s="147" t="s">
        <v>26</v>
      </c>
      <c r="B2" s="147" t="s">
        <v>27</v>
      </c>
      <c r="C2" s="149" t="s">
        <v>28</v>
      </c>
      <c r="D2" s="150"/>
      <c r="E2" s="151"/>
      <c r="F2" s="152" t="s">
        <v>6</v>
      </c>
      <c r="G2" s="152" t="s">
        <v>7</v>
      </c>
      <c r="H2" s="152" t="s">
        <v>8</v>
      </c>
      <c r="I2" s="152" t="s">
        <v>9</v>
      </c>
      <c r="J2" s="152" t="s">
        <v>10</v>
      </c>
      <c r="K2" s="152" t="s">
        <v>29</v>
      </c>
      <c r="L2" s="152" t="s">
        <v>30</v>
      </c>
    </row>
    <row r="3" s="88" customFormat="1" ht="20.25" spans="1:14">
      <c r="A3" s="90">
        <v>45163</v>
      </c>
      <c r="B3" s="111">
        <v>31</v>
      </c>
      <c r="C3" s="93" t="s">
        <v>31</v>
      </c>
      <c r="D3" s="93"/>
      <c r="E3" s="93"/>
      <c r="F3" s="106" t="s">
        <v>32</v>
      </c>
      <c r="G3" s="93">
        <v>10</v>
      </c>
      <c r="H3" s="93">
        <v>20</v>
      </c>
      <c r="I3" s="93">
        <f t="shared" ref="I3:I16" si="0">G3*H3</f>
        <v>200</v>
      </c>
      <c r="J3" s="105">
        <v>14.5</v>
      </c>
      <c r="K3" s="94">
        <f t="shared" ref="K3:K16" si="1">I3*J3</f>
        <v>2900</v>
      </c>
      <c r="L3" s="106"/>
      <c r="M3" s="96"/>
    </row>
    <row r="4" s="88" customFormat="1" ht="20.25" spans="1:14">
      <c r="A4" s="90">
        <v>45163</v>
      </c>
      <c r="B4" s="111">
        <v>31</v>
      </c>
      <c r="C4" s="93" t="s">
        <v>33</v>
      </c>
      <c r="D4" s="93"/>
      <c r="E4" s="93"/>
      <c r="F4" s="106" t="s">
        <v>34</v>
      </c>
      <c r="G4" s="93">
        <v>5</v>
      </c>
      <c r="H4" s="93">
        <v>20</v>
      </c>
      <c r="I4" s="93">
        <f t="shared" si="0"/>
        <v>100</v>
      </c>
      <c r="J4" s="105">
        <v>15</v>
      </c>
      <c r="K4" s="94">
        <f t="shared" si="1"/>
        <v>1500</v>
      </c>
      <c r="L4" s="106"/>
      <c r="M4" s="96"/>
    </row>
    <row r="5" s="89" customFormat="1" ht="20.25" spans="1:14">
      <c r="A5" s="97">
        <v>45178</v>
      </c>
      <c r="B5" s="107">
        <v>28</v>
      </c>
      <c r="C5" s="100" t="s">
        <v>31</v>
      </c>
      <c r="D5" s="100"/>
      <c r="E5" s="100"/>
      <c r="F5" s="108" t="s">
        <v>32</v>
      </c>
      <c r="G5" s="100">
        <v>10</v>
      </c>
      <c r="H5" s="100">
        <v>20</v>
      </c>
      <c r="I5" s="100">
        <f t="shared" si="0"/>
        <v>200</v>
      </c>
      <c r="J5" s="109">
        <v>14.5</v>
      </c>
      <c r="K5" s="101">
        <f t="shared" si="1"/>
        <v>2900</v>
      </c>
      <c r="L5" s="108" t="s">
        <v>35</v>
      </c>
      <c r="M5" s="127"/>
    </row>
    <row r="6" s="89" customFormat="1" ht="20.25" spans="1:14">
      <c r="A6" s="97">
        <v>45178</v>
      </c>
      <c r="B6" s="107">
        <v>28</v>
      </c>
      <c r="C6" s="100"/>
      <c r="D6" s="100"/>
      <c r="E6" s="100"/>
      <c r="F6" s="108" t="s">
        <v>34</v>
      </c>
      <c r="G6" s="100">
        <v>5</v>
      </c>
      <c r="H6" s="100">
        <v>20</v>
      </c>
      <c r="I6" s="100">
        <f t="shared" si="0"/>
        <v>100</v>
      </c>
      <c r="J6" s="109">
        <v>15</v>
      </c>
      <c r="K6" s="101">
        <f t="shared" si="1"/>
        <v>1500</v>
      </c>
      <c r="L6" s="108" t="s">
        <v>36</v>
      </c>
      <c r="M6" s="127"/>
    </row>
    <row r="7" s="88" customFormat="1" ht="20.25" spans="1:14">
      <c r="A7" s="90">
        <v>45188</v>
      </c>
      <c r="B7" s="111">
        <v>57</v>
      </c>
      <c r="C7" s="93" t="s">
        <v>31</v>
      </c>
      <c r="D7" s="93"/>
      <c r="E7" s="93"/>
      <c r="F7" s="106" t="s">
        <v>32</v>
      </c>
      <c r="G7" s="93">
        <v>12</v>
      </c>
      <c r="H7" s="93">
        <v>20</v>
      </c>
      <c r="I7" s="93">
        <f t="shared" si="0"/>
        <v>240</v>
      </c>
      <c r="J7" s="105">
        <v>1</v>
      </c>
      <c r="K7" s="94">
        <f t="shared" si="1"/>
        <v>240</v>
      </c>
      <c r="L7" s="106" t="s">
        <v>37</v>
      </c>
      <c r="M7" s="96"/>
    </row>
    <row r="8" s="88" customFormat="1" ht="20.25" spans="1:14">
      <c r="A8" s="90">
        <v>45188</v>
      </c>
      <c r="B8" s="111">
        <v>57</v>
      </c>
      <c r="C8" s="93"/>
      <c r="D8" s="93"/>
      <c r="E8" s="93"/>
      <c r="F8" s="106" t="s">
        <v>34</v>
      </c>
      <c r="G8" s="93">
        <v>6</v>
      </c>
      <c r="H8" s="93">
        <v>20</v>
      </c>
      <c r="I8" s="93">
        <f t="shared" si="0"/>
        <v>120</v>
      </c>
      <c r="J8" s="105">
        <v>1</v>
      </c>
      <c r="K8" s="94">
        <f t="shared" si="1"/>
        <v>120</v>
      </c>
      <c r="L8" s="106" t="s">
        <v>37</v>
      </c>
      <c r="M8" s="96"/>
    </row>
    <row r="9" s="89" customFormat="1" ht="20.25" spans="1:14">
      <c r="A9" s="97">
        <v>45204</v>
      </c>
      <c r="B9" s="107">
        <v>3</v>
      </c>
      <c r="C9" s="100">
        <v>45196</v>
      </c>
      <c r="D9" s="100"/>
      <c r="E9" s="100"/>
      <c r="F9" s="108" t="s">
        <v>34</v>
      </c>
      <c r="G9" s="100">
        <v>1</v>
      </c>
      <c r="H9" s="100">
        <v>20</v>
      </c>
      <c r="I9" s="100">
        <f t="shared" si="0"/>
        <v>20</v>
      </c>
      <c r="J9" s="109">
        <v>16</v>
      </c>
      <c r="K9" s="101">
        <f t="shared" si="1"/>
        <v>320</v>
      </c>
      <c r="L9" s="108" t="s">
        <v>36</v>
      </c>
      <c r="M9" s="127"/>
      <c r="N9" s="89" t="s">
        <v>38</v>
      </c>
    </row>
    <row r="10" s="89" customFormat="1" ht="20.25" spans="1:14">
      <c r="A10" s="97">
        <v>45204</v>
      </c>
      <c r="B10" s="107">
        <v>3</v>
      </c>
      <c r="C10" s="100" t="s">
        <v>31</v>
      </c>
      <c r="D10" s="100"/>
      <c r="E10" s="100"/>
      <c r="F10" s="108" t="s">
        <v>32</v>
      </c>
      <c r="G10" s="100">
        <v>10</v>
      </c>
      <c r="H10" s="100">
        <v>20</v>
      </c>
      <c r="I10" s="100">
        <f t="shared" si="0"/>
        <v>200</v>
      </c>
      <c r="J10" s="109">
        <v>15.5</v>
      </c>
      <c r="K10" s="101">
        <f t="shared" si="1"/>
        <v>3100</v>
      </c>
      <c r="L10" s="108" t="s">
        <v>35</v>
      </c>
      <c r="M10" s="127"/>
      <c r="N10" s="89" t="s">
        <v>39</v>
      </c>
    </row>
    <row r="11" s="89" customFormat="1" ht="20.25" spans="1:14">
      <c r="A11" s="97">
        <v>45204</v>
      </c>
      <c r="B11" s="107">
        <v>3</v>
      </c>
      <c r="C11" s="100"/>
      <c r="D11" s="100"/>
      <c r="E11" s="100"/>
      <c r="F11" s="108" t="s">
        <v>34</v>
      </c>
      <c r="G11" s="100">
        <v>6</v>
      </c>
      <c r="H11" s="100">
        <v>20</v>
      </c>
      <c r="I11" s="100">
        <f t="shared" si="0"/>
        <v>120</v>
      </c>
      <c r="J11" s="109">
        <v>16</v>
      </c>
      <c r="K11" s="101">
        <f t="shared" si="1"/>
        <v>1920</v>
      </c>
      <c r="L11" s="108" t="s">
        <v>36</v>
      </c>
      <c r="M11" s="127"/>
      <c r="N11" s="89" t="s">
        <v>38</v>
      </c>
    </row>
    <row r="12" s="88" customFormat="1" ht="20.25" spans="1:14">
      <c r="A12" s="90">
        <v>45212</v>
      </c>
      <c r="B12" s="111">
        <v>30</v>
      </c>
      <c r="C12" s="90">
        <v>45211</v>
      </c>
      <c r="D12" s="90"/>
      <c r="E12" s="90"/>
      <c r="F12" s="106" t="s">
        <v>32</v>
      </c>
      <c r="G12" s="93">
        <v>10</v>
      </c>
      <c r="H12" s="93">
        <v>20</v>
      </c>
      <c r="I12" s="93">
        <f t="shared" si="0"/>
        <v>200</v>
      </c>
      <c r="J12" s="105">
        <v>15.5</v>
      </c>
      <c r="K12" s="94">
        <f t="shared" si="1"/>
        <v>3100</v>
      </c>
      <c r="L12" s="106" t="s">
        <v>35</v>
      </c>
      <c r="M12" s="96"/>
      <c r="N12" s="88" t="s">
        <v>39</v>
      </c>
    </row>
    <row r="13" s="88" customFormat="1" ht="20.25" spans="1:14">
      <c r="A13" s="90">
        <v>45212</v>
      </c>
      <c r="B13" s="111">
        <v>30</v>
      </c>
      <c r="C13" s="90">
        <v>45211</v>
      </c>
      <c r="D13" s="90"/>
      <c r="E13" s="90"/>
      <c r="F13" s="106" t="s">
        <v>34</v>
      </c>
      <c r="G13" s="93">
        <v>6</v>
      </c>
      <c r="H13" s="93">
        <v>20</v>
      </c>
      <c r="I13" s="93">
        <f t="shared" si="0"/>
        <v>120</v>
      </c>
      <c r="J13" s="105">
        <v>16</v>
      </c>
      <c r="K13" s="94">
        <f t="shared" si="1"/>
        <v>1920</v>
      </c>
      <c r="L13" s="106" t="s">
        <v>36</v>
      </c>
      <c r="M13" s="96"/>
      <c r="N13" s="88" t="s">
        <v>38</v>
      </c>
    </row>
    <row r="14" s="89" customFormat="1" ht="20.25" spans="1:14">
      <c r="A14" s="97">
        <v>45223</v>
      </c>
      <c r="B14" s="107">
        <v>66</v>
      </c>
      <c r="C14" s="97">
        <v>45221</v>
      </c>
      <c r="D14" s="97"/>
      <c r="E14" s="97"/>
      <c r="F14" s="108" t="s">
        <v>32</v>
      </c>
      <c r="G14" s="100">
        <v>10</v>
      </c>
      <c r="H14" s="100">
        <v>20</v>
      </c>
      <c r="I14" s="100">
        <f t="shared" si="0"/>
        <v>200</v>
      </c>
      <c r="J14" s="109">
        <v>15.5</v>
      </c>
      <c r="K14" s="101">
        <f t="shared" si="1"/>
        <v>3100</v>
      </c>
      <c r="L14" s="108" t="s">
        <v>35</v>
      </c>
      <c r="M14" s="127"/>
      <c r="N14" s="89" t="s">
        <v>39</v>
      </c>
    </row>
    <row r="15" s="89" customFormat="1" ht="20.25" spans="1:14">
      <c r="A15" s="97">
        <v>45223</v>
      </c>
      <c r="B15" s="107">
        <v>66</v>
      </c>
      <c r="C15" s="97">
        <v>45221</v>
      </c>
      <c r="D15" s="97"/>
      <c r="E15" s="97"/>
      <c r="F15" s="108" t="s">
        <v>34</v>
      </c>
      <c r="G15" s="100">
        <v>6</v>
      </c>
      <c r="H15" s="100">
        <v>20</v>
      </c>
      <c r="I15" s="100">
        <f t="shared" si="0"/>
        <v>120</v>
      </c>
      <c r="J15" s="109">
        <v>16</v>
      </c>
      <c r="K15" s="101">
        <f t="shared" si="1"/>
        <v>1920</v>
      </c>
      <c r="L15" s="108" t="s">
        <v>36</v>
      </c>
      <c r="M15" s="127"/>
      <c r="N15" s="89" t="s">
        <v>38</v>
      </c>
    </row>
    <row r="16" s="88" customFormat="1" ht="20.25" spans="1:14">
      <c r="A16" s="90">
        <v>45227</v>
      </c>
      <c r="B16" s="111">
        <v>71</v>
      </c>
      <c r="C16" s="90">
        <v>45226</v>
      </c>
      <c r="D16" s="90"/>
      <c r="E16" s="90"/>
      <c r="F16" s="106" t="s">
        <v>34</v>
      </c>
      <c r="G16" s="93">
        <v>11</v>
      </c>
      <c r="H16" s="93">
        <v>20</v>
      </c>
      <c r="I16" s="93">
        <f t="shared" si="0"/>
        <v>220</v>
      </c>
      <c r="J16" s="105">
        <v>15</v>
      </c>
      <c r="K16" s="94">
        <f t="shared" si="1"/>
        <v>3300</v>
      </c>
      <c r="L16" s="106" t="s">
        <v>40</v>
      </c>
      <c r="M16" s="96"/>
      <c r="N16" s="88" t="s">
        <v>38</v>
      </c>
    </row>
    <row r="17" s="88" customFormat="1" ht="26" customHeight="1" spans="1:16">
      <c r="A17" s="90"/>
      <c r="B17" s="111"/>
      <c r="C17" s="90"/>
      <c r="D17" s="90"/>
      <c r="E17" s="90"/>
      <c r="F17" s="153"/>
      <c r="G17" s="93"/>
      <c r="H17" s="93"/>
      <c r="I17" s="93"/>
      <c r="J17" s="105"/>
      <c r="K17" s="94"/>
      <c r="L17" s="106"/>
      <c r="M17" s="96"/>
    </row>
    <row r="18" s="89" customFormat="1" ht="16" customHeight="1" spans="1:16">
      <c r="A18" s="97"/>
      <c r="B18" s="126"/>
      <c r="C18" s="104"/>
      <c r="D18" s="83"/>
      <c r="E18" s="83"/>
      <c r="F18" s="82"/>
      <c r="G18" s="83"/>
      <c r="H18" s="100"/>
      <c r="I18" s="100"/>
      <c r="J18" s="109"/>
      <c r="K18" s="101"/>
      <c r="L18" s="108"/>
      <c r="M18" s="127"/>
    </row>
    <row r="19" s="89" customFormat="1" ht="20.25" spans="1:16">
      <c r="A19" s="97">
        <v>45355</v>
      </c>
      <c r="B19" s="107">
        <v>8</v>
      </c>
      <c r="C19" s="99">
        <v>45355</v>
      </c>
      <c r="D19" s="100"/>
      <c r="E19" s="100"/>
      <c r="F19" s="108" t="s">
        <v>41</v>
      </c>
      <c r="G19" s="100">
        <v>1</v>
      </c>
      <c r="H19" s="100">
        <v>31</v>
      </c>
      <c r="I19" s="100">
        <f t="shared" ref="I19:I22" si="2">G19*H19</f>
        <v>31</v>
      </c>
      <c r="J19" s="109">
        <v>15</v>
      </c>
      <c r="K19" s="101">
        <f t="shared" ref="K19:K22" si="3">I19*J19</f>
        <v>465</v>
      </c>
      <c r="L19" s="108" t="s">
        <v>35</v>
      </c>
      <c r="M19" s="154"/>
      <c r="N19" s="154"/>
    </row>
    <row r="20" s="89" customFormat="1" ht="20.25" spans="1:16">
      <c r="A20" s="97">
        <v>45355</v>
      </c>
      <c r="B20" s="107">
        <v>8</v>
      </c>
      <c r="C20" s="99">
        <v>45355</v>
      </c>
      <c r="D20" s="100"/>
      <c r="E20" s="100"/>
      <c r="F20" s="108" t="s">
        <v>41</v>
      </c>
      <c r="G20" s="100">
        <v>1</v>
      </c>
      <c r="H20" s="100">
        <v>19</v>
      </c>
      <c r="I20" s="100">
        <f t="shared" si="2"/>
        <v>19</v>
      </c>
      <c r="J20" s="109"/>
      <c r="K20" s="101"/>
      <c r="L20" s="108" t="s">
        <v>42</v>
      </c>
      <c r="M20" s="154"/>
      <c r="N20" s="154"/>
    </row>
    <row r="21" s="88" customFormat="1" ht="20.25" spans="1:16">
      <c r="A21" s="90">
        <v>45363</v>
      </c>
      <c r="B21" s="111">
        <v>38</v>
      </c>
      <c r="C21" s="100">
        <v>3681</v>
      </c>
      <c r="D21" s="100"/>
      <c r="E21" s="100"/>
      <c r="F21" s="106" t="s">
        <v>43</v>
      </c>
      <c r="G21" s="93">
        <v>1</v>
      </c>
      <c r="H21" s="93">
        <v>25</v>
      </c>
      <c r="I21" s="93">
        <f t="shared" si="2"/>
        <v>25</v>
      </c>
      <c r="J21" s="105">
        <v>14.5</v>
      </c>
      <c r="K21" s="94">
        <f t="shared" si="3"/>
        <v>362.5</v>
      </c>
      <c r="L21" s="86" t="s">
        <v>35</v>
      </c>
      <c r="M21" s="96"/>
    </row>
    <row r="22" s="88" customFormat="1" ht="20.25" spans="1:16">
      <c r="A22" s="90">
        <v>45363</v>
      </c>
      <c r="B22" s="111">
        <v>38</v>
      </c>
      <c r="C22" s="93" t="s">
        <v>44</v>
      </c>
      <c r="D22" s="93"/>
      <c r="E22" s="93"/>
      <c r="F22" s="106" t="s">
        <v>45</v>
      </c>
      <c r="G22" s="93">
        <v>1</v>
      </c>
      <c r="H22" s="93">
        <v>25</v>
      </c>
      <c r="I22" s="93">
        <f t="shared" si="2"/>
        <v>25</v>
      </c>
      <c r="J22" s="105">
        <v>14.5</v>
      </c>
      <c r="K22" s="94">
        <f t="shared" si="3"/>
        <v>362.5</v>
      </c>
      <c r="L22" s="87" t="s">
        <v>46</v>
      </c>
      <c r="M22" s="96"/>
    </row>
    <row r="23" s="88" customFormat="1" ht="20.25" spans="1:16">
      <c r="A23" s="90">
        <v>45363</v>
      </c>
      <c r="B23" s="111">
        <v>38</v>
      </c>
      <c r="C23" s="90">
        <v>45363</v>
      </c>
      <c r="D23" s="90"/>
      <c r="E23" s="90"/>
      <c r="F23" s="106" t="s">
        <v>47</v>
      </c>
      <c r="G23" s="93">
        <v>5</v>
      </c>
      <c r="H23" s="93">
        <v>25</v>
      </c>
      <c r="I23" s="93">
        <f t="shared" ref="I23:I34" si="4">G23*H23</f>
        <v>125</v>
      </c>
      <c r="J23" s="105">
        <v>7.6</v>
      </c>
      <c r="K23" s="94">
        <f t="shared" ref="K23:K34" si="5">I23*J23</f>
        <v>950</v>
      </c>
      <c r="L23" s="86" t="s">
        <v>48</v>
      </c>
      <c r="M23" s="96"/>
    </row>
    <row r="24" s="88" customFormat="1" ht="20.25" spans="1:16">
      <c r="A24" s="90">
        <v>45363</v>
      </c>
      <c r="B24" s="111">
        <v>38</v>
      </c>
      <c r="C24" s="90">
        <v>45363</v>
      </c>
      <c r="D24" s="90"/>
      <c r="E24" s="90"/>
      <c r="F24" s="106" t="s">
        <v>49</v>
      </c>
      <c r="G24" s="93">
        <v>1</v>
      </c>
      <c r="H24" s="93">
        <v>20</v>
      </c>
      <c r="I24" s="93">
        <f t="shared" si="4"/>
        <v>20</v>
      </c>
      <c r="J24" s="105">
        <v>13</v>
      </c>
      <c r="K24" s="94">
        <f t="shared" si="5"/>
        <v>260</v>
      </c>
      <c r="L24" s="86" t="s">
        <v>50</v>
      </c>
      <c r="M24" s="96">
        <f>SUM(K21:K24)</f>
        <v>1935</v>
      </c>
    </row>
    <row r="25" s="89" customFormat="1" ht="20.25" spans="1:16">
      <c r="A25" s="97">
        <v>45366</v>
      </c>
      <c r="B25" s="107">
        <v>44</v>
      </c>
      <c r="C25" s="99">
        <v>45365</v>
      </c>
      <c r="D25" s="100"/>
      <c r="E25" s="100"/>
      <c r="F25" s="108" t="s">
        <v>32</v>
      </c>
      <c r="G25" s="100">
        <v>10</v>
      </c>
      <c r="H25" s="100">
        <v>20</v>
      </c>
      <c r="I25" s="100">
        <f t="shared" si="4"/>
        <v>200</v>
      </c>
      <c r="J25" s="109">
        <v>14.5</v>
      </c>
      <c r="K25" s="101">
        <f t="shared" si="5"/>
        <v>2900</v>
      </c>
      <c r="L25" s="108" t="s">
        <v>35</v>
      </c>
      <c r="M25" s="127"/>
    </row>
    <row r="26" s="89" customFormat="1" ht="20.25" spans="1:16">
      <c r="A26" s="97">
        <v>45366</v>
      </c>
      <c r="B26" s="107">
        <v>44</v>
      </c>
      <c r="C26" s="99">
        <v>45365</v>
      </c>
      <c r="D26" s="100"/>
      <c r="E26" s="100"/>
      <c r="F26" s="108" t="s">
        <v>34</v>
      </c>
      <c r="G26" s="100">
        <v>6</v>
      </c>
      <c r="H26" s="100">
        <v>20</v>
      </c>
      <c r="I26" s="100">
        <f t="shared" si="4"/>
        <v>120</v>
      </c>
      <c r="J26" s="109">
        <v>15</v>
      </c>
      <c r="K26" s="101">
        <f t="shared" si="5"/>
        <v>1800</v>
      </c>
      <c r="L26" s="108" t="s">
        <v>36</v>
      </c>
      <c r="M26" s="127"/>
    </row>
    <row r="27" s="89" customFormat="1" ht="20.25" spans="1:16">
      <c r="A27" s="97">
        <v>45366</v>
      </c>
      <c r="B27" s="107">
        <v>44</v>
      </c>
      <c r="C27" s="99">
        <v>45363</v>
      </c>
      <c r="D27" s="100"/>
      <c r="E27" s="100"/>
      <c r="F27" s="108" t="s">
        <v>51</v>
      </c>
      <c r="G27" s="100">
        <v>1</v>
      </c>
      <c r="H27" s="100">
        <v>25</v>
      </c>
      <c r="I27" s="100">
        <f t="shared" si="4"/>
        <v>25</v>
      </c>
      <c r="J27" s="109">
        <v>12</v>
      </c>
      <c r="K27" s="101">
        <f t="shared" si="5"/>
        <v>300</v>
      </c>
      <c r="L27" s="108"/>
      <c r="M27" s="127">
        <f>SUM(K25:K27)</f>
        <v>5000</v>
      </c>
    </row>
    <row r="28" s="88" customFormat="1" ht="20.25" spans="1:16">
      <c r="A28" s="90">
        <v>45376</v>
      </c>
      <c r="B28" s="111">
        <v>66</v>
      </c>
      <c r="C28" s="92">
        <v>45367</v>
      </c>
      <c r="D28" s="93"/>
      <c r="E28" s="93"/>
      <c r="F28" s="106" t="s">
        <v>52</v>
      </c>
      <c r="G28" s="93">
        <v>2</v>
      </c>
      <c r="H28" s="93">
        <v>20</v>
      </c>
      <c r="I28" s="93">
        <f t="shared" si="4"/>
        <v>40</v>
      </c>
      <c r="J28" s="105">
        <v>13</v>
      </c>
      <c r="K28" s="94">
        <f t="shared" si="5"/>
        <v>520</v>
      </c>
      <c r="L28" s="128" t="s">
        <v>53</v>
      </c>
      <c r="M28" s="96"/>
      <c r="P28" s="88" t="s">
        <v>54</v>
      </c>
    </row>
    <row r="29" s="88" customFormat="1" ht="20.25" spans="1:16">
      <c r="A29" s="90">
        <v>45376</v>
      </c>
      <c r="B29" s="111">
        <v>66</v>
      </c>
      <c r="C29" s="93" t="s">
        <v>44</v>
      </c>
      <c r="D29" s="93"/>
      <c r="E29" s="93"/>
      <c r="F29" s="106" t="s">
        <v>55</v>
      </c>
      <c r="G29" s="93">
        <v>1</v>
      </c>
      <c r="H29" s="93">
        <v>25</v>
      </c>
      <c r="I29" s="93">
        <f t="shared" si="4"/>
        <v>25</v>
      </c>
      <c r="J29" s="105"/>
      <c r="K29" s="94">
        <f t="shared" si="5"/>
        <v>0</v>
      </c>
      <c r="L29" s="87" t="s">
        <v>56</v>
      </c>
      <c r="M29" s="96"/>
    </row>
    <row r="30" s="88" customFormat="1" ht="20.25" spans="1:16">
      <c r="A30" s="90">
        <v>45376</v>
      </c>
      <c r="B30" s="111">
        <v>66</v>
      </c>
      <c r="C30" s="93" t="s">
        <v>44</v>
      </c>
      <c r="D30" s="93"/>
      <c r="E30" s="93"/>
      <c r="F30" s="106" t="s">
        <v>55</v>
      </c>
      <c r="G30" s="93">
        <v>1</v>
      </c>
      <c r="H30" s="93">
        <v>25</v>
      </c>
      <c r="I30" s="93">
        <f t="shared" si="4"/>
        <v>25</v>
      </c>
      <c r="J30" s="105">
        <v>14.5</v>
      </c>
      <c r="K30" s="94">
        <f t="shared" si="5"/>
        <v>362.5</v>
      </c>
      <c r="L30" s="86" t="s">
        <v>57</v>
      </c>
      <c r="M30" s="96"/>
    </row>
    <row r="31" s="88" customFormat="1" ht="20.25" spans="1:16">
      <c r="A31" s="90">
        <v>45376</v>
      </c>
      <c r="B31" s="111">
        <v>66</v>
      </c>
      <c r="C31" s="93" t="s">
        <v>58</v>
      </c>
      <c r="D31" s="93"/>
      <c r="E31" s="93"/>
      <c r="F31" s="106" t="s">
        <v>59</v>
      </c>
      <c r="G31" s="93">
        <v>6</v>
      </c>
      <c r="H31" s="93">
        <v>25</v>
      </c>
      <c r="I31" s="93">
        <f t="shared" si="4"/>
        <v>150</v>
      </c>
      <c r="J31" s="105">
        <v>14.5</v>
      </c>
      <c r="K31" s="94">
        <f t="shared" si="5"/>
        <v>2175</v>
      </c>
      <c r="L31" s="86" t="s">
        <v>60</v>
      </c>
      <c r="M31" s="96"/>
    </row>
    <row r="32" s="88" customFormat="1" ht="20.25" spans="1:16">
      <c r="A32" s="90">
        <v>45376</v>
      </c>
      <c r="B32" s="111">
        <v>66</v>
      </c>
      <c r="C32" s="93">
        <v>3681</v>
      </c>
      <c r="D32" s="93"/>
      <c r="E32" s="93"/>
      <c r="F32" s="106" t="s">
        <v>59</v>
      </c>
      <c r="G32" s="93">
        <v>1</v>
      </c>
      <c r="H32" s="93">
        <v>25</v>
      </c>
      <c r="I32" s="93">
        <f t="shared" si="4"/>
        <v>25</v>
      </c>
      <c r="J32" s="105">
        <v>14.5</v>
      </c>
      <c r="K32" s="94">
        <f t="shared" si="5"/>
        <v>362.5</v>
      </c>
      <c r="L32" s="86" t="s">
        <v>35</v>
      </c>
      <c r="M32" s="96"/>
    </row>
    <row r="33" s="88" customFormat="1" ht="20.25" spans="1:17">
      <c r="A33" s="90">
        <v>45376</v>
      </c>
      <c r="B33" s="111">
        <v>66</v>
      </c>
      <c r="C33" s="100"/>
      <c r="D33" s="100"/>
      <c r="E33" s="100"/>
      <c r="F33" s="106" t="s">
        <v>61</v>
      </c>
      <c r="G33" s="93">
        <v>1</v>
      </c>
      <c r="H33" s="93">
        <v>25</v>
      </c>
      <c r="I33" s="93">
        <f t="shared" si="4"/>
        <v>25</v>
      </c>
      <c r="J33" s="105">
        <v>14.5</v>
      </c>
      <c r="K33" s="94">
        <f t="shared" si="5"/>
        <v>362.5</v>
      </c>
      <c r="L33" s="86" t="s">
        <v>35</v>
      </c>
      <c r="M33" s="96"/>
    </row>
    <row r="34" s="88" customFormat="1" ht="20.25" spans="1:17">
      <c r="A34" s="90">
        <v>45376</v>
      </c>
      <c r="B34" s="111">
        <v>66</v>
      </c>
      <c r="C34" s="90">
        <v>45376</v>
      </c>
      <c r="D34" s="90"/>
      <c r="E34" s="90"/>
      <c r="F34" s="106" t="s">
        <v>49</v>
      </c>
      <c r="G34" s="93">
        <v>3</v>
      </c>
      <c r="H34" s="93">
        <v>20</v>
      </c>
      <c r="I34" s="93">
        <f t="shared" si="4"/>
        <v>60</v>
      </c>
      <c r="J34" s="105">
        <v>13</v>
      </c>
      <c r="K34" s="94">
        <f t="shared" si="5"/>
        <v>780</v>
      </c>
      <c r="L34" s="86" t="s">
        <v>50</v>
      </c>
      <c r="M34" s="96">
        <f>SUM(K28:K34)</f>
        <v>4562.5</v>
      </c>
    </row>
    <row r="35" s="143" customFormat="1" ht="20.25" spans="1:17">
      <c r="A35" s="155">
        <v>45381</v>
      </c>
      <c r="B35" s="156">
        <v>76</v>
      </c>
      <c r="C35" s="157">
        <v>45377</v>
      </c>
      <c r="D35" s="158"/>
      <c r="E35" s="158"/>
      <c r="F35" s="159" t="s">
        <v>61</v>
      </c>
      <c r="G35" s="158">
        <v>6</v>
      </c>
      <c r="H35" s="158">
        <v>25</v>
      </c>
      <c r="I35" s="158">
        <f t="shared" ref="I35:I58" si="6">G35*H35</f>
        <v>150</v>
      </c>
      <c r="J35" s="160">
        <v>14.5</v>
      </c>
      <c r="K35" s="161">
        <f t="shared" ref="K35:K40" si="7">I35*J35</f>
        <v>2175</v>
      </c>
      <c r="L35" s="162" t="s">
        <v>35</v>
      </c>
      <c r="M35" s="163"/>
    </row>
    <row r="36" s="143" customFormat="1" ht="20.25" spans="1:17">
      <c r="A36" s="155">
        <v>45381</v>
      </c>
      <c r="B36" s="156">
        <v>76</v>
      </c>
      <c r="C36" s="158" t="s">
        <v>44</v>
      </c>
      <c r="D36" s="158"/>
      <c r="E36" s="158"/>
      <c r="F36" s="159" t="s">
        <v>55</v>
      </c>
      <c r="G36" s="158">
        <v>6</v>
      </c>
      <c r="H36" s="158">
        <v>25</v>
      </c>
      <c r="I36" s="158">
        <f t="shared" si="6"/>
        <v>150</v>
      </c>
      <c r="J36" s="160">
        <v>14.5</v>
      </c>
      <c r="K36" s="161">
        <f t="shared" si="7"/>
        <v>2175</v>
      </c>
      <c r="L36" s="162" t="s">
        <v>57</v>
      </c>
      <c r="M36" s="163"/>
    </row>
    <row r="37" s="143" customFormat="1" ht="20.25" spans="1:17">
      <c r="A37" s="155">
        <v>45381</v>
      </c>
      <c r="B37" s="156">
        <v>76</v>
      </c>
      <c r="C37" s="155">
        <v>45381</v>
      </c>
      <c r="D37" s="155"/>
      <c r="E37" s="155"/>
      <c r="F37" s="159" t="s">
        <v>49</v>
      </c>
      <c r="G37" s="158">
        <v>3</v>
      </c>
      <c r="H37" s="158">
        <v>20</v>
      </c>
      <c r="I37" s="158">
        <f t="shared" si="6"/>
        <v>60</v>
      </c>
      <c r="J37" s="160">
        <v>13</v>
      </c>
      <c r="K37" s="161">
        <f t="shared" si="7"/>
        <v>780</v>
      </c>
      <c r="L37" s="162" t="s">
        <v>50</v>
      </c>
      <c r="M37" s="163">
        <f>SUM(K35:K37)</f>
        <v>5130</v>
      </c>
    </row>
    <row r="38" s="89" customFormat="1" ht="20.25" spans="1:17">
      <c r="A38" s="97">
        <v>45383</v>
      </c>
      <c r="B38" s="107">
        <v>3</v>
      </c>
      <c r="C38" s="100"/>
      <c r="D38" s="100"/>
      <c r="E38" s="100"/>
      <c r="F38" s="108" t="s">
        <v>62</v>
      </c>
      <c r="G38" s="100">
        <v>1</v>
      </c>
      <c r="H38" s="100">
        <v>18</v>
      </c>
      <c r="I38" s="100">
        <f t="shared" si="6"/>
        <v>18</v>
      </c>
      <c r="J38" s="109">
        <v>19</v>
      </c>
      <c r="K38" s="101">
        <f t="shared" ref="K38:K58" si="8">I38*J38</f>
        <v>342</v>
      </c>
      <c r="L38" s="1" t="s">
        <v>35</v>
      </c>
      <c r="M38" s="102"/>
      <c r="Q38" s="164" t="s">
        <v>63</v>
      </c>
    </row>
    <row r="39" s="89" customFormat="1" ht="20.25" spans="1:17">
      <c r="A39" s="97">
        <v>45383</v>
      </c>
      <c r="B39" s="107">
        <v>3</v>
      </c>
      <c r="C39" s="97" t="s">
        <v>64</v>
      </c>
      <c r="D39" s="97"/>
      <c r="E39" s="97"/>
      <c r="F39" s="108" t="s">
        <v>49</v>
      </c>
      <c r="G39" s="100">
        <v>3</v>
      </c>
      <c r="H39" s="100">
        <v>20</v>
      </c>
      <c r="I39" s="100">
        <f t="shared" si="6"/>
        <v>60</v>
      </c>
      <c r="J39" s="109">
        <v>13</v>
      </c>
      <c r="K39" s="101">
        <f t="shared" si="8"/>
        <v>780</v>
      </c>
      <c r="L39" s="1" t="s">
        <v>65</v>
      </c>
      <c r="M39" s="102"/>
      <c r="Q39" s="164" t="s">
        <v>66</v>
      </c>
    </row>
    <row r="40" s="89" customFormat="1" ht="20.25" spans="1:17">
      <c r="A40" s="97">
        <v>45383</v>
      </c>
      <c r="B40" s="107">
        <v>3</v>
      </c>
      <c r="C40" s="97"/>
      <c r="D40" s="97"/>
      <c r="E40" s="97"/>
      <c r="F40" s="108" t="s">
        <v>67</v>
      </c>
      <c r="G40" s="100">
        <v>1</v>
      </c>
      <c r="H40" s="100">
        <v>25</v>
      </c>
      <c r="I40" s="100">
        <f t="shared" si="6"/>
        <v>25</v>
      </c>
      <c r="J40" s="109">
        <v>15</v>
      </c>
      <c r="K40" s="101">
        <f t="shared" si="8"/>
        <v>375</v>
      </c>
      <c r="L40" s="1" t="s">
        <v>35</v>
      </c>
      <c r="M40" s="102" t="s">
        <v>68</v>
      </c>
      <c r="Q40" s="164"/>
    </row>
    <row r="41" s="88" customFormat="1" ht="20.25" spans="1:17">
      <c r="A41" s="97">
        <v>45383</v>
      </c>
      <c r="B41" s="107">
        <v>3</v>
      </c>
      <c r="C41" s="97"/>
      <c r="D41" s="97"/>
      <c r="E41" s="97"/>
      <c r="F41" s="108" t="s">
        <v>47</v>
      </c>
      <c r="G41" s="100">
        <v>20</v>
      </c>
      <c r="H41" s="100">
        <v>25</v>
      </c>
      <c r="I41" s="100">
        <f t="shared" si="6"/>
        <v>500</v>
      </c>
      <c r="J41" s="109">
        <v>7.6</v>
      </c>
      <c r="K41" s="101">
        <f t="shared" si="8"/>
        <v>3800</v>
      </c>
      <c r="L41" s="128" t="s">
        <v>69</v>
      </c>
      <c r="M41" s="96">
        <f>SUM(K38:K41)</f>
        <v>5297</v>
      </c>
    </row>
    <row r="42" s="88" customFormat="1" ht="20.25" spans="1:17">
      <c r="A42" s="90">
        <v>45387</v>
      </c>
      <c r="B42" s="111">
        <v>12</v>
      </c>
      <c r="C42" s="90">
        <v>45385</v>
      </c>
      <c r="D42" s="90"/>
      <c r="E42" s="90"/>
      <c r="F42" s="106" t="s">
        <v>70</v>
      </c>
      <c r="G42" s="93">
        <v>1</v>
      </c>
      <c r="H42" s="93">
        <v>2</v>
      </c>
      <c r="I42" s="93">
        <f t="shared" si="6"/>
        <v>2</v>
      </c>
      <c r="J42" s="105">
        <v>16</v>
      </c>
      <c r="K42" s="94">
        <f t="shared" si="8"/>
        <v>32</v>
      </c>
      <c r="L42" s="86" t="s">
        <v>35</v>
      </c>
      <c r="M42" s="96"/>
      <c r="Q42" s="165"/>
    </row>
    <row r="43" s="88" customFormat="1" ht="20.25" spans="1:17">
      <c r="A43" s="90">
        <v>45387</v>
      </c>
      <c r="B43" s="111">
        <v>12</v>
      </c>
      <c r="C43" s="90">
        <v>45385</v>
      </c>
      <c r="D43" s="90"/>
      <c r="E43" s="90"/>
      <c r="F43" s="106" t="s">
        <v>47</v>
      </c>
      <c r="G43" s="93">
        <v>5</v>
      </c>
      <c r="H43" s="93">
        <v>25</v>
      </c>
      <c r="I43" s="93">
        <f t="shared" si="6"/>
        <v>125</v>
      </c>
      <c r="J43" s="105">
        <v>7.6</v>
      </c>
      <c r="K43" s="94">
        <f t="shared" si="8"/>
        <v>950</v>
      </c>
      <c r="L43" s="86" t="s">
        <v>69</v>
      </c>
      <c r="M43" s="96"/>
    </row>
    <row r="44" s="88" customFormat="1" ht="20.25" spans="1:17">
      <c r="A44" s="90">
        <v>45387</v>
      </c>
      <c r="B44" s="111">
        <v>12</v>
      </c>
      <c r="C44" s="90">
        <v>45385</v>
      </c>
      <c r="D44" s="90"/>
      <c r="E44" s="90"/>
      <c r="F44" s="106" t="s">
        <v>71</v>
      </c>
      <c r="G44" s="93">
        <v>1</v>
      </c>
      <c r="H44" s="93">
        <v>1</v>
      </c>
      <c r="I44" s="93">
        <f t="shared" si="6"/>
        <v>1</v>
      </c>
      <c r="J44" s="105">
        <v>5.5</v>
      </c>
      <c r="K44" s="94">
        <f t="shared" si="8"/>
        <v>5.5</v>
      </c>
      <c r="L44" s="86"/>
      <c r="M44" s="96">
        <f>SUM(K42:K44)</f>
        <v>987.5</v>
      </c>
    </row>
    <row r="45" s="89" customFormat="1" ht="20.25" spans="1:17">
      <c r="A45" s="97">
        <v>45400</v>
      </c>
      <c r="B45" s="107">
        <v>47</v>
      </c>
      <c r="C45" s="125" t="s">
        <v>72</v>
      </c>
      <c r="D45" s="125"/>
      <c r="E45" s="125"/>
      <c r="F45" s="108" t="s">
        <v>73</v>
      </c>
      <c r="G45" s="100">
        <v>1</v>
      </c>
      <c r="H45" s="100">
        <v>26</v>
      </c>
      <c r="I45" s="100">
        <f t="shared" si="6"/>
        <v>26</v>
      </c>
      <c r="J45" s="109">
        <v>15</v>
      </c>
      <c r="K45" s="101">
        <f t="shared" si="8"/>
        <v>390</v>
      </c>
      <c r="L45" s="128" t="s">
        <v>74</v>
      </c>
      <c r="M45" s="102"/>
      <c r="Q45" s="164"/>
    </row>
    <row r="46" s="89" customFormat="1" ht="20.25" spans="1:17">
      <c r="A46" s="97">
        <v>45400</v>
      </c>
      <c r="B46" s="107">
        <v>47</v>
      </c>
      <c r="C46" s="99">
        <v>45394</v>
      </c>
      <c r="D46" s="100"/>
      <c r="E46" s="100"/>
      <c r="F46" s="108" t="s">
        <v>32</v>
      </c>
      <c r="G46" s="100">
        <v>10</v>
      </c>
      <c r="H46" s="100">
        <v>20</v>
      </c>
      <c r="I46" s="100">
        <f t="shared" si="6"/>
        <v>200</v>
      </c>
      <c r="J46" s="109">
        <v>14.5</v>
      </c>
      <c r="K46" s="101">
        <f t="shared" si="8"/>
        <v>2900</v>
      </c>
      <c r="L46" s="108" t="s">
        <v>35</v>
      </c>
      <c r="M46" s="102"/>
    </row>
    <row r="47" s="89" customFormat="1" ht="20.25" spans="1:17">
      <c r="A47" s="97">
        <v>45400</v>
      </c>
      <c r="B47" s="107">
        <v>47</v>
      </c>
      <c r="C47" s="99">
        <v>45394</v>
      </c>
      <c r="D47" s="100"/>
      <c r="E47" s="100"/>
      <c r="F47" s="108" t="s">
        <v>34</v>
      </c>
      <c r="G47" s="100">
        <v>6</v>
      </c>
      <c r="H47" s="100">
        <v>20</v>
      </c>
      <c r="I47" s="100">
        <f t="shared" si="6"/>
        <v>120</v>
      </c>
      <c r="J47" s="109">
        <v>15</v>
      </c>
      <c r="K47" s="101">
        <f t="shared" si="8"/>
        <v>1800</v>
      </c>
      <c r="L47" s="108" t="s">
        <v>36</v>
      </c>
      <c r="M47" s="102"/>
    </row>
    <row r="48" s="89" customFormat="1" ht="20.25" spans="1:17">
      <c r="A48" s="97">
        <v>45400</v>
      </c>
      <c r="B48" s="107">
        <v>47</v>
      </c>
      <c r="C48" s="99">
        <v>45395</v>
      </c>
      <c r="D48" s="100"/>
      <c r="E48" s="100"/>
      <c r="F48" s="108" t="s">
        <v>75</v>
      </c>
      <c r="G48" s="100">
        <v>1</v>
      </c>
      <c r="H48" s="100">
        <v>25</v>
      </c>
      <c r="I48" s="100">
        <f t="shared" si="6"/>
        <v>25</v>
      </c>
      <c r="J48" s="109">
        <v>15.5</v>
      </c>
      <c r="K48" s="101">
        <f t="shared" si="8"/>
        <v>387.5</v>
      </c>
      <c r="L48" s="1" t="s">
        <v>76</v>
      </c>
      <c r="M48" s="102"/>
    </row>
    <row r="49" s="88" customFormat="1" ht="20.25" spans="1:17">
      <c r="A49" s="97">
        <v>45400</v>
      </c>
      <c r="B49" s="107">
        <v>47</v>
      </c>
      <c r="C49" s="99">
        <v>45399</v>
      </c>
      <c r="D49" s="100"/>
      <c r="E49" s="100"/>
      <c r="F49" s="108" t="s">
        <v>32</v>
      </c>
      <c r="G49" s="83">
        <v>1</v>
      </c>
      <c r="H49" s="100">
        <v>20</v>
      </c>
      <c r="I49" s="100">
        <f t="shared" si="6"/>
        <v>20</v>
      </c>
      <c r="J49" s="109">
        <v>14.5</v>
      </c>
      <c r="K49" s="101">
        <f t="shared" si="8"/>
        <v>290</v>
      </c>
      <c r="L49" s="82" t="s">
        <v>77</v>
      </c>
      <c r="M49" s="96"/>
    </row>
    <row r="50" s="89" customFormat="1" ht="20.25" spans="1:17">
      <c r="A50" s="97">
        <v>45400</v>
      </c>
      <c r="B50" s="107">
        <v>47</v>
      </c>
      <c r="C50" s="99">
        <v>45400</v>
      </c>
      <c r="D50" s="100"/>
      <c r="E50" s="100"/>
      <c r="F50" s="166" t="s">
        <v>78</v>
      </c>
      <c r="G50" s="100">
        <v>-6</v>
      </c>
      <c r="H50" s="100">
        <v>25</v>
      </c>
      <c r="I50" s="100">
        <f t="shared" si="6"/>
        <v>-150</v>
      </c>
      <c r="J50" s="109">
        <v>14.5</v>
      </c>
      <c r="K50" s="84">
        <f t="shared" si="8"/>
        <v>-2175</v>
      </c>
      <c r="L50" s="1"/>
      <c r="M50" s="102"/>
    </row>
    <row r="51" s="89" customFormat="1" ht="20.25" spans="1:17">
      <c r="A51" s="97">
        <v>45400</v>
      </c>
      <c r="B51" s="107">
        <v>47</v>
      </c>
      <c r="C51" s="99">
        <v>45400</v>
      </c>
      <c r="D51" s="100"/>
      <c r="E51" s="100"/>
      <c r="F51" s="166" t="s">
        <v>79</v>
      </c>
      <c r="G51" s="100">
        <v>-6</v>
      </c>
      <c r="H51" s="100">
        <v>25</v>
      </c>
      <c r="I51" s="100">
        <f t="shared" si="6"/>
        <v>-150</v>
      </c>
      <c r="J51" s="109">
        <v>14.5</v>
      </c>
      <c r="K51" s="84">
        <f t="shared" si="8"/>
        <v>-2175</v>
      </c>
      <c r="L51" s="1"/>
      <c r="M51" s="102"/>
    </row>
    <row r="52" s="89" customFormat="1" ht="20.25" spans="1:17">
      <c r="A52" s="97">
        <v>45400</v>
      </c>
      <c r="B52" s="107">
        <v>47</v>
      </c>
      <c r="C52" s="99">
        <v>45400</v>
      </c>
      <c r="D52" s="100"/>
      <c r="E52" s="100"/>
      <c r="F52" s="166" t="s">
        <v>80</v>
      </c>
      <c r="G52" s="100">
        <v>-3</v>
      </c>
      <c r="H52" s="100">
        <v>20</v>
      </c>
      <c r="I52" s="100">
        <f t="shared" si="6"/>
        <v>-60</v>
      </c>
      <c r="J52" s="109">
        <v>13</v>
      </c>
      <c r="K52" s="84">
        <f t="shared" si="8"/>
        <v>-780</v>
      </c>
      <c r="L52" s="108">
        <f>SUM(K45:K52)</f>
        <v>637.5</v>
      </c>
      <c r="M52" s="102"/>
    </row>
    <row r="53" s="88" customFormat="1" ht="20.25" spans="1:17">
      <c r="A53" s="90">
        <v>45397</v>
      </c>
      <c r="B53" s="111">
        <v>50</v>
      </c>
      <c r="C53" s="90">
        <v>45397</v>
      </c>
      <c r="D53" s="90"/>
      <c r="E53" s="90"/>
      <c r="F53" s="106" t="s">
        <v>47</v>
      </c>
      <c r="G53" s="93">
        <v>25</v>
      </c>
      <c r="H53" s="93">
        <v>25</v>
      </c>
      <c r="I53" s="93">
        <f t="shared" si="6"/>
        <v>625</v>
      </c>
      <c r="J53" s="105">
        <v>7.6</v>
      </c>
      <c r="K53" s="94">
        <f t="shared" si="8"/>
        <v>4750</v>
      </c>
      <c r="L53" s="86" t="s">
        <v>69</v>
      </c>
      <c r="M53" s="96"/>
    </row>
    <row r="54" s="89" customFormat="1" ht="20.25" spans="1:17">
      <c r="A54" s="97">
        <v>45411</v>
      </c>
      <c r="B54" s="107">
        <v>98</v>
      </c>
      <c r="C54" s="97">
        <v>45408</v>
      </c>
      <c r="D54" s="97"/>
      <c r="E54" s="97"/>
      <c r="F54" s="108" t="s">
        <v>47</v>
      </c>
      <c r="G54" s="100">
        <v>20</v>
      </c>
      <c r="H54" s="100">
        <v>25</v>
      </c>
      <c r="I54" s="100">
        <f t="shared" si="6"/>
        <v>500</v>
      </c>
      <c r="J54" s="109">
        <v>7.9</v>
      </c>
      <c r="K54" s="101">
        <f t="shared" si="8"/>
        <v>3950</v>
      </c>
      <c r="L54" s="1" t="s">
        <v>81</v>
      </c>
      <c r="M54" s="102"/>
    </row>
    <row r="55" s="88" customFormat="1" ht="20.25" spans="1:17">
      <c r="A55" s="90">
        <v>45411</v>
      </c>
      <c r="B55" s="111">
        <v>104</v>
      </c>
      <c r="C55" s="90"/>
      <c r="D55" s="90"/>
      <c r="E55" s="90"/>
      <c r="F55" s="106" t="s">
        <v>67</v>
      </c>
      <c r="G55" s="93">
        <v>2</v>
      </c>
      <c r="H55" s="93">
        <v>25</v>
      </c>
      <c r="I55" s="93">
        <f t="shared" si="6"/>
        <v>50</v>
      </c>
      <c r="J55" s="105">
        <v>15</v>
      </c>
      <c r="K55" s="94">
        <f t="shared" si="8"/>
        <v>750</v>
      </c>
      <c r="L55" s="86" t="s">
        <v>35</v>
      </c>
      <c r="M55" s="96" t="s">
        <v>82</v>
      </c>
      <c r="Q55" s="165"/>
    </row>
    <row r="56" s="88" customFormat="1" ht="20.25" spans="1:17">
      <c r="A56" s="90">
        <v>45411</v>
      </c>
      <c r="B56" s="111">
        <v>104</v>
      </c>
      <c r="C56" s="90" t="s">
        <v>72</v>
      </c>
      <c r="D56" s="90"/>
      <c r="E56" s="90"/>
      <c r="F56" s="106" t="s">
        <v>73</v>
      </c>
      <c r="G56" s="93">
        <v>1</v>
      </c>
      <c r="H56" s="93">
        <v>25</v>
      </c>
      <c r="I56" s="93">
        <f t="shared" si="6"/>
        <v>25</v>
      </c>
      <c r="J56" s="105">
        <v>15</v>
      </c>
      <c r="K56" s="94">
        <f t="shared" si="8"/>
        <v>375</v>
      </c>
      <c r="L56" s="86"/>
      <c r="M56" s="96">
        <f t="shared" ref="M56:M60" si="9">SUM(K55:K56)</f>
        <v>1125</v>
      </c>
      <c r="Q56" s="165"/>
    </row>
    <row r="57" s="89" customFormat="1" ht="20.25" spans="1:17">
      <c r="A57" s="97">
        <v>45420</v>
      </c>
      <c r="B57" s="107">
        <v>12</v>
      </c>
      <c r="C57" s="99">
        <v>45420</v>
      </c>
      <c r="D57" s="100"/>
      <c r="E57" s="100"/>
      <c r="F57" s="108" t="s">
        <v>32</v>
      </c>
      <c r="G57" s="100">
        <v>10</v>
      </c>
      <c r="H57" s="100">
        <v>20</v>
      </c>
      <c r="I57" s="100">
        <f t="shared" si="6"/>
        <v>200</v>
      </c>
      <c r="J57" s="109">
        <v>14.5</v>
      </c>
      <c r="K57" s="101">
        <f t="shared" si="8"/>
        <v>2900</v>
      </c>
      <c r="L57" s="108" t="s">
        <v>35</v>
      </c>
      <c r="M57" s="102"/>
    </row>
    <row r="58" s="89" customFormat="1" ht="20.25" spans="1:17">
      <c r="A58" s="97">
        <v>45420</v>
      </c>
      <c r="B58" s="107">
        <v>12</v>
      </c>
      <c r="C58" s="99">
        <v>45420</v>
      </c>
      <c r="D58" s="100"/>
      <c r="E58" s="100"/>
      <c r="F58" s="108" t="s">
        <v>34</v>
      </c>
      <c r="G58" s="100">
        <v>13</v>
      </c>
      <c r="H58" s="100">
        <v>20</v>
      </c>
      <c r="I58" s="100">
        <f t="shared" si="6"/>
        <v>260</v>
      </c>
      <c r="J58" s="160">
        <v>14.5</v>
      </c>
      <c r="K58" s="101">
        <f t="shared" si="8"/>
        <v>3770</v>
      </c>
      <c r="L58" s="159" t="s">
        <v>83</v>
      </c>
      <c r="M58" s="102">
        <f t="shared" si="9"/>
        <v>6670</v>
      </c>
    </row>
    <row r="59" s="85" customFormat="1" ht="20.25" spans="1:17">
      <c r="A59" s="125"/>
      <c r="B59" s="126"/>
      <c r="C59" s="83"/>
      <c r="D59" s="83"/>
      <c r="E59" s="83"/>
      <c r="F59" s="82" t="s">
        <v>84</v>
      </c>
      <c r="G59" s="83"/>
      <c r="H59" s="83"/>
      <c r="I59" s="83"/>
      <c r="J59" s="167"/>
      <c r="K59" s="84"/>
      <c r="L59" s="128"/>
      <c r="M59" s="127"/>
    </row>
    <row r="60" s="88" customFormat="1" ht="20.25" spans="1:17">
      <c r="A60" s="90">
        <v>45429</v>
      </c>
      <c r="B60" s="111">
        <v>49</v>
      </c>
      <c r="C60" s="92">
        <v>45421</v>
      </c>
      <c r="D60" s="93"/>
      <c r="E60" s="93"/>
      <c r="F60" s="106" t="s">
        <v>85</v>
      </c>
      <c r="G60" s="93">
        <v>1</v>
      </c>
      <c r="H60" s="93">
        <v>1</v>
      </c>
      <c r="I60" s="93">
        <f t="shared" ref="I60:I66" si="10">G60*H60</f>
        <v>1</v>
      </c>
      <c r="J60" s="105">
        <v>6.6</v>
      </c>
      <c r="K60" s="94">
        <f t="shared" ref="K60:K66" si="11">I60*J60</f>
        <v>6.6</v>
      </c>
      <c r="L60" s="106"/>
      <c r="M60" s="96">
        <f>SUM(K60:K61)</f>
        <v>4944.1</v>
      </c>
    </row>
    <row r="61" s="88" customFormat="1" ht="20.25" spans="1:17">
      <c r="A61" s="90">
        <v>45429</v>
      </c>
      <c r="B61" s="111">
        <v>49</v>
      </c>
      <c r="C61" s="90">
        <v>45425</v>
      </c>
      <c r="D61" s="90"/>
      <c r="E61" s="90"/>
      <c r="F61" s="106" t="s">
        <v>47</v>
      </c>
      <c r="G61" s="93">
        <v>25</v>
      </c>
      <c r="H61" s="93">
        <v>25</v>
      </c>
      <c r="I61" s="93">
        <f t="shared" si="10"/>
        <v>625</v>
      </c>
      <c r="J61" s="105">
        <v>7.9</v>
      </c>
      <c r="K61" s="94">
        <f t="shared" si="11"/>
        <v>4937.5</v>
      </c>
      <c r="L61" s="86" t="s">
        <v>81</v>
      </c>
      <c r="M61" s="96"/>
    </row>
    <row r="62" s="89" customFormat="1" ht="20.25" spans="1:17">
      <c r="A62" s="97">
        <v>45434</v>
      </c>
      <c r="B62" s="107">
        <v>63</v>
      </c>
      <c r="C62" s="99">
        <v>45430</v>
      </c>
      <c r="D62" s="100"/>
      <c r="E62" s="100"/>
      <c r="F62" s="108" t="s">
        <v>32</v>
      </c>
      <c r="G62" s="100">
        <v>10</v>
      </c>
      <c r="H62" s="100">
        <v>20</v>
      </c>
      <c r="I62" s="100">
        <f t="shared" si="10"/>
        <v>200</v>
      </c>
      <c r="J62" s="109">
        <v>14.5</v>
      </c>
      <c r="K62" s="101">
        <f t="shared" si="11"/>
        <v>2900</v>
      </c>
      <c r="L62" s="108" t="s">
        <v>35</v>
      </c>
      <c r="M62" s="102"/>
    </row>
    <row r="63" s="89" customFormat="1" ht="20.25" spans="1:17">
      <c r="A63" s="97">
        <v>45434</v>
      </c>
      <c r="B63" s="107">
        <v>63</v>
      </c>
      <c r="C63" s="99">
        <v>45430</v>
      </c>
      <c r="D63" s="100"/>
      <c r="E63" s="100"/>
      <c r="F63" s="108" t="s">
        <v>34</v>
      </c>
      <c r="G63" s="100">
        <v>6</v>
      </c>
      <c r="H63" s="100">
        <v>20</v>
      </c>
      <c r="I63" s="100">
        <f t="shared" si="10"/>
        <v>120</v>
      </c>
      <c r="J63" s="109">
        <v>14.5</v>
      </c>
      <c r="K63" s="101">
        <f t="shared" si="11"/>
        <v>1740</v>
      </c>
      <c r="L63" s="108" t="s">
        <v>40</v>
      </c>
      <c r="M63" s="102"/>
    </row>
    <row r="64" s="89" customFormat="1" ht="20.25" spans="1:17">
      <c r="A64" s="97">
        <v>45434</v>
      </c>
      <c r="B64" s="107">
        <v>63</v>
      </c>
      <c r="C64" s="99">
        <v>45433</v>
      </c>
      <c r="D64" s="100"/>
      <c r="E64" s="100"/>
      <c r="F64" s="108" t="s">
        <v>86</v>
      </c>
      <c r="G64" s="100">
        <v>-3</v>
      </c>
      <c r="H64" s="100">
        <v>20</v>
      </c>
      <c r="I64" s="100">
        <f t="shared" si="10"/>
        <v>-60</v>
      </c>
      <c r="J64" s="109">
        <v>13</v>
      </c>
      <c r="K64" s="101">
        <f t="shared" si="11"/>
        <v>-780</v>
      </c>
      <c r="L64" s="108"/>
      <c r="M64" s="102"/>
    </row>
    <row r="65" s="89" customFormat="1" ht="20.25" spans="1:17">
      <c r="A65" s="97">
        <v>45434</v>
      </c>
      <c r="B65" s="107">
        <v>63</v>
      </c>
      <c r="C65" s="99">
        <v>45433</v>
      </c>
      <c r="D65" s="100"/>
      <c r="E65" s="100"/>
      <c r="F65" s="108" t="s">
        <v>87</v>
      </c>
      <c r="G65" s="100">
        <v>2</v>
      </c>
      <c r="H65" s="100">
        <v>20</v>
      </c>
      <c r="I65" s="100">
        <f t="shared" si="10"/>
        <v>40</v>
      </c>
      <c r="J65" s="109">
        <v>15.5</v>
      </c>
      <c r="K65" s="101">
        <f t="shared" si="11"/>
        <v>620</v>
      </c>
      <c r="L65" s="108" t="s">
        <v>88</v>
      </c>
      <c r="M65" s="102"/>
    </row>
    <row r="66" s="89" customFormat="1" ht="20.25" spans="1:17">
      <c r="A66" s="97">
        <v>45434</v>
      </c>
      <c r="B66" s="107">
        <v>63</v>
      </c>
      <c r="C66" s="99" t="s">
        <v>89</v>
      </c>
      <c r="D66" s="100"/>
      <c r="E66" s="100"/>
      <c r="F66" s="108" t="s">
        <v>43</v>
      </c>
      <c r="G66" s="100">
        <v>2</v>
      </c>
      <c r="H66" s="100">
        <v>23</v>
      </c>
      <c r="I66" s="100">
        <f t="shared" si="10"/>
        <v>46</v>
      </c>
      <c r="J66" s="109">
        <v>15.5</v>
      </c>
      <c r="K66" s="101">
        <f t="shared" si="11"/>
        <v>713</v>
      </c>
      <c r="L66" s="168" t="s">
        <v>90</v>
      </c>
      <c r="M66" s="102">
        <f>SUM(K62:K66)</f>
        <v>5193</v>
      </c>
    </row>
    <row r="67" s="88" customFormat="1" ht="20.25" spans="1:17">
      <c r="A67" s="90"/>
      <c r="B67" s="111"/>
      <c r="C67" s="100"/>
      <c r="D67" s="100"/>
      <c r="E67" s="100"/>
      <c r="F67" s="82" t="s">
        <v>91</v>
      </c>
      <c r="G67" s="93"/>
      <c r="H67" s="93"/>
      <c r="I67" s="93"/>
      <c r="J67" s="105"/>
      <c r="K67" s="94"/>
      <c r="L67" s="86"/>
      <c r="M67" s="96"/>
    </row>
    <row r="68" s="88" customFormat="1" ht="20.25" spans="1:17">
      <c r="A68" s="90">
        <v>45442</v>
      </c>
      <c r="B68" s="111">
        <v>88</v>
      </c>
      <c r="C68" s="90">
        <v>45442</v>
      </c>
      <c r="D68" s="90"/>
      <c r="E68" s="90"/>
      <c r="F68" s="106" t="s">
        <v>47</v>
      </c>
      <c r="G68" s="93">
        <v>25</v>
      </c>
      <c r="H68" s="93">
        <v>25</v>
      </c>
      <c r="I68" s="93">
        <f t="shared" ref="I68:I131" si="12">G68*H68</f>
        <v>625</v>
      </c>
      <c r="J68" s="105">
        <v>7.9</v>
      </c>
      <c r="K68" s="94">
        <f t="shared" ref="K68:K87" si="13">I68*J68</f>
        <v>4937.5</v>
      </c>
      <c r="L68" s="86" t="s">
        <v>81</v>
      </c>
      <c r="M68" s="96"/>
    </row>
    <row r="69" s="88" customFormat="1" ht="20.25" spans="1:17">
      <c r="A69" s="90">
        <v>45442</v>
      </c>
      <c r="B69" s="111">
        <v>88</v>
      </c>
      <c r="C69" s="90">
        <v>45442</v>
      </c>
      <c r="D69" s="90"/>
      <c r="E69" s="90"/>
      <c r="F69" s="106" t="s">
        <v>32</v>
      </c>
      <c r="G69" s="93">
        <v>5</v>
      </c>
      <c r="H69" s="93">
        <v>20</v>
      </c>
      <c r="I69" s="93">
        <f t="shared" si="12"/>
        <v>100</v>
      </c>
      <c r="J69" s="105"/>
      <c r="K69" s="94"/>
      <c r="L69" s="106" t="s">
        <v>92</v>
      </c>
      <c r="M69" s="96"/>
    </row>
    <row r="70" s="88" customFormat="1" ht="20.25" spans="1:17">
      <c r="A70" s="90">
        <v>45442</v>
      </c>
      <c r="B70" s="111">
        <v>88</v>
      </c>
      <c r="C70" s="90">
        <v>45442</v>
      </c>
      <c r="D70" s="90"/>
      <c r="E70" s="90"/>
      <c r="F70" s="106" t="s">
        <v>32</v>
      </c>
      <c r="G70" s="93">
        <v>1</v>
      </c>
      <c r="H70" s="93">
        <v>20</v>
      </c>
      <c r="I70" s="93">
        <f t="shared" si="12"/>
        <v>20</v>
      </c>
      <c r="J70" s="105">
        <v>14.5</v>
      </c>
      <c r="K70" s="94">
        <f t="shared" si="13"/>
        <v>290</v>
      </c>
      <c r="L70" s="106" t="s">
        <v>35</v>
      </c>
      <c r="M70" s="96">
        <f>SUM(K68:K70)</f>
        <v>5227.5</v>
      </c>
    </row>
    <row r="71" s="89" customFormat="1" ht="20.25" spans="1:17">
      <c r="A71" s="97">
        <v>45451</v>
      </c>
      <c r="B71" s="107">
        <v>26</v>
      </c>
      <c r="C71" s="99">
        <v>45447</v>
      </c>
      <c r="D71" s="100"/>
      <c r="E71" s="100"/>
      <c r="F71" s="108" t="s">
        <v>32</v>
      </c>
      <c r="G71" s="100">
        <v>10</v>
      </c>
      <c r="H71" s="100">
        <v>20</v>
      </c>
      <c r="I71" s="100">
        <f t="shared" si="12"/>
        <v>200</v>
      </c>
      <c r="J71" s="109">
        <v>14.5</v>
      </c>
      <c r="K71" s="101">
        <f t="shared" si="13"/>
        <v>2900</v>
      </c>
      <c r="L71" s="1" t="s">
        <v>35</v>
      </c>
      <c r="M71" s="102"/>
    </row>
    <row r="72" s="89" customFormat="1" ht="20.25" spans="1:17">
      <c r="A72" s="97">
        <v>45451</v>
      </c>
      <c r="B72" s="107">
        <v>26</v>
      </c>
      <c r="C72" s="99">
        <v>45447</v>
      </c>
      <c r="D72" s="100"/>
      <c r="E72" s="100"/>
      <c r="F72" s="108" t="s">
        <v>34</v>
      </c>
      <c r="G72" s="100">
        <v>10</v>
      </c>
      <c r="H72" s="100">
        <v>20</v>
      </c>
      <c r="I72" s="100">
        <f t="shared" si="12"/>
        <v>200</v>
      </c>
      <c r="J72" s="109">
        <v>14.5</v>
      </c>
      <c r="K72" s="101">
        <f t="shared" si="13"/>
        <v>2900</v>
      </c>
      <c r="L72" s="1" t="s">
        <v>40</v>
      </c>
      <c r="M72" s="102"/>
    </row>
    <row r="73" s="89" customFormat="1" ht="20.25" spans="1:17">
      <c r="A73" s="97">
        <v>45451</v>
      </c>
      <c r="B73" s="107">
        <v>26</v>
      </c>
      <c r="C73" s="97" t="s">
        <v>93</v>
      </c>
      <c r="D73" s="97"/>
      <c r="E73" s="97"/>
      <c r="F73" s="108" t="s">
        <v>94</v>
      </c>
      <c r="G73" s="100">
        <v>1</v>
      </c>
      <c r="H73" s="100">
        <v>5</v>
      </c>
      <c r="I73" s="100">
        <f t="shared" si="12"/>
        <v>5</v>
      </c>
      <c r="J73" s="109">
        <v>15</v>
      </c>
      <c r="K73" s="101">
        <f t="shared" si="13"/>
        <v>75</v>
      </c>
      <c r="L73" s="1" t="s">
        <v>35</v>
      </c>
      <c r="M73" s="102"/>
      <c r="Q73" s="164"/>
    </row>
    <row r="74" s="89" customFormat="1" ht="20.25" spans="1:17">
      <c r="A74" s="97">
        <v>45451</v>
      </c>
      <c r="B74" s="107">
        <v>26</v>
      </c>
      <c r="C74" s="97"/>
      <c r="D74" s="97"/>
      <c r="E74" s="97"/>
      <c r="F74" s="108" t="s">
        <v>95</v>
      </c>
      <c r="G74" s="100">
        <v>1</v>
      </c>
      <c r="H74" s="100">
        <v>5</v>
      </c>
      <c r="I74" s="100">
        <f t="shared" si="12"/>
        <v>5</v>
      </c>
      <c r="J74" s="109">
        <v>15</v>
      </c>
      <c r="K74" s="101">
        <f t="shared" si="13"/>
        <v>75</v>
      </c>
      <c r="L74" s="1" t="s">
        <v>35</v>
      </c>
      <c r="M74" s="102"/>
      <c r="Q74" s="164"/>
    </row>
    <row r="75" s="89" customFormat="1" ht="20.25" spans="1:17">
      <c r="A75" s="97">
        <v>45451</v>
      </c>
      <c r="B75" s="107">
        <v>26</v>
      </c>
      <c r="C75" s="97" t="s">
        <v>93</v>
      </c>
      <c r="D75" s="97"/>
      <c r="E75" s="97"/>
      <c r="F75" s="108" t="s">
        <v>94</v>
      </c>
      <c r="G75" s="100">
        <v>1</v>
      </c>
      <c r="H75" s="100">
        <v>26</v>
      </c>
      <c r="I75" s="100">
        <f t="shared" si="12"/>
        <v>26</v>
      </c>
      <c r="J75" s="109">
        <v>15</v>
      </c>
      <c r="K75" s="101">
        <f t="shared" si="13"/>
        <v>390</v>
      </c>
      <c r="L75" s="1" t="s">
        <v>35</v>
      </c>
      <c r="M75" s="102"/>
      <c r="Q75" s="164"/>
    </row>
    <row r="76" s="89" customFormat="1" ht="20.25" spans="1:17">
      <c r="A76" s="97">
        <v>45451</v>
      </c>
      <c r="B76" s="107">
        <v>26</v>
      </c>
      <c r="C76" s="97">
        <v>45451</v>
      </c>
      <c r="D76" s="97"/>
      <c r="E76" s="97"/>
      <c r="F76" s="108" t="s">
        <v>67</v>
      </c>
      <c r="G76" s="100">
        <v>1</v>
      </c>
      <c r="H76" s="100">
        <v>5</v>
      </c>
      <c r="I76" s="100">
        <f t="shared" si="12"/>
        <v>5</v>
      </c>
      <c r="J76" s="109">
        <v>15</v>
      </c>
      <c r="K76" s="101">
        <f t="shared" si="13"/>
        <v>75</v>
      </c>
      <c r="L76" s="1" t="s">
        <v>35</v>
      </c>
      <c r="M76" s="102" t="s">
        <v>82</v>
      </c>
      <c r="Q76" s="164"/>
    </row>
    <row r="77" s="89" customFormat="1" ht="20.25" spans="1:17">
      <c r="A77" s="97">
        <v>45451</v>
      </c>
      <c r="B77" s="107">
        <v>26</v>
      </c>
      <c r="C77" s="100"/>
      <c r="D77" s="100"/>
      <c r="E77" s="100"/>
      <c r="F77" s="108" t="s">
        <v>96</v>
      </c>
      <c r="G77" s="100">
        <v>3</v>
      </c>
      <c r="H77" s="100">
        <v>1</v>
      </c>
      <c r="I77" s="100">
        <f t="shared" si="12"/>
        <v>3</v>
      </c>
      <c r="J77" s="109">
        <v>6.6</v>
      </c>
      <c r="K77" s="101">
        <f t="shared" si="13"/>
        <v>19.8</v>
      </c>
      <c r="L77" s="1"/>
      <c r="M77" s="102">
        <f>SUM(K71:K77)</f>
        <v>6434.8</v>
      </c>
    </row>
    <row r="78" s="88" customFormat="1" ht="20.25" spans="1:17">
      <c r="A78" s="90">
        <v>45456</v>
      </c>
      <c r="B78" s="111">
        <v>34</v>
      </c>
      <c r="C78" s="92" t="s">
        <v>97</v>
      </c>
      <c r="D78" s="93"/>
      <c r="E78" s="93"/>
      <c r="F78" s="106" t="s">
        <v>98</v>
      </c>
      <c r="G78" s="93">
        <v>1</v>
      </c>
      <c r="H78" s="93">
        <v>5</v>
      </c>
      <c r="I78" s="93">
        <f t="shared" si="12"/>
        <v>5</v>
      </c>
      <c r="J78" s="105">
        <v>14.5</v>
      </c>
      <c r="K78" s="94">
        <f t="shared" si="13"/>
        <v>72.5</v>
      </c>
      <c r="L78" s="169" t="s">
        <v>99</v>
      </c>
      <c r="M78" s="96"/>
    </row>
    <row r="79" s="88" customFormat="1" ht="20.25" spans="1:17">
      <c r="A79" s="90">
        <v>45456</v>
      </c>
      <c r="B79" s="111">
        <v>34</v>
      </c>
      <c r="C79" s="93"/>
      <c r="D79" s="93"/>
      <c r="E79" s="93"/>
      <c r="F79" s="106" t="s">
        <v>96</v>
      </c>
      <c r="G79" s="93">
        <v>1</v>
      </c>
      <c r="H79" s="93">
        <v>1</v>
      </c>
      <c r="I79" s="93">
        <f t="shared" si="12"/>
        <v>1</v>
      </c>
      <c r="J79" s="105">
        <v>6.6</v>
      </c>
      <c r="K79" s="94">
        <f t="shared" si="13"/>
        <v>6.6</v>
      </c>
      <c r="L79" s="86" t="s">
        <v>100</v>
      </c>
      <c r="M79" s="96">
        <f>SUM(K78:K80)</f>
        <v>5016.6</v>
      </c>
    </row>
    <row r="80" s="88" customFormat="1" ht="20.25" spans="1:17">
      <c r="A80" s="90">
        <v>45456</v>
      </c>
      <c r="B80" s="111">
        <v>34</v>
      </c>
      <c r="C80" s="90">
        <v>45455</v>
      </c>
      <c r="D80" s="90"/>
      <c r="E80" s="90"/>
      <c r="F80" s="106" t="s">
        <v>47</v>
      </c>
      <c r="G80" s="93">
        <v>25</v>
      </c>
      <c r="H80" s="93">
        <v>25</v>
      </c>
      <c r="I80" s="93">
        <f t="shared" si="12"/>
        <v>625</v>
      </c>
      <c r="J80" s="105">
        <v>7.9</v>
      </c>
      <c r="K80" s="94">
        <f t="shared" si="13"/>
        <v>4937.5</v>
      </c>
      <c r="L80" s="128" t="s">
        <v>101</v>
      </c>
      <c r="M80" s="96"/>
    </row>
    <row r="81" s="89" customFormat="1" ht="20.25" spans="1:17">
      <c r="A81" s="97">
        <v>45460</v>
      </c>
      <c r="B81" s="107">
        <v>46</v>
      </c>
      <c r="C81" s="99">
        <v>45460</v>
      </c>
      <c r="D81" s="100"/>
      <c r="E81" s="100"/>
      <c r="F81" s="108" t="s">
        <v>32</v>
      </c>
      <c r="G81" s="100">
        <v>10</v>
      </c>
      <c r="H81" s="100">
        <v>20</v>
      </c>
      <c r="I81" s="100">
        <f t="shared" si="12"/>
        <v>200</v>
      </c>
      <c r="J81" s="109">
        <v>14.5</v>
      </c>
      <c r="K81" s="101">
        <f t="shared" si="13"/>
        <v>2900</v>
      </c>
      <c r="L81" s="1" t="s">
        <v>35</v>
      </c>
      <c r="M81" s="102"/>
    </row>
    <row r="82" s="89" customFormat="1" ht="20.25" spans="1:17">
      <c r="A82" s="97">
        <v>45460</v>
      </c>
      <c r="B82" s="107">
        <v>46</v>
      </c>
      <c r="C82" s="99">
        <v>45460</v>
      </c>
      <c r="D82" s="100"/>
      <c r="E82" s="100"/>
      <c r="F82" s="108" t="s">
        <v>34</v>
      </c>
      <c r="G82" s="100">
        <v>9</v>
      </c>
      <c r="H82" s="100">
        <v>20</v>
      </c>
      <c r="I82" s="100">
        <f t="shared" si="12"/>
        <v>180</v>
      </c>
      <c r="J82" s="109">
        <v>14.5</v>
      </c>
      <c r="K82" s="101">
        <f t="shared" si="13"/>
        <v>2610</v>
      </c>
      <c r="L82" s="1" t="s">
        <v>40</v>
      </c>
      <c r="M82" s="102">
        <f>SUM(K81:K82)</f>
        <v>5510</v>
      </c>
    </row>
    <row r="83" s="88" customFormat="1" ht="20.25" spans="1:17">
      <c r="A83" s="90">
        <v>45463</v>
      </c>
      <c r="B83" s="111">
        <v>52</v>
      </c>
      <c r="C83" s="90" t="s">
        <v>72</v>
      </c>
      <c r="D83" s="90"/>
      <c r="E83" s="90"/>
      <c r="F83" s="106" t="s">
        <v>73</v>
      </c>
      <c r="G83" s="93">
        <v>1</v>
      </c>
      <c r="H83" s="93">
        <v>26</v>
      </c>
      <c r="I83" s="93">
        <f t="shared" si="12"/>
        <v>26</v>
      </c>
      <c r="J83" s="105">
        <v>15</v>
      </c>
      <c r="K83" s="94">
        <f t="shared" si="13"/>
        <v>390</v>
      </c>
      <c r="L83" s="86"/>
      <c r="M83" s="96">
        <f>SUM(K83:K84)</f>
        <v>1140</v>
      </c>
      <c r="Q83" s="165"/>
    </row>
    <row r="84" s="88" customFormat="1" ht="20.25" spans="1:17">
      <c r="A84" s="90">
        <v>45463</v>
      </c>
      <c r="B84" s="111">
        <v>52</v>
      </c>
      <c r="C84" s="90" t="s">
        <v>102</v>
      </c>
      <c r="D84" s="90"/>
      <c r="E84" s="90"/>
      <c r="F84" s="106" t="s">
        <v>67</v>
      </c>
      <c r="G84" s="93">
        <v>2</v>
      </c>
      <c r="H84" s="93">
        <v>25</v>
      </c>
      <c r="I84" s="93">
        <f t="shared" si="12"/>
        <v>50</v>
      </c>
      <c r="J84" s="105">
        <v>15</v>
      </c>
      <c r="K84" s="94">
        <f t="shared" si="13"/>
        <v>750</v>
      </c>
      <c r="L84" s="86" t="s">
        <v>35</v>
      </c>
      <c r="M84" s="96" t="s">
        <v>82</v>
      </c>
      <c r="Q84" s="165"/>
    </row>
    <row r="85" s="89" customFormat="1" ht="20.25" spans="1:17">
      <c r="A85" s="97">
        <v>45465</v>
      </c>
      <c r="B85" s="107">
        <v>58</v>
      </c>
      <c r="C85" s="99">
        <v>45464</v>
      </c>
      <c r="D85" s="100"/>
      <c r="E85" s="100"/>
      <c r="F85" s="108" t="s">
        <v>103</v>
      </c>
      <c r="G85" s="100">
        <v>2</v>
      </c>
      <c r="H85" s="100">
        <v>18</v>
      </c>
      <c r="I85" s="100">
        <f t="shared" si="12"/>
        <v>36</v>
      </c>
      <c r="J85" s="109">
        <v>8</v>
      </c>
      <c r="K85" s="101">
        <f t="shared" si="13"/>
        <v>288</v>
      </c>
      <c r="L85" s="1" t="s">
        <v>35</v>
      </c>
      <c r="M85" s="102"/>
    </row>
    <row r="86" s="89" customFormat="1" ht="20.25" spans="1:17">
      <c r="A86" s="97">
        <v>45465</v>
      </c>
      <c r="B86" s="107">
        <v>58</v>
      </c>
      <c r="C86" s="97" t="s">
        <v>102</v>
      </c>
      <c r="D86" s="97"/>
      <c r="E86" s="97"/>
      <c r="F86" s="108" t="s">
        <v>67</v>
      </c>
      <c r="G86" s="100">
        <v>1</v>
      </c>
      <c r="H86" s="100">
        <v>25</v>
      </c>
      <c r="I86" s="100">
        <f t="shared" si="12"/>
        <v>25</v>
      </c>
      <c r="J86" s="109">
        <v>15</v>
      </c>
      <c r="K86" s="101">
        <f t="shared" si="13"/>
        <v>375</v>
      </c>
      <c r="L86" s="1" t="s">
        <v>35</v>
      </c>
      <c r="M86" s="102" t="s">
        <v>82</v>
      </c>
      <c r="Q86" s="164"/>
    </row>
    <row r="87" s="85" customFormat="1" ht="20.25" spans="1:17">
      <c r="A87" s="90">
        <v>45472</v>
      </c>
      <c r="B87" s="111">
        <v>93</v>
      </c>
      <c r="C87" s="92">
        <v>45470</v>
      </c>
      <c r="D87" s="93"/>
      <c r="E87" s="93"/>
      <c r="F87" s="82" t="s">
        <v>41</v>
      </c>
      <c r="G87" s="93">
        <v>1</v>
      </c>
      <c r="H87" s="93">
        <v>8</v>
      </c>
      <c r="I87" s="93">
        <f t="shared" si="12"/>
        <v>8</v>
      </c>
      <c r="J87" s="105">
        <v>15</v>
      </c>
      <c r="K87" s="94">
        <f t="shared" si="13"/>
        <v>120</v>
      </c>
      <c r="L87" s="128" t="s">
        <v>104</v>
      </c>
      <c r="M87" s="127"/>
    </row>
    <row r="88" s="88" customFormat="1" ht="20.25" spans="1:17">
      <c r="A88" s="90">
        <v>45472</v>
      </c>
      <c r="B88" s="111">
        <v>93</v>
      </c>
      <c r="C88" s="92">
        <v>45470</v>
      </c>
      <c r="D88" s="93"/>
      <c r="E88" s="93"/>
      <c r="F88" s="106" t="s">
        <v>105</v>
      </c>
      <c r="G88" s="93">
        <v>1</v>
      </c>
      <c r="H88" s="93">
        <v>108.5</v>
      </c>
      <c r="I88" s="93">
        <f t="shared" si="12"/>
        <v>108.5</v>
      </c>
      <c r="J88" s="105"/>
      <c r="K88" s="94"/>
      <c r="L88" s="86" t="s">
        <v>106</v>
      </c>
      <c r="M88" s="96"/>
    </row>
    <row r="89" s="88" customFormat="1" ht="20.25" spans="1:17">
      <c r="A89" s="90">
        <v>45472</v>
      </c>
      <c r="B89" s="111">
        <v>93</v>
      </c>
      <c r="C89" s="92">
        <v>45470</v>
      </c>
      <c r="D89" s="93"/>
      <c r="E89" s="93"/>
      <c r="F89" s="106" t="s">
        <v>107</v>
      </c>
      <c r="G89" s="93">
        <v>1</v>
      </c>
      <c r="H89" s="93">
        <v>10</v>
      </c>
      <c r="I89" s="93">
        <f t="shared" si="12"/>
        <v>10</v>
      </c>
      <c r="J89" s="105">
        <v>35</v>
      </c>
      <c r="K89" s="94">
        <f>I89*J89</f>
        <v>350</v>
      </c>
      <c r="L89" s="86" t="s">
        <v>104</v>
      </c>
      <c r="M89" s="96"/>
    </row>
    <row r="90" s="88" customFormat="1" ht="20.25" spans="1:17">
      <c r="A90" s="90">
        <v>45472</v>
      </c>
      <c r="B90" s="111">
        <v>93</v>
      </c>
      <c r="C90" s="92">
        <v>45470</v>
      </c>
      <c r="D90" s="93"/>
      <c r="E90" s="93"/>
      <c r="F90" s="106" t="s">
        <v>87</v>
      </c>
      <c r="G90" s="93">
        <v>1</v>
      </c>
      <c r="H90" s="93">
        <v>6</v>
      </c>
      <c r="I90" s="93">
        <f t="shared" si="12"/>
        <v>6</v>
      </c>
      <c r="J90" s="105">
        <v>16</v>
      </c>
      <c r="K90" s="94">
        <f>I90*J90</f>
        <v>96</v>
      </c>
      <c r="L90" s="86"/>
      <c r="M90" s="96"/>
    </row>
    <row r="91" s="88" customFormat="1" ht="20.25" spans="1:17">
      <c r="A91" s="90">
        <v>45472</v>
      </c>
      <c r="B91" s="111">
        <v>93</v>
      </c>
      <c r="C91" s="92">
        <v>45470</v>
      </c>
      <c r="D91" s="93"/>
      <c r="E91" s="93"/>
      <c r="F91" s="106" t="s">
        <v>108</v>
      </c>
      <c r="G91" s="93">
        <v>1</v>
      </c>
      <c r="H91" s="93">
        <v>3.5</v>
      </c>
      <c r="I91" s="93">
        <f t="shared" si="12"/>
        <v>3.5</v>
      </c>
      <c r="J91" s="105">
        <v>20</v>
      </c>
      <c r="K91" s="94">
        <f>I91*J91</f>
        <v>70</v>
      </c>
      <c r="L91" s="1" t="s">
        <v>109</v>
      </c>
      <c r="M91" s="96"/>
    </row>
    <row r="92" s="88" customFormat="1" ht="20.25" spans="1:17">
      <c r="A92" s="90">
        <v>45472</v>
      </c>
      <c r="B92" s="111">
        <v>93</v>
      </c>
      <c r="C92" s="92">
        <v>45470</v>
      </c>
      <c r="D92" s="93"/>
      <c r="E92" s="93"/>
      <c r="F92" s="82" t="s">
        <v>110</v>
      </c>
      <c r="G92" s="83">
        <v>1</v>
      </c>
      <c r="H92" s="83">
        <f>SUM(H88:H91)</f>
        <v>128</v>
      </c>
      <c r="I92" s="83">
        <f t="shared" si="12"/>
        <v>128</v>
      </c>
      <c r="J92" s="167">
        <v>1.5</v>
      </c>
      <c r="K92" s="84">
        <f>I92*J92</f>
        <v>192</v>
      </c>
      <c r="L92" s="86">
        <f>SUM(K88:K92)</f>
        <v>708</v>
      </c>
      <c r="M92" s="96"/>
    </row>
    <row r="93" s="88" customFormat="1" ht="20.25" spans="1:17">
      <c r="A93" s="90">
        <v>45472</v>
      </c>
      <c r="B93" s="111">
        <v>93</v>
      </c>
      <c r="C93" s="92">
        <v>45470</v>
      </c>
      <c r="D93" s="93"/>
      <c r="E93" s="93"/>
      <c r="F93" s="106" t="s">
        <v>111</v>
      </c>
      <c r="G93" s="93">
        <v>1</v>
      </c>
      <c r="H93" s="93">
        <v>79</v>
      </c>
      <c r="I93" s="93">
        <f t="shared" si="12"/>
        <v>79</v>
      </c>
      <c r="J93" s="105">
        <v>11</v>
      </c>
      <c r="K93" s="94">
        <f t="shared" ref="K93:K101" si="14">I93*J93</f>
        <v>869</v>
      </c>
      <c r="L93" s="86"/>
      <c r="M93" s="96"/>
    </row>
    <row r="94" s="88" customFormat="1" ht="20.25" spans="1:17">
      <c r="A94" s="90">
        <v>45472</v>
      </c>
      <c r="B94" s="111">
        <v>93</v>
      </c>
      <c r="C94" s="92">
        <v>45470</v>
      </c>
      <c r="D94" s="93"/>
      <c r="E94" s="93"/>
      <c r="F94" s="106" t="s">
        <v>107</v>
      </c>
      <c r="G94" s="93">
        <v>1</v>
      </c>
      <c r="H94" s="93">
        <v>11</v>
      </c>
      <c r="I94" s="93">
        <f t="shared" si="12"/>
        <v>11</v>
      </c>
      <c r="J94" s="105">
        <v>35</v>
      </c>
      <c r="K94" s="94">
        <f t="shared" si="14"/>
        <v>385</v>
      </c>
      <c r="L94" s="86"/>
      <c r="M94" s="96"/>
    </row>
    <row r="95" s="88" customFormat="1" ht="20.25" spans="1:17">
      <c r="A95" s="90">
        <v>45472</v>
      </c>
      <c r="B95" s="111">
        <v>93</v>
      </c>
      <c r="C95" s="92">
        <v>45470</v>
      </c>
      <c r="D95" s="93"/>
      <c r="E95" s="93"/>
      <c r="F95" s="106" t="s">
        <v>112</v>
      </c>
      <c r="G95" s="93">
        <v>1</v>
      </c>
      <c r="H95" s="93">
        <v>1</v>
      </c>
      <c r="I95" s="93">
        <f t="shared" si="12"/>
        <v>1</v>
      </c>
      <c r="J95" s="105">
        <v>25</v>
      </c>
      <c r="K95" s="94">
        <f t="shared" si="14"/>
        <v>25</v>
      </c>
      <c r="L95" s="86"/>
      <c r="M95" s="96"/>
    </row>
    <row r="96" s="88" customFormat="1" ht="20.25" spans="1:17">
      <c r="A96" s="90">
        <v>45472</v>
      </c>
      <c r="B96" s="111">
        <v>93</v>
      </c>
      <c r="C96" s="92">
        <v>45470</v>
      </c>
      <c r="D96" s="93"/>
      <c r="E96" s="93"/>
      <c r="F96" s="106" t="s">
        <v>108</v>
      </c>
      <c r="G96" s="93">
        <v>1</v>
      </c>
      <c r="H96" s="93">
        <v>4</v>
      </c>
      <c r="I96" s="93">
        <f t="shared" si="12"/>
        <v>4</v>
      </c>
      <c r="J96" s="105">
        <v>20</v>
      </c>
      <c r="K96" s="94">
        <f t="shared" si="14"/>
        <v>80</v>
      </c>
      <c r="L96" s="86"/>
      <c r="M96" s="96"/>
    </row>
    <row r="97" s="88" customFormat="1" ht="20.25" spans="1:14">
      <c r="A97" s="90">
        <v>45472</v>
      </c>
      <c r="B97" s="111">
        <v>93</v>
      </c>
      <c r="C97" s="92">
        <v>45470</v>
      </c>
      <c r="D97" s="93"/>
      <c r="E97" s="93"/>
      <c r="F97" s="106" t="s">
        <v>113</v>
      </c>
      <c r="G97" s="93">
        <v>1</v>
      </c>
      <c r="H97" s="93">
        <v>6</v>
      </c>
      <c r="I97" s="93">
        <f t="shared" si="12"/>
        <v>6</v>
      </c>
      <c r="J97" s="105">
        <v>14</v>
      </c>
      <c r="K97" s="94">
        <f t="shared" si="14"/>
        <v>84</v>
      </c>
      <c r="L97" s="86" t="s">
        <v>104</v>
      </c>
      <c r="M97" s="96"/>
    </row>
    <row r="98" s="88" customFormat="1" ht="20.25" spans="1:14">
      <c r="A98" s="90">
        <v>45472</v>
      </c>
      <c r="B98" s="111">
        <v>93</v>
      </c>
      <c r="C98" s="92">
        <v>45470</v>
      </c>
      <c r="D98" s="93"/>
      <c r="E98" s="93"/>
      <c r="F98" s="82" t="s">
        <v>114</v>
      </c>
      <c r="G98" s="83">
        <v>1</v>
      </c>
      <c r="H98" s="83">
        <f>SUM(H93:H97)</f>
        <v>101</v>
      </c>
      <c r="I98" s="83">
        <f t="shared" si="12"/>
        <v>101</v>
      </c>
      <c r="J98" s="167">
        <v>1.5</v>
      </c>
      <c r="K98" s="84">
        <f t="shared" si="14"/>
        <v>151.5</v>
      </c>
      <c r="L98" s="86">
        <f>SUM(K93:K98)</f>
        <v>1594.5</v>
      </c>
      <c r="M98" s="96"/>
    </row>
    <row r="99" s="89" customFormat="1" ht="20.25" spans="1:14">
      <c r="A99" s="97">
        <v>45477</v>
      </c>
      <c r="B99" s="107">
        <v>9</v>
      </c>
      <c r="C99" s="99">
        <v>45476</v>
      </c>
      <c r="D99" s="100"/>
      <c r="E99" s="100"/>
      <c r="F99" s="108" t="s">
        <v>113</v>
      </c>
      <c r="G99" s="100">
        <v>1</v>
      </c>
      <c r="H99" s="100">
        <v>25</v>
      </c>
      <c r="I99" s="100">
        <f t="shared" si="12"/>
        <v>25</v>
      </c>
      <c r="J99" s="109">
        <v>14.5</v>
      </c>
      <c r="K99" s="101">
        <f t="shared" si="14"/>
        <v>362.5</v>
      </c>
      <c r="L99" s="1" t="s">
        <v>115</v>
      </c>
      <c r="M99" s="102"/>
      <c r="N99" s="89" t="s">
        <v>116</v>
      </c>
    </row>
    <row r="100" s="89" customFormat="1" ht="20.25" spans="1:14">
      <c r="A100" s="97">
        <v>45477</v>
      </c>
      <c r="B100" s="107">
        <v>9</v>
      </c>
      <c r="C100" s="99">
        <v>45476</v>
      </c>
      <c r="D100" s="100"/>
      <c r="E100" s="100"/>
      <c r="F100" s="108" t="s">
        <v>117</v>
      </c>
      <c r="G100" s="100">
        <v>3</v>
      </c>
      <c r="H100" s="100">
        <v>20</v>
      </c>
      <c r="I100" s="100">
        <f t="shared" si="12"/>
        <v>60</v>
      </c>
      <c r="J100" s="109">
        <v>13.5</v>
      </c>
      <c r="K100" s="101">
        <f t="shared" si="14"/>
        <v>810</v>
      </c>
      <c r="L100" s="1" t="s">
        <v>35</v>
      </c>
      <c r="M100" s="102"/>
      <c r="N100" s="89" t="s">
        <v>118</v>
      </c>
    </row>
    <row r="101" s="89" customFormat="1" ht="20.25" spans="1:14">
      <c r="A101" s="97">
        <v>45477</v>
      </c>
      <c r="B101" s="107">
        <v>9</v>
      </c>
      <c r="C101" s="99">
        <v>45476</v>
      </c>
      <c r="D101" s="100"/>
      <c r="E101" s="100"/>
      <c r="F101" s="108" t="s">
        <v>87</v>
      </c>
      <c r="G101" s="100">
        <v>1</v>
      </c>
      <c r="H101" s="100">
        <v>20</v>
      </c>
      <c r="I101" s="100">
        <f t="shared" si="12"/>
        <v>20</v>
      </c>
      <c r="J101" s="109">
        <v>15.5</v>
      </c>
      <c r="K101" s="101">
        <f t="shared" si="14"/>
        <v>310</v>
      </c>
      <c r="L101" s="108" t="s">
        <v>88</v>
      </c>
      <c r="M101" s="102"/>
    </row>
    <row r="102" s="89" customFormat="1" ht="20.25" spans="1:14">
      <c r="A102" s="97">
        <v>45477</v>
      </c>
      <c r="B102" s="107">
        <v>9</v>
      </c>
      <c r="C102" s="99">
        <v>45476</v>
      </c>
      <c r="D102" s="100"/>
      <c r="E102" s="100"/>
      <c r="F102" s="159" t="s">
        <v>105</v>
      </c>
      <c r="G102" s="100">
        <v>1</v>
      </c>
      <c r="H102" s="100">
        <v>82</v>
      </c>
      <c r="I102" s="100">
        <f t="shared" si="12"/>
        <v>82</v>
      </c>
      <c r="J102" s="109"/>
      <c r="K102" s="101"/>
      <c r="L102" s="1" t="s">
        <v>106</v>
      </c>
      <c r="M102" s="102"/>
    </row>
    <row r="103" s="89" customFormat="1" ht="20.25" spans="1:14">
      <c r="A103" s="97">
        <v>45477</v>
      </c>
      <c r="B103" s="107">
        <v>9</v>
      </c>
      <c r="C103" s="99">
        <v>45476</v>
      </c>
      <c r="D103" s="100"/>
      <c r="E103" s="100"/>
      <c r="F103" s="108" t="s">
        <v>107</v>
      </c>
      <c r="G103" s="100">
        <v>1</v>
      </c>
      <c r="H103" s="100">
        <v>8</v>
      </c>
      <c r="I103" s="100">
        <f t="shared" si="12"/>
        <v>8</v>
      </c>
      <c r="J103" s="109">
        <v>35</v>
      </c>
      <c r="K103" s="101">
        <f t="shared" ref="K103:K116" si="15">I103*J103</f>
        <v>280</v>
      </c>
      <c r="L103" s="1" t="s">
        <v>104</v>
      </c>
      <c r="M103" s="102"/>
    </row>
    <row r="104" s="89" customFormat="1" ht="20.25" spans="1:14">
      <c r="A104" s="97">
        <v>45477</v>
      </c>
      <c r="B104" s="107">
        <v>9</v>
      </c>
      <c r="C104" s="99">
        <v>45476</v>
      </c>
      <c r="D104" s="100"/>
      <c r="E104" s="100"/>
      <c r="F104" s="108" t="s">
        <v>87</v>
      </c>
      <c r="G104" s="100">
        <v>1</v>
      </c>
      <c r="H104" s="100">
        <v>8</v>
      </c>
      <c r="I104" s="100">
        <f t="shared" si="12"/>
        <v>8</v>
      </c>
      <c r="J104" s="109">
        <v>15.5</v>
      </c>
      <c r="K104" s="101">
        <f t="shared" si="15"/>
        <v>124</v>
      </c>
      <c r="L104" s="1"/>
      <c r="M104" s="102"/>
    </row>
    <row r="105" s="89" customFormat="1" ht="20.25" spans="1:14">
      <c r="A105" s="97">
        <v>45477</v>
      </c>
      <c r="B105" s="107">
        <v>9</v>
      </c>
      <c r="C105" s="99">
        <v>45476</v>
      </c>
      <c r="D105" s="100"/>
      <c r="E105" s="100"/>
      <c r="F105" s="108" t="s">
        <v>108</v>
      </c>
      <c r="G105" s="100">
        <v>1</v>
      </c>
      <c r="H105" s="100">
        <v>2.7</v>
      </c>
      <c r="I105" s="100">
        <f t="shared" si="12"/>
        <v>2.7</v>
      </c>
      <c r="J105" s="109">
        <v>20</v>
      </c>
      <c r="K105" s="101">
        <f t="shared" si="15"/>
        <v>54</v>
      </c>
      <c r="L105" s="1" t="s">
        <v>109</v>
      </c>
      <c r="M105" s="102"/>
    </row>
    <row r="106" s="89" customFormat="1" ht="20.25" spans="1:14">
      <c r="A106" s="97">
        <v>45477</v>
      </c>
      <c r="B106" s="107">
        <v>9</v>
      </c>
      <c r="C106" s="99">
        <v>45476</v>
      </c>
      <c r="D106" s="100"/>
      <c r="E106" s="100"/>
      <c r="F106" s="82" t="s">
        <v>110</v>
      </c>
      <c r="G106" s="83">
        <v>1</v>
      </c>
      <c r="H106" s="83">
        <f>SUM(H102:H105)</f>
        <v>100.7</v>
      </c>
      <c r="I106" s="83">
        <f t="shared" si="12"/>
        <v>100.7</v>
      </c>
      <c r="J106" s="167">
        <v>1.5</v>
      </c>
      <c r="K106" s="84">
        <f t="shared" si="15"/>
        <v>151.05</v>
      </c>
      <c r="L106" s="1">
        <f>SUM(K99:K106)</f>
        <v>2091.55</v>
      </c>
      <c r="M106" s="102"/>
    </row>
    <row r="107" s="88" customFormat="1" ht="20.25" spans="1:14">
      <c r="A107" s="90">
        <v>45478</v>
      </c>
      <c r="B107" s="111">
        <v>16</v>
      </c>
      <c r="C107" s="92">
        <v>45478</v>
      </c>
      <c r="D107" s="93"/>
      <c r="E107" s="93"/>
      <c r="F107" s="106" t="s">
        <v>111</v>
      </c>
      <c r="G107" s="93">
        <v>1</v>
      </c>
      <c r="H107" s="93">
        <v>158</v>
      </c>
      <c r="I107" s="93">
        <f t="shared" si="12"/>
        <v>158</v>
      </c>
      <c r="J107" s="105">
        <v>11</v>
      </c>
      <c r="K107" s="94">
        <f t="shared" si="15"/>
        <v>1738</v>
      </c>
      <c r="L107" s="86"/>
      <c r="M107" s="96"/>
    </row>
    <row r="108" s="88" customFormat="1" ht="20.25" spans="1:14">
      <c r="A108" s="90">
        <v>45478</v>
      </c>
      <c r="B108" s="111">
        <v>16</v>
      </c>
      <c r="C108" s="92">
        <v>45478</v>
      </c>
      <c r="D108" s="93"/>
      <c r="E108" s="93"/>
      <c r="F108" s="106" t="s">
        <v>107</v>
      </c>
      <c r="G108" s="93">
        <v>1</v>
      </c>
      <c r="H108" s="93">
        <v>22</v>
      </c>
      <c r="I108" s="93">
        <f t="shared" si="12"/>
        <v>22</v>
      </c>
      <c r="J108" s="105">
        <v>35</v>
      </c>
      <c r="K108" s="94">
        <f t="shared" si="15"/>
        <v>770</v>
      </c>
      <c r="L108" s="86"/>
      <c r="M108" s="96"/>
    </row>
    <row r="109" s="88" customFormat="1" ht="20.25" spans="1:14">
      <c r="A109" s="90">
        <v>45478</v>
      </c>
      <c r="B109" s="111">
        <v>16</v>
      </c>
      <c r="C109" s="92">
        <v>45478</v>
      </c>
      <c r="D109" s="93"/>
      <c r="E109" s="93"/>
      <c r="F109" s="106" t="s">
        <v>112</v>
      </c>
      <c r="G109" s="93">
        <v>1</v>
      </c>
      <c r="H109" s="93">
        <v>2</v>
      </c>
      <c r="I109" s="93">
        <f t="shared" si="12"/>
        <v>2</v>
      </c>
      <c r="J109" s="105">
        <v>25</v>
      </c>
      <c r="K109" s="94">
        <f t="shared" si="15"/>
        <v>50</v>
      </c>
      <c r="L109" s="86" t="s">
        <v>119</v>
      </c>
      <c r="M109" s="96"/>
    </row>
    <row r="110" s="88" customFormat="1" ht="20.25" spans="1:14">
      <c r="A110" s="90">
        <v>45478</v>
      </c>
      <c r="B110" s="111">
        <v>16</v>
      </c>
      <c r="C110" s="92">
        <v>45478</v>
      </c>
      <c r="D110" s="93"/>
      <c r="E110" s="93"/>
      <c r="F110" s="106" t="s">
        <v>108</v>
      </c>
      <c r="G110" s="93">
        <v>1</v>
      </c>
      <c r="H110" s="93">
        <v>8</v>
      </c>
      <c r="I110" s="93">
        <f t="shared" si="12"/>
        <v>8</v>
      </c>
      <c r="J110" s="105">
        <v>20</v>
      </c>
      <c r="K110" s="94">
        <f t="shared" si="15"/>
        <v>160</v>
      </c>
      <c r="L110" s="86">
        <f>SUM(K107:K112)</f>
        <v>3189</v>
      </c>
      <c r="M110" s="96"/>
    </row>
    <row r="111" s="88" customFormat="1" ht="20.25" spans="1:14">
      <c r="A111" s="90">
        <v>45478</v>
      </c>
      <c r="B111" s="111">
        <v>16</v>
      </c>
      <c r="C111" s="92">
        <v>45478</v>
      </c>
      <c r="D111" s="93"/>
      <c r="E111" s="93"/>
      <c r="F111" s="106" t="s">
        <v>113</v>
      </c>
      <c r="G111" s="93">
        <v>1</v>
      </c>
      <c r="H111" s="93">
        <v>12</v>
      </c>
      <c r="I111" s="93">
        <f t="shared" si="12"/>
        <v>12</v>
      </c>
      <c r="J111" s="105">
        <v>14</v>
      </c>
      <c r="K111" s="94">
        <f t="shared" si="15"/>
        <v>168</v>
      </c>
      <c r="L111" s="86" t="s">
        <v>120</v>
      </c>
      <c r="M111" s="96"/>
    </row>
    <row r="112" s="88" customFormat="1" ht="20.25" spans="1:14">
      <c r="A112" s="90">
        <v>45478</v>
      </c>
      <c r="B112" s="111">
        <v>16</v>
      </c>
      <c r="C112" s="92">
        <v>45478</v>
      </c>
      <c r="D112" s="93"/>
      <c r="E112" s="93"/>
      <c r="F112" s="82" t="s">
        <v>114</v>
      </c>
      <c r="G112" s="83">
        <v>1</v>
      </c>
      <c r="H112" s="83">
        <f>SUM(H107:H111)</f>
        <v>202</v>
      </c>
      <c r="I112" s="83">
        <f t="shared" si="12"/>
        <v>202</v>
      </c>
      <c r="J112" s="167">
        <v>1.5</v>
      </c>
      <c r="K112" s="84">
        <f t="shared" si="15"/>
        <v>303</v>
      </c>
      <c r="L112" s="86">
        <f>SUM(K107:K112)</f>
        <v>3189</v>
      </c>
      <c r="M112" s="96"/>
    </row>
    <row r="113" s="89" customFormat="1" ht="20.25" spans="1:13">
      <c r="A113" s="97">
        <v>45478</v>
      </c>
      <c r="B113" s="107">
        <v>17</v>
      </c>
      <c r="C113" s="99">
        <v>45478</v>
      </c>
      <c r="D113" s="100"/>
      <c r="E113" s="100"/>
      <c r="F113" s="108" t="s">
        <v>105</v>
      </c>
      <c r="G113" s="100">
        <v>1</v>
      </c>
      <c r="H113" s="100">
        <v>123</v>
      </c>
      <c r="I113" s="100">
        <f t="shared" si="12"/>
        <v>123</v>
      </c>
      <c r="J113" s="109"/>
      <c r="K113" s="101"/>
      <c r="L113" s="1" t="s">
        <v>106</v>
      </c>
      <c r="M113" s="102"/>
    </row>
    <row r="114" s="89" customFormat="1" ht="20.25" spans="1:13">
      <c r="A114" s="97">
        <v>45478</v>
      </c>
      <c r="B114" s="107">
        <v>17</v>
      </c>
      <c r="C114" s="99">
        <v>45478</v>
      </c>
      <c r="D114" s="100"/>
      <c r="E114" s="100"/>
      <c r="F114" s="108" t="s">
        <v>107</v>
      </c>
      <c r="G114" s="100">
        <v>1</v>
      </c>
      <c r="H114" s="100">
        <v>12</v>
      </c>
      <c r="I114" s="100">
        <f t="shared" si="12"/>
        <v>12</v>
      </c>
      <c r="J114" s="109">
        <v>35</v>
      </c>
      <c r="K114" s="101">
        <f t="shared" ref="K114:K125" si="16">I114*J114</f>
        <v>420</v>
      </c>
      <c r="L114" s="1" t="s">
        <v>104</v>
      </c>
      <c r="M114" s="102"/>
    </row>
    <row r="115" s="89" customFormat="1" ht="20.25" spans="1:13">
      <c r="A115" s="97">
        <v>45478</v>
      </c>
      <c r="B115" s="107">
        <v>17</v>
      </c>
      <c r="C115" s="99">
        <v>45478</v>
      </c>
      <c r="D115" s="100"/>
      <c r="E115" s="100"/>
      <c r="F115" s="108" t="s">
        <v>87</v>
      </c>
      <c r="G115" s="100">
        <v>1</v>
      </c>
      <c r="H115" s="100">
        <v>12</v>
      </c>
      <c r="I115" s="100">
        <f t="shared" si="12"/>
        <v>12</v>
      </c>
      <c r="J115" s="109">
        <v>15.5</v>
      </c>
      <c r="K115" s="101">
        <f t="shared" si="16"/>
        <v>186</v>
      </c>
      <c r="L115" s="1"/>
      <c r="M115" s="102"/>
    </row>
    <row r="116" s="89" customFormat="1" ht="20.25" spans="1:13">
      <c r="A116" s="97">
        <v>45478</v>
      </c>
      <c r="B116" s="107">
        <v>17</v>
      </c>
      <c r="C116" s="99">
        <v>45478</v>
      </c>
      <c r="D116" s="100"/>
      <c r="E116" s="100"/>
      <c r="F116" s="108" t="s">
        <v>108</v>
      </c>
      <c r="G116" s="100">
        <v>1</v>
      </c>
      <c r="H116" s="100">
        <v>4</v>
      </c>
      <c r="I116" s="100">
        <f t="shared" si="12"/>
        <v>4</v>
      </c>
      <c r="J116" s="109">
        <v>20</v>
      </c>
      <c r="K116" s="101">
        <f t="shared" si="16"/>
        <v>80</v>
      </c>
      <c r="L116" s="1" t="s">
        <v>109</v>
      </c>
      <c r="M116" s="102"/>
    </row>
    <row r="117" s="89" customFormat="1" ht="20.25" spans="1:13">
      <c r="A117" s="97">
        <v>45478</v>
      </c>
      <c r="B117" s="107">
        <v>17</v>
      </c>
      <c r="C117" s="99">
        <v>45478</v>
      </c>
      <c r="D117" s="100"/>
      <c r="E117" s="100"/>
      <c r="F117" s="82" t="s">
        <v>110</v>
      </c>
      <c r="G117" s="83">
        <v>1</v>
      </c>
      <c r="H117" s="83">
        <f>SUM(H113:H116)</f>
        <v>151</v>
      </c>
      <c r="I117" s="83">
        <f t="shared" si="12"/>
        <v>151</v>
      </c>
      <c r="J117" s="167">
        <v>1.5</v>
      </c>
      <c r="K117" s="84">
        <f t="shared" si="16"/>
        <v>226.5</v>
      </c>
      <c r="L117" s="1">
        <f>SUM(K113:K117)</f>
        <v>912.5</v>
      </c>
      <c r="M117" s="102"/>
    </row>
    <row r="118" s="88" customFormat="1" ht="20.25" spans="1:13">
      <c r="A118" s="90">
        <v>45482</v>
      </c>
      <c r="B118" s="111">
        <v>27</v>
      </c>
      <c r="C118" s="92">
        <v>45481</v>
      </c>
      <c r="D118" s="93"/>
      <c r="E118" s="93"/>
      <c r="F118" s="106" t="s">
        <v>32</v>
      </c>
      <c r="G118" s="93">
        <v>20</v>
      </c>
      <c r="H118" s="93">
        <v>20</v>
      </c>
      <c r="I118" s="93">
        <f t="shared" si="12"/>
        <v>400</v>
      </c>
      <c r="J118" s="105">
        <v>14.5</v>
      </c>
      <c r="K118" s="94">
        <f t="shared" si="16"/>
        <v>5800</v>
      </c>
      <c r="L118" s="128" t="s">
        <v>121</v>
      </c>
      <c r="M118" s="96"/>
    </row>
    <row r="119" s="88" customFormat="1" ht="20.25" spans="1:13">
      <c r="A119" s="90">
        <v>45482</v>
      </c>
      <c r="B119" s="111">
        <v>27</v>
      </c>
      <c r="C119" s="92">
        <v>45481</v>
      </c>
      <c r="D119" s="93"/>
      <c r="E119" s="93"/>
      <c r="F119" s="106" t="s">
        <v>34</v>
      </c>
      <c r="G119" s="93">
        <v>13</v>
      </c>
      <c r="H119" s="93">
        <v>20</v>
      </c>
      <c r="I119" s="93">
        <f t="shared" si="12"/>
        <v>260</v>
      </c>
      <c r="J119" s="105">
        <v>14.5</v>
      </c>
      <c r="K119" s="94">
        <f t="shared" si="16"/>
        <v>3770</v>
      </c>
      <c r="L119" s="86" t="s">
        <v>40</v>
      </c>
      <c r="M119" s="96"/>
    </row>
    <row r="120" s="88" customFormat="1" ht="20.25" spans="1:13">
      <c r="A120" s="90">
        <v>45482</v>
      </c>
      <c r="B120" s="111">
        <v>27</v>
      </c>
      <c r="C120" s="92">
        <v>45482</v>
      </c>
      <c r="D120" s="93"/>
      <c r="E120" s="93"/>
      <c r="F120" s="106" t="s">
        <v>122</v>
      </c>
      <c r="G120" s="93">
        <v>1</v>
      </c>
      <c r="H120" s="93">
        <v>1</v>
      </c>
      <c r="I120" s="93">
        <f t="shared" si="12"/>
        <v>1</v>
      </c>
      <c r="J120" s="105">
        <v>5.5</v>
      </c>
      <c r="K120" s="94">
        <f t="shared" si="16"/>
        <v>5.5</v>
      </c>
      <c r="L120" s="86"/>
      <c r="M120" s="96"/>
    </row>
    <row r="121" s="88" customFormat="1" ht="20.25" spans="1:13">
      <c r="A121" s="90">
        <v>45482</v>
      </c>
      <c r="B121" s="111">
        <v>27</v>
      </c>
      <c r="C121" s="92">
        <v>45482</v>
      </c>
      <c r="D121" s="93"/>
      <c r="E121" s="93"/>
      <c r="F121" s="106" t="s">
        <v>123</v>
      </c>
      <c r="G121" s="93">
        <v>1</v>
      </c>
      <c r="H121" s="93">
        <v>1</v>
      </c>
      <c r="I121" s="93">
        <f t="shared" si="12"/>
        <v>1</v>
      </c>
      <c r="J121" s="105">
        <v>6.6</v>
      </c>
      <c r="K121" s="94">
        <f t="shared" si="16"/>
        <v>6.6</v>
      </c>
      <c r="L121" s="86">
        <f>SUM(K118:K121)</f>
        <v>9582.1</v>
      </c>
      <c r="M121" s="96"/>
    </row>
    <row r="122" s="89" customFormat="1" ht="20.25" spans="1:13">
      <c r="A122" s="97">
        <v>45490</v>
      </c>
      <c r="B122" s="107">
        <v>63</v>
      </c>
      <c r="C122" s="99">
        <v>45488</v>
      </c>
      <c r="D122" s="100"/>
      <c r="E122" s="100"/>
      <c r="F122" s="108" t="s">
        <v>124</v>
      </c>
      <c r="G122" s="100">
        <v>1</v>
      </c>
      <c r="H122" s="100">
        <v>2</v>
      </c>
      <c r="I122" s="100">
        <f t="shared" si="12"/>
        <v>2</v>
      </c>
      <c r="J122" s="101">
        <v>16</v>
      </c>
      <c r="K122" s="101">
        <f t="shared" si="16"/>
        <v>32</v>
      </c>
      <c r="L122" s="1" t="s">
        <v>125</v>
      </c>
      <c r="M122" s="102"/>
    </row>
    <row r="123" s="89" customFormat="1" ht="20.25" spans="1:13">
      <c r="A123" s="97">
        <v>45490</v>
      </c>
      <c r="B123" s="107">
        <v>63</v>
      </c>
      <c r="C123" s="99">
        <v>45488</v>
      </c>
      <c r="D123" s="100"/>
      <c r="E123" s="100"/>
      <c r="F123" s="108" t="s">
        <v>126</v>
      </c>
      <c r="G123" s="100">
        <v>1</v>
      </c>
      <c r="H123" s="100">
        <v>12</v>
      </c>
      <c r="I123" s="100">
        <f t="shared" si="12"/>
        <v>12</v>
      </c>
      <c r="J123" s="101">
        <v>16</v>
      </c>
      <c r="K123" s="101">
        <f t="shared" si="16"/>
        <v>192</v>
      </c>
      <c r="L123" s="1" t="s">
        <v>125</v>
      </c>
      <c r="M123" s="102"/>
    </row>
    <row r="124" s="89" customFormat="1" ht="20.25" spans="1:13">
      <c r="A124" s="97">
        <v>45490</v>
      </c>
      <c r="B124" s="107">
        <v>63</v>
      </c>
      <c r="C124" s="99">
        <v>45488</v>
      </c>
      <c r="D124" s="100"/>
      <c r="E124" s="100"/>
      <c r="F124" s="108" t="s">
        <v>122</v>
      </c>
      <c r="G124" s="100">
        <v>1</v>
      </c>
      <c r="H124" s="100">
        <v>1</v>
      </c>
      <c r="I124" s="100">
        <f t="shared" si="12"/>
        <v>1</v>
      </c>
      <c r="J124" s="109">
        <v>5.5</v>
      </c>
      <c r="K124" s="101">
        <f t="shared" si="16"/>
        <v>5.5</v>
      </c>
      <c r="L124" s="1"/>
      <c r="M124" s="102"/>
    </row>
    <row r="125" s="89" customFormat="1" ht="20.25" spans="1:13">
      <c r="A125" s="97">
        <v>45490</v>
      </c>
      <c r="B125" s="107">
        <v>63</v>
      </c>
      <c r="C125" s="97">
        <v>45490</v>
      </c>
      <c r="D125" s="97"/>
      <c r="E125" s="97"/>
      <c r="F125" s="108" t="s">
        <v>47</v>
      </c>
      <c r="G125" s="100">
        <v>16</v>
      </c>
      <c r="H125" s="100">
        <v>25</v>
      </c>
      <c r="I125" s="100">
        <f t="shared" si="12"/>
        <v>400</v>
      </c>
      <c r="J125" s="167">
        <v>7.9</v>
      </c>
      <c r="K125" s="84">
        <f t="shared" si="16"/>
        <v>3160</v>
      </c>
      <c r="L125" s="128" t="s">
        <v>127</v>
      </c>
      <c r="M125" s="102">
        <f>SUM(K122:K125)</f>
        <v>3389.5</v>
      </c>
    </row>
    <row r="126" s="88" customFormat="1" ht="20.25" spans="1:13">
      <c r="A126" s="90">
        <v>45490</v>
      </c>
      <c r="B126" s="111">
        <v>64</v>
      </c>
      <c r="C126" s="92">
        <v>45490</v>
      </c>
      <c r="D126" s="93"/>
      <c r="E126" s="93"/>
      <c r="F126" s="106" t="s">
        <v>105</v>
      </c>
      <c r="G126" s="93">
        <v>1</v>
      </c>
      <c r="H126" s="93">
        <v>108.5</v>
      </c>
      <c r="I126" s="93">
        <f t="shared" si="12"/>
        <v>108.5</v>
      </c>
      <c r="J126" s="105"/>
      <c r="K126" s="94"/>
      <c r="L126" s="86" t="s">
        <v>106</v>
      </c>
      <c r="M126" s="96"/>
    </row>
    <row r="127" s="88" customFormat="1" ht="20.25" spans="1:13">
      <c r="A127" s="90">
        <v>45490</v>
      </c>
      <c r="B127" s="111">
        <v>64</v>
      </c>
      <c r="C127" s="92">
        <v>45490</v>
      </c>
      <c r="D127" s="93"/>
      <c r="E127" s="93"/>
      <c r="F127" s="106" t="s">
        <v>107</v>
      </c>
      <c r="G127" s="93">
        <v>1</v>
      </c>
      <c r="H127" s="93">
        <v>10</v>
      </c>
      <c r="I127" s="93">
        <f t="shared" si="12"/>
        <v>10</v>
      </c>
      <c r="J127" s="105">
        <v>35</v>
      </c>
      <c r="K127" s="94">
        <f t="shared" ref="K127:K136" si="17">I127*J127</f>
        <v>350</v>
      </c>
      <c r="L127" s="86" t="s">
        <v>104</v>
      </c>
      <c r="M127" s="96"/>
    </row>
    <row r="128" s="88" customFormat="1" ht="20.25" spans="1:13">
      <c r="A128" s="90">
        <v>45490</v>
      </c>
      <c r="B128" s="111">
        <v>64</v>
      </c>
      <c r="C128" s="92">
        <v>45490</v>
      </c>
      <c r="D128" s="93"/>
      <c r="E128" s="93"/>
      <c r="F128" s="106" t="s">
        <v>87</v>
      </c>
      <c r="G128" s="93">
        <v>1</v>
      </c>
      <c r="H128" s="93">
        <v>6</v>
      </c>
      <c r="I128" s="93">
        <f t="shared" si="12"/>
        <v>6</v>
      </c>
      <c r="J128" s="105">
        <v>16</v>
      </c>
      <c r="K128" s="94">
        <f t="shared" si="17"/>
        <v>96</v>
      </c>
      <c r="L128" s="86"/>
      <c r="M128" s="96"/>
    </row>
    <row r="129" s="88" customFormat="1" ht="20.25" spans="1:13">
      <c r="A129" s="90">
        <v>45490</v>
      </c>
      <c r="B129" s="111">
        <v>64</v>
      </c>
      <c r="C129" s="92">
        <v>45490</v>
      </c>
      <c r="D129" s="93"/>
      <c r="E129" s="93"/>
      <c r="F129" s="106" t="s">
        <v>108</v>
      </c>
      <c r="G129" s="93">
        <v>1</v>
      </c>
      <c r="H129" s="93">
        <v>3.5</v>
      </c>
      <c r="I129" s="93">
        <f t="shared" si="12"/>
        <v>3.5</v>
      </c>
      <c r="J129" s="105">
        <v>20</v>
      </c>
      <c r="K129" s="94">
        <f t="shared" si="17"/>
        <v>70</v>
      </c>
      <c r="L129" s="1" t="s">
        <v>109</v>
      </c>
      <c r="M129" s="96"/>
    </row>
    <row r="130" s="88" customFormat="1" ht="20.25" spans="1:13">
      <c r="A130" s="90">
        <v>45490</v>
      </c>
      <c r="B130" s="111">
        <v>64</v>
      </c>
      <c r="C130" s="92">
        <v>45490</v>
      </c>
      <c r="D130" s="93"/>
      <c r="E130" s="93"/>
      <c r="F130" s="82" t="s">
        <v>110</v>
      </c>
      <c r="G130" s="83">
        <v>1</v>
      </c>
      <c r="H130" s="83">
        <f>SUM(H126:H129)</f>
        <v>128</v>
      </c>
      <c r="I130" s="83">
        <f t="shared" si="12"/>
        <v>128</v>
      </c>
      <c r="J130" s="167">
        <v>1.5</v>
      </c>
      <c r="K130" s="84">
        <f t="shared" si="17"/>
        <v>192</v>
      </c>
      <c r="L130" s="86"/>
      <c r="M130" s="96"/>
    </row>
    <row r="131" s="88" customFormat="1" ht="20.25" spans="1:13">
      <c r="A131" s="90">
        <v>45490</v>
      </c>
      <c r="B131" s="111">
        <v>64</v>
      </c>
      <c r="C131" s="92">
        <v>45490</v>
      </c>
      <c r="D131" s="93"/>
      <c r="E131" s="93"/>
      <c r="F131" s="106" t="s">
        <v>111</v>
      </c>
      <c r="G131" s="93">
        <v>1</v>
      </c>
      <c r="H131" s="93">
        <v>79</v>
      </c>
      <c r="I131" s="93">
        <f t="shared" si="12"/>
        <v>79</v>
      </c>
      <c r="J131" s="105">
        <v>11</v>
      </c>
      <c r="K131" s="94">
        <f t="shared" si="17"/>
        <v>869</v>
      </c>
      <c r="L131" s="86"/>
      <c r="M131" s="96"/>
    </row>
    <row r="132" s="88" customFormat="1" ht="20.25" spans="1:13">
      <c r="A132" s="90">
        <v>45490</v>
      </c>
      <c r="B132" s="111">
        <v>64</v>
      </c>
      <c r="C132" s="92">
        <v>45490</v>
      </c>
      <c r="D132" s="93"/>
      <c r="E132" s="93"/>
      <c r="F132" s="106" t="s">
        <v>107</v>
      </c>
      <c r="G132" s="93">
        <v>1</v>
      </c>
      <c r="H132" s="93">
        <v>11</v>
      </c>
      <c r="I132" s="93">
        <f>G132*H132</f>
        <v>11</v>
      </c>
      <c r="J132" s="105">
        <v>35</v>
      </c>
      <c r="K132" s="94">
        <f t="shared" si="17"/>
        <v>385</v>
      </c>
      <c r="L132" s="86"/>
      <c r="M132" s="96"/>
    </row>
    <row r="133" s="88" customFormat="1" ht="20.25" spans="1:13">
      <c r="A133" s="90">
        <v>45490</v>
      </c>
      <c r="B133" s="111">
        <v>64</v>
      </c>
      <c r="C133" s="92">
        <v>45490</v>
      </c>
      <c r="D133" s="93"/>
      <c r="E133" s="93"/>
      <c r="F133" s="106" t="s">
        <v>112</v>
      </c>
      <c r="G133" s="93">
        <v>1</v>
      </c>
      <c r="H133" s="93">
        <v>1</v>
      </c>
      <c r="I133" s="93">
        <f>G133*H133</f>
        <v>1</v>
      </c>
      <c r="J133" s="105">
        <v>25</v>
      </c>
      <c r="K133" s="94">
        <f t="shared" si="17"/>
        <v>25</v>
      </c>
      <c r="L133" s="86"/>
      <c r="M133" s="96"/>
    </row>
    <row r="134" s="88" customFormat="1" ht="20.25" spans="1:13">
      <c r="A134" s="90">
        <v>45490</v>
      </c>
      <c r="B134" s="111">
        <v>64</v>
      </c>
      <c r="C134" s="92">
        <v>45490</v>
      </c>
      <c r="D134" s="93"/>
      <c r="E134" s="93"/>
      <c r="F134" s="106" t="s">
        <v>108</v>
      </c>
      <c r="G134" s="93">
        <v>1</v>
      </c>
      <c r="H134" s="93">
        <v>4</v>
      </c>
      <c r="I134" s="93">
        <f>G134*H134</f>
        <v>4</v>
      </c>
      <c r="J134" s="105">
        <v>20</v>
      </c>
      <c r="K134" s="94">
        <f t="shared" si="17"/>
        <v>80</v>
      </c>
      <c r="L134" s="86" t="s">
        <v>119</v>
      </c>
      <c r="M134" s="96"/>
    </row>
    <row r="135" s="88" customFormat="1" ht="20.25" spans="1:13">
      <c r="A135" s="90">
        <v>45490</v>
      </c>
      <c r="B135" s="111">
        <v>64</v>
      </c>
      <c r="C135" s="92">
        <v>45490</v>
      </c>
      <c r="D135" s="93"/>
      <c r="E135" s="93"/>
      <c r="F135" s="106" t="s">
        <v>113</v>
      </c>
      <c r="G135" s="93">
        <v>1</v>
      </c>
      <c r="H135" s="93">
        <v>6</v>
      </c>
      <c r="I135" s="93">
        <f>G135*H135</f>
        <v>6</v>
      </c>
      <c r="J135" s="105">
        <v>14</v>
      </c>
      <c r="K135" s="94">
        <f t="shared" si="17"/>
        <v>84</v>
      </c>
      <c r="L135" s="86" t="s">
        <v>104</v>
      </c>
      <c r="M135" s="96"/>
    </row>
    <row r="136" s="88" customFormat="1" ht="20.25" spans="1:13">
      <c r="A136" s="90">
        <v>45490</v>
      </c>
      <c r="B136" s="111">
        <v>64</v>
      </c>
      <c r="C136" s="92">
        <v>45490</v>
      </c>
      <c r="D136" s="93"/>
      <c r="E136" s="93"/>
      <c r="F136" s="170" t="s">
        <v>114</v>
      </c>
      <c r="G136" s="140">
        <v>1</v>
      </c>
      <c r="H136" s="140">
        <f>SUM(H131:H135)</f>
        <v>101</v>
      </c>
      <c r="I136" s="140">
        <f>G136*H136</f>
        <v>101</v>
      </c>
      <c r="J136" s="171">
        <v>1.5</v>
      </c>
      <c r="K136" s="172">
        <f t="shared" si="17"/>
        <v>151.5</v>
      </c>
      <c r="L136" s="86">
        <f>SUM(K126:K136)</f>
        <v>2302.5</v>
      </c>
      <c r="M136" s="96"/>
    </row>
    <row r="137" s="88" customFormat="1" ht="20.25" spans="1:13">
      <c r="A137" s="90"/>
      <c r="B137" s="111"/>
      <c r="C137" s="92"/>
      <c r="D137" s="93"/>
      <c r="E137" s="93"/>
      <c r="F137" s="128" t="s">
        <v>128</v>
      </c>
      <c r="G137" s="83"/>
      <c r="H137" s="83"/>
      <c r="I137" s="83"/>
      <c r="J137" s="167"/>
      <c r="K137" s="84"/>
      <c r="L137" s="86"/>
      <c r="M137" s="96"/>
    </row>
    <row r="138" s="89" customFormat="1" ht="20.25" spans="1:13">
      <c r="A138" s="97">
        <v>45493</v>
      </c>
      <c r="B138" s="107">
        <v>71</v>
      </c>
      <c r="C138" s="99">
        <v>45492</v>
      </c>
      <c r="D138" s="100"/>
      <c r="E138" s="100"/>
      <c r="F138" s="108" t="s">
        <v>32</v>
      </c>
      <c r="G138" s="100">
        <v>10</v>
      </c>
      <c r="H138" s="100">
        <v>20</v>
      </c>
      <c r="I138" s="100">
        <f t="shared" ref="I138:I148" si="18">G138*H138</f>
        <v>200</v>
      </c>
      <c r="J138" s="109">
        <v>14.5</v>
      </c>
      <c r="K138" s="101">
        <f t="shared" ref="K138:K148" si="19">I138*J138</f>
        <v>2900</v>
      </c>
      <c r="L138" s="1" t="s">
        <v>129</v>
      </c>
      <c r="M138" s="102">
        <f>SUM(K138:K139)</f>
        <v>5640</v>
      </c>
    </row>
    <row r="139" s="89" customFormat="1" ht="20.25" spans="1:13">
      <c r="A139" s="97">
        <v>45493</v>
      </c>
      <c r="B139" s="107">
        <v>71</v>
      </c>
      <c r="C139" s="99">
        <v>45492</v>
      </c>
      <c r="D139" s="100"/>
      <c r="E139" s="100"/>
      <c r="F139" s="108" t="s">
        <v>34</v>
      </c>
      <c r="G139" s="100">
        <v>10</v>
      </c>
      <c r="H139" s="100">
        <v>20</v>
      </c>
      <c r="I139" s="100">
        <f t="shared" si="18"/>
        <v>200</v>
      </c>
      <c r="J139" s="109">
        <v>13.7</v>
      </c>
      <c r="K139" s="101">
        <f t="shared" si="19"/>
        <v>2740</v>
      </c>
      <c r="L139" s="128" t="s">
        <v>130</v>
      </c>
      <c r="M139" s="102"/>
    </row>
    <row r="140" s="88" customFormat="1" ht="20.25" spans="1:13">
      <c r="A140" s="90">
        <v>45503</v>
      </c>
      <c r="B140" s="111">
        <v>92</v>
      </c>
      <c r="C140" s="92">
        <v>45502</v>
      </c>
      <c r="D140" s="93"/>
      <c r="E140" s="93"/>
      <c r="F140" s="106" t="s">
        <v>131</v>
      </c>
      <c r="G140" s="93">
        <v>2</v>
      </c>
      <c r="H140" s="93">
        <v>20</v>
      </c>
      <c r="I140" s="93">
        <f t="shared" si="18"/>
        <v>40</v>
      </c>
      <c r="J140" s="105">
        <v>17</v>
      </c>
      <c r="K140" s="94">
        <f t="shared" si="19"/>
        <v>680</v>
      </c>
      <c r="L140" s="169" t="s">
        <v>132</v>
      </c>
      <c r="M140" s="96"/>
    </row>
    <row r="141" s="88" customFormat="1" ht="20.25" spans="1:13">
      <c r="A141" s="90">
        <v>45503</v>
      </c>
      <c r="B141" s="111">
        <v>92</v>
      </c>
      <c r="C141" s="92">
        <v>45502</v>
      </c>
      <c r="D141" s="93"/>
      <c r="E141" s="93"/>
      <c r="F141" s="106" t="s">
        <v>133</v>
      </c>
      <c r="G141" s="93">
        <v>1</v>
      </c>
      <c r="H141" s="93">
        <v>10</v>
      </c>
      <c r="I141" s="93">
        <f t="shared" si="18"/>
        <v>10</v>
      </c>
      <c r="J141" s="105">
        <v>17</v>
      </c>
      <c r="K141" s="94">
        <f t="shared" si="19"/>
        <v>170</v>
      </c>
      <c r="L141" s="169" t="s">
        <v>132</v>
      </c>
      <c r="M141" s="96"/>
    </row>
    <row r="142" s="88" customFormat="1" ht="20.25" spans="1:13">
      <c r="A142" s="90">
        <v>45503</v>
      </c>
      <c r="B142" s="111">
        <v>92</v>
      </c>
      <c r="C142" s="92">
        <v>45502</v>
      </c>
      <c r="D142" s="93"/>
      <c r="E142" s="93"/>
      <c r="F142" s="106" t="s">
        <v>134</v>
      </c>
      <c r="G142" s="93">
        <v>1</v>
      </c>
      <c r="H142" s="93">
        <v>13</v>
      </c>
      <c r="I142" s="93">
        <f t="shared" si="18"/>
        <v>13</v>
      </c>
      <c r="J142" s="105">
        <v>14.5</v>
      </c>
      <c r="K142" s="94">
        <f t="shared" si="19"/>
        <v>188.5</v>
      </c>
      <c r="L142" s="169"/>
      <c r="M142" s="96"/>
    </row>
    <row r="143" s="88" customFormat="1" ht="21" customHeight="1" spans="1:13">
      <c r="A143" s="90">
        <v>45503</v>
      </c>
      <c r="B143" s="111">
        <v>92</v>
      </c>
      <c r="C143" s="92">
        <v>45502</v>
      </c>
      <c r="D143" s="93"/>
      <c r="E143" s="93"/>
      <c r="F143" s="106" t="s">
        <v>134</v>
      </c>
      <c r="G143" s="93">
        <v>1</v>
      </c>
      <c r="H143" s="93">
        <v>14</v>
      </c>
      <c r="I143" s="93">
        <f t="shared" si="18"/>
        <v>14</v>
      </c>
      <c r="J143" s="105">
        <v>14.5</v>
      </c>
      <c r="K143" s="94">
        <f t="shared" si="19"/>
        <v>203</v>
      </c>
      <c r="L143" s="86"/>
      <c r="M143" s="96">
        <f>SUM(K140:K143)</f>
        <v>1241.5</v>
      </c>
    </row>
    <row r="144" s="89" customFormat="1" ht="20.25" spans="1:13">
      <c r="A144" s="97">
        <v>45511</v>
      </c>
      <c r="B144" s="107">
        <v>16</v>
      </c>
      <c r="C144" s="99">
        <v>45507</v>
      </c>
      <c r="D144" s="100"/>
      <c r="E144" s="100"/>
      <c r="F144" s="108" t="s">
        <v>135</v>
      </c>
      <c r="G144" s="100">
        <v>1</v>
      </c>
      <c r="H144" s="100">
        <v>3</v>
      </c>
      <c r="I144" s="100">
        <f t="shared" si="18"/>
        <v>3</v>
      </c>
      <c r="J144" s="109">
        <v>14.5</v>
      </c>
      <c r="K144" s="101">
        <f t="shared" si="19"/>
        <v>43.5</v>
      </c>
      <c r="L144" s="1" t="s">
        <v>35</v>
      </c>
      <c r="M144" s="102"/>
    </row>
    <row r="145" s="89" customFormat="1" ht="20.25" spans="1:13">
      <c r="A145" s="97">
        <v>45511</v>
      </c>
      <c r="B145" s="107">
        <v>16</v>
      </c>
      <c r="C145" s="99">
        <v>45507</v>
      </c>
      <c r="D145" s="100"/>
      <c r="E145" s="100"/>
      <c r="F145" s="108" t="s">
        <v>34</v>
      </c>
      <c r="G145" s="100">
        <v>1</v>
      </c>
      <c r="H145" s="100">
        <v>2</v>
      </c>
      <c r="I145" s="100">
        <f t="shared" si="18"/>
        <v>2</v>
      </c>
      <c r="J145" s="109">
        <v>13.7</v>
      </c>
      <c r="K145" s="101">
        <f t="shared" si="19"/>
        <v>27.4</v>
      </c>
      <c r="L145" s="1" t="s">
        <v>40</v>
      </c>
      <c r="M145" s="102"/>
    </row>
    <row r="146" s="89" customFormat="1" ht="20.25" spans="1:13">
      <c r="A146" s="97">
        <v>45511</v>
      </c>
      <c r="B146" s="107">
        <v>16</v>
      </c>
      <c r="C146" s="99">
        <v>45507</v>
      </c>
      <c r="D146" s="100"/>
      <c r="E146" s="100"/>
      <c r="F146" s="108" t="s">
        <v>103</v>
      </c>
      <c r="G146" s="100">
        <v>1</v>
      </c>
      <c r="H146" s="100">
        <v>3</v>
      </c>
      <c r="I146" s="100">
        <f t="shared" ref="I146:I193" si="20">G146*H146</f>
        <v>3</v>
      </c>
      <c r="J146" s="109">
        <v>8</v>
      </c>
      <c r="K146" s="101">
        <f t="shared" ref="K146:K193" si="21">I146*J146</f>
        <v>24</v>
      </c>
      <c r="L146" s="1" t="s">
        <v>35</v>
      </c>
      <c r="M146" s="102"/>
    </row>
    <row r="147" s="89" customFormat="1" ht="20.25" spans="1:13">
      <c r="A147" s="97">
        <v>45511</v>
      </c>
      <c r="B147" s="107">
        <v>16</v>
      </c>
      <c r="C147" s="99">
        <v>45507</v>
      </c>
      <c r="D147" s="100"/>
      <c r="E147" s="100"/>
      <c r="F147" s="108" t="s">
        <v>122</v>
      </c>
      <c r="G147" s="100">
        <v>1</v>
      </c>
      <c r="H147" s="100">
        <v>1</v>
      </c>
      <c r="I147" s="100">
        <f t="shared" si="20"/>
        <v>1</v>
      </c>
      <c r="J147" s="109">
        <v>5.5</v>
      </c>
      <c r="K147" s="101">
        <f t="shared" si="21"/>
        <v>5.5</v>
      </c>
      <c r="L147" s="1"/>
      <c r="M147" s="102"/>
    </row>
    <row r="148" s="89" customFormat="1" ht="20.25" spans="1:13">
      <c r="A148" s="97">
        <v>45511</v>
      </c>
      <c r="B148" s="107">
        <v>16</v>
      </c>
      <c r="C148" s="99">
        <v>45507</v>
      </c>
      <c r="D148" s="100"/>
      <c r="E148" s="100"/>
      <c r="F148" s="108" t="s">
        <v>136</v>
      </c>
      <c r="G148" s="100">
        <v>1</v>
      </c>
      <c r="H148" s="100">
        <v>1</v>
      </c>
      <c r="I148" s="100">
        <f t="shared" si="20"/>
        <v>1</v>
      </c>
      <c r="J148" s="109">
        <v>5.5</v>
      </c>
      <c r="K148" s="101">
        <f t="shared" si="21"/>
        <v>5.5</v>
      </c>
      <c r="L148" s="1"/>
      <c r="M148" s="102"/>
    </row>
    <row r="149" s="89" customFormat="1" ht="20.25" spans="1:13">
      <c r="A149" s="97">
        <v>45511</v>
      </c>
      <c r="B149" s="107">
        <v>16</v>
      </c>
      <c r="C149" s="99">
        <v>45507</v>
      </c>
      <c r="D149" s="100"/>
      <c r="E149" s="100"/>
      <c r="F149" s="108" t="s">
        <v>136</v>
      </c>
      <c r="G149" s="100">
        <v>1</v>
      </c>
      <c r="H149" s="100">
        <v>1</v>
      </c>
      <c r="I149" s="100">
        <f t="shared" si="20"/>
        <v>1</v>
      </c>
      <c r="J149" s="109">
        <v>5.5</v>
      </c>
      <c r="K149" s="101">
        <f t="shared" si="21"/>
        <v>5.5</v>
      </c>
      <c r="L149" s="1"/>
      <c r="M149" s="102">
        <f>SUM(K144:K149)</f>
        <v>111.4</v>
      </c>
    </row>
    <row r="150" s="88" customFormat="1" ht="20.25" spans="1:13">
      <c r="A150" s="90">
        <v>45524</v>
      </c>
      <c r="B150" s="111">
        <v>71</v>
      </c>
      <c r="C150" s="92">
        <v>45524</v>
      </c>
      <c r="D150" s="93"/>
      <c r="E150" s="93"/>
      <c r="F150" s="106" t="s">
        <v>32</v>
      </c>
      <c r="G150" s="93">
        <v>21</v>
      </c>
      <c r="H150" s="93">
        <v>20</v>
      </c>
      <c r="I150" s="93">
        <f t="shared" si="20"/>
        <v>420</v>
      </c>
      <c r="J150" s="105">
        <v>14.5</v>
      </c>
      <c r="K150" s="94">
        <f t="shared" si="21"/>
        <v>6090</v>
      </c>
      <c r="L150" s="86" t="s">
        <v>129</v>
      </c>
      <c r="M150" s="96"/>
    </row>
    <row r="151" s="88" customFormat="1" ht="20.25" spans="1:13">
      <c r="A151" s="90">
        <v>45524</v>
      </c>
      <c r="B151" s="111">
        <v>71</v>
      </c>
      <c r="C151" s="92">
        <v>45524</v>
      </c>
      <c r="D151" s="93"/>
      <c r="E151" s="93"/>
      <c r="F151" s="106" t="s">
        <v>34</v>
      </c>
      <c r="G151" s="93">
        <v>15</v>
      </c>
      <c r="H151" s="93">
        <v>20</v>
      </c>
      <c r="I151" s="93">
        <f t="shared" si="20"/>
        <v>300</v>
      </c>
      <c r="J151" s="105">
        <v>13.7</v>
      </c>
      <c r="K151" s="94">
        <f t="shared" si="21"/>
        <v>4110</v>
      </c>
      <c r="L151" s="86" t="s">
        <v>130</v>
      </c>
      <c r="M151" s="96"/>
    </row>
    <row r="152" s="88" customFormat="1" ht="20.25" spans="1:13">
      <c r="A152" s="90">
        <v>45524</v>
      </c>
      <c r="B152" s="111">
        <v>71</v>
      </c>
      <c r="C152" s="92">
        <v>45524</v>
      </c>
      <c r="D152" s="93"/>
      <c r="E152" s="93"/>
      <c r="F152" s="106" t="s">
        <v>137</v>
      </c>
      <c r="G152" s="93">
        <v>1</v>
      </c>
      <c r="H152" s="93">
        <v>22</v>
      </c>
      <c r="I152" s="93">
        <f t="shared" si="20"/>
        <v>22</v>
      </c>
      <c r="J152" s="105">
        <v>13.5</v>
      </c>
      <c r="K152" s="94">
        <f t="shared" si="21"/>
        <v>297</v>
      </c>
      <c r="L152" s="86" t="s">
        <v>138</v>
      </c>
      <c r="M152" s="96">
        <f>SUM(K150:K152)</f>
        <v>10497</v>
      </c>
    </row>
    <row r="153" s="89" customFormat="1" ht="20.25" spans="1:13">
      <c r="A153" s="97">
        <v>45531</v>
      </c>
      <c r="B153" s="107">
        <v>89</v>
      </c>
      <c r="C153" s="99">
        <v>45528</v>
      </c>
      <c r="D153" s="100"/>
      <c r="E153" s="100"/>
      <c r="F153" s="108" t="s">
        <v>139</v>
      </c>
      <c r="G153" s="100">
        <v>1</v>
      </c>
      <c r="H153" s="100">
        <v>5</v>
      </c>
      <c r="I153" s="100">
        <f t="shared" si="20"/>
        <v>5</v>
      </c>
      <c r="J153" s="109">
        <v>15</v>
      </c>
      <c r="K153" s="101">
        <f t="shared" si="21"/>
        <v>75</v>
      </c>
      <c r="L153" s="1" t="s">
        <v>140</v>
      </c>
      <c r="M153" s="102"/>
    </row>
    <row r="154" s="89" customFormat="1" ht="20.25" spans="1:13">
      <c r="A154" s="97">
        <v>45531</v>
      </c>
      <c r="B154" s="107">
        <v>89</v>
      </c>
      <c r="C154" s="99">
        <v>45528</v>
      </c>
      <c r="D154" s="100"/>
      <c r="E154" s="100"/>
      <c r="F154" s="108" t="s">
        <v>96</v>
      </c>
      <c r="G154" s="100">
        <v>1</v>
      </c>
      <c r="H154" s="100">
        <v>1</v>
      </c>
      <c r="I154" s="100">
        <f t="shared" si="20"/>
        <v>1</v>
      </c>
      <c r="J154" s="109">
        <v>6.6</v>
      </c>
      <c r="K154" s="101">
        <f t="shared" si="21"/>
        <v>6.6</v>
      </c>
      <c r="L154" s="1">
        <f>SUM(K153:K155)</f>
        <v>2821.6</v>
      </c>
      <c r="M154" s="102"/>
    </row>
    <row r="155" s="89" customFormat="1" ht="20.25" spans="1:13">
      <c r="A155" s="97">
        <v>45531</v>
      </c>
      <c r="B155" s="107">
        <v>89</v>
      </c>
      <c r="C155" s="99">
        <v>45531</v>
      </c>
      <c r="D155" s="100"/>
      <c r="E155" s="100"/>
      <c r="F155" s="108" t="s">
        <v>34</v>
      </c>
      <c r="G155" s="100">
        <v>10</v>
      </c>
      <c r="H155" s="100">
        <v>20</v>
      </c>
      <c r="I155" s="100">
        <f t="shared" si="20"/>
        <v>200</v>
      </c>
      <c r="J155" s="109">
        <v>13.7</v>
      </c>
      <c r="K155" s="101">
        <f t="shared" si="21"/>
        <v>2740</v>
      </c>
      <c r="L155" s="1" t="s">
        <v>130</v>
      </c>
      <c r="M155" s="102"/>
    </row>
    <row r="156" s="85" customFormat="1" ht="20.25" spans="1:13">
      <c r="A156" s="125">
        <v>45533</v>
      </c>
      <c r="B156" s="126">
        <v>92</v>
      </c>
      <c r="C156" s="104" t="s">
        <v>141</v>
      </c>
      <c r="D156" s="83"/>
      <c r="E156" s="83"/>
      <c r="F156" s="82" t="s">
        <v>142</v>
      </c>
      <c r="G156" s="83">
        <v>3</v>
      </c>
      <c r="H156" s="83">
        <v>25</v>
      </c>
      <c r="I156" s="83">
        <f t="shared" si="20"/>
        <v>75</v>
      </c>
      <c r="J156" s="167">
        <v>15</v>
      </c>
      <c r="K156" s="84">
        <f t="shared" si="21"/>
        <v>1125</v>
      </c>
      <c r="L156" s="173" t="s">
        <v>143</v>
      </c>
      <c r="M156" s="127"/>
    </row>
    <row r="157" s="88" customFormat="1" ht="20.25" spans="1:13">
      <c r="A157" s="90">
        <v>45533</v>
      </c>
      <c r="B157" s="111">
        <v>92</v>
      </c>
      <c r="C157" s="92" t="s">
        <v>144</v>
      </c>
      <c r="D157" s="93"/>
      <c r="E157" s="93"/>
      <c r="F157" s="106" t="s">
        <v>145</v>
      </c>
      <c r="G157" s="93">
        <v>3</v>
      </c>
      <c r="H157" s="93">
        <v>23</v>
      </c>
      <c r="I157" s="93">
        <f t="shared" si="20"/>
        <v>69</v>
      </c>
      <c r="J157" s="105">
        <v>15</v>
      </c>
      <c r="K157" s="94">
        <f t="shared" si="21"/>
        <v>1035</v>
      </c>
      <c r="L157" s="113">
        <v>45532</v>
      </c>
      <c r="M157" s="96">
        <f>SUM(K156:K157)</f>
        <v>2160</v>
      </c>
    </row>
    <row r="158" s="89" customFormat="1" ht="20.25" spans="1:13">
      <c r="A158" s="97">
        <v>45549</v>
      </c>
      <c r="B158" s="107">
        <v>47</v>
      </c>
      <c r="C158" s="99">
        <v>45549</v>
      </c>
      <c r="D158" s="100"/>
      <c r="E158" s="100"/>
      <c r="F158" s="108" t="s">
        <v>32</v>
      </c>
      <c r="G158" s="100">
        <v>10</v>
      </c>
      <c r="H158" s="100">
        <v>20</v>
      </c>
      <c r="I158" s="100">
        <f t="shared" si="20"/>
        <v>200</v>
      </c>
      <c r="J158" s="109">
        <v>14.5</v>
      </c>
      <c r="K158" s="101">
        <f t="shared" si="21"/>
        <v>2900</v>
      </c>
      <c r="L158" s="1" t="s">
        <v>129</v>
      </c>
      <c r="M158" s="102">
        <f>SUM(K158:K159)</f>
        <v>4270</v>
      </c>
    </row>
    <row r="159" s="89" customFormat="1" ht="20.25" spans="1:13">
      <c r="A159" s="97">
        <v>45549</v>
      </c>
      <c r="B159" s="107">
        <v>47</v>
      </c>
      <c r="C159" s="99">
        <v>45549</v>
      </c>
      <c r="D159" s="100"/>
      <c r="E159" s="100"/>
      <c r="F159" s="108" t="s">
        <v>34</v>
      </c>
      <c r="G159" s="100">
        <v>5</v>
      </c>
      <c r="H159" s="100">
        <v>20</v>
      </c>
      <c r="I159" s="100">
        <f t="shared" si="20"/>
        <v>100</v>
      </c>
      <c r="J159" s="109">
        <v>13.7</v>
      </c>
      <c r="K159" s="101">
        <f t="shared" si="21"/>
        <v>1370</v>
      </c>
      <c r="L159" s="1" t="s">
        <v>130</v>
      </c>
      <c r="M159" s="102"/>
    </row>
    <row r="160" s="88" customFormat="1" ht="20.25" spans="1:13">
      <c r="A160" s="90">
        <v>45559</v>
      </c>
      <c r="B160" s="111">
        <v>72</v>
      </c>
      <c r="C160" s="92" t="s">
        <v>146</v>
      </c>
      <c r="D160" s="93"/>
      <c r="E160" s="93"/>
      <c r="F160" s="106" t="s">
        <v>147</v>
      </c>
      <c r="G160" s="93">
        <v>2</v>
      </c>
      <c r="H160" s="93">
        <v>25</v>
      </c>
      <c r="I160" s="93">
        <f t="shared" si="20"/>
        <v>50</v>
      </c>
      <c r="J160" s="105">
        <v>14.5</v>
      </c>
      <c r="K160" s="94">
        <f t="shared" si="21"/>
        <v>725</v>
      </c>
      <c r="L160" s="113">
        <v>45556</v>
      </c>
      <c r="M160" s="96"/>
    </row>
    <row r="161" s="85" customFormat="1" ht="20.25" spans="1:15">
      <c r="A161" s="90">
        <v>45559</v>
      </c>
      <c r="B161" s="111">
        <v>72</v>
      </c>
      <c r="C161" s="92"/>
      <c r="D161" s="93"/>
      <c r="E161" s="93"/>
      <c r="F161" s="106" t="s">
        <v>95</v>
      </c>
      <c r="G161" s="93">
        <v>1</v>
      </c>
      <c r="H161" s="93">
        <v>25</v>
      </c>
      <c r="I161" s="93">
        <f t="shared" si="20"/>
        <v>25</v>
      </c>
      <c r="J161" s="105">
        <v>15</v>
      </c>
      <c r="K161" s="94">
        <f t="shared" si="21"/>
        <v>375</v>
      </c>
      <c r="L161" s="128"/>
      <c r="M161" s="127">
        <f>SUM(K160:K161)</f>
        <v>1100</v>
      </c>
    </row>
    <row r="162" s="89" customFormat="1" ht="20.25" spans="1:15">
      <c r="A162" s="97">
        <v>45560</v>
      </c>
      <c r="B162" s="107">
        <v>86</v>
      </c>
      <c r="C162" s="99">
        <v>45560</v>
      </c>
      <c r="D162" s="100"/>
      <c r="E162" s="100"/>
      <c r="F162" s="108" t="s">
        <v>148</v>
      </c>
      <c r="G162" s="100">
        <v>2</v>
      </c>
      <c r="H162" s="100">
        <v>20</v>
      </c>
      <c r="I162" s="100">
        <f t="shared" si="20"/>
        <v>40</v>
      </c>
      <c r="J162" s="109">
        <v>14.5</v>
      </c>
      <c r="K162" s="101">
        <f t="shared" si="21"/>
        <v>580</v>
      </c>
      <c r="L162" s="1" t="s">
        <v>149</v>
      </c>
      <c r="M162" s="102"/>
    </row>
    <row r="163" s="89" customFormat="1" ht="20.25" spans="1:15">
      <c r="A163" s="97">
        <v>45560</v>
      </c>
      <c r="B163" s="107">
        <v>86</v>
      </c>
      <c r="C163" s="99">
        <v>45560</v>
      </c>
      <c r="D163" s="100"/>
      <c r="E163" s="100"/>
      <c r="F163" s="108" t="s">
        <v>148</v>
      </c>
      <c r="G163" s="100">
        <v>11</v>
      </c>
      <c r="H163" s="100">
        <v>20</v>
      </c>
      <c r="I163" s="100">
        <f t="shared" si="20"/>
        <v>220</v>
      </c>
      <c r="J163" s="109">
        <v>14.5</v>
      </c>
      <c r="K163" s="101">
        <f t="shared" si="21"/>
        <v>3190</v>
      </c>
      <c r="L163" s="1" t="s">
        <v>150</v>
      </c>
      <c r="M163" s="102"/>
    </row>
    <row r="164" s="89" customFormat="1" ht="20.25" spans="1:15">
      <c r="A164" s="97">
        <v>45560</v>
      </c>
      <c r="B164" s="107">
        <v>86</v>
      </c>
      <c r="C164" s="99">
        <v>45560</v>
      </c>
      <c r="D164" s="100"/>
      <c r="E164" s="100"/>
      <c r="F164" s="108" t="s">
        <v>151</v>
      </c>
      <c r="G164" s="100">
        <v>13</v>
      </c>
      <c r="H164" s="100">
        <v>20</v>
      </c>
      <c r="I164" s="100">
        <f t="shared" si="20"/>
        <v>260</v>
      </c>
      <c r="J164" s="109">
        <v>13.7</v>
      </c>
      <c r="K164" s="101">
        <f t="shared" si="21"/>
        <v>3562</v>
      </c>
      <c r="L164" s="1" t="s">
        <v>130</v>
      </c>
      <c r="M164" s="102">
        <f>SUM(K162:K164)</f>
        <v>7332</v>
      </c>
    </row>
    <row r="165" s="88" customFormat="1" ht="20.25" spans="1:15">
      <c r="A165" s="90">
        <v>45562</v>
      </c>
      <c r="B165" s="111">
        <v>91</v>
      </c>
      <c r="C165" s="92">
        <v>45562</v>
      </c>
      <c r="D165" s="93"/>
      <c r="E165" s="93"/>
      <c r="F165" s="106" t="s">
        <v>148</v>
      </c>
      <c r="G165" s="93">
        <v>10</v>
      </c>
      <c r="H165" s="93">
        <v>20</v>
      </c>
      <c r="I165" s="93">
        <f t="shared" si="20"/>
        <v>200</v>
      </c>
      <c r="J165" s="105">
        <v>14.5</v>
      </c>
      <c r="K165" s="94">
        <f t="shared" si="21"/>
        <v>2900</v>
      </c>
      <c r="L165" s="86" t="s">
        <v>150</v>
      </c>
      <c r="M165" s="96"/>
    </row>
    <row r="166" s="88" customFormat="1" ht="20.25" spans="1:15">
      <c r="A166" s="90">
        <v>45562</v>
      </c>
      <c r="B166" s="111">
        <v>91</v>
      </c>
      <c r="C166" s="92">
        <v>45562</v>
      </c>
      <c r="D166" s="93"/>
      <c r="E166" s="93"/>
      <c r="F166" s="106" t="s">
        <v>151</v>
      </c>
      <c r="G166" s="93">
        <v>10</v>
      </c>
      <c r="H166" s="93">
        <v>20</v>
      </c>
      <c r="I166" s="93">
        <f t="shared" si="20"/>
        <v>200</v>
      </c>
      <c r="J166" s="105">
        <v>13.7</v>
      </c>
      <c r="K166" s="94">
        <f t="shared" si="21"/>
        <v>2740</v>
      </c>
      <c r="L166" s="86" t="s">
        <v>130</v>
      </c>
      <c r="M166" s="96">
        <f>SUM(K165:K166)</f>
        <v>5640</v>
      </c>
    </row>
    <row r="167" s="89" customFormat="1" ht="21" customHeight="1" spans="1:15">
      <c r="A167" s="97">
        <v>45590</v>
      </c>
      <c r="B167" s="107">
        <v>74</v>
      </c>
      <c r="C167" s="99" t="s">
        <v>152</v>
      </c>
      <c r="D167" s="100"/>
      <c r="E167" s="100"/>
      <c r="F167" s="108" t="s">
        <v>153</v>
      </c>
      <c r="G167" s="100">
        <v>1</v>
      </c>
      <c r="H167" s="100">
        <v>25</v>
      </c>
      <c r="I167" s="100">
        <f t="shared" si="20"/>
        <v>25</v>
      </c>
      <c r="J167" s="109">
        <v>14.5</v>
      </c>
      <c r="K167" s="101">
        <f t="shared" si="21"/>
        <v>362.5</v>
      </c>
      <c r="L167" s="1" t="s">
        <v>154</v>
      </c>
      <c r="M167" s="102">
        <f>K167</f>
        <v>362.5</v>
      </c>
    </row>
    <row r="168" s="88" customFormat="1" ht="20.25" spans="1:15">
      <c r="A168" s="90">
        <v>45594</v>
      </c>
      <c r="B168" s="111">
        <v>91</v>
      </c>
      <c r="C168" s="92">
        <v>45593</v>
      </c>
      <c r="D168" s="93"/>
      <c r="E168" s="93"/>
      <c r="F168" s="106" t="s">
        <v>148</v>
      </c>
      <c r="G168" s="93">
        <v>20</v>
      </c>
      <c r="H168" s="93">
        <v>20</v>
      </c>
      <c r="I168" s="93">
        <f t="shared" si="20"/>
        <v>400</v>
      </c>
      <c r="J168" s="105">
        <v>14.5</v>
      </c>
      <c r="K168" s="94">
        <f t="shared" si="21"/>
        <v>5800</v>
      </c>
      <c r="L168" s="86" t="s">
        <v>150</v>
      </c>
      <c r="M168" s="96"/>
    </row>
    <row r="169" s="88" customFormat="1" ht="20.25" spans="1:15">
      <c r="A169" s="90">
        <v>45594</v>
      </c>
      <c r="B169" s="111">
        <v>91</v>
      </c>
      <c r="C169" s="92">
        <v>45593</v>
      </c>
      <c r="D169" s="93"/>
      <c r="E169" s="93"/>
      <c r="F169" s="106" t="s">
        <v>151</v>
      </c>
      <c r="G169" s="93">
        <v>20</v>
      </c>
      <c r="H169" s="93">
        <v>20</v>
      </c>
      <c r="I169" s="93">
        <f t="shared" si="20"/>
        <v>400</v>
      </c>
      <c r="J169" s="105">
        <v>13.7</v>
      </c>
      <c r="K169" s="94">
        <f t="shared" si="21"/>
        <v>5480</v>
      </c>
      <c r="L169" s="86" t="s">
        <v>130</v>
      </c>
      <c r="M169" s="96">
        <f>SUM(K168:K169)</f>
        <v>11280</v>
      </c>
    </row>
    <row r="170" s="89" customFormat="1" ht="20.25" spans="1:15">
      <c r="A170" s="97">
        <v>45602</v>
      </c>
      <c r="B170" s="107">
        <v>12</v>
      </c>
      <c r="C170" s="99">
        <v>45600</v>
      </c>
      <c r="D170" s="100"/>
      <c r="E170" s="100" t="s">
        <v>52</v>
      </c>
      <c r="F170" s="108" t="s">
        <v>155</v>
      </c>
      <c r="G170" s="100">
        <v>1</v>
      </c>
      <c r="H170" s="100">
        <v>20</v>
      </c>
      <c r="I170" s="100">
        <f t="shared" si="20"/>
        <v>20</v>
      </c>
      <c r="J170" s="109">
        <v>14.5</v>
      </c>
      <c r="K170" s="101">
        <f t="shared" si="21"/>
        <v>290</v>
      </c>
      <c r="L170" s="1" t="s">
        <v>156</v>
      </c>
      <c r="M170" s="102"/>
      <c r="O170" s="89" t="s">
        <v>157</v>
      </c>
    </row>
    <row r="171" s="89" customFormat="1" ht="20.25" spans="1:15">
      <c r="A171" s="97">
        <v>45602</v>
      </c>
      <c r="B171" s="107" t="s">
        <v>158</v>
      </c>
      <c r="C171" s="99">
        <v>45600</v>
      </c>
      <c r="D171" s="100"/>
      <c r="E171" s="100"/>
      <c r="F171" s="108" t="s">
        <v>123</v>
      </c>
      <c r="G171" s="100">
        <v>2</v>
      </c>
      <c r="H171" s="100">
        <v>1</v>
      </c>
      <c r="I171" s="100">
        <f t="shared" si="20"/>
        <v>2</v>
      </c>
      <c r="J171" s="109">
        <v>6.6</v>
      </c>
      <c r="K171" s="101">
        <f t="shared" si="21"/>
        <v>13.2</v>
      </c>
      <c r="L171" s="1"/>
      <c r="M171" s="102"/>
    </row>
    <row r="172" s="89" customFormat="1" ht="20.25" spans="1:15">
      <c r="A172" s="97">
        <v>45602</v>
      </c>
      <c r="B172" s="107" t="s">
        <v>158</v>
      </c>
      <c r="C172" s="99">
        <v>45600</v>
      </c>
      <c r="D172" s="100"/>
      <c r="E172" s="100"/>
      <c r="F172" s="108" t="s">
        <v>136</v>
      </c>
      <c r="G172" s="100">
        <v>1</v>
      </c>
      <c r="H172" s="100">
        <v>1</v>
      </c>
      <c r="I172" s="100">
        <f t="shared" si="20"/>
        <v>1</v>
      </c>
      <c r="J172" s="109">
        <v>5.5</v>
      </c>
      <c r="K172" s="101">
        <f t="shared" si="21"/>
        <v>5.5</v>
      </c>
      <c r="L172" s="1"/>
      <c r="M172" s="102"/>
    </row>
    <row r="173" s="89" customFormat="1" ht="20.25" spans="1:15">
      <c r="A173" s="97">
        <v>45602</v>
      </c>
      <c r="B173" s="107" t="s">
        <v>158</v>
      </c>
      <c r="C173" s="99" t="s">
        <v>144</v>
      </c>
      <c r="D173" s="100"/>
      <c r="E173" s="100"/>
      <c r="F173" s="108" t="s">
        <v>145</v>
      </c>
      <c r="G173" s="100">
        <v>3</v>
      </c>
      <c r="H173" s="100">
        <v>26</v>
      </c>
      <c r="I173" s="100">
        <f t="shared" si="20"/>
        <v>78</v>
      </c>
      <c r="J173" s="109">
        <v>15</v>
      </c>
      <c r="K173" s="101">
        <f t="shared" si="21"/>
        <v>1170</v>
      </c>
      <c r="L173" s="1"/>
      <c r="M173" s="102">
        <f>SUM(K170:K173)</f>
        <v>1478.7</v>
      </c>
    </row>
    <row r="174" s="85" customFormat="1" ht="20.25" spans="1:15">
      <c r="A174" s="125">
        <v>45607</v>
      </c>
      <c r="B174" s="126"/>
      <c r="C174" s="104">
        <v>45607</v>
      </c>
      <c r="D174" s="83"/>
      <c r="E174" s="83"/>
      <c r="F174" s="82" t="s">
        <v>159</v>
      </c>
      <c r="G174" s="83">
        <v>-1</v>
      </c>
      <c r="H174" s="83">
        <v>5</v>
      </c>
      <c r="I174" s="83">
        <f t="shared" si="20"/>
        <v>-5</v>
      </c>
      <c r="J174" s="167">
        <v>28</v>
      </c>
      <c r="K174" s="84">
        <f t="shared" si="21"/>
        <v>-140</v>
      </c>
      <c r="L174" s="128" t="s">
        <v>160</v>
      </c>
      <c r="M174" s="127"/>
    </row>
    <row r="175" s="89" customFormat="1" ht="21" customHeight="1" spans="1:15">
      <c r="A175" s="97">
        <v>45612</v>
      </c>
      <c r="B175" s="107">
        <v>42</v>
      </c>
      <c r="C175" s="99" t="s">
        <v>161</v>
      </c>
      <c r="D175" s="100"/>
      <c r="E175" s="100"/>
      <c r="F175" s="108" t="s">
        <v>162</v>
      </c>
      <c r="G175" s="100">
        <v>1</v>
      </c>
      <c r="H175" s="100">
        <v>7</v>
      </c>
      <c r="I175" s="100">
        <f t="shared" si="20"/>
        <v>7</v>
      </c>
      <c r="J175" s="109">
        <v>14.5</v>
      </c>
      <c r="K175" s="101">
        <f t="shared" si="21"/>
        <v>101.5</v>
      </c>
      <c r="L175" s="1" t="s">
        <v>154</v>
      </c>
      <c r="M175" s="102"/>
    </row>
    <row r="176" s="89" customFormat="1" ht="21" customHeight="1" spans="1:15">
      <c r="A176" s="97">
        <v>45612</v>
      </c>
      <c r="B176" s="107">
        <v>42</v>
      </c>
      <c r="C176" s="99" t="s">
        <v>163</v>
      </c>
      <c r="D176" s="100"/>
      <c r="E176" s="100"/>
      <c r="F176" s="108" t="s">
        <v>164</v>
      </c>
      <c r="G176" s="100">
        <v>1</v>
      </c>
      <c r="H176" s="100">
        <v>20</v>
      </c>
      <c r="I176" s="100">
        <f t="shared" si="20"/>
        <v>20</v>
      </c>
      <c r="J176" s="109">
        <v>14.5</v>
      </c>
      <c r="K176" s="101">
        <f t="shared" si="21"/>
        <v>290</v>
      </c>
      <c r="L176" s="1" t="s">
        <v>154</v>
      </c>
      <c r="M176" s="102">
        <f>SUM(K175:K176)</f>
        <v>391.5</v>
      </c>
    </row>
    <row r="177" s="88" customFormat="1" ht="20.25" spans="1:13">
      <c r="A177" s="90">
        <v>45616</v>
      </c>
      <c r="B177" s="111">
        <v>57</v>
      </c>
      <c r="C177" s="92">
        <v>45615</v>
      </c>
      <c r="D177" s="93"/>
      <c r="E177" s="93"/>
      <c r="F177" s="106" t="s">
        <v>148</v>
      </c>
      <c r="G177" s="93">
        <v>17</v>
      </c>
      <c r="H177" s="93">
        <v>20</v>
      </c>
      <c r="I177" s="93">
        <f t="shared" si="20"/>
        <v>340</v>
      </c>
      <c r="J177" s="105">
        <v>14.5</v>
      </c>
      <c r="K177" s="94">
        <f t="shared" si="21"/>
        <v>4930</v>
      </c>
      <c r="L177" s="86" t="s">
        <v>150</v>
      </c>
      <c r="M177" s="96"/>
    </row>
    <row r="178" s="88" customFormat="1" ht="20.25" spans="1:13">
      <c r="A178" s="90">
        <v>45616</v>
      </c>
      <c r="B178" s="111">
        <v>57</v>
      </c>
      <c r="C178" s="92">
        <v>45615</v>
      </c>
      <c r="D178" s="93"/>
      <c r="E178" s="93"/>
      <c r="F178" s="106" t="s">
        <v>151</v>
      </c>
      <c r="G178" s="93">
        <v>5</v>
      </c>
      <c r="H178" s="93">
        <v>20</v>
      </c>
      <c r="I178" s="93">
        <f t="shared" si="20"/>
        <v>100</v>
      </c>
      <c r="J178" s="105">
        <v>13.7</v>
      </c>
      <c r="K178" s="94">
        <f t="shared" si="21"/>
        <v>1370</v>
      </c>
      <c r="L178" s="86" t="s">
        <v>130</v>
      </c>
      <c r="M178" s="96">
        <f>SUM(K177:K178)</f>
        <v>6300</v>
      </c>
    </row>
    <row r="179" s="89" customFormat="1" ht="20.25" spans="1:13">
      <c r="A179" s="97">
        <v>45629</v>
      </c>
      <c r="B179" s="107">
        <v>7</v>
      </c>
      <c r="C179" s="99">
        <v>45629</v>
      </c>
      <c r="D179" s="100"/>
      <c r="E179" s="100"/>
      <c r="F179" s="108" t="s">
        <v>111</v>
      </c>
      <c r="G179" s="100">
        <v>1</v>
      </c>
      <c r="H179" s="100">
        <v>125</v>
      </c>
      <c r="I179" s="100">
        <f t="shared" si="20"/>
        <v>125</v>
      </c>
      <c r="J179" s="109">
        <v>11</v>
      </c>
      <c r="K179" s="101">
        <f t="shared" si="21"/>
        <v>1375</v>
      </c>
      <c r="L179" s="1"/>
      <c r="M179" s="102"/>
    </row>
    <row r="180" s="89" customFormat="1" ht="20.25" spans="1:13">
      <c r="A180" s="97">
        <v>45629</v>
      </c>
      <c r="B180" s="107">
        <v>7</v>
      </c>
      <c r="C180" s="99">
        <v>45629</v>
      </c>
      <c r="D180" s="100"/>
      <c r="E180" s="100"/>
      <c r="F180" s="108" t="s">
        <v>107</v>
      </c>
      <c r="G180" s="100">
        <v>1</v>
      </c>
      <c r="H180" s="100">
        <v>18</v>
      </c>
      <c r="I180" s="100">
        <f t="shared" si="20"/>
        <v>18</v>
      </c>
      <c r="J180" s="109">
        <v>35</v>
      </c>
      <c r="K180" s="101">
        <f t="shared" si="21"/>
        <v>630</v>
      </c>
      <c r="L180" s="1"/>
      <c r="M180" s="102"/>
    </row>
    <row r="181" s="89" customFormat="1" ht="20.25" spans="1:13">
      <c r="A181" s="97">
        <v>45629</v>
      </c>
      <c r="B181" s="107">
        <v>7</v>
      </c>
      <c r="C181" s="99">
        <v>45629</v>
      </c>
      <c r="D181" s="100"/>
      <c r="E181" s="100"/>
      <c r="F181" s="108" t="s">
        <v>112</v>
      </c>
      <c r="G181" s="100">
        <v>1</v>
      </c>
      <c r="H181" s="100">
        <v>1.6</v>
      </c>
      <c r="I181" s="100">
        <f t="shared" si="20"/>
        <v>1.6</v>
      </c>
      <c r="J181" s="109">
        <v>25</v>
      </c>
      <c r="K181" s="101">
        <f t="shared" si="21"/>
        <v>40</v>
      </c>
      <c r="L181" s="1"/>
      <c r="M181" s="102"/>
    </row>
    <row r="182" s="89" customFormat="1" ht="20.25" spans="1:13">
      <c r="A182" s="97">
        <v>45629</v>
      </c>
      <c r="B182" s="107">
        <v>7</v>
      </c>
      <c r="C182" s="99">
        <v>45629</v>
      </c>
      <c r="D182" s="100"/>
      <c r="E182" s="100"/>
      <c r="F182" s="108" t="s">
        <v>108</v>
      </c>
      <c r="G182" s="100">
        <v>1</v>
      </c>
      <c r="H182" s="100">
        <v>6.5</v>
      </c>
      <c r="I182" s="100">
        <f t="shared" si="20"/>
        <v>6.5</v>
      </c>
      <c r="J182" s="109">
        <v>20</v>
      </c>
      <c r="K182" s="101">
        <f t="shared" si="21"/>
        <v>130</v>
      </c>
      <c r="L182" s="1" t="s">
        <v>119</v>
      </c>
      <c r="M182" s="102"/>
    </row>
    <row r="183" s="89" customFormat="1" ht="20.25" spans="1:13">
      <c r="A183" s="97">
        <v>45629</v>
      </c>
      <c r="B183" s="107">
        <v>7</v>
      </c>
      <c r="C183" s="99">
        <v>45629</v>
      </c>
      <c r="D183" s="100"/>
      <c r="E183" s="100"/>
      <c r="F183" s="108" t="s">
        <v>113</v>
      </c>
      <c r="G183" s="100">
        <v>1</v>
      </c>
      <c r="H183" s="100">
        <v>9.5</v>
      </c>
      <c r="I183" s="100">
        <f t="shared" si="20"/>
        <v>9.5</v>
      </c>
      <c r="J183" s="109">
        <v>14</v>
      </c>
      <c r="K183" s="101">
        <f t="shared" si="21"/>
        <v>133</v>
      </c>
      <c r="L183" s="1" t="s">
        <v>104</v>
      </c>
      <c r="M183" s="102"/>
    </row>
    <row r="184" s="89" customFormat="1" ht="20.25" spans="1:13">
      <c r="A184" s="97">
        <v>45629</v>
      </c>
      <c r="B184" s="107">
        <v>7</v>
      </c>
      <c r="C184" s="99">
        <v>45629</v>
      </c>
      <c r="D184" s="100"/>
      <c r="E184" s="100"/>
      <c r="F184" s="108" t="s">
        <v>114</v>
      </c>
      <c r="G184" s="100">
        <v>1</v>
      </c>
      <c r="H184" s="100">
        <f>SUM(H179:H183)</f>
        <v>160.6</v>
      </c>
      <c r="I184" s="100">
        <f t="shared" si="20"/>
        <v>160.6</v>
      </c>
      <c r="J184" s="109">
        <v>1.5</v>
      </c>
      <c r="K184" s="101">
        <f t="shared" si="21"/>
        <v>240.9</v>
      </c>
      <c r="L184" s="1">
        <f>SUM(K179:K184)</f>
        <v>2548.9</v>
      </c>
      <c r="M184" s="102"/>
    </row>
    <row r="185" s="128" customFormat="1" ht="20.25" spans="1:13">
      <c r="A185" s="174">
        <v>45635</v>
      </c>
      <c r="B185" s="175"/>
      <c r="C185" s="176" t="s">
        <v>165</v>
      </c>
      <c r="D185" s="175"/>
      <c r="E185" s="177">
        <v>20</v>
      </c>
      <c r="F185" s="178" t="s">
        <v>166</v>
      </c>
      <c r="G185" s="178">
        <v>1</v>
      </c>
      <c r="H185" s="82">
        <v>20</v>
      </c>
      <c r="I185" s="83">
        <f t="shared" si="20"/>
        <v>20</v>
      </c>
      <c r="J185" s="167">
        <v>9</v>
      </c>
      <c r="K185" s="84">
        <f t="shared" si="21"/>
        <v>180</v>
      </c>
      <c r="L185" s="128" t="s">
        <v>167</v>
      </c>
    </row>
    <row r="186" s="128" customFormat="1" ht="20.25" spans="1:13">
      <c r="A186" s="174">
        <v>45635</v>
      </c>
      <c r="B186" s="178"/>
      <c r="C186" s="176" t="s">
        <v>168</v>
      </c>
      <c r="D186" s="175"/>
      <c r="E186" s="177">
        <v>20</v>
      </c>
      <c r="F186" s="178" t="s">
        <v>166</v>
      </c>
      <c r="G186" s="178">
        <v>4</v>
      </c>
      <c r="H186" s="82">
        <v>20</v>
      </c>
      <c r="I186" s="83">
        <f t="shared" si="20"/>
        <v>80</v>
      </c>
      <c r="J186" s="167">
        <v>9</v>
      </c>
      <c r="K186" s="84">
        <f t="shared" si="21"/>
        <v>720</v>
      </c>
      <c r="L186" s="128" t="s">
        <v>167</v>
      </c>
    </row>
    <row r="187" s="88" customFormat="1" ht="20.25" spans="1:13">
      <c r="A187" s="90">
        <v>45637</v>
      </c>
      <c r="B187" s="111">
        <v>35</v>
      </c>
      <c r="C187" s="92">
        <v>45637</v>
      </c>
      <c r="D187" s="93"/>
      <c r="E187" s="93"/>
      <c r="F187" s="106" t="s">
        <v>148</v>
      </c>
      <c r="G187" s="93">
        <v>16</v>
      </c>
      <c r="H187" s="93">
        <v>20</v>
      </c>
      <c r="I187" s="93">
        <f t="shared" si="20"/>
        <v>320</v>
      </c>
      <c r="J187" s="105">
        <v>14.5</v>
      </c>
      <c r="K187" s="94">
        <f t="shared" si="21"/>
        <v>4640</v>
      </c>
      <c r="L187" s="86" t="s">
        <v>150</v>
      </c>
      <c r="M187" s="96"/>
    </row>
    <row r="188" s="88" customFormat="1" ht="20.25" spans="1:13">
      <c r="A188" s="90">
        <v>45637</v>
      </c>
      <c r="B188" s="111">
        <v>35</v>
      </c>
      <c r="C188" s="92">
        <v>45637</v>
      </c>
      <c r="D188" s="93"/>
      <c r="E188" s="93"/>
      <c r="F188" s="106" t="s">
        <v>151</v>
      </c>
      <c r="G188" s="93">
        <v>12</v>
      </c>
      <c r="H188" s="93">
        <v>20</v>
      </c>
      <c r="I188" s="93">
        <f t="shared" si="20"/>
        <v>240</v>
      </c>
      <c r="J188" s="105">
        <v>13.7</v>
      </c>
      <c r="K188" s="94">
        <f t="shared" si="21"/>
        <v>3288</v>
      </c>
      <c r="L188" s="86" t="s">
        <v>130</v>
      </c>
      <c r="M188" s="96">
        <f>SUM(K187:K188)</f>
        <v>7928</v>
      </c>
    </row>
    <row r="189" s="89" customFormat="1" ht="20.25" spans="1:13">
      <c r="A189" s="97">
        <v>45639</v>
      </c>
      <c r="B189" s="107">
        <v>44</v>
      </c>
      <c r="C189" s="99" t="s">
        <v>169</v>
      </c>
      <c r="D189" s="100"/>
      <c r="E189" s="100"/>
      <c r="F189" s="108" t="s">
        <v>170</v>
      </c>
      <c r="G189" s="100">
        <v>3</v>
      </c>
      <c r="H189" s="100">
        <v>25</v>
      </c>
      <c r="I189" s="100">
        <f t="shared" si="20"/>
        <v>75</v>
      </c>
      <c r="J189" s="101">
        <v>15</v>
      </c>
      <c r="K189" s="101">
        <f t="shared" si="21"/>
        <v>1125</v>
      </c>
      <c r="L189" s="1"/>
      <c r="M189" s="102"/>
    </row>
    <row r="190" s="89" customFormat="1" ht="20.25" spans="1:13">
      <c r="A190" s="97">
        <v>45639</v>
      </c>
      <c r="B190" s="107">
        <v>44</v>
      </c>
      <c r="C190" s="99" t="s">
        <v>171</v>
      </c>
      <c r="D190" s="100"/>
      <c r="E190" s="100"/>
      <c r="F190" s="115" t="s">
        <v>139</v>
      </c>
      <c r="G190" s="100">
        <v>2</v>
      </c>
      <c r="H190" s="100">
        <v>25</v>
      </c>
      <c r="I190" s="100">
        <f t="shared" si="20"/>
        <v>50</v>
      </c>
      <c r="J190" s="101">
        <v>15</v>
      </c>
      <c r="K190" s="101">
        <f t="shared" si="21"/>
        <v>750</v>
      </c>
      <c r="L190" s="124"/>
      <c r="M190" s="102"/>
    </row>
    <row r="191" s="88" customFormat="1" ht="20.25" spans="1:13">
      <c r="A191" s="90">
        <v>45656</v>
      </c>
      <c r="B191" s="111">
        <v>97</v>
      </c>
      <c r="C191" s="92">
        <v>45656</v>
      </c>
      <c r="D191" s="93"/>
      <c r="E191" s="93"/>
      <c r="F191" s="179" t="s">
        <v>172</v>
      </c>
      <c r="G191" s="93">
        <v>1</v>
      </c>
      <c r="H191" s="93">
        <v>3</v>
      </c>
      <c r="I191" s="93">
        <f t="shared" si="20"/>
        <v>3</v>
      </c>
      <c r="J191" s="180">
        <v>45</v>
      </c>
      <c r="K191" s="94">
        <f t="shared" si="21"/>
        <v>135</v>
      </c>
      <c r="L191" s="118"/>
      <c r="M191" s="96"/>
    </row>
    <row r="192" s="88" customFormat="1" ht="20.25" spans="1:13">
      <c r="A192" s="90">
        <v>45656</v>
      </c>
      <c r="B192" s="111">
        <v>97</v>
      </c>
      <c r="C192" s="92">
        <v>45656</v>
      </c>
      <c r="D192" s="93"/>
      <c r="E192" s="93"/>
      <c r="F192" s="106" t="s">
        <v>151</v>
      </c>
      <c r="G192" s="93">
        <v>10</v>
      </c>
      <c r="H192" s="93">
        <v>20</v>
      </c>
      <c r="I192" s="93">
        <f t="shared" si="20"/>
        <v>200</v>
      </c>
      <c r="J192" s="105">
        <v>13.7</v>
      </c>
      <c r="K192" s="94">
        <f t="shared" si="21"/>
        <v>2740</v>
      </c>
      <c r="L192" s="86" t="s">
        <v>130</v>
      </c>
      <c r="M192" s="96"/>
    </row>
    <row r="193" s="88" customFormat="1" ht="20.25" spans="1:13">
      <c r="A193" s="90">
        <v>45656</v>
      </c>
      <c r="B193" s="111">
        <v>97</v>
      </c>
      <c r="C193" s="92" t="s">
        <v>173</v>
      </c>
      <c r="D193" s="93"/>
      <c r="E193" s="93"/>
      <c r="F193" s="117" t="s">
        <v>174</v>
      </c>
      <c r="G193" s="93">
        <v>1</v>
      </c>
      <c r="H193" s="93">
        <v>5</v>
      </c>
      <c r="I193" s="93">
        <f t="shared" si="20"/>
        <v>5</v>
      </c>
      <c r="J193" s="94">
        <v>15</v>
      </c>
      <c r="K193" s="94">
        <f t="shared" si="21"/>
        <v>75</v>
      </c>
      <c r="L193" s="181">
        <f>SUM(K191:K193)</f>
        <v>2950</v>
      </c>
      <c r="M193" s="96"/>
    </row>
    <row r="194" s="89" customFormat="1" ht="20.25" spans="1:13">
      <c r="A194" s="97">
        <v>45663</v>
      </c>
      <c r="B194" s="107">
        <v>23</v>
      </c>
      <c r="C194" s="99">
        <v>46021</v>
      </c>
      <c r="D194" s="100"/>
      <c r="E194" s="100"/>
      <c r="F194" s="108" t="s">
        <v>175</v>
      </c>
      <c r="G194" s="100">
        <v>1</v>
      </c>
      <c r="H194" s="100">
        <v>1</v>
      </c>
      <c r="I194" s="100">
        <f t="shared" ref="I194:I203" si="22">G194*H194</f>
        <v>1</v>
      </c>
      <c r="J194" s="109">
        <v>6.6</v>
      </c>
      <c r="K194" s="101">
        <f t="shared" ref="K194:K202" si="23">I194*J194</f>
        <v>6.6</v>
      </c>
      <c r="L194" s="1"/>
      <c r="M194" s="102"/>
    </row>
    <row r="195" s="89" customFormat="1" ht="20.25" spans="1:13">
      <c r="A195" s="97">
        <v>45663</v>
      </c>
      <c r="B195" s="107">
        <v>23</v>
      </c>
      <c r="C195" s="99">
        <v>45659</v>
      </c>
      <c r="D195" s="100"/>
      <c r="E195" s="100"/>
      <c r="F195" s="108" t="s">
        <v>176</v>
      </c>
      <c r="G195" s="100">
        <v>1</v>
      </c>
      <c r="H195" s="100">
        <v>1</v>
      </c>
      <c r="I195" s="100">
        <f t="shared" si="22"/>
        <v>1</v>
      </c>
      <c r="J195" s="109">
        <v>5.5</v>
      </c>
      <c r="K195" s="101">
        <f t="shared" si="23"/>
        <v>5.5</v>
      </c>
      <c r="L195" s="1">
        <f>SUM(K194:K196)</f>
        <v>2752.1</v>
      </c>
      <c r="M195" s="102"/>
    </row>
    <row r="196" s="89" customFormat="1" ht="20.25" spans="1:13">
      <c r="A196" s="97">
        <v>45663</v>
      </c>
      <c r="B196" s="107">
        <v>23</v>
      </c>
      <c r="C196" s="99">
        <v>45663</v>
      </c>
      <c r="D196" s="100"/>
      <c r="E196" s="100"/>
      <c r="F196" s="108" t="s">
        <v>151</v>
      </c>
      <c r="G196" s="100">
        <v>10</v>
      </c>
      <c r="H196" s="100">
        <v>20</v>
      </c>
      <c r="I196" s="100">
        <f t="shared" si="22"/>
        <v>200</v>
      </c>
      <c r="J196" s="109">
        <v>13.7</v>
      </c>
      <c r="K196" s="101">
        <f t="shared" si="23"/>
        <v>2740</v>
      </c>
      <c r="L196" s="1" t="s">
        <v>130</v>
      </c>
      <c r="M196" s="102"/>
    </row>
    <row r="197" s="88" customFormat="1" ht="20.25" spans="1:13">
      <c r="A197" s="90">
        <v>45665</v>
      </c>
      <c r="B197" s="111">
        <v>32</v>
      </c>
      <c r="C197" s="92">
        <v>45665</v>
      </c>
      <c r="D197" s="93"/>
      <c r="E197" s="93"/>
      <c r="F197" s="106" t="s">
        <v>148</v>
      </c>
      <c r="G197" s="93">
        <v>20</v>
      </c>
      <c r="H197" s="93">
        <v>20</v>
      </c>
      <c r="I197" s="93">
        <f t="shared" si="22"/>
        <v>400</v>
      </c>
      <c r="J197" s="105">
        <v>14.5</v>
      </c>
      <c r="K197" s="94">
        <f t="shared" si="23"/>
        <v>5800</v>
      </c>
      <c r="L197" s="86" t="s">
        <v>150</v>
      </c>
      <c r="M197" s="96" t="s">
        <v>177</v>
      </c>
    </row>
    <row r="198" s="88" customFormat="1" ht="20.25" spans="1:13">
      <c r="A198" s="90">
        <v>45665</v>
      </c>
      <c r="B198" s="111">
        <v>32</v>
      </c>
      <c r="C198" s="92">
        <v>45665</v>
      </c>
      <c r="D198" s="93"/>
      <c r="E198" s="93"/>
      <c r="F198" s="106" t="s">
        <v>151</v>
      </c>
      <c r="G198" s="93">
        <v>10</v>
      </c>
      <c r="H198" s="93">
        <v>20</v>
      </c>
      <c r="I198" s="93">
        <f t="shared" si="22"/>
        <v>200</v>
      </c>
      <c r="J198" s="105">
        <v>13.7</v>
      </c>
      <c r="K198" s="94">
        <f t="shared" si="23"/>
        <v>2740</v>
      </c>
      <c r="L198" s="86">
        <f>SUM(K197:K198)</f>
        <v>8540</v>
      </c>
      <c r="M198" s="96" t="s">
        <v>177</v>
      </c>
    </row>
    <row r="199" s="89" customFormat="1" ht="20.25" spans="1:13">
      <c r="A199" s="97">
        <v>45672</v>
      </c>
      <c r="B199" s="107">
        <v>52</v>
      </c>
      <c r="C199" s="99" t="s">
        <v>178</v>
      </c>
      <c r="D199" s="100"/>
      <c r="E199" s="100"/>
      <c r="F199" s="115" t="s">
        <v>75</v>
      </c>
      <c r="G199" s="100">
        <v>1</v>
      </c>
      <c r="H199" s="100">
        <v>25</v>
      </c>
      <c r="I199" s="100">
        <f t="shared" si="22"/>
        <v>25</v>
      </c>
      <c r="J199" s="101">
        <v>15</v>
      </c>
      <c r="K199" s="101">
        <f t="shared" si="23"/>
        <v>375</v>
      </c>
      <c r="L199" s="116" t="s">
        <v>179</v>
      </c>
      <c r="M199" s="102"/>
    </row>
    <row r="200" s="88" customFormat="1" ht="20.25" spans="1:13">
      <c r="A200" s="90">
        <v>45703</v>
      </c>
      <c r="B200" s="91" t="s">
        <v>180</v>
      </c>
      <c r="C200" s="92"/>
      <c r="D200" s="93"/>
      <c r="E200" s="93"/>
      <c r="F200" s="88" t="s">
        <v>148</v>
      </c>
      <c r="G200" s="93">
        <v>16</v>
      </c>
      <c r="H200" s="93">
        <v>20</v>
      </c>
      <c r="I200" s="93">
        <f t="shared" si="22"/>
        <v>320</v>
      </c>
      <c r="J200" s="93">
        <v>14.5</v>
      </c>
      <c r="K200" s="94">
        <f t="shared" si="23"/>
        <v>4640</v>
      </c>
      <c r="L200" s="95"/>
      <c r="M200" s="96"/>
    </row>
    <row r="201" s="88" customFormat="1" ht="20.25" spans="1:13">
      <c r="A201" s="90">
        <v>45703</v>
      </c>
      <c r="B201" s="91" t="s">
        <v>180</v>
      </c>
      <c r="C201" s="92"/>
      <c r="D201" s="93"/>
      <c r="E201" s="93"/>
      <c r="F201" s="88" t="s">
        <v>151</v>
      </c>
      <c r="G201" s="93">
        <v>10</v>
      </c>
      <c r="H201" s="93">
        <v>20</v>
      </c>
      <c r="I201" s="93">
        <f t="shared" si="22"/>
        <v>200</v>
      </c>
      <c r="J201" s="93">
        <v>13.7</v>
      </c>
      <c r="K201" s="94">
        <f t="shared" si="23"/>
        <v>2740</v>
      </c>
      <c r="L201" s="95">
        <f>SUM(K200:K201)</f>
        <v>7380</v>
      </c>
      <c r="M201" s="96"/>
    </row>
    <row r="202" s="89" customFormat="1" ht="20.25" spans="1:13">
      <c r="A202" s="97">
        <v>45712</v>
      </c>
      <c r="B202" s="98">
        <v>34</v>
      </c>
      <c r="C202" s="99"/>
      <c r="D202" s="100"/>
      <c r="E202" s="100"/>
      <c r="F202" s="89" t="s">
        <v>181</v>
      </c>
      <c r="G202" s="100">
        <v>3</v>
      </c>
      <c r="H202" s="100">
        <v>20</v>
      </c>
      <c r="I202" s="100">
        <f t="shared" si="22"/>
        <v>60</v>
      </c>
      <c r="J202" s="100">
        <v>14.5</v>
      </c>
      <c r="K202" s="101">
        <f t="shared" si="23"/>
        <v>870</v>
      </c>
      <c r="L202" s="85" t="s">
        <v>182</v>
      </c>
      <c r="M202" s="102"/>
    </row>
    <row r="203" s="89" customFormat="1" ht="20.25" spans="1:13">
      <c r="A203" s="97">
        <v>45712</v>
      </c>
      <c r="B203" s="98">
        <v>34</v>
      </c>
      <c r="C203" s="99"/>
      <c r="D203" s="100"/>
      <c r="E203" s="100"/>
      <c r="F203" s="89" t="s">
        <v>181</v>
      </c>
      <c r="G203" s="100">
        <v>1</v>
      </c>
      <c r="H203" s="100">
        <v>20</v>
      </c>
      <c r="I203" s="100">
        <f t="shared" si="22"/>
        <v>20</v>
      </c>
      <c r="J203" s="100"/>
      <c r="K203" s="101"/>
      <c r="L203" s="103" t="s">
        <v>183</v>
      </c>
      <c r="M203" s="102"/>
    </row>
    <row r="204" s="89" customFormat="1" ht="20.25" spans="1:13">
      <c r="A204" s="97">
        <v>45712</v>
      </c>
      <c r="B204" s="98">
        <v>34</v>
      </c>
      <c r="C204" s="99"/>
      <c r="D204" s="100"/>
      <c r="E204" s="100"/>
      <c r="F204" s="89" t="s">
        <v>151</v>
      </c>
      <c r="G204" s="100">
        <v>1</v>
      </c>
      <c r="H204" s="100">
        <v>20</v>
      </c>
      <c r="I204" s="100">
        <f t="shared" ref="I204:I210" si="24">G204*H204</f>
        <v>20</v>
      </c>
      <c r="J204" s="100"/>
      <c r="K204" s="101"/>
      <c r="L204" s="103" t="s">
        <v>183</v>
      </c>
      <c r="M204" s="102"/>
    </row>
    <row r="205" s="89" customFormat="1" ht="20.25" spans="1:13">
      <c r="A205" s="97">
        <v>45712</v>
      </c>
      <c r="B205" s="98">
        <v>34</v>
      </c>
      <c r="C205" s="99"/>
      <c r="D205" s="100"/>
      <c r="E205" s="100"/>
      <c r="F205" s="89" t="s">
        <v>151</v>
      </c>
      <c r="G205" s="100">
        <v>10</v>
      </c>
      <c r="H205" s="100">
        <v>20</v>
      </c>
      <c r="I205" s="100">
        <f t="shared" si="24"/>
        <v>200</v>
      </c>
      <c r="J205" s="100">
        <v>13.7</v>
      </c>
      <c r="K205" s="101">
        <f t="shared" ref="K205:K218" si="25">I205*J205</f>
        <v>2740</v>
      </c>
      <c r="L205" s="103" t="s">
        <v>184</v>
      </c>
      <c r="M205" s="102"/>
    </row>
    <row r="206" s="89" customFormat="1" ht="20.25" spans="1:13">
      <c r="A206" s="97">
        <v>45712</v>
      </c>
      <c r="B206" s="98">
        <v>34</v>
      </c>
      <c r="C206" s="99" t="s">
        <v>185</v>
      </c>
      <c r="D206" s="100"/>
      <c r="E206" s="100"/>
      <c r="F206" s="89" t="s">
        <v>95</v>
      </c>
      <c r="G206" s="100">
        <v>2</v>
      </c>
      <c r="H206" s="100">
        <v>25</v>
      </c>
      <c r="I206" s="100">
        <f t="shared" si="24"/>
        <v>50</v>
      </c>
      <c r="J206" s="100">
        <v>15</v>
      </c>
      <c r="K206" s="101">
        <f t="shared" si="25"/>
        <v>750</v>
      </c>
      <c r="L206" s="103" t="s">
        <v>184</v>
      </c>
      <c r="M206" s="102"/>
    </row>
    <row r="207" s="89" customFormat="1" ht="20.25" spans="1:13">
      <c r="A207" s="97">
        <v>45712</v>
      </c>
      <c r="B207" s="98">
        <v>34</v>
      </c>
      <c r="C207" s="99" t="s">
        <v>186</v>
      </c>
      <c r="D207" s="100"/>
      <c r="E207" s="100"/>
      <c r="F207" s="89" t="s">
        <v>95</v>
      </c>
      <c r="G207" s="100">
        <v>3</v>
      </c>
      <c r="H207" s="100">
        <v>25</v>
      </c>
      <c r="I207" s="100">
        <f t="shared" si="24"/>
        <v>75</v>
      </c>
      <c r="J207" s="100">
        <v>15</v>
      </c>
      <c r="K207" s="101">
        <f t="shared" si="25"/>
        <v>1125</v>
      </c>
      <c r="L207" s="103"/>
      <c r="M207" s="102"/>
    </row>
    <row r="208" s="89" customFormat="1" ht="20.25" spans="1:13">
      <c r="A208" s="97">
        <v>45712</v>
      </c>
      <c r="B208" s="98">
        <v>34</v>
      </c>
      <c r="C208" s="99" t="s">
        <v>171</v>
      </c>
      <c r="D208" s="100"/>
      <c r="E208" s="100"/>
      <c r="F208" s="89" t="s">
        <v>139</v>
      </c>
      <c r="G208" s="100">
        <v>3</v>
      </c>
      <c r="H208" s="100">
        <v>25</v>
      </c>
      <c r="I208" s="100">
        <f t="shared" si="24"/>
        <v>75</v>
      </c>
      <c r="J208" s="100">
        <v>15</v>
      </c>
      <c r="K208" s="101">
        <f t="shared" si="25"/>
        <v>1125</v>
      </c>
      <c r="L208" s="103"/>
      <c r="M208" s="102"/>
    </row>
    <row r="209" s="89" customFormat="1" ht="20.25" spans="1:13">
      <c r="A209" s="97">
        <v>45712</v>
      </c>
      <c r="B209" s="98">
        <v>34</v>
      </c>
      <c r="C209" s="99" t="s">
        <v>141</v>
      </c>
      <c r="D209" s="100"/>
      <c r="E209" s="100"/>
      <c r="F209" s="89" t="s">
        <v>94</v>
      </c>
      <c r="G209" s="100">
        <v>3</v>
      </c>
      <c r="H209" s="100">
        <v>25</v>
      </c>
      <c r="I209" s="100">
        <f t="shared" si="24"/>
        <v>75</v>
      </c>
      <c r="J209" s="100">
        <v>15</v>
      </c>
      <c r="K209" s="101">
        <f t="shared" si="25"/>
        <v>1125</v>
      </c>
      <c r="L209" s="103">
        <f>SUM(K202:K209)</f>
        <v>7735</v>
      </c>
      <c r="M209" s="102"/>
    </row>
    <row r="210" s="88" customFormat="1" ht="20.25" spans="1:13">
      <c r="A210" s="90">
        <v>45716</v>
      </c>
      <c r="B210" s="91">
        <v>52</v>
      </c>
      <c r="C210" s="182" t="s">
        <v>187</v>
      </c>
      <c r="D210" s="183"/>
      <c r="E210" s="183"/>
      <c r="F210" s="88" t="s">
        <v>181</v>
      </c>
      <c r="G210" s="93">
        <v>-1</v>
      </c>
      <c r="H210" s="93">
        <v>20</v>
      </c>
      <c r="I210" s="93">
        <f t="shared" si="24"/>
        <v>-20</v>
      </c>
      <c r="J210" s="93">
        <v>14.5</v>
      </c>
      <c r="K210" s="84">
        <f t="shared" si="25"/>
        <v>-290</v>
      </c>
      <c r="M210" s="96"/>
    </row>
    <row r="211" s="88" customFormat="1" ht="20.25" spans="1:13">
      <c r="A211" s="90">
        <v>45716</v>
      </c>
      <c r="B211" s="91">
        <v>52</v>
      </c>
      <c r="C211" s="92">
        <v>45716</v>
      </c>
      <c r="D211" s="93"/>
      <c r="E211" s="93"/>
      <c r="F211" s="88" t="s">
        <v>188</v>
      </c>
      <c r="G211" s="93">
        <v>1</v>
      </c>
      <c r="H211" s="93">
        <v>7</v>
      </c>
      <c r="I211" s="93">
        <f t="shared" ref="I211:I219" si="26">G211*H211</f>
        <v>7</v>
      </c>
      <c r="J211" s="105">
        <v>14.5</v>
      </c>
      <c r="K211" s="94">
        <f t="shared" si="25"/>
        <v>101.5</v>
      </c>
      <c r="M211" s="96"/>
    </row>
    <row r="212" s="88" customFormat="1" ht="20.25" spans="1:13">
      <c r="A212" s="90">
        <v>45716</v>
      </c>
      <c r="B212" s="91">
        <v>52</v>
      </c>
      <c r="C212" s="92">
        <v>45716</v>
      </c>
      <c r="D212" s="93"/>
      <c r="E212" s="93"/>
      <c r="F212" s="88" t="s">
        <v>189</v>
      </c>
      <c r="G212" s="93">
        <v>1</v>
      </c>
      <c r="H212" s="93">
        <v>9</v>
      </c>
      <c r="I212" s="93">
        <f t="shared" si="26"/>
        <v>9</v>
      </c>
      <c r="J212" s="105">
        <v>14.5</v>
      </c>
      <c r="K212" s="94">
        <f t="shared" si="25"/>
        <v>130.5</v>
      </c>
      <c r="M212" s="96"/>
    </row>
    <row r="213" s="88" customFormat="1" ht="20.25" spans="1:13">
      <c r="A213" s="90">
        <v>45716</v>
      </c>
      <c r="B213" s="91">
        <v>52</v>
      </c>
      <c r="C213" s="92">
        <v>45716</v>
      </c>
      <c r="D213" s="93"/>
      <c r="E213" s="93"/>
      <c r="F213" s="88" t="s">
        <v>190</v>
      </c>
      <c r="G213" s="93">
        <v>1</v>
      </c>
      <c r="H213" s="93">
        <v>5</v>
      </c>
      <c r="I213" s="93">
        <f t="shared" si="26"/>
        <v>5</v>
      </c>
      <c r="J213" s="105">
        <v>14.5</v>
      </c>
      <c r="K213" s="94">
        <f t="shared" si="25"/>
        <v>72.5</v>
      </c>
      <c r="M213" s="96"/>
    </row>
    <row r="214" s="88" customFormat="1" ht="20.25" spans="1:13">
      <c r="A214" s="90">
        <v>45716</v>
      </c>
      <c r="B214" s="91">
        <v>52</v>
      </c>
      <c r="C214" s="92">
        <v>45716</v>
      </c>
      <c r="D214" s="93"/>
      <c r="E214" s="93"/>
      <c r="F214" s="88" t="s">
        <v>191</v>
      </c>
      <c r="G214" s="93">
        <v>1</v>
      </c>
      <c r="H214" s="93">
        <v>7</v>
      </c>
      <c r="I214" s="93">
        <f t="shared" si="26"/>
        <v>7</v>
      </c>
      <c r="J214" s="105">
        <v>14.5</v>
      </c>
      <c r="K214" s="94">
        <f t="shared" si="25"/>
        <v>101.5</v>
      </c>
      <c r="M214" s="96"/>
    </row>
    <row r="215" s="88" customFormat="1" ht="20.25" spans="1:13">
      <c r="A215" s="90">
        <v>45716</v>
      </c>
      <c r="B215" s="91">
        <v>52</v>
      </c>
      <c r="C215" s="92">
        <v>45716</v>
      </c>
      <c r="D215" s="93"/>
      <c r="E215" s="93"/>
      <c r="F215" s="106" t="s">
        <v>192</v>
      </c>
      <c r="G215" s="93">
        <v>1</v>
      </c>
      <c r="H215" s="93">
        <v>1</v>
      </c>
      <c r="I215" s="93">
        <f t="shared" si="26"/>
        <v>1</v>
      </c>
      <c r="J215" s="105">
        <v>5.5</v>
      </c>
      <c r="K215" s="94">
        <f t="shared" si="25"/>
        <v>5.5</v>
      </c>
      <c r="L215" s="86">
        <f>SUM(K210:K215)</f>
        <v>121.5</v>
      </c>
      <c r="M215" s="96"/>
    </row>
    <row r="216" s="89" customFormat="1" ht="20.25" spans="1:13">
      <c r="A216" s="97">
        <v>45717</v>
      </c>
      <c r="B216" s="107">
        <v>3</v>
      </c>
      <c r="C216" s="99" t="s">
        <v>146</v>
      </c>
      <c r="D216" s="100"/>
      <c r="E216" s="100"/>
      <c r="F216" s="108" t="s">
        <v>147</v>
      </c>
      <c r="G216" s="100">
        <v>3</v>
      </c>
      <c r="H216" s="100">
        <v>25</v>
      </c>
      <c r="I216" s="100">
        <f t="shared" si="26"/>
        <v>75</v>
      </c>
      <c r="J216" s="109">
        <v>14.5</v>
      </c>
      <c r="K216" s="101">
        <f t="shared" si="25"/>
        <v>1087.5</v>
      </c>
      <c r="L216" s="110"/>
      <c r="M216" s="102"/>
    </row>
    <row r="217" s="88" customFormat="1" ht="20.25" spans="1:13">
      <c r="A217" s="90">
        <v>45719</v>
      </c>
      <c r="B217" s="111">
        <v>8</v>
      </c>
      <c r="C217" s="92" t="s">
        <v>193</v>
      </c>
      <c r="D217" s="93"/>
      <c r="E217" s="93"/>
      <c r="F217" s="106" t="s">
        <v>194</v>
      </c>
      <c r="G217" s="93">
        <v>1</v>
      </c>
      <c r="H217" s="93">
        <v>7</v>
      </c>
      <c r="I217" s="93">
        <f t="shared" si="26"/>
        <v>7</v>
      </c>
      <c r="J217" s="105">
        <v>14.5</v>
      </c>
      <c r="K217" s="94">
        <f t="shared" si="25"/>
        <v>101.5</v>
      </c>
      <c r="L217" s="86" t="s">
        <v>104</v>
      </c>
      <c r="M217" s="96"/>
    </row>
    <row r="218" s="88" customFormat="1" ht="20.25" spans="1:13">
      <c r="A218" s="90">
        <v>45719</v>
      </c>
      <c r="B218" s="111">
        <v>8</v>
      </c>
      <c r="C218" s="92"/>
      <c r="D218" s="93"/>
      <c r="E218" s="93"/>
      <c r="F218" s="106" t="s">
        <v>75</v>
      </c>
      <c r="G218" s="93">
        <v>1</v>
      </c>
      <c r="H218" s="93">
        <v>5</v>
      </c>
      <c r="I218" s="93">
        <f t="shared" ref="I218:I222" si="27">G218*H218</f>
        <v>5</v>
      </c>
      <c r="J218" s="105">
        <v>14.5</v>
      </c>
      <c r="K218" s="94">
        <f t="shared" ref="K218:K249" si="28">I218*J218</f>
        <v>72.5</v>
      </c>
      <c r="L218" s="86"/>
      <c r="M218" s="96"/>
    </row>
    <row r="219" s="88" customFormat="1" ht="20.25" spans="1:13">
      <c r="A219" s="90">
        <v>45719</v>
      </c>
      <c r="B219" s="111">
        <v>8</v>
      </c>
      <c r="C219" s="92"/>
      <c r="D219" s="93"/>
      <c r="E219" s="93"/>
      <c r="F219" s="106" t="s">
        <v>195</v>
      </c>
      <c r="G219" s="93">
        <v>1</v>
      </c>
      <c r="H219" s="93">
        <v>20</v>
      </c>
      <c r="I219" s="93">
        <f t="shared" si="27"/>
        <v>20</v>
      </c>
      <c r="J219" s="105">
        <v>15.5</v>
      </c>
      <c r="K219" s="94">
        <f t="shared" si="28"/>
        <v>310</v>
      </c>
      <c r="L219" s="112" t="s">
        <v>196</v>
      </c>
      <c r="M219" s="96"/>
    </row>
    <row r="220" s="88" customFormat="1" ht="20.25" spans="1:13">
      <c r="A220" s="90">
        <v>45719</v>
      </c>
      <c r="B220" s="111">
        <v>8</v>
      </c>
      <c r="C220" s="92"/>
      <c r="D220" s="93"/>
      <c r="E220" s="93"/>
      <c r="F220" s="106" t="s">
        <v>197</v>
      </c>
      <c r="G220" s="93">
        <v>1</v>
      </c>
      <c r="H220" s="93">
        <v>10</v>
      </c>
      <c r="I220" s="93">
        <f t="shared" si="27"/>
        <v>10</v>
      </c>
      <c r="J220" s="105">
        <v>15.5</v>
      </c>
      <c r="K220" s="94">
        <f t="shared" si="28"/>
        <v>155</v>
      </c>
      <c r="L220" s="113" t="s">
        <v>198</v>
      </c>
      <c r="M220" s="96"/>
    </row>
    <row r="221" s="88" customFormat="1" ht="20.25" spans="1:13">
      <c r="A221" s="90">
        <v>45719</v>
      </c>
      <c r="B221" s="111">
        <v>8</v>
      </c>
      <c r="C221" s="92"/>
      <c r="D221" s="93"/>
      <c r="E221" s="93"/>
      <c r="F221" s="106" t="s">
        <v>192</v>
      </c>
      <c r="G221" s="93">
        <v>1</v>
      </c>
      <c r="H221" s="93">
        <v>1</v>
      </c>
      <c r="I221" s="93">
        <f t="shared" si="27"/>
        <v>1</v>
      </c>
      <c r="J221" s="105">
        <v>5.5</v>
      </c>
      <c r="K221" s="94">
        <f t="shared" si="28"/>
        <v>5.5</v>
      </c>
      <c r="L221" s="86"/>
      <c r="M221" s="96"/>
    </row>
    <row r="222" s="86" customFormat="1" ht="20.25" spans="1:13">
      <c r="A222" s="90">
        <v>45719</v>
      </c>
      <c r="B222" s="111">
        <v>8</v>
      </c>
      <c r="C222" s="92">
        <v>45719</v>
      </c>
      <c r="D222" s="93"/>
      <c r="E222" s="93"/>
      <c r="F222" s="114" t="s">
        <v>166</v>
      </c>
      <c r="G222" s="114">
        <v>-5</v>
      </c>
      <c r="H222" s="106">
        <v>20</v>
      </c>
      <c r="I222" s="93">
        <f t="shared" si="27"/>
        <v>-100</v>
      </c>
      <c r="J222" s="105">
        <v>9</v>
      </c>
      <c r="K222" s="94">
        <f t="shared" si="28"/>
        <v>-900</v>
      </c>
    </row>
    <row r="223" s="88" customFormat="1" ht="20.25" spans="1:13">
      <c r="A223" s="90">
        <v>45719</v>
      </c>
      <c r="B223" s="111">
        <v>8</v>
      </c>
      <c r="C223" s="92"/>
      <c r="D223" s="93"/>
      <c r="E223" s="93"/>
      <c r="F223" s="106" t="s">
        <v>199</v>
      </c>
      <c r="G223" s="93">
        <v>-1</v>
      </c>
      <c r="H223" s="93">
        <v>5</v>
      </c>
      <c r="I223" s="93">
        <f t="shared" ref="I223:I249" si="29">G223*H223</f>
        <v>-5</v>
      </c>
      <c r="J223" s="105">
        <v>28</v>
      </c>
      <c r="K223" s="94">
        <f t="shared" si="28"/>
        <v>-140</v>
      </c>
      <c r="L223" s="86"/>
      <c r="M223" s="96"/>
    </row>
    <row r="224" s="88" customFormat="1" ht="20.25" spans="1:13">
      <c r="A224" s="90">
        <v>45719</v>
      </c>
      <c r="B224" s="111">
        <v>8</v>
      </c>
      <c r="C224" s="92"/>
      <c r="D224" s="93"/>
      <c r="E224" s="93"/>
      <c r="F224" s="106" t="s">
        <v>200</v>
      </c>
      <c r="G224" s="93">
        <v>-1</v>
      </c>
      <c r="H224" s="93">
        <v>5</v>
      </c>
      <c r="I224" s="93">
        <f t="shared" si="29"/>
        <v>-5</v>
      </c>
      <c r="J224" s="105">
        <v>30</v>
      </c>
      <c r="K224" s="94">
        <f t="shared" si="28"/>
        <v>-150</v>
      </c>
      <c r="L224" s="86"/>
      <c r="M224" s="96"/>
    </row>
    <row r="225" s="88" customFormat="1" ht="20.25" spans="1:16">
      <c r="A225" s="90">
        <v>45719</v>
      </c>
      <c r="B225" s="111">
        <v>8</v>
      </c>
      <c r="C225" s="92"/>
      <c r="D225" s="93"/>
      <c r="E225" s="93"/>
      <c r="F225" s="106" t="s">
        <v>201</v>
      </c>
      <c r="G225" s="93">
        <v>-1</v>
      </c>
      <c r="H225" s="93">
        <v>5</v>
      </c>
      <c r="I225" s="93">
        <f t="shared" si="29"/>
        <v>-5</v>
      </c>
      <c r="J225" s="105">
        <v>30</v>
      </c>
      <c r="K225" s="94">
        <f t="shared" si="28"/>
        <v>-150</v>
      </c>
      <c r="L225" s="86">
        <f>SUM(K217:K225)</f>
        <v>-695.5</v>
      </c>
      <c r="M225" s="96"/>
    </row>
    <row r="226" s="89" customFormat="1" ht="20.25" spans="1:16">
      <c r="A226" s="97">
        <v>45722</v>
      </c>
      <c r="B226" s="107">
        <v>28</v>
      </c>
      <c r="C226" s="99" t="s">
        <v>178</v>
      </c>
      <c r="D226" s="100"/>
      <c r="E226" s="100"/>
      <c r="F226" s="115" t="s">
        <v>75</v>
      </c>
      <c r="G226" s="100">
        <v>2</v>
      </c>
      <c r="H226" s="100">
        <v>25</v>
      </c>
      <c r="I226" s="100">
        <f t="shared" si="29"/>
        <v>50</v>
      </c>
      <c r="J226" s="101">
        <v>15</v>
      </c>
      <c r="K226" s="101">
        <f t="shared" si="28"/>
        <v>750</v>
      </c>
      <c r="L226" s="116" t="s">
        <v>179</v>
      </c>
      <c r="M226" s="102"/>
    </row>
    <row r="227" s="89" customFormat="1" ht="20.25" spans="1:16">
      <c r="A227" s="97">
        <v>45722</v>
      </c>
      <c r="B227" s="107">
        <v>28</v>
      </c>
      <c r="C227" s="99"/>
      <c r="D227" s="100"/>
      <c r="E227" s="100"/>
      <c r="F227" s="89" t="s">
        <v>181</v>
      </c>
      <c r="G227" s="100">
        <v>17</v>
      </c>
      <c r="H227" s="100">
        <v>20</v>
      </c>
      <c r="I227" s="100">
        <f t="shared" si="29"/>
        <v>340</v>
      </c>
      <c r="J227" s="100">
        <v>14.5</v>
      </c>
      <c r="K227" s="101">
        <f t="shared" si="28"/>
        <v>4930</v>
      </c>
      <c r="M227" s="102"/>
    </row>
    <row r="228" s="88" customFormat="1" ht="20.25" spans="1:16">
      <c r="A228" s="90">
        <v>45726</v>
      </c>
      <c r="B228" s="111">
        <v>34</v>
      </c>
      <c r="C228" s="92"/>
      <c r="D228" s="93"/>
      <c r="E228" s="93"/>
      <c r="F228" s="88" t="s">
        <v>181</v>
      </c>
      <c r="G228" s="93">
        <v>17</v>
      </c>
      <c r="H228" s="93">
        <v>20</v>
      </c>
      <c r="I228" s="93">
        <f t="shared" si="29"/>
        <v>340</v>
      </c>
      <c r="J228" s="93">
        <v>14.5</v>
      </c>
      <c r="K228" s="94">
        <f t="shared" si="28"/>
        <v>4930</v>
      </c>
      <c r="M228" s="96"/>
    </row>
    <row r="229" s="89" customFormat="1" ht="20.25" spans="1:16">
      <c r="A229" s="97">
        <v>45734</v>
      </c>
      <c r="B229" s="107">
        <v>65</v>
      </c>
      <c r="C229" s="99">
        <v>45729</v>
      </c>
      <c r="D229" s="100"/>
      <c r="E229" s="100"/>
      <c r="F229" s="108" t="s">
        <v>199</v>
      </c>
      <c r="G229" s="100">
        <v>-1</v>
      </c>
      <c r="H229" s="100">
        <v>5</v>
      </c>
      <c r="I229" s="100">
        <f t="shared" si="29"/>
        <v>-5</v>
      </c>
      <c r="J229" s="109">
        <v>28</v>
      </c>
      <c r="K229" s="101">
        <f t="shared" si="28"/>
        <v>-140</v>
      </c>
      <c r="L229" s="1"/>
      <c r="M229" s="102"/>
    </row>
    <row r="230" s="89" customFormat="1" ht="20.25" spans="1:16">
      <c r="A230" s="97">
        <v>45734</v>
      </c>
      <c r="B230" s="107">
        <v>65</v>
      </c>
      <c r="C230" s="99">
        <v>45729</v>
      </c>
      <c r="D230" s="100"/>
      <c r="E230" s="100"/>
      <c r="F230" s="108" t="s">
        <v>200</v>
      </c>
      <c r="G230" s="100">
        <v>-1</v>
      </c>
      <c r="H230" s="100">
        <v>5</v>
      </c>
      <c r="I230" s="100">
        <f t="shared" si="29"/>
        <v>-5</v>
      </c>
      <c r="J230" s="109">
        <v>30</v>
      </c>
      <c r="K230" s="101">
        <f t="shared" si="28"/>
        <v>-150</v>
      </c>
      <c r="L230" s="1"/>
      <c r="M230" s="102"/>
    </row>
    <row r="231" s="89" customFormat="1" ht="20.25" spans="1:16">
      <c r="A231" s="97">
        <v>45734</v>
      </c>
      <c r="B231" s="107">
        <v>65</v>
      </c>
      <c r="C231" s="99">
        <v>45730</v>
      </c>
      <c r="D231" s="100"/>
      <c r="E231" s="100"/>
      <c r="F231" s="108" t="s">
        <v>199</v>
      </c>
      <c r="G231" s="100">
        <v>-1</v>
      </c>
      <c r="H231" s="100">
        <v>5</v>
      </c>
      <c r="I231" s="100">
        <f t="shared" si="29"/>
        <v>-5</v>
      </c>
      <c r="J231" s="109">
        <v>28</v>
      </c>
      <c r="K231" s="101">
        <f t="shared" si="28"/>
        <v>-140</v>
      </c>
      <c r="L231" s="1"/>
      <c r="M231" s="102"/>
      <c r="N231" s="89" t="s">
        <v>202</v>
      </c>
      <c r="O231" s="89" t="s">
        <v>203</v>
      </c>
      <c r="P231" s="89">
        <v>77</v>
      </c>
    </row>
    <row r="232" s="89" customFormat="1" ht="20.25" spans="1:16">
      <c r="A232" s="97">
        <v>45734</v>
      </c>
      <c r="B232" s="107">
        <v>65</v>
      </c>
      <c r="C232" s="99">
        <v>45733</v>
      </c>
      <c r="D232" s="100"/>
      <c r="E232" s="100"/>
      <c r="F232" s="108" t="s">
        <v>204</v>
      </c>
      <c r="G232" s="100">
        <v>1</v>
      </c>
      <c r="H232" s="100">
        <v>12</v>
      </c>
      <c r="I232" s="100">
        <f t="shared" si="29"/>
        <v>12</v>
      </c>
      <c r="J232" s="109">
        <v>14.5</v>
      </c>
      <c r="K232" s="101">
        <f t="shared" si="28"/>
        <v>174</v>
      </c>
      <c r="L232" s="1"/>
      <c r="M232" s="102"/>
      <c r="O232" s="89" t="s">
        <v>205</v>
      </c>
      <c r="P232" s="89">
        <v>3</v>
      </c>
    </row>
    <row r="233" s="89" customFormat="1" ht="20.25" spans="1:16">
      <c r="A233" s="97">
        <v>45734</v>
      </c>
      <c r="B233" s="107">
        <v>65</v>
      </c>
      <c r="C233" s="99" t="s">
        <v>206</v>
      </c>
      <c r="D233" s="100"/>
      <c r="E233" s="100"/>
      <c r="F233" s="108" t="s">
        <v>207</v>
      </c>
      <c r="G233" s="100">
        <v>5</v>
      </c>
      <c r="H233" s="100">
        <v>20</v>
      </c>
      <c r="I233" s="100">
        <f t="shared" si="29"/>
        <v>100</v>
      </c>
      <c r="J233" s="109">
        <v>15.5</v>
      </c>
      <c r="K233" s="101">
        <f t="shared" si="28"/>
        <v>1550</v>
      </c>
      <c r="L233" s="1" t="s">
        <v>208</v>
      </c>
      <c r="M233" s="102" t="s">
        <v>209</v>
      </c>
      <c r="O233" s="89" t="s">
        <v>210</v>
      </c>
      <c r="P233" s="89">
        <v>8</v>
      </c>
    </row>
    <row r="234" s="88" customFormat="1" ht="20.25" spans="1:16">
      <c r="A234" s="90">
        <v>45737</v>
      </c>
      <c r="B234" s="91">
        <v>82</v>
      </c>
      <c r="C234" s="92"/>
      <c r="D234" s="93"/>
      <c r="E234" s="93"/>
      <c r="F234" s="88" t="s">
        <v>151</v>
      </c>
      <c r="G234" s="93">
        <v>10</v>
      </c>
      <c r="H234" s="93">
        <v>20</v>
      </c>
      <c r="I234" s="93">
        <f t="shared" si="29"/>
        <v>200</v>
      </c>
      <c r="J234" s="93">
        <v>13.7</v>
      </c>
      <c r="K234" s="94">
        <f t="shared" si="28"/>
        <v>2740</v>
      </c>
      <c r="L234" s="95">
        <f>SUM(K233:K234)</f>
        <v>4290</v>
      </c>
      <c r="M234" s="96"/>
    </row>
    <row r="235" s="89" customFormat="1" ht="20.25" spans="1:16">
      <c r="A235" s="97">
        <v>45738</v>
      </c>
      <c r="B235" s="107">
        <v>88</v>
      </c>
      <c r="C235" s="99" t="s">
        <v>211</v>
      </c>
      <c r="D235" s="100"/>
      <c r="E235" s="100"/>
      <c r="F235" s="108" t="s">
        <v>170</v>
      </c>
      <c r="G235" s="100">
        <v>3</v>
      </c>
      <c r="H235" s="100">
        <v>25</v>
      </c>
      <c r="I235" s="100">
        <f t="shared" si="29"/>
        <v>75</v>
      </c>
      <c r="J235" s="101">
        <v>15</v>
      </c>
      <c r="K235" s="101">
        <f t="shared" si="28"/>
        <v>1125</v>
      </c>
      <c r="L235" s="1" t="s">
        <v>169</v>
      </c>
      <c r="M235" s="102"/>
    </row>
    <row r="236" s="88" customFormat="1" ht="20.25" spans="1:16">
      <c r="A236" s="90">
        <v>45747</v>
      </c>
      <c r="B236" s="111">
        <v>128</v>
      </c>
      <c r="C236" s="92">
        <v>45738</v>
      </c>
      <c r="D236" s="93"/>
      <c r="E236" s="93"/>
      <c r="F236" s="106" t="s">
        <v>212</v>
      </c>
      <c r="G236" s="93">
        <v>1</v>
      </c>
      <c r="H236" s="93">
        <v>15</v>
      </c>
      <c r="I236" s="93">
        <f t="shared" si="29"/>
        <v>15</v>
      </c>
      <c r="J236" s="94">
        <v>15</v>
      </c>
      <c r="K236" s="94">
        <f t="shared" si="28"/>
        <v>225</v>
      </c>
      <c r="L236" s="86"/>
      <c r="M236" s="96"/>
    </row>
    <row r="237" s="88" customFormat="1" ht="20.25" spans="1:16">
      <c r="A237" s="90">
        <v>45747</v>
      </c>
      <c r="B237" s="111">
        <v>128</v>
      </c>
      <c r="C237" s="92">
        <v>45738</v>
      </c>
      <c r="D237" s="93"/>
      <c r="E237" s="93"/>
      <c r="F237" s="106" t="s">
        <v>213</v>
      </c>
      <c r="G237" s="93">
        <v>1</v>
      </c>
      <c r="H237" s="93">
        <v>10</v>
      </c>
      <c r="I237" s="93">
        <f t="shared" si="29"/>
        <v>10</v>
      </c>
      <c r="J237" s="94">
        <v>14.5</v>
      </c>
      <c r="K237" s="94">
        <f t="shared" si="28"/>
        <v>145</v>
      </c>
      <c r="L237" s="86"/>
      <c r="M237" s="96"/>
    </row>
    <row r="238" s="88" customFormat="1" ht="20.25" spans="1:16">
      <c r="A238" s="90">
        <v>45747</v>
      </c>
      <c r="B238" s="111">
        <v>128</v>
      </c>
      <c r="C238" s="92">
        <v>45741</v>
      </c>
      <c r="D238" s="93"/>
      <c r="E238" s="93"/>
      <c r="F238" s="106" t="s">
        <v>214</v>
      </c>
      <c r="G238" s="93">
        <v>-1</v>
      </c>
      <c r="H238" s="93">
        <v>20</v>
      </c>
      <c r="I238" s="93">
        <f t="shared" si="29"/>
        <v>-20</v>
      </c>
      <c r="J238" s="105">
        <v>14.5</v>
      </c>
      <c r="K238" s="94">
        <f t="shared" si="28"/>
        <v>-290</v>
      </c>
      <c r="L238" s="86" t="s">
        <v>215</v>
      </c>
      <c r="M238" s="96"/>
    </row>
    <row r="239" s="88" customFormat="1" ht="20.25" spans="1:16">
      <c r="A239" s="90">
        <v>45747</v>
      </c>
      <c r="B239" s="111">
        <v>128</v>
      </c>
      <c r="C239" s="92">
        <v>45741</v>
      </c>
      <c r="D239" s="93"/>
      <c r="E239" s="93"/>
      <c r="F239" s="106" t="s">
        <v>216</v>
      </c>
      <c r="G239" s="93">
        <v>-1</v>
      </c>
      <c r="H239" s="93">
        <v>20</v>
      </c>
      <c r="I239" s="93">
        <f t="shared" si="29"/>
        <v>-20</v>
      </c>
      <c r="J239" s="105">
        <v>13.7</v>
      </c>
      <c r="K239" s="94">
        <f t="shared" si="28"/>
        <v>-274</v>
      </c>
      <c r="L239" s="86" t="s">
        <v>215</v>
      </c>
      <c r="M239" s="96"/>
    </row>
    <row r="240" s="88" customFormat="1" ht="20.25" spans="1:16">
      <c r="A240" s="90">
        <v>45747</v>
      </c>
      <c r="B240" s="111">
        <v>128</v>
      </c>
      <c r="C240" s="92"/>
      <c r="D240" s="93"/>
      <c r="E240" s="93"/>
      <c r="F240" s="88" t="s">
        <v>151</v>
      </c>
      <c r="G240" s="93">
        <v>5</v>
      </c>
      <c r="H240" s="93">
        <v>20</v>
      </c>
      <c r="I240" s="93">
        <f t="shared" si="29"/>
        <v>100</v>
      </c>
      <c r="J240" s="93">
        <v>13.7</v>
      </c>
      <c r="K240" s="94">
        <f t="shared" si="28"/>
        <v>1370</v>
      </c>
      <c r="L240" s="95" t="s">
        <v>217</v>
      </c>
      <c r="M240" s="96"/>
    </row>
    <row r="241" s="89" customFormat="1" ht="20.25" spans="1:16">
      <c r="A241" s="97">
        <v>45750</v>
      </c>
      <c r="B241" s="107">
        <v>17</v>
      </c>
      <c r="C241" s="99">
        <v>45749</v>
      </c>
      <c r="D241" s="100"/>
      <c r="E241" s="100"/>
      <c r="F241" s="108" t="s">
        <v>148</v>
      </c>
      <c r="G241" s="100">
        <v>16</v>
      </c>
      <c r="H241" s="100">
        <v>20</v>
      </c>
      <c r="I241" s="100">
        <f t="shared" si="29"/>
        <v>320</v>
      </c>
      <c r="J241" s="109">
        <v>14.5</v>
      </c>
      <c r="K241" s="101">
        <f t="shared" si="28"/>
        <v>4640</v>
      </c>
      <c r="L241" s="1" t="s">
        <v>150</v>
      </c>
      <c r="M241" s="102" t="s">
        <v>177</v>
      </c>
    </row>
    <row r="242" s="89" customFormat="1" ht="20.25" spans="1:16">
      <c r="A242" s="97">
        <v>45750</v>
      </c>
      <c r="B242" s="107">
        <v>17</v>
      </c>
      <c r="C242" s="99">
        <v>45749</v>
      </c>
      <c r="D242" s="100"/>
      <c r="E242" s="100"/>
      <c r="F242" s="108" t="s">
        <v>151</v>
      </c>
      <c r="G242" s="100">
        <v>13</v>
      </c>
      <c r="H242" s="100">
        <v>20</v>
      </c>
      <c r="I242" s="100">
        <f t="shared" si="29"/>
        <v>260</v>
      </c>
      <c r="J242" s="109">
        <v>13.7</v>
      </c>
      <c r="K242" s="101">
        <f t="shared" si="28"/>
        <v>3562</v>
      </c>
      <c r="L242" s="1">
        <f>SUM(K241:K242)</f>
        <v>8202</v>
      </c>
      <c r="M242" s="102" t="s">
        <v>177</v>
      </c>
    </row>
    <row r="243" s="88" customFormat="1" ht="20.25" spans="1:16">
      <c r="A243" s="90">
        <v>45765</v>
      </c>
      <c r="B243" s="111">
        <v>54</v>
      </c>
      <c r="C243" s="92" t="s">
        <v>218</v>
      </c>
      <c r="D243" s="93"/>
      <c r="E243" s="93"/>
      <c r="F243" s="106" t="s">
        <v>148</v>
      </c>
      <c r="G243" s="93">
        <v>-1</v>
      </c>
      <c r="H243" s="93">
        <v>20</v>
      </c>
      <c r="I243" s="93">
        <f t="shared" si="29"/>
        <v>-20</v>
      </c>
      <c r="J243" s="105">
        <v>14.5</v>
      </c>
      <c r="K243" s="94">
        <f t="shared" si="28"/>
        <v>-290</v>
      </c>
      <c r="L243" s="86" t="s">
        <v>219</v>
      </c>
      <c r="M243" s="96"/>
    </row>
    <row r="244" s="88" customFormat="1" ht="20.25" spans="1:16">
      <c r="A244" s="90">
        <v>45765</v>
      </c>
      <c r="B244" s="111">
        <v>54</v>
      </c>
      <c r="C244" s="92" t="s">
        <v>218</v>
      </c>
      <c r="D244" s="93"/>
      <c r="E244" s="93"/>
      <c r="F244" s="106" t="s">
        <v>151</v>
      </c>
      <c r="G244" s="93">
        <v>-1</v>
      </c>
      <c r="H244" s="93">
        <v>20</v>
      </c>
      <c r="I244" s="93">
        <f t="shared" si="29"/>
        <v>-20</v>
      </c>
      <c r="J244" s="105">
        <v>13.7</v>
      </c>
      <c r="K244" s="94">
        <f t="shared" si="28"/>
        <v>-274</v>
      </c>
      <c r="L244" s="86" t="s">
        <v>219</v>
      </c>
      <c r="M244" s="96"/>
    </row>
    <row r="245" s="88" customFormat="1" ht="20.25" spans="1:16">
      <c r="A245" s="90">
        <v>45765</v>
      </c>
      <c r="B245" s="111">
        <v>54</v>
      </c>
      <c r="C245" s="92">
        <v>45761</v>
      </c>
      <c r="D245" s="93"/>
      <c r="E245" s="93"/>
      <c r="F245" s="106" t="s">
        <v>220</v>
      </c>
      <c r="G245" s="93">
        <v>1</v>
      </c>
      <c r="H245" s="93">
        <v>25</v>
      </c>
      <c r="I245" s="93">
        <f t="shared" si="29"/>
        <v>25</v>
      </c>
      <c r="J245" s="105">
        <v>14.5</v>
      </c>
      <c r="K245" s="94">
        <f t="shared" si="28"/>
        <v>362.5</v>
      </c>
      <c r="L245" s="86">
        <f>SUM(K243:K246)</f>
        <v>108.5</v>
      </c>
      <c r="M245" s="96"/>
    </row>
    <row r="246" s="88" customFormat="1" ht="20.25" spans="1:16">
      <c r="A246" s="90">
        <v>45765</v>
      </c>
      <c r="B246" s="111">
        <v>54</v>
      </c>
      <c r="C246" s="92" t="s">
        <v>206</v>
      </c>
      <c r="D246" s="93"/>
      <c r="E246" s="93"/>
      <c r="F246" s="106" t="s">
        <v>207</v>
      </c>
      <c r="G246" s="93">
        <v>1</v>
      </c>
      <c r="H246" s="93">
        <v>20</v>
      </c>
      <c r="I246" s="93">
        <f t="shared" si="29"/>
        <v>20</v>
      </c>
      <c r="J246" s="105">
        <v>15.5</v>
      </c>
      <c r="K246" s="94">
        <f t="shared" si="28"/>
        <v>310</v>
      </c>
      <c r="L246" s="86" t="s">
        <v>208</v>
      </c>
      <c r="M246" s="96" t="s">
        <v>209</v>
      </c>
      <c r="O246" s="88" t="s">
        <v>210</v>
      </c>
      <c r="P246" s="88">
        <v>8</v>
      </c>
    </row>
    <row r="247" s="89" customFormat="1" ht="20.25" spans="1:16">
      <c r="A247" s="97">
        <v>45769</v>
      </c>
      <c r="B247" s="107">
        <v>71</v>
      </c>
      <c r="C247" s="99">
        <v>45770</v>
      </c>
      <c r="D247" s="100"/>
      <c r="E247" s="100"/>
      <c r="F247" s="108" t="s">
        <v>151</v>
      </c>
      <c r="G247" s="100">
        <v>10</v>
      </c>
      <c r="H247" s="100">
        <v>20</v>
      </c>
      <c r="I247" s="100">
        <f t="shared" si="29"/>
        <v>200</v>
      </c>
      <c r="J247" s="109">
        <v>13</v>
      </c>
      <c r="K247" s="101">
        <f t="shared" si="28"/>
        <v>2600</v>
      </c>
      <c r="L247" s="1" t="s">
        <v>221</v>
      </c>
      <c r="M247" s="102" t="s">
        <v>177</v>
      </c>
    </row>
    <row r="248" s="88" customFormat="1" ht="20.25" spans="1:16">
      <c r="A248" s="90">
        <v>45773</v>
      </c>
      <c r="B248" s="111">
        <v>87</v>
      </c>
      <c r="C248" s="92"/>
      <c r="D248" s="93"/>
      <c r="E248" s="93"/>
      <c r="F248" s="88" t="s">
        <v>181</v>
      </c>
      <c r="G248" s="93">
        <v>7</v>
      </c>
      <c r="H248" s="93">
        <v>20</v>
      </c>
      <c r="I248" s="93">
        <f t="shared" si="29"/>
        <v>140</v>
      </c>
      <c r="J248" s="93">
        <v>14.5</v>
      </c>
      <c r="K248" s="94">
        <f t="shared" si="28"/>
        <v>2030</v>
      </c>
      <c r="M248" s="96"/>
    </row>
    <row r="249" s="89" customFormat="1" ht="20.25" spans="1:16">
      <c r="A249" s="97">
        <v>45782</v>
      </c>
      <c r="B249" s="107" t="s">
        <v>180</v>
      </c>
      <c r="C249" s="99" t="s">
        <v>178</v>
      </c>
      <c r="D249" s="100"/>
      <c r="E249" s="100"/>
      <c r="F249" s="115" t="s">
        <v>75</v>
      </c>
      <c r="G249" s="100">
        <v>2</v>
      </c>
      <c r="H249" s="100">
        <v>25</v>
      </c>
      <c r="I249" s="100">
        <f t="shared" si="29"/>
        <v>50</v>
      </c>
      <c r="J249" s="101">
        <v>15</v>
      </c>
      <c r="K249" s="101">
        <f t="shared" si="28"/>
        <v>750</v>
      </c>
      <c r="L249" s="116" t="s">
        <v>179</v>
      </c>
      <c r="M249" s="102"/>
    </row>
    <row r="250" s="88" customFormat="1" ht="20.25" spans="1:16">
      <c r="A250" s="90"/>
      <c r="B250" s="111"/>
      <c r="C250" s="92"/>
      <c r="D250" s="93"/>
      <c r="E250" s="93"/>
      <c r="F250" s="106"/>
      <c r="G250" s="93"/>
      <c r="H250" s="93"/>
      <c r="I250" s="93"/>
      <c r="J250" s="105"/>
      <c r="K250" s="94"/>
      <c r="L250" s="86"/>
      <c r="M250" s="96"/>
    </row>
    <row r="251" s="88" customFormat="1" ht="20.25" spans="1:16">
      <c r="A251" s="90"/>
      <c r="B251" s="111"/>
      <c r="C251" s="92"/>
      <c r="D251" s="93"/>
      <c r="E251" s="93"/>
      <c r="F251" s="106"/>
      <c r="G251" s="93"/>
      <c r="H251" s="93"/>
      <c r="I251" s="93"/>
      <c r="J251" s="105"/>
      <c r="K251" s="94"/>
      <c r="L251" s="86"/>
      <c r="M251" s="96"/>
    </row>
    <row r="252" s="88" customFormat="1" ht="20.25" spans="1:16">
      <c r="A252" s="90"/>
      <c r="B252" s="111"/>
      <c r="C252" s="92"/>
      <c r="D252" s="93"/>
      <c r="E252" s="93"/>
      <c r="F252" s="106" t="s">
        <v>222</v>
      </c>
      <c r="G252" s="93"/>
      <c r="H252" s="93"/>
      <c r="I252" s="93"/>
      <c r="J252" s="105"/>
      <c r="K252" s="94"/>
      <c r="L252" s="86"/>
      <c r="M252" s="96"/>
    </row>
    <row r="253" s="88" customFormat="1" ht="20.25" spans="1:16">
      <c r="A253" s="90"/>
      <c r="B253" s="111"/>
      <c r="C253" s="92"/>
      <c r="D253" s="93"/>
      <c r="E253" s="93"/>
      <c r="F253" s="106"/>
      <c r="G253" s="93"/>
      <c r="H253" s="93"/>
      <c r="I253" s="93"/>
      <c r="J253" s="105"/>
      <c r="K253" s="94"/>
      <c r="L253" s="86"/>
      <c r="M253" s="96"/>
    </row>
    <row r="254" s="88" customFormat="1" ht="20.25" spans="1:16">
      <c r="A254" s="90"/>
      <c r="B254" s="111"/>
      <c r="C254" s="92"/>
      <c r="D254" s="93"/>
      <c r="E254" s="93"/>
      <c r="F254" s="106"/>
      <c r="G254" s="93"/>
      <c r="H254" s="93"/>
      <c r="I254" s="93"/>
      <c r="J254" s="105"/>
      <c r="K254" s="94"/>
      <c r="L254" s="86"/>
      <c r="M254" s="96"/>
    </row>
    <row r="255" s="88" customFormat="1" ht="20.25" spans="1:16">
      <c r="A255" s="90"/>
      <c r="B255" s="111"/>
      <c r="C255" s="92"/>
      <c r="D255" s="93"/>
      <c r="E255" s="93"/>
      <c r="F255" s="106"/>
      <c r="G255" s="93"/>
      <c r="H255" s="93"/>
      <c r="I255" s="93"/>
      <c r="J255" s="105"/>
      <c r="K255" s="94"/>
      <c r="L255" s="86"/>
      <c r="M255" s="96"/>
    </row>
    <row r="256" s="88" customFormat="1" ht="20.25" spans="1:16">
      <c r="A256" s="90"/>
      <c r="B256" s="111"/>
      <c r="C256" s="92"/>
      <c r="D256" s="93"/>
      <c r="E256" s="93"/>
      <c r="F256" s="106"/>
      <c r="G256" s="93"/>
      <c r="H256" s="93"/>
      <c r="I256" s="93"/>
      <c r="J256" s="105"/>
      <c r="K256" s="94"/>
      <c r="L256" s="86"/>
      <c r="M256" s="96"/>
    </row>
    <row r="257" s="88" customFormat="1" ht="20.25" spans="1:13">
      <c r="A257" s="90"/>
      <c r="B257" s="111"/>
      <c r="C257" s="92"/>
      <c r="D257" s="93"/>
      <c r="E257" s="93"/>
      <c r="F257" s="106"/>
      <c r="G257" s="93"/>
      <c r="H257" s="93"/>
      <c r="I257" s="93"/>
      <c r="J257" s="105" t="s">
        <v>223</v>
      </c>
      <c r="K257" s="94"/>
      <c r="L257" s="86"/>
      <c r="M257" s="96"/>
    </row>
    <row r="258" s="88" customFormat="1" ht="20.25" spans="1:13">
      <c r="A258" s="90"/>
      <c r="B258" s="111"/>
      <c r="C258" s="92"/>
      <c r="D258" s="93"/>
      <c r="E258" s="93"/>
      <c r="F258" s="106"/>
      <c r="G258" s="93"/>
      <c r="H258" s="93"/>
      <c r="I258" s="93"/>
      <c r="J258" s="105"/>
      <c r="K258" s="94"/>
      <c r="L258" s="86"/>
      <c r="M258" s="96"/>
    </row>
    <row r="259" s="88" customFormat="1" ht="20.25" spans="1:13">
      <c r="A259" s="90"/>
      <c r="B259" s="111"/>
      <c r="C259" s="92"/>
      <c r="D259" s="93"/>
      <c r="E259" s="93"/>
      <c r="F259" s="106"/>
      <c r="G259" s="93"/>
      <c r="H259" s="93"/>
      <c r="I259" s="93"/>
      <c r="J259" s="105"/>
      <c r="K259" s="94"/>
      <c r="L259" s="86"/>
      <c r="M259" s="96"/>
    </row>
    <row r="260" s="88" customFormat="1" ht="20.25" spans="1:13">
      <c r="A260" s="90"/>
      <c r="B260" s="111"/>
      <c r="C260" s="92"/>
      <c r="D260" s="93"/>
      <c r="E260" s="93"/>
      <c r="F260" s="106"/>
      <c r="G260" s="93"/>
      <c r="H260" s="93"/>
      <c r="I260" s="93"/>
      <c r="J260" s="105"/>
      <c r="K260" s="94"/>
      <c r="L260" s="86"/>
      <c r="M260" s="96"/>
    </row>
    <row r="261" s="88" customFormat="1" ht="20.25" spans="1:13">
      <c r="A261" s="90"/>
      <c r="B261" s="111"/>
      <c r="C261" s="92"/>
      <c r="D261" s="93"/>
      <c r="E261" s="93"/>
      <c r="F261" s="106"/>
      <c r="G261" s="93"/>
      <c r="H261" s="93"/>
      <c r="I261" s="93"/>
      <c r="J261" s="105"/>
      <c r="K261" s="94"/>
      <c r="L261" s="86"/>
      <c r="M261" s="96"/>
    </row>
    <row r="262" s="88" customFormat="1" ht="20.25" spans="1:13">
      <c r="A262" s="90"/>
      <c r="B262" s="111"/>
      <c r="C262" s="92"/>
      <c r="D262" s="93"/>
      <c r="E262" s="93"/>
      <c r="F262" s="106"/>
      <c r="G262" s="93"/>
      <c r="H262" s="93"/>
      <c r="I262" s="93"/>
      <c r="J262" s="105"/>
      <c r="K262" s="94"/>
      <c r="L262" s="86"/>
      <c r="M262" s="96"/>
    </row>
    <row r="263" s="88" customFormat="1" ht="20.25" spans="1:13">
      <c r="A263" s="90"/>
      <c r="B263" s="111"/>
      <c r="C263" s="92"/>
      <c r="D263" s="93"/>
      <c r="E263" s="93"/>
      <c r="F263" s="106"/>
      <c r="G263" s="93"/>
      <c r="H263" s="93"/>
      <c r="I263" s="93"/>
      <c r="J263" s="105"/>
      <c r="K263" s="94"/>
      <c r="L263" s="86"/>
      <c r="M263" s="96"/>
    </row>
    <row r="264" s="88" customFormat="1" ht="20.25" spans="1:13">
      <c r="A264" s="90"/>
      <c r="B264" s="111"/>
      <c r="C264" s="92"/>
      <c r="D264" s="93"/>
      <c r="E264" s="93"/>
      <c r="F264" s="106"/>
      <c r="G264" s="93"/>
      <c r="H264" s="93"/>
      <c r="I264" s="93"/>
      <c r="J264" s="105"/>
      <c r="K264" s="94"/>
      <c r="L264" s="86"/>
      <c r="M264" s="96"/>
    </row>
    <row r="265" s="88" customFormat="1" ht="20.25" spans="1:13">
      <c r="A265" s="90"/>
      <c r="B265" s="111"/>
      <c r="C265" s="92"/>
      <c r="D265" s="93"/>
      <c r="E265" s="93"/>
      <c r="F265" s="106"/>
      <c r="G265" s="93"/>
      <c r="H265" s="93"/>
      <c r="I265" s="93"/>
      <c r="J265" s="105"/>
      <c r="K265" s="94"/>
      <c r="L265" s="86"/>
      <c r="M265" s="96"/>
    </row>
    <row r="266" s="88" customFormat="1" ht="20.25" spans="1:13">
      <c r="A266" s="90"/>
      <c r="B266" s="111"/>
      <c r="C266" s="92"/>
      <c r="D266" s="93"/>
      <c r="E266" s="93"/>
      <c r="F266" s="106"/>
      <c r="G266" s="93"/>
      <c r="H266" s="93"/>
      <c r="I266" s="93"/>
      <c r="J266" s="105"/>
      <c r="K266" s="94"/>
      <c r="L266" s="86"/>
      <c r="M266" s="96"/>
    </row>
    <row r="267" s="88" customFormat="1" ht="20.25" spans="1:13">
      <c r="A267" s="90"/>
      <c r="B267" s="111"/>
      <c r="C267" s="92"/>
      <c r="D267" s="93"/>
      <c r="E267" s="93"/>
      <c r="F267" s="106"/>
      <c r="G267" s="93"/>
      <c r="H267" s="93"/>
      <c r="I267" s="93"/>
      <c r="J267" s="105"/>
      <c r="K267" s="94"/>
      <c r="L267" s="86"/>
      <c r="M267" s="96"/>
    </row>
    <row r="268" s="88" customFormat="1" ht="20.25" spans="1:13">
      <c r="A268" s="90"/>
      <c r="B268" s="111"/>
      <c r="C268" s="92"/>
      <c r="D268" s="93"/>
      <c r="E268" s="93"/>
      <c r="F268" s="106"/>
      <c r="G268" s="93"/>
      <c r="H268" s="93"/>
      <c r="I268" s="93"/>
      <c r="J268" s="105"/>
      <c r="K268" s="94"/>
      <c r="L268" s="86"/>
      <c r="M268" s="96"/>
    </row>
    <row r="269" s="88" customFormat="1" ht="20.25" spans="1:13">
      <c r="A269" s="90"/>
      <c r="B269" s="111"/>
      <c r="C269" s="92"/>
      <c r="D269" s="93"/>
      <c r="E269" s="93"/>
      <c r="F269" s="106"/>
      <c r="G269" s="93"/>
      <c r="H269" s="93"/>
      <c r="I269" s="93"/>
      <c r="J269" s="105"/>
      <c r="K269" s="94"/>
      <c r="L269" s="86"/>
      <c r="M269" s="96"/>
    </row>
    <row r="270" s="88" customFormat="1" ht="20.25" spans="1:13">
      <c r="A270" s="90"/>
      <c r="B270" s="111"/>
      <c r="C270" s="92"/>
      <c r="D270" s="93"/>
      <c r="E270" s="93"/>
      <c r="F270" s="106"/>
      <c r="G270" s="93"/>
      <c r="H270" s="93"/>
      <c r="I270" s="93"/>
      <c r="J270" s="105"/>
      <c r="K270" s="94"/>
      <c r="L270" s="86"/>
      <c r="M270" s="96"/>
    </row>
    <row r="271" s="88" customFormat="1" ht="20.25" spans="1:13">
      <c r="A271" s="90"/>
      <c r="B271" s="111"/>
      <c r="C271" s="92"/>
      <c r="D271" s="93"/>
      <c r="E271" s="93"/>
      <c r="F271" s="106"/>
      <c r="G271" s="93"/>
      <c r="H271" s="93"/>
      <c r="I271" s="93"/>
      <c r="J271" s="105"/>
      <c r="K271" s="94"/>
      <c r="L271" s="86"/>
      <c r="M271" s="96"/>
    </row>
    <row r="272" s="88" customFormat="1" ht="20.25" spans="1:13">
      <c r="A272" s="90"/>
      <c r="B272" s="111"/>
      <c r="C272" s="92"/>
      <c r="D272" s="93"/>
      <c r="E272" s="93"/>
      <c r="F272" s="106"/>
      <c r="G272" s="93"/>
      <c r="H272" s="93"/>
      <c r="I272" s="93"/>
      <c r="J272" s="105"/>
      <c r="K272" s="94"/>
      <c r="L272" s="86"/>
      <c r="M272" s="96"/>
    </row>
    <row r="273" s="88" customFormat="1" ht="20.25" spans="1:13">
      <c r="A273" s="90"/>
      <c r="B273" s="111"/>
      <c r="C273" s="92"/>
      <c r="D273" s="93"/>
      <c r="E273" s="93"/>
      <c r="F273" s="106"/>
      <c r="G273" s="93"/>
      <c r="H273" s="93"/>
      <c r="I273" s="93"/>
      <c r="J273" s="105"/>
      <c r="K273" s="94"/>
      <c r="L273" s="86"/>
      <c r="M273" s="96"/>
    </row>
  </sheetData>
  <autoFilter xmlns:etc="http://www.wps.cn/officeDocument/2017/etCustomData" ref="A2:XFC257" etc:filterBottomFollowUsedRange="0">
    <extLst/>
  </autoFilter>
  <mergeCells count="272">
    <mergeCell ref="A1:F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D185"/>
    <mergeCell ref="C186:D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M19:N20"/>
  </mergeCells>
  <pageMargins left="0.751388888888889" right="0.751388888888889" top="1" bottom="1" header="0.5" footer="0.5"/>
  <pageSetup paperSize="9" scale="58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00"/>
  <sheetViews>
    <sheetView tabSelected="1" topLeftCell="A255" workbookViewId="0">
      <selection activeCell="N277" sqref="N277"/>
    </sheetView>
  </sheetViews>
  <sheetFormatPr defaultColWidth="9" defaultRowHeight="14.25"/>
  <cols>
    <col min="1" max="1" width="12.625"/>
    <col min="5" max="5" width="1" customWidth="1"/>
    <col min="6" max="6" width="30" customWidth="1"/>
    <col min="9" max="9" width="11.375"/>
    <col min="10" max="10" width="10.75"/>
    <col min="11" max="11" width="14.5"/>
    <col min="12" max="12" width="12.625"/>
    <col min="13" max="13" width="12.875"/>
    <col min="14" max="14" width="12.625"/>
    <col min="16" max="16" width="11.375"/>
  </cols>
  <sheetData>
    <row r="1" s="88" customFormat="1" ht="20.25" spans="1:14">
      <c r="A1" s="90">
        <v>45703</v>
      </c>
      <c r="B1" s="91" t="s">
        <v>180</v>
      </c>
      <c r="C1" s="92"/>
      <c r="D1" s="93"/>
      <c r="E1" s="93"/>
      <c r="F1" s="88" t="s">
        <v>148</v>
      </c>
      <c r="G1" s="93">
        <v>16</v>
      </c>
      <c r="H1" s="93">
        <v>20</v>
      </c>
      <c r="I1" s="93">
        <f t="shared" ref="I1:I27" si="0">G1*H1</f>
        <v>320</v>
      </c>
      <c r="J1" s="93">
        <v>14.5</v>
      </c>
      <c r="K1" s="94">
        <f>I1*J1</f>
        <v>4640</v>
      </c>
      <c r="L1" s="95"/>
      <c r="M1" s="96">
        <f>SUM(K1:K155)</f>
        <v>111643.1</v>
      </c>
    </row>
    <row r="2" s="88" customFormat="1" ht="20.25" spans="1:14">
      <c r="A2" s="90">
        <v>45703</v>
      </c>
      <c r="B2" s="91" t="s">
        <v>180</v>
      </c>
      <c r="C2" s="92"/>
      <c r="D2" s="93"/>
      <c r="E2" s="93"/>
      <c r="F2" s="88" t="s">
        <v>151</v>
      </c>
      <c r="G2" s="93">
        <v>10</v>
      </c>
      <c r="H2" s="93">
        <v>20</v>
      </c>
      <c r="I2" s="93">
        <f t="shared" si="0"/>
        <v>200</v>
      </c>
      <c r="J2" s="93">
        <v>13.7</v>
      </c>
      <c r="K2" s="94">
        <f>I2*J2</f>
        <v>2740</v>
      </c>
      <c r="L2" s="95">
        <f>SUM(K1:K2)</f>
        <v>7380</v>
      </c>
      <c r="M2" s="96"/>
    </row>
    <row r="3" s="89" customFormat="1" ht="20.25" spans="1:14">
      <c r="A3" s="97">
        <v>45712</v>
      </c>
      <c r="B3" s="98">
        <v>34</v>
      </c>
      <c r="C3" s="99"/>
      <c r="D3" s="100"/>
      <c r="E3" s="100"/>
      <c r="F3" s="89" t="s">
        <v>181</v>
      </c>
      <c r="G3" s="100">
        <v>3</v>
      </c>
      <c r="H3" s="100">
        <v>20</v>
      </c>
      <c r="I3" s="100">
        <f t="shared" si="0"/>
        <v>60</v>
      </c>
      <c r="J3" s="100">
        <v>14.5</v>
      </c>
      <c r="K3" s="101">
        <f>I3*J3</f>
        <v>870</v>
      </c>
      <c r="L3" s="85" t="s">
        <v>182</v>
      </c>
      <c r="M3" s="102"/>
    </row>
    <row r="4" s="89" customFormat="1" ht="20.25" spans="1:14">
      <c r="A4" s="97">
        <v>45712</v>
      </c>
      <c r="B4" s="98">
        <v>34</v>
      </c>
      <c r="C4" s="99"/>
      <c r="D4" s="100"/>
      <c r="E4" s="100"/>
      <c r="F4" s="89" t="s">
        <v>181</v>
      </c>
      <c r="G4" s="100">
        <v>1</v>
      </c>
      <c r="H4" s="100">
        <v>20</v>
      </c>
      <c r="I4" s="100">
        <f t="shared" si="0"/>
        <v>20</v>
      </c>
      <c r="J4" s="100"/>
      <c r="K4" s="101"/>
      <c r="L4" s="103" t="s">
        <v>183</v>
      </c>
      <c r="M4" s="102"/>
    </row>
    <row r="5" s="89" customFormat="1" ht="20.25" spans="1:14">
      <c r="A5" s="97">
        <v>45712</v>
      </c>
      <c r="B5" s="98">
        <v>34</v>
      </c>
      <c r="C5" s="99"/>
      <c r="D5" s="100"/>
      <c r="E5" s="100"/>
      <c r="F5" s="89" t="s">
        <v>151</v>
      </c>
      <c r="G5" s="100">
        <v>1</v>
      </c>
      <c r="H5" s="100">
        <v>20</v>
      </c>
      <c r="I5" s="100">
        <f t="shared" si="0"/>
        <v>20</v>
      </c>
      <c r="J5" s="100"/>
      <c r="K5" s="101"/>
      <c r="L5" s="103" t="s">
        <v>183</v>
      </c>
      <c r="M5" s="102"/>
    </row>
    <row r="6" s="89" customFormat="1" ht="20.25" spans="1:14">
      <c r="A6" s="97">
        <v>45712</v>
      </c>
      <c r="B6" s="98">
        <v>34</v>
      </c>
      <c r="C6" s="99"/>
      <c r="D6" s="100"/>
      <c r="E6" s="100"/>
      <c r="F6" s="89" t="s">
        <v>151</v>
      </c>
      <c r="G6" s="100">
        <v>10</v>
      </c>
      <c r="H6" s="100">
        <v>20</v>
      </c>
      <c r="I6" s="100">
        <f t="shared" si="0"/>
        <v>200</v>
      </c>
      <c r="J6" s="100">
        <v>13.7</v>
      </c>
      <c r="K6" s="101">
        <f t="shared" ref="K6:K27" si="1">I6*J6</f>
        <v>2740</v>
      </c>
      <c r="L6" s="103" t="s">
        <v>184</v>
      </c>
      <c r="M6" s="102"/>
    </row>
    <row r="7" s="89" customFormat="1" ht="20.25" spans="1:14">
      <c r="A7" s="97">
        <v>45712</v>
      </c>
      <c r="B7" s="98">
        <v>34</v>
      </c>
      <c r="C7" s="99" t="s">
        <v>185</v>
      </c>
      <c r="D7" s="100"/>
      <c r="E7" s="100"/>
      <c r="F7" s="89" t="s">
        <v>95</v>
      </c>
      <c r="G7" s="100">
        <v>2</v>
      </c>
      <c r="H7" s="100">
        <v>25</v>
      </c>
      <c r="I7" s="100">
        <f t="shared" si="0"/>
        <v>50</v>
      </c>
      <c r="J7" s="100">
        <v>15</v>
      </c>
      <c r="K7" s="101">
        <f t="shared" si="1"/>
        <v>750</v>
      </c>
      <c r="L7" s="103" t="s">
        <v>184</v>
      </c>
      <c r="M7" s="102"/>
    </row>
    <row r="8" s="89" customFormat="1" ht="20.25" spans="1:14">
      <c r="A8" s="97">
        <v>45712</v>
      </c>
      <c r="B8" s="98">
        <v>34</v>
      </c>
      <c r="C8" s="99" t="s">
        <v>186</v>
      </c>
      <c r="D8" s="100"/>
      <c r="E8" s="100"/>
      <c r="F8" s="89" t="s">
        <v>95</v>
      </c>
      <c r="G8" s="100">
        <v>3</v>
      </c>
      <c r="H8" s="100">
        <v>25</v>
      </c>
      <c r="I8" s="100">
        <f t="shared" si="0"/>
        <v>75</v>
      </c>
      <c r="J8" s="100">
        <v>15</v>
      </c>
      <c r="K8" s="101">
        <f t="shared" si="1"/>
        <v>1125</v>
      </c>
      <c r="L8" s="103"/>
      <c r="M8" s="102"/>
    </row>
    <row r="9" s="89" customFormat="1" ht="20.25" spans="1:14">
      <c r="A9" s="97">
        <v>45712</v>
      </c>
      <c r="B9" s="98">
        <v>34</v>
      </c>
      <c r="C9" s="99" t="s">
        <v>171</v>
      </c>
      <c r="D9" s="100"/>
      <c r="E9" s="100"/>
      <c r="F9" s="89" t="s">
        <v>139</v>
      </c>
      <c r="G9" s="100">
        <v>3</v>
      </c>
      <c r="H9" s="100">
        <v>25</v>
      </c>
      <c r="I9" s="100">
        <f t="shared" si="0"/>
        <v>75</v>
      </c>
      <c r="J9" s="100">
        <v>15</v>
      </c>
      <c r="K9" s="101">
        <f t="shared" si="1"/>
        <v>1125</v>
      </c>
      <c r="L9" s="103"/>
      <c r="M9" s="102"/>
    </row>
    <row r="10" s="89" customFormat="1" ht="20.25" spans="1:14">
      <c r="A10" s="97">
        <v>45712</v>
      </c>
      <c r="B10" s="98">
        <v>34</v>
      </c>
      <c r="C10" s="99" t="s">
        <v>141</v>
      </c>
      <c r="D10" s="100"/>
      <c r="E10" s="100"/>
      <c r="F10" s="89" t="s">
        <v>94</v>
      </c>
      <c r="G10" s="100">
        <v>3</v>
      </c>
      <c r="H10" s="100">
        <v>25</v>
      </c>
      <c r="I10" s="100">
        <f t="shared" si="0"/>
        <v>75</v>
      </c>
      <c r="J10" s="100">
        <v>15</v>
      </c>
      <c r="K10" s="101">
        <f t="shared" si="1"/>
        <v>1125</v>
      </c>
      <c r="L10" s="103">
        <f>SUM(K3:K10)</f>
        <v>7735</v>
      </c>
      <c r="M10" s="102"/>
      <c r="N10" s="89">
        <f>SUM(K1:K16)</f>
        <v>15236.5</v>
      </c>
    </row>
    <row r="11" s="88" customFormat="1" ht="20.25" spans="1:14">
      <c r="A11" s="90">
        <v>45716</v>
      </c>
      <c r="B11" s="91">
        <v>52</v>
      </c>
      <c r="C11" s="104" t="s">
        <v>187</v>
      </c>
      <c r="D11" s="83"/>
      <c r="E11" s="83"/>
      <c r="F11" s="88" t="s">
        <v>181</v>
      </c>
      <c r="G11" s="93">
        <v>-1</v>
      </c>
      <c r="H11" s="93">
        <v>20</v>
      </c>
      <c r="I11" s="93">
        <f t="shared" si="0"/>
        <v>-20</v>
      </c>
      <c r="J11" s="93">
        <v>14.5</v>
      </c>
      <c r="K11" s="84">
        <f t="shared" si="1"/>
        <v>-290</v>
      </c>
      <c r="M11" s="96"/>
    </row>
    <row r="12" s="88" customFormat="1" ht="20.25" spans="1:14">
      <c r="A12" s="90">
        <v>45716</v>
      </c>
      <c r="B12" s="91">
        <v>52</v>
      </c>
      <c r="C12" s="92">
        <v>45716</v>
      </c>
      <c r="D12" s="93"/>
      <c r="E12" s="93"/>
      <c r="F12" s="88" t="s">
        <v>188</v>
      </c>
      <c r="G12" s="93">
        <v>1</v>
      </c>
      <c r="H12" s="93">
        <v>7</v>
      </c>
      <c r="I12" s="93">
        <f t="shared" si="0"/>
        <v>7</v>
      </c>
      <c r="J12" s="105">
        <v>14.5</v>
      </c>
      <c r="K12" s="94">
        <f t="shared" si="1"/>
        <v>101.5</v>
      </c>
      <c r="M12" s="96"/>
    </row>
    <row r="13" s="88" customFormat="1" ht="20.25" spans="1:14">
      <c r="A13" s="90">
        <v>45716</v>
      </c>
      <c r="B13" s="91">
        <v>52</v>
      </c>
      <c r="C13" s="92">
        <v>45716</v>
      </c>
      <c r="D13" s="93"/>
      <c r="E13" s="93"/>
      <c r="F13" s="88" t="s">
        <v>189</v>
      </c>
      <c r="G13" s="93">
        <v>1</v>
      </c>
      <c r="H13" s="93">
        <v>9</v>
      </c>
      <c r="I13" s="93">
        <f t="shared" si="0"/>
        <v>9</v>
      </c>
      <c r="J13" s="105">
        <v>14.5</v>
      </c>
      <c r="K13" s="94">
        <f t="shared" si="1"/>
        <v>130.5</v>
      </c>
      <c r="M13" s="96"/>
    </row>
    <row r="14" s="88" customFormat="1" ht="20.25" spans="1:14">
      <c r="A14" s="90">
        <v>45716</v>
      </c>
      <c r="B14" s="91">
        <v>52</v>
      </c>
      <c r="C14" s="92">
        <v>45716</v>
      </c>
      <c r="D14" s="93"/>
      <c r="E14" s="93"/>
      <c r="F14" s="88" t="s">
        <v>190</v>
      </c>
      <c r="G14" s="93">
        <v>1</v>
      </c>
      <c r="H14" s="93">
        <v>5</v>
      </c>
      <c r="I14" s="93">
        <f t="shared" si="0"/>
        <v>5</v>
      </c>
      <c r="J14" s="105">
        <v>14.5</v>
      </c>
      <c r="K14" s="94">
        <f t="shared" si="1"/>
        <v>72.5</v>
      </c>
      <c r="M14" s="96"/>
    </row>
    <row r="15" s="88" customFormat="1" ht="20.25" spans="1:14">
      <c r="A15" s="90">
        <v>45716</v>
      </c>
      <c r="B15" s="91">
        <v>52</v>
      </c>
      <c r="C15" s="92">
        <v>45716</v>
      </c>
      <c r="D15" s="93"/>
      <c r="E15" s="93"/>
      <c r="F15" s="88" t="s">
        <v>191</v>
      </c>
      <c r="G15" s="93">
        <v>1</v>
      </c>
      <c r="H15" s="93">
        <v>7</v>
      </c>
      <c r="I15" s="93">
        <f t="shared" si="0"/>
        <v>7</v>
      </c>
      <c r="J15" s="105">
        <v>14.5</v>
      </c>
      <c r="K15" s="94">
        <f t="shared" si="1"/>
        <v>101.5</v>
      </c>
      <c r="M15" s="96"/>
    </row>
    <row r="16" s="88" customFormat="1" ht="20.25" spans="1:14">
      <c r="A16" s="90">
        <v>45716</v>
      </c>
      <c r="B16" s="91">
        <v>52</v>
      </c>
      <c r="C16" s="92">
        <v>45716</v>
      </c>
      <c r="D16" s="93"/>
      <c r="E16" s="93"/>
      <c r="F16" s="106" t="s">
        <v>192</v>
      </c>
      <c r="G16" s="93">
        <v>1</v>
      </c>
      <c r="H16" s="93">
        <v>1</v>
      </c>
      <c r="I16" s="93">
        <f t="shared" si="0"/>
        <v>1</v>
      </c>
      <c r="J16" s="105">
        <v>5.5</v>
      </c>
      <c r="K16" s="94">
        <f t="shared" si="1"/>
        <v>5.5</v>
      </c>
      <c r="L16" s="86">
        <f>SUM(K11:K16)</f>
        <v>121.5</v>
      </c>
      <c r="M16" s="96"/>
    </row>
    <row r="17" s="89" customFormat="1" ht="20.25" spans="1:16">
      <c r="A17" s="97">
        <v>45717</v>
      </c>
      <c r="B17" s="107">
        <v>3</v>
      </c>
      <c r="C17" s="99" t="s">
        <v>146</v>
      </c>
      <c r="D17" s="100"/>
      <c r="E17" s="100"/>
      <c r="F17" s="108" t="s">
        <v>147</v>
      </c>
      <c r="G17" s="100">
        <v>3</v>
      </c>
      <c r="H17" s="100">
        <v>25</v>
      </c>
      <c r="I17" s="100">
        <f t="shared" si="0"/>
        <v>75</v>
      </c>
      <c r="J17" s="109">
        <v>14.5</v>
      </c>
      <c r="K17" s="101">
        <f t="shared" si="1"/>
        <v>1087.5</v>
      </c>
      <c r="L17" s="110"/>
      <c r="M17" s="102"/>
    </row>
    <row r="18" s="88" customFormat="1" ht="20.25" spans="1:16">
      <c r="A18" s="90">
        <v>45719</v>
      </c>
      <c r="B18" s="111">
        <v>8</v>
      </c>
      <c r="C18" s="92" t="s">
        <v>193</v>
      </c>
      <c r="D18" s="93"/>
      <c r="E18" s="93"/>
      <c r="F18" s="106" t="s">
        <v>194</v>
      </c>
      <c r="G18" s="93">
        <v>1</v>
      </c>
      <c r="H18" s="93">
        <v>7</v>
      </c>
      <c r="I18" s="93">
        <f t="shared" si="0"/>
        <v>7</v>
      </c>
      <c r="J18" s="105">
        <v>14.5</v>
      </c>
      <c r="K18" s="94">
        <f t="shared" si="1"/>
        <v>101.5</v>
      </c>
      <c r="L18" s="86" t="s">
        <v>104</v>
      </c>
      <c r="M18" s="96"/>
    </row>
    <row r="19" s="88" customFormat="1" ht="20.25" spans="1:16">
      <c r="A19" s="90">
        <v>45719</v>
      </c>
      <c r="B19" s="111">
        <v>8</v>
      </c>
      <c r="C19" s="92"/>
      <c r="D19" s="93"/>
      <c r="E19" s="93"/>
      <c r="F19" s="106" t="s">
        <v>75</v>
      </c>
      <c r="G19" s="93">
        <v>1</v>
      </c>
      <c r="H19" s="93">
        <v>5</v>
      </c>
      <c r="I19" s="93">
        <f t="shared" si="0"/>
        <v>5</v>
      </c>
      <c r="J19" s="105">
        <v>14.5</v>
      </c>
      <c r="K19" s="94">
        <f t="shared" si="1"/>
        <v>72.5</v>
      </c>
      <c r="L19" s="86"/>
      <c r="M19" s="96"/>
    </row>
    <row r="20" s="88" customFormat="1" ht="20.25" spans="1:16">
      <c r="A20" s="90">
        <v>45719</v>
      </c>
      <c r="B20" s="111">
        <v>8</v>
      </c>
      <c r="C20" s="92"/>
      <c r="D20" s="93"/>
      <c r="E20" s="93"/>
      <c r="F20" s="106" t="s">
        <v>195</v>
      </c>
      <c r="G20" s="93">
        <v>1</v>
      </c>
      <c r="H20" s="93">
        <v>20</v>
      </c>
      <c r="I20" s="93">
        <f t="shared" si="0"/>
        <v>20</v>
      </c>
      <c r="J20" s="105">
        <v>15.5</v>
      </c>
      <c r="K20" s="94">
        <f t="shared" si="1"/>
        <v>310</v>
      </c>
      <c r="L20" s="112" t="s">
        <v>196</v>
      </c>
      <c r="M20" s="96"/>
    </row>
    <row r="21" s="88" customFormat="1" ht="20.25" spans="1:16">
      <c r="A21" s="90">
        <v>45719</v>
      </c>
      <c r="B21" s="111">
        <v>8</v>
      </c>
      <c r="C21" s="92"/>
      <c r="D21" s="93"/>
      <c r="E21" s="93"/>
      <c r="F21" s="106" t="s">
        <v>197</v>
      </c>
      <c r="G21" s="93">
        <v>1</v>
      </c>
      <c r="H21" s="93">
        <v>10</v>
      </c>
      <c r="I21" s="93">
        <f t="shared" si="0"/>
        <v>10</v>
      </c>
      <c r="J21" s="105">
        <v>15.5</v>
      </c>
      <c r="K21" s="94">
        <f t="shared" si="1"/>
        <v>155</v>
      </c>
      <c r="L21" s="113" t="s">
        <v>198</v>
      </c>
      <c r="M21" s="96"/>
    </row>
    <row r="22" s="88" customFormat="1" ht="20.25" spans="1:16">
      <c r="A22" s="90">
        <v>45719</v>
      </c>
      <c r="B22" s="111">
        <v>8</v>
      </c>
      <c r="C22" s="92"/>
      <c r="D22" s="93"/>
      <c r="E22" s="93"/>
      <c r="F22" s="106" t="s">
        <v>192</v>
      </c>
      <c r="G22" s="93">
        <v>1</v>
      </c>
      <c r="H22" s="93">
        <v>1</v>
      </c>
      <c r="I22" s="93">
        <f t="shared" si="0"/>
        <v>1</v>
      </c>
      <c r="J22" s="105">
        <v>5.5</v>
      </c>
      <c r="K22" s="94">
        <f t="shared" si="1"/>
        <v>5.5</v>
      </c>
      <c r="L22" s="86"/>
      <c r="M22" s="96"/>
    </row>
    <row r="23" s="86" customFormat="1" ht="20.25" spans="1:16">
      <c r="A23" s="90">
        <v>45719</v>
      </c>
      <c r="B23" s="111">
        <v>8</v>
      </c>
      <c r="C23" s="92">
        <v>45719</v>
      </c>
      <c r="D23" s="93"/>
      <c r="E23" s="93"/>
      <c r="F23" s="114" t="s">
        <v>166</v>
      </c>
      <c r="G23" s="114">
        <v>-5</v>
      </c>
      <c r="H23" s="106">
        <v>20</v>
      </c>
      <c r="I23" s="93">
        <f t="shared" si="0"/>
        <v>-100</v>
      </c>
      <c r="J23" s="105">
        <v>9</v>
      </c>
      <c r="K23" s="94">
        <f t="shared" si="1"/>
        <v>-900</v>
      </c>
    </row>
    <row r="24" s="88" customFormat="1" ht="20.25" spans="1:16">
      <c r="A24" s="90">
        <v>45719</v>
      </c>
      <c r="B24" s="111">
        <v>8</v>
      </c>
      <c r="C24" s="92"/>
      <c r="D24" s="93"/>
      <c r="E24" s="93"/>
      <c r="F24" s="106" t="s">
        <v>199</v>
      </c>
      <c r="G24" s="93">
        <v>-1</v>
      </c>
      <c r="H24" s="93">
        <v>5</v>
      </c>
      <c r="I24" s="93">
        <f t="shared" si="0"/>
        <v>-5</v>
      </c>
      <c r="J24" s="105">
        <v>28</v>
      </c>
      <c r="K24" s="94">
        <f t="shared" si="1"/>
        <v>-140</v>
      </c>
      <c r="L24" s="86"/>
      <c r="M24" s="96"/>
    </row>
    <row r="25" s="88" customFormat="1" ht="20.25" spans="1:16">
      <c r="A25" s="90">
        <v>45719</v>
      </c>
      <c r="B25" s="111">
        <v>8</v>
      </c>
      <c r="C25" s="92"/>
      <c r="D25" s="93"/>
      <c r="E25" s="93"/>
      <c r="F25" s="106" t="s">
        <v>200</v>
      </c>
      <c r="G25" s="93">
        <v>-1</v>
      </c>
      <c r="H25" s="93">
        <v>5</v>
      </c>
      <c r="I25" s="93">
        <f t="shared" si="0"/>
        <v>-5</v>
      </c>
      <c r="J25" s="105">
        <v>30</v>
      </c>
      <c r="K25" s="94">
        <f t="shared" si="1"/>
        <v>-150</v>
      </c>
      <c r="L25" s="86"/>
      <c r="M25" s="96"/>
    </row>
    <row r="26" s="88" customFormat="1" ht="20.25" spans="1:16">
      <c r="A26" s="90">
        <v>45719</v>
      </c>
      <c r="B26" s="111">
        <v>8</v>
      </c>
      <c r="C26" s="92"/>
      <c r="D26" s="93"/>
      <c r="E26" s="93"/>
      <c r="F26" s="106" t="s">
        <v>201</v>
      </c>
      <c r="G26" s="93">
        <v>-1</v>
      </c>
      <c r="H26" s="93">
        <v>5</v>
      </c>
      <c r="I26" s="93">
        <f t="shared" si="0"/>
        <v>-5</v>
      </c>
      <c r="J26" s="105">
        <v>30</v>
      </c>
      <c r="K26" s="94">
        <f t="shared" si="1"/>
        <v>-150</v>
      </c>
      <c r="L26" s="86">
        <f>SUM(K18:K26)</f>
        <v>-695.5</v>
      </c>
      <c r="M26" s="96"/>
    </row>
    <row r="27" s="89" customFormat="1" ht="20.25" spans="1:16">
      <c r="A27" s="97">
        <v>45722</v>
      </c>
      <c r="B27" s="107">
        <v>28</v>
      </c>
      <c r="C27" s="99" t="s">
        <v>178</v>
      </c>
      <c r="D27" s="100"/>
      <c r="E27" s="100"/>
      <c r="F27" s="115" t="s">
        <v>75</v>
      </c>
      <c r="G27" s="100">
        <v>2</v>
      </c>
      <c r="H27" s="100">
        <v>25</v>
      </c>
      <c r="I27" s="100">
        <f t="shared" si="0"/>
        <v>50</v>
      </c>
      <c r="J27" s="101">
        <v>15</v>
      </c>
      <c r="K27" s="101">
        <f t="shared" si="1"/>
        <v>750</v>
      </c>
      <c r="L27" s="116" t="s">
        <v>179</v>
      </c>
      <c r="M27" s="102"/>
    </row>
    <row r="28" s="88" customFormat="1" ht="20.25" spans="1:16">
      <c r="A28" s="90">
        <v>45726</v>
      </c>
      <c r="B28" s="111">
        <v>34</v>
      </c>
      <c r="C28" s="92"/>
      <c r="D28" s="93"/>
      <c r="E28" s="93"/>
      <c r="F28" s="88" t="s">
        <v>181</v>
      </c>
      <c r="G28" s="93">
        <v>17</v>
      </c>
      <c r="H28" s="93">
        <v>20</v>
      </c>
      <c r="I28" s="93">
        <f t="shared" ref="I28:I63" si="2">G28*H28</f>
        <v>340</v>
      </c>
      <c r="J28" s="93">
        <v>14.5</v>
      </c>
      <c r="K28" s="94">
        <f t="shared" ref="K28:K66" si="3">I28*J28</f>
        <v>4930</v>
      </c>
      <c r="M28" s="96"/>
    </row>
    <row r="29" s="89" customFormat="1" ht="20.25" spans="1:16">
      <c r="A29" s="97">
        <v>45734</v>
      </c>
      <c r="B29" s="107">
        <v>65</v>
      </c>
      <c r="C29" s="99">
        <v>45729</v>
      </c>
      <c r="D29" s="100"/>
      <c r="E29" s="100"/>
      <c r="F29" s="108" t="s">
        <v>199</v>
      </c>
      <c r="G29" s="100">
        <v>-1</v>
      </c>
      <c r="H29" s="100">
        <v>5</v>
      </c>
      <c r="I29" s="100">
        <f t="shared" si="2"/>
        <v>-5</v>
      </c>
      <c r="J29" s="109">
        <v>28</v>
      </c>
      <c r="K29" s="101">
        <f t="shared" si="3"/>
        <v>-140</v>
      </c>
      <c r="L29" s="1"/>
      <c r="M29" s="102"/>
    </row>
    <row r="30" s="89" customFormat="1" ht="20.25" spans="1:16">
      <c r="A30" s="97">
        <v>45734</v>
      </c>
      <c r="B30" s="107">
        <v>65</v>
      </c>
      <c r="C30" s="99">
        <v>45729</v>
      </c>
      <c r="D30" s="100"/>
      <c r="E30" s="100"/>
      <c r="F30" s="108" t="s">
        <v>200</v>
      </c>
      <c r="G30" s="100">
        <v>-1</v>
      </c>
      <c r="H30" s="100">
        <v>5</v>
      </c>
      <c r="I30" s="100">
        <f t="shared" si="2"/>
        <v>-5</v>
      </c>
      <c r="J30" s="109">
        <v>30</v>
      </c>
      <c r="K30" s="101">
        <f t="shared" si="3"/>
        <v>-150</v>
      </c>
      <c r="L30" s="1"/>
      <c r="M30" s="102"/>
    </row>
    <row r="31" s="89" customFormat="1" ht="20.25" spans="1:16">
      <c r="A31" s="97">
        <v>45734</v>
      </c>
      <c r="B31" s="107">
        <v>65</v>
      </c>
      <c r="C31" s="99">
        <v>45730</v>
      </c>
      <c r="D31" s="100"/>
      <c r="E31" s="100"/>
      <c r="F31" s="108" t="s">
        <v>199</v>
      </c>
      <c r="G31" s="100">
        <v>-1</v>
      </c>
      <c r="H31" s="100">
        <v>5</v>
      </c>
      <c r="I31" s="100">
        <f t="shared" si="2"/>
        <v>-5</v>
      </c>
      <c r="J31" s="109">
        <v>28</v>
      </c>
      <c r="K31" s="101">
        <f t="shared" si="3"/>
        <v>-140</v>
      </c>
      <c r="L31" s="1"/>
      <c r="M31" s="102"/>
      <c r="N31" s="89" t="s">
        <v>202</v>
      </c>
      <c r="O31" s="89" t="s">
        <v>203</v>
      </c>
      <c r="P31" s="89">
        <v>77</v>
      </c>
    </row>
    <row r="32" s="89" customFormat="1" ht="20.25" spans="1:16">
      <c r="A32" s="97">
        <v>45734</v>
      </c>
      <c r="B32" s="107">
        <v>65</v>
      </c>
      <c r="C32" s="99">
        <v>45733</v>
      </c>
      <c r="D32" s="100"/>
      <c r="E32" s="100"/>
      <c r="F32" s="108" t="s">
        <v>204</v>
      </c>
      <c r="G32" s="100">
        <v>1</v>
      </c>
      <c r="H32" s="100">
        <v>12</v>
      </c>
      <c r="I32" s="100">
        <f t="shared" si="2"/>
        <v>12</v>
      </c>
      <c r="J32" s="109">
        <v>14.5</v>
      </c>
      <c r="K32" s="101">
        <f t="shared" si="3"/>
        <v>174</v>
      </c>
      <c r="L32" s="1">
        <f>SUM(K29:K33)</f>
        <v>1294</v>
      </c>
      <c r="M32" s="102"/>
      <c r="O32" s="89" t="s">
        <v>205</v>
      </c>
      <c r="P32" s="89">
        <v>3</v>
      </c>
    </row>
    <row r="33" s="89" customFormat="1" ht="20.25" spans="1:16">
      <c r="A33" s="97">
        <v>45734</v>
      </c>
      <c r="B33" s="107">
        <v>65</v>
      </c>
      <c r="C33" s="99" t="s">
        <v>206</v>
      </c>
      <c r="D33" s="100"/>
      <c r="E33" s="100"/>
      <c r="F33" s="108" t="s">
        <v>207</v>
      </c>
      <c r="G33" s="100">
        <v>5</v>
      </c>
      <c r="H33" s="100">
        <v>20</v>
      </c>
      <c r="I33" s="100">
        <f t="shared" si="2"/>
        <v>100</v>
      </c>
      <c r="J33" s="109">
        <v>15.5</v>
      </c>
      <c r="K33" s="101">
        <f t="shared" si="3"/>
        <v>1550</v>
      </c>
      <c r="L33" s="1" t="s">
        <v>208</v>
      </c>
      <c r="M33" s="102" t="s">
        <v>209</v>
      </c>
      <c r="O33" s="89" t="s">
        <v>210</v>
      </c>
      <c r="P33" s="89">
        <v>8</v>
      </c>
    </row>
    <row r="34" s="88" customFormat="1" ht="20.25" spans="1:16">
      <c r="A34" s="90">
        <v>45737</v>
      </c>
      <c r="B34" s="91">
        <v>82</v>
      </c>
      <c r="C34" s="92" t="s">
        <v>33</v>
      </c>
      <c r="D34" s="93"/>
      <c r="E34" s="93"/>
      <c r="F34" s="88" t="s">
        <v>151</v>
      </c>
      <c r="G34" s="93">
        <v>10</v>
      </c>
      <c r="H34" s="93">
        <v>20</v>
      </c>
      <c r="I34" s="93">
        <f t="shared" si="2"/>
        <v>200</v>
      </c>
      <c r="J34" s="93">
        <v>13.7</v>
      </c>
      <c r="K34" s="94">
        <f t="shared" si="3"/>
        <v>2740</v>
      </c>
      <c r="L34" s="95">
        <f>SUM(K33:K34)</f>
        <v>4290</v>
      </c>
      <c r="M34" s="96"/>
    </row>
    <row r="35" s="89" customFormat="1" ht="20.25" spans="1:16">
      <c r="A35" s="97">
        <v>45738</v>
      </c>
      <c r="B35" s="107">
        <v>88</v>
      </c>
      <c r="C35" s="99" t="s">
        <v>211</v>
      </c>
      <c r="D35" s="100"/>
      <c r="E35" s="100"/>
      <c r="F35" s="108" t="s">
        <v>170</v>
      </c>
      <c r="G35" s="100">
        <v>3</v>
      </c>
      <c r="H35" s="100">
        <v>25</v>
      </c>
      <c r="I35" s="100">
        <f t="shared" si="2"/>
        <v>75</v>
      </c>
      <c r="J35" s="101">
        <v>15</v>
      </c>
      <c r="K35" s="101">
        <f t="shared" si="3"/>
        <v>1125</v>
      </c>
      <c r="L35" s="1"/>
      <c r="M35" s="102"/>
    </row>
    <row r="36" s="88" customFormat="1" ht="20.25" spans="1:16">
      <c r="A36" s="90">
        <v>45747</v>
      </c>
      <c r="B36" s="111">
        <v>128</v>
      </c>
      <c r="C36" s="92">
        <v>45738</v>
      </c>
      <c r="D36" s="93"/>
      <c r="E36" s="93"/>
      <c r="F36" s="106" t="s">
        <v>212</v>
      </c>
      <c r="G36" s="93">
        <v>1</v>
      </c>
      <c r="H36" s="93">
        <v>15</v>
      </c>
      <c r="I36" s="93">
        <f t="shared" si="2"/>
        <v>15</v>
      </c>
      <c r="J36" s="94">
        <v>15</v>
      </c>
      <c r="K36" s="94">
        <f t="shared" si="3"/>
        <v>225</v>
      </c>
      <c r="L36" s="86"/>
      <c r="M36" s="96"/>
    </row>
    <row r="37" s="88" customFormat="1" ht="20.25" spans="1:16">
      <c r="A37" s="90">
        <v>45747</v>
      </c>
      <c r="B37" s="111">
        <v>128</v>
      </c>
      <c r="C37" s="92">
        <v>45738</v>
      </c>
      <c r="D37" s="93"/>
      <c r="E37" s="93"/>
      <c r="F37" s="106" t="s">
        <v>213</v>
      </c>
      <c r="G37" s="93">
        <v>1</v>
      </c>
      <c r="H37" s="93">
        <v>10</v>
      </c>
      <c r="I37" s="93">
        <f t="shared" si="2"/>
        <v>10</v>
      </c>
      <c r="J37" s="94">
        <v>14.5</v>
      </c>
      <c r="K37" s="94">
        <f t="shared" si="3"/>
        <v>145</v>
      </c>
      <c r="L37" s="86"/>
      <c r="M37" s="96"/>
    </row>
    <row r="38" s="88" customFormat="1" ht="20.25" spans="1:16">
      <c r="A38" s="90">
        <v>45747</v>
      </c>
      <c r="B38" s="111">
        <v>128</v>
      </c>
      <c r="C38" s="92">
        <v>45741</v>
      </c>
      <c r="D38" s="93"/>
      <c r="E38" s="93"/>
      <c r="F38" s="106" t="s">
        <v>214</v>
      </c>
      <c r="G38" s="93">
        <v>-1</v>
      </c>
      <c r="H38" s="93">
        <v>20</v>
      </c>
      <c r="I38" s="93">
        <f t="shared" si="2"/>
        <v>-20</v>
      </c>
      <c r="J38" s="105">
        <v>14.5</v>
      </c>
      <c r="K38" s="94">
        <f t="shared" si="3"/>
        <v>-290</v>
      </c>
      <c r="L38" s="86" t="s">
        <v>215</v>
      </c>
      <c r="M38" s="96"/>
    </row>
    <row r="39" s="88" customFormat="1" ht="20.25" spans="1:16">
      <c r="A39" s="90">
        <v>45747</v>
      </c>
      <c r="B39" s="111">
        <v>128</v>
      </c>
      <c r="C39" s="92">
        <v>45741</v>
      </c>
      <c r="D39" s="93"/>
      <c r="E39" s="93"/>
      <c r="F39" s="106" t="s">
        <v>224</v>
      </c>
      <c r="G39" s="93">
        <v>-1</v>
      </c>
      <c r="H39" s="93">
        <v>20</v>
      </c>
      <c r="I39" s="93">
        <f t="shared" si="2"/>
        <v>-20</v>
      </c>
      <c r="J39" s="105">
        <v>13.7</v>
      </c>
      <c r="K39" s="94">
        <f t="shared" si="3"/>
        <v>-274</v>
      </c>
      <c r="L39" s="86" t="s">
        <v>215</v>
      </c>
      <c r="M39" s="96"/>
      <c r="N39" s="88">
        <f>SUM(K36:K40)</f>
        <v>1176</v>
      </c>
    </row>
    <row r="40" s="88" customFormat="1" ht="20.25" spans="1:16">
      <c r="A40" s="90">
        <v>45747</v>
      </c>
      <c r="B40" s="111">
        <v>128</v>
      </c>
      <c r="C40" s="92" t="s">
        <v>225</v>
      </c>
      <c r="D40" s="93"/>
      <c r="E40" s="93"/>
      <c r="F40" s="88" t="s">
        <v>151</v>
      </c>
      <c r="G40" s="93">
        <v>5</v>
      </c>
      <c r="H40" s="93">
        <v>20</v>
      </c>
      <c r="I40" s="93">
        <f t="shared" si="2"/>
        <v>100</v>
      </c>
      <c r="J40" s="93">
        <v>13.7</v>
      </c>
      <c r="K40" s="94">
        <f t="shared" si="3"/>
        <v>1370</v>
      </c>
      <c r="L40" s="95" t="s">
        <v>217</v>
      </c>
      <c r="M40" s="96"/>
    </row>
    <row r="41" s="89" customFormat="1" ht="20.25" spans="1:16">
      <c r="A41" s="97">
        <v>45750</v>
      </c>
      <c r="B41" s="107">
        <v>17</v>
      </c>
      <c r="C41" s="99">
        <v>45749</v>
      </c>
      <c r="D41" s="100"/>
      <c r="E41" s="100"/>
      <c r="F41" s="108" t="s">
        <v>148</v>
      </c>
      <c r="G41" s="100">
        <v>16</v>
      </c>
      <c r="H41" s="100">
        <v>20</v>
      </c>
      <c r="I41" s="100">
        <f t="shared" si="2"/>
        <v>320</v>
      </c>
      <c r="J41" s="109">
        <v>14.5</v>
      </c>
      <c r="K41" s="101">
        <f t="shared" si="3"/>
        <v>4640</v>
      </c>
      <c r="L41" s="1" t="s">
        <v>150</v>
      </c>
      <c r="M41" s="102" t="s">
        <v>177</v>
      </c>
    </row>
    <row r="42" s="89" customFormat="1" ht="20.25" spans="1:16">
      <c r="A42" s="97">
        <v>45750</v>
      </c>
      <c r="B42" s="107">
        <v>17</v>
      </c>
      <c r="C42" s="99">
        <v>45749</v>
      </c>
      <c r="D42" s="100"/>
      <c r="E42" s="100"/>
      <c r="F42" s="108" t="s">
        <v>151</v>
      </c>
      <c r="G42" s="100">
        <v>13</v>
      </c>
      <c r="H42" s="100">
        <v>20</v>
      </c>
      <c r="I42" s="100">
        <f t="shared" si="2"/>
        <v>260</v>
      </c>
      <c r="J42" s="109">
        <v>13.7</v>
      </c>
      <c r="K42" s="101">
        <f t="shared" si="3"/>
        <v>3562</v>
      </c>
      <c r="L42" s="1">
        <f>SUM(K41:K42)</f>
        <v>8202</v>
      </c>
      <c r="M42" s="102" t="s">
        <v>177</v>
      </c>
    </row>
    <row r="43" s="88" customFormat="1" ht="20.25" spans="1:16">
      <c r="A43" s="90">
        <v>45765</v>
      </c>
      <c r="B43" s="111">
        <v>54</v>
      </c>
      <c r="C43" s="92" t="s">
        <v>218</v>
      </c>
      <c r="D43" s="93"/>
      <c r="E43" s="93"/>
      <c r="F43" s="106" t="s">
        <v>148</v>
      </c>
      <c r="G43" s="93">
        <v>-1</v>
      </c>
      <c r="H43" s="93">
        <v>20</v>
      </c>
      <c r="I43" s="93">
        <f t="shared" si="2"/>
        <v>-20</v>
      </c>
      <c r="J43" s="105">
        <v>14.5</v>
      </c>
      <c r="K43" s="94">
        <f t="shared" si="3"/>
        <v>-290</v>
      </c>
      <c r="L43" s="86" t="s">
        <v>219</v>
      </c>
      <c r="M43" s="96"/>
    </row>
    <row r="44" s="88" customFormat="1" ht="20.25" spans="1:16">
      <c r="A44" s="90">
        <v>45765</v>
      </c>
      <c r="B44" s="111">
        <v>54</v>
      </c>
      <c r="C44" s="92" t="s">
        <v>218</v>
      </c>
      <c r="D44" s="93"/>
      <c r="E44" s="93"/>
      <c r="F44" s="106" t="s">
        <v>151</v>
      </c>
      <c r="G44" s="93">
        <v>-1</v>
      </c>
      <c r="H44" s="93">
        <v>20</v>
      </c>
      <c r="I44" s="93">
        <f t="shared" si="2"/>
        <v>-20</v>
      </c>
      <c r="J44" s="105">
        <v>13.7</v>
      </c>
      <c r="K44" s="94">
        <f t="shared" si="3"/>
        <v>-274</v>
      </c>
      <c r="L44" s="86" t="s">
        <v>219</v>
      </c>
      <c r="M44" s="96"/>
    </row>
    <row r="45" s="88" customFormat="1" ht="20.25" spans="1:16">
      <c r="A45" s="90">
        <v>45765</v>
      </c>
      <c r="B45" s="111">
        <v>54</v>
      </c>
      <c r="C45" s="92">
        <v>45761</v>
      </c>
      <c r="D45" s="93"/>
      <c r="E45" s="93"/>
      <c r="F45" s="106" t="s">
        <v>220</v>
      </c>
      <c r="G45" s="93">
        <v>1</v>
      </c>
      <c r="H45" s="93">
        <v>25</v>
      </c>
      <c r="I45" s="93">
        <f t="shared" si="2"/>
        <v>25</v>
      </c>
      <c r="J45" s="105">
        <v>14.5</v>
      </c>
      <c r="K45" s="94">
        <f t="shared" si="3"/>
        <v>362.5</v>
      </c>
      <c r="L45" s="86">
        <f>SUM(K43:K46)</f>
        <v>108.5</v>
      </c>
      <c r="M45" s="96"/>
    </row>
    <row r="46" s="88" customFormat="1" ht="20.25" spans="1:16">
      <c r="A46" s="90">
        <v>45765</v>
      </c>
      <c r="B46" s="111">
        <v>54</v>
      </c>
      <c r="C46" s="92" t="s">
        <v>206</v>
      </c>
      <c r="D46" s="93"/>
      <c r="E46" s="93"/>
      <c r="F46" s="106" t="s">
        <v>207</v>
      </c>
      <c r="G46" s="93">
        <v>1</v>
      </c>
      <c r="H46" s="93">
        <v>20</v>
      </c>
      <c r="I46" s="93">
        <f t="shared" si="2"/>
        <v>20</v>
      </c>
      <c r="J46" s="105">
        <v>15.5</v>
      </c>
      <c r="K46" s="94">
        <f t="shared" si="3"/>
        <v>310</v>
      </c>
      <c r="L46" s="86" t="s">
        <v>208</v>
      </c>
      <c r="M46" s="96" t="s">
        <v>209</v>
      </c>
      <c r="O46" s="88" t="s">
        <v>210</v>
      </c>
      <c r="P46" s="88">
        <v>8</v>
      </c>
    </row>
    <row r="47" s="89" customFormat="1" ht="20.25" spans="1:16">
      <c r="A47" s="97">
        <v>45769</v>
      </c>
      <c r="B47" s="107">
        <v>71</v>
      </c>
      <c r="C47" s="99">
        <v>45770</v>
      </c>
      <c r="D47" s="100"/>
      <c r="E47" s="100"/>
      <c r="F47" s="108" t="s">
        <v>151</v>
      </c>
      <c r="G47" s="100">
        <v>10</v>
      </c>
      <c r="H47" s="100">
        <v>20</v>
      </c>
      <c r="I47" s="100">
        <f t="shared" si="2"/>
        <v>200</v>
      </c>
      <c r="J47" s="109">
        <v>13</v>
      </c>
      <c r="K47" s="101">
        <f t="shared" si="3"/>
        <v>2600</v>
      </c>
      <c r="L47" s="1" t="s">
        <v>226</v>
      </c>
      <c r="M47" s="102"/>
    </row>
    <row r="48" s="88" customFormat="1" ht="20.25" spans="1:16">
      <c r="A48" s="90">
        <v>45773</v>
      </c>
      <c r="B48" s="111">
        <v>87</v>
      </c>
      <c r="C48" s="92"/>
      <c r="D48" s="93"/>
      <c r="E48" s="93"/>
      <c r="F48" s="88" t="s">
        <v>181</v>
      </c>
      <c r="G48" s="93">
        <v>7</v>
      </c>
      <c r="H48" s="93">
        <v>20</v>
      </c>
      <c r="I48" s="93">
        <f t="shared" si="2"/>
        <v>140</v>
      </c>
      <c r="J48" s="93">
        <v>14.5</v>
      </c>
      <c r="K48" s="94">
        <f t="shared" si="3"/>
        <v>2030</v>
      </c>
      <c r="M48" s="96"/>
    </row>
    <row r="49" s="89" customFormat="1" ht="20.25" spans="1:13">
      <c r="A49" s="97">
        <v>45782</v>
      </c>
      <c r="B49" s="107" t="s">
        <v>180</v>
      </c>
      <c r="C49" s="99" t="s">
        <v>178</v>
      </c>
      <c r="D49" s="100"/>
      <c r="E49" s="100"/>
      <c r="F49" s="115" t="s">
        <v>75</v>
      </c>
      <c r="G49" s="100">
        <v>2</v>
      </c>
      <c r="H49" s="100">
        <v>25</v>
      </c>
      <c r="I49" s="100">
        <f t="shared" si="2"/>
        <v>50</v>
      </c>
      <c r="J49" s="101">
        <v>15</v>
      </c>
      <c r="K49" s="101">
        <f t="shared" si="3"/>
        <v>750</v>
      </c>
      <c r="L49" s="116" t="s">
        <v>179</v>
      </c>
      <c r="M49" s="102"/>
    </row>
    <row r="50" s="88" customFormat="1" ht="20.25" spans="1:13">
      <c r="A50" s="90">
        <v>45786</v>
      </c>
      <c r="B50" s="111">
        <v>11</v>
      </c>
      <c r="C50" s="92">
        <v>45784</v>
      </c>
      <c r="D50" s="93"/>
      <c r="E50" s="93"/>
      <c r="F50" s="106" t="s">
        <v>151</v>
      </c>
      <c r="G50" s="93">
        <v>20</v>
      </c>
      <c r="H50" s="93">
        <v>20</v>
      </c>
      <c r="I50" s="93">
        <f t="shared" si="2"/>
        <v>400</v>
      </c>
      <c r="J50" s="105">
        <v>13</v>
      </c>
      <c r="K50" s="94">
        <f t="shared" si="3"/>
        <v>5200</v>
      </c>
      <c r="L50" s="86" t="s">
        <v>226</v>
      </c>
      <c r="M50" s="96"/>
    </row>
    <row r="51" s="88" customFormat="1" ht="20.25" spans="1:13">
      <c r="A51" s="90">
        <v>45786</v>
      </c>
      <c r="B51" s="111">
        <v>11</v>
      </c>
      <c r="C51" s="92">
        <v>45786</v>
      </c>
      <c r="D51" s="93"/>
      <c r="E51" s="93"/>
      <c r="F51" s="106" t="s">
        <v>227</v>
      </c>
      <c r="G51" s="93">
        <v>1</v>
      </c>
      <c r="H51" s="93">
        <v>4</v>
      </c>
      <c r="I51" s="93">
        <f t="shared" si="2"/>
        <v>4</v>
      </c>
      <c r="J51" s="105">
        <v>14.5</v>
      </c>
      <c r="K51" s="94">
        <f t="shared" si="3"/>
        <v>58</v>
      </c>
      <c r="L51" s="86"/>
      <c r="M51" s="96"/>
    </row>
    <row r="52" s="88" customFormat="1" ht="20.25" spans="1:13">
      <c r="A52" s="90">
        <v>45786</v>
      </c>
      <c r="B52" s="111">
        <v>11</v>
      </c>
      <c r="C52" s="92">
        <v>45786</v>
      </c>
      <c r="D52" s="93"/>
      <c r="E52" s="93"/>
      <c r="F52" s="106" t="s">
        <v>228</v>
      </c>
      <c r="G52" s="93">
        <v>1</v>
      </c>
      <c r="H52" s="93">
        <v>1</v>
      </c>
      <c r="I52" s="93">
        <f t="shared" si="2"/>
        <v>1</v>
      </c>
      <c r="J52" s="105">
        <v>5.5</v>
      </c>
      <c r="K52" s="94">
        <f t="shared" si="3"/>
        <v>5.5</v>
      </c>
      <c r="L52" s="86">
        <f>SUM(K50:K52)</f>
        <v>5263.5</v>
      </c>
      <c r="M52" s="96"/>
    </row>
    <row r="53" s="89" customFormat="1" ht="20.25" spans="1:13">
      <c r="A53" s="97">
        <v>45787</v>
      </c>
      <c r="B53" s="107">
        <v>21</v>
      </c>
      <c r="C53" s="99">
        <v>45787</v>
      </c>
      <c r="D53" s="100"/>
      <c r="E53" s="100"/>
      <c r="F53" s="89" t="s">
        <v>181</v>
      </c>
      <c r="G53" s="100">
        <v>10</v>
      </c>
      <c r="H53" s="100">
        <v>20</v>
      </c>
      <c r="I53" s="100">
        <f t="shared" si="2"/>
        <v>200</v>
      </c>
      <c r="J53" s="100">
        <v>14.5</v>
      </c>
      <c r="K53" s="101">
        <f t="shared" si="3"/>
        <v>2900</v>
      </c>
      <c r="M53" s="102"/>
    </row>
    <row r="54" s="89" customFormat="1" ht="20.25" spans="1:13">
      <c r="A54" s="97">
        <v>45787</v>
      </c>
      <c r="B54" s="107">
        <v>21</v>
      </c>
      <c r="C54" s="99">
        <v>45787</v>
      </c>
      <c r="D54" s="100"/>
      <c r="E54" s="100"/>
      <c r="F54" s="89" t="s">
        <v>75</v>
      </c>
      <c r="G54" s="100">
        <v>1</v>
      </c>
      <c r="H54" s="100">
        <v>10</v>
      </c>
      <c r="I54" s="100">
        <f t="shared" si="2"/>
        <v>10</v>
      </c>
      <c r="J54" s="100">
        <v>14.5</v>
      </c>
      <c r="K54" s="101">
        <f t="shared" si="3"/>
        <v>145</v>
      </c>
      <c r="L54" s="89" t="s">
        <v>229</v>
      </c>
      <c r="M54" s="102"/>
    </row>
    <row r="55" s="88" customFormat="1" ht="20.25" spans="1:13">
      <c r="A55" s="90">
        <v>45800</v>
      </c>
      <c r="B55" s="111">
        <v>61</v>
      </c>
      <c r="C55" s="92">
        <v>45796</v>
      </c>
      <c r="D55" s="93"/>
      <c r="E55" s="93"/>
      <c r="F55" s="88" t="s">
        <v>230</v>
      </c>
      <c r="G55" s="93">
        <v>3</v>
      </c>
      <c r="H55" s="93">
        <v>5</v>
      </c>
      <c r="I55" s="93">
        <f t="shared" si="2"/>
        <v>15</v>
      </c>
      <c r="J55" s="93">
        <v>14.5</v>
      </c>
      <c r="K55" s="94">
        <f t="shared" si="3"/>
        <v>217.5</v>
      </c>
      <c r="L55" s="88" t="s">
        <v>231</v>
      </c>
      <c r="M55" s="96"/>
    </row>
    <row r="56" s="88" customFormat="1" ht="20.25" spans="1:13">
      <c r="A56" s="90">
        <v>45800</v>
      </c>
      <c r="B56" s="111">
        <v>61</v>
      </c>
      <c r="C56" s="92">
        <v>45796</v>
      </c>
      <c r="D56" s="93"/>
      <c r="E56" s="93"/>
      <c r="F56" s="88" t="s">
        <v>230</v>
      </c>
      <c r="G56" s="93">
        <v>1</v>
      </c>
      <c r="H56" s="93">
        <v>4</v>
      </c>
      <c r="I56" s="93">
        <f t="shared" si="2"/>
        <v>4</v>
      </c>
      <c r="J56" s="93">
        <v>14.5</v>
      </c>
      <c r="K56" s="94">
        <f t="shared" si="3"/>
        <v>58</v>
      </c>
      <c r="L56" s="88" t="s">
        <v>232</v>
      </c>
      <c r="M56" s="96"/>
    </row>
    <row r="57" s="88" customFormat="1" ht="20.25" spans="1:13">
      <c r="A57" s="90">
        <v>45800</v>
      </c>
      <c r="B57" s="111">
        <v>61</v>
      </c>
      <c r="C57" s="92">
        <v>45796</v>
      </c>
      <c r="D57" s="93"/>
      <c r="E57" s="93"/>
      <c r="F57" s="88" t="s">
        <v>228</v>
      </c>
      <c r="G57" s="93">
        <v>1</v>
      </c>
      <c r="H57" s="93">
        <v>1</v>
      </c>
      <c r="I57" s="93">
        <f t="shared" si="2"/>
        <v>1</v>
      </c>
      <c r="J57" s="93">
        <v>5.5</v>
      </c>
      <c r="K57" s="94">
        <f t="shared" si="3"/>
        <v>5.5</v>
      </c>
      <c r="M57" s="96"/>
    </row>
    <row r="58" s="88" customFormat="1" ht="20.25" spans="1:13">
      <c r="A58" s="90">
        <v>45800</v>
      </c>
      <c r="B58" s="111">
        <v>61</v>
      </c>
      <c r="C58" s="92">
        <v>45796</v>
      </c>
      <c r="D58" s="93"/>
      <c r="E58" s="93"/>
      <c r="F58" s="88" t="s">
        <v>233</v>
      </c>
      <c r="G58" s="93">
        <v>3</v>
      </c>
      <c r="H58" s="93">
        <v>1</v>
      </c>
      <c r="I58" s="93">
        <f t="shared" si="2"/>
        <v>3</v>
      </c>
      <c r="J58" s="93">
        <v>6.6</v>
      </c>
      <c r="K58" s="94">
        <f t="shared" si="3"/>
        <v>19.8</v>
      </c>
      <c r="M58" s="96"/>
    </row>
    <row r="59" s="88" customFormat="1" ht="20.25" spans="1:13">
      <c r="A59" s="90">
        <v>45800</v>
      </c>
      <c r="B59" s="111">
        <v>61</v>
      </c>
      <c r="C59" s="92" t="s">
        <v>146</v>
      </c>
      <c r="D59" s="93"/>
      <c r="E59" s="93"/>
      <c r="F59" s="106" t="s">
        <v>147</v>
      </c>
      <c r="G59" s="93">
        <v>2</v>
      </c>
      <c r="H59" s="93">
        <v>25</v>
      </c>
      <c r="I59" s="93">
        <f t="shared" si="2"/>
        <v>50</v>
      </c>
      <c r="J59" s="105">
        <v>14.5</v>
      </c>
      <c r="K59" s="94">
        <f t="shared" si="3"/>
        <v>725</v>
      </c>
      <c r="L59" s="113"/>
      <c r="M59" s="96"/>
    </row>
    <row r="60" s="88" customFormat="1" ht="20.25" spans="1:13">
      <c r="A60" s="90">
        <v>45800</v>
      </c>
      <c r="B60" s="111">
        <v>61</v>
      </c>
      <c r="C60" s="92" t="s">
        <v>186</v>
      </c>
      <c r="D60" s="93"/>
      <c r="E60" s="93"/>
      <c r="F60" s="88" t="s">
        <v>95</v>
      </c>
      <c r="G60" s="93">
        <v>2</v>
      </c>
      <c r="H60" s="93">
        <v>25</v>
      </c>
      <c r="I60" s="93">
        <f t="shared" si="2"/>
        <v>50</v>
      </c>
      <c r="J60" s="93">
        <v>15</v>
      </c>
      <c r="K60" s="94">
        <f t="shared" si="3"/>
        <v>750</v>
      </c>
      <c r="L60" s="95"/>
      <c r="M60" s="96"/>
    </row>
    <row r="61" s="88" customFormat="1" ht="20.25" spans="1:13">
      <c r="A61" s="90">
        <v>45800</v>
      </c>
      <c r="B61" s="111">
        <v>61</v>
      </c>
      <c r="C61" s="92" t="s">
        <v>141</v>
      </c>
      <c r="D61" s="93"/>
      <c r="E61" s="93"/>
      <c r="F61" s="88" t="s">
        <v>94</v>
      </c>
      <c r="G61" s="93">
        <v>2</v>
      </c>
      <c r="H61" s="93">
        <v>25</v>
      </c>
      <c r="I61" s="93">
        <f t="shared" si="2"/>
        <v>50</v>
      </c>
      <c r="J61" s="93">
        <v>15</v>
      </c>
      <c r="K61" s="94">
        <f t="shared" si="3"/>
        <v>750</v>
      </c>
      <c r="L61" s="95">
        <f>SUM(K55:K61)</f>
        <v>2525.8</v>
      </c>
      <c r="M61" s="96"/>
    </row>
    <row r="62" s="88" customFormat="1" ht="20.25" spans="1:13">
      <c r="A62" s="90">
        <v>45800</v>
      </c>
      <c r="B62" s="111">
        <v>61</v>
      </c>
      <c r="C62" s="92">
        <v>45800</v>
      </c>
      <c r="D62" s="93"/>
      <c r="E62" s="93"/>
      <c r="F62" s="88" t="s">
        <v>234</v>
      </c>
      <c r="G62" s="93">
        <v>1</v>
      </c>
      <c r="H62" s="93">
        <v>4</v>
      </c>
      <c r="I62" s="93">
        <f t="shared" si="2"/>
        <v>4</v>
      </c>
      <c r="J62" s="93">
        <v>14.5</v>
      </c>
      <c r="K62" s="94">
        <f t="shared" si="3"/>
        <v>58</v>
      </c>
      <c r="L62" s="95" t="s">
        <v>235</v>
      </c>
      <c r="M62" s="96"/>
    </row>
    <row r="63" s="88" customFormat="1" ht="20.25" spans="1:13">
      <c r="A63" s="90">
        <v>45800</v>
      </c>
      <c r="B63" s="111">
        <v>61</v>
      </c>
      <c r="C63" s="92">
        <v>45800</v>
      </c>
      <c r="D63" s="93"/>
      <c r="E63" s="93"/>
      <c r="F63" s="88" t="s">
        <v>75</v>
      </c>
      <c r="G63" s="93">
        <v>1</v>
      </c>
      <c r="H63" s="93">
        <v>6</v>
      </c>
      <c r="I63" s="93">
        <f t="shared" si="2"/>
        <v>6</v>
      </c>
      <c r="J63" s="93">
        <v>14.5</v>
      </c>
      <c r="K63" s="94">
        <f t="shared" si="3"/>
        <v>87</v>
      </c>
      <c r="L63" s="95" t="s">
        <v>236</v>
      </c>
      <c r="M63" s="96"/>
    </row>
    <row r="64" s="88" customFormat="1" ht="20.25" spans="1:13">
      <c r="A64" s="90">
        <v>45800</v>
      </c>
      <c r="B64" s="111">
        <v>61</v>
      </c>
      <c r="C64" s="92">
        <v>45800</v>
      </c>
      <c r="D64" s="93"/>
      <c r="E64" s="93"/>
      <c r="F64" s="88" t="s">
        <v>228</v>
      </c>
      <c r="G64" s="93">
        <v>1</v>
      </c>
      <c r="H64" s="93">
        <v>1</v>
      </c>
      <c r="I64" s="93">
        <f t="shared" ref="I64:I69" si="4">G64*H64</f>
        <v>1</v>
      </c>
      <c r="J64" s="93">
        <v>5.5</v>
      </c>
      <c r="K64" s="94">
        <f t="shared" si="3"/>
        <v>5.5</v>
      </c>
      <c r="L64" s="95"/>
      <c r="M64" s="96"/>
    </row>
    <row r="65" s="88" customFormat="1" ht="20.25" spans="1:13">
      <c r="A65" s="90">
        <v>45800</v>
      </c>
      <c r="B65" s="111">
        <v>61</v>
      </c>
      <c r="C65" s="92">
        <v>45800</v>
      </c>
      <c r="D65" s="93"/>
      <c r="E65" s="93"/>
      <c r="F65" s="88" t="s">
        <v>233</v>
      </c>
      <c r="G65" s="93">
        <v>1</v>
      </c>
      <c r="H65" s="93">
        <v>1</v>
      </c>
      <c r="I65" s="93">
        <f t="shared" si="4"/>
        <v>1</v>
      </c>
      <c r="J65" s="93">
        <v>6.6</v>
      </c>
      <c r="K65" s="94">
        <f t="shared" si="3"/>
        <v>6.6</v>
      </c>
      <c r="L65" s="95"/>
      <c r="M65" s="96"/>
    </row>
    <row r="66" s="89" customFormat="1" ht="20.25" spans="1:13">
      <c r="A66" s="90">
        <v>45800</v>
      </c>
      <c r="B66" s="111">
        <v>61</v>
      </c>
      <c r="C66" s="92">
        <v>45800</v>
      </c>
      <c r="D66" s="93"/>
      <c r="E66" s="93"/>
      <c r="F66" s="88" t="s">
        <v>181</v>
      </c>
      <c r="G66" s="93">
        <v>10</v>
      </c>
      <c r="H66" s="93">
        <v>20</v>
      </c>
      <c r="I66" s="93">
        <f t="shared" si="4"/>
        <v>200</v>
      </c>
      <c r="J66" s="93">
        <v>14.5</v>
      </c>
      <c r="K66" s="94">
        <f t="shared" si="3"/>
        <v>2900</v>
      </c>
      <c r="M66" s="102">
        <f>SUM(K55:K66)</f>
        <v>5582.9</v>
      </c>
    </row>
    <row r="67" s="89" customFormat="1" ht="20.25" spans="1:13">
      <c r="A67" s="97">
        <v>45804</v>
      </c>
      <c r="B67" s="107">
        <v>67</v>
      </c>
      <c r="C67" s="99" t="s">
        <v>237</v>
      </c>
      <c r="D67" s="100"/>
      <c r="E67" s="100"/>
      <c r="F67" s="115" t="s">
        <v>238</v>
      </c>
      <c r="G67" s="100">
        <v>1</v>
      </c>
      <c r="H67" s="100">
        <v>21</v>
      </c>
      <c r="I67" s="100">
        <f t="shared" si="4"/>
        <v>21</v>
      </c>
      <c r="J67" s="101">
        <v>15</v>
      </c>
      <c r="K67" s="101">
        <f t="shared" ref="K67:K92" si="5">I67*J67</f>
        <v>315</v>
      </c>
      <c r="L67" s="116" t="s">
        <v>239</v>
      </c>
      <c r="M67" s="102"/>
    </row>
    <row r="68" s="89" customFormat="1" ht="20.25" spans="1:13">
      <c r="A68" s="97">
        <v>45804</v>
      </c>
      <c r="B68" s="107">
        <v>67</v>
      </c>
      <c r="C68" s="99">
        <v>45804</v>
      </c>
      <c r="D68" s="100"/>
      <c r="E68" s="100"/>
      <c r="F68" s="89" t="s">
        <v>240</v>
      </c>
      <c r="G68" s="100">
        <v>1</v>
      </c>
      <c r="H68" s="100">
        <v>5</v>
      </c>
      <c r="I68" s="100">
        <f t="shared" si="4"/>
        <v>5</v>
      </c>
      <c r="J68" s="100">
        <v>14.5</v>
      </c>
      <c r="K68" s="101">
        <f t="shared" si="5"/>
        <v>72.5</v>
      </c>
      <c r="M68" s="102"/>
    </row>
    <row r="69" s="89" customFormat="1" ht="20.25" spans="1:13">
      <c r="A69" s="97">
        <v>45804</v>
      </c>
      <c r="B69" s="107">
        <v>67</v>
      </c>
      <c r="C69" s="99">
        <v>45804</v>
      </c>
      <c r="D69" s="100"/>
      <c r="E69" s="100"/>
      <c r="F69" s="89" t="s">
        <v>233</v>
      </c>
      <c r="G69" s="100">
        <v>1</v>
      </c>
      <c r="H69" s="100">
        <v>1</v>
      </c>
      <c r="I69" s="100">
        <f t="shared" si="4"/>
        <v>1</v>
      </c>
      <c r="J69" s="100">
        <v>6.6</v>
      </c>
      <c r="K69" s="101">
        <f t="shared" si="5"/>
        <v>6.6</v>
      </c>
      <c r="L69" s="89">
        <f>SUM(K67:K69)</f>
        <v>394.1</v>
      </c>
      <c r="M69" s="102"/>
    </row>
    <row r="70" s="88" customFormat="1" ht="20.25" spans="1:13">
      <c r="A70" s="90">
        <v>45806</v>
      </c>
      <c r="B70" s="111">
        <v>76</v>
      </c>
      <c r="C70" s="92">
        <v>45806</v>
      </c>
      <c r="D70" s="93"/>
      <c r="E70" s="93"/>
      <c r="F70" s="88" t="s">
        <v>241</v>
      </c>
      <c r="G70" s="93">
        <v>1</v>
      </c>
      <c r="H70" s="93">
        <v>8</v>
      </c>
      <c r="I70" s="93">
        <f t="shared" ref="I70:I92" si="6">G70*H70</f>
        <v>8</v>
      </c>
      <c r="J70" s="93">
        <v>15</v>
      </c>
      <c r="K70" s="94">
        <f t="shared" si="5"/>
        <v>120</v>
      </c>
      <c r="L70" s="88" t="s">
        <v>242</v>
      </c>
      <c r="M70" s="96"/>
    </row>
    <row r="71" s="88" customFormat="1" ht="19" customHeight="1" spans="1:13">
      <c r="A71" s="90">
        <v>45806</v>
      </c>
      <c r="B71" s="111">
        <v>76</v>
      </c>
      <c r="C71" s="92">
        <v>45806</v>
      </c>
      <c r="D71" s="93"/>
      <c r="E71" s="93"/>
      <c r="F71" s="88" t="s">
        <v>243</v>
      </c>
      <c r="G71" s="93">
        <v>1</v>
      </c>
      <c r="H71" s="93">
        <v>10</v>
      </c>
      <c r="I71" s="93">
        <f t="shared" si="6"/>
        <v>10</v>
      </c>
      <c r="J71" s="93">
        <v>15</v>
      </c>
      <c r="K71" s="94">
        <f t="shared" si="5"/>
        <v>150</v>
      </c>
      <c r="L71" s="88" t="s">
        <v>242</v>
      </c>
      <c r="M71" s="96"/>
    </row>
    <row r="72" s="88" customFormat="1" ht="20.25" spans="1:13">
      <c r="A72" s="90">
        <v>45806</v>
      </c>
      <c r="B72" s="111">
        <v>76</v>
      </c>
      <c r="C72" s="92" t="s">
        <v>237</v>
      </c>
      <c r="D72" s="93"/>
      <c r="E72" s="93"/>
      <c r="F72" s="117" t="s">
        <v>238</v>
      </c>
      <c r="G72" s="93">
        <v>1</v>
      </c>
      <c r="H72" s="93">
        <v>2</v>
      </c>
      <c r="I72" s="93">
        <f t="shared" si="6"/>
        <v>2</v>
      </c>
      <c r="J72" s="94">
        <v>15</v>
      </c>
      <c r="K72" s="94">
        <f t="shared" si="5"/>
        <v>30</v>
      </c>
      <c r="L72" s="118" t="s">
        <v>239</v>
      </c>
      <c r="M72" s="96"/>
    </row>
    <row r="73" s="88" customFormat="1" ht="20.25" spans="1:13">
      <c r="A73" s="90">
        <v>45806</v>
      </c>
      <c r="B73" s="111">
        <v>76</v>
      </c>
      <c r="C73" s="92">
        <v>45800</v>
      </c>
      <c r="D73" s="93"/>
      <c r="E73" s="93"/>
      <c r="F73" s="88" t="s">
        <v>228</v>
      </c>
      <c r="G73" s="93">
        <v>1</v>
      </c>
      <c r="H73" s="93">
        <v>1</v>
      </c>
      <c r="I73" s="93">
        <f t="shared" si="6"/>
        <v>1</v>
      </c>
      <c r="J73" s="93">
        <v>5.5</v>
      </c>
      <c r="K73" s="94">
        <f t="shared" si="5"/>
        <v>5.5</v>
      </c>
      <c r="L73" s="95"/>
      <c r="M73" s="96"/>
    </row>
    <row r="74" s="88" customFormat="1" ht="20.25" spans="1:13">
      <c r="A74" s="90">
        <v>45806</v>
      </c>
      <c r="B74" s="111">
        <v>76</v>
      </c>
      <c r="C74" s="92">
        <v>45800</v>
      </c>
      <c r="D74" s="93"/>
      <c r="E74" s="93"/>
      <c r="F74" s="88" t="s">
        <v>244</v>
      </c>
      <c r="G74" s="93">
        <v>1</v>
      </c>
      <c r="H74" s="93">
        <v>1</v>
      </c>
      <c r="I74" s="93">
        <f t="shared" si="6"/>
        <v>1</v>
      </c>
      <c r="J74" s="93">
        <v>5.5</v>
      </c>
      <c r="K74" s="94">
        <f t="shared" si="5"/>
        <v>5.5</v>
      </c>
      <c r="L74" s="95"/>
      <c r="M74" s="96"/>
    </row>
    <row r="75" s="88" customFormat="1" ht="20.25" spans="1:13">
      <c r="A75" s="90">
        <v>45806</v>
      </c>
      <c r="B75" s="111">
        <v>76</v>
      </c>
      <c r="C75" s="92">
        <v>45806</v>
      </c>
      <c r="D75" s="93"/>
      <c r="E75" s="93"/>
      <c r="F75" s="88" t="s">
        <v>245</v>
      </c>
      <c r="G75" s="93">
        <v>-5</v>
      </c>
      <c r="H75" s="93">
        <v>20</v>
      </c>
      <c r="I75" s="93">
        <f t="shared" si="6"/>
        <v>-100</v>
      </c>
      <c r="J75" s="93">
        <v>9</v>
      </c>
      <c r="K75" s="94">
        <f t="shared" si="5"/>
        <v>-900</v>
      </c>
      <c r="M75" s="96"/>
    </row>
    <row r="76" s="88" customFormat="1" ht="20.25" spans="1:13">
      <c r="A76" s="90">
        <v>45806</v>
      </c>
      <c r="B76" s="111">
        <v>76</v>
      </c>
      <c r="C76" s="92">
        <v>45806</v>
      </c>
      <c r="D76" s="93"/>
      <c r="E76" s="93"/>
      <c r="F76" s="88" t="s">
        <v>246</v>
      </c>
      <c r="G76" s="93">
        <v>-3</v>
      </c>
      <c r="H76" s="93">
        <v>1</v>
      </c>
      <c r="I76" s="93">
        <f t="shared" si="6"/>
        <v>-3</v>
      </c>
      <c r="J76" s="93">
        <v>4</v>
      </c>
      <c r="K76" s="94">
        <f t="shared" si="5"/>
        <v>-12</v>
      </c>
      <c r="M76" s="96">
        <f>SUM(K70:K76)</f>
        <v>-601</v>
      </c>
    </row>
    <row r="77" s="89" customFormat="1" ht="20.25" spans="1:13">
      <c r="A77" s="97">
        <v>45816</v>
      </c>
      <c r="B77" s="107">
        <v>22</v>
      </c>
      <c r="C77" s="99">
        <v>45813</v>
      </c>
      <c r="D77" s="100"/>
      <c r="E77" s="100"/>
      <c r="F77" s="89" t="s">
        <v>240</v>
      </c>
      <c r="G77" s="100">
        <v>1</v>
      </c>
      <c r="H77" s="100">
        <v>1</v>
      </c>
      <c r="I77" s="100">
        <f t="shared" si="6"/>
        <v>1</v>
      </c>
      <c r="J77" s="100">
        <v>14.5</v>
      </c>
      <c r="K77" s="101">
        <f t="shared" si="5"/>
        <v>14.5</v>
      </c>
      <c r="L77" s="89" t="s">
        <v>242</v>
      </c>
      <c r="M77" s="102"/>
    </row>
    <row r="78" s="89" customFormat="1" ht="19" customHeight="1" spans="1:13">
      <c r="A78" s="97">
        <v>45816</v>
      </c>
      <c r="B78" s="107">
        <v>22</v>
      </c>
      <c r="C78" s="99">
        <v>45813</v>
      </c>
      <c r="D78" s="100"/>
      <c r="E78" s="100"/>
      <c r="F78" s="89" t="s">
        <v>227</v>
      </c>
      <c r="G78" s="100">
        <v>1</v>
      </c>
      <c r="H78" s="100">
        <v>1</v>
      </c>
      <c r="I78" s="100">
        <f t="shared" si="6"/>
        <v>1</v>
      </c>
      <c r="J78" s="100">
        <v>14.5</v>
      </c>
      <c r="K78" s="101">
        <f t="shared" si="5"/>
        <v>14.5</v>
      </c>
      <c r="L78" s="89" t="s">
        <v>242</v>
      </c>
      <c r="M78" s="102"/>
    </row>
    <row r="79" s="89" customFormat="1" ht="20.25" spans="1:13">
      <c r="A79" s="97">
        <v>45816</v>
      </c>
      <c r="B79" s="107">
        <v>22</v>
      </c>
      <c r="C79" s="99">
        <v>45813</v>
      </c>
      <c r="D79" s="100"/>
      <c r="E79" s="100"/>
      <c r="F79" s="89" t="s">
        <v>247</v>
      </c>
      <c r="G79" s="100">
        <v>1</v>
      </c>
      <c r="H79" s="100">
        <v>5</v>
      </c>
      <c r="I79" s="100">
        <f t="shared" si="6"/>
        <v>5</v>
      </c>
      <c r="J79" s="100">
        <v>14.5</v>
      </c>
      <c r="K79" s="101">
        <f t="shared" si="5"/>
        <v>72.5</v>
      </c>
      <c r="M79" s="102"/>
    </row>
    <row r="80" s="89" customFormat="1" ht="20.25" spans="1:13">
      <c r="A80" s="97">
        <v>45816</v>
      </c>
      <c r="B80" s="107">
        <v>22</v>
      </c>
      <c r="C80" s="99">
        <v>45813</v>
      </c>
      <c r="D80" s="100"/>
      <c r="E80" s="100"/>
      <c r="F80" s="89" t="s">
        <v>248</v>
      </c>
      <c r="G80" s="100">
        <v>1</v>
      </c>
      <c r="H80" s="100">
        <v>5</v>
      </c>
      <c r="I80" s="100">
        <f t="shared" si="6"/>
        <v>5</v>
      </c>
      <c r="J80" s="100">
        <v>14.5</v>
      </c>
      <c r="K80" s="101">
        <f t="shared" si="5"/>
        <v>72.5</v>
      </c>
      <c r="M80" s="102"/>
    </row>
    <row r="81" s="89" customFormat="1" ht="20.25" spans="1:14">
      <c r="A81" s="97">
        <v>45816</v>
      </c>
      <c r="B81" s="107">
        <v>22</v>
      </c>
      <c r="C81" s="99">
        <v>45813</v>
      </c>
      <c r="D81" s="100"/>
      <c r="E81" s="100"/>
      <c r="F81" s="89" t="s">
        <v>249</v>
      </c>
      <c r="G81" s="100">
        <v>1</v>
      </c>
      <c r="H81" s="100">
        <v>4</v>
      </c>
      <c r="I81" s="100">
        <f t="shared" si="6"/>
        <v>4</v>
      </c>
      <c r="J81" s="100">
        <v>14.5</v>
      </c>
      <c r="K81" s="101">
        <f t="shared" si="5"/>
        <v>58</v>
      </c>
      <c r="M81" s="102"/>
    </row>
    <row r="82" s="89" customFormat="1" ht="20.25" spans="1:14">
      <c r="A82" s="97">
        <v>45816</v>
      </c>
      <c r="B82" s="107">
        <v>22</v>
      </c>
      <c r="C82" s="99">
        <v>45813</v>
      </c>
      <c r="D82" s="100"/>
      <c r="E82" s="100"/>
      <c r="F82" s="89" t="s">
        <v>250</v>
      </c>
      <c r="G82" s="100">
        <v>1</v>
      </c>
      <c r="H82" s="100">
        <v>2</v>
      </c>
      <c r="I82" s="100">
        <f t="shared" si="6"/>
        <v>2</v>
      </c>
      <c r="J82" s="100">
        <v>14.5</v>
      </c>
      <c r="K82" s="101">
        <f t="shared" si="5"/>
        <v>29</v>
      </c>
      <c r="M82" s="102"/>
    </row>
    <row r="83" s="89" customFormat="1" ht="20.25" spans="1:14">
      <c r="A83" s="97">
        <v>45816</v>
      </c>
      <c r="B83" s="107">
        <v>22</v>
      </c>
      <c r="C83" s="99">
        <v>45813</v>
      </c>
      <c r="D83" s="100"/>
      <c r="E83" s="100"/>
      <c r="F83" s="89" t="s">
        <v>228</v>
      </c>
      <c r="G83" s="100">
        <v>2</v>
      </c>
      <c r="H83" s="100">
        <v>1</v>
      </c>
      <c r="I83" s="100">
        <f t="shared" si="6"/>
        <v>2</v>
      </c>
      <c r="J83" s="100">
        <v>5.5</v>
      </c>
      <c r="K83" s="101">
        <f t="shared" si="5"/>
        <v>11</v>
      </c>
      <c r="M83" s="102"/>
    </row>
    <row r="84" s="89" customFormat="1" ht="20.25" spans="1:14">
      <c r="A84" s="97">
        <v>45816</v>
      </c>
      <c r="B84" s="107">
        <v>22</v>
      </c>
      <c r="C84" s="99">
        <v>45813</v>
      </c>
      <c r="D84" s="100"/>
      <c r="E84" s="100"/>
      <c r="F84" s="89" t="s">
        <v>233</v>
      </c>
      <c r="G84" s="100">
        <v>2</v>
      </c>
      <c r="H84" s="100">
        <v>1</v>
      </c>
      <c r="I84" s="100">
        <f t="shared" si="6"/>
        <v>2</v>
      </c>
      <c r="J84" s="100">
        <v>6.6</v>
      </c>
      <c r="K84" s="101">
        <f t="shared" si="5"/>
        <v>13.2</v>
      </c>
      <c r="L84" s="89">
        <f>SUM(K77:K84)</f>
        <v>285.2</v>
      </c>
      <c r="M84" s="102"/>
    </row>
    <row r="85" s="88" customFormat="1" ht="20.25" spans="1:14">
      <c r="A85" s="90">
        <v>45817</v>
      </c>
      <c r="B85" s="111">
        <v>26</v>
      </c>
      <c r="C85" s="92">
        <v>45817</v>
      </c>
      <c r="D85" s="93"/>
      <c r="E85" s="93"/>
      <c r="F85" s="106" t="s">
        <v>148</v>
      </c>
      <c r="G85" s="93">
        <v>15</v>
      </c>
      <c r="H85" s="93">
        <v>20</v>
      </c>
      <c r="I85" s="93">
        <f t="shared" si="6"/>
        <v>300</v>
      </c>
      <c r="J85" s="105">
        <v>14.5</v>
      </c>
      <c r="K85" s="94">
        <f t="shared" si="5"/>
        <v>4350</v>
      </c>
      <c r="L85" s="86" t="s">
        <v>150</v>
      </c>
      <c r="M85" s="102"/>
    </row>
    <row r="86" s="88" customFormat="1" ht="20.25" spans="1:14">
      <c r="A86" s="90">
        <v>45817</v>
      </c>
      <c r="B86" s="111">
        <v>26</v>
      </c>
      <c r="C86" s="92">
        <v>45817</v>
      </c>
      <c r="D86" s="93"/>
      <c r="E86" s="93"/>
      <c r="F86" s="106" t="s">
        <v>151</v>
      </c>
      <c r="G86" s="93">
        <v>10</v>
      </c>
      <c r="H86" s="93">
        <v>20</v>
      </c>
      <c r="I86" s="93">
        <f t="shared" si="6"/>
        <v>200</v>
      </c>
      <c r="J86" s="105">
        <v>13</v>
      </c>
      <c r="K86" s="94">
        <f t="shared" si="5"/>
        <v>2600</v>
      </c>
      <c r="L86" s="86">
        <f>SUM(K85:K86)</f>
        <v>6950</v>
      </c>
      <c r="M86" s="102"/>
    </row>
    <row r="87" s="89" customFormat="1" ht="20.25" spans="1:14">
      <c r="A87" s="97">
        <v>45825</v>
      </c>
      <c r="B87" s="107" t="s">
        <v>251</v>
      </c>
      <c r="C87" s="99">
        <v>45824</v>
      </c>
      <c r="D87" s="100"/>
      <c r="E87" s="100"/>
      <c r="F87" s="108" t="s">
        <v>252</v>
      </c>
      <c r="G87" s="100">
        <v>1</v>
      </c>
      <c r="H87" s="100">
        <v>3</v>
      </c>
      <c r="I87" s="100">
        <f t="shared" si="6"/>
        <v>3</v>
      </c>
      <c r="J87" s="109">
        <v>14.5</v>
      </c>
      <c r="K87" s="101">
        <f t="shared" si="5"/>
        <v>43.5</v>
      </c>
      <c r="L87" s="102">
        <v>1869</v>
      </c>
      <c r="M87" s="1" t="s">
        <v>253</v>
      </c>
    </row>
    <row r="88" s="89" customFormat="1" ht="20.25" spans="1:14">
      <c r="A88" s="97">
        <v>45825</v>
      </c>
      <c r="B88" s="107" t="s">
        <v>251</v>
      </c>
      <c r="C88" s="99">
        <v>45824</v>
      </c>
      <c r="D88" s="100"/>
      <c r="E88" s="100"/>
      <c r="F88" s="108" t="s">
        <v>254</v>
      </c>
      <c r="G88" s="100">
        <v>1</v>
      </c>
      <c r="H88" s="100">
        <v>3</v>
      </c>
      <c r="I88" s="100">
        <f t="shared" si="6"/>
        <v>3</v>
      </c>
      <c r="J88" s="109">
        <v>14.5</v>
      </c>
      <c r="K88" s="101">
        <f t="shared" ref="K88:K127" si="7">I88*J88</f>
        <v>43.5</v>
      </c>
      <c r="L88" s="102">
        <v>1651</v>
      </c>
      <c r="M88" s="1" t="s">
        <v>253</v>
      </c>
    </row>
    <row r="89" s="89" customFormat="1" ht="20.25" spans="1:14">
      <c r="A89" s="97">
        <v>45825</v>
      </c>
      <c r="B89" s="107" t="s">
        <v>251</v>
      </c>
      <c r="C89" s="99">
        <v>45824</v>
      </c>
      <c r="D89" s="100"/>
      <c r="E89" s="100"/>
      <c r="F89" s="108" t="s">
        <v>213</v>
      </c>
      <c r="G89" s="100">
        <v>1</v>
      </c>
      <c r="H89" s="100">
        <v>3</v>
      </c>
      <c r="I89" s="100">
        <f t="shared" si="6"/>
        <v>3</v>
      </c>
      <c r="J89" s="109">
        <v>14.5</v>
      </c>
      <c r="K89" s="101">
        <f t="shared" si="7"/>
        <v>43.5</v>
      </c>
      <c r="L89" s="102">
        <v>1795</v>
      </c>
      <c r="M89" s="1" t="s">
        <v>253</v>
      </c>
    </row>
    <row r="90" s="89" customFormat="1" ht="20.25" spans="1:14">
      <c r="A90" s="97">
        <v>45825</v>
      </c>
      <c r="B90" s="107" t="s">
        <v>251</v>
      </c>
      <c r="C90" s="99">
        <v>45824</v>
      </c>
      <c r="D90" s="100"/>
      <c r="E90" s="100"/>
      <c r="F90" s="108" t="s">
        <v>228</v>
      </c>
      <c r="G90" s="100">
        <v>3</v>
      </c>
      <c r="H90" s="100">
        <v>1</v>
      </c>
      <c r="I90" s="100">
        <f t="shared" si="6"/>
        <v>3</v>
      </c>
      <c r="J90" s="109">
        <v>5.5</v>
      </c>
      <c r="K90" s="101">
        <f t="shared" si="7"/>
        <v>16.5</v>
      </c>
      <c r="L90" s="1"/>
      <c r="M90" s="102"/>
    </row>
    <row r="91" s="89" customFormat="1" ht="20.25" spans="1:14">
      <c r="A91" s="97">
        <v>45825</v>
      </c>
      <c r="B91" s="107" t="s">
        <v>251</v>
      </c>
      <c r="C91" s="99">
        <v>45825</v>
      </c>
      <c r="D91" s="100"/>
      <c r="E91" s="100"/>
      <c r="F91" s="89" t="s">
        <v>181</v>
      </c>
      <c r="G91" s="100">
        <v>10</v>
      </c>
      <c r="H91" s="100">
        <v>20</v>
      </c>
      <c r="I91" s="100">
        <f t="shared" si="6"/>
        <v>200</v>
      </c>
      <c r="J91" s="100">
        <v>14.5</v>
      </c>
      <c r="K91" s="101">
        <f t="shared" si="7"/>
        <v>2900</v>
      </c>
      <c r="L91" s="89" t="s">
        <v>255</v>
      </c>
      <c r="M91" s="102"/>
    </row>
    <row r="92" s="89" customFormat="1" ht="20.25" spans="1:14">
      <c r="A92" s="97">
        <v>45825</v>
      </c>
      <c r="B92" s="107" t="s">
        <v>251</v>
      </c>
      <c r="C92" s="99">
        <v>45825</v>
      </c>
      <c r="D92" s="100"/>
      <c r="E92" s="100"/>
      <c r="F92" s="89" t="s">
        <v>151</v>
      </c>
      <c r="G92" s="100">
        <v>5</v>
      </c>
      <c r="H92" s="100">
        <v>20</v>
      </c>
      <c r="I92" s="100">
        <f t="shared" si="6"/>
        <v>100</v>
      </c>
      <c r="J92" s="100">
        <v>13</v>
      </c>
      <c r="K92" s="101">
        <f t="shared" si="7"/>
        <v>1300</v>
      </c>
      <c r="L92" s="119" t="s">
        <v>217</v>
      </c>
      <c r="M92" s="102"/>
    </row>
    <row r="93" s="89" customFormat="1" ht="20.25" spans="1:14">
      <c r="A93" s="97">
        <v>45825</v>
      </c>
      <c r="B93" s="107" t="s">
        <v>251</v>
      </c>
      <c r="C93" s="99">
        <v>45825</v>
      </c>
      <c r="D93" s="100"/>
      <c r="E93" s="100"/>
      <c r="F93" s="89" t="s">
        <v>220</v>
      </c>
      <c r="G93" s="100">
        <v>1</v>
      </c>
      <c r="H93" s="100">
        <v>5</v>
      </c>
      <c r="I93" s="100">
        <f t="shared" ref="I93:I127" si="8">G93*H93</f>
        <v>5</v>
      </c>
      <c r="J93" s="100">
        <v>14.5</v>
      </c>
      <c r="K93" s="101">
        <f t="shared" si="7"/>
        <v>72.5</v>
      </c>
      <c r="L93" s="120"/>
      <c r="M93" s="102"/>
      <c r="N93" s="102"/>
    </row>
    <row r="94" s="89" customFormat="1" ht="20.25" spans="1:14">
      <c r="A94" s="97">
        <v>45825</v>
      </c>
      <c r="B94" s="107" t="s">
        <v>251</v>
      </c>
      <c r="C94" s="99">
        <v>45825</v>
      </c>
      <c r="D94" s="100"/>
      <c r="E94" s="100"/>
      <c r="F94" s="89" t="s">
        <v>256</v>
      </c>
      <c r="G94" s="100">
        <v>1</v>
      </c>
      <c r="H94" s="100">
        <v>5</v>
      </c>
      <c r="I94" s="100">
        <f t="shared" si="8"/>
        <v>5</v>
      </c>
      <c r="J94" s="100">
        <v>14.5</v>
      </c>
      <c r="K94" s="101">
        <f t="shared" si="7"/>
        <v>72.5</v>
      </c>
      <c r="L94" s="120" t="s">
        <v>193</v>
      </c>
      <c r="M94" s="102"/>
      <c r="N94" s="102"/>
    </row>
    <row r="95" s="89" customFormat="1" ht="20.25" spans="1:14">
      <c r="A95" s="97">
        <v>45825</v>
      </c>
      <c r="B95" s="107" t="s">
        <v>251</v>
      </c>
      <c r="C95" s="99">
        <v>45825</v>
      </c>
      <c r="D95" s="100"/>
      <c r="E95" s="100"/>
      <c r="F95" s="89" t="s">
        <v>257</v>
      </c>
      <c r="G95" s="100">
        <v>1</v>
      </c>
      <c r="H95" s="100">
        <v>2</v>
      </c>
      <c r="I95" s="100">
        <f t="shared" si="8"/>
        <v>2</v>
      </c>
      <c r="J95" s="100">
        <v>14.5</v>
      </c>
      <c r="K95" s="101">
        <f t="shared" si="7"/>
        <v>29</v>
      </c>
      <c r="L95" s="120" t="s">
        <v>258</v>
      </c>
      <c r="M95" s="102"/>
      <c r="N95" s="102"/>
    </row>
    <row r="96" s="89" customFormat="1" ht="20.25" spans="1:14">
      <c r="A96" s="97">
        <v>45825</v>
      </c>
      <c r="B96" s="107" t="s">
        <v>251</v>
      </c>
      <c r="C96" s="99">
        <v>45825</v>
      </c>
      <c r="D96" s="100"/>
      <c r="E96" s="100"/>
      <c r="F96" s="89" t="s">
        <v>259</v>
      </c>
      <c r="G96" s="100">
        <v>1</v>
      </c>
      <c r="H96" s="100">
        <v>5</v>
      </c>
      <c r="I96" s="100">
        <f t="shared" si="8"/>
        <v>5</v>
      </c>
      <c r="J96" s="100">
        <v>14.5</v>
      </c>
      <c r="K96" s="101">
        <f t="shared" si="7"/>
        <v>72.5</v>
      </c>
      <c r="L96" s="120" t="s">
        <v>260</v>
      </c>
      <c r="M96" s="102"/>
      <c r="N96" s="102"/>
    </row>
    <row r="97" s="89" customFormat="1" ht="20.25" spans="1:14">
      <c r="A97" s="97">
        <v>45825</v>
      </c>
      <c r="B97" s="107" t="s">
        <v>251</v>
      </c>
      <c r="C97" s="99">
        <v>45825</v>
      </c>
      <c r="D97" s="100"/>
      <c r="E97" s="100"/>
      <c r="F97" s="89" t="s">
        <v>261</v>
      </c>
      <c r="G97" s="100">
        <v>1</v>
      </c>
      <c r="H97" s="100">
        <v>7</v>
      </c>
      <c r="I97" s="100">
        <f t="shared" si="8"/>
        <v>7</v>
      </c>
      <c r="J97" s="100">
        <v>14.5</v>
      </c>
      <c r="K97" s="101">
        <f t="shared" si="7"/>
        <v>101.5</v>
      </c>
      <c r="L97" s="120" t="s">
        <v>262</v>
      </c>
      <c r="M97" s="102"/>
      <c r="N97" s="102"/>
    </row>
    <row r="98" s="89" customFormat="1" ht="20.25" spans="1:14">
      <c r="A98" s="97">
        <v>45825</v>
      </c>
      <c r="B98" s="107" t="s">
        <v>251</v>
      </c>
      <c r="C98" s="99">
        <v>45825</v>
      </c>
      <c r="D98" s="100"/>
      <c r="E98" s="100"/>
      <c r="F98" s="89" t="s">
        <v>263</v>
      </c>
      <c r="G98" s="100">
        <v>1</v>
      </c>
      <c r="H98" s="100">
        <v>3</v>
      </c>
      <c r="I98" s="100">
        <f t="shared" si="8"/>
        <v>3</v>
      </c>
      <c r="J98" s="100">
        <v>14.5</v>
      </c>
      <c r="K98" s="101">
        <f t="shared" si="7"/>
        <v>43.5</v>
      </c>
      <c r="L98" s="120" t="s">
        <v>264</v>
      </c>
      <c r="M98" s="102"/>
      <c r="N98" s="102"/>
    </row>
    <row r="99" s="89" customFormat="1" ht="20.25" spans="1:14">
      <c r="A99" s="97">
        <v>45825</v>
      </c>
      <c r="B99" s="107" t="s">
        <v>251</v>
      </c>
      <c r="C99" s="99">
        <v>45825</v>
      </c>
      <c r="D99" s="100"/>
      <c r="E99" s="100"/>
      <c r="F99" s="89" t="s">
        <v>147</v>
      </c>
      <c r="G99" s="100">
        <v>1</v>
      </c>
      <c r="H99" s="100">
        <v>5</v>
      </c>
      <c r="I99" s="100">
        <f t="shared" si="8"/>
        <v>5</v>
      </c>
      <c r="J99" s="100">
        <v>14.5</v>
      </c>
      <c r="K99" s="101">
        <f t="shared" si="7"/>
        <v>72.5</v>
      </c>
      <c r="L99" s="120" t="s">
        <v>265</v>
      </c>
      <c r="M99" s="102"/>
      <c r="N99" s="102"/>
    </row>
    <row r="100" s="89" customFormat="1" ht="20.25" spans="1:14">
      <c r="A100" s="97">
        <v>45825</v>
      </c>
      <c r="B100" s="107" t="s">
        <v>251</v>
      </c>
      <c r="C100" s="99">
        <v>45825</v>
      </c>
      <c r="D100" s="100"/>
      <c r="E100" s="100"/>
      <c r="F100" s="89" t="s">
        <v>266</v>
      </c>
      <c r="G100" s="100">
        <v>1</v>
      </c>
      <c r="H100" s="100">
        <v>7</v>
      </c>
      <c r="I100" s="100">
        <f t="shared" si="8"/>
        <v>7</v>
      </c>
      <c r="J100" s="100">
        <v>14.5</v>
      </c>
      <c r="K100" s="101">
        <f t="shared" si="7"/>
        <v>101.5</v>
      </c>
      <c r="M100" s="102"/>
    </row>
    <row r="101" s="89" customFormat="1" ht="20.25" spans="1:14">
      <c r="A101" s="97">
        <v>45825</v>
      </c>
      <c r="B101" s="107" t="s">
        <v>251</v>
      </c>
      <c r="C101" s="99">
        <v>45825</v>
      </c>
      <c r="D101" s="100"/>
      <c r="E101" s="100"/>
      <c r="F101" s="89" t="s">
        <v>267</v>
      </c>
      <c r="G101" s="100">
        <v>1</v>
      </c>
      <c r="H101" s="100">
        <v>2</v>
      </c>
      <c r="I101" s="100">
        <f t="shared" si="8"/>
        <v>2</v>
      </c>
      <c r="J101" s="100">
        <v>14.5</v>
      </c>
      <c r="K101" s="101">
        <f t="shared" si="7"/>
        <v>29</v>
      </c>
      <c r="M101" s="102"/>
    </row>
    <row r="102" s="89" customFormat="1" ht="20.25" spans="1:14">
      <c r="A102" s="97">
        <v>45825</v>
      </c>
      <c r="B102" s="107" t="s">
        <v>251</v>
      </c>
      <c r="C102" s="99">
        <v>45825</v>
      </c>
      <c r="D102" s="100"/>
      <c r="E102" s="100"/>
      <c r="F102" s="89" t="s">
        <v>233</v>
      </c>
      <c r="G102" s="100">
        <v>9</v>
      </c>
      <c r="H102" s="100">
        <v>1</v>
      </c>
      <c r="I102" s="100">
        <f t="shared" si="8"/>
        <v>9</v>
      </c>
      <c r="J102" s="100">
        <v>6.6</v>
      </c>
      <c r="K102" s="101">
        <f t="shared" si="7"/>
        <v>59.4</v>
      </c>
      <c r="L102" s="89">
        <f>SUM(K87:K102)</f>
        <v>5000.9</v>
      </c>
      <c r="M102" s="102"/>
    </row>
    <row r="103" s="88" customFormat="1" ht="20.25" spans="1:14">
      <c r="A103" s="90">
        <v>45828</v>
      </c>
      <c r="B103" s="111">
        <v>61</v>
      </c>
      <c r="C103" s="92">
        <v>45827</v>
      </c>
      <c r="D103" s="93"/>
      <c r="E103" s="93"/>
      <c r="F103" s="88" t="s">
        <v>268</v>
      </c>
      <c r="G103" s="93">
        <v>1</v>
      </c>
      <c r="H103" s="93">
        <v>10</v>
      </c>
      <c r="I103" s="93">
        <f t="shared" si="8"/>
        <v>10</v>
      </c>
      <c r="J103" s="93">
        <v>14.5</v>
      </c>
      <c r="K103" s="94">
        <f t="shared" si="7"/>
        <v>145</v>
      </c>
      <c r="L103" s="88" t="s">
        <v>269</v>
      </c>
      <c r="M103" s="96"/>
    </row>
    <row r="104" s="89" customFormat="1" ht="20.25" spans="1:14">
      <c r="A104" s="97">
        <v>45833</v>
      </c>
      <c r="B104" s="107">
        <v>78</v>
      </c>
      <c r="C104" s="99">
        <v>45833</v>
      </c>
      <c r="D104" s="100"/>
      <c r="E104" s="100"/>
      <c r="F104" s="89" t="s">
        <v>181</v>
      </c>
      <c r="G104" s="100">
        <v>10</v>
      </c>
      <c r="H104" s="100">
        <v>20</v>
      </c>
      <c r="I104" s="100">
        <f t="shared" si="8"/>
        <v>200</v>
      </c>
      <c r="J104" s="100">
        <v>14.5</v>
      </c>
      <c r="K104" s="101">
        <f t="shared" si="7"/>
        <v>2900</v>
      </c>
      <c r="L104" s="89" t="s">
        <v>255</v>
      </c>
      <c r="M104" s="102"/>
    </row>
    <row r="105" s="89" customFormat="1" ht="20.25" spans="1:14">
      <c r="A105" s="97">
        <v>45833</v>
      </c>
      <c r="B105" s="107">
        <v>78</v>
      </c>
      <c r="C105" s="99">
        <v>45833</v>
      </c>
      <c r="D105" s="100"/>
      <c r="E105" s="100"/>
      <c r="F105" s="89" t="s">
        <v>151</v>
      </c>
      <c r="G105" s="100">
        <v>11</v>
      </c>
      <c r="H105" s="100">
        <v>20</v>
      </c>
      <c r="I105" s="100">
        <f t="shared" si="8"/>
        <v>220</v>
      </c>
      <c r="J105" s="100">
        <v>13</v>
      </c>
      <c r="K105" s="101">
        <f t="shared" si="7"/>
        <v>2860</v>
      </c>
      <c r="L105" s="103"/>
      <c r="M105" s="102"/>
    </row>
    <row r="106" s="89" customFormat="1" ht="20.25" spans="1:14">
      <c r="A106" s="97">
        <v>45833</v>
      </c>
      <c r="B106" s="107">
        <v>78</v>
      </c>
      <c r="C106" s="99">
        <v>45832</v>
      </c>
      <c r="D106" s="100"/>
      <c r="E106" s="100"/>
      <c r="F106" s="89" t="s">
        <v>270</v>
      </c>
      <c r="G106" s="100">
        <v>1</v>
      </c>
      <c r="H106" s="100">
        <v>4</v>
      </c>
      <c r="I106" s="100">
        <f t="shared" si="8"/>
        <v>4</v>
      </c>
      <c r="J106" s="100">
        <v>15</v>
      </c>
      <c r="K106" s="101">
        <f t="shared" si="7"/>
        <v>60</v>
      </c>
      <c r="L106" s="120"/>
      <c r="M106" s="102"/>
      <c r="N106" s="102"/>
    </row>
    <row r="107" s="89" customFormat="1" ht="20.25" spans="1:14">
      <c r="A107" s="97">
        <v>45833</v>
      </c>
      <c r="B107" s="107">
        <v>78</v>
      </c>
      <c r="C107" s="99">
        <v>45832</v>
      </c>
      <c r="D107" s="100"/>
      <c r="E107" s="100"/>
      <c r="F107" s="89" t="s">
        <v>151</v>
      </c>
      <c r="G107" s="100">
        <v>1</v>
      </c>
      <c r="H107" s="100">
        <v>3</v>
      </c>
      <c r="I107" s="100">
        <f t="shared" si="8"/>
        <v>3</v>
      </c>
      <c r="J107" s="100">
        <v>13</v>
      </c>
      <c r="K107" s="101">
        <f t="shared" si="7"/>
        <v>39</v>
      </c>
      <c r="L107" s="120" t="s">
        <v>271</v>
      </c>
      <c r="M107" s="102"/>
      <c r="N107" s="102"/>
    </row>
    <row r="108" s="89" customFormat="1" ht="20.25" spans="1:14">
      <c r="A108" s="97">
        <v>45833</v>
      </c>
      <c r="B108" s="107">
        <v>78</v>
      </c>
      <c r="C108" s="99">
        <v>45832</v>
      </c>
      <c r="D108" s="100"/>
      <c r="E108" s="100"/>
      <c r="F108" s="89" t="s">
        <v>272</v>
      </c>
      <c r="G108" s="100">
        <v>1</v>
      </c>
      <c r="H108" s="100">
        <v>5</v>
      </c>
      <c r="I108" s="100">
        <f t="shared" si="8"/>
        <v>5</v>
      </c>
      <c r="J108" s="100">
        <v>8</v>
      </c>
      <c r="K108" s="101">
        <f t="shared" si="7"/>
        <v>40</v>
      </c>
      <c r="L108" s="121" t="s">
        <v>273</v>
      </c>
      <c r="M108" s="115"/>
      <c r="N108" s="115"/>
    </row>
    <row r="109" s="89" customFormat="1" ht="20.25" spans="1:14">
      <c r="A109" s="97">
        <v>45833</v>
      </c>
      <c r="B109" s="107">
        <v>78</v>
      </c>
      <c r="C109" s="99">
        <v>45832</v>
      </c>
      <c r="D109" s="100"/>
      <c r="E109" s="100"/>
      <c r="F109" s="89" t="s">
        <v>228</v>
      </c>
      <c r="G109" s="100">
        <v>2</v>
      </c>
      <c r="H109" s="100">
        <v>1</v>
      </c>
      <c r="I109" s="100">
        <f t="shared" si="8"/>
        <v>2</v>
      </c>
      <c r="J109" s="100">
        <v>5.5</v>
      </c>
      <c r="K109" s="101">
        <f t="shared" si="7"/>
        <v>11</v>
      </c>
      <c r="M109" s="102"/>
    </row>
    <row r="110" s="89" customFormat="1" ht="20.25" spans="1:14">
      <c r="A110" s="97">
        <v>45833</v>
      </c>
      <c r="B110" s="107">
        <v>78</v>
      </c>
      <c r="C110" s="99">
        <v>45832</v>
      </c>
      <c r="D110" s="100"/>
      <c r="E110" s="100"/>
      <c r="F110" s="89" t="s">
        <v>274</v>
      </c>
      <c r="G110" s="100">
        <v>1</v>
      </c>
      <c r="H110" s="100">
        <v>1</v>
      </c>
      <c r="I110" s="100">
        <f t="shared" si="8"/>
        <v>1</v>
      </c>
      <c r="J110" s="100">
        <v>9</v>
      </c>
      <c r="K110" s="101">
        <f t="shared" si="7"/>
        <v>9</v>
      </c>
      <c r="L110" s="89">
        <f>SUM(K104:K110)</f>
        <v>5919</v>
      </c>
      <c r="M110" s="102"/>
    </row>
    <row r="111" s="88" customFormat="1" ht="20.25" spans="1:14">
      <c r="A111" s="90">
        <v>45836</v>
      </c>
      <c r="B111" s="111">
        <v>94</v>
      </c>
      <c r="C111" s="92">
        <v>45836</v>
      </c>
      <c r="D111" s="93"/>
      <c r="E111" s="93"/>
      <c r="F111" s="88" t="s">
        <v>275</v>
      </c>
      <c r="G111" s="93">
        <v>2</v>
      </c>
      <c r="H111" s="93">
        <v>20</v>
      </c>
      <c r="I111" s="93">
        <f t="shared" si="8"/>
        <v>40</v>
      </c>
      <c r="J111" s="93">
        <v>15</v>
      </c>
      <c r="K111" s="94">
        <f t="shared" si="7"/>
        <v>600</v>
      </c>
      <c r="L111" s="88" t="s">
        <v>276</v>
      </c>
      <c r="M111" s="96"/>
      <c r="N111" s="89"/>
    </row>
    <row r="112" s="89" customFormat="1" ht="20.25" spans="1:14">
      <c r="A112" s="97">
        <v>45843</v>
      </c>
      <c r="B112" s="107">
        <v>25</v>
      </c>
      <c r="C112" s="99" t="s">
        <v>277</v>
      </c>
      <c r="D112" s="100"/>
      <c r="E112" s="100"/>
      <c r="F112" s="89" t="s">
        <v>94</v>
      </c>
      <c r="G112" s="100">
        <v>1</v>
      </c>
      <c r="H112" s="100">
        <v>25</v>
      </c>
      <c r="I112" s="100">
        <f t="shared" si="8"/>
        <v>25</v>
      </c>
      <c r="J112" s="100">
        <v>15</v>
      </c>
      <c r="K112" s="101">
        <f t="shared" si="7"/>
        <v>375</v>
      </c>
      <c r="L112" s="89" t="s">
        <v>278</v>
      </c>
      <c r="M112" s="102"/>
    </row>
    <row r="113" s="88" customFormat="1" ht="20.25" spans="1:14">
      <c r="A113" s="90">
        <v>45848</v>
      </c>
      <c r="B113" s="111">
        <v>33</v>
      </c>
      <c r="C113" s="92">
        <v>45848</v>
      </c>
      <c r="D113" s="93"/>
      <c r="E113" s="93"/>
      <c r="F113" s="88" t="s">
        <v>181</v>
      </c>
      <c r="G113" s="93">
        <v>10</v>
      </c>
      <c r="H113" s="93">
        <v>20</v>
      </c>
      <c r="I113" s="93">
        <f t="shared" si="8"/>
        <v>200</v>
      </c>
      <c r="J113" s="93">
        <v>14.5</v>
      </c>
      <c r="K113" s="94">
        <f t="shared" si="7"/>
        <v>2900</v>
      </c>
      <c r="L113" s="88" t="s">
        <v>255</v>
      </c>
      <c r="M113" s="96"/>
    </row>
    <row r="114" s="88" customFormat="1" ht="20.25" spans="1:14">
      <c r="A114" s="90">
        <v>45848</v>
      </c>
      <c r="B114" s="111">
        <v>33</v>
      </c>
      <c r="C114" s="92">
        <v>45848</v>
      </c>
      <c r="D114" s="93"/>
      <c r="E114" s="93"/>
      <c r="F114" s="88" t="s">
        <v>151</v>
      </c>
      <c r="G114" s="93">
        <v>10</v>
      </c>
      <c r="H114" s="93">
        <v>20</v>
      </c>
      <c r="I114" s="93">
        <f t="shared" si="8"/>
        <v>200</v>
      </c>
      <c r="J114" s="93">
        <v>13</v>
      </c>
      <c r="K114" s="94">
        <f t="shared" si="7"/>
        <v>2600</v>
      </c>
      <c r="L114" s="95" t="s">
        <v>226</v>
      </c>
      <c r="M114" s="96"/>
      <c r="N114" s="88">
        <f>SUM(K113:K114)</f>
        <v>5500</v>
      </c>
    </row>
    <row r="115" s="89" customFormat="1" ht="20.25" spans="1:14">
      <c r="A115" s="97">
        <v>45850</v>
      </c>
      <c r="B115" s="107">
        <v>48</v>
      </c>
      <c r="C115" s="99" t="s">
        <v>279</v>
      </c>
      <c r="D115" s="100"/>
      <c r="E115" s="100"/>
      <c r="F115" s="89" t="s">
        <v>280</v>
      </c>
      <c r="G115" s="100">
        <v>1</v>
      </c>
      <c r="H115" s="100">
        <v>5</v>
      </c>
      <c r="I115" s="100">
        <f t="shared" si="8"/>
        <v>5</v>
      </c>
      <c r="J115" s="100">
        <v>14.5</v>
      </c>
      <c r="K115" s="101">
        <f t="shared" si="7"/>
        <v>72.5</v>
      </c>
      <c r="L115" s="115" t="s">
        <v>281</v>
      </c>
      <c r="M115" s="115"/>
      <c r="N115" s="115"/>
    </row>
    <row r="116" s="89" customFormat="1" ht="20.25" spans="1:14">
      <c r="A116" s="97">
        <v>45850</v>
      </c>
      <c r="B116" s="107">
        <v>48</v>
      </c>
      <c r="C116" s="99" t="s">
        <v>282</v>
      </c>
      <c r="D116" s="100"/>
      <c r="E116" s="100"/>
      <c r="F116" s="89" t="s">
        <v>213</v>
      </c>
      <c r="G116" s="100">
        <v>1</v>
      </c>
      <c r="H116" s="100">
        <v>4</v>
      </c>
      <c r="I116" s="100">
        <f t="shared" si="8"/>
        <v>4</v>
      </c>
      <c r="J116" s="100">
        <v>14.5</v>
      </c>
      <c r="K116" s="101">
        <f t="shared" si="7"/>
        <v>58</v>
      </c>
      <c r="L116" s="115" t="s">
        <v>281</v>
      </c>
      <c r="M116" s="115"/>
      <c r="N116" s="115"/>
    </row>
    <row r="117" s="89" customFormat="1" ht="20.25" spans="1:14">
      <c r="A117" s="97">
        <v>45850</v>
      </c>
      <c r="B117" s="107">
        <v>48</v>
      </c>
      <c r="C117" s="99" t="s">
        <v>283</v>
      </c>
      <c r="D117" s="100"/>
      <c r="E117" s="100"/>
      <c r="F117" s="89" t="s">
        <v>213</v>
      </c>
      <c r="G117" s="100">
        <v>1</v>
      </c>
      <c r="H117" s="100">
        <v>4</v>
      </c>
      <c r="I117" s="100">
        <f t="shared" si="8"/>
        <v>4</v>
      </c>
      <c r="J117" s="100">
        <v>14.5</v>
      </c>
      <c r="K117" s="101">
        <f t="shared" si="7"/>
        <v>58</v>
      </c>
      <c r="L117" s="115" t="s">
        <v>281</v>
      </c>
      <c r="M117" s="115"/>
      <c r="N117" s="115"/>
    </row>
    <row r="118" s="89" customFormat="1" ht="20.25" spans="1:14">
      <c r="A118" s="97">
        <v>45850</v>
      </c>
      <c r="B118" s="107">
        <v>48</v>
      </c>
      <c r="C118" s="99" t="s">
        <v>284</v>
      </c>
      <c r="D118" s="100"/>
      <c r="E118" s="100"/>
      <c r="F118" s="89" t="s">
        <v>285</v>
      </c>
      <c r="G118" s="100">
        <v>1</v>
      </c>
      <c r="H118" s="100">
        <v>6</v>
      </c>
      <c r="I118" s="100">
        <f t="shared" si="8"/>
        <v>6</v>
      </c>
      <c r="J118" s="100">
        <v>14.5</v>
      </c>
      <c r="K118" s="101">
        <f t="shared" si="7"/>
        <v>87</v>
      </c>
      <c r="L118" s="115" t="s">
        <v>281</v>
      </c>
      <c r="M118" s="115"/>
      <c r="N118" s="115"/>
    </row>
    <row r="119" s="89" customFormat="1" ht="20.25" spans="1:14">
      <c r="A119" s="97">
        <v>45850</v>
      </c>
      <c r="B119" s="107">
        <v>48</v>
      </c>
      <c r="C119" s="99" t="s">
        <v>286</v>
      </c>
      <c r="D119" s="100"/>
      <c r="E119" s="100"/>
      <c r="F119" s="89" t="s">
        <v>213</v>
      </c>
      <c r="G119" s="100">
        <v>1</v>
      </c>
      <c r="H119" s="100">
        <v>4</v>
      </c>
      <c r="I119" s="100">
        <f t="shared" si="8"/>
        <v>4</v>
      </c>
      <c r="J119" s="100">
        <v>14.5</v>
      </c>
      <c r="K119" s="101">
        <f t="shared" si="7"/>
        <v>58</v>
      </c>
      <c r="L119" s="115" t="s">
        <v>281</v>
      </c>
      <c r="M119" s="115"/>
      <c r="N119" s="115"/>
    </row>
    <row r="120" s="89" customFormat="1" ht="20.25" spans="1:14">
      <c r="A120" s="97">
        <v>45850</v>
      </c>
      <c r="B120" s="107">
        <v>48</v>
      </c>
      <c r="C120" s="99"/>
      <c r="D120" s="100"/>
      <c r="E120" s="100"/>
      <c r="F120" s="89" t="s">
        <v>233</v>
      </c>
      <c r="G120" s="100">
        <v>2</v>
      </c>
      <c r="H120" s="100">
        <v>1</v>
      </c>
      <c r="I120" s="100">
        <f t="shared" si="8"/>
        <v>2</v>
      </c>
      <c r="J120" s="100">
        <v>6.6</v>
      </c>
      <c r="K120" s="101">
        <f t="shared" si="7"/>
        <v>13.2</v>
      </c>
      <c r="L120" s="115" t="s">
        <v>281</v>
      </c>
      <c r="M120" s="115"/>
      <c r="N120" s="115"/>
    </row>
    <row r="121" s="89" customFormat="1" ht="20.25" spans="1:14">
      <c r="A121" s="97">
        <v>45850</v>
      </c>
      <c r="B121" s="107">
        <v>48</v>
      </c>
      <c r="C121" s="99"/>
      <c r="D121" s="100"/>
      <c r="E121" s="100"/>
      <c r="F121" s="89" t="s">
        <v>228</v>
      </c>
      <c r="G121" s="100">
        <v>3</v>
      </c>
      <c r="H121" s="100">
        <v>1</v>
      </c>
      <c r="I121" s="100">
        <f t="shared" si="8"/>
        <v>3</v>
      </c>
      <c r="J121" s="100">
        <v>5.5</v>
      </c>
      <c r="K121" s="101">
        <f t="shared" si="7"/>
        <v>16.5</v>
      </c>
      <c r="L121" s="115"/>
      <c r="M121" s="115"/>
      <c r="N121" s="88">
        <f>SUM(K115:K121)</f>
        <v>363.2</v>
      </c>
    </row>
    <row r="122" s="88" customFormat="1" ht="20.25" spans="1:14">
      <c r="A122" s="90">
        <v>45853</v>
      </c>
      <c r="B122" s="111">
        <v>52</v>
      </c>
      <c r="C122" s="92">
        <v>45852</v>
      </c>
      <c r="D122" s="93"/>
      <c r="E122" s="93"/>
      <c r="F122" s="88" t="s">
        <v>287</v>
      </c>
      <c r="G122" s="93">
        <v>1</v>
      </c>
      <c r="H122" s="93">
        <v>25</v>
      </c>
      <c r="I122" s="93">
        <f t="shared" si="8"/>
        <v>25</v>
      </c>
      <c r="J122" s="93">
        <v>11</v>
      </c>
      <c r="K122" s="94">
        <f t="shared" si="7"/>
        <v>275</v>
      </c>
      <c r="L122" s="115"/>
      <c r="M122" s="115"/>
      <c r="N122" s="115"/>
    </row>
    <row r="123" s="88" customFormat="1" ht="20.25" spans="1:14">
      <c r="A123" s="90">
        <v>45853</v>
      </c>
      <c r="B123" s="111">
        <v>52</v>
      </c>
      <c r="C123" s="92">
        <v>45852</v>
      </c>
      <c r="D123" s="93"/>
      <c r="E123" s="93"/>
      <c r="F123" s="88" t="s">
        <v>288</v>
      </c>
      <c r="G123" s="93">
        <v>4</v>
      </c>
      <c r="H123" s="93">
        <v>1</v>
      </c>
      <c r="I123" s="93">
        <f t="shared" si="8"/>
        <v>4</v>
      </c>
      <c r="J123" s="93">
        <v>6.6</v>
      </c>
      <c r="K123" s="94">
        <f t="shared" si="7"/>
        <v>26.4</v>
      </c>
      <c r="L123" s="89">
        <f>SUM(K122:K123)</f>
        <v>301.4</v>
      </c>
      <c r="M123" s="115"/>
      <c r="N123" s="115"/>
    </row>
    <row r="124" s="89" customFormat="1" ht="20.25" spans="1:14">
      <c r="A124" s="97">
        <v>45857</v>
      </c>
      <c r="B124" s="107">
        <v>70</v>
      </c>
      <c r="C124" s="99">
        <v>45857</v>
      </c>
      <c r="D124" s="100"/>
      <c r="E124" s="100"/>
      <c r="F124" s="89" t="s">
        <v>289</v>
      </c>
      <c r="G124" s="100">
        <v>1</v>
      </c>
      <c r="H124" s="100">
        <v>5</v>
      </c>
      <c r="I124" s="100">
        <f t="shared" si="8"/>
        <v>5</v>
      </c>
      <c r="J124" s="100">
        <v>28</v>
      </c>
      <c r="K124" s="101">
        <f t="shared" si="7"/>
        <v>140</v>
      </c>
      <c r="L124" s="115"/>
      <c r="M124" s="115"/>
      <c r="N124" s="115"/>
    </row>
    <row r="125" s="88" customFormat="1" ht="20.25" spans="1:14">
      <c r="A125" s="90">
        <v>45863</v>
      </c>
      <c r="B125" s="111">
        <v>84</v>
      </c>
      <c r="C125" s="92">
        <v>45862</v>
      </c>
      <c r="D125" s="93"/>
      <c r="E125" s="93"/>
      <c r="F125" s="88" t="s">
        <v>181</v>
      </c>
      <c r="G125" s="93">
        <v>10</v>
      </c>
      <c r="H125" s="93">
        <v>20</v>
      </c>
      <c r="I125" s="93">
        <f t="shared" si="8"/>
        <v>200</v>
      </c>
      <c r="J125" s="94">
        <v>14.5</v>
      </c>
      <c r="K125" s="94">
        <f t="shared" si="7"/>
        <v>2900</v>
      </c>
      <c r="L125" s="88" t="s">
        <v>255</v>
      </c>
      <c r="M125" s="96"/>
    </row>
    <row r="126" s="88" customFormat="1" ht="20.25" spans="1:14">
      <c r="A126" s="90">
        <v>45863</v>
      </c>
      <c r="B126" s="111">
        <v>84</v>
      </c>
      <c r="C126" s="92">
        <v>45862</v>
      </c>
      <c r="D126" s="93"/>
      <c r="E126" s="93"/>
      <c r="F126" s="88" t="s">
        <v>151</v>
      </c>
      <c r="G126" s="93">
        <v>10</v>
      </c>
      <c r="H126" s="93">
        <v>20</v>
      </c>
      <c r="I126" s="93">
        <f t="shared" si="8"/>
        <v>200</v>
      </c>
      <c r="J126" s="94">
        <v>13</v>
      </c>
      <c r="K126" s="94">
        <f t="shared" si="7"/>
        <v>2600</v>
      </c>
      <c r="L126" s="95" t="s">
        <v>226</v>
      </c>
      <c r="M126" s="96"/>
    </row>
    <row r="127" s="88" customFormat="1" ht="20.25" spans="1:14">
      <c r="A127" s="90">
        <v>45863</v>
      </c>
      <c r="B127" s="111">
        <v>84</v>
      </c>
      <c r="C127" s="92" t="s">
        <v>186</v>
      </c>
      <c r="D127" s="93"/>
      <c r="E127" s="93"/>
      <c r="F127" s="88" t="s">
        <v>95</v>
      </c>
      <c r="G127" s="93">
        <v>1</v>
      </c>
      <c r="H127" s="93">
        <v>25</v>
      </c>
      <c r="I127" s="93">
        <f t="shared" si="8"/>
        <v>25</v>
      </c>
      <c r="J127" s="94">
        <v>15</v>
      </c>
      <c r="K127" s="94">
        <f t="shared" si="7"/>
        <v>375</v>
      </c>
      <c r="L127" s="95"/>
      <c r="M127" s="96"/>
    </row>
    <row r="128" s="88" customFormat="1" ht="20.25" spans="1:14">
      <c r="A128" s="90">
        <v>45863</v>
      </c>
      <c r="B128" s="111">
        <v>84</v>
      </c>
      <c r="C128" s="92" t="s">
        <v>141</v>
      </c>
      <c r="D128" s="93"/>
      <c r="E128" s="93"/>
      <c r="F128" s="106" t="s">
        <v>142</v>
      </c>
      <c r="G128" s="93">
        <v>1</v>
      </c>
      <c r="H128" s="93">
        <v>25</v>
      </c>
      <c r="I128" s="93">
        <f t="shared" ref="I128:I168" si="9">G128*H128</f>
        <v>25</v>
      </c>
      <c r="J128" s="94">
        <v>15</v>
      </c>
      <c r="K128" s="94">
        <f t="shared" ref="K128:K168" si="10">I128*J128</f>
        <v>375</v>
      </c>
      <c r="L128" s="113" t="s">
        <v>143</v>
      </c>
      <c r="M128" s="96"/>
    </row>
    <row r="129" s="88" customFormat="1" ht="20.25" spans="1:14">
      <c r="A129" s="90">
        <v>45863</v>
      </c>
      <c r="B129" s="111">
        <v>84</v>
      </c>
      <c r="C129" s="92" t="s">
        <v>169</v>
      </c>
      <c r="D129" s="93"/>
      <c r="E129" s="93"/>
      <c r="F129" s="106" t="s">
        <v>170</v>
      </c>
      <c r="G129" s="93">
        <v>1</v>
      </c>
      <c r="H129" s="93">
        <v>25</v>
      </c>
      <c r="I129" s="93">
        <f t="shared" si="9"/>
        <v>25</v>
      </c>
      <c r="J129" s="94">
        <v>15</v>
      </c>
      <c r="K129" s="94">
        <f t="shared" si="10"/>
        <v>375</v>
      </c>
      <c r="L129" s="86" t="s">
        <v>290</v>
      </c>
      <c r="M129" s="96"/>
    </row>
    <row r="130" s="88" customFormat="1" ht="20.25" spans="1:14">
      <c r="A130" s="90">
        <v>45863</v>
      </c>
      <c r="B130" s="111">
        <v>84</v>
      </c>
      <c r="C130" s="92" t="s">
        <v>291</v>
      </c>
      <c r="D130" s="93"/>
      <c r="E130" s="93"/>
      <c r="F130" s="106" t="s">
        <v>292</v>
      </c>
      <c r="G130" s="93">
        <v>1</v>
      </c>
      <c r="H130" s="93">
        <v>25</v>
      </c>
      <c r="I130" s="93">
        <f t="shared" si="9"/>
        <v>25</v>
      </c>
      <c r="J130" s="94">
        <v>15</v>
      </c>
      <c r="K130" s="94">
        <f t="shared" si="10"/>
        <v>375</v>
      </c>
      <c r="L130" s="86" t="s">
        <v>193</v>
      </c>
      <c r="M130" s="96"/>
    </row>
    <row r="131" s="88" customFormat="1" ht="20.25" spans="1:14">
      <c r="A131" s="90">
        <v>45863</v>
      </c>
      <c r="B131" s="111">
        <v>84</v>
      </c>
      <c r="C131" s="92" t="s">
        <v>293</v>
      </c>
      <c r="D131" s="93"/>
      <c r="E131" s="93"/>
      <c r="F131" s="106" t="s">
        <v>41</v>
      </c>
      <c r="G131" s="93">
        <v>1</v>
      </c>
      <c r="H131" s="93">
        <v>25</v>
      </c>
      <c r="I131" s="93">
        <f t="shared" si="9"/>
        <v>25</v>
      </c>
      <c r="J131" s="94">
        <v>15</v>
      </c>
      <c r="K131" s="94">
        <f t="shared" si="10"/>
        <v>375</v>
      </c>
      <c r="L131" s="86"/>
      <c r="M131" s="96"/>
      <c r="N131" s="88">
        <f>SUM(K125:K131)</f>
        <v>7375</v>
      </c>
    </row>
    <row r="132" s="89" customFormat="1" ht="20.25" spans="1:14">
      <c r="A132" s="97">
        <v>45876</v>
      </c>
      <c r="B132" s="107">
        <v>15</v>
      </c>
      <c r="C132" s="99" t="s">
        <v>141</v>
      </c>
      <c r="D132" s="100"/>
      <c r="E132" s="100"/>
      <c r="F132" s="108" t="s">
        <v>142</v>
      </c>
      <c r="G132" s="100">
        <v>1</v>
      </c>
      <c r="H132" s="100">
        <v>25</v>
      </c>
      <c r="I132" s="100">
        <f t="shared" si="9"/>
        <v>25</v>
      </c>
      <c r="J132" s="101">
        <v>15</v>
      </c>
      <c r="K132" s="101">
        <f t="shared" si="10"/>
        <v>375</v>
      </c>
      <c r="L132" s="110" t="s">
        <v>143</v>
      </c>
      <c r="M132" s="102"/>
    </row>
    <row r="133" s="89" customFormat="1" ht="20.25" spans="1:14">
      <c r="A133" s="97">
        <v>45876</v>
      </c>
      <c r="B133" s="107">
        <v>15</v>
      </c>
      <c r="C133" s="99" t="s">
        <v>169</v>
      </c>
      <c r="D133" s="100"/>
      <c r="E133" s="100"/>
      <c r="F133" s="108" t="s">
        <v>170</v>
      </c>
      <c r="G133" s="100">
        <v>1</v>
      </c>
      <c r="H133" s="100">
        <v>25</v>
      </c>
      <c r="I133" s="100">
        <f t="shared" si="9"/>
        <v>25</v>
      </c>
      <c r="J133" s="101">
        <v>15</v>
      </c>
      <c r="K133" s="101">
        <f t="shared" si="10"/>
        <v>375</v>
      </c>
      <c r="L133" s="1" t="s">
        <v>290</v>
      </c>
      <c r="M133" s="102"/>
    </row>
    <row r="134" s="89" customFormat="1" ht="20.25" spans="1:14">
      <c r="A134" s="97">
        <v>45876</v>
      </c>
      <c r="B134" s="107">
        <v>15</v>
      </c>
      <c r="C134" s="99" t="s">
        <v>294</v>
      </c>
      <c r="D134" s="100"/>
      <c r="E134" s="100"/>
      <c r="F134" s="108" t="s">
        <v>295</v>
      </c>
      <c r="G134" s="100">
        <v>1</v>
      </c>
      <c r="H134" s="100">
        <v>24</v>
      </c>
      <c r="I134" s="100">
        <f t="shared" si="9"/>
        <v>24</v>
      </c>
      <c r="J134" s="101">
        <v>15</v>
      </c>
      <c r="K134" s="101">
        <f t="shared" si="10"/>
        <v>360</v>
      </c>
      <c r="L134" s="1" t="s">
        <v>296</v>
      </c>
      <c r="M134" s="102"/>
      <c r="N134" s="89">
        <f>SUM(K132:K134)</f>
        <v>1110</v>
      </c>
    </row>
    <row r="135" s="88" customFormat="1" ht="20.25" spans="1:14">
      <c r="A135" s="90">
        <v>45883</v>
      </c>
      <c r="B135" s="111">
        <v>22</v>
      </c>
      <c r="C135" s="92">
        <v>45878</v>
      </c>
      <c r="D135" s="93"/>
      <c r="E135" s="93"/>
      <c r="F135" s="88" t="s">
        <v>213</v>
      </c>
      <c r="G135" s="93">
        <v>1</v>
      </c>
      <c r="H135" s="93">
        <v>4</v>
      </c>
      <c r="I135" s="93">
        <f t="shared" si="9"/>
        <v>4</v>
      </c>
      <c r="J135" s="93">
        <v>14.5</v>
      </c>
      <c r="K135" s="94">
        <f t="shared" si="10"/>
        <v>58</v>
      </c>
      <c r="L135" s="117" t="s">
        <v>281</v>
      </c>
      <c r="M135" s="117"/>
      <c r="N135" s="117"/>
    </row>
    <row r="136" s="88" customFormat="1" ht="20.25" spans="1:14">
      <c r="A136" s="90">
        <v>45883</v>
      </c>
      <c r="B136" s="111">
        <v>22</v>
      </c>
      <c r="C136" s="92">
        <v>45878</v>
      </c>
      <c r="D136" s="93"/>
      <c r="E136" s="93"/>
      <c r="F136" s="88" t="s">
        <v>213</v>
      </c>
      <c r="G136" s="93">
        <v>1</v>
      </c>
      <c r="H136" s="93">
        <v>5</v>
      </c>
      <c r="I136" s="93">
        <f t="shared" si="9"/>
        <v>5</v>
      </c>
      <c r="J136" s="93">
        <v>14.5</v>
      </c>
      <c r="K136" s="94">
        <f t="shared" si="10"/>
        <v>72.5</v>
      </c>
      <c r="L136" s="117" t="s">
        <v>281</v>
      </c>
      <c r="M136" s="117"/>
      <c r="N136" s="117"/>
    </row>
    <row r="137" s="88" customFormat="1" ht="20.25" spans="1:14">
      <c r="A137" s="90">
        <v>45883</v>
      </c>
      <c r="B137" s="111">
        <v>22</v>
      </c>
      <c r="C137" s="92">
        <v>45883</v>
      </c>
      <c r="D137" s="93"/>
      <c r="E137" s="93"/>
      <c r="F137" s="88" t="s">
        <v>181</v>
      </c>
      <c r="G137" s="93">
        <v>10</v>
      </c>
      <c r="H137" s="93">
        <v>20</v>
      </c>
      <c r="I137" s="93">
        <f t="shared" si="9"/>
        <v>200</v>
      </c>
      <c r="J137" s="94">
        <v>14.5</v>
      </c>
      <c r="K137" s="94">
        <f t="shared" si="10"/>
        <v>2900</v>
      </c>
      <c r="L137" s="88" t="s">
        <v>255</v>
      </c>
      <c r="M137" s="96"/>
      <c r="N137" s="88">
        <f>SUM(K135:K137)</f>
        <v>3030.5</v>
      </c>
    </row>
    <row r="138" s="89" customFormat="1" ht="20.25" spans="1:14">
      <c r="A138" s="97">
        <v>45892</v>
      </c>
      <c r="B138" s="107" t="s">
        <v>297</v>
      </c>
      <c r="C138" s="99">
        <v>45887</v>
      </c>
      <c r="D138" s="100"/>
      <c r="E138" s="100"/>
      <c r="F138" s="89" t="s">
        <v>298</v>
      </c>
      <c r="G138" s="100">
        <v>1</v>
      </c>
      <c r="H138" s="100">
        <v>5</v>
      </c>
      <c r="I138" s="100">
        <f t="shared" si="9"/>
        <v>5</v>
      </c>
      <c r="J138" s="101">
        <v>14.5</v>
      </c>
      <c r="K138" s="101">
        <f t="shared" si="10"/>
        <v>72.5</v>
      </c>
      <c r="M138" s="102"/>
    </row>
    <row r="139" s="89" customFormat="1" ht="20.25" spans="1:14">
      <c r="A139" s="97">
        <v>45892</v>
      </c>
      <c r="B139" s="107" t="s">
        <v>297</v>
      </c>
      <c r="C139" s="99">
        <v>45887</v>
      </c>
      <c r="D139" s="100"/>
      <c r="E139" s="100"/>
      <c r="F139" s="89" t="s">
        <v>233</v>
      </c>
      <c r="G139" s="100">
        <v>1</v>
      </c>
      <c r="H139" s="100">
        <v>1</v>
      </c>
      <c r="I139" s="100">
        <f t="shared" si="9"/>
        <v>1</v>
      </c>
      <c r="J139" s="101">
        <v>6.6</v>
      </c>
      <c r="K139" s="101">
        <f t="shared" si="10"/>
        <v>6.6</v>
      </c>
      <c r="M139" s="102"/>
    </row>
    <row r="140" s="89" customFormat="1" ht="20.25" spans="1:14">
      <c r="A140" s="97">
        <v>45892</v>
      </c>
      <c r="B140" s="107" t="s">
        <v>297</v>
      </c>
      <c r="C140" s="99">
        <v>45891</v>
      </c>
      <c r="D140" s="100"/>
      <c r="E140" s="100"/>
      <c r="F140" s="89" t="s">
        <v>43</v>
      </c>
      <c r="G140" s="100">
        <v>1</v>
      </c>
      <c r="H140" s="100">
        <v>3</v>
      </c>
      <c r="I140" s="100">
        <f t="shared" si="9"/>
        <v>3</v>
      </c>
      <c r="J140" s="100">
        <v>14.5</v>
      </c>
      <c r="K140" s="101">
        <f t="shared" si="10"/>
        <v>43.5</v>
      </c>
      <c r="L140" s="115" t="s">
        <v>299</v>
      </c>
      <c r="M140" s="115" t="s">
        <v>300</v>
      </c>
      <c r="N140" s="115"/>
    </row>
    <row r="141" s="89" customFormat="1" ht="20.25" spans="1:14">
      <c r="A141" s="97">
        <v>45892</v>
      </c>
      <c r="B141" s="107" t="s">
        <v>297</v>
      </c>
      <c r="C141" s="99">
        <v>45891</v>
      </c>
      <c r="D141" s="100"/>
      <c r="E141" s="100"/>
      <c r="F141" s="89" t="s">
        <v>301</v>
      </c>
      <c r="G141" s="100">
        <v>1</v>
      </c>
      <c r="H141" s="100">
        <v>3</v>
      </c>
      <c r="I141" s="100">
        <f t="shared" si="9"/>
        <v>3</v>
      </c>
      <c r="J141" s="100">
        <v>14.5</v>
      </c>
      <c r="K141" s="101">
        <f t="shared" si="10"/>
        <v>43.5</v>
      </c>
      <c r="L141" s="115" t="s">
        <v>299</v>
      </c>
      <c r="M141" s="115" t="s">
        <v>300</v>
      </c>
      <c r="N141" s="115"/>
    </row>
    <row r="142" s="89" customFormat="1" ht="20.25" spans="1:14">
      <c r="A142" s="97">
        <v>45892</v>
      </c>
      <c r="B142" s="107" t="s">
        <v>297</v>
      </c>
      <c r="C142" s="99">
        <v>45887</v>
      </c>
      <c r="D142" s="100"/>
      <c r="E142" s="100"/>
      <c r="F142" s="89" t="s">
        <v>228</v>
      </c>
      <c r="G142" s="100">
        <v>2</v>
      </c>
      <c r="H142" s="100">
        <v>1</v>
      </c>
      <c r="I142" s="100">
        <f t="shared" si="9"/>
        <v>2</v>
      </c>
      <c r="J142" s="101">
        <v>5.5</v>
      </c>
      <c r="K142" s="101">
        <f t="shared" si="10"/>
        <v>11</v>
      </c>
      <c r="M142" s="102"/>
    </row>
    <row r="143" s="89" customFormat="1" ht="20.25" spans="1:14">
      <c r="A143" s="97">
        <v>45892</v>
      </c>
      <c r="B143" s="107" t="s">
        <v>297</v>
      </c>
      <c r="C143" s="99">
        <v>45891</v>
      </c>
      <c r="D143" s="100"/>
      <c r="E143" s="100"/>
      <c r="F143" s="89" t="s">
        <v>268</v>
      </c>
      <c r="G143" s="100">
        <v>20</v>
      </c>
      <c r="H143" s="100">
        <v>20</v>
      </c>
      <c r="I143" s="100">
        <f t="shared" si="9"/>
        <v>400</v>
      </c>
      <c r="J143" s="100">
        <v>14.5</v>
      </c>
      <c r="K143" s="101">
        <f t="shared" si="10"/>
        <v>5800</v>
      </c>
      <c r="L143" s="122" t="s">
        <v>269</v>
      </c>
      <c r="M143" s="102"/>
    </row>
    <row r="144" s="89" customFormat="1" ht="20.25" spans="1:14">
      <c r="A144" s="97">
        <v>45892</v>
      </c>
      <c r="B144" s="107" t="s">
        <v>297</v>
      </c>
      <c r="C144" s="99">
        <v>45891</v>
      </c>
      <c r="D144" s="100"/>
      <c r="E144" s="100"/>
      <c r="F144" s="89" t="s">
        <v>151</v>
      </c>
      <c r="G144" s="100">
        <v>12</v>
      </c>
      <c r="H144" s="100">
        <v>20</v>
      </c>
      <c r="I144" s="100">
        <f t="shared" si="9"/>
        <v>240</v>
      </c>
      <c r="J144" s="100">
        <v>13</v>
      </c>
      <c r="K144" s="101">
        <f t="shared" si="10"/>
        <v>3120</v>
      </c>
      <c r="L144" s="123" t="s">
        <v>226</v>
      </c>
      <c r="M144" s="102"/>
      <c r="N144" s="89">
        <f>SUM(K138:K145)</f>
        <v>10397.1</v>
      </c>
    </row>
    <row r="145" s="89" customFormat="1" ht="20.25" spans="1:14">
      <c r="A145" s="97">
        <v>45892</v>
      </c>
      <c r="B145" s="107" t="s">
        <v>297</v>
      </c>
      <c r="C145" s="99">
        <v>45891</v>
      </c>
      <c r="D145" s="100"/>
      <c r="E145" s="100"/>
      <c r="F145" s="89" t="s">
        <v>151</v>
      </c>
      <c r="G145" s="100">
        <v>5</v>
      </c>
      <c r="H145" s="100">
        <v>20</v>
      </c>
      <c r="I145" s="100">
        <f t="shared" si="9"/>
        <v>100</v>
      </c>
      <c r="J145" s="100">
        <v>13</v>
      </c>
      <c r="K145" s="101">
        <f t="shared" si="10"/>
        <v>1300</v>
      </c>
      <c r="L145" s="123" t="s">
        <v>302</v>
      </c>
      <c r="M145" s="102"/>
    </row>
    <row r="146" s="88" customFormat="1" ht="20.25" spans="1:14">
      <c r="A146" s="90">
        <v>45895</v>
      </c>
      <c r="B146" s="111">
        <v>67</v>
      </c>
      <c r="C146" s="92">
        <v>45894</v>
      </c>
      <c r="D146" s="93"/>
      <c r="E146" s="93"/>
      <c r="F146" s="88" t="s">
        <v>303</v>
      </c>
      <c r="G146" s="93">
        <v>10</v>
      </c>
      <c r="H146" s="93">
        <v>20</v>
      </c>
      <c r="I146" s="93">
        <f t="shared" si="9"/>
        <v>200</v>
      </c>
      <c r="J146" s="94">
        <v>14.5</v>
      </c>
      <c r="K146" s="94">
        <f t="shared" si="10"/>
        <v>2900</v>
      </c>
      <c r="L146" s="88" t="s">
        <v>304</v>
      </c>
      <c r="M146" s="96"/>
      <c r="N146" s="88">
        <f>SUM(K144:K146)</f>
        <v>7320</v>
      </c>
    </row>
    <row r="147" s="89" customFormat="1" ht="20.25" spans="1:14">
      <c r="A147" s="97">
        <v>45897</v>
      </c>
      <c r="B147" s="107">
        <v>80</v>
      </c>
      <c r="C147" s="99" t="s">
        <v>178</v>
      </c>
      <c r="D147" s="100"/>
      <c r="E147" s="100"/>
      <c r="F147" s="115" t="s">
        <v>75</v>
      </c>
      <c r="G147" s="100">
        <v>1</v>
      </c>
      <c r="H147" s="100">
        <v>25</v>
      </c>
      <c r="I147" s="100">
        <f t="shared" si="9"/>
        <v>25</v>
      </c>
      <c r="J147" s="101">
        <v>15</v>
      </c>
      <c r="K147" s="101">
        <f t="shared" si="10"/>
        <v>375</v>
      </c>
      <c r="L147" s="124" t="s">
        <v>305</v>
      </c>
      <c r="M147" s="102"/>
    </row>
    <row r="148" s="88" customFormat="1" ht="20.25" spans="1:14">
      <c r="A148" s="90">
        <v>45901</v>
      </c>
      <c r="B148" s="111">
        <v>3</v>
      </c>
      <c r="C148" s="92">
        <v>45901</v>
      </c>
      <c r="D148" s="93"/>
      <c r="E148" s="93"/>
      <c r="F148" s="117" t="s">
        <v>306</v>
      </c>
      <c r="G148" s="93">
        <v>1</v>
      </c>
      <c r="H148" s="93">
        <v>8</v>
      </c>
      <c r="I148" s="93">
        <f t="shared" si="9"/>
        <v>8</v>
      </c>
      <c r="J148" s="94">
        <v>15</v>
      </c>
      <c r="K148" s="94">
        <f t="shared" si="10"/>
        <v>120</v>
      </c>
      <c r="L148" s="118" t="s">
        <v>305</v>
      </c>
      <c r="M148" s="96"/>
    </row>
    <row r="149" s="89" customFormat="1" ht="20.25" spans="1:14">
      <c r="A149" s="97">
        <v>45906</v>
      </c>
      <c r="B149" s="107">
        <v>16</v>
      </c>
      <c r="C149" s="99">
        <v>45906</v>
      </c>
      <c r="D149" s="100"/>
      <c r="E149" s="100"/>
      <c r="F149" s="115" t="s">
        <v>213</v>
      </c>
      <c r="G149" s="100">
        <v>1</v>
      </c>
      <c r="H149" s="100">
        <v>5</v>
      </c>
      <c r="I149" s="100">
        <f t="shared" si="9"/>
        <v>5</v>
      </c>
      <c r="J149" s="101">
        <v>14.5</v>
      </c>
      <c r="K149" s="101">
        <f t="shared" si="10"/>
        <v>72.5</v>
      </c>
      <c r="L149" s="124"/>
      <c r="M149" s="102"/>
    </row>
    <row r="150" s="89" customFormat="1" ht="20.25" spans="1:14">
      <c r="A150" s="97">
        <v>45906</v>
      </c>
      <c r="B150" s="107">
        <v>16</v>
      </c>
      <c r="C150" s="99">
        <v>45906</v>
      </c>
      <c r="D150" s="100"/>
      <c r="E150" s="100"/>
      <c r="F150" s="89" t="s">
        <v>288</v>
      </c>
      <c r="G150" s="100">
        <v>1</v>
      </c>
      <c r="H150" s="100">
        <v>1</v>
      </c>
      <c r="I150" s="100">
        <f t="shared" si="9"/>
        <v>1</v>
      </c>
      <c r="J150" s="100">
        <v>6.6</v>
      </c>
      <c r="K150" s="101">
        <f t="shared" si="10"/>
        <v>6.6</v>
      </c>
      <c r="M150" s="115"/>
      <c r="N150" s="115"/>
    </row>
    <row r="151" s="89" customFormat="1" ht="20.25" spans="1:14">
      <c r="A151" s="97">
        <v>45906</v>
      </c>
      <c r="B151" s="107">
        <v>16</v>
      </c>
      <c r="C151" s="99">
        <v>45908</v>
      </c>
      <c r="D151" s="100"/>
      <c r="E151" s="100"/>
      <c r="F151" s="115" t="s">
        <v>75</v>
      </c>
      <c r="G151" s="100">
        <v>1</v>
      </c>
      <c r="H151" s="100">
        <v>5</v>
      </c>
      <c r="I151" s="100">
        <f t="shared" si="9"/>
        <v>5</v>
      </c>
      <c r="J151" s="101">
        <v>14.5</v>
      </c>
      <c r="K151" s="101">
        <f t="shared" si="10"/>
        <v>72.5</v>
      </c>
      <c r="L151" s="124"/>
      <c r="M151" s="102"/>
    </row>
    <row r="152" s="89" customFormat="1" ht="20.25" spans="1:14">
      <c r="A152" s="97">
        <v>45906</v>
      </c>
      <c r="B152" s="107">
        <v>16</v>
      </c>
      <c r="C152" s="99">
        <v>45908</v>
      </c>
      <c r="D152" s="100"/>
      <c r="E152" s="100"/>
      <c r="F152" s="115" t="s">
        <v>147</v>
      </c>
      <c r="G152" s="100">
        <v>1</v>
      </c>
      <c r="H152" s="100">
        <v>5</v>
      </c>
      <c r="I152" s="100">
        <f t="shared" si="9"/>
        <v>5</v>
      </c>
      <c r="J152" s="101">
        <v>14.5</v>
      </c>
      <c r="K152" s="101">
        <f t="shared" si="10"/>
        <v>72.5</v>
      </c>
      <c r="L152" s="124"/>
      <c r="M152" s="102"/>
    </row>
    <row r="153" s="89" customFormat="1" ht="20.25" spans="1:14">
      <c r="A153" s="97">
        <v>45906</v>
      </c>
      <c r="B153" s="107">
        <v>16</v>
      </c>
      <c r="C153" s="99">
        <v>45908</v>
      </c>
      <c r="D153" s="100"/>
      <c r="E153" s="100"/>
      <c r="F153" s="89" t="s">
        <v>288</v>
      </c>
      <c r="G153" s="100">
        <v>2</v>
      </c>
      <c r="H153" s="100">
        <v>1</v>
      </c>
      <c r="I153" s="100">
        <f t="shared" si="9"/>
        <v>2</v>
      </c>
      <c r="J153" s="100">
        <v>6.6</v>
      </c>
      <c r="K153" s="101">
        <f t="shared" si="10"/>
        <v>13.2</v>
      </c>
      <c r="L153" s="89">
        <f>SUM(K149:K153)</f>
        <v>237.3</v>
      </c>
      <c r="M153" s="115"/>
      <c r="N153" s="115"/>
    </row>
    <row r="154" s="85" customFormat="1" ht="20.25" spans="1:14">
      <c r="A154" s="125">
        <v>45910</v>
      </c>
      <c r="B154" s="126">
        <v>26</v>
      </c>
      <c r="C154" s="104">
        <v>45910</v>
      </c>
      <c r="D154" s="83"/>
      <c r="E154" s="83"/>
      <c r="F154" s="85" t="s">
        <v>181</v>
      </c>
      <c r="G154" s="83">
        <v>10</v>
      </c>
      <c r="H154" s="83">
        <v>20</v>
      </c>
      <c r="I154" s="83">
        <f t="shared" si="9"/>
        <v>200</v>
      </c>
      <c r="J154" s="84">
        <v>14.5</v>
      </c>
      <c r="K154" s="84">
        <f t="shared" si="10"/>
        <v>2900</v>
      </c>
      <c r="L154" s="85" t="s">
        <v>255</v>
      </c>
      <c r="M154" s="127"/>
    </row>
    <row r="155" s="85" customFormat="1" ht="20.25" spans="1:14">
      <c r="A155" s="125">
        <v>45910</v>
      </c>
      <c r="B155" s="126">
        <v>26</v>
      </c>
      <c r="C155" s="104">
        <v>45910</v>
      </c>
      <c r="D155" s="83"/>
      <c r="E155" s="83"/>
      <c r="F155" s="85" t="s">
        <v>151</v>
      </c>
      <c r="G155" s="83">
        <v>10</v>
      </c>
      <c r="H155" s="83">
        <v>20</v>
      </c>
      <c r="I155" s="83">
        <f t="shared" si="9"/>
        <v>200</v>
      </c>
      <c r="J155" s="83">
        <v>13</v>
      </c>
      <c r="K155" s="84">
        <f t="shared" si="10"/>
        <v>2600</v>
      </c>
      <c r="L155" s="119" t="s">
        <v>226</v>
      </c>
      <c r="M155" s="127"/>
      <c r="N155" s="85">
        <f>SUM(K154:K155)</f>
        <v>5500</v>
      </c>
    </row>
    <row r="156" s="88" customFormat="1" ht="20.25" spans="1:14">
      <c r="A156" s="90">
        <v>45913</v>
      </c>
      <c r="B156" s="111">
        <v>33</v>
      </c>
      <c r="C156" s="92">
        <v>45912</v>
      </c>
      <c r="D156" s="93"/>
      <c r="E156" s="93"/>
      <c r="F156" s="117" t="s">
        <v>307</v>
      </c>
      <c r="G156" s="93">
        <v>1</v>
      </c>
      <c r="H156" s="93">
        <v>6</v>
      </c>
      <c r="I156" s="93">
        <f t="shared" si="9"/>
        <v>6</v>
      </c>
      <c r="J156" s="94">
        <v>14.5</v>
      </c>
      <c r="K156" s="94">
        <f t="shared" si="10"/>
        <v>87</v>
      </c>
      <c r="L156" s="88" t="s">
        <v>193</v>
      </c>
      <c r="M156" s="96"/>
    </row>
    <row r="157" s="88" customFormat="1" ht="20.25" spans="1:14">
      <c r="A157" s="90">
        <v>45913</v>
      </c>
      <c r="B157" s="111">
        <v>33</v>
      </c>
      <c r="C157" s="92">
        <v>45912</v>
      </c>
      <c r="D157" s="93"/>
      <c r="E157" s="93"/>
      <c r="F157" s="117" t="s">
        <v>147</v>
      </c>
      <c r="G157" s="93">
        <v>1</v>
      </c>
      <c r="H157" s="93">
        <v>2</v>
      </c>
      <c r="I157" s="93">
        <f t="shared" si="9"/>
        <v>2</v>
      </c>
      <c r="J157" s="94">
        <v>14.5</v>
      </c>
      <c r="K157" s="94">
        <f t="shared" si="10"/>
        <v>29</v>
      </c>
      <c r="L157" s="88" t="s">
        <v>193</v>
      </c>
      <c r="M157" s="96"/>
    </row>
    <row r="158" s="88" customFormat="1" ht="20.25" spans="1:14">
      <c r="A158" s="90">
        <v>45913</v>
      </c>
      <c r="B158" s="111">
        <v>33</v>
      </c>
      <c r="C158" s="92">
        <v>45912</v>
      </c>
      <c r="D158" s="93"/>
      <c r="E158" s="93"/>
      <c r="F158" s="88" t="s">
        <v>308</v>
      </c>
      <c r="G158" s="93">
        <v>1</v>
      </c>
      <c r="H158" s="93">
        <v>1</v>
      </c>
      <c r="I158" s="93">
        <f t="shared" si="9"/>
        <v>1</v>
      </c>
      <c r="J158" s="93">
        <v>5.5</v>
      </c>
      <c r="K158" s="94">
        <f t="shared" si="10"/>
        <v>5.5</v>
      </c>
      <c r="M158" s="117"/>
      <c r="N158" s="117"/>
    </row>
    <row r="159" s="88" customFormat="1" ht="20.25" spans="1:14">
      <c r="A159" s="90">
        <v>45913</v>
      </c>
      <c r="B159" s="111">
        <v>33</v>
      </c>
      <c r="C159" s="92">
        <v>45912</v>
      </c>
      <c r="D159" s="93"/>
      <c r="E159" s="93"/>
      <c r="F159" s="88" t="s">
        <v>288</v>
      </c>
      <c r="G159" s="93">
        <v>1</v>
      </c>
      <c r="H159" s="93">
        <v>1</v>
      </c>
      <c r="I159" s="93">
        <f t="shared" si="9"/>
        <v>1</v>
      </c>
      <c r="J159" s="93">
        <v>6.6</v>
      </c>
      <c r="K159" s="94">
        <f t="shared" si="10"/>
        <v>6.6</v>
      </c>
      <c r="L159" s="88">
        <f>SUM(K156:K160)</f>
        <v>273.1</v>
      </c>
      <c r="M159" s="117"/>
      <c r="N159" s="117"/>
    </row>
    <row r="160" s="88" customFormat="1" ht="20.25" spans="1:14">
      <c r="A160" s="90">
        <v>45913</v>
      </c>
      <c r="B160" s="111">
        <v>33</v>
      </c>
      <c r="C160" s="92">
        <v>45913</v>
      </c>
      <c r="D160" s="93"/>
      <c r="E160" s="93"/>
      <c r="F160" s="88" t="s">
        <v>248</v>
      </c>
      <c r="G160" s="93">
        <v>1</v>
      </c>
      <c r="H160" s="93">
        <v>10</v>
      </c>
      <c r="I160" s="93">
        <f t="shared" si="9"/>
        <v>10</v>
      </c>
      <c r="J160" s="93">
        <v>14.5</v>
      </c>
      <c r="K160" s="94">
        <f t="shared" si="10"/>
        <v>145</v>
      </c>
      <c r="L160" s="88" t="s">
        <v>193</v>
      </c>
      <c r="M160" s="117"/>
      <c r="N160" s="117"/>
    </row>
    <row r="161" s="89" customFormat="1" ht="20.25" spans="1:14">
      <c r="A161" s="97">
        <v>45919</v>
      </c>
      <c r="B161" s="107">
        <v>53</v>
      </c>
      <c r="C161" s="99">
        <v>45918</v>
      </c>
      <c r="D161" s="100"/>
      <c r="E161" s="100"/>
      <c r="F161" s="89" t="s">
        <v>309</v>
      </c>
      <c r="G161" s="100">
        <v>1</v>
      </c>
      <c r="H161" s="100">
        <v>1</v>
      </c>
      <c r="I161" s="100">
        <f t="shared" si="9"/>
        <v>1</v>
      </c>
      <c r="J161" s="100">
        <v>14.5</v>
      </c>
      <c r="K161" s="101">
        <f t="shared" si="10"/>
        <v>14.5</v>
      </c>
      <c r="L161" s="89" t="s">
        <v>193</v>
      </c>
      <c r="M161" s="115"/>
      <c r="N161" s="115"/>
    </row>
    <row r="162" s="89" customFormat="1" ht="20.25" spans="1:14">
      <c r="A162" s="97">
        <v>45919</v>
      </c>
      <c r="B162" s="107">
        <v>53</v>
      </c>
      <c r="C162" s="99">
        <v>45918</v>
      </c>
      <c r="D162" s="100"/>
      <c r="E162" s="100"/>
      <c r="F162" s="89" t="s">
        <v>308</v>
      </c>
      <c r="G162" s="100">
        <v>1</v>
      </c>
      <c r="H162" s="100">
        <v>1</v>
      </c>
      <c r="I162" s="100">
        <f t="shared" si="9"/>
        <v>1</v>
      </c>
      <c r="J162" s="100">
        <v>5.5</v>
      </c>
      <c r="K162" s="101">
        <f t="shared" si="10"/>
        <v>5.5</v>
      </c>
      <c r="L162" s="89">
        <f>SUM(K161:K162)</f>
        <v>20</v>
      </c>
      <c r="M162" s="115"/>
      <c r="N162" s="115"/>
    </row>
    <row r="163" s="89" customFormat="1" ht="20.25" spans="1:14">
      <c r="A163" s="97">
        <v>45919</v>
      </c>
      <c r="B163" s="107">
        <v>53</v>
      </c>
      <c r="C163" s="99">
        <v>45919</v>
      </c>
      <c r="D163" s="100"/>
      <c r="E163" s="100"/>
      <c r="F163" s="89" t="s">
        <v>181</v>
      </c>
      <c r="G163" s="100">
        <v>10</v>
      </c>
      <c r="H163" s="100">
        <v>20</v>
      </c>
      <c r="I163" s="100">
        <f t="shared" si="9"/>
        <v>200</v>
      </c>
      <c r="J163" s="101">
        <v>14.5</v>
      </c>
      <c r="K163" s="101">
        <f t="shared" si="10"/>
        <v>2900</v>
      </c>
      <c r="L163" s="89" t="s">
        <v>255</v>
      </c>
      <c r="M163" s="102"/>
    </row>
    <row r="164" s="89" customFormat="1" ht="20.25" spans="1:14">
      <c r="A164" s="97">
        <v>45919</v>
      </c>
      <c r="B164" s="107">
        <v>53</v>
      </c>
      <c r="C164" s="99">
        <v>45919</v>
      </c>
      <c r="D164" s="100"/>
      <c r="E164" s="100"/>
      <c r="F164" s="89" t="s">
        <v>151</v>
      </c>
      <c r="G164" s="100">
        <v>10</v>
      </c>
      <c r="H164" s="100">
        <v>20</v>
      </c>
      <c r="I164" s="100">
        <f t="shared" si="9"/>
        <v>200</v>
      </c>
      <c r="J164" s="100">
        <v>13</v>
      </c>
      <c r="K164" s="101">
        <f t="shared" si="10"/>
        <v>2600</v>
      </c>
      <c r="L164" s="123" t="s">
        <v>226</v>
      </c>
      <c r="M164" s="102"/>
      <c r="N164" s="89">
        <f>SUM(K161:K164)</f>
        <v>5520</v>
      </c>
    </row>
    <row r="165" s="88" customFormat="1" ht="20.25" spans="1:14">
      <c r="A165" s="90">
        <v>45922</v>
      </c>
      <c r="B165" s="111">
        <v>55</v>
      </c>
      <c r="C165" s="92">
        <v>45922</v>
      </c>
      <c r="D165" s="93"/>
      <c r="E165" s="93"/>
      <c r="F165" s="117" t="s">
        <v>307</v>
      </c>
      <c r="G165" s="93">
        <v>1</v>
      </c>
      <c r="H165" s="93">
        <v>5</v>
      </c>
      <c r="I165" s="93">
        <f t="shared" si="9"/>
        <v>5</v>
      </c>
      <c r="J165" s="94">
        <v>14.5</v>
      </c>
      <c r="K165" s="94">
        <f t="shared" si="10"/>
        <v>72.5</v>
      </c>
      <c r="L165" s="88" t="s">
        <v>193</v>
      </c>
      <c r="M165" s="96"/>
    </row>
    <row r="166" s="88" customFormat="1" ht="20.25" spans="1:14">
      <c r="A166" s="90">
        <v>45922</v>
      </c>
      <c r="B166" s="111">
        <v>55</v>
      </c>
      <c r="C166" s="92">
        <v>45922</v>
      </c>
      <c r="D166" s="93"/>
      <c r="E166" s="93"/>
      <c r="F166" s="88" t="s">
        <v>288</v>
      </c>
      <c r="G166" s="93">
        <v>1</v>
      </c>
      <c r="H166" s="93">
        <v>1</v>
      </c>
      <c r="I166" s="93">
        <f t="shared" si="9"/>
        <v>1</v>
      </c>
      <c r="J166" s="93">
        <v>6.6</v>
      </c>
      <c r="K166" s="94">
        <f t="shared" si="10"/>
        <v>6.6</v>
      </c>
      <c r="L166" s="88">
        <f>SUM(K165:K167)</f>
        <v>5879.1</v>
      </c>
      <c r="M166" s="117"/>
      <c r="N166" s="117"/>
    </row>
    <row r="167" s="88" customFormat="1" ht="20.25" spans="1:14">
      <c r="A167" s="90">
        <v>45922</v>
      </c>
      <c r="B167" s="111">
        <v>55</v>
      </c>
      <c r="C167" s="92">
        <v>45922</v>
      </c>
      <c r="D167" s="93"/>
      <c r="E167" s="93"/>
      <c r="F167" s="88" t="s">
        <v>303</v>
      </c>
      <c r="G167" s="93">
        <v>20</v>
      </c>
      <c r="H167" s="93">
        <v>20</v>
      </c>
      <c r="I167" s="93">
        <f t="shared" si="9"/>
        <v>400</v>
      </c>
      <c r="J167" s="94">
        <v>14.5</v>
      </c>
      <c r="K167" s="94">
        <f t="shared" si="10"/>
        <v>5800</v>
      </c>
      <c r="L167" s="88" t="s">
        <v>304</v>
      </c>
      <c r="M167" s="96"/>
    </row>
    <row r="168" s="89" customFormat="1" ht="20.25" spans="1:14">
      <c r="A168" s="97">
        <v>45924</v>
      </c>
      <c r="B168" s="107">
        <v>68</v>
      </c>
      <c r="C168" s="99" t="s">
        <v>141</v>
      </c>
      <c r="D168" s="100"/>
      <c r="E168" s="100"/>
      <c r="F168" s="108" t="s">
        <v>142</v>
      </c>
      <c r="G168" s="100">
        <v>1</v>
      </c>
      <c r="H168" s="100">
        <v>25</v>
      </c>
      <c r="I168" s="100">
        <f t="shared" si="9"/>
        <v>25</v>
      </c>
      <c r="J168" s="101">
        <v>15</v>
      </c>
      <c r="K168" s="101">
        <f t="shared" si="10"/>
        <v>375</v>
      </c>
      <c r="L168" s="110" t="s">
        <v>143</v>
      </c>
      <c r="M168" s="102"/>
    </row>
    <row r="169" s="89" customFormat="1" ht="20.25" spans="1:14">
      <c r="A169" s="97">
        <v>45924</v>
      </c>
      <c r="B169" s="107">
        <v>68</v>
      </c>
      <c r="C169" s="99" t="s">
        <v>291</v>
      </c>
      <c r="D169" s="100"/>
      <c r="E169" s="100"/>
      <c r="F169" s="108" t="s">
        <v>292</v>
      </c>
      <c r="G169" s="100">
        <v>3</v>
      </c>
      <c r="H169" s="100">
        <v>25</v>
      </c>
      <c r="I169" s="100">
        <v>25</v>
      </c>
      <c r="J169" s="101">
        <v>15</v>
      </c>
      <c r="K169" s="101">
        <v>375</v>
      </c>
      <c r="L169" s="1" t="s">
        <v>193</v>
      </c>
      <c r="M169" s="102"/>
    </row>
    <row r="170" s="88" customFormat="1" ht="20.25" spans="1:14">
      <c r="A170" s="90">
        <v>45929</v>
      </c>
      <c r="B170" s="111">
        <v>88</v>
      </c>
      <c r="C170" s="92">
        <v>45929</v>
      </c>
      <c r="D170" s="93"/>
      <c r="E170" s="93"/>
      <c r="F170" s="117" t="s">
        <v>240</v>
      </c>
      <c r="G170" s="93">
        <v>1</v>
      </c>
      <c r="H170" s="93">
        <v>2</v>
      </c>
      <c r="I170" s="93">
        <f t="shared" ref="I170:I195" si="11">G170*H170</f>
        <v>2</v>
      </c>
      <c r="J170" s="94">
        <v>14.5</v>
      </c>
      <c r="K170" s="94">
        <f t="shared" ref="K170:K195" si="12">I170*J170</f>
        <v>29</v>
      </c>
      <c r="L170" s="88" t="s">
        <v>193</v>
      </c>
      <c r="M170" s="96"/>
    </row>
    <row r="171" s="88" customFormat="1" ht="20.25" spans="1:14">
      <c r="A171" s="90">
        <v>45929</v>
      </c>
      <c r="B171" s="111">
        <v>88</v>
      </c>
      <c r="C171" s="92">
        <v>45922</v>
      </c>
      <c r="D171" s="93"/>
      <c r="E171" s="93"/>
      <c r="F171" s="117" t="s">
        <v>220</v>
      </c>
      <c r="G171" s="93">
        <v>1</v>
      </c>
      <c r="H171" s="93">
        <v>5</v>
      </c>
      <c r="I171" s="93">
        <f t="shared" si="11"/>
        <v>5</v>
      </c>
      <c r="J171" s="94">
        <v>14.5</v>
      </c>
      <c r="K171" s="94">
        <f t="shared" si="12"/>
        <v>72.5</v>
      </c>
      <c r="L171" s="88" t="s">
        <v>193</v>
      </c>
      <c r="M171" s="96"/>
    </row>
    <row r="172" s="88" customFormat="1" ht="20.25" spans="1:14">
      <c r="A172" s="90">
        <v>45929</v>
      </c>
      <c r="B172" s="111">
        <v>88</v>
      </c>
      <c r="C172" s="92">
        <v>45918</v>
      </c>
      <c r="D172" s="93"/>
      <c r="E172" s="93"/>
      <c r="F172" s="88" t="s">
        <v>308</v>
      </c>
      <c r="G172" s="93">
        <v>1</v>
      </c>
      <c r="H172" s="93">
        <v>1</v>
      </c>
      <c r="I172" s="93">
        <f t="shared" si="11"/>
        <v>1</v>
      </c>
      <c r="J172" s="93">
        <v>5.5</v>
      </c>
      <c r="K172" s="94">
        <f t="shared" si="12"/>
        <v>5.5</v>
      </c>
      <c r="M172" s="117"/>
      <c r="N172" s="117"/>
    </row>
    <row r="173" s="88" customFormat="1" ht="20.25" spans="1:14">
      <c r="A173" s="90">
        <v>45929</v>
      </c>
      <c r="B173" s="111">
        <v>88</v>
      </c>
      <c r="C173" s="92">
        <v>45918</v>
      </c>
      <c r="D173" s="93"/>
      <c r="E173" s="93"/>
      <c r="F173" s="88" t="s">
        <v>288</v>
      </c>
      <c r="G173" s="93">
        <v>1</v>
      </c>
      <c r="H173" s="93">
        <v>1</v>
      </c>
      <c r="I173" s="93">
        <f t="shared" si="11"/>
        <v>1</v>
      </c>
      <c r="J173" s="93">
        <v>6.6</v>
      </c>
      <c r="K173" s="94">
        <f t="shared" si="12"/>
        <v>6.6</v>
      </c>
      <c r="M173" s="88">
        <f>SUM(K170:K173)</f>
        <v>113.6</v>
      </c>
      <c r="N173" s="117"/>
    </row>
    <row r="174" s="89" customFormat="1" ht="20.25" spans="1:14">
      <c r="A174" s="97">
        <v>45941</v>
      </c>
      <c r="B174" s="107">
        <v>12</v>
      </c>
      <c r="C174" s="99">
        <v>45940</v>
      </c>
      <c r="D174" s="100"/>
      <c r="E174" s="100"/>
      <c r="F174" s="89" t="s">
        <v>181</v>
      </c>
      <c r="G174" s="100">
        <v>10</v>
      </c>
      <c r="H174" s="100">
        <v>20</v>
      </c>
      <c r="I174" s="100">
        <f t="shared" si="11"/>
        <v>200</v>
      </c>
      <c r="J174" s="101">
        <v>14.5</v>
      </c>
      <c r="K174" s="101">
        <f t="shared" si="12"/>
        <v>2900</v>
      </c>
      <c r="L174" s="89" t="s">
        <v>255</v>
      </c>
      <c r="M174" s="102"/>
    </row>
    <row r="175" s="89" customFormat="1" ht="20.25" spans="1:14">
      <c r="A175" s="97">
        <v>45941</v>
      </c>
      <c r="B175" s="107">
        <v>12</v>
      </c>
      <c r="C175" s="99" t="s">
        <v>141</v>
      </c>
      <c r="D175" s="100"/>
      <c r="E175" s="100"/>
      <c r="F175" s="89" t="s">
        <v>94</v>
      </c>
      <c r="G175" s="100">
        <v>4</v>
      </c>
      <c r="H175" s="100">
        <v>25</v>
      </c>
      <c r="I175" s="100">
        <f t="shared" si="11"/>
        <v>100</v>
      </c>
      <c r="J175" s="100">
        <v>15</v>
      </c>
      <c r="K175" s="101">
        <f t="shared" si="12"/>
        <v>1500</v>
      </c>
      <c r="L175" s="103">
        <v>7735</v>
      </c>
      <c r="M175" s="102"/>
      <c r="N175" s="89">
        <f>SUM(K174:K178)</f>
        <v>6437.5</v>
      </c>
    </row>
    <row r="176" s="89" customFormat="1" ht="20.25" spans="1:14">
      <c r="A176" s="97">
        <v>45941</v>
      </c>
      <c r="B176" s="107">
        <v>12</v>
      </c>
      <c r="C176" s="99" t="s">
        <v>146</v>
      </c>
      <c r="D176" s="100"/>
      <c r="E176" s="100"/>
      <c r="F176" s="108" t="s">
        <v>147</v>
      </c>
      <c r="G176" s="100">
        <v>1</v>
      </c>
      <c r="H176" s="100">
        <v>25</v>
      </c>
      <c r="I176" s="100">
        <f t="shared" si="11"/>
        <v>25</v>
      </c>
      <c r="J176" s="109">
        <v>14.5</v>
      </c>
      <c r="K176" s="101">
        <f t="shared" si="12"/>
        <v>362.5</v>
      </c>
      <c r="L176" s="110"/>
      <c r="M176" s="102"/>
    </row>
    <row r="177" s="89" customFormat="1" ht="20.25" spans="1:14">
      <c r="A177" s="97">
        <v>45941</v>
      </c>
      <c r="B177" s="107">
        <v>12</v>
      </c>
      <c r="C177" s="99" t="s">
        <v>169</v>
      </c>
      <c r="D177" s="100"/>
      <c r="E177" s="100"/>
      <c r="F177" s="108" t="s">
        <v>170</v>
      </c>
      <c r="G177" s="100">
        <v>1</v>
      </c>
      <c r="H177" s="100">
        <v>25</v>
      </c>
      <c r="I177" s="100">
        <f t="shared" si="11"/>
        <v>25</v>
      </c>
      <c r="J177" s="101">
        <v>15</v>
      </c>
      <c r="K177" s="101">
        <f t="shared" si="12"/>
        <v>375</v>
      </c>
      <c r="L177" s="1" t="s">
        <v>290</v>
      </c>
      <c r="M177" s="102"/>
    </row>
    <row r="178" s="89" customFormat="1" ht="20.25" spans="1:14">
      <c r="A178" s="97">
        <v>45941</v>
      </c>
      <c r="B178" s="107">
        <v>12</v>
      </c>
      <c r="C178" s="99">
        <v>45941</v>
      </c>
      <c r="D178" s="100"/>
      <c r="E178" s="100"/>
      <c r="F178" s="89" t="s">
        <v>151</v>
      </c>
      <c r="G178" s="100">
        <v>5</v>
      </c>
      <c r="H178" s="100">
        <v>20</v>
      </c>
      <c r="I178" s="100">
        <f t="shared" si="11"/>
        <v>100</v>
      </c>
      <c r="J178" s="100">
        <v>13</v>
      </c>
      <c r="K178" s="101">
        <f t="shared" si="12"/>
        <v>1300</v>
      </c>
      <c r="L178" s="123" t="s">
        <v>302</v>
      </c>
      <c r="M178" s="102"/>
    </row>
    <row r="179" s="88" customFormat="1" ht="20.25" spans="1:14">
      <c r="A179" s="90">
        <v>45943</v>
      </c>
      <c r="B179" s="111">
        <v>18</v>
      </c>
      <c r="C179" s="92">
        <v>45941</v>
      </c>
      <c r="D179" s="93"/>
      <c r="E179" s="93"/>
      <c r="F179" s="117" t="s">
        <v>261</v>
      </c>
      <c r="G179" s="93">
        <v>1</v>
      </c>
      <c r="H179" s="93">
        <v>20</v>
      </c>
      <c r="I179" s="93">
        <f t="shared" si="11"/>
        <v>20</v>
      </c>
      <c r="J179" s="94">
        <v>14.5</v>
      </c>
      <c r="K179" s="94">
        <f t="shared" si="12"/>
        <v>290</v>
      </c>
      <c r="L179" s="88" t="s">
        <v>193</v>
      </c>
      <c r="M179" s="96"/>
    </row>
    <row r="180" s="89" customFormat="1" ht="20.25" spans="1:14">
      <c r="A180" s="97">
        <v>45958</v>
      </c>
      <c r="B180" s="107">
        <v>92</v>
      </c>
      <c r="C180" s="99">
        <v>45958</v>
      </c>
      <c r="D180" s="100"/>
      <c r="E180" s="100"/>
      <c r="F180" s="89" t="s">
        <v>181</v>
      </c>
      <c r="G180" s="100">
        <v>10</v>
      </c>
      <c r="H180" s="100">
        <v>20</v>
      </c>
      <c r="I180" s="100">
        <f t="shared" si="11"/>
        <v>200</v>
      </c>
      <c r="J180" s="101">
        <v>14.5</v>
      </c>
      <c r="K180" s="101">
        <f t="shared" si="12"/>
        <v>2900</v>
      </c>
      <c r="L180" s="89" t="s">
        <v>255</v>
      </c>
      <c r="M180" s="102"/>
    </row>
    <row r="181" s="89" customFormat="1" ht="20.25" spans="1:14">
      <c r="A181" s="97">
        <v>45958</v>
      </c>
      <c r="B181" s="107">
        <v>92</v>
      </c>
      <c r="C181" s="99">
        <v>45958</v>
      </c>
      <c r="D181" s="100"/>
      <c r="E181" s="100"/>
      <c r="F181" s="89" t="s">
        <v>151</v>
      </c>
      <c r="G181" s="100">
        <v>10</v>
      </c>
      <c r="H181" s="100">
        <v>20</v>
      </c>
      <c r="I181" s="100">
        <f t="shared" si="11"/>
        <v>200</v>
      </c>
      <c r="J181" s="100">
        <v>13</v>
      </c>
      <c r="K181" s="101">
        <f t="shared" si="12"/>
        <v>2600</v>
      </c>
      <c r="L181" s="123" t="s">
        <v>226</v>
      </c>
      <c r="M181" s="102"/>
      <c r="N181" s="89">
        <f>SUM(K180:K183)</f>
        <v>5549</v>
      </c>
    </row>
    <row r="182" s="89" customFormat="1" ht="20.25" spans="1:14">
      <c r="A182" s="97">
        <v>45958</v>
      </c>
      <c r="B182" s="107">
        <v>92</v>
      </c>
      <c r="C182" s="99">
        <v>45958</v>
      </c>
      <c r="D182" s="100"/>
      <c r="E182" s="100"/>
      <c r="F182" s="115" t="s">
        <v>240</v>
      </c>
      <c r="G182" s="100">
        <v>1</v>
      </c>
      <c r="H182" s="100">
        <v>3</v>
      </c>
      <c r="I182" s="100">
        <f t="shared" si="11"/>
        <v>3</v>
      </c>
      <c r="J182" s="101">
        <v>14.5</v>
      </c>
      <c r="K182" s="101">
        <f t="shared" si="12"/>
        <v>43.5</v>
      </c>
      <c r="L182" s="89" t="s">
        <v>193</v>
      </c>
      <c r="M182" s="102"/>
    </row>
    <row r="183" s="89" customFormat="1" ht="20.25" spans="1:14">
      <c r="A183" s="97">
        <v>45958</v>
      </c>
      <c r="B183" s="107">
        <v>92</v>
      </c>
      <c r="C183" s="99">
        <v>45958</v>
      </c>
      <c r="D183" s="100"/>
      <c r="E183" s="100"/>
      <c r="F183" s="89" t="s">
        <v>308</v>
      </c>
      <c r="G183" s="100">
        <v>1</v>
      </c>
      <c r="H183" s="100">
        <v>1</v>
      </c>
      <c r="I183" s="100">
        <f t="shared" si="11"/>
        <v>1</v>
      </c>
      <c r="J183" s="100">
        <v>5.5</v>
      </c>
      <c r="K183" s="101">
        <f t="shared" si="12"/>
        <v>5.5</v>
      </c>
      <c r="M183" s="115"/>
      <c r="N183" s="115"/>
    </row>
    <row r="184" s="88" customFormat="1" ht="20.25" spans="1:14">
      <c r="A184" s="90">
        <v>45961</v>
      </c>
      <c r="B184" s="111">
        <v>99</v>
      </c>
      <c r="C184" s="92"/>
      <c r="D184" s="93"/>
      <c r="E184" s="93"/>
      <c r="F184" s="106" t="s">
        <v>310</v>
      </c>
      <c r="G184" s="93">
        <v>1</v>
      </c>
      <c r="H184" s="93">
        <v>3</v>
      </c>
      <c r="I184" s="93">
        <f t="shared" si="11"/>
        <v>3</v>
      </c>
      <c r="J184" s="94">
        <v>15</v>
      </c>
      <c r="K184" s="94">
        <f t="shared" si="12"/>
        <v>45</v>
      </c>
      <c r="L184" s="86"/>
      <c r="M184" s="96"/>
    </row>
    <row r="185" s="88" customFormat="1" ht="20.25" spans="1:14">
      <c r="A185" s="90">
        <v>45961</v>
      </c>
      <c r="B185" s="111">
        <v>99</v>
      </c>
      <c r="C185" s="92"/>
      <c r="D185" s="93"/>
      <c r="E185" s="93"/>
      <c r="F185" s="88" t="s">
        <v>308</v>
      </c>
      <c r="G185" s="93">
        <v>1</v>
      </c>
      <c r="H185" s="93">
        <v>1</v>
      </c>
      <c r="I185" s="93">
        <f t="shared" si="11"/>
        <v>1</v>
      </c>
      <c r="J185" s="93">
        <v>5.5</v>
      </c>
      <c r="K185" s="94">
        <f t="shared" si="12"/>
        <v>5.5</v>
      </c>
      <c r="L185" s="88">
        <f>SUM(K184:K185)</f>
        <v>50.5</v>
      </c>
      <c r="M185" s="117"/>
      <c r="N185" s="117"/>
    </row>
    <row r="186" s="89" customFormat="1" ht="20.25" spans="1:14">
      <c r="A186" s="97">
        <v>45962</v>
      </c>
      <c r="B186" s="107">
        <v>1</v>
      </c>
      <c r="C186" s="99" t="s">
        <v>171</v>
      </c>
      <c r="D186" s="100"/>
      <c r="E186" s="100"/>
      <c r="F186" s="89" t="s">
        <v>139</v>
      </c>
      <c r="G186" s="100">
        <v>1</v>
      </c>
      <c r="H186" s="100">
        <v>25</v>
      </c>
      <c r="I186" s="100">
        <f t="shared" si="11"/>
        <v>25</v>
      </c>
      <c r="J186" s="101">
        <v>15</v>
      </c>
      <c r="K186" s="101">
        <f t="shared" si="12"/>
        <v>375</v>
      </c>
      <c r="L186" s="103"/>
      <c r="M186" s="102"/>
    </row>
    <row r="187" s="89" customFormat="1" ht="20.25" spans="1:14">
      <c r="A187" s="97">
        <v>45962</v>
      </c>
      <c r="B187" s="107">
        <v>1</v>
      </c>
      <c r="C187" s="99" t="s">
        <v>169</v>
      </c>
      <c r="D187" s="100"/>
      <c r="E187" s="100"/>
      <c r="F187" s="108" t="s">
        <v>170</v>
      </c>
      <c r="G187" s="100">
        <v>1</v>
      </c>
      <c r="H187" s="100">
        <v>25</v>
      </c>
      <c r="I187" s="100">
        <f t="shared" si="11"/>
        <v>25</v>
      </c>
      <c r="J187" s="101">
        <v>15</v>
      </c>
      <c r="K187" s="101">
        <f t="shared" si="12"/>
        <v>375</v>
      </c>
      <c r="L187" s="1" t="s">
        <v>290</v>
      </c>
      <c r="M187" s="102"/>
    </row>
    <row r="188" s="88" customFormat="1" ht="20.25" spans="1:14">
      <c r="A188" s="90">
        <v>45969</v>
      </c>
      <c r="B188" s="111" t="s">
        <v>311</v>
      </c>
      <c r="C188" s="92" t="s">
        <v>293</v>
      </c>
      <c r="D188" s="93"/>
      <c r="E188" s="93"/>
      <c r="F188" s="106" t="s">
        <v>41</v>
      </c>
      <c r="G188" s="93">
        <v>1</v>
      </c>
      <c r="H188" s="93">
        <v>25</v>
      </c>
      <c r="I188" s="93">
        <f t="shared" si="11"/>
        <v>25</v>
      </c>
      <c r="J188" s="94">
        <v>15</v>
      </c>
      <c r="K188" s="94">
        <f t="shared" si="12"/>
        <v>375</v>
      </c>
      <c r="L188" s="86"/>
      <c r="M188" s="96"/>
    </row>
    <row r="189" s="88" customFormat="1" ht="20.25" spans="1:14">
      <c r="A189" s="90">
        <v>45969</v>
      </c>
      <c r="B189" s="111" t="s">
        <v>311</v>
      </c>
      <c r="C189" s="92"/>
      <c r="D189" s="93"/>
      <c r="E189" s="93"/>
      <c r="F189" s="106" t="s">
        <v>312</v>
      </c>
      <c r="G189" s="93">
        <v>1</v>
      </c>
      <c r="H189" s="93">
        <v>6</v>
      </c>
      <c r="I189" s="93">
        <f t="shared" si="11"/>
        <v>6</v>
      </c>
      <c r="J189" s="94">
        <v>14.5</v>
      </c>
      <c r="K189" s="94">
        <f t="shared" si="12"/>
        <v>87</v>
      </c>
      <c r="L189" s="86"/>
      <c r="M189" s="96"/>
    </row>
    <row r="190" s="88" customFormat="1" ht="20.25" spans="1:14">
      <c r="A190" s="90">
        <v>45969</v>
      </c>
      <c r="B190" s="111" t="s">
        <v>311</v>
      </c>
      <c r="C190" s="92" t="s">
        <v>313</v>
      </c>
      <c r="D190" s="93"/>
      <c r="E190" s="93"/>
      <c r="F190" s="106" t="s">
        <v>314</v>
      </c>
      <c r="G190" s="93">
        <v>1</v>
      </c>
      <c r="H190" s="93">
        <v>4</v>
      </c>
      <c r="I190" s="93">
        <f t="shared" si="11"/>
        <v>4</v>
      </c>
      <c r="J190" s="94">
        <v>14.5</v>
      </c>
      <c r="K190" s="94">
        <f t="shared" si="12"/>
        <v>58</v>
      </c>
      <c r="L190" s="86"/>
      <c r="M190" s="96"/>
    </row>
    <row r="191" s="88" customFormat="1" ht="20.25" spans="1:14">
      <c r="A191" s="90">
        <v>45969</v>
      </c>
      <c r="B191" s="111" t="s">
        <v>311</v>
      </c>
      <c r="C191" s="92" t="s">
        <v>315</v>
      </c>
      <c r="D191" s="93"/>
      <c r="E191" s="93"/>
      <c r="F191" s="106" t="s">
        <v>213</v>
      </c>
      <c r="G191" s="93">
        <v>1</v>
      </c>
      <c r="H191" s="93">
        <v>4</v>
      </c>
      <c r="I191" s="93">
        <f t="shared" si="11"/>
        <v>4</v>
      </c>
      <c r="J191" s="94">
        <v>14.5</v>
      </c>
      <c r="K191" s="94">
        <f t="shared" si="12"/>
        <v>58</v>
      </c>
      <c r="L191" s="86"/>
      <c r="M191" s="96"/>
    </row>
    <row r="192" s="88" customFormat="1" ht="20.25" spans="1:14">
      <c r="A192" s="90">
        <v>45969</v>
      </c>
      <c r="B192" s="111" t="s">
        <v>311</v>
      </c>
      <c r="C192" s="104" t="s">
        <v>316</v>
      </c>
      <c r="D192" s="83"/>
      <c r="E192" s="83"/>
      <c r="F192" s="106" t="s">
        <v>317</v>
      </c>
      <c r="G192" s="93">
        <v>1</v>
      </c>
      <c r="H192" s="83">
        <v>4</v>
      </c>
      <c r="I192" s="93">
        <f t="shared" si="11"/>
        <v>4</v>
      </c>
      <c r="J192" s="94">
        <v>14.5</v>
      </c>
      <c r="K192" s="94">
        <f t="shared" si="12"/>
        <v>58</v>
      </c>
      <c r="L192" s="128" t="s">
        <v>318</v>
      </c>
      <c r="M192" s="96"/>
    </row>
    <row r="193" s="88" customFormat="1" ht="20.25" spans="1:14">
      <c r="A193" s="90">
        <v>45969</v>
      </c>
      <c r="B193" s="111" t="s">
        <v>311</v>
      </c>
      <c r="C193" s="92" t="s">
        <v>319</v>
      </c>
      <c r="D193" s="93"/>
      <c r="E193" s="93"/>
      <c r="F193" s="106" t="s">
        <v>213</v>
      </c>
      <c r="G193" s="93">
        <v>1</v>
      </c>
      <c r="H193" s="93">
        <v>4</v>
      </c>
      <c r="I193" s="93">
        <f t="shared" si="11"/>
        <v>4</v>
      </c>
      <c r="J193" s="94">
        <v>14.5</v>
      </c>
      <c r="K193" s="94">
        <f t="shared" si="12"/>
        <v>58</v>
      </c>
      <c r="M193" s="96"/>
    </row>
    <row r="194" s="88" customFormat="1" ht="20.25" spans="1:14">
      <c r="A194" s="90">
        <v>45969</v>
      </c>
      <c r="B194" s="111" t="s">
        <v>311</v>
      </c>
      <c r="C194" s="92">
        <v>45968</v>
      </c>
      <c r="D194" s="93"/>
      <c r="E194" s="93"/>
      <c r="F194" s="88" t="s">
        <v>308</v>
      </c>
      <c r="G194" s="93">
        <v>4</v>
      </c>
      <c r="H194" s="93">
        <v>1</v>
      </c>
      <c r="I194" s="93">
        <f t="shared" si="11"/>
        <v>4</v>
      </c>
      <c r="J194" s="93">
        <v>5.5</v>
      </c>
      <c r="K194" s="94">
        <f t="shared" si="12"/>
        <v>22</v>
      </c>
      <c r="M194" s="117"/>
      <c r="N194" s="117"/>
    </row>
    <row r="195" s="88" customFormat="1" ht="20.25" spans="1:14">
      <c r="A195" s="90">
        <v>45969</v>
      </c>
      <c r="B195" s="111" t="s">
        <v>311</v>
      </c>
      <c r="C195" s="92">
        <v>45968</v>
      </c>
      <c r="D195" s="93"/>
      <c r="E195" s="93"/>
      <c r="F195" s="88" t="s">
        <v>288</v>
      </c>
      <c r="G195" s="93">
        <v>1</v>
      </c>
      <c r="H195" s="93">
        <v>1</v>
      </c>
      <c r="I195" s="93">
        <f t="shared" si="11"/>
        <v>1</v>
      </c>
      <c r="J195" s="93">
        <v>6.6</v>
      </c>
      <c r="K195" s="94">
        <f t="shared" si="12"/>
        <v>6.6</v>
      </c>
      <c r="L195" s="88">
        <f>SUM(K188:K195)</f>
        <v>722.6</v>
      </c>
      <c r="M195" s="117"/>
      <c r="N195" s="117"/>
    </row>
    <row r="196" s="89" customFormat="1" ht="20.25" spans="1:14">
      <c r="A196" s="97">
        <v>45972</v>
      </c>
      <c r="B196" s="107">
        <v>28</v>
      </c>
      <c r="C196" s="99">
        <v>45971</v>
      </c>
      <c r="D196" s="100"/>
      <c r="E196" s="100"/>
      <c r="F196" s="89" t="s">
        <v>268</v>
      </c>
      <c r="G196" s="100">
        <v>50</v>
      </c>
      <c r="H196" s="100">
        <v>20</v>
      </c>
      <c r="I196" s="100">
        <f t="shared" ref="I196:I205" si="13">G196*H196</f>
        <v>1000</v>
      </c>
      <c r="J196" s="100">
        <v>14</v>
      </c>
      <c r="K196" s="101">
        <f t="shared" ref="K196:K205" si="14">I196*J196</f>
        <v>14000</v>
      </c>
      <c r="L196" s="122" t="s">
        <v>320</v>
      </c>
      <c r="M196" s="102"/>
    </row>
    <row r="197" s="89" customFormat="1" ht="20.25" spans="1:14">
      <c r="A197" s="97">
        <v>45972</v>
      </c>
      <c r="B197" s="107">
        <v>28</v>
      </c>
      <c r="C197" s="99">
        <v>45971</v>
      </c>
      <c r="D197" s="100"/>
      <c r="E197" s="100"/>
      <c r="F197" s="89" t="s">
        <v>151</v>
      </c>
      <c r="G197" s="100">
        <v>36</v>
      </c>
      <c r="H197" s="100">
        <v>20</v>
      </c>
      <c r="I197" s="100">
        <f t="shared" si="13"/>
        <v>720</v>
      </c>
      <c r="J197" s="100">
        <v>13</v>
      </c>
      <c r="K197" s="101">
        <f t="shared" si="14"/>
        <v>9360</v>
      </c>
      <c r="L197" s="123" t="s">
        <v>321</v>
      </c>
      <c r="M197" s="102"/>
    </row>
    <row r="198" s="89" customFormat="1" ht="20.25" spans="1:14">
      <c r="A198" s="97">
        <v>45972</v>
      </c>
      <c r="B198" s="107">
        <v>28</v>
      </c>
      <c r="C198" s="129" t="s">
        <v>322</v>
      </c>
      <c r="D198" s="130"/>
      <c r="E198" s="130"/>
      <c r="F198" s="131" t="s">
        <v>317</v>
      </c>
      <c r="G198" s="130">
        <v>-1</v>
      </c>
      <c r="H198" s="130">
        <v>2</v>
      </c>
      <c r="I198" s="130">
        <f t="shared" si="13"/>
        <v>-2</v>
      </c>
      <c r="J198" s="132">
        <v>14.5</v>
      </c>
      <c r="K198" s="132">
        <f t="shared" si="14"/>
        <v>-29</v>
      </c>
      <c r="L198" s="116" t="s">
        <v>323</v>
      </c>
      <c r="M198" s="102"/>
    </row>
    <row r="199" s="89" customFormat="1" ht="20.25" spans="1:14">
      <c r="A199" s="97">
        <v>45972</v>
      </c>
      <c r="B199" s="107">
        <v>28</v>
      </c>
      <c r="C199" s="99">
        <v>45972</v>
      </c>
      <c r="D199" s="100"/>
      <c r="E199" s="100"/>
      <c r="F199" s="89" t="s">
        <v>181</v>
      </c>
      <c r="G199" s="100">
        <v>17</v>
      </c>
      <c r="H199" s="100">
        <v>20</v>
      </c>
      <c r="I199" s="100">
        <f t="shared" si="13"/>
        <v>340</v>
      </c>
      <c r="J199" s="101">
        <v>14</v>
      </c>
      <c r="K199" s="101">
        <f t="shared" si="14"/>
        <v>4760</v>
      </c>
      <c r="L199" s="89" t="s">
        <v>255</v>
      </c>
      <c r="M199" s="102"/>
    </row>
    <row r="200" s="89" customFormat="1" ht="20.25" spans="1:14">
      <c r="A200" s="97">
        <v>45972</v>
      </c>
      <c r="B200" s="107">
        <v>28</v>
      </c>
      <c r="C200" s="99">
        <v>45972</v>
      </c>
      <c r="D200" s="100"/>
      <c r="E200" s="100"/>
      <c r="F200" s="89" t="s">
        <v>151</v>
      </c>
      <c r="G200" s="100">
        <v>15</v>
      </c>
      <c r="H200" s="100">
        <v>20</v>
      </c>
      <c r="I200" s="100">
        <f t="shared" si="13"/>
        <v>300</v>
      </c>
      <c r="J200" s="100">
        <v>13</v>
      </c>
      <c r="K200" s="101">
        <f t="shared" si="14"/>
        <v>3900</v>
      </c>
      <c r="L200" s="123" t="s">
        <v>226</v>
      </c>
      <c r="M200" s="102"/>
      <c r="N200" s="89">
        <f>SUM(K196:K200)</f>
        <v>31991</v>
      </c>
    </row>
    <row r="201" s="88" customFormat="1" ht="20.25" spans="1:14">
      <c r="A201" s="90">
        <v>45974</v>
      </c>
      <c r="B201" s="111">
        <v>31</v>
      </c>
      <c r="C201" s="92" t="s">
        <v>324</v>
      </c>
      <c r="D201" s="93"/>
      <c r="E201" s="93"/>
      <c r="F201" s="106" t="s">
        <v>325</v>
      </c>
      <c r="G201" s="93">
        <v>5</v>
      </c>
      <c r="H201" s="93">
        <v>25</v>
      </c>
      <c r="I201" s="93">
        <f t="shared" si="13"/>
        <v>125</v>
      </c>
      <c r="J201" s="94">
        <v>14.5</v>
      </c>
      <c r="K201" s="94">
        <f t="shared" si="14"/>
        <v>1812.5</v>
      </c>
      <c r="L201" s="88" t="s">
        <v>326</v>
      </c>
      <c r="M201" s="96"/>
    </row>
    <row r="202" s="88" customFormat="1" ht="20.25" spans="1:14">
      <c r="A202" s="90">
        <v>45974</v>
      </c>
      <c r="B202" s="111">
        <v>31</v>
      </c>
      <c r="C202" s="92" t="s">
        <v>324</v>
      </c>
      <c r="D202" s="93"/>
      <c r="E202" s="93"/>
      <c r="F202" s="106" t="s">
        <v>252</v>
      </c>
      <c r="G202" s="93">
        <v>5</v>
      </c>
      <c r="H202" s="93">
        <v>25</v>
      </c>
      <c r="I202" s="93">
        <f t="shared" si="13"/>
        <v>125</v>
      </c>
      <c r="J202" s="94">
        <v>14.5</v>
      </c>
      <c r="K202" s="94">
        <f t="shared" si="14"/>
        <v>1812.5</v>
      </c>
      <c r="L202" s="88" t="s">
        <v>60</v>
      </c>
      <c r="M202" s="96"/>
    </row>
    <row r="203" s="89" customFormat="1" ht="20.25" spans="1:14">
      <c r="A203" s="97">
        <v>45978</v>
      </c>
      <c r="B203" s="107">
        <v>39</v>
      </c>
      <c r="C203" s="99" t="s">
        <v>146</v>
      </c>
      <c r="D203" s="100"/>
      <c r="E203" s="100"/>
      <c r="F203" s="108" t="s">
        <v>327</v>
      </c>
      <c r="G203" s="100">
        <v>1</v>
      </c>
      <c r="H203" s="100">
        <v>25</v>
      </c>
      <c r="I203" s="100">
        <f t="shared" si="13"/>
        <v>25</v>
      </c>
      <c r="J203" s="133">
        <v>1</v>
      </c>
      <c r="K203" s="101">
        <f t="shared" si="14"/>
        <v>25</v>
      </c>
      <c r="L203" s="110" t="s">
        <v>328</v>
      </c>
      <c r="M203" s="102"/>
    </row>
    <row r="204" s="89" customFormat="1" ht="20.25" spans="1:14">
      <c r="A204" s="97">
        <v>45978</v>
      </c>
      <c r="B204" s="107">
        <v>39</v>
      </c>
      <c r="C204" s="99" t="s">
        <v>329</v>
      </c>
      <c r="D204" s="100"/>
      <c r="E204" s="100"/>
      <c r="F204" s="108" t="s">
        <v>330</v>
      </c>
      <c r="G204" s="100">
        <v>1</v>
      </c>
      <c r="H204" s="100">
        <v>10</v>
      </c>
      <c r="I204" s="100">
        <f t="shared" si="13"/>
        <v>10</v>
      </c>
      <c r="J204" s="133">
        <v>1</v>
      </c>
      <c r="K204" s="101">
        <f t="shared" si="14"/>
        <v>10</v>
      </c>
      <c r="L204" s="110" t="s">
        <v>331</v>
      </c>
      <c r="M204" s="102"/>
    </row>
    <row r="205" s="89" customFormat="1" ht="20.25" spans="1:14">
      <c r="A205" s="97">
        <v>45978</v>
      </c>
      <c r="B205" s="107">
        <v>39</v>
      </c>
      <c r="C205" s="99" t="s">
        <v>332</v>
      </c>
      <c r="D205" s="100"/>
      <c r="E205" s="100"/>
      <c r="F205" s="108" t="s">
        <v>333</v>
      </c>
      <c r="G205" s="100">
        <v>1</v>
      </c>
      <c r="H205" s="100">
        <v>10</v>
      </c>
      <c r="I205" s="100">
        <f t="shared" si="13"/>
        <v>10</v>
      </c>
      <c r="J205" s="133">
        <v>1</v>
      </c>
      <c r="K205" s="101">
        <f t="shared" si="14"/>
        <v>10</v>
      </c>
      <c r="L205" s="110" t="s">
        <v>331</v>
      </c>
      <c r="M205" s="102"/>
    </row>
    <row r="206" s="89" customFormat="1" ht="20.25" spans="1:14">
      <c r="A206" s="97">
        <v>45978</v>
      </c>
      <c r="B206" s="107">
        <v>39</v>
      </c>
      <c r="C206" s="99"/>
      <c r="D206" s="100"/>
      <c r="E206" s="100"/>
      <c r="F206" s="89" t="s">
        <v>334</v>
      </c>
      <c r="G206" s="100">
        <v>1</v>
      </c>
      <c r="H206" s="100">
        <v>7.8</v>
      </c>
      <c r="I206" s="100">
        <f t="shared" ref="I206:I236" si="15">G206*H206</f>
        <v>7.8</v>
      </c>
      <c r="J206" s="94">
        <v>14</v>
      </c>
      <c r="K206" s="101">
        <f t="shared" ref="K206:K236" si="16">I206*J206</f>
        <v>109.2</v>
      </c>
      <c r="M206" s="115"/>
      <c r="N206" s="115"/>
    </row>
    <row r="207" s="89" customFormat="1" ht="20.25" spans="1:14">
      <c r="A207" s="97">
        <v>45978</v>
      </c>
      <c r="B207" s="107">
        <v>39</v>
      </c>
      <c r="C207" s="99" t="s">
        <v>335</v>
      </c>
      <c r="D207" s="100"/>
      <c r="E207" s="100"/>
      <c r="F207" s="89" t="s">
        <v>112</v>
      </c>
      <c r="G207" s="100">
        <v>1</v>
      </c>
      <c r="H207" s="100">
        <v>1</v>
      </c>
      <c r="I207" s="100">
        <f t="shared" si="15"/>
        <v>1</v>
      </c>
      <c r="J207" s="94">
        <v>25</v>
      </c>
      <c r="K207" s="101">
        <f t="shared" si="16"/>
        <v>25</v>
      </c>
      <c r="M207" s="115"/>
      <c r="N207" s="115"/>
    </row>
    <row r="208" s="89" customFormat="1" ht="20.25" spans="1:14">
      <c r="A208" s="97">
        <v>45978</v>
      </c>
      <c r="B208" s="107">
        <v>39</v>
      </c>
      <c r="C208" s="99" t="s">
        <v>335</v>
      </c>
      <c r="D208" s="100"/>
      <c r="E208" s="100"/>
      <c r="F208" s="89" t="s">
        <v>336</v>
      </c>
      <c r="G208" s="100">
        <v>1</v>
      </c>
      <c r="H208" s="100">
        <v>0.2</v>
      </c>
      <c r="I208" s="100">
        <f t="shared" si="15"/>
        <v>0.2</v>
      </c>
      <c r="J208" s="94"/>
      <c r="K208" s="94"/>
      <c r="M208" s="115"/>
      <c r="N208" s="115"/>
    </row>
    <row r="209" s="89" customFormat="1" ht="20.25" spans="1:14">
      <c r="A209" s="97">
        <v>45978</v>
      </c>
      <c r="B209" s="107">
        <v>39</v>
      </c>
      <c r="C209" s="99" t="s">
        <v>335</v>
      </c>
      <c r="D209" s="100"/>
      <c r="E209" s="100"/>
      <c r="F209" s="89" t="s">
        <v>337</v>
      </c>
      <c r="G209" s="100">
        <v>1</v>
      </c>
      <c r="H209" s="100">
        <v>0.6</v>
      </c>
      <c r="I209" s="100">
        <f t="shared" si="15"/>
        <v>0.6</v>
      </c>
      <c r="J209" s="94"/>
      <c r="K209" s="94"/>
      <c r="M209" s="115"/>
      <c r="N209" s="115"/>
    </row>
    <row r="210" s="89" customFormat="1" ht="20.25" spans="1:14">
      <c r="A210" s="97">
        <v>45978</v>
      </c>
      <c r="B210" s="107">
        <v>39</v>
      </c>
      <c r="C210" s="99" t="s">
        <v>335</v>
      </c>
      <c r="D210" s="100"/>
      <c r="E210" s="100"/>
      <c r="F210" s="89" t="s">
        <v>338</v>
      </c>
      <c r="G210" s="100">
        <v>1</v>
      </c>
      <c r="H210" s="100">
        <v>0.1</v>
      </c>
      <c r="I210" s="100">
        <f t="shared" si="15"/>
        <v>0.1</v>
      </c>
      <c r="J210" s="94"/>
      <c r="K210" s="94"/>
      <c r="M210" s="115"/>
      <c r="N210" s="115"/>
    </row>
    <row r="211" s="89" customFormat="1" ht="20.25" spans="1:14">
      <c r="A211" s="97">
        <v>45978</v>
      </c>
      <c r="B211" s="107">
        <v>39</v>
      </c>
      <c r="C211" s="99">
        <v>45672</v>
      </c>
      <c r="D211" s="100"/>
      <c r="E211" s="100"/>
      <c r="F211" s="89" t="s">
        <v>339</v>
      </c>
      <c r="G211" s="100">
        <v>1</v>
      </c>
      <c r="H211" s="100">
        <v>1</v>
      </c>
      <c r="I211" s="100">
        <f t="shared" si="15"/>
        <v>1</v>
      </c>
      <c r="J211" s="94">
        <v>25</v>
      </c>
      <c r="K211" s="101">
        <f t="shared" si="16"/>
        <v>25</v>
      </c>
      <c r="M211" s="115"/>
      <c r="N211" s="115"/>
    </row>
    <row r="212" s="89" customFormat="1" ht="20.25" spans="1:14">
      <c r="A212" s="97">
        <v>45978</v>
      </c>
      <c r="B212" s="107">
        <v>39</v>
      </c>
      <c r="C212" s="99">
        <v>45672</v>
      </c>
      <c r="D212" s="100"/>
      <c r="E212" s="100"/>
      <c r="F212" s="89" t="s">
        <v>228</v>
      </c>
      <c r="G212" s="100">
        <v>1</v>
      </c>
      <c r="H212" s="100">
        <v>1</v>
      </c>
      <c r="I212" s="100">
        <f t="shared" si="15"/>
        <v>1</v>
      </c>
      <c r="J212" s="94">
        <v>5.5</v>
      </c>
      <c r="K212" s="101">
        <f t="shared" si="16"/>
        <v>5.5</v>
      </c>
      <c r="N212" s="115"/>
    </row>
    <row r="213" s="89" customFormat="1" ht="20.25" spans="1:14">
      <c r="A213" s="97">
        <v>45978</v>
      </c>
      <c r="B213" s="107">
        <v>39</v>
      </c>
      <c r="C213" s="99">
        <v>45674</v>
      </c>
      <c r="D213" s="100"/>
      <c r="E213" s="100"/>
      <c r="F213" s="89" t="s">
        <v>340</v>
      </c>
      <c r="G213" s="100">
        <v>1</v>
      </c>
      <c r="H213" s="100">
        <v>5</v>
      </c>
      <c r="I213" s="100">
        <f t="shared" si="15"/>
        <v>5</v>
      </c>
      <c r="J213" s="94">
        <v>14.5</v>
      </c>
      <c r="K213" s="101">
        <f t="shared" si="16"/>
        <v>72.5</v>
      </c>
      <c r="L213" s="89" t="s">
        <v>324</v>
      </c>
      <c r="M213" s="115"/>
      <c r="N213" s="115"/>
    </row>
    <row r="214" s="89" customFormat="1" ht="20.25" spans="1:14">
      <c r="A214" s="97">
        <v>45978</v>
      </c>
      <c r="B214" s="107">
        <v>39</v>
      </c>
      <c r="C214" s="99">
        <v>45674</v>
      </c>
      <c r="D214" s="100"/>
      <c r="E214" s="100"/>
      <c r="F214" s="89" t="s">
        <v>233</v>
      </c>
      <c r="G214" s="100">
        <v>1</v>
      </c>
      <c r="H214" s="100">
        <v>1</v>
      </c>
      <c r="I214" s="100">
        <f t="shared" si="15"/>
        <v>1</v>
      </c>
      <c r="J214" s="94">
        <v>6.6</v>
      </c>
      <c r="K214" s="101">
        <f t="shared" si="16"/>
        <v>6.6</v>
      </c>
      <c r="M214" s="89">
        <f>SUM(K203:K214)</f>
        <v>288.8</v>
      </c>
      <c r="N214" s="115"/>
    </row>
    <row r="215" s="88" customFormat="1" ht="20.25" spans="1:14">
      <c r="A215" s="90">
        <v>45982</v>
      </c>
      <c r="B215" s="111">
        <v>59</v>
      </c>
      <c r="C215" s="92">
        <v>45982</v>
      </c>
      <c r="D215" s="93"/>
      <c r="E215" s="93"/>
      <c r="F215" s="88" t="s">
        <v>181</v>
      </c>
      <c r="G215" s="93">
        <v>16</v>
      </c>
      <c r="H215" s="93">
        <v>20</v>
      </c>
      <c r="I215" s="93">
        <f t="shared" si="15"/>
        <v>320</v>
      </c>
      <c r="J215" s="94">
        <v>14</v>
      </c>
      <c r="K215" s="94">
        <f t="shared" si="16"/>
        <v>4480</v>
      </c>
      <c r="L215" s="88" t="s">
        <v>341</v>
      </c>
      <c r="M215" s="96"/>
    </row>
    <row r="216" s="88" customFormat="1" ht="20.25" spans="1:14">
      <c r="A216" s="90">
        <v>45982</v>
      </c>
      <c r="B216" s="111">
        <v>59</v>
      </c>
      <c r="C216" s="92">
        <v>45982</v>
      </c>
      <c r="D216" s="93"/>
      <c r="E216" s="93"/>
      <c r="F216" s="88" t="s">
        <v>151</v>
      </c>
      <c r="G216" s="93">
        <v>10</v>
      </c>
      <c r="H216" s="93">
        <v>20</v>
      </c>
      <c r="I216" s="93">
        <f t="shared" si="15"/>
        <v>200</v>
      </c>
      <c r="J216" s="94">
        <v>13</v>
      </c>
      <c r="K216" s="94">
        <f t="shared" si="16"/>
        <v>2600</v>
      </c>
      <c r="L216" s="134" t="s">
        <v>342</v>
      </c>
      <c r="M216" s="96"/>
      <c r="N216" s="88">
        <f>SUM(K215:K216)</f>
        <v>7080</v>
      </c>
    </row>
    <row r="217" s="89" customFormat="1" ht="20.25" spans="1:14">
      <c r="A217" s="97">
        <v>45988</v>
      </c>
      <c r="B217" s="107">
        <v>77</v>
      </c>
      <c r="C217" s="99">
        <v>45987</v>
      </c>
      <c r="D217" s="100"/>
      <c r="E217" s="100"/>
      <c r="F217" s="89" t="s">
        <v>233</v>
      </c>
      <c r="G217" s="100">
        <v>1</v>
      </c>
      <c r="H217" s="100">
        <v>1</v>
      </c>
      <c r="I217" s="100">
        <f t="shared" si="15"/>
        <v>1</v>
      </c>
      <c r="J217" s="101">
        <v>6.6</v>
      </c>
      <c r="K217" s="101">
        <f t="shared" si="16"/>
        <v>6.6</v>
      </c>
      <c r="M217" s="115"/>
      <c r="N217" s="115"/>
    </row>
    <row r="218" s="89" customFormat="1" ht="20.25" spans="1:14">
      <c r="A218" s="97">
        <v>45988</v>
      </c>
      <c r="B218" s="107">
        <v>77</v>
      </c>
      <c r="C218" s="99">
        <v>45988</v>
      </c>
      <c r="D218" s="100"/>
      <c r="E218" s="100"/>
      <c r="F218" s="108" t="s">
        <v>343</v>
      </c>
      <c r="G218" s="100">
        <v>1</v>
      </c>
      <c r="H218" s="100">
        <v>4</v>
      </c>
      <c r="I218" s="100">
        <f t="shared" si="15"/>
        <v>4</v>
      </c>
      <c r="J218" s="101">
        <v>14.5</v>
      </c>
      <c r="K218" s="101">
        <f t="shared" si="16"/>
        <v>58</v>
      </c>
      <c r="L218" s="89" t="s">
        <v>326</v>
      </c>
      <c r="M218" s="102"/>
    </row>
    <row r="219" s="89" customFormat="1" ht="20.25" spans="1:14">
      <c r="A219" s="97">
        <v>45988</v>
      </c>
      <c r="B219" s="107">
        <v>77</v>
      </c>
      <c r="C219" s="99">
        <v>45988</v>
      </c>
      <c r="D219" s="100"/>
      <c r="E219" s="100"/>
      <c r="F219" s="108" t="s">
        <v>344</v>
      </c>
      <c r="G219" s="100">
        <v>1</v>
      </c>
      <c r="H219" s="100">
        <v>2</v>
      </c>
      <c r="I219" s="100">
        <f t="shared" si="15"/>
        <v>2</v>
      </c>
      <c r="J219" s="101">
        <v>14.5</v>
      </c>
      <c r="K219" s="101">
        <f t="shared" si="16"/>
        <v>29</v>
      </c>
      <c r="L219" s="89" t="s">
        <v>60</v>
      </c>
      <c r="M219" s="102"/>
    </row>
    <row r="220" s="89" customFormat="1" ht="20.25" spans="1:14">
      <c r="A220" s="97">
        <v>45988</v>
      </c>
      <c r="B220" s="107">
        <v>77</v>
      </c>
      <c r="C220" s="99">
        <v>45988</v>
      </c>
      <c r="D220" s="100"/>
      <c r="E220" s="100"/>
      <c r="F220" s="89" t="s">
        <v>228</v>
      </c>
      <c r="G220" s="100">
        <v>2</v>
      </c>
      <c r="H220" s="100">
        <v>1</v>
      </c>
      <c r="I220" s="100">
        <f t="shared" si="15"/>
        <v>2</v>
      </c>
      <c r="J220" s="94">
        <v>5.5</v>
      </c>
      <c r="K220" s="101">
        <f t="shared" si="16"/>
        <v>11</v>
      </c>
      <c r="M220" s="115"/>
    </row>
    <row r="221" s="88" customFormat="1" ht="20.25" spans="1:14">
      <c r="A221" s="90">
        <v>45989</v>
      </c>
      <c r="B221" s="111">
        <v>86</v>
      </c>
      <c r="C221" s="92">
        <v>45989</v>
      </c>
      <c r="D221" s="93"/>
      <c r="E221" s="93"/>
      <c r="F221" s="88" t="s">
        <v>151</v>
      </c>
      <c r="G221" s="93">
        <v>5</v>
      </c>
      <c r="H221" s="93">
        <v>20</v>
      </c>
      <c r="I221" s="93">
        <f t="shared" si="15"/>
        <v>100</v>
      </c>
      <c r="J221" s="94">
        <v>13</v>
      </c>
      <c r="K221" s="94">
        <f t="shared" si="16"/>
        <v>1300</v>
      </c>
      <c r="L221" s="134" t="s">
        <v>345</v>
      </c>
      <c r="M221" s="96"/>
      <c r="N221" s="89"/>
    </row>
    <row r="222" s="89" customFormat="1" ht="20.25" spans="1:14">
      <c r="A222" s="97">
        <v>45996</v>
      </c>
      <c r="B222" s="107">
        <v>8</v>
      </c>
      <c r="C222" s="99" t="s">
        <v>291</v>
      </c>
      <c r="D222" s="100"/>
      <c r="E222" s="100"/>
      <c r="F222" s="108" t="s">
        <v>292</v>
      </c>
      <c r="G222" s="100">
        <v>2</v>
      </c>
      <c r="H222" s="100">
        <v>25</v>
      </c>
      <c r="I222" s="100">
        <f t="shared" si="15"/>
        <v>50</v>
      </c>
      <c r="J222" s="101">
        <v>15</v>
      </c>
      <c r="K222" s="101">
        <f t="shared" si="16"/>
        <v>750</v>
      </c>
      <c r="L222" s="1"/>
      <c r="M222" s="102"/>
    </row>
    <row r="223" s="89" customFormat="1" ht="20.25" spans="1:14">
      <c r="A223" s="97">
        <v>45996</v>
      </c>
      <c r="B223" s="107">
        <v>8</v>
      </c>
      <c r="C223" s="99">
        <v>45996</v>
      </c>
      <c r="D223" s="100"/>
      <c r="E223" s="100"/>
      <c r="F223" s="108" t="s">
        <v>346</v>
      </c>
      <c r="G223" s="100">
        <v>1</v>
      </c>
      <c r="H223" s="100">
        <v>3</v>
      </c>
      <c r="I223" s="100">
        <f t="shared" si="15"/>
        <v>3</v>
      </c>
      <c r="J223" s="101">
        <v>14.5</v>
      </c>
      <c r="K223" s="101">
        <f t="shared" si="16"/>
        <v>43.5</v>
      </c>
      <c r="L223" s="1"/>
      <c r="M223" s="102"/>
    </row>
    <row r="224" s="89" customFormat="1" ht="20.25" spans="1:14">
      <c r="A224" s="97">
        <v>45996</v>
      </c>
      <c r="B224" s="107">
        <v>8</v>
      </c>
      <c r="C224" s="99">
        <v>45996</v>
      </c>
      <c r="D224" s="100"/>
      <c r="E224" s="100"/>
      <c r="F224" s="108" t="s">
        <v>195</v>
      </c>
      <c r="G224" s="100">
        <v>1</v>
      </c>
      <c r="H224" s="100">
        <v>6</v>
      </c>
      <c r="I224" s="100">
        <f t="shared" si="15"/>
        <v>6</v>
      </c>
      <c r="J224" s="101">
        <v>15</v>
      </c>
      <c r="K224" s="101">
        <f t="shared" si="16"/>
        <v>90</v>
      </c>
      <c r="L224" s="1"/>
      <c r="M224" s="102"/>
    </row>
    <row r="225" s="89" customFormat="1" ht="20.25" spans="1:15">
      <c r="A225" s="97">
        <v>45996</v>
      </c>
      <c r="B225" s="107">
        <v>8</v>
      </c>
      <c r="C225" s="99">
        <v>45996</v>
      </c>
      <c r="D225" s="100"/>
      <c r="E225" s="100"/>
      <c r="F225" s="89" t="s">
        <v>228</v>
      </c>
      <c r="G225" s="100">
        <v>1</v>
      </c>
      <c r="H225" s="100">
        <v>1</v>
      </c>
      <c r="I225" s="100">
        <f t="shared" si="15"/>
        <v>1</v>
      </c>
      <c r="J225" s="94">
        <v>5.5</v>
      </c>
      <c r="K225" s="101">
        <f t="shared" si="16"/>
        <v>5.5</v>
      </c>
      <c r="M225" s="115"/>
    </row>
    <row r="226" s="89" customFormat="1" ht="20.25" spans="1:15">
      <c r="A226" s="97">
        <v>45996</v>
      </c>
      <c r="B226" s="107">
        <v>8</v>
      </c>
      <c r="C226" s="99">
        <v>45996</v>
      </c>
      <c r="D226" s="100"/>
      <c r="E226" s="100"/>
      <c r="F226" s="89" t="s">
        <v>233</v>
      </c>
      <c r="G226" s="100">
        <v>1</v>
      </c>
      <c r="H226" s="100">
        <v>1</v>
      </c>
      <c r="I226" s="100">
        <f t="shared" si="15"/>
        <v>1</v>
      </c>
      <c r="J226" s="101">
        <v>6.6</v>
      </c>
      <c r="K226" s="101">
        <f t="shared" si="16"/>
        <v>6.6</v>
      </c>
      <c r="L226" s="89">
        <f>SUM(K222:K226)</f>
        <v>895.6</v>
      </c>
      <c r="M226" s="115"/>
      <c r="N226" s="115"/>
    </row>
    <row r="227" s="88" customFormat="1" ht="20.25" spans="1:15">
      <c r="A227" s="90">
        <v>45997</v>
      </c>
      <c r="B227" s="111">
        <v>12</v>
      </c>
      <c r="C227" s="92">
        <v>45997</v>
      </c>
      <c r="D227" s="93"/>
      <c r="E227" s="93"/>
      <c r="F227" s="106" t="s">
        <v>155</v>
      </c>
      <c r="G227" s="93">
        <v>1</v>
      </c>
      <c r="H227" s="93">
        <v>20</v>
      </c>
      <c r="I227" s="93">
        <f t="shared" si="15"/>
        <v>20</v>
      </c>
      <c r="J227" s="105">
        <v>14.5</v>
      </c>
      <c r="K227" s="94">
        <f t="shared" si="16"/>
        <v>290</v>
      </c>
      <c r="L227" s="86" t="s">
        <v>347</v>
      </c>
      <c r="M227" s="96"/>
      <c r="O227" s="88" t="s">
        <v>157</v>
      </c>
    </row>
    <row r="228" s="89" customFormat="1" ht="20.25" spans="1:15">
      <c r="A228" s="97">
        <v>46000</v>
      </c>
      <c r="B228" s="107">
        <v>24</v>
      </c>
      <c r="C228" s="99">
        <v>46000</v>
      </c>
      <c r="D228" s="100"/>
      <c r="E228" s="100"/>
      <c r="F228" s="89" t="s">
        <v>181</v>
      </c>
      <c r="G228" s="100">
        <v>20</v>
      </c>
      <c r="H228" s="100">
        <v>20</v>
      </c>
      <c r="I228" s="100">
        <f t="shared" si="15"/>
        <v>400</v>
      </c>
      <c r="J228" s="101">
        <v>14</v>
      </c>
      <c r="K228" s="101">
        <f t="shared" si="16"/>
        <v>5600</v>
      </c>
      <c r="L228" s="89" t="s">
        <v>341</v>
      </c>
      <c r="M228" s="102"/>
    </row>
    <row r="229" s="89" customFormat="1" ht="20.25" spans="1:15">
      <c r="A229" s="97">
        <v>46000</v>
      </c>
      <c r="B229" s="107">
        <v>24</v>
      </c>
      <c r="C229" s="99">
        <v>46000</v>
      </c>
      <c r="D229" s="100"/>
      <c r="E229" s="100"/>
      <c r="F229" s="89" t="s">
        <v>151</v>
      </c>
      <c r="G229" s="100">
        <v>15</v>
      </c>
      <c r="H229" s="100">
        <v>20</v>
      </c>
      <c r="I229" s="100">
        <f t="shared" si="15"/>
        <v>300</v>
      </c>
      <c r="J229" s="101">
        <v>13</v>
      </c>
      <c r="K229" s="101">
        <f t="shared" si="16"/>
        <v>3900</v>
      </c>
      <c r="L229" s="123" t="s">
        <v>342</v>
      </c>
      <c r="M229" s="102"/>
      <c r="N229" s="89">
        <f>SUM(K228:K229)</f>
        <v>9500</v>
      </c>
    </row>
    <row r="230" s="88" customFormat="1" ht="20.25" spans="1:15">
      <c r="A230" s="90">
        <v>46003</v>
      </c>
      <c r="B230" s="111">
        <v>31</v>
      </c>
      <c r="C230" s="92" t="s">
        <v>186</v>
      </c>
      <c r="D230" s="93"/>
      <c r="E230" s="93"/>
      <c r="F230" s="88" t="s">
        <v>95</v>
      </c>
      <c r="G230" s="93">
        <v>2</v>
      </c>
      <c r="H230" s="93">
        <v>25</v>
      </c>
      <c r="I230" s="93">
        <f t="shared" si="15"/>
        <v>50</v>
      </c>
      <c r="J230" s="94">
        <v>15</v>
      </c>
      <c r="K230" s="94">
        <f t="shared" si="16"/>
        <v>750</v>
      </c>
      <c r="L230" s="95"/>
      <c r="M230" s="96"/>
    </row>
    <row r="231" s="88" customFormat="1" ht="20.25" spans="1:15">
      <c r="A231" s="90">
        <v>46003</v>
      </c>
      <c r="B231" s="111">
        <v>31</v>
      </c>
      <c r="C231" s="92" t="s">
        <v>294</v>
      </c>
      <c r="D231" s="93"/>
      <c r="E231" s="93"/>
      <c r="F231" s="106" t="s">
        <v>295</v>
      </c>
      <c r="G231" s="93">
        <v>1</v>
      </c>
      <c r="H231" s="93">
        <v>25</v>
      </c>
      <c r="I231" s="93">
        <f t="shared" si="15"/>
        <v>25</v>
      </c>
      <c r="J231" s="94">
        <v>15</v>
      </c>
      <c r="K231" s="94">
        <f t="shared" si="16"/>
        <v>375</v>
      </c>
      <c r="L231" s="86" t="s">
        <v>296</v>
      </c>
      <c r="M231" s="96"/>
    </row>
    <row r="232" s="88" customFormat="1" ht="20.25" spans="1:15">
      <c r="A232" s="90">
        <v>46003</v>
      </c>
      <c r="B232" s="111">
        <v>31</v>
      </c>
      <c r="C232" s="92" t="s">
        <v>146</v>
      </c>
      <c r="D232" s="93"/>
      <c r="E232" s="93"/>
      <c r="F232" s="106" t="s">
        <v>147</v>
      </c>
      <c r="G232" s="93">
        <v>1</v>
      </c>
      <c r="H232" s="93">
        <v>25</v>
      </c>
      <c r="I232" s="93">
        <f t="shared" si="15"/>
        <v>25</v>
      </c>
      <c r="J232" s="105">
        <v>14.5</v>
      </c>
      <c r="K232" s="94">
        <f t="shared" si="16"/>
        <v>362.5</v>
      </c>
      <c r="L232" s="113"/>
      <c r="M232" s="96"/>
    </row>
    <row r="233" s="88" customFormat="1" ht="20.25" spans="1:15">
      <c r="A233" s="90">
        <v>46003</v>
      </c>
      <c r="B233" s="111">
        <v>31</v>
      </c>
      <c r="C233" s="92">
        <v>46003</v>
      </c>
      <c r="D233" s="93"/>
      <c r="E233" s="93"/>
      <c r="F233" s="88" t="s">
        <v>181</v>
      </c>
      <c r="G233" s="93">
        <v>10</v>
      </c>
      <c r="H233" s="93">
        <v>20</v>
      </c>
      <c r="I233" s="93">
        <f t="shared" si="15"/>
        <v>200</v>
      </c>
      <c r="J233" s="94">
        <v>14</v>
      </c>
      <c r="K233" s="94">
        <f t="shared" si="16"/>
        <v>2800</v>
      </c>
      <c r="L233" s="88" t="s">
        <v>341</v>
      </c>
      <c r="M233" s="96"/>
    </row>
    <row r="234" s="88" customFormat="1" ht="20.25" spans="1:15">
      <c r="A234" s="90">
        <v>46003</v>
      </c>
      <c r="B234" s="111">
        <v>31</v>
      </c>
      <c r="C234" s="92">
        <v>46003</v>
      </c>
      <c r="D234" s="93"/>
      <c r="E234" s="93"/>
      <c r="F234" s="88" t="s">
        <v>151</v>
      </c>
      <c r="G234" s="93">
        <v>6</v>
      </c>
      <c r="H234" s="93">
        <v>20</v>
      </c>
      <c r="I234" s="93">
        <f t="shared" si="15"/>
        <v>120</v>
      </c>
      <c r="J234" s="94">
        <v>13</v>
      </c>
      <c r="K234" s="94">
        <f t="shared" si="16"/>
        <v>1560</v>
      </c>
      <c r="L234" s="134" t="s">
        <v>342</v>
      </c>
      <c r="M234" s="96"/>
      <c r="N234" s="88">
        <f>SUM(K230:K234)</f>
        <v>5847.5</v>
      </c>
    </row>
    <row r="235" s="89" customFormat="1" ht="20.25" spans="1:15">
      <c r="A235" s="97">
        <v>46008</v>
      </c>
      <c r="B235" s="107">
        <v>43</v>
      </c>
      <c r="C235" s="99">
        <v>46007</v>
      </c>
      <c r="D235" s="100"/>
      <c r="E235" s="100"/>
      <c r="F235" s="108" t="s">
        <v>348</v>
      </c>
      <c r="G235" s="100">
        <v>1</v>
      </c>
      <c r="H235" s="100">
        <v>20</v>
      </c>
      <c r="I235" s="100">
        <f t="shared" si="15"/>
        <v>20</v>
      </c>
      <c r="J235" s="109">
        <v>15</v>
      </c>
      <c r="K235" s="101">
        <f t="shared" si="16"/>
        <v>300</v>
      </c>
      <c r="L235" s="1"/>
      <c r="M235" s="102"/>
    </row>
    <row r="236" s="89" customFormat="1" ht="20.25" spans="1:15">
      <c r="A236" s="97">
        <v>46008</v>
      </c>
      <c r="B236" s="107">
        <v>43</v>
      </c>
      <c r="C236" s="99">
        <v>46008</v>
      </c>
      <c r="D236" s="100"/>
      <c r="E236" s="100"/>
      <c r="F236" s="108" t="s">
        <v>155</v>
      </c>
      <c r="G236" s="100">
        <v>1</v>
      </c>
      <c r="H236" s="100">
        <v>20</v>
      </c>
      <c r="I236" s="100">
        <f t="shared" si="15"/>
        <v>20</v>
      </c>
      <c r="J236" s="109">
        <v>14.5</v>
      </c>
      <c r="K236" s="101">
        <f t="shared" si="16"/>
        <v>290</v>
      </c>
      <c r="L236" s="1"/>
      <c r="M236" s="102"/>
      <c r="O236" s="89" t="s">
        <v>157</v>
      </c>
    </row>
    <row r="237" s="89" customFormat="1" ht="20.25" spans="1:15">
      <c r="A237" s="97">
        <v>46008</v>
      </c>
      <c r="B237" s="107">
        <v>43</v>
      </c>
      <c r="C237" s="99" t="s">
        <v>349</v>
      </c>
      <c r="D237" s="100"/>
      <c r="E237" s="100"/>
      <c r="F237" s="108" t="s">
        <v>350</v>
      </c>
      <c r="G237" s="100">
        <v>1</v>
      </c>
      <c r="H237" s="100">
        <v>2</v>
      </c>
      <c r="I237" s="100">
        <f t="shared" ref="I237:I270" si="17">G237*H237</f>
        <v>2</v>
      </c>
      <c r="J237" s="109">
        <v>14.5</v>
      </c>
      <c r="K237" s="101">
        <f t="shared" ref="K237:K270" si="18">I237*J237</f>
        <v>29</v>
      </c>
      <c r="L237" s="1"/>
      <c r="M237" s="102"/>
    </row>
    <row r="238" s="89" customFormat="1" ht="20.25" spans="1:15">
      <c r="A238" s="97">
        <v>46008</v>
      </c>
      <c r="B238" s="107">
        <v>43</v>
      </c>
      <c r="C238" s="99" t="s">
        <v>351</v>
      </c>
      <c r="D238" s="100"/>
      <c r="E238" s="100"/>
      <c r="F238" s="108" t="s">
        <v>352</v>
      </c>
      <c r="G238" s="100">
        <v>1</v>
      </c>
      <c r="H238" s="100">
        <v>2</v>
      </c>
      <c r="I238" s="100">
        <f t="shared" si="17"/>
        <v>2</v>
      </c>
      <c r="J238" s="109">
        <v>14.5</v>
      </c>
      <c r="K238" s="101">
        <f t="shared" si="18"/>
        <v>29</v>
      </c>
      <c r="L238" s="1"/>
      <c r="M238" s="102"/>
    </row>
    <row r="239" s="89" customFormat="1" ht="20.25" spans="1:15">
      <c r="A239" s="97">
        <v>46008</v>
      </c>
      <c r="B239" s="107">
        <v>43</v>
      </c>
      <c r="C239" s="99" t="s">
        <v>353</v>
      </c>
      <c r="D239" s="100"/>
      <c r="E239" s="100"/>
      <c r="F239" s="108" t="s">
        <v>354</v>
      </c>
      <c r="G239" s="100">
        <v>1</v>
      </c>
      <c r="H239" s="100">
        <v>5</v>
      </c>
      <c r="I239" s="100">
        <f t="shared" si="17"/>
        <v>5</v>
      </c>
      <c r="J239" s="109">
        <v>14.5</v>
      </c>
      <c r="K239" s="101">
        <f t="shared" si="18"/>
        <v>72.5</v>
      </c>
      <c r="L239" s="1"/>
      <c r="M239" s="102"/>
    </row>
    <row r="240" s="89" customFormat="1" ht="20.25" spans="1:15">
      <c r="A240" s="97">
        <v>46008</v>
      </c>
      <c r="B240" s="107">
        <v>43</v>
      </c>
      <c r="C240" s="99">
        <v>46008</v>
      </c>
      <c r="D240" s="100"/>
      <c r="E240" s="100"/>
      <c r="F240" s="89" t="s">
        <v>228</v>
      </c>
      <c r="G240" s="100">
        <v>2</v>
      </c>
      <c r="H240" s="100">
        <v>1</v>
      </c>
      <c r="I240" s="100">
        <f t="shared" si="17"/>
        <v>2</v>
      </c>
      <c r="J240" s="101">
        <v>5.5</v>
      </c>
      <c r="K240" s="101">
        <f t="shared" si="18"/>
        <v>11</v>
      </c>
      <c r="L240" s="1"/>
      <c r="M240" s="102"/>
    </row>
    <row r="241" s="89" customFormat="1" ht="20.25" spans="1:13">
      <c r="A241" s="97">
        <v>46008</v>
      </c>
      <c r="B241" s="107">
        <v>43</v>
      </c>
      <c r="C241" s="99">
        <v>46008</v>
      </c>
      <c r="D241" s="100"/>
      <c r="E241" s="100"/>
      <c r="F241" s="89" t="s">
        <v>233</v>
      </c>
      <c r="G241" s="100">
        <v>1</v>
      </c>
      <c r="H241" s="100">
        <v>1</v>
      </c>
      <c r="I241" s="100">
        <f t="shared" si="17"/>
        <v>1</v>
      </c>
      <c r="J241" s="101">
        <v>6.6</v>
      </c>
      <c r="K241" s="101">
        <f t="shared" si="18"/>
        <v>6.6</v>
      </c>
      <c r="L241" s="1"/>
      <c r="M241" s="102">
        <f>SUM(K235:K243)</f>
        <v>772.6</v>
      </c>
    </row>
    <row r="242" s="85" customFormat="1" ht="20.25" spans="1:13">
      <c r="A242" s="97">
        <v>46008</v>
      </c>
      <c r="B242" s="107">
        <v>43</v>
      </c>
      <c r="C242" s="104" t="s">
        <v>355</v>
      </c>
      <c r="D242" s="83"/>
      <c r="E242" s="83"/>
      <c r="F242" s="108" t="s">
        <v>248</v>
      </c>
      <c r="G242" s="100">
        <v>1</v>
      </c>
      <c r="H242" s="100">
        <v>2</v>
      </c>
      <c r="I242" s="100">
        <f t="shared" si="17"/>
        <v>2</v>
      </c>
      <c r="J242" s="109">
        <v>14.5</v>
      </c>
      <c r="K242" s="101">
        <f t="shared" si="18"/>
        <v>29</v>
      </c>
      <c r="L242" s="128" t="s">
        <v>356</v>
      </c>
      <c r="M242" s="127"/>
    </row>
    <row r="243" s="85" customFormat="1" ht="20.25" spans="1:13">
      <c r="A243" s="97">
        <v>46008</v>
      </c>
      <c r="B243" s="107">
        <v>43</v>
      </c>
      <c r="C243" s="104"/>
      <c r="D243" s="83"/>
      <c r="E243" s="83"/>
      <c r="F243" s="89" t="s">
        <v>228</v>
      </c>
      <c r="G243" s="100">
        <v>1</v>
      </c>
      <c r="H243" s="100">
        <v>1</v>
      </c>
      <c r="I243" s="100">
        <f t="shared" si="17"/>
        <v>1</v>
      </c>
      <c r="J243" s="101">
        <v>5.5</v>
      </c>
      <c r="K243" s="101">
        <f t="shared" si="18"/>
        <v>5.5</v>
      </c>
      <c r="L243" s="128"/>
      <c r="M243" s="127"/>
    </row>
    <row r="244" s="88" customFormat="1" ht="20.25" spans="1:13">
      <c r="A244" s="90">
        <v>46018</v>
      </c>
      <c r="B244" s="111">
        <v>74</v>
      </c>
      <c r="C244" s="92" t="s">
        <v>355</v>
      </c>
      <c r="D244" s="93"/>
      <c r="E244" s="93"/>
      <c r="F244" s="106" t="s">
        <v>357</v>
      </c>
      <c r="G244" s="93">
        <v>1</v>
      </c>
      <c r="H244" s="93">
        <v>1</v>
      </c>
      <c r="I244" s="93">
        <f t="shared" si="17"/>
        <v>1</v>
      </c>
      <c r="J244" s="105">
        <v>14.5</v>
      </c>
      <c r="K244" s="94">
        <f t="shared" si="18"/>
        <v>14.5</v>
      </c>
      <c r="L244" s="86" t="s">
        <v>356</v>
      </c>
      <c r="M244" s="96"/>
    </row>
    <row r="245" s="88" customFormat="1" ht="19" customHeight="1" spans="1:13">
      <c r="A245" s="90">
        <v>46018</v>
      </c>
      <c r="B245" s="111">
        <v>74</v>
      </c>
      <c r="C245" s="92">
        <v>46010</v>
      </c>
      <c r="D245" s="93"/>
      <c r="E245" s="93"/>
      <c r="F245" s="88" t="s">
        <v>228</v>
      </c>
      <c r="G245" s="93">
        <v>1</v>
      </c>
      <c r="H245" s="93">
        <v>1</v>
      </c>
      <c r="I245" s="93">
        <f t="shared" si="17"/>
        <v>1</v>
      </c>
      <c r="J245" s="94">
        <v>5.5</v>
      </c>
      <c r="K245" s="94">
        <f t="shared" si="18"/>
        <v>5.5</v>
      </c>
      <c r="L245" s="86"/>
      <c r="M245" s="96"/>
    </row>
    <row r="246" s="88" customFormat="1" ht="20.25" spans="1:13">
      <c r="A246" s="90">
        <v>46018</v>
      </c>
      <c r="B246" s="111">
        <v>74</v>
      </c>
      <c r="C246" s="92" t="s">
        <v>358</v>
      </c>
      <c r="D246" s="93"/>
      <c r="E246" s="93"/>
      <c r="F246" s="106" t="s">
        <v>359</v>
      </c>
      <c r="G246" s="93">
        <v>1</v>
      </c>
      <c r="H246" s="93">
        <v>7</v>
      </c>
      <c r="I246" s="93">
        <f t="shared" si="17"/>
        <v>7</v>
      </c>
      <c r="J246" s="105">
        <v>14.5</v>
      </c>
      <c r="K246" s="94">
        <f t="shared" si="18"/>
        <v>101.5</v>
      </c>
      <c r="L246" s="86"/>
      <c r="M246" s="96"/>
    </row>
    <row r="247" s="88" customFormat="1" ht="20.25" spans="1:13">
      <c r="A247" s="90">
        <v>46018</v>
      </c>
      <c r="B247" s="111">
        <v>74</v>
      </c>
      <c r="C247" s="92" t="s">
        <v>360</v>
      </c>
      <c r="D247" s="93"/>
      <c r="E247" s="93"/>
      <c r="F247" s="106" t="s">
        <v>361</v>
      </c>
      <c r="G247" s="93">
        <v>1</v>
      </c>
      <c r="H247" s="93">
        <v>4</v>
      </c>
      <c r="I247" s="93">
        <f t="shared" si="17"/>
        <v>4</v>
      </c>
      <c r="J247" s="105">
        <v>14.5</v>
      </c>
      <c r="K247" s="94">
        <f t="shared" si="18"/>
        <v>58</v>
      </c>
      <c r="L247" s="86"/>
      <c r="M247" s="96"/>
    </row>
    <row r="248" s="88" customFormat="1" ht="20.25" spans="1:13">
      <c r="A248" s="90">
        <v>46018</v>
      </c>
      <c r="B248" s="111">
        <v>74</v>
      </c>
      <c r="C248" s="92" t="s">
        <v>362</v>
      </c>
      <c r="D248" s="93"/>
      <c r="E248" s="93"/>
      <c r="F248" s="106" t="s">
        <v>363</v>
      </c>
      <c r="G248" s="93">
        <v>1</v>
      </c>
      <c r="H248" s="93">
        <v>1</v>
      </c>
      <c r="I248" s="93">
        <f t="shared" si="17"/>
        <v>1</v>
      </c>
      <c r="J248" s="105">
        <v>14.5</v>
      </c>
      <c r="K248" s="94">
        <f t="shared" si="18"/>
        <v>14.5</v>
      </c>
      <c r="L248" s="86"/>
      <c r="M248" s="96"/>
    </row>
    <row r="249" s="88" customFormat="1" ht="20.25" spans="1:13">
      <c r="A249" s="90">
        <v>46018</v>
      </c>
      <c r="B249" s="111">
        <v>74</v>
      </c>
      <c r="C249" s="92" t="s">
        <v>364</v>
      </c>
      <c r="D249" s="93"/>
      <c r="E249" s="93"/>
      <c r="F249" s="106" t="s">
        <v>365</v>
      </c>
      <c r="G249" s="93">
        <v>1</v>
      </c>
      <c r="H249" s="93">
        <v>3</v>
      </c>
      <c r="I249" s="93">
        <f t="shared" si="17"/>
        <v>3</v>
      </c>
      <c r="J249" s="105">
        <v>14.5</v>
      </c>
      <c r="K249" s="94">
        <f t="shared" si="18"/>
        <v>43.5</v>
      </c>
      <c r="L249" s="86"/>
      <c r="M249" s="96"/>
    </row>
    <row r="250" s="88" customFormat="1" ht="20.25" spans="1:13">
      <c r="A250" s="90">
        <v>46018</v>
      </c>
      <c r="B250" s="111">
        <v>74</v>
      </c>
      <c r="C250" s="92" t="s">
        <v>366</v>
      </c>
      <c r="D250" s="93"/>
      <c r="E250" s="93"/>
      <c r="F250" s="106" t="s">
        <v>367</v>
      </c>
      <c r="G250" s="93">
        <v>1</v>
      </c>
      <c r="H250" s="93">
        <v>5</v>
      </c>
      <c r="I250" s="93">
        <f t="shared" si="17"/>
        <v>5</v>
      </c>
      <c r="J250" s="105">
        <v>14.5</v>
      </c>
      <c r="K250" s="94">
        <f t="shared" si="18"/>
        <v>72.5</v>
      </c>
      <c r="L250" s="86"/>
      <c r="M250" s="96"/>
    </row>
    <row r="251" s="88" customFormat="1" ht="20.25" spans="1:13">
      <c r="A251" s="90">
        <v>46018</v>
      </c>
      <c r="B251" s="111">
        <v>74</v>
      </c>
      <c r="C251" s="92">
        <v>46018</v>
      </c>
      <c r="D251" s="93"/>
      <c r="E251" s="93"/>
      <c r="F251" s="88" t="s">
        <v>368</v>
      </c>
      <c r="G251" s="93">
        <v>1</v>
      </c>
      <c r="H251" s="93">
        <v>1</v>
      </c>
      <c r="I251" s="93">
        <f t="shared" si="17"/>
        <v>1</v>
      </c>
      <c r="J251" s="94">
        <v>2.5</v>
      </c>
      <c r="K251" s="94">
        <f t="shared" si="18"/>
        <v>2.5</v>
      </c>
      <c r="L251" s="86"/>
      <c r="M251" s="96"/>
    </row>
    <row r="252" s="88" customFormat="1" ht="20.25" spans="1:13">
      <c r="A252" s="90">
        <v>46018</v>
      </c>
      <c r="B252" s="111">
        <v>74</v>
      </c>
      <c r="C252" s="92">
        <v>46018</v>
      </c>
      <c r="D252" s="93"/>
      <c r="E252" s="93"/>
      <c r="F252" s="88" t="s">
        <v>228</v>
      </c>
      <c r="G252" s="93">
        <v>2</v>
      </c>
      <c r="H252" s="93">
        <v>1</v>
      </c>
      <c r="I252" s="93">
        <f t="shared" si="17"/>
        <v>2</v>
      </c>
      <c r="J252" s="94">
        <v>5.5</v>
      </c>
      <c r="K252" s="94">
        <f t="shared" si="18"/>
        <v>11</v>
      </c>
      <c r="L252" s="86"/>
      <c r="M252" s="96"/>
    </row>
    <row r="253" s="88" customFormat="1" ht="20.25" spans="1:13">
      <c r="A253" s="90">
        <v>46018</v>
      </c>
      <c r="B253" s="111">
        <v>74</v>
      </c>
      <c r="C253" s="92">
        <v>46018</v>
      </c>
      <c r="D253" s="93"/>
      <c r="E253" s="93"/>
      <c r="F253" s="88" t="s">
        <v>233</v>
      </c>
      <c r="G253" s="93">
        <v>1</v>
      </c>
      <c r="H253" s="93">
        <v>1</v>
      </c>
      <c r="I253" s="93">
        <f t="shared" si="17"/>
        <v>1</v>
      </c>
      <c r="J253" s="94">
        <v>6.6</v>
      </c>
      <c r="K253" s="94">
        <f t="shared" si="18"/>
        <v>6.6</v>
      </c>
      <c r="L253" s="86"/>
      <c r="M253" s="96">
        <f>SUM(K244:K253)</f>
        <v>330.1</v>
      </c>
    </row>
    <row r="254" s="89" customFormat="1" ht="20.25" spans="1:13">
      <c r="A254" s="97">
        <v>46020</v>
      </c>
      <c r="B254" s="107">
        <v>81</v>
      </c>
      <c r="C254" s="99" t="s">
        <v>225</v>
      </c>
      <c r="D254" s="100"/>
      <c r="E254" s="100"/>
      <c r="F254" s="89" t="s">
        <v>151</v>
      </c>
      <c r="G254" s="100">
        <v>5</v>
      </c>
      <c r="H254" s="100">
        <v>20</v>
      </c>
      <c r="I254" s="100">
        <f t="shared" si="17"/>
        <v>100</v>
      </c>
      <c r="J254" s="100">
        <v>13</v>
      </c>
      <c r="K254" s="101">
        <f t="shared" si="18"/>
        <v>1300</v>
      </c>
      <c r="L254" s="103" t="s">
        <v>217</v>
      </c>
      <c r="M254" s="102"/>
    </row>
    <row r="255" s="88" customFormat="1" ht="20.25" spans="1:13">
      <c r="A255" s="90">
        <v>46028</v>
      </c>
      <c r="B255" s="91" t="s">
        <v>369</v>
      </c>
      <c r="C255" s="92" t="s">
        <v>171</v>
      </c>
      <c r="D255" s="93"/>
      <c r="E255" s="93"/>
      <c r="F255" s="88" t="s">
        <v>139</v>
      </c>
      <c r="G255" s="93">
        <v>1</v>
      </c>
      <c r="H255" s="93">
        <v>25</v>
      </c>
      <c r="I255" s="93">
        <f t="shared" si="17"/>
        <v>25</v>
      </c>
      <c r="J255" s="94">
        <v>15</v>
      </c>
      <c r="K255" s="94">
        <f t="shared" si="18"/>
        <v>375</v>
      </c>
      <c r="L255" s="95"/>
      <c r="M255" s="96"/>
    </row>
    <row r="256" s="88" customFormat="1" ht="20.25" spans="1:13">
      <c r="A256" s="90">
        <v>46028</v>
      </c>
      <c r="B256" s="91" t="s">
        <v>369</v>
      </c>
      <c r="C256" s="92" t="s">
        <v>169</v>
      </c>
      <c r="D256" s="93"/>
      <c r="E256" s="93"/>
      <c r="F256" s="88" t="s">
        <v>170</v>
      </c>
      <c r="G256" s="93">
        <v>1</v>
      </c>
      <c r="H256" s="93">
        <v>25</v>
      </c>
      <c r="I256" s="93">
        <f t="shared" si="17"/>
        <v>25</v>
      </c>
      <c r="J256" s="94">
        <v>15</v>
      </c>
      <c r="K256" s="94">
        <f t="shared" si="18"/>
        <v>375</v>
      </c>
      <c r="L256" s="95"/>
      <c r="M256" s="96"/>
    </row>
    <row r="257" s="88" customFormat="1" ht="20.25" spans="1:14">
      <c r="A257" s="90">
        <v>46028</v>
      </c>
      <c r="B257" s="91" t="s">
        <v>369</v>
      </c>
      <c r="C257" s="92"/>
      <c r="D257" s="93"/>
      <c r="E257" s="93"/>
      <c r="F257" s="88" t="s">
        <v>370</v>
      </c>
      <c r="G257" s="93">
        <v>1</v>
      </c>
      <c r="H257" s="93">
        <v>5</v>
      </c>
      <c r="I257" s="93">
        <f t="shared" si="17"/>
        <v>5</v>
      </c>
      <c r="J257" s="93">
        <v>14.5</v>
      </c>
      <c r="K257" s="94">
        <f t="shared" si="18"/>
        <v>72.5</v>
      </c>
      <c r="L257" s="95"/>
      <c r="M257" s="96"/>
    </row>
    <row r="258" s="88" customFormat="1" ht="20.25" spans="1:14">
      <c r="A258" s="90">
        <v>46028</v>
      </c>
      <c r="B258" s="91" t="s">
        <v>369</v>
      </c>
      <c r="C258" s="92"/>
      <c r="D258" s="93"/>
      <c r="E258" s="93"/>
      <c r="F258" s="88" t="s">
        <v>195</v>
      </c>
      <c r="G258" s="93">
        <v>1</v>
      </c>
      <c r="H258" s="93">
        <v>20</v>
      </c>
      <c r="I258" s="93">
        <f t="shared" si="17"/>
        <v>20</v>
      </c>
      <c r="J258" s="94">
        <v>15</v>
      </c>
      <c r="K258" s="94">
        <f t="shared" si="18"/>
        <v>300</v>
      </c>
      <c r="L258" s="95">
        <f>SUM(K255:K258)</f>
        <v>1122.5</v>
      </c>
      <c r="M258" s="96"/>
    </row>
    <row r="259" s="89" customFormat="1" ht="20.25" spans="1:14">
      <c r="A259" s="97">
        <v>46032</v>
      </c>
      <c r="B259" s="98" t="s">
        <v>371</v>
      </c>
      <c r="C259" s="99" t="s">
        <v>372</v>
      </c>
      <c r="D259" s="100"/>
      <c r="E259" s="100"/>
      <c r="F259" s="89" t="s">
        <v>240</v>
      </c>
      <c r="G259" s="100">
        <v>1</v>
      </c>
      <c r="H259" s="100">
        <v>4</v>
      </c>
      <c r="I259" s="100">
        <f t="shared" si="17"/>
        <v>4</v>
      </c>
      <c r="J259" s="101">
        <v>14.5</v>
      </c>
      <c r="K259" s="101">
        <f t="shared" si="18"/>
        <v>58</v>
      </c>
      <c r="L259" s="103"/>
      <c r="M259" s="102"/>
    </row>
    <row r="260" s="89" customFormat="1" ht="20.25" spans="1:14">
      <c r="A260" s="97">
        <v>46032</v>
      </c>
      <c r="B260" s="98" t="s">
        <v>371</v>
      </c>
      <c r="C260" s="99" t="s">
        <v>373</v>
      </c>
      <c r="D260" s="100"/>
      <c r="E260" s="100"/>
      <c r="F260" s="89" t="s">
        <v>227</v>
      </c>
      <c r="G260" s="100">
        <v>1</v>
      </c>
      <c r="H260" s="100">
        <v>5</v>
      </c>
      <c r="I260" s="100">
        <f t="shared" si="17"/>
        <v>5</v>
      </c>
      <c r="J260" s="101">
        <v>14.5</v>
      </c>
      <c r="K260" s="101">
        <f t="shared" si="18"/>
        <v>72.5</v>
      </c>
      <c r="L260" s="103"/>
      <c r="M260" s="102"/>
    </row>
    <row r="261" s="89" customFormat="1" ht="20.25" spans="1:14">
      <c r="A261" s="97">
        <v>46032</v>
      </c>
      <c r="B261" s="98" t="s">
        <v>371</v>
      </c>
      <c r="C261" s="99"/>
      <c r="D261" s="100"/>
      <c r="E261" s="100"/>
      <c r="F261" s="89" t="s">
        <v>155</v>
      </c>
      <c r="G261" s="100">
        <v>1</v>
      </c>
      <c r="H261" s="100">
        <v>20</v>
      </c>
      <c r="I261" s="100">
        <f t="shared" si="17"/>
        <v>20</v>
      </c>
      <c r="J261" s="100">
        <v>14.5</v>
      </c>
      <c r="K261" s="101">
        <f t="shared" si="18"/>
        <v>290</v>
      </c>
      <c r="L261" s="103"/>
      <c r="M261" s="102"/>
    </row>
    <row r="262" s="89" customFormat="1" ht="20.25" spans="1:14">
      <c r="A262" s="97">
        <v>46032</v>
      </c>
      <c r="B262" s="98" t="s">
        <v>371</v>
      </c>
      <c r="C262" s="99"/>
      <c r="D262" s="100"/>
      <c r="E262" s="100"/>
      <c r="F262" s="89" t="s">
        <v>181</v>
      </c>
      <c r="G262" s="100">
        <v>10</v>
      </c>
      <c r="H262" s="100">
        <v>20</v>
      </c>
      <c r="I262" s="100">
        <f t="shared" si="17"/>
        <v>200</v>
      </c>
      <c r="J262" s="101">
        <v>14</v>
      </c>
      <c r="K262" s="101">
        <f t="shared" si="18"/>
        <v>2800</v>
      </c>
      <c r="L262" s="103"/>
      <c r="M262" s="102"/>
    </row>
    <row r="263" s="89" customFormat="1" ht="20.25" spans="1:14">
      <c r="A263" s="97">
        <v>46032</v>
      </c>
      <c r="B263" s="98" t="s">
        <v>371</v>
      </c>
      <c r="C263" s="99" t="s">
        <v>33</v>
      </c>
      <c r="D263" s="100"/>
      <c r="E263" s="100"/>
      <c r="F263" s="89" t="s">
        <v>151</v>
      </c>
      <c r="G263" s="100">
        <v>6</v>
      </c>
      <c r="H263" s="100">
        <v>20</v>
      </c>
      <c r="I263" s="100">
        <f t="shared" si="17"/>
        <v>120</v>
      </c>
      <c r="J263" s="100">
        <v>13</v>
      </c>
      <c r="K263" s="101">
        <f t="shared" si="18"/>
        <v>1560</v>
      </c>
      <c r="L263" s="103" t="s">
        <v>217</v>
      </c>
      <c r="M263" s="102">
        <f>SUM(K259:K263)</f>
        <v>4780.5</v>
      </c>
    </row>
    <row r="264" s="88" customFormat="1" ht="20.25" spans="1:14">
      <c r="A264" s="90">
        <v>46037</v>
      </c>
      <c r="B264" s="91">
        <v>39</v>
      </c>
      <c r="C264" s="92" t="s">
        <v>374</v>
      </c>
      <c r="D264" s="93"/>
      <c r="E264" s="93"/>
      <c r="F264" s="88" t="s">
        <v>375</v>
      </c>
      <c r="G264" s="93">
        <v>1</v>
      </c>
      <c r="H264" s="93">
        <v>18</v>
      </c>
      <c r="I264" s="93">
        <f t="shared" si="17"/>
        <v>18</v>
      </c>
      <c r="J264" s="94">
        <v>14.5</v>
      </c>
      <c r="K264" s="94">
        <f t="shared" si="18"/>
        <v>261</v>
      </c>
      <c r="L264" s="95"/>
      <c r="M264" s="96"/>
    </row>
    <row r="265" s="88" customFormat="1" ht="20.25" spans="1:14">
      <c r="A265" s="90">
        <v>46037</v>
      </c>
      <c r="B265" s="91">
        <v>39</v>
      </c>
      <c r="C265" s="92"/>
      <c r="D265" s="93"/>
      <c r="E265" s="93"/>
      <c r="F265" s="88" t="s">
        <v>75</v>
      </c>
      <c r="G265" s="93">
        <v>1</v>
      </c>
      <c r="H265" s="93">
        <v>2</v>
      </c>
      <c r="I265" s="93">
        <f t="shared" si="17"/>
        <v>2</v>
      </c>
      <c r="J265" s="94">
        <v>14.5</v>
      </c>
      <c r="K265" s="94">
        <f t="shared" si="18"/>
        <v>29</v>
      </c>
      <c r="L265" s="95"/>
      <c r="M265" s="96"/>
    </row>
    <row r="266" s="88" customFormat="1" ht="20.25" spans="1:14">
      <c r="A266" s="90">
        <v>46037</v>
      </c>
      <c r="B266" s="91">
        <v>39</v>
      </c>
      <c r="C266" s="92" t="s">
        <v>376</v>
      </c>
      <c r="D266" s="93"/>
      <c r="E266" s="93"/>
      <c r="F266" s="88" t="s">
        <v>213</v>
      </c>
      <c r="G266" s="93">
        <v>1</v>
      </c>
      <c r="H266" s="93">
        <v>13</v>
      </c>
      <c r="I266" s="93">
        <f t="shared" si="17"/>
        <v>13</v>
      </c>
      <c r="J266" s="94">
        <v>14.5</v>
      </c>
      <c r="K266" s="94">
        <f t="shared" si="18"/>
        <v>188.5</v>
      </c>
      <c r="L266" s="95">
        <f>SUM(K264:K267)</f>
        <v>484</v>
      </c>
      <c r="M266" s="96"/>
    </row>
    <row r="267" s="88" customFormat="1" ht="20.25" spans="1:14">
      <c r="A267" s="90">
        <v>46037</v>
      </c>
      <c r="B267" s="91">
        <v>39</v>
      </c>
      <c r="C267" s="92"/>
      <c r="D267" s="93"/>
      <c r="E267" s="93"/>
      <c r="F267" s="88" t="s">
        <v>228</v>
      </c>
      <c r="G267" s="93">
        <v>1</v>
      </c>
      <c r="H267" s="93">
        <v>1</v>
      </c>
      <c r="I267" s="93">
        <f t="shared" si="17"/>
        <v>1</v>
      </c>
      <c r="J267" s="94">
        <v>5.5</v>
      </c>
      <c r="K267" s="94">
        <f t="shared" si="18"/>
        <v>5.5</v>
      </c>
      <c r="L267" s="86"/>
      <c r="M267" s="96"/>
    </row>
    <row r="268" s="89" customFormat="1" ht="20.25" spans="1:14">
      <c r="A268" s="97">
        <v>46041</v>
      </c>
      <c r="B268" s="98">
        <v>49</v>
      </c>
      <c r="C268" s="99"/>
      <c r="D268" s="100"/>
      <c r="E268" s="100"/>
      <c r="F268" s="89" t="s">
        <v>181</v>
      </c>
      <c r="G268" s="100">
        <v>10</v>
      </c>
      <c r="H268" s="100">
        <v>20</v>
      </c>
      <c r="I268" s="100">
        <f t="shared" si="17"/>
        <v>200</v>
      </c>
      <c r="J268" s="101">
        <v>14</v>
      </c>
      <c r="K268" s="101">
        <f t="shared" si="18"/>
        <v>2800</v>
      </c>
      <c r="L268" s="103"/>
      <c r="M268" s="102"/>
    </row>
    <row r="269" s="89" customFormat="1" ht="20.25" spans="1:14">
      <c r="A269" s="97">
        <v>46041</v>
      </c>
      <c r="B269" s="98">
        <v>49</v>
      </c>
      <c r="C269" s="99" t="s">
        <v>33</v>
      </c>
      <c r="D269" s="100"/>
      <c r="E269" s="100"/>
      <c r="F269" s="89" t="s">
        <v>151</v>
      </c>
      <c r="G269" s="100">
        <v>10</v>
      </c>
      <c r="H269" s="100">
        <v>20</v>
      </c>
      <c r="I269" s="100">
        <f t="shared" si="17"/>
        <v>200</v>
      </c>
      <c r="J269" s="101">
        <v>13</v>
      </c>
      <c r="K269" s="101">
        <f t="shared" si="18"/>
        <v>2600</v>
      </c>
      <c r="L269" s="103" t="s">
        <v>217</v>
      </c>
      <c r="M269" s="102">
        <f>SUM(K268:K270)</f>
        <v>5690</v>
      </c>
    </row>
    <row r="270" s="89" customFormat="1" ht="20.25" spans="1:14">
      <c r="A270" s="97">
        <v>46041</v>
      </c>
      <c r="B270" s="98">
        <v>49</v>
      </c>
      <c r="C270" s="99" t="s">
        <v>377</v>
      </c>
      <c r="D270" s="100"/>
      <c r="E270" s="100"/>
      <c r="F270" s="89" t="s">
        <v>155</v>
      </c>
      <c r="G270" s="100">
        <v>1</v>
      </c>
      <c r="H270" s="100">
        <v>20</v>
      </c>
      <c r="I270" s="100">
        <f t="shared" si="17"/>
        <v>20</v>
      </c>
      <c r="J270" s="100">
        <v>14.5</v>
      </c>
      <c r="K270" s="101">
        <f t="shared" si="18"/>
        <v>290</v>
      </c>
      <c r="L270" s="135" t="s">
        <v>378</v>
      </c>
      <c r="M270" s="135"/>
      <c r="N270" s="136"/>
    </row>
    <row r="271" s="85" customFormat="1" ht="20.25" spans="1:14">
      <c r="A271" s="125">
        <v>46043</v>
      </c>
      <c r="B271" s="137"/>
      <c r="C271" s="104">
        <v>46042</v>
      </c>
      <c r="D271" s="83"/>
      <c r="E271" s="83"/>
      <c r="F271" s="85" t="s">
        <v>12</v>
      </c>
      <c r="G271" s="83">
        <v>25</v>
      </c>
      <c r="H271" s="83">
        <v>1</v>
      </c>
      <c r="I271" s="83">
        <f>G271*H271</f>
        <v>25</v>
      </c>
      <c r="J271" s="84">
        <v>30</v>
      </c>
      <c r="K271" s="84">
        <f>I271*J271</f>
        <v>750</v>
      </c>
      <c r="L271" s="138" t="s">
        <v>379</v>
      </c>
      <c r="M271" s="127"/>
    </row>
    <row r="272" s="85" customFormat="1" ht="20.25" spans="1:14">
      <c r="A272" s="125">
        <v>46043</v>
      </c>
      <c r="B272" s="137"/>
      <c r="C272" s="104">
        <v>46037</v>
      </c>
      <c r="D272" s="83"/>
      <c r="E272" s="83"/>
      <c r="F272" s="85" t="s">
        <v>13</v>
      </c>
      <c r="G272" s="83">
        <v>-1</v>
      </c>
      <c r="H272" s="83">
        <v>20</v>
      </c>
      <c r="I272" s="83">
        <f>G272*H272</f>
        <v>-20</v>
      </c>
      <c r="J272" s="84">
        <v>9</v>
      </c>
      <c r="K272" s="84">
        <f>I272*J272</f>
        <v>-180</v>
      </c>
      <c r="L272" s="138"/>
      <c r="M272" s="127"/>
    </row>
    <row r="273" s="88" customFormat="1" ht="20.25" spans="1:14">
      <c r="A273" s="90"/>
      <c r="B273" s="91"/>
      <c r="C273" s="92"/>
      <c r="D273" s="93"/>
      <c r="E273" s="93"/>
      <c r="G273" s="93"/>
      <c r="H273" s="93"/>
      <c r="I273" s="93"/>
      <c r="J273" s="94"/>
      <c r="K273" s="94"/>
      <c r="L273" s="95"/>
      <c r="M273" s="96"/>
    </row>
    <row r="274" s="88" customFormat="1" ht="20.25" spans="1:14">
      <c r="A274" s="90"/>
      <c r="B274" s="91"/>
      <c r="C274" s="92"/>
      <c r="D274" s="93"/>
      <c r="E274" s="93"/>
      <c r="G274" s="93"/>
      <c r="H274" s="93"/>
      <c r="I274" s="93"/>
      <c r="J274" s="94"/>
      <c r="K274" s="94"/>
      <c r="L274" s="95"/>
      <c r="M274" s="96"/>
    </row>
    <row r="275" s="89" customFormat="1" ht="20.25" spans="1:14">
      <c r="A275" s="97"/>
      <c r="B275" s="107"/>
      <c r="C275" s="99"/>
      <c r="D275" s="100"/>
      <c r="E275" s="100"/>
      <c r="F275" s="85"/>
      <c r="G275" s="100"/>
      <c r="H275" s="100"/>
      <c r="I275" s="93"/>
      <c r="J275" s="94"/>
      <c r="K275" s="94"/>
      <c r="M275" s="115"/>
      <c r="N275" s="115"/>
    </row>
    <row r="276" s="89" customFormat="1" ht="20.25" spans="1:14">
      <c r="A276" s="97"/>
      <c r="B276" s="107"/>
      <c r="C276" s="104" t="s">
        <v>380</v>
      </c>
      <c r="D276" s="83"/>
      <c r="E276" s="83"/>
      <c r="F276" s="85" t="s">
        <v>381</v>
      </c>
      <c r="G276" s="83"/>
      <c r="H276" s="100"/>
      <c r="I276" s="93"/>
      <c r="J276" s="94"/>
      <c r="K276" s="94"/>
      <c r="M276" s="115"/>
      <c r="N276" s="115"/>
    </row>
    <row r="277" s="89" customFormat="1" ht="20.25" spans="1:14">
      <c r="A277" s="97"/>
      <c r="B277" s="107"/>
      <c r="C277" s="115" t="s">
        <v>382</v>
      </c>
      <c r="D277" s="115"/>
      <c r="E277" s="115"/>
      <c r="F277" s="136"/>
      <c r="G277" s="100"/>
      <c r="H277" s="100"/>
      <c r="I277" s="93"/>
      <c r="J277" s="94"/>
      <c r="K277" s="94"/>
      <c r="M277" s="115"/>
      <c r="N277" s="115"/>
    </row>
    <row r="278" s="88" customFormat="1" ht="20.25" spans="1:14">
      <c r="A278" s="90"/>
      <c r="B278" s="111"/>
      <c r="C278" s="92">
        <v>45968</v>
      </c>
      <c r="D278" s="93"/>
      <c r="E278" s="93"/>
      <c r="F278" s="88" t="s">
        <v>383</v>
      </c>
      <c r="G278" s="93"/>
      <c r="H278" s="93"/>
      <c r="I278" s="93"/>
      <c r="J278" s="94"/>
      <c r="K278" s="94"/>
      <c r="M278" s="117"/>
    </row>
    <row r="279" s="89" customFormat="1" ht="20.25" spans="1:14">
      <c r="A279" s="97"/>
      <c r="B279" s="107"/>
      <c r="C279" s="99">
        <v>45968</v>
      </c>
      <c r="D279" s="100"/>
      <c r="E279" s="100"/>
      <c r="F279" s="89" t="s">
        <v>384</v>
      </c>
      <c r="G279" s="100"/>
      <c r="H279" s="100"/>
      <c r="I279" s="93"/>
      <c r="J279" s="94"/>
      <c r="K279" s="94"/>
      <c r="M279" s="115"/>
      <c r="N279" s="115"/>
    </row>
    <row r="280" s="89" customFormat="1" ht="20.25" spans="1:14">
      <c r="A280" s="97"/>
      <c r="B280" s="107"/>
      <c r="C280" s="139">
        <v>45903</v>
      </c>
      <c r="D280" s="140"/>
      <c r="E280" s="140"/>
      <c r="F280" s="141" t="s">
        <v>385</v>
      </c>
      <c r="G280" s="140"/>
      <c r="H280" s="140"/>
      <c r="I280" s="100"/>
      <c r="J280" s="101"/>
      <c r="K280" s="101"/>
      <c r="L280" s="124"/>
      <c r="M280" s="102"/>
    </row>
    <row r="281" s="89" customFormat="1" ht="20.25" spans="1:14">
      <c r="A281" s="97"/>
      <c r="B281" s="107"/>
      <c r="C281" s="82" t="s">
        <v>386</v>
      </c>
      <c r="D281" s="82" t="s">
        <v>386</v>
      </c>
      <c r="E281" s="82" t="s">
        <v>386</v>
      </c>
      <c r="F281" s="115"/>
      <c r="G281" s="100"/>
      <c r="H281" s="100"/>
      <c r="I281" s="100"/>
      <c r="J281" s="101"/>
      <c r="K281" s="101"/>
      <c r="L281" s="124"/>
      <c r="M281" s="102"/>
    </row>
    <row r="282" s="89" customFormat="1" ht="20.25" spans="1:14">
      <c r="A282" s="97"/>
      <c r="B282" s="107"/>
      <c r="C282" s="85"/>
      <c r="D282" s="85"/>
      <c r="E282" s="85" t="s">
        <v>387</v>
      </c>
      <c r="F282" s="115"/>
      <c r="G282" s="100"/>
      <c r="H282" s="100"/>
      <c r="I282" s="100"/>
      <c r="J282" s="101"/>
      <c r="K282" s="101"/>
      <c r="L282" s="124"/>
      <c r="M282" s="102"/>
    </row>
    <row r="283" s="89" customFormat="1" ht="20.25" spans="1:14">
      <c r="A283" s="97"/>
      <c r="B283" s="107"/>
      <c r="C283" s="99"/>
      <c r="D283" s="100"/>
      <c r="E283" s="100"/>
      <c r="F283" s="82" t="s">
        <v>386</v>
      </c>
      <c r="G283" s="83"/>
      <c r="H283" s="83"/>
      <c r="I283" s="83"/>
      <c r="J283" s="84"/>
      <c r="K283" s="101"/>
      <c r="L283" s="1"/>
      <c r="M283" s="102"/>
    </row>
    <row r="284" s="89" customFormat="1" ht="20.25" spans="1:14">
      <c r="A284" s="97"/>
      <c r="B284" s="107"/>
      <c r="C284" s="99"/>
      <c r="D284" s="100"/>
      <c r="E284" s="100"/>
      <c r="F284" s="85" t="s">
        <v>387</v>
      </c>
      <c r="G284" s="85"/>
      <c r="H284" s="83"/>
      <c r="I284" s="83"/>
      <c r="J284" s="83"/>
      <c r="K284" s="101"/>
      <c r="M284" s="102"/>
    </row>
    <row r="285" s="89" customFormat="1" ht="20.25" spans="1:14">
      <c r="A285" s="97"/>
      <c r="B285" s="107"/>
      <c r="C285" s="99"/>
      <c r="D285" s="100"/>
      <c r="E285" s="100"/>
      <c r="F285" s="89" t="s">
        <v>388</v>
      </c>
      <c r="G285" s="100"/>
      <c r="H285" s="100"/>
      <c r="I285" s="100"/>
      <c r="J285" s="100"/>
      <c r="K285" s="101"/>
      <c r="M285" s="102"/>
    </row>
    <row r="286" s="89" customFormat="1" ht="20.25" spans="1:14">
      <c r="A286" s="97"/>
      <c r="B286" s="107"/>
      <c r="C286" s="99"/>
      <c r="D286" s="100"/>
      <c r="E286" s="100"/>
      <c r="G286" s="100"/>
      <c r="H286" s="100"/>
      <c r="I286" s="100"/>
      <c r="J286" s="100"/>
      <c r="K286" s="101"/>
      <c r="M286" s="102"/>
    </row>
    <row r="287" s="89" customFormat="1" ht="20.25" spans="1:14">
      <c r="A287" s="97"/>
      <c r="B287" s="107"/>
      <c r="C287" s="99"/>
      <c r="D287" s="100"/>
      <c r="E287" s="100"/>
      <c r="G287" s="100"/>
      <c r="H287" s="100"/>
      <c r="I287" s="100"/>
      <c r="J287" s="100"/>
      <c r="K287" s="101"/>
      <c r="M287" s="102"/>
    </row>
    <row r="288" s="89" customFormat="1" ht="20.25" spans="1:14">
      <c r="A288" s="97"/>
      <c r="B288" s="107"/>
      <c r="C288" s="99"/>
      <c r="D288" s="100"/>
      <c r="E288" s="100"/>
      <c r="G288" s="100"/>
      <c r="H288" s="100"/>
      <c r="I288" s="100"/>
      <c r="J288" s="100"/>
      <c r="K288" s="101"/>
      <c r="M288" s="102"/>
    </row>
    <row r="289" s="89" customFormat="1" ht="20.25" spans="1:13">
      <c r="A289" s="97"/>
      <c r="B289" s="107"/>
      <c r="C289" s="99"/>
      <c r="D289" s="100"/>
      <c r="E289" s="100"/>
      <c r="G289" s="100"/>
      <c r="H289" s="100"/>
      <c r="I289" s="100"/>
      <c r="J289" s="100"/>
      <c r="K289" s="101"/>
      <c r="M289" s="102"/>
    </row>
    <row r="290" s="89" customFormat="1" ht="20.25" spans="1:13">
      <c r="A290" s="97"/>
      <c r="B290" s="107"/>
      <c r="C290" s="99"/>
      <c r="D290" s="100"/>
      <c r="E290" s="100"/>
      <c r="G290" s="100"/>
      <c r="H290" s="100"/>
      <c r="I290" s="100"/>
      <c r="J290" s="100"/>
      <c r="K290" s="101"/>
      <c r="M290" s="102"/>
    </row>
    <row r="291" s="89" customFormat="1" ht="20.25" spans="1:13">
      <c r="A291" s="97"/>
      <c r="B291" s="107"/>
      <c r="C291" s="99"/>
      <c r="D291" s="100"/>
      <c r="E291" s="100"/>
      <c r="G291" s="100"/>
      <c r="H291" s="100"/>
      <c r="I291" s="100"/>
      <c r="J291" s="100"/>
      <c r="K291" s="101"/>
      <c r="M291" s="102"/>
    </row>
    <row r="292" s="89" customFormat="1" ht="20.25" spans="1:13">
      <c r="A292" s="97"/>
      <c r="B292" s="107"/>
      <c r="C292" s="99"/>
      <c r="D292" s="100"/>
      <c r="E292" s="100"/>
      <c r="G292" s="100"/>
      <c r="H292" s="100"/>
      <c r="I292" s="100"/>
      <c r="J292" s="100"/>
      <c r="K292" s="101"/>
      <c r="M292" s="102"/>
    </row>
    <row r="293" s="89" customFormat="1" ht="20.25" spans="1:13">
      <c r="A293" s="97"/>
      <c r="B293" s="107"/>
      <c r="C293" s="99"/>
      <c r="D293" s="100"/>
      <c r="E293" s="100"/>
      <c r="G293" s="100"/>
      <c r="H293" s="100"/>
      <c r="I293" s="100"/>
      <c r="J293" s="100"/>
      <c r="K293" s="101"/>
      <c r="M293" s="102"/>
    </row>
    <row r="294" s="89" customFormat="1" ht="20.25" spans="1:13">
      <c r="A294" s="97"/>
      <c r="B294" s="107"/>
      <c r="C294" s="99"/>
      <c r="D294" s="100"/>
      <c r="E294" s="100"/>
      <c r="G294" s="100"/>
      <c r="H294" s="100"/>
      <c r="I294" s="100"/>
      <c r="J294" s="100"/>
      <c r="K294" s="101"/>
      <c r="M294" s="102"/>
    </row>
    <row r="295" s="89" customFormat="1" ht="20.25" spans="1:13">
      <c r="A295" s="97"/>
      <c r="B295" s="107"/>
      <c r="C295" s="99"/>
      <c r="D295" s="100"/>
      <c r="E295" s="100"/>
      <c r="G295" s="100"/>
      <c r="H295" s="100"/>
      <c r="I295" s="100"/>
      <c r="J295" s="100"/>
      <c r="K295" s="101"/>
      <c r="M295" s="102"/>
    </row>
    <row r="296" s="89" customFormat="1" ht="20.25" spans="1:13">
      <c r="A296" s="97"/>
      <c r="B296" s="107"/>
      <c r="C296" s="99"/>
      <c r="D296" s="100"/>
      <c r="E296" s="100"/>
      <c r="G296" s="100"/>
      <c r="H296" s="100"/>
      <c r="I296" s="100"/>
      <c r="J296" s="100"/>
      <c r="K296" s="101"/>
      <c r="M296" s="102"/>
    </row>
    <row r="297" s="89" customFormat="1" ht="20.25" spans="1:13">
      <c r="A297" s="97"/>
      <c r="B297" s="107"/>
      <c r="C297" s="99"/>
      <c r="D297" s="100"/>
      <c r="E297" s="100"/>
      <c r="G297" s="100"/>
      <c r="H297" s="100"/>
      <c r="I297" s="100"/>
      <c r="J297" s="100"/>
      <c r="K297" s="101"/>
      <c r="M297" s="102"/>
    </row>
    <row r="298" s="89" customFormat="1" ht="20.25" spans="1:13">
      <c r="A298" s="97"/>
      <c r="B298" s="107"/>
      <c r="C298" s="99"/>
      <c r="D298" s="100"/>
      <c r="E298" s="100"/>
      <c r="G298" s="100"/>
      <c r="H298" s="100"/>
      <c r="I298" s="100"/>
      <c r="J298" s="100"/>
      <c r="K298" s="101"/>
      <c r="M298" s="102"/>
    </row>
    <row r="299" s="89" customFormat="1" ht="20.25" spans="1:13">
      <c r="A299" s="97"/>
      <c r="B299" s="107"/>
      <c r="C299" s="99"/>
      <c r="D299" s="100"/>
      <c r="E299" s="100"/>
      <c r="G299" s="100"/>
      <c r="H299" s="100"/>
      <c r="I299" s="100"/>
      <c r="J299" s="100"/>
      <c r="K299" s="101"/>
      <c r="M299" s="102"/>
    </row>
    <row r="300" s="89" customFormat="1" ht="20.25" spans="1:13">
      <c r="A300" s="97"/>
      <c r="B300" s="107"/>
      <c r="C300" s="99"/>
      <c r="D300" s="100"/>
      <c r="E300" s="100"/>
      <c r="G300" s="100"/>
      <c r="H300" s="100"/>
      <c r="I300" s="100"/>
      <c r="J300" s="100"/>
      <c r="K300" s="101"/>
      <c r="M300" s="102"/>
    </row>
  </sheetData>
  <autoFilter xmlns:etc="http://www.wps.cn/officeDocument/2017/etCustomData" ref="A1:P285" etc:filterBottomFollowUsedRange="0">
    <extLst/>
  </autoFilter>
  <mergeCells count="307">
    <mergeCell ref="C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L93:N93"/>
    <mergeCell ref="C94:E94"/>
    <mergeCell ref="L94:N94"/>
    <mergeCell ref="C95:E95"/>
    <mergeCell ref="L95:N95"/>
    <mergeCell ref="C96:E96"/>
    <mergeCell ref="L96:N96"/>
    <mergeCell ref="C97:E97"/>
    <mergeCell ref="L97:N97"/>
    <mergeCell ref="C98:E98"/>
    <mergeCell ref="L98:N98"/>
    <mergeCell ref="C99:E99"/>
    <mergeCell ref="L99:N99"/>
    <mergeCell ref="C100:E100"/>
    <mergeCell ref="C101:E101"/>
    <mergeCell ref="C102:E102"/>
    <mergeCell ref="C103:E103"/>
    <mergeCell ref="C104:E104"/>
    <mergeCell ref="C105:E105"/>
    <mergeCell ref="C106:E106"/>
    <mergeCell ref="L106:N106"/>
    <mergeCell ref="C107:E107"/>
    <mergeCell ref="L107:N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8:E278"/>
    <mergeCell ref="C279:E279"/>
    <mergeCell ref="C280:E280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L271:L272"/>
  </mergeCells>
  <pageMargins left="0.751388888888889" right="0.751388888888889" top="1" bottom="1" header="0.5" footer="0.5"/>
  <pageSetup paperSize="9" scale="81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66"/>
  <sheetViews>
    <sheetView topLeftCell="A3" workbookViewId="0">
      <selection activeCell="M19" sqref="M19"/>
    </sheetView>
  </sheetViews>
  <sheetFormatPr defaultColWidth="9" defaultRowHeight="14.25"/>
  <cols>
    <col min="1" max="1" width="11.875" customWidth="1"/>
    <col min="2" max="2" width="11.75" customWidth="1"/>
    <col min="3" max="3" width="23.625" customWidth="1"/>
    <col min="4" max="4" width="13.5" customWidth="1"/>
    <col min="5" max="5" width="18.625" customWidth="1"/>
    <col min="6" max="6" width="23" customWidth="1"/>
    <col min="7" max="7" width="7.625" customWidth="1"/>
  </cols>
  <sheetData>
    <row r="1" ht="25.5" spans="1:12">
      <c r="A1" s="3" t="s">
        <v>389</v>
      </c>
      <c r="B1" s="4"/>
      <c r="C1" s="4"/>
      <c r="D1" s="4"/>
      <c r="E1" s="3"/>
      <c r="F1" s="3"/>
      <c r="G1" s="3"/>
    </row>
    <row r="2" ht="20.25" spans="1:12">
      <c r="A2" s="5" t="s">
        <v>26</v>
      </c>
      <c r="B2" s="6" t="s">
        <v>390</v>
      </c>
      <c r="C2" s="6"/>
      <c r="D2" s="6"/>
      <c r="E2" s="6" t="s">
        <v>391</v>
      </c>
      <c r="F2" s="6" t="s">
        <v>392</v>
      </c>
      <c r="G2" s="5" t="s">
        <v>29</v>
      </c>
    </row>
    <row r="3" spans="1:12">
      <c r="A3" s="5"/>
      <c r="B3" s="7">
        <f>SUM(D7:D28)</f>
        <v>83514.1</v>
      </c>
      <c r="C3" s="7"/>
      <c r="D3" s="7"/>
      <c r="E3" s="8">
        <f>SUM(E7:E20)</f>
        <v>0</v>
      </c>
      <c r="F3" s="7">
        <f>B3-E3</f>
        <v>83514.1</v>
      </c>
      <c r="G3" s="5"/>
    </row>
    <row r="4" s="1" customFormat="1" spans="1:12">
      <c r="A4" s="5"/>
      <c r="B4" s="9"/>
      <c r="C4" s="9"/>
      <c r="D4" s="9"/>
      <c r="E4" s="10"/>
      <c r="F4" s="9"/>
      <c r="G4" s="5"/>
    </row>
    <row r="5" s="1" customFormat="1" ht="20.25" spans="1:12">
      <c r="A5" s="11"/>
      <c r="B5" s="12" t="s">
        <v>393</v>
      </c>
      <c r="C5" s="13"/>
      <c r="D5" s="13"/>
      <c r="E5" s="13"/>
      <c r="F5" s="14"/>
      <c r="G5" s="15"/>
    </row>
    <row r="6" ht="18.75" spans="1:12">
      <c r="A6" s="11"/>
      <c r="B6" s="16" t="s">
        <v>394</v>
      </c>
      <c r="C6" s="16" t="s">
        <v>395</v>
      </c>
      <c r="D6" s="16" t="s">
        <v>396</v>
      </c>
      <c r="E6" s="16" t="s">
        <v>397</v>
      </c>
      <c r="F6" s="16" t="s">
        <v>398</v>
      </c>
      <c r="G6" s="15"/>
    </row>
    <row r="7" s="86" customFormat="1" ht="18.75" spans="1:12">
      <c r="A7" s="17">
        <v>45941</v>
      </c>
      <c r="B7" s="18">
        <v>12</v>
      </c>
      <c r="C7" s="19" t="s">
        <v>399</v>
      </c>
      <c r="D7" s="20">
        <v>6437.5</v>
      </c>
      <c r="E7" s="21"/>
      <c r="F7" s="22">
        <f>F5+D7-E7</f>
        <v>6437.5</v>
      </c>
      <c r="G7" s="23"/>
    </row>
    <row r="8" s="86" customFormat="1" ht="18.75" spans="1:12">
      <c r="A8" s="17">
        <v>45943</v>
      </c>
      <c r="B8" s="18">
        <v>18</v>
      </c>
      <c r="C8" s="19" t="s">
        <v>399</v>
      </c>
      <c r="D8" s="20">
        <v>290</v>
      </c>
      <c r="E8" s="21"/>
      <c r="F8" s="22">
        <f t="shared" ref="F8:F32" si="0">F7+D8-E8</f>
        <v>6727.5</v>
      </c>
      <c r="G8" s="23"/>
    </row>
    <row r="9" s="86" customFormat="1" ht="18.75" spans="1:12">
      <c r="A9" s="17">
        <v>45958</v>
      </c>
      <c r="B9" s="18">
        <v>92</v>
      </c>
      <c r="C9" s="19" t="s">
        <v>399</v>
      </c>
      <c r="D9" s="20">
        <v>5549</v>
      </c>
      <c r="E9" s="21"/>
      <c r="F9" s="22">
        <f t="shared" si="0"/>
        <v>12276.5</v>
      </c>
      <c r="G9" s="23"/>
      <c r="H9" s="86">
        <f>SUM(D7:D10)</f>
        <v>12327</v>
      </c>
    </row>
    <row r="10" s="86" customFormat="1" ht="18.75" spans="1:12">
      <c r="A10" s="17">
        <v>45961</v>
      </c>
      <c r="B10" s="18">
        <v>99</v>
      </c>
      <c r="C10" s="19" t="s">
        <v>399</v>
      </c>
      <c r="D10" s="20">
        <v>50.5</v>
      </c>
      <c r="E10" s="21"/>
      <c r="F10" s="22">
        <f t="shared" si="0"/>
        <v>12327</v>
      </c>
      <c r="G10" s="23"/>
    </row>
    <row r="11" s="86" customFormat="1" ht="18.75" spans="1:12">
      <c r="A11" s="29">
        <v>45962</v>
      </c>
      <c r="B11" s="30">
        <v>1</v>
      </c>
      <c r="C11" s="31" t="s">
        <v>399</v>
      </c>
      <c r="D11" s="32">
        <v>750</v>
      </c>
      <c r="E11" s="48"/>
      <c r="F11" s="33">
        <f t="shared" si="0"/>
        <v>13077</v>
      </c>
      <c r="G11" s="23"/>
    </row>
    <row r="12" s="86" customFormat="1" ht="18.75" spans="1:12">
      <c r="A12" s="29">
        <v>45969</v>
      </c>
      <c r="B12" s="30">
        <v>23</v>
      </c>
      <c r="C12" s="31" t="s">
        <v>399</v>
      </c>
      <c r="D12" s="32">
        <v>722.6</v>
      </c>
      <c r="E12" s="48"/>
      <c r="F12" s="33">
        <f t="shared" si="0"/>
        <v>13799.6</v>
      </c>
      <c r="G12" s="23"/>
    </row>
    <row r="13" s="86" customFormat="1" ht="20.25" spans="1:12">
      <c r="A13" s="29">
        <v>45972</v>
      </c>
      <c r="B13" s="30">
        <v>28</v>
      </c>
      <c r="C13" s="31" t="s">
        <v>399</v>
      </c>
      <c r="D13" s="32">
        <v>31991</v>
      </c>
      <c r="E13" s="48"/>
      <c r="F13" s="33">
        <f t="shared" si="0"/>
        <v>45790.6</v>
      </c>
      <c r="G13" s="23"/>
      <c r="H13" s="82" t="s">
        <v>386</v>
      </c>
      <c r="I13" s="83"/>
      <c r="J13" s="83"/>
      <c r="K13" s="83"/>
      <c r="L13" s="84"/>
    </row>
    <row r="14" s="86" customFormat="1" ht="20.25" spans="1:12">
      <c r="A14" s="29">
        <v>45974</v>
      </c>
      <c r="B14" s="30">
        <v>31</v>
      </c>
      <c r="C14" s="31" t="s">
        <v>399</v>
      </c>
      <c r="D14" s="32">
        <v>3625</v>
      </c>
      <c r="E14" s="48"/>
      <c r="F14" s="33">
        <f t="shared" si="0"/>
        <v>49415.6</v>
      </c>
      <c r="G14" s="23"/>
      <c r="H14" s="85" t="s">
        <v>387</v>
      </c>
      <c r="I14" s="85"/>
      <c r="J14" s="83"/>
      <c r="K14" s="83"/>
      <c r="L14" s="83"/>
    </row>
    <row r="15" s="86" customFormat="1" ht="18.75" spans="1:12">
      <c r="A15" s="29">
        <v>45978</v>
      </c>
      <c r="B15" s="30">
        <v>39</v>
      </c>
      <c r="C15" s="31" t="s">
        <v>399</v>
      </c>
      <c r="D15" s="32">
        <v>289</v>
      </c>
      <c r="E15" s="48"/>
      <c r="F15" s="33">
        <f t="shared" si="0"/>
        <v>49704.6</v>
      </c>
      <c r="G15" s="23"/>
    </row>
    <row r="16" s="86" customFormat="1" ht="18.75" spans="1:12">
      <c r="A16" s="29">
        <v>45982</v>
      </c>
      <c r="B16" s="30">
        <v>59</v>
      </c>
      <c r="C16" s="31" t="s">
        <v>399</v>
      </c>
      <c r="D16" s="32">
        <v>7080</v>
      </c>
      <c r="E16" s="48"/>
      <c r="F16" s="33">
        <f t="shared" si="0"/>
        <v>56784.6</v>
      </c>
      <c r="G16" s="23"/>
    </row>
    <row r="17" s="86" customFormat="1" ht="18.75" spans="1:10">
      <c r="A17" s="29">
        <v>45988</v>
      </c>
      <c r="B17" s="30">
        <v>77</v>
      </c>
      <c r="C17" s="31" t="s">
        <v>399</v>
      </c>
      <c r="D17" s="32">
        <v>105</v>
      </c>
      <c r="E17" s="48"/>
      <c r="F17" s="33">
        <f t="shared" si="0"/>
        <v>56889.6</v>
      </c>
      <c r="G17" s="23"/>
      <c r="H17" s="86">
        <f>SUM(D11:D18)</f>
        <v>45862.6</v>
      </c>
    </row>
    <row r="18" s="87" customFormat="1" ht="18.75" spans="1:10">
      <c r="A18" s="29">
        <v>45989</v>
      </c>
      <c r="B18" s="30">
        <v>78</v>
      </c>
      <c r="C18" s="31" t="s">
        <v>399</v>
      </c>
      <c r="D18" s="32">
        <v>1300</v>
      </c>
      <c r="E18" s="48"/>
      <c r="F18" s="33">
        <f t="shared" si="0"/>
        <v>58189.6</v>
      </c>
      <c r="G18" s="23"/>
    </row>
    <row r="19" ht="18.75" spans="1:10">
      <c r="A19" s="24">
        <v>45996</v>
      </c>
      <c r="B19" s="25">
        <v>8</v>
      </c>
      <c r="C19" s="26" t="s">
        <v>399</v>
      </c>
      <c r="D19" s="27">
        <v>896</v>
      </c>
      <c r="E19" s="21"/>
      <c r="F19" s="22">
        <f t="shared" si="0"/>
        <v>59085.6</v>
      </c>
      <c r="G19" s="23"/>
    </row>
    <row r="20" ht="18.75" spans="1:10">
      <c r="A20" s="24">
        <v>45997</v>
      </c>
      <c r="B20" s="25">
        <v>12</v>
      </c>
      <c r="C20" s="26" t="s">
        <v>399</v>
      </c>
      <c r="D20" s="27">
        <v>290</v>
      </c>
      <c r="E20" s="21"/>
      <c r="F20" s="22">
        <f t="shared" si="0"/>
        <v>59375.6</v>
      </c>
      <c r="G20" s="23"/>
    </row>
    <row r="21" s="86" customFormat="1" ht="18.75" spans="1:10">
      <c r="A21" s="24">
        <v>46000</v>
      </c>
      <c r="B21" s="25">
        <v>24</v>
      </c>
      <c r="C21" s="26" t="s">
        <v>399</v>
      </c>
      <c r="D21" s="27">
        <v>9500</v>
      </c>
      <c r="E21" s="21"/>
      <c r="F21" s="22">
        <f t="shared" si="0"/>
        <v>68875.6</v>
      </c>
      <c r="G21" s="23"/>
    </row>
    <row r="22" s="86" customFormat="1" ht="18.75" spans="1:10">
      <c r="A22" s="24">
        <v>46003</v>
      </c>
      <c r="B22" s="25">
        <v>31</v>
      </c>
      <c r="C22" s="26" t="s">
        <v>399</v>
      </c>
      <c r="D22" s="27">
        <v>5848</v>
      </c>
      <c r="E22" s="21"/>
      <c r="F22" s="22">
        <f t="shared" si="0"/>
        <v>74723.6</v>
      </c>
      <c r="G22" s="23"/>
    </row>
    <row r="23" s="86" customFormat="1" ht="18.75" spans="1:10">
      <c r="A23" s="24">
        <v>46008</v>
      </c>
      <c r="B23" s="25">
        <v>43</v>
      </c>
      <c r="C23" s="26" t="s">
        <v>399</v>
      </c>
      <c r="D23" s="27">
        <v>773</v>
      </c>
      <c r="E23" s="21"/>
      <c r="F23" s="22">
        <f t="shared" si="0"/>
        <v>75496.6</v>
      </c>
      <c r="G23" s="23"/>
    </row>
    <row r="24" s="86" customFormat="1" ht="23" customHeight="1" spans="1:10">
      <c r="A24" s="29">
        <v>46018</v>
      </c>
      <c r="B24" s="30">
        <v>74</v>
      </c>
      <c r="C24" s="26" t="s">
        <v>399</v>
      </c>
      <c r="D24" s="32">
        <v>330</v>
      </c>
      <c r="E24" s="48"/>
      <c r="F24" s="33">
        <f t="shared" si="0"/>
        <v>75826.6</v>
      </c>
      <c r="G24" s="23"/>
    </row>
    <row r="25" s="86" customFormat="1" ht="23" customHeight="1" spans="1:10">
      <c r="A25" s="29">
        <v>46020</v>
      </c>
      <c r="B25" s="30">
        <v>81</v>
      </c>
      <c r="C25" s="26" t="s">
        <v>399</v>
      </c>
      <c r="D25" s="32">
        <v>1300</v>
      </c>
      <c r="E25" s="48"/>
      <c r="F25" s="33">
        <f t="shared" si="0"/>
        <v>77126.6</v>
      </c>
      <c r="G25" s="23"/>
    </row>
    <row r="26" s="86" customFormat="1" ht="23" customHeight="1" spans="1:10">
      <c r="A26" s="29">
        <v>46028</v>
      </c>
      <c r="B26" s="30">
        <v>13</v>
      </c>
      <c r="C26" s="31" t="s">
        <v>399</v>
      </c>
      <c r="D26" s="32">
        <v>1123</v>
      </c>
      <c r="E26" s="48"/>
      <c r="F26" s="33">
        <f t="shared" si="0"/>
        <v>78249.6</v>
      </c>
      <c r="G26" s="23"/>
    </row>
    <row r="27" s="86" customFormat="1" ht="23" customHeight="1" spans="1:10">
      <c r="A27" s="29">
        <v>46032</v>
      </c>
      <c r="B27" s="30">
        <v>27</v>
      </c>
      <c r="C27" s="31" t="s">
        <v>399</v>
      </c>
      <c r="D27" s="32">
        <v>4780.5</v>
      </c>
      <c r="E27" s="21"/>
      <c r="F27" s="22">
        <f t="shared" si="0"/>
        <v>83030.1</v>
      </c>
      <c r="G27" s="23"/>
    </row>
    <row r="28" ht="23" customHeight="1" spans="1:10">
      <c r="A28" s="29">
        <v>46037</v>
      </c>
      <c r="B28" s="30">
        <v>39</v>
      </c>
      <c r="C28" s="31" t="s">
        <v>399</v>
      </c>
      <c r="D28" s="32">
        <v>484</v>
      </c>
      <c r="E28" s="48"/>
      <c r="F28" s="33">
        <f t="shared" si="0"/>
        <v>83514.1</v>
      </c>
      <c r="G28" s="23"/>
      <c r="J28" s="86"/>
    </row>
    <row r="29" ht="23" customHeight="1" spans="1:10">
      <c r="A29" s="29">
        <v>46041</v>
      </c>
      <c r="B29" s="30">
        <v>49</v>
      </c>
      <c r="C29" s="31" t="s">
        <v>399</v>
      </c>
      <c r="D29" s="32">
        <v>5690</v>
      </c>
      <c r="E29" s="48"/>
      <c r="F29" s="33">
        <f t="shared" si="0"/>
        <v>89204.1</v>
      </c>
      <c r="G29" s="23"/>
      <c r="J29" s="86"/>
    </row>
    <row r="30" ht="23" customHeight="1" spans="1:10">
      <c r="A30" s="29"/>
      <c r="B30" s="30"/>
      <c r="C30" s="31"/>
      <c r="D30" s="32"/>
      <c r="E30" s="48"/>
      <c r="F30" s="33">
        <f t="shared" si="0"/>
        <v>89204.1</v>
      </c>
      <c r="G30" s="23"/>
      <c r="J30" s="86"/>
    </row>
    <row r="31" ht="23" customHeight="1" spans="1:10">
      <c r="A31" s="29"/>
      <c r="B31" s="30"/>
      <c r="C31" s="31"/>
      <c r="D31" s="32"/>
      <c r="E31" s="48"/>
      <c r="F31" s="33">
        <f t="shared" si="0"/>
        <v>89204.1</v>
      </c>
      <c r="G31" s="23"/>
      <c r="J31" s="86"/>
    </row>
    <row r="32" ht="23" customHeight="1" spans="1:10">
      <c r="A32" s="29"/>
      <c r="B32" s="30"/>
      <c r="C32" s="31"/>
      <c r="D32" s="32"/>
      <c r="E32" s="48"/>
      <c r="F32" s="33">
        <f t="shared" si="0"/>
        <v>89204.1</v>
      </c>
      <c r="G32" s="23"/>
      <c r="J32" s="86"/>
    </row>
    <row r="33" ht="23" customHeight="1" spans="1:7">
      <c r="A33" s="29"/>
      <c r="B33" s="30"/>
      <c r="C33" s="31"/>
      <c r="D33" s="32"/>
      <c r="E33" s="48"/>
      <c r="F33" s="33"/>
      <c r="G33" s="23"/>
    </row>
    <row r="34" ht="23" customHeight="1" spans="1:7">
      <c r="A34" s="29"/>
      <c r="B34" s="30"/>
      <c r="C34" s="26"/>
      <c r="D34" s="32"/>
      <c r="E34" s="48"/>
      <c r="F34" s="33"/>
      <c r="G34" s="23"/>
    </row>
    <row r="35" ht="23" customHeight="1"/>
    <row r="36" s="2" customFormat="1" ht="23" customHeight="1" spans="1:7">
      <c r="A36"/>
      <c r="B36"/>
      <c r="C36"/>
      <c r="D36"/>
      <c r="E36"/>
      <c r="F36"/>
      <c r="G36"/>
    </row>
    <row r="37" ht="23" customHeight="1" spans="1:7">
      <c r="A37" s="3" t="s">
        <v>400</v>
      </c>
      <c r="B37" s="4"/>
      <c r="C37" s="4"/>
      <c r="D37" s="4"/>
      <c r="E37" s="3"/>
      <c r="F37" s="3"/>
      <c r="G37" s="3"/>
    </row>
    <row r="38" ht="23" customHeight="1" spans="1:7">
      <c r="A38" s="5" t="s">
        <v>26</v>
      </c>
      <c r="B38" s="6" t="s">
        <v>390</v>
      </c>
      <c r="C38" s="6"/>
      <c r="D38" s="6"/>
      <c r="E38" s="6" t="s">
        <v>391</v>
      </c>
      <c r="F38" s="6" t="s">
        <v>392</v>
      </c>
      <c r="G38" s="5" t="s">
        <v>29</v>
      </c>
    </row>
    <row r="39" ht="23" customHeight="1" spans="1:7">
      <c r="A39" s="5"/>
      <c r="B39" s="7">
        <f>SUM(D43:D49)</f>
        <v>27992</v>
      </c>
      <c r="C39" s="7"/>
      <c r="D39" s="7"/>
      <c r="E39" s="8">
        <f>SUM(E43:E55)</f>
        <v>0</v>
      </c>
      <c r="F39" s="7">
        <f>B39-E39</f>
        <v>27992</v>
      </c>
      <c r="G39" s="5"/>
    </row>
    <row r="40" ht="23" customHeight="1" spans="1:7">
      <c r="A40" s="5"/>
      <c r="B40" s="9"/>
      <c r="C40" s="9"/>
      <c r="D40" s="9"/>
      <c r="E40" s="10"/>
      <c r="F40" s="9"/>
      <c r="G40" s="5"/>
    </row>
    <row r="41" ht="23" customHeight="1" spans="1:7">
      <c r="A41" s="11"/>
      <c r="B41" s="12" t="s">
        <v>393</v>
      </c>
      <c r="C41" s="13"/>
      <c r="D41" s="13"/>
      <c r="E41" s="13"/>
      <c r="F41" s="14"/>
      <c r="G41" s="15"/>
    </row>
    <row r="42" ht="23" customHeight="1" spans="1:7">
      <c r="A42" s="11"/>
      <c r="B42" s="16" t="s">
        <v>394</v>
      </c>
      <c r="C42" s="16" t="s">
        <v>395</v>
      </c>
      <c r="D42" s="16" t="s">
        <v>396</v>
      </c>
      <c r="E42" s="16" t="s">
        <v>397</v>
      </c>
      <c r="F42" s="16" t="s">
        <v>398</v>
      </c>
      <c r="G42" s="15"/>
    </row>
    <row r="43" ht="23" customHeight="1" spans="1:7">
      <c r="A43" s="29">
        <v>45663</v>
      </c>
      <c r="B43" s="30">
        <v>23</v>
      </c>
      <c r="C43" s="31" t="s">
        <v>399</v>
      </c>
      <c r="D43" s="32">
        <v>2752</v>
      </c>
      <c r="E43" s="48"/>
      <c r="F43" s="33">
        <f>D43-E43</f>
        <v>2752</v>
      </c>
      <c r="G43" s="23"/>
    </row>
    <row r="44" ht="23" customHeight="1" spans="1:7">
      <c r="A44" s="29">
        <v>45664</v>
      </c>
      <c r="B44" s="30">
        <v>32</v>
      </c>
      <c r="C44" s="31" t="s">
        <v>399</v>
      </c>
      <c r="D44" s="32">
        <v>8540</v>
      </c>
      <c r="E44" s="48"/>
      <c r="F44" s="33">
        <f t="shared" ref="F44:F66" si="1">F43+D44-E44</f>
        <v>11292</v>
      </c>
      <c r="G44" s="23"/>
    </row>
    <row r="45" ht="23" customHeight="1" spans="1:7">
      <c r="A45" s="29">
        <v>45672</v>
      </c>
      <c r="B45" s="30">
        <v>52</v>
      </c>
      <c r="C45" s="31" t="s">
        <v>399</v>
      </c>
      <c r="D45" s="32">
        <v>375</v>
      </c>
      <c r="E45" s="48"/>
      <c r="F45" s="33">
        <f t="shared" si="1"/>
        <v>11667</v>
      </c>
      <c r="G45" s="23"/>
    </row>
    <row r="46" ht="18.75" spans="1:7">
      <c r="A46" s="24">
        <v>45703</v>
      </c>
      <c r="B46" s="25">
        <v>2</v>
      </c>
      <c r="C46" s="26" t="s">
        <v>399</v>
      </c>
      <c r="D46" s="27">
        <v>7380</v>
      </c>
      <c r="E46" s="21"/>
      <c r="F46" s="22">
        <f t="shared" si="1"/>
        <v>19047</v>
      </c>
      <c r="G46" s="55"/>
    </row>
    <row r="47" ht="18.75" spans="1:7">
      <c r="A47" s="24">
        <v>45710</v>
      </c>
      <c r="B47" s="25">
        <v>34</v>
      </c>
      <c r="C47" s="26" t="s">
        <v>399</v>
      </c>
      <c r="D47" s="27">
        <v>7735</v>
      </c>
      <c r="E47" s="21"/>
      <c r="F47" s="22">
        <f t="shared" si="1"/>
        <v>26782</v>
      </c>
      <c r="G47" s="55"/>
    </row>
    <row r="48" ht="18.75" spans="1:7">
      <c r="A48" s="24">
        <v>45716</v>
      </c>
      <c r="B48" s="25">
        <v>52</v>
      </c>
      <c r="C48" s="26" t="s">
        <v>399</v>
      </c>
      <c r="D48" s="27">
        <v>122</v>
      </c>
      <c r="E48" s="21"/>
      <c r="F48" s="22">
        <f t="shared" si="1"/>
        <v>26904</v>
      </c>
      <c r="G48" s="55"/>
    </row>
    <row r="49" ht="18.75" spans="1:7">
      <c r="A49" s="29">
        <v>45717</v>
      </c>
      <c r="B49" s="30">
        <v>3</v>
      </c>
      <c r="C49" s="31" t="s">
        <v>399</v>
      </c>
      <c r="D49" s="32">
        <v>1088</v>
      </c>
      <c r="E49" s="48"/>
      <c r="F49" s="33">
        <f t="shared" si="1"/>
        <v>27992</v>
      </c>
      <c r="G49" s="23"/>
    </row>
    <row r="50" ht="18.75" spans="1:7">
      <c r="A50" s="29">
        <v>45718</v>
      </c>
      <c r="B50" s="30">
        <v>8</v>
      </c>
      <c r="C50" s="31" t="s">
        <v>401</v>
      </c>
      <c r="D50" s="32">
        <v>-695</v>
      </c>
      <c r="E50" s="48"/>
      <c r="F50" s="33">
        <f t="shared" si="1"/>
        <v>27297</v>
      </c>
      <c r="G50" s="23"/>
    </row>
    <row r="51" ht="18.75" spans="1:7">
      <c r="A51" s="29">
        <v>45722</v>
      </c>
      <c r="B51" s="30">
        <v>28</v>
      </c>
      <c r="C51" s="31" t="s">
        <v>399</v>
      </c>
      <c r="D51" s="32">
        <v>750</v>
      </c>
      <c r="E51" s="48"/>
      <c r="F51" s="33">
        <f t="shared" si="1"/>
        <v>28047</v>
      </c>
      <c r="G51" s="23"/>
    </row>
    <row r="52" ht="18.75" spans="1:7">
      <c r="A52" s="29">
        <v>45726</v>
      </c>
      <c r="B52" s="30">
        <v>34</v>
      </c>
      <c r="C52" s="31" t="s">
        <v>399</v>
      </c>
      <c r="D52" s="32">
        <v>4930</v>
      </c>
      <c r="E52" s="48"/>
      <c r="F52" s="33">
        <f t="shared" si="1"/>
        <v>32977</v>
      </c>
      <c r="G52" s="23"/>
    </row>
    <row r="53" ht="18.75" spans="1:7">
      <c r="A53" s="29">
        <v>45734</v>
      </c>
      <c r="B53" s="30">
        <v>65</v>
      </c>
      <c r="C53" s="31" t="s">
        <v>399</v>
      </c>
      <c r="D53" s="32">
        <v>1294</v>
      </c>
      <c r="E53" s="48"/>
      <c r="F53" s="33">
        <f t="shared" si="1"/>
        <v>34271</v>
      </c>
      <c r="G53" s="23"/>
    </row>
    <row r="54" ht="18.75" spans="1:7">
      <c r="A54" s="29">
        <v>45737</v>
      </c>
      <c r="B54" s="30">
        <v>82</v>
      </c>
      <c r="C54" s="31" t="s">
        <v>399</v>
      </c>
      <c r="D54" s="32">
        <v>2740</v>
      </c>
      <c r="E54" s="48"/>
      <c r="F54" s="33">
        <f t="shared" si="1"/>
        <v>37011</v>
      </c>
      <c r="G54" s="23"/>
    </row>
    <row r="55" ht="18.75" spans="1:7">
      <c r="A55" s="29">
        <v>45738</v>
      </c>
      <c r="B55" s="30">
        <v>88</v>
      </c>
      <c r="C55" s="31" t="s">
        <v>399</v>
      </c>
      <c r="D55" s="32">
        <v>1125</v>
      </c>
      <c r="E55" s="48"/>
      <c r="F55" s="33">
        <f t="shared" si="1"/>
        <v>38136</v>
      </c>
      <c r="G55" s="23"/>
    </row>
    <row r="56" ht="18.75" spans="1:7">
      <c r="A56" s="29">
        <v>45747</v>
      </c>
      <c r="B56" s="30">
        <v>128</v>
      </c>
      <c r="C56" s="31" t="s">
        <v>399</v>
      </c>
      <c r="D56" s="32">
        <v>1176</v>
      </c>
      <c r="E56" s="48"/>
      <c r="F56" s="33">
        <f t="shared" si="1"/>
        <v>39312</v>
      </c>
      <c r="G56" s="23"/>
    </row>
    <row r="57" ht="18.75" spans="1:7">
      <c r="A57" s="24">
        <v>45750</v>
      </c>
      <c r="B57" s="25">
        <v>17</v>
      </c>
      <c r="C57" s="26" t="s">
        <v>399</v>
      </c>
      <c r="D57" s="27">
        <v>8202</v>
      </c>
      <c r="E57" s="21"/>
      <c r="F57" s="22">
        <f t="shared" si="1"/>
        <v>47514</v>
      </c>
      <c r="G57" s="56"/>
    </row>
    <row r="58" ht="18.75" spans="1:7">
      <c r="A58" s="24">
        <v>45765</v>
      </c>
      <c r="B58" s="25">
        <v>54</v>
      </c>
      <c r="C58" s="26" t="s">
        <v>399</v>
      </c>
      <c r="D58" s="27">
        <v>108.5</v>
      </c>
      <c r="E58" s="38"/>
      <c r="F58" s="22">
        <f t="shared" si="1"/>
        <v>47622.5</v>
      </c>
      <c r="G58" s="55"/>
    </row>
    <row r="59" ht="18.75" spans="1:7">
      <c r="A59" s="24">
        <v>45770</v>
      </c>
      <c r="B59" s="25">
        <v>71</v>
      </c>
      <c r="C59" s="26" t="s">
        <v>399</v>
      </c>
      <c r="D59" s="27">
        <v>2600</v>
      </c>
      <c r="E59" s="38"/>
      <c r="F59" s="22">
        <f t="shared" si="1"/>
        <v>50222.5</v>
      </c>
      <c r="G59" s="55"/>
    </row>
    <row r="60" ht="18.75" spans="1:7">
      <c r="A60" s="24">
        <v>45773</v>
      </c>
      <c r="B60" s="25">
        <v>87</v>
      </c>
      <c r="C60" s="26" t="s">
        <v>399</v>
      </c>
      <c r="D60" s="27">
        <v>2030</v>
      </c>
      <c r="E60" s="38"/>
      <c r="F60" s="22">
        <f t="shared" si="1"/>
        <v>52252.5</v>
      </c>
      <c r="G60" s="55"/>
    </row>
    <row r="61" ht="18.75" spans="1:7">
      <c r="A61" s="29">
        <v>45782</v>
      </c>
      <c r="B61" s="30">
        <v>2</v>
      </c>
      <c r="C61" s="31" t="s">
        <v>399</v>
      </c>
      <c r="D61" s="32">
        <v>750</v>
      </c>
      <c r="E61" s="48"/>
      <c r="F61" s="33">
        <f t="shared" si="1"/>
        <v>53002.5</v>
      </c>
      <c r="G61" s="23"/>
    </row>
    <row r="62" ht="18.75" spans="1:7">
      <c r="A62" s="29">
        <v>45786</v>
      </c>
      <c r="B62" s="30">
        <v>11</v>
      </c>
      <c r="C62" s="31" t="s">
        <v>399</v>
      </c>
      <c r="D62" s="32">
        <v>5263.5</v>
      </c>
      <c r="E62" s="48"/>
      <c r="F62" s="33">
        <f t="shared" si="1"/>
        <v>58266</v>
      </c>
      <c r="G62" s="23"/>
    </row>
    <row r="63" ht="18.75" spans="1:7">
      <c r="A63" s="29">
        <v>45787</v>
      </c>
      <c r="B63" s="30">
        <v>21</v>
      </c>
      <c r="C63" s="31" t="s">
        <v>399</v>
      </c>
      <c r="D63" s="32">
        <v>3045</v>
      </c>
      <c r="E63" s="48"/>
      <c r="F63" s="33">
        <f t="shared" si="1"/>
        <v>61311</v>
      </c>
      <c r="G63" s="23"/>
    </row>
    <row r="64" ht="18.75" spans="1:7">
      <c r="A64" s="29">
        <v>45800</v>
      </c>
      <c r="B64" s="30">
        <v>61</v>
      </c>
      <c r="C64" s="31" t="s">
        <v>399</v>
      </c>
      <c r="D64" s="32">
        <v>5583</v>
      </c>
      <c r="E64" s="48"/>
      <c r="F64" s="33">
        <f t="shared" si="1"/>
        <v>66894</v>
      </c>
      <c r="G64" s="23"/>
    </row>
    <row r="65" ht="18.75" spans="1:7">
      <c r="A65" s="29">
        <v>45804</v>
      </c>
      <c r="B65" s="30">
        <v>67</v>
      </c>
      <c r="C65" s="31" t="s">
        <v>399</v>
      </c>
      <c r="D65" s="32">
        <v>394.1</v>
      </c>
      <c r="E65" s="48"/>
      <c r="F65" s="33">
        <f t="shared" si="1"/>
        <v>67288.1</v>
      </c>
      <c r="G65" s="55"/>
    </row>
    <row r="66" ht="18.75" spans="1:7">
      <c r="A66" s="29">
        <v>45806</v>
      </c>
      <c r="B66" s="30">
        <v>76</v>
      </c>
      <c r="C66" s="31" t="s">
        <v>399</v>
      </c>
      <c r="D66" s="32">
        <v>-601</v>
      </c>
      <c r="E66" s="38"/>
      <c r="F66" s="33">
        <f t="shared" si="1"/>
        <v>66687.1</v>
      </c>
      <c r="G66" s="55"/>
    </row>
  </sheetData>
  <mergeCells count="16">
    <mergeCell ref="A1:G1"/>
    <mergeCell ref="B2:D2"/>
    <mergeCell ref="B5:F5"/>
    <mergeCell ref="A37:G37"/>
    <mergeCell ref="B38:D38"/>
    <mergeCell ref="B41:F41"/>
    <mergeCell ref="A2:A6"/>
    <mergeCell ref="A38:A42"/>
    <mergeCell ref="E3:E4"/>
    <mergeCell ref="E39:E40"/>
    <mergeCell ref="F3:F4"/>
    <mergeCell ref="F39:F40"/>
    <mergeCell ref="G2:G6"/>
    <mergeCell ref="G38:G42"/>
    <mergeCell ref="B3:D4"/>
    <mergeCell ref="B39:D40"/>
  </mergeCells>
  <printOptions horizontalCentered="1"/>
  <pageMargins left="0.196527777777778" right="0.393055555555556" top="0.984027777777778" bottom="1" header="0.5" footer="0.5"/>
  <pageSetup paperSize="9" scale="83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9"/>
  <sheetViews>
    <sheetView workbookViewId="0">
      <selection activeCell="L17" sqref="L17"/>
    </sheetView>
  </sheetViews>
  <sheetFormatPr defaultColWidth="9" defaultRowHeight="14.25"/>
  <cols>
    <col min="1" max="1" width="11.875" customWidth="1"/>
    <col min="2" max="2" width="11.75" customWidth="1"/>
    <col min="3" max="3" width="23.625" customWidth="1"/>
    <col min="4" max="4" width="13.5" customWidth="1"/>
    <col min="5" max="5" width="18.625" customWidth="1"/>
    <col min="6" max="6" width="23" customWidth="1"/>
    <col min="7" max="7" width="7.625" customWidth="1"/>
  </cols>
  <sheetData>
    <row r="1" ht="25.5" spans="1:7">
      <c r="A1" s="3" t="s">
        <v>402</v>
      </c>
      <c r="B1" s="4"/>
      <c r="C1" s="4"/>
      <c r="D1" s="4"/>
      <c r="E1" s="3"/>
      <c r="F1" s="3"/>
      <c r="G1" s="3"/>
    </row>
    <row r="2" ht="20.25" spans="1:7">
      <c r="A2" s="5" t="s">
        <v>26</v>
      </c>
      <c r="B2" s="6" t="s">
        <v>390</v>
      </c>
      <c r="C2" s="6"/>
      <c r="D2" s="6"/>
      <c r="E2" s="6" t="s">
        <v>391</v>
      </c>
      <c r="F2" s="6" t="s">
        <v>392</v>
      </c>
      <c r="G2" s="5" t="s">
        <v>29</v>
      </c>
    </row>
    <row r="3" spans="1:7">
      <c r="A3" s="5"/>
      <c r="B3" s="7">
        <f>SUM(D7:D13)</f>
        <v>14429.6</v>
      </c>
      <c r="C3" s="7"/>
      <c r="D3" s="7"/>
      <c r="E3" s="8">
        <f>SUM(E7:E13)</f>
        <v>0</v>
      </c>
      <c r="F3" s="7">
        <f>B3-E3</f>
        <v>14429.6</v>
      </c>
      <c r="G3" s="5"/>
    </row>
    <row r="4" spans="1:7">
      <c r="A4" s="5"/>
      <c r="B4" s="9"/>
      <c r="C4" s="9"/>
      <c r="D4" s="9"/>
      <c r="E4" s="10"/>
      <c r="F4" s="9"/>
      <c r="G4" s="5"/>
    </row>
    <row r="5" ht="20.25" spans="1:7">
      <c r="A5" s="11"/>
      <c r="B5" s="12" t="s">
        <v>393</v>
      </c>
      <c r="C5" s="13"/>
      <c r="D5" s="13"/>
      <c r="E5" s="13"/>
      <c r="F5" s="14"/>
      <c r="G5" s="15"/>
    </row>
    <row r="6" ht="18.75" spans="1:7">
      <c r="A6" s="11"/>
      <c r="B6" s="16" t="s">
        <v>394</v>
      </c>
      <c r="C6" s="16" t="s">
        <v>395</v>
      </c>
      <c r="D6" s="16" t="s">
        <v>396</v>
      </c>
      <c r="E6" s="16" t="s">
        <v>397</v>
      </c>
      <c r="F6" s="16" t="s">
        <v>398</v>
      </c>
      <c r="G6" s="15"/>
    </row>
    <row r="7" ht="18.75" spans="1:7">
      <c r="A7" s="24" t="s">
        <v>403</v>
      </c>
      <c r="B7" s="25">
        <v>25</v>
      </c>
      <c r="C7" s="26" t="s">
        <v>399</v>
      </c>
      <c r="D7" s="27">
        <v>375</v>
      </c>
      <c r="E7" s="21"/>
      <c r="F7" s="22">
        <f>D7-E7</f>
        <v>375</v>
      </c>
      <c r="G7" s="23"/>
    </row>
    <row r="8" ht="18.75" spans="1:7">
      <c r="A8" s="24">
        <v>45848</v>
      </c>
      <c r="B8" s="25">
        <v>33</v>
      </c>
      <c r="C8" s="26" t="s">
        <v>399</v>
      </c>
      <c r="D8" s="27">
        <v>5500</v>
      </c>
      <c r="E8" s="21"/>
      <c r="F8" s="22">
        <f t="shared" ref="F8:F13" si="0">F7+D8-E8</f>
        <v>5875</v>
      </c>
      <c r="G8" s="23"/>
    </row>
    <row r="9" ht="18.75" spans="1:7">
      <c r="A9" s="24">
        <v>45850</v>
      </c>
      <c r="B9" s="25">
        <v>48</v>
      </c>
      <c r="C9" s="26" t="s">
        <v>399</v>
      </c>
      <c r="D9" s="27">
        <v>363.2</v>
      </c>
      <c r="E9" s="21"/>
      <c r="F9" s="22">
        <f t="shared" si="0"/>
        <v>6238.2</v>
      </c>
      <c r="G9" s="23"/>
    </row>
    <row r="10" ht="18.75" spans="1:7">
      <c r="A10" s="24">
        <v>45853</v>
      </c>
      <c r="B10" s="25">
        <v>52</v>
      </c>
      <c r="C10" s="26" t="s">
        <v>399</v>
      </c>
      <c r="D10" s="27">
        <v>301.4</v>
      </c>
      <c r="E10" s="21"/>
      <c r="F10" s="22">
        <f t="shared" si="0"/>
        <v>6539.6</v>
      </c>
      <c r="G10" s="23"/>
    </row>
    <row r="11" ht="18.75" spans="1:7">
      <c r="A11" s="24">
        <v>45857</v>
      </c>
      <c r="B11" s="25">
        <v>70</v>
      </c>
      <c r="C11" s="26" t="s">
        <v>399</v>
      </c>
      <c r="D11" s="27">
        <v>140</v>
      </c>
      <c r="E11" s="21"/>
      <c r="F11" s="22">
        <f t="shared" si="0"/>
        <v>6679.6</v>
      </c>
      <c r="G11" s="23"/>
    </row>
    <row r="12" ht="18.75" spans="1:7">
      <c r="A12" s="24">
        <v>45863</v>
      </c>
      <c r="B12" s="25">
        <v>84</v>
      </c>
      <c r="C12" s="26" t="s">
        <v>399</v>
      </c>
      <c r="D12" s="27">
        <v>7750</v>
      </c>
      <c r="E12" s="21"/>
      <c r="F12" s="22">
        <f t="shared" si="0"/>
        <v>14429.6</v>
      </c>
      <c r="G12" s="23"/>
    </row>
    <row r="13" ht="18.75" spans="1:7">
      <c r="A13" s="24"/>
      <c r="B13" s="25"/>
      <c r="C13" s="26"/>
      <c r="D13" s="27"/>
      <c r="E13" s="21"/>
      <c r="F13" s="22"/>
      <c r="G13" s="23"/>
    </row>
    <row r="14" ht="18.75" spans="1:7">
      <c r="A14" s="24"/>
      <c r="B14" s="25"/>
      <c r="C14" s="26"/>
      <c r="D14" s="27"/>
      <c r="E14" s="21"/>
      <c r="F14" s="22"/>
      <c r="G14" s="23"/>
    </row>
    <row r="15" ht="18.75" spans="1:7">
      <c r="A15" s="78"/>
      <c r="B15" s="79"/>
      <c r="C15" s="79"/>
      <c r="D15" s="79"/>
      <c r="E15" s="79"/>
      <c r="F15" s="79"/>
      <c r="G15" s="80"/>
    </row>
    <row r="16" ht="25.5" spans="1:7">
      <c r="A16" s="3" t="s">
        <v>404</v>
      </c>
      <c r="B16" s="4"/>
      <c r="C16" s="4"/>
      <c r="D16" s="4"/>
      <c r="E16" s="3"/>
      <c r="F16" s="3"/>
      <c r="G16" s="3"/>
    </row>
    <row r="17" ht="20.25" spans="1:13">
      <c r="A17" s="5" t="s">
        <v>26</v>
      </c>
      <c r="B17" s="6" t="s">
        <v>390</v>
      </c>
      <c r="C17" s="6"/>
      <c r="D17" s="6"/>
      <c r="E17" s="6" t="s">
        <v>391</v>
      </c>
      <c r="F17" s="6" t="s">
        <v>392</v>
      </c>
      <c r="G17" s="5" t="s">
        <v>29</v>
      </c>
    </row>
    <row r="18" spans="1:13">
      <c r="A18" s="5"/>
      <c r="B18" s="7">
        <f>SUM(D22:D27)</f>
        <v>18900.2</v>
      </c>
      <c r="C18" s="7"/>
      <c r="D18" s="7"/>
      <c r="E18" s="8">
        <f>SUM(E8:E14)</f>
        <v>0</v>
      </c>
      <c r="F18" s="7">
        <f>B18-E18</f>
        <v>18900.2</v>
      </c>
      <c r="G18" s="5"/>
    </row>
    <row r="19" spans="1:13">
      <c r="A19" s="5"/>
      <c r="B19" s="9"/>
      <c r="C19" s="9"/>
      <c r="D19" s="9"/>
      <c r="E19" s="10"/>
      <c r="F19" s="9"/>
      <c r="G19" s="5"/>
    </row>
    <row r="20" ht="20.25" spans="1:13">
      <c r="A20" s="11"/>
      <c r="B20" s="12" t="s">
        <v>393</v>
      </c>
      <c r="C20" s="13"/>
      <c r="D20" s="13"/>
      <c r="E20" s="13"/>
      <c r="F20" s="14"/>
      <c r="G20" s="15"/>
    </row>
    <row r="21" ht="18.75" spans="1:13">
      <c r="A21" s="11"/>
      <c r="B21" s="16" t="s">
        <v>394</v>
      </c>
      <c r="C21" s="16" t="s">
        <v>395</v>
      </c>
      <c r="D21" s="16" t="s">
        <v>396</v>
      </c>
      <c r="E21" s="16" t="s">
        <v>397</v>
      </c>
      <c r="F21" s="16" t="s">
        <v>398</v>
      </c>
      <c r="G21" s="15"/>
    </row>
    <row r="22" ht="18.75" spans="1:13">
      <c r="A22" s="29">
        <v>45816</v>
      </c>
      <c r="B22" s="30">
        <v>22</v>
      </c>
      <c r="C22" s="31" t="s">
        <v>399</v>
      </c>
      <c r="D22" s="32">
        <v>285.2</v>
      </c>
      <c r="E22" s="48"/>
      <c r="F22" s="33">
        <f>D22-E22</f>
        <v>285.2</v>
      </c>
      <c r="G22" s="23"/>
    </row>
    <row r="23" ht="18.75" spans="1:13">
      <c r="A23" s="29">
        <v>45817</v>
      </c>
      <c r="B23" s="30">
        <v>26</v>
      </c>
      <c r="C23" s="31" t="s">
        <v>399</v>
      </c>
      <c r="D23" s="32">
        <v>6950</v>
      </c>
      <c r="E23" s="48"/>
      <c r="F23" s="33">
        <f>F22+D23-E23</f>
        <v>7235.2</v>
      </c>
      <c r="G23" s="23"/>
    </row>
    <row r="24" ht="18.75" spans="1:13">
      <c r="A24" s="29">
        <v>45825</v>
      </c>
      <c r="B24" s="30">
        <v>57</v>
      </c>
      <c r="C24" s="31" t="s">
        <v>399</v>
      </c>
      <c r="D24" s="32">
        <v>5001</v>
      </c>
      <c r="E24" s="48"/>
      <c r="F24" s="33">
        <f>F23+D24-E24</f>
        <v>12236.2</v>
      </c>
      <c r="G24" s="23"/>
    </row>
    <row r="25" ht="18.75" spans="1:13">
      <c r="A25" s="29">
        <v>45827</v>
      </c>
      <c r="B25" s="30">
        <v>61</v>
      </c>
      <c r="C25" s="31" t="s">
        <v>399</v>
      </c>
      <c r="D25" s="32">
        <v>145</v>
      </c>
      <c r="E25" s="48"/>
      <c r="F25" s="33">
        <f>F24+D25-E25</f>
        <v>12381.2</v>
      </c>
      <c r="G25" s="23"/>
    </row>
    <row r="26" ht="18.75" spans="1:13">
      <c r="A26" s="29">
        <v>45833</v>
      </c>
      <c r="B26" s="30">
        <v>78</v>
      </c>
      <c r="C26" s="31" t="s">
        <v>399</v>
      </c>
      <c r="D26" s="32">
        <v>5919</v>
      </c>
      <c r="E26" s="48"/>
      <c r="F26" s="33">
        <f>F25+D26-E26</f>
        <v>18300.2</v>
      </c>
      <c r="G26" s="23"/>
    </row>
    <row r="27" ht="18.75" spans="1:13">
      <c r="A27" s="29">
        <v>45836</v>
      </c>
      <c r="B27" s="30">
        <v>94</v>
      </c>
      <c r="C27" s="31" t="s">
        <v>399</v>
      </c>
      <c r="D27" s="32">
        <v>600</v>
      </c>
      <c r="E27" s="48"/>
      <c r="F27" s="33">
        <f>F26+D27-E27</f>
        <v>18900.2</v>
      </c>
      <c r="G27" s="23"/>
    </row>
    <row r="30" ht="25.5" spans="1:13">
      <c r="A30" s="3" t="s">
        <v>405</v>
      </c>
      <c r="B30" s="4"/>
      <c r="C30" s="4"/>
      <c r="D30" s="4"/>
      <c r="E30" s="3"/>
      <c r="F30" s="3"/>
      <c r="G30" s="3"/>
      <c r="M30" t="s">
        <v>406</v>
      </c>
    </row>
    <row r="31" ht="20.25" spans="1:13">
      <c r="A31" s="5" t="s">
        <v>26</v>
      </c>
      <c r="B31" s="6" t="s">
        <v>390</v>
      </c>
      <c r="C31" s="6"/>
      <c r="D31" s="6"/>
      <c r="E31" s="6" t="s">
        <v>391</v>
      </c>
      <c r="F31" s="6" t="s">
        <v>392</v>
      </c>
      <c r="G31" s="5" t="s">
        <v>29</v>
      </c>
    </row>
    <row r="32" spans="1:13">
      <c r="A32" s="5"/>
      <c r="B32" s="7">
        <f>SUM(D36:D41)</f>
        <v>14434.6</v>
      </c>
      <c r="C32" s="7"/>
      <c r="D32" s="7"/>
      <c r="E32" s="8">
        <f>SUM(E36:E41)</f>
        <v>0</v>
      </c>
      <c r="F32" s="7">
        <f>B32-E32</f>
        <v>14434.6</v>
      </c>
      <c r="G32" s="5"/>
    </row>
    <row r="33" spans="1:7">
      <c r="A33" s="5"/>
      <c r="B33" s="9"/>
      <c r="C33" s="9"/>
      <c r="D33" s="9"/>
      <c r="E33" s="10"/>
      <c r="F33" s="9"/>
      <c r="G33" s="5"/>
    </row>
    <row r="34" ht="20.25" spans="1:7">
      <c r="A34" s="11"/>
      <c r="B34" s="12" t="s">
        <v>393</v>
      </c>
      <c r="C34" s="13"/>
      <c r="D34" s="13"/>
      <c r="E34" s="13"/>
      <c r="F34" s="14"/>
      <c r="G34" s="15"/>
    </row>
    <row r="35" ht="18.75" spans="1:7">
      <c r="A35" s="11"/>
      <c r="B35" s="16" t="s">
        <v>394</v>
      </c>
      <c r="C35" s="16" t="s">
        <v>395</v>
      </c>
      <c r="D35" s="16" t="s">
        <v>396</v>
      </c>
      <c r="E35" s="16" t="s">
        <v>397</v>
      </c>
      <c r="F35" s="16" t="s">
        <v>398</v>
      </c>
      <c r="G35" s="15"/>
    </row>
    <row r="36" ht="18.75" spans="1:7">
      <c r="A36" s="29">
        <v>45782</v>
      </c>
      <c r="B36" s="30">
        <v>2</v>
      </c>
      <c r="C36" s="31" t="s">
        <v>399</v>
      </c>
      <c r="D36" s="32">
        <v>750</v>
      </c>
      <c r="E36" s="48"/>
      <c r="F36" s="33">
        <f>D36-E36</f>
        <v>750</v>
      </c>
      <c r="G36" s="55"/>
    </row>
    <row r="37" ht="18.75" spans="1:7">
      <c r="A37" s="29">
        <v>45786</v>
      </c>
      <c r="B37" s="30">
        <v>11</v>
      </c>
      <c r="C37" s="31" t="s">
        <v>399</v>
      </c>
      <c r="D37" s="32">
        <v>5263.5</v>
      </c>
      <c r="E37" s="48"/>
      <c r="F37" s="33">
        <f t="shared" ref="F37:F43" si="1">F36+D37-E37</f>
        <v>6013.5</v>
      </c>
      <c r="G37" s="55"/>
    </row>
    <row r="38" ht="18.75" spans="1:7">
      <c r="A38" s="29">
        <v>45787</v>
      </c>
      <c r="B38" s="30">
        <v>21</v>
      </c>
      <c r="C38" s="31" t="s">
        <v>399</v>
      </c>
      <c r="D38" s="32">
        <v>3045</v>
      </c>
      <c r="E38" s="48"/>
      <c r="F38" s="33">
        <f t="shared" si="1"/>
        <v>9058.5</v>
      </c>
      <c r="G38" s="55"/>
    </row>
    <row r="39" ht="18.75" spans="1:7">
      <c r="A39" s="29">
        <v>45800</v>
      </c>
      <c r="B39" s="30">
        <v>61</v>
      </c>
      <c r="C39" s="31" t="s">
        <v>399</v>
      </c>
      <c r="D39" s="32">
        <v>5583</v>
      </c>
      <c r="E39" s="48"/>
      <c r="F39" s="33">
        <f t="shared" si="1"/>
        <v>14641.5</v>
      </c>
      <c r="G39" s="55"/>
    </row>
    <row r="40" ht="18.75" spans="1:7">
      <c r="A40" s="29">
        <v>45804</v>
      </c>
      <c r="B40" s="30">
        <v>67</v>
      </c>
      <c r="C40" s="31" t="s">
        <v>399</v>
      </c>
      <c r="D40" s="32">
        <v>394.1</v>
      </c>
      <c r="E40" s="48"/>
      <c r="F40" s="33">
        <f t="shared" si="1"/>
        <v>15035.6</v>
      </c>
      <c r="G40" s="55"/>
    </row>
    <row r="41" ht="18.75" spans="1:7">
      <c r="A41" s="29">
        <v>45806</v>
      </c>
      <c r="B41" s="30">
        <v>76</v>
      </c>
      <c r="C41" s="31" t="s">
        <v>399</v>
      </c>
      <c r="D41" s="32">
        <v>-601</v>
      </c>
      <c r="E41" s="48"/>
      <c r="F41" s="81">
        <f t="shared" si="1"/>
        <v>14434.6</v>
      </c>
    </row>
    <row r="42" ht="18.75" spans="1:7">
      <c r="A42" s="34">
        <v>45873</v>
      </c>
      <c r="B42" s="35"/>
      <c r="C42" s="36" t="s">
        <v>407</v>
      </c>
      <c r="D42" s="37">
        <v>-900</v>
      </c>
      <c r="E42" s="38"/>
      <c r="F42" s="81">
        <f t="shared" si="1"/>
        <v>13534.6</v>
      </c>
      <c r="G42" s="40"/>
    </row>
    <row r="43" ht="18.75" spans="1:7">
      <c r="A43" s="34">
        <v>45876</v>
      </c>
      <c r="B43" s="35"/>
      <c r="C43" s="36" t="s">
        <v>408</v>
      </c>
      <c r="D43" s="37">
        <v>200</v>
      </c>
      <c r="E43" s="38"/>
      <c r="F43" s="81">
        <f t="shared" si="1"/>
        <v>13734.6</v>
      </c>
      <c r="G43" s="40" t="s">
        <v>409</v>
      </c>
    </row>
    <row r="44" ht="20.25" spans="1:7">
      <c r="B44" s="82" t="s">
        <v>386</v>
      </c>
      <c r="C44" s="83"/>
      <c r="D44" s="83"/>
      <c r="E44" s="83"/>
      <c r="F44" s="84"/>
    </row>
    <row r="45" ht="20.25" spans="1:7">
      <c r="B45" s="85" t="s">
        <v>410</v>
      </c>
      <c r="C45" s="85"/>
      <c r="D45" s="83"/>
      <c r="E45" s="83"/>
      <c r="F45" s="83"/>
    </row>
    <row r="51" ht="25.5" spans="1:7">
      <c r="A51" s="3" t="s">
        <v>400</v>
      </c>
      <c r="B51" s="4"/>
      <c r="C51" s="4"/>
      <c r="D51" s="4"/>
      <c r="E51" s="3"/>
      <c r="F51" s="3"/>
      <c r="G51" s="3"/>
    </row>
    <row r="52" ht="20.25" spans="1:7">
      <c r="A52" s="5" t="s">
        <v>26</v>
      </c>
      <c r="B52" s="6" t="s">
        <v>390</v>
      </c>
      <c r="C52" s="6"/>
      <c r="D52" s="6"/>
      <c r="E52" s="6" t="s">
        <v>391</v>
      </c>
      <c r="F52" s="6" t="s">
        <v>392</v>
      </c>
      <c r="G52" s="5" t="s">
        <v>29</v>
      </c>
    </row>
    <row r="53" spans="1:7">
      <c r="A53" s="5"/>
      <c r="B53" s="7">
        <f>SUM(D57:D63)</f>
        <v>11667</v>
      </c>
      <c r="C53" s="7"/>
      <c r="D53" s="7"/>
      <c r="E53" s="8">
        <f>SUM(E57:E69)</f>
        <v>0</v>
      </c>
      <c r="F53" s="7">
        <f>B53-E53</f>
        <v>11667</v>
      </c>
      <c r="G53" s="5"/>
    </row>
    <row r="54" spans="1:7">
      <c r="A54" s="5"/>
      <c r="B54" s="9"/>
      <c r="C54" s="9"/>
      <c r="D54" s="9"/>
      <c r="E54" s="10"/>
      <c r="F54" s="9"/>
      <c r="G54" s="5"/>
    </row>
    <row r="55" ht="20.25" spans="1:7">
      <c r="A55" s="11"/>
      <c r="B55" s="12" t="s">
        <v>393</v>
      </c>
      <c r="C55" s="13"/>
      <c r="D55" s="13"/>
      <c r="E55" s="13"/>
      <c r="F55" s="14"/>
      <c r="G55" s="15"/>
    </row>
    <row r="56" ht="18.75" spans="1:7">
      <c r="A56" s="11"/>
      <c r="B56" s="16" t="s">
        <v>394</v>
      </c>
      <c r="C56" s="16" t="s">
        <v>395</v>
      </c>
      <c r="D56" s="16" t="s">
        <v>396</v>
      </c>
      <c r="E56" s="16" t="s">
        <v>397</v>
      </c>
      <c r="F56" s="16" t="s">
        <v>398</v>
      </c>
      <c r="G56" s="15"/>
    </row>
    <row r="57" ht="18.75" spans="1:7">
      <c r="A57" s="29">
        <v>45663</v>
      </c>
      <c r="B57" s="30">
        <v>23</v>
      </c>
      <c r="C57" s="31" t="s">
        <v>399</v>
      </c>
      <c r="D57" s="32">
        <v>2752</v>
      </c>
      <c r="E57" s="48"/>
      <c r="F57" s="33">
        <f>D57-E57</f>
        <v>2752</v>
      </c>
      <c r="G57" s="23"/>
    </row>
    <row r="58" ht="18.75" spans="1:7">
      <c r="A58" s="29">
        <v>45664</v>
      </c>
      <c r="B58" s="30">
        <v>32</v>
      </c>
      <c r="C58" s="31" t="s">
        <v>399</v>
      </c>
      <c r="D58" s="32">
        <v>8540</v>
      </c>
      <c r="E58" s="48"/>
      <c r="F58" s="33">
        <f>F57+D58-E58</f>
        <v>11292</v>
      </c>
      <c r="G58" s="23"/>
    </row>
    <row r="59" ht="18.75" spans="1:7">
      <c r="A59" s="29">
        <v>45672</v>
      </c>
      <c r="B59" s="30">
        <v>52</v>
      </c>
      <c r="C59" s="31" t="s">
        <v>399</v>
      </c>
      <c r="D59" s="32">
        <v>375</v>
      </c>
      <c r="E59" s="48"/>
      <c r="F59" s="33">
        <f>F58+D59-E59</f>
        <v>11667</v>
      </c>
      <c r="G59" s="23"/>
    </row>
  </sheetData>
  <mergeCells count="33">
    <mergeCell ref="A1:G1"/>
    <mergeCell ref="B2:D2"/>
    <mergeCell ref="B5:F5"/>
    <mergeCell ref="A15:G15"/>
    <mergeCell ref="A16:G16"/>
    <mergeCell ref="B17:D17"/>
    <mergeCell ref="B20:F20"/>
    <mergeCell ref="A30:G30"/>
    <mergeCell ref="B31:D31"/>
    <mergeCell ref="B34:F34"/>
    <mergeCell ref="A51:G51"/>
    <mergeCell ref="B52:D52"/>
    <mergeCell ref="B55:F55"/>
    <mergeCell ref="A2:A6"/>
    <mergeCell ref="A17:A21"/>
    <mergeCell ref="A31:A35"/>
    <mergeCell ref="A52:A56"/>
    <mergeCell ref="E3:E4"/>
    <mergeCell ref="E18:E19"/>
    <mergeCell ref="E32:E33"/>
    <mergeCell ref="E53:E54"/>
    <mergeCell ref="F3:F4"/>
    <mergeCell ref="F18:F19"/>
    <mergeCell ref="F32:F33"/>
    <mergeCell ref="F53:F54"/>
    <mergeCell ref="G2:G6"/>
    <mergeCell ref="G17:G21"/>
    <mergeCell ref="G31:G35"/>
    <mergeCell ref="G52:G56"/>
    <mergeCell ref="B3:D4"/>
    <mergeCell ref="B32:D33"/>
    <mergeCell ref="B18:D19"/>
    <mergeCell ref="B53:D54"/>
  </mergeCells>
  <pageMargins left="0.751388888888889" right="0.751388888888889" top="1" bottom="1" header="0.5" footer="0.5"/>
  <pageSetup paperSize="9" scale="73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44"/>
  <sheetViews>
    <sheetView workbookViewId="0">
      <selection activeCell="J9" sqref="J9"/>
    </sheetView>
  </sheetViews>
  <sheetFormatPr defaultColWidth="9" defaultRowHeight="14.25"/>
  <cols>
    <col min="1" max="1" width="11.875" customWidth="1"/>
    <col min="2" max="3" width="11.75" customWidth="1"/>
    <col min="4" max="4" width="13.5" customWidth="1"/>
    <col min="5" max="5" width="18.625" customWidth="1"/>
    <col min="6" max="6" width="23" customWidth="1"/>
    <col min="7" max="7" width="12.875" customWidth="1"/>
  </cols>
  <sheetData>
    <row r="1" ht="25.5" spans="1:11">
      <c r="A1" s="3" t="s">
        <v>389</v>
      </c>
      <c r="B1" s="4"/>
      <c r="C1" s="4"/>
      <c r="D1" s="4"/>
      <c r="E1" s="3"/>
      <c r="F1" s="3"/>
      <c r="G1" s="3"/>
    </row>
    <row r="2" ht="20.25" spans="1:11">
      <c r="A2" s="5" t="s">
        <v>26</v>
      </c>
      <c r="B2" s="6" t="s">
        <v>390</v>
      </c>
      <c r="C2" s="6"/>
      <c r="D2" s="6"/>
      <c r="E2" s="6" t="s">
        <v>391</v>
      </c>
      <c r="F2" s="6" t="s">
        <v>392</v>
      </c>
      <c r="G2" s="5" t="s">
        <v>29</v>
      </c>
    </row>
    <row r="3" ht="27" customHeight="1" spans="1:11">
      <c r="A3" s="5"/>
      <c r="B3" s="7">
        <f>SUM(D7:D10)</f>
        <v>12327</v>
      </c>
      <c r="C3" s="7"/>
      <c r="D3" s="7"/>
      <c r="E3" s="8">
        <f>SUM(E7:E20)</f>
        <v>0</v>
      </c>
      <c r="F3" s="7">
        <f>B3-E3</f>
        <v>12327</v>
      </c>
      <c r="G3" s="5"/>
    </row>
    <row r="4" ht="28" customHeight="1" spans="1:11">
      <c r="A4" s="5"/>
      <c r="B4" s="9"/>
      <c r="C4" s="9"/>
      <c r="D4" s="9"/>
      <c r="E4" s="10"/>
      <c r="F4" s="9"/>
      <c r="G4" s="5"/>
    </row>
    <row r="5" ht="23" customHeight="1" spans="1:11">
      <c r="A5" s="11"/>
      <c r="B5" s="12" t="s">
        <v>393</v>
      </c>
      <c r="C5" s="13"/>
      <c r="D5" s="13"/>
      <c r="E5" s="13"/>
      <c r="F5" s="14"/>
      <c r="G5" s="15"/>
    </row>
    <row r="6" ht="37" customHeight="1" spans="1:11">
      <c r="A6" s="11"/>
      <c r="B6" s="16" t="s">
        <v>394</v>
      </c>
      <c r="C6" s="16" t="s">
        <v>395</v>
      </c>
      <c r="D6" s="16" t="s">
        <v>396</v>
      </c>
      <c r="E6" s="16" t="s">
        <v>397</v>
      </c>
      <c r="F6" s="16" t="s">
        <v>398</v>
      </c>
      <c r="G6" s="15"/>
    </row>
    <row r="7" ht="18.75" spans="1:11">
      <c r="A7" s="17">
        <v>45941</v>
      </c>
      <c r="B7" s="18">
        <v>12</v>
      </c>
      <c r="C7" s="19" t="s">
        <v>399</v>
      </c>
      <c r="D7" s="20">
        <v>6437.5</v>
      </c>
      <c r="E7" s="21"/>
      <c r="F7" s="22">
        <f>F5+D7-E7</f>
        <v>6437.5</v>
      </c>
      <c r="G7" s="23"/>
    </row>
    <row r="8" ht="18.75" spans="1:11">
      <c r="A8" s="17">
        <v>45943</v>
      </c>
      <c r="B8" s="18">
        <v>18</v>
      </c>
      <c r="C8" s="19" t="s">
        <v>399</v>
      </c>
      <c r="D8" s="20">
        <v>290</v>
      </c>
      <c r="E8" s="21"/>
      <c r="F8" s="22">
        <f t="shared" ref="F8:F10" si="0">F7+D8-E8</f>
        <v>6727.5</v>
      </c>
      <c r="G8" s="23"/>
    </row>
    <row r="9" s="1" customFormat="1" ht="18.75" spans="1:11">
      <c r="A9" s="17">
        <v>45958</v>
      </c>
      <c r="B9" s="18">
        <v>92</v>
      </c>
      <c r="C9" s="19" t="s">
        <v>399</v>
      </c>
      <c r="D9" s="20">
        <v>5549</v>
      </c>
      <c r="E9" s="21"/>
      <c r="F9" s="22">
        <f t="shared" si="0"/>
        <v>12276.5</v>
      </c>
      <c r="G9" s="23"/>
      <c r="K9"/>
    </row>
    <row r="10" s="1" customFormat="1" ht="18.75" spans="1:11">
      <c r="A10" s="17">
        <v>45961</v>
      </c>
      <c r="B10" s="18">
        <v>99</v>
      </c>
      <c r="C10" s="19" t="s">
        <v>399</v>
      </c>
      <c r="D10" s="20">
        <v>50.5</v>
      </c>
      <c r="E10" s="21"/>
      <c r="F10" s="22">
        <f t="shared" si="0"/>
        <v>12327</v>
      </c>
      <c r="G10" s="23"/>
      <c r="K10"/>
    </row>
    <row r="11" spans="1:11">
      <c r="H11" s="1"/>
    </row>
    <row r="12" ht="25.5" spans="1:11">
      <c r="A12" s="3" t="s">
        <v>411</v>
      </c>
      <c r="B12" s="4"/>
      <c r="C12" s="4"/>
      <c r="D12" s="4"/>
      <c r="E12" s="3"/>
      <c r="F12" s="3"/>
      <c r="G12" s="3"/>
      <c r="H12" s="1"/>
    </row>
    <row r="13" ht="20.25" spans="1:11">
      <c r="A13" s="5" t="s">
        <v>26</v>
      </c>
      <c r="B13" s="6" t="s">
        <v>390</v>
      </c>
      <c r="C13" s="6"/>
      <c r="D13" s="6"/>
      <c r="E13" s="6" t="s">
        <v>391</v>
      </c>
      <c r="F13" s="6" t="s">
        <v>392</v>
      </c>
      <c r="G13" s="5" t="s">
        <v>29</v>
      </c>
      <c r="H13" s="1"/>
    </row>
    <row r="14" spans="1:11">
      <c r="A14" s="5"/>
      <c r="B14" s="7">
        <f>SUM(D18:D25)</f>
        <v>19143.5</v>
      </c>
      <c r="C14" s="7"/>
      <c r="D14" s="7"/>
      <c r="E14" s="8">
        <f>SUM(E18:E25)</f>
        <v>0</v>
      </c>
      <c r="F14" s="7">
        <f>B14-E14</f>
        <v>19143.5</v>
      </c>
      <c r="G14" s="5"/>
      <c r="H14" s="1"/>
    </row>
    <row r="15" ht="18" customHeight="1" spans="1:11">
      <c r="A15" s="5"/>
      <c r="B15" s="9"/>
      <c r="C15" s="9"/>
      <c r="D15" s="9"/>
      <c r="E15" s="10"/>
      <c r="F15" s="9"/>
      <c r="G15" s="5"/>
    </row>
    <row r="16" ht="20.25" spans="1:11">
      <c r="A16" s="11"/>
      <c r="B16" s="12" t="s">
        <v>393</v>
      </c>
      <c r="C16" s="13"/>
      <c r="D16" s="13"/>
      <c r="E16" s="13"/>
      <c r="F16" s="14"/>
      <c r="G16" s="15"/>
    </row>
    <row r="17" ht="18.75" spans="1:11">
      <c r="A17" s="11"/>
      <c r="B17" s="16" t="s">
        <v>394</v>
      </c>
      <c r="C17" s="16" t="s">
        <v>395</v>
      </c>
      <c r="D17" s="16" t="s">
        <v>396</v>
      </c>
      <c r="E17" s="16" t="s">
        <v>397</v>
      </c>
      <c r="F17" s="16" t="s">
        <v>398</v>
      </c>
      <c r="G17" s="15"/>
    </row>
    <row r="18" ht="27" customHeight="1" spans="1:11">
      <c r="A18" s="24">
        <v>45901</v>
      </c>
      <c r="B18" s="25">
        <v>3</v>
      </c>
      <c r="C18" s="26" t="s">
        <v>399</v>
      </c>
      <c r="D18" s="27">
        <v>120</v>
      </c>
      <c r="E18" s="21"/>
      <c r="F18" s="22">
        <f>D18-E18</f>
        <v>120</v>
      </c>
      <c r="G18" s="23"/>
    </row>
    <row r="19" ht="23" customHeight="1" spans="1:11">
      <c r="A19" s="24">
        <v>45908</v>
      </c>
      <c r="B19" s="25">
        <v>16</v>
      </c>
      <c r="C19" s="26" t="s">
        <v>399</v>
      </c>
      <c r="D19" s="27">
        <v>237.3</v>
      </c>
      <c r="E19" s="21"/>
      <c r="F19" s="22">
        <f>F18+D19-E19</f>
        <v>357.3</v>
      </c>
      <c r="G19" s="23"/>
    </row>
    <row r="20" ht="18.75" spans="1:11">
      <c r="A20" s="24">
        <v>45910</v>
      </c>
      <c r="B20" s="25">
        <v>26</v>
      </c>
      <c r="C20" s="26" t="s">
        <v>399</v>
      </c>
      <c r="D20" s="27">
        <v>5500</v>
      </c>
      <c r="E20" s="21"/>
      <c r="F20" s="22">
        <f t="shared" ref="F20:F26" si="1">F19+D20-E20</f>
        <v>5857.3</v>
      </c>
      <c r="G20" s="23"/>
    </row>
    <row r="21" s="1" customFormat="1" ht="18.75" spans="1:11">
      <c r="A21" s="24">
        <v>45913</v>
      </c>
      <c r="B21" s="25">
        <v>33</v>
      </c>
      <c r="C21" s="26" t="s">
        <v>399</v>
      </c>
      <c r="D21" s="27">
        <v>273.1</v>
      </c>
      <c r="E21" s="21"/>
      <c r="F21" s="22">
        <f t="shared" si="1"/>
        <v>6130.4</v>
      </c>
      <c r="G21" s="23"/>
      <c r="K21"/>
    </row>
    <row r="22" s="1" customFormat="1" ht="18.75" spans="1:11">
      <c r="A22" s="24">
        <v>45919</v>
      </c>
      <c r="B22" s="25">
        <v>53</v>
      </c>
      <c r="C22" s="26" t="s">
        <v>399</v>
      </c>
      <c r="D22" s="27">
        <v>5520</v>
      </c>
      <c r="E22" s="21"/>
      <c r="F22" s="22">
        <f t="shared" si="1"/>
        <v>11650.4</v>
      </c>
      <c r="G22" s="23"/>
      <c r="K22"/>
    </row>
    <row r="23" ht="18.75" spans="1:11">
      <c r="A23" s="24">
        <v>45922</v>
      </c>
      <c r="B23" s="25">
        <v>55</v>
      </c>
      <c r="C23" s="26" t="s">
        <v>399</v>
      </c>
      <c r="D23" s="27">
        <v>5879.1</v>
      </c>
      <c r="E23" s="21"/>
      <c r="F23" s="22">
        <f t="shared" si="1"/>
        <v>17529.5</v>
      </c>
      <c r="G23" s="23"/>
      <c r="H23" s="28" t="s">
        <v>412</v>
      </c>
    </row>
    <row r="24" ht="18.75" spans="1:11">
      <c r="A24" s="24">
        <v>45924</v>
      </c>
      <c r="B24" s="25">
        <v>68</v>
      </c>
      <c r="C24" s="26" t="s">
        <v>399</v>
      </c>
      <c r="D24" s="27">
        <v>1500</v>
      </c>
      <c r="E24" s="21"/>
      <c r="F24" s="22">
        <f t="shared" si="1"/>
        <v>19029.5</v>
      </c>
      <c r="G24" s="23"/>
    </row>
    <row r="25" ht="18.75" spans="1:11">
      <c r="A25" s="24">
        <v>45929</v>
      </c>
      <c r="B25" s="25">
        <v>88</v>
      </c>
      <c r="C25" s="26" t="s">
        <v>399</v>
      </c>
      <c r="D25" s="27">
        <v>114</v>
      </c>
      <c r="E25" s="21"/>
      <c r="F25" s="22">
        <f t="shared" si="1"/>
        <v>19143.5</v>
      </c>
      <c r="G25" s="23"/>
    </row>
    <row r="27" ht="25.5" spans="1:11">
      <c r="A27" s="3" t="s">
        <v>413</v>
      </c>
      <c r="B27" s="4"/>
      <c r="C27" s="4"/>
      <c r="D27" s="4"/>
      <c r="E27" s="3"/>
      <c r="F27" s="3"/>
      <c r="G27" s="3"/>
    </row>
    <row r="28" ht="20.25" spans="1:11">
      <c r="A28" s="5" t="s">
        <v>26</v>
      </c>
      <c r="B28" s="6" t="s">
        <v>390</v>
      </c>
      <c r="C28" s="6"/>
      <c r="D28" s="6"/>
      <c r="E28" s="6" t="s">
        <v>391</v>
      </c>
      <c r="F28" s="6" t="s">
        <v>392</v>
      </c>
      <c r="G28" s="5" t="s">
        <v>29</v>
      </c>
    </row>
    <row r="29" spans="1:11">
      <c r="A29" s="5"/>
      <c r="B29" s="7">
        <f>SUM(D33:D54)</f>
        <v>32242.2</v>
      </c>
      <c r="C29" s="7"/>
      <c r="D29" s="7"/>
      <c r="E29" s="8">
        <f>SUM(E33:E46)</f>
        <v>900</v>
      </c>
      <c r="F29" s="7">
        <f>B29-E29</f>
        <v>31342.2</v>
      </c>
      <c r="G29" s="5"/>
    </row>
    <row r="30" spans="1:11">
      <c r="A30" s="5"/>
      <c r="B30" s="9"/>
      <c r="C30" s="9"/>
      <c r="D30" s="9"/>
      <c r="E30" s="10"/>
      <c r="F30" s="9"/>
      <c r="G30" s="5"/>
    </row>
    <row r="31" ht="20.25" spans="1:11">
      <c r="A31" s="11"/>
      <c r="B31" s="12" t="s">
        <v>393</v>
      </c>
      <c r="C31" s="13"/>
      <c r="D31" s="13"/>
      <c r="E31" s="13"/>
      <c r="F31" s="14"/>
      <c r="G31" s="15"/>
    </row>
    <row r="32" s="2" customFormat="1" ht="23" customHeight="1" spans="1:11">
      <c r="A32" s="11"/>
      <c r="B32" s="16" t="s">
        <v>394</v>
      </c>
      <c r="C32" s="16" t="s">
        <v>395</v>
      </c>
      <c r="D32" s="16" t="s">
        <v>396</v>
      </c>
      <c r="E32" s="16" t="s">
        <v>397</v>
      </c>
      <c r="F32" s="16" t="s">
        <v>398</v>
      </c>
      <c r="G32" s="15"/>
      <c r="J32"/>
    </row>
    <row r="33" s="2" customFormat="1" ht="23" customHeight="1" spans="1:10">
      <c r="A33" s="29">
        <v>45877</v>
      </c>
      <c r="B33" s="30">
        <v>15</v>
      </c>
      <c r="C33" s="31" t="s">
        <v>399</v>
      </c>
      <c r="D33" s="32">
        <v>1110</v>
      </c>
      <c r="E33" s="21"/>
      <c r="F33" s="33">
        <f>D33-E33</f>
        <v>1110</v>
      </c>
      <c r="G33" s="23"/>
      <c r="J33"/>
    </row>
    <row r="34" s="2" customFormat="1" ht="23" customHeight="1" spans="1:10">
      <c r="A34" s="29">
        <v>45891</v>
      </c>
      <c r="B34" s="30">
        <v>22</v>
      </c>
      <c r="C34" s="31" t="s">
        <v>399</v>
      </c>
      <c r="D34" s="32">
        <v>3030.5</v>
      </c>
      <c r="E34" s="21"/>
      <c r="F34" s="33">
        <f t="shared" ref="F34:F38" si="2">F33+D34-E34</f>
        <v>4140.5</v>
      </c>
      <c r="G34" s="23"/>
      <c r="J34"/>
    </row>
    <row r="35" s="2" customFormat="1" ht="23" customHeight="1" spans="1:10">
      <c r="A35" s="29">
        <v>45892</v>
      </c>
      <c r="B35" s="30">
        <v>59</v>
      </c>
      <c r="C35" s="31" t="s">
        <v>399</v>
      </c>
      <c r="D35" s="32">
        <v>10397.1</v>
      </c>
      <c r="E35" s="21"/>
      <c r="F35" s="33">
        <f t="shared" si="2"/>
        <v>14537.6</v>
      </c>
      <c r="G35" s="23"/>
      <c r="J35"/>
    </row>
    <row r="36" s="2" customFormat="1" ht="23" customHeight="1" spans="1:10">
      <c r="A36" s="29">
        <v>45895</v>
      </c>
      <c r="B36" s="30">
        <v>67</v>
      </c>
      <c r="C36" s="31" t="s">
        <v>399</v>
      </c>
      <c r="D36" s="32">
        <v>2900</v>
      </c>
      <c r="E36" s="21"/>
      <c r="F36" s="33">
        <f t="shared" si="2"/>
        <v>17437.6</v>
      </c>
      <c r="G36" s="23"/>
      <c r="J36"/>
    </row>
    <row r="37" ht="18.75" spans="1:10">
      <c r="A37" s="29">
        <v>45897</v>
      </c>
      <c r="B37" s="30">
        <v>80</v>
      </c>
      <c r="C37" s="31" t="s">
        <v>399</v>
      </c>
      <c r="D37" s="32">
        <v>375</v>
      </c>
      <c r="E37" s="21"/>
      <c r="F37" s="33">
        <f t="shared" si="2"/>
        <v>17812.6</v>
      </c>
      <c r="G37" s="23"/>
    </row>
    <row r="38" ht="18.75" spans="1:10">
      <c r="A38" s="34"/>
      <c r="B38" s="35"/>
      <c r="C38" s="36" t="s">
        <v>414</v>
      </c>
      <c r="D38" s="37"/>
      <c r="E38" s="38">
        <v>900</v>
      </c>
      <c r="F38" s="39">
        <f t="shared" si="2"/>
        <v>16912.6</v>
      </c>
      <c r="G38" s="40" t="s">
        <v>415</v>
      </c>
    </row>
    <row r="39" ht="25.5" spans="1:10">
      <c r="A39" s="41" t="s">
        <v>402</v>
      </c>
      <c r="B39" s="42"/>
      <c r="C39" s="42"/>
      <c r="D39" s="42"/>
      <c r="E39" s="43"/>
      <c r="F39" s="43"/>
      <c r="G39" s="44"/>
    </row>
    <row r="40" ht="20.25" spans="1:10">
      <c r="A40" s="45" t="s">
        <v>26</v>
      </c>
      <c r="B40" s="6" t="s">
        <v>390</v>
      </c>
      <c r="C40" s="6"/>
      <c r="D40" s="6"/>
      <c r="E40" s="6" t="s">
        <v>391</v>
      </c>
      <c r="F40" s="6" t="s">
        <v>392</v>
      </c>
      <c r="G40" s="45" t="s">
        <v>29</v>
      </c>
    </row>
    <row r="41" spans="1:10">
      <c r="A41" s="45"/>
      <c r="B41" s="7">
        <f>SUM(D45:D50)</f>
        <v>14429.6</v>
      </c>
      <c r="C41" s="7"/>
      <c r="D41" s="7"/>
      <c r="E41" s="8">
        <f>SUM(E45:E57)</f>
        <v>0</v>
      </c>
      <c r="F41" s="7">
        <f>B41-E41</f>
        <v>14429.6</v>
      </c>
      <c r="G41" s="45"/>
    </row>
    <row r="42" spans="1:10">
      <c r="A42" s="45"/>
      <c r="B42" s="7"/>
      <c r="C42" s="7"/>
      <c r="D42" s="7"/>
      <c r="E42" s="8"/>
      <c r="F42" s="7"/>
      <c r="G42" s="45"/>
    </row>
    <row r="43" ht="30" customHeight="1" spans="1:10">
      <c r="A43" s="45"/>
      <c r="B43" s="46" t="s">
        <v>393</v>
      </c>
      <c r="C43" s="46"/>
      <c r="D43" s="46"/>
      <c r="E43" s="46"/>
      <c r="F43" s="46"/>
      <c r="G43" s="45"/>
    </row>
    <row r="44" ht="18.75" spans="1:10">
      <c r="A44" s="45"/>
      <c r="B44" s="47" t="s">
        <v>394</v>
      </c>
      <c r="C44" s="47" t="s">
        <v>395</v>
      </c>
      <c r="D44" s="47" t="s">
        <v>396</v>
      </c>
      <c r="E44" s="47" t="s">
        <v>397</v>
      </c>
      <c r="F44" s="47" t="s">
        <v>398</v>
      </c>
      <c r="G44" s="45"/>
    </row>
    <row r="45" ht="18.75" spans="1:10">
      <c r="A45" s="29" t="s">
        <v>403</v>
      </c>
      <c r="B45" s="30">
        <v>25</v>
      </c>
      <c r="C45" s="31" t="s">
        <v>399</v>
      </c>
      <c r="D45" s="32">
        <v>375</v>
      </c>
      <c r="E45" s="48"/>
      <c r="F45" s="33">
        <f>D45-E45</f>
        <v>375</v>
      </c>
      <c r="G45" s="23"/>
    </row>
    <row r="46" ht="18.75" spans="1:10">
      <c r="A46" s="29">
        <v>45848</v>
      </c>
      <c r="B46" s="30">
        <v>33</v>
      </c>
      <c r="C46" s="31" t="s">
        <v>399</v>
      </c>
      <c r="D46" s="32">
        <v>5500</v>
      </c>
      <c r="E46" s="48"/>
      <c r="F46" s="33">
        <f t="shared" ref="F46:F50" si="3">F45+D46-E46</f>
        <v>5875</v>
      </c>
      <c r="G46" s="23"/>
    </row>
    <row r="47" ht="27" customHeight="1" spans="1:10">
      <c r="A47" s="29">
        <v>45850</v>
      </c>
      <c r="B47" s="30">
        <v>48</v>
      </c>
      <c r="C47" s="31" t="s">
        <v>399</v>
      </c>
      <c r="D47" s="32">
        <v>363.2</v>
      </c>
      <c r="E47" s="48"/>
      <c r="F47" s="33">
        <f t="shared" si="3"/>
        <v>6238.2</v>
      </c>
      <c r="G47" s="23"/>
    </row>
    <row r="48" ht="23" customHeight="1" spans="1:10">
      <c r="A48" s="29">
        <v>45853</v>
      </c>
      <c r="B48" s="30">
        <v>52</v>
      </c>
      <c r="C48" s="31" t="s">
        <v>399</v>
      </c>
      <c r="D48" s="32">
        <v>301.4</v>
      </c>
      <c r="E48" s="48"/>
      <c r="F48" s="33">
        <f t="shared" si="3"/>
        <v>6539.6</v>
      </c>
      <c r="G48" s="23"/>
    </row>
    <row r="49" ht="18.75" spans="1:11">
      <c r="A49" s="29">
        <v>45857</v>
      </c>
      <c r="B49" s="30">
        <v>70</v>
      </c>
      <c r="C49" s="31" t="s">
        <v>399</v>
      </c>
      <c r="D49" s="32">
        <v>140</v>
      </c>
      <c r="E49" s="48"/>
      <c r="F49" s="33">
        <f t="shared" si="3"/>
        <v>6679.6</v>
      </c>
      <c r="G49" s="23"/>
      <c r="H49" s="28" t="s">
        <v>412</v>
      </c>
    </row>
    <row r="50" ht="18.75" spans="1:11">
      <c r="A50" s="29">
        <v>45863</v>
      </c>
      <c r="B50" s="30">
        <v>84</v>
      </c>
      <c r="C50" s="31" t="s">
        <v>399</v>
      </c>
      <c r="D50" s="32">
        <v>7750</v>
      </c>
      <c r="E50" s="48"/>
      <c r="F50" s="49">
        <f t="shared" si="3"/>
        <v>14429.6</v>
      </c>
      <c r="G50" s="23"/>
    </row>
    <row r="52" ht="25.5" spans="1:11">
      <c r="A52" s="3" t="s">
        <v>404</v>
      </c>
      <c r="B52" s="4"/>
      <c r="C52" s="4"/>
      <c r="D52" s="4"/>
      <c r="E52" s="3"/>
      <c r="F52" s="3"/>
      <c r="G52" s="3"/>
    </row>
    <row r="53" ht="20.25" spans="1:11">
      <c r="A53" s="5" t="s">
        <v>26</v>
      </c>
      <c r="B53" s="50" t="s">
        <v>390</v>
      </c>
      <c r="C53" s="50"/>
      <c r="D53" s="50"/>
      <c r="E53" s="50" t="s">
        <v>391</v>
      </c>
      <c r="F53" s="50" t="s">
        <v>392</v>
      </c>
      <c r="G53" s="5" t="s">
        <v>29</v>
      </c>
    </row>
    <row r="54" spans="1:11">
      <c r="A54" s="5"/>
      <c r="B54" s="51">
        <f>SUM(D58:D64)</f>
        <v>18900.2</v>
      </c>
      <c r="C54" s="51"/>
      <c r="D54" s="51"/>
      <c r="E54" s="52">
        <f>SUM(E58:E70)</f>
        <v>0</v>
      </c>
      <c r="F54" s="51">
        <f>B54-E54</f>
        <v>18900.2</v>
      </c>
      <c r="G54" s="5"/>
    </row>
    <row r="55" spans="1:11">
      <c r="A55" s="5"/>
      <c r="B55" s="53"/>
      <c r="C55" s="53"/>
      <c r="D55" s="53"/>
      <c r="E55" s="54"/>
      <c r="F55" s="53"/>
      <c r="G55" s="5"/>
    </row>
    <row r="56" ht="20.25" spans="1:11">
      <c r="A56" s="11"/>
      <c r="B56" s="12" t="s">
        <v>393</v>
      </c>
      <c r="C56" s="13"/>
      <c r="D56" s="13"/>
      <c r="E56" s="13"/>
      <c r="F56" s="14"/>
      <c r="G56" s="15"/>
    </row>
    <row r="57" ht="18.75" spans="1:11">
      <c r="A57" s="11"/>
      <c r="B57" s="16" t="s">
        <v>394</v>
      </c>
      <c r="C57" s="16" t="s">
        <v>395</v>
      </c>
      <c r="D57" s="16" t="s">
        <v>396</v>
      </c>
      <c r="E57" s="16" t="s">
        <v>397</v>
      </c>
      <c r="F57" s="16" t="s">
        <v>398</v>
      </c>
      <c r="G57" s="15"/>
    </row>
    <row r="58" ht="18.75" spans="1:11">
      <c r="A58" s="24">
        <v>45816</v>
      </c>
      <c r="B58" s="25">
        <v>22</v>
      </c>
      <c r="C58" s="26" t="s">
        <v>399</v>
      </c>
      <c r="D58" s="27">
        <v>285.2</v>
      </c>
      <c r="E58" s="21"/>
      <c r="F58" s="22">
        <f>D58-E58</f>
        <v>285.2</v>
      </c>
      <c r="G58" s="55"/>
    </row>
    <row r="59" ht="18.75" spans="1:11">
      <c r="A59" s="24">
        <v>45817</v>
      </c>
      <c r="B59" s="25">
        <v>26</v>
      </c>
      <c r="C59" s="26" t="s">
        <v>399</v>
      </c>
      <c r="D59" s="27">
        <v>6950</v>
      </c>
      <c r="E59" s="21"/>
      <c r="F59" s="22">
        <f t="shared" ref="F59:F63" si="4">F58+D59-E59</f>
        <v>7235.2</v>
      </c>
      <c r="G59" s="55"/>
    </row>
    <row r="60" ht="18.75" spans="1:11">
      <c r="A60" s="24">
        <v>45825</v>
      </c>
      <c r="B60" s="25">
        <v>57</v>
      </c>
      <c r="C60" s="26" t="s">
        <v>399</v>
      </c>
      <c r="D60" s="27">
        <v>5001</v>
      </c>
      <c r="E60" s="21"/>
      <c r="F60" s="22">
        <f t="shared" si="4"/>
        <v>12236.2</v>
      </c>
      <c r="G60" s="55"/>
    </row>
    <row r="61" ht="18.75" spans="1:11">
      <c r="A61" s="24">
        <v>45827</v>
      </c>
      <c r="B61" s="25">
        <v>61</v>
      </c>
      <c r="C61" s="26" t="s">
        <v>399</v>
      </c>
      <c r="D61" s="27">
        <v>145</v>
      </c>
      <c r="E61" s="21"/>
      <c r="F61" s="22">
        <f t="shared" si="4"/>
        <v>12381.2</v>
      </c>
      <c r="G61" s="55"/>
    </row>
    <row r="62" ht="18.75" spans="1:11">
      <c r="A62" s="24">
        <v>45833</v>
      </c>
      <c r="B62" s="25">
        <v>78</v>
      </c>
      <c r="C62" s="26" t="s">
        <v>399</v>
      </c>
      <c r="D62" s="27">
        <v>5919</v>
      </c>
      <c r="E62" s="21"/>
      <c r="F62" s="22">
        <f t="shared" si="4"/>
        <v>18300.2</v>
      </c>
      <c r="G62" s="55"/>
    </row>
    <row r="63" ht="18.75" spans="1:11">
      <c r="A63" s="24">
        <v>45836</v>
      </c>
      <c r="B63" s="25">
        <v>94</v>
      </c>
      <c r="C63" s="26" t="s">
        <v>399</v>
      </c>
      <c r="D63" s="27">
        <v>600</v>
      </c>
      <c r="E63" s="21"/>
      <c r="F63" s="22">
        <f t="shared" si="4"/>
        <v>18900.2</v>
      </c>
      <c r="G63" s="55"/>
    </row>
    <row r="64" s="1" customFormat="1" spans="1:11">
      <c r="A64"/>
      <c r="B64"/>
      <c r="C64"/>
      <c r="D64"/>
      <c r="E64"/>
      <c r="F64"/>
      <c r="G64"/>
      <c r="K64"/>
    </row>
    <row r="65" s="1" customFormat="1" ht="25.5" spans="1:11">
      <c r="A65" s="3" t="s">
        <v>400</v>
      </c>
      <c r="B65" s="4"/>
      <c r="C65" s="4"/>
      <c r="D65" s="4"/>
      <c r="E65" s="3"/>
      <c r="F65" s="3"/>
      <c r="G65" s="3"/>
      <c r="K65"/>
    </row>
    <row r="66" ht="20.25" spans="1:11">
      <c r="A66" s="5" t="s">
        <v>26</v>
      </c>
      <c r="B66" s="6" t="s">
        <v>390</v>
      </c>
      <c r="C66" s="6"/>
      <c r="D66" s="6"/>
      <c r="E66" s="6" t="s">
        <v>391</v>
      </c>
      <c r="F66" s="6" t="s">
        <v>392</v>
      </c>
      <c r="G66" s="5" t="s">
        <v>29</v>
      </c>
      <c r="H66" s="28" t="s">
        <v>412</v>
      </c>
    </row>
    <row r="67" spans="1:11">
      <c r="A67" s="5"/>
      <c r="B67" s="7">
        <f>SUM(D71:D77)</f>
        <v>27992</v>
      </c>
      <c r="C67" s="7"/>
      <c r="D67" s="7"/>
      <c r="E67" s="8">
        <f>SUM(E71:E83)</f>
        <v>0</v>
      </c>
      <c r="F67" s="7">
        <f>B67-E67</f>
        <v>27992</v>
      </c>
      <c r="G67" s="5"/>
    </row>
    <row r="68" spans="1:11">
      <c r="A68" s="5"/>
      <c r="B68" s="9"/>
      <c r="C68" s="9"/>
      <c r="D68" s="9"/>
      <c r="E68" s="10"/>
      <c r="F68" s="9"/>
      <c r="G68" s="5"/>
    </row>
    <row r="69" ht="20.25" spans="1:11">
      <c r="A69" s="11"/>
      <c r="B69" s="12" t="s">
        <v>393</v>
      </c>
      <c r="C69" s="13"/>
      <c r="D69" s="13"/>
      <c r="E69" s="13"/>
      <c r="F69" s="14"/>
      <c r="G69" s="15"/>
    </row>
    <row r="70" ht="18.75" spans="1:11">
      <c r="A70" s="11"/>
      <c r="B70" s="16" t="s">
        <v>394</v>
      </c>
      <c r="C70" s="16" t="s">
        <v>395</v>
      </c>
      <c r="D70" s="16" t="s">
        <v>396</v>
      </c>
      <c r="E70" s="16" t="s">
        <v>397</v>
      </c>
      <c r="F70" s="16" t="s">
        <v>398</v>
      </c>
      <c r="G70" s="15"/>
      <c r="J70">
        <f>SUM(D175:D178)</f>
        <v>15590</v>
      </c>
    </row>
    <row r="71" ht="18.75" spans="1:11">
      <c r="A71" s="29">
        <v>45663</v>
      </c>
      <c r="B71" s="30">
        <v>23</v>
      </c>
      <c r="C71" s="31" t="s">
        <v>399</v>
      </c>
      <c r="D71" s="32">
        <v>2752</v>
      </c>
      <c r="E71" s="48"/>
      <c r="F71" s="33">
        <f>D71-E71</f>
        <v>2752</v>
      </c>
      <c r="G71" s="23"/>
    </row>
    <row r="72" ht="18.75" spans="1:11">
      <c r="A72" s="29">
        <v>45664</v>
      </c>
      <c r="B72" s="30">
        <v>32</v>
      </c>
      <c r="C72" s="31" t="s">
        <v>399</v>
      </c>
      <c r="D72" s="32">
        <v>8540</v>
      </c>
      <c r="E72" s="48"/>
      <c r="F72" s="33">
        <f t="shared" ref="F72:F94" si="5">F71+D72-E72</f>
        <v>11292</v>
      </c>
      <c r="G72" s="23"/>
    </row>
    <row r="73" ht="18.75" spans="1:11">
      <c r="A73" s="29">
        <v>45672</v>
      </c>
      <c r="B73" s="30">
        <v>52</v>
      </c>
      <c r="C73" s="31" t="s">
        <v>399</v>
      </c>
      <c r="D73" s="32">
        <v>375</v>
      </c>
      <c r="E73" s="48"/>
      <c r="F73" s="33">
        <f t="shared" si="5"/>
        <v>11667</v>
      </c>
      <c r="G73" s="23"/>
    </row>
    <row r="74" ht="18.75" spans="1:11">
      <c r="A74" s="24">
        <v>45703</v>
      </c>
      <c r="B74" s="25">
        <v>2</v>
      </c>
      <c r="C74" s="26" t="s">
        <v>399</v>
      </c>
      <c r="D74" s="27">
        <v>7380</v>
      </c>
      <c r="E74" s="21"/>
      <c r="F74" s="22">
        <f t="shared" si="5"/>
        <v>19047</v>
      </c>
      <c r="G74" s="55"/>
    </row>
    <row r="75" s="2" customFormat="1" ht="23" customHeight="1" spans="1:11">
      <c r="A75" s="24">
        <v>45710</v>
      </c>
      <c r="B75" s="25">
        <v>34</v>
      </c>
      <c r="C75" s="26" t="s">
        <v>399</v>
      </c>
      <c r="D75" s="27">
        <v>7735</v>
      </c>
      <c r="E75" s="21"/>
      <c r="F75" s="22">
        <f t="shared" si="5"/>
        <v>26782</v>
      </c>
      <c r="G75" s="55"/>
    </row>
    <row r="76" s="2" customFormat="1" ht="23" customHeight="1" spans="1:11">
      <c r="A76" s="24">
        <v>45716</v>
      </c>
      <c r="B76" s="25">
        <v>52</v>
      </c>
      <c r="C76" s="26" t="s">
        <v>399</v>
      </c>
      <c r="D76" s="27">
        <v>122</v>
      </c>
      <c r="E76" s="21"/>
      <c r="F76" s="22">
        <f t="shared" si="5"/>
        <v>26904</v>
      </c>
      <c r="G76" s="55"/>
    </row>
    <row r="77" ht="18.75" spans="1:11">
      <c r="A77" s="29">
        <v>45717</v>
      </c>
      <c r="B77" s="30">
        <v>3</v>
      </c>
      <c r="C77" s="31" t="s">
        <v>399</v>
      </c>
      <c r="D77" s="32">
        <v>1088</v>
      </c>
      <c r="E77" s="48"/>
      <c r="F77" s="33">
        <f t="shared" si="5"/>
        <v>27992</v>
      </c>
      <c r="G77" s="23"/>
    </row>
    <row r="78" ht="18.75" spans="1:11">
      <c r="A78" s="29">
        <v>45718</v>
      </c>
      <c r="B78" s="30">
        <v>8</v>
      </c>
      <c r="C78" s="31" t="s">
        <v>401</v>
      </c>
      <c r="D78" s="32">
        <v>-695</v>
      </c>
      <c r="E78" s="48"/>
      <c r="F78" s="33">
        <f t="shared" si="5"/>
        <v>27297</v>
      </c>
      <c r="G78" s="23"/>
    </row>
    <row r="79" ht="18.75" spans="1:11">
      <c r="A79" s="29">
        <v>45722</v>
      </c>
      <c r="B79" s="30">
        <v>28</v>
      </c>
      <c r="C79" s="31" t="s">
        <v>399</v>
      </c>
      <c r="D79" s="32">
        <v>750</v>
      </c>
      <c r="E79" s="48"/>
      <c r="F79" s="33">
        <f t="shared" si="5"/>
        <v>28047</v>
      </c>
      <c r="G79" s="23"/>
    </row>
    <row r="80" ht="18.75" spans="1:11">
      <c r="A80" s="29">
        <v>45726</v>
      </c>
      <c r="B80" s="30">
        <v>34</v>
      </c>
      <c r="C80" s="31" t="s">
        <v>399</v>
      </c>
      <c r="D80" s="32">
        <v>4930</v>
      </c>
      <c r="E80" s="48"/>
      <c r="F80" s="33">
        <f t="shared" si="5"/>
        <v>32977</v>
      </c>
      <c r="G80" s="23"/>
    </row>
    <row r="81" ht="18.75" spans="1:7">
      <c r="A81" s="29">
        <v>45734</v>
      </c>
      <c r="B81" s="30">
        <v>65</v>
      </c>
      <c r="C81" s="31" t="s">
        <v>399</v>
      </c>
      <c r="D81" s="32">
        <v>1294</v>
      </c>
      <c r="E81" s="48"/>
      <c r="F81" s="33">
        <f t="shared" si="5"/>
        <v>34271</v>
      </c>
      <c r="G81" s="23"/>
    </row>
    <row r="82" ht="18.75" spans="1:7">
      <c r="A82" s="29">
        <v>45737</v>
      </c>
      <c r="B82" s="30">
        <v>82</v>
      </c>
      <c r="C82" s="31" t="s">
        <v>399</v>
      </c>
      <c r="D82" s="32">
        <v>2740</v>
      </c>
      <c r="E82" s="48"/>
      <c r="F82" s="33">
        <f t="shared" si="5"/>
        <v>37011</v>
      </c>
      <c r="G82" s="23"/>
    </row>
    <row r="83" ht="18.75" spans="1:7">
      <c r="A83" s="29">
        <v>45738</v>
      </c>
      <c r="B83" s="30">
        <v>88</v>
      </c>
      <c r="C83" s="31" t="s">
        <v>399</v>
      </c>
      <c r="D83" s="32">
        <v>1125</v>
      </c>
      <c r="E83" s="48"/>
      <c r="F83" s="33">
        <f t="shared" si="5"/>
        <v>38136</v>
      </c>
      <c r="G83" s="23"/>
    </row>
    <row r="84" ht="18.75" spans="1:7">
      <c r="A84" s="29">
        <v>45747</v>
      </c>
      <c r="B84" s="30">
        <v>128</v>
      </c>
      <c r="C84" s="31" t="s">
        <v>399</v>
      </c>
      <c r="D84" s="32">
        <v>1176</v>
      </c>
      <c r="E84" s="48"/>
      <c r="F84" s="33">
        <f t="shared" si="5"/>
        <v>39312</v>
      </c>
      <c r="G84" s="23"/>
    </row>
    <row r="85" ht="18.75" spans="1:7">
      <c r="A85" s="24">
        <v>45750</v>
      </c>
      <c r="B85" s="25">
        <v>17</v>
      </c>
      <c r="C85" s="26" t="s">
        <v>399</v>
      </c>
      <c r="D85" s="27">
        <v>8202</v>
      </c>
      <c r="E85" s="21"/>
      <c r="F85" s="22">
        <f t="shared" si="5"/>
        <v>47514</v>
      </c>
      <c r="G85" s="56"/>
    </row>
    <row r="86" ht="18.75" spans="1:7">
      <c r="A86" s="24">
        <v>45765</v>
      </c>
      <c r="B86" s="25">
        <v>54</v>
      </c>
      <c r="C86" s="26" t="s">
        <v>399</v>
      </c>
      <c r="D86" s="27">
        <v>108.5</v>
      </c>
      <c r="E86" s="38"/>
      <c r="F86" s="22">
        <f t="shared" si="5"/>
        <v>47622.5</v>
      </c>
      <c r="G86" s="55"/>
    </row>
    <row r="87" ht="18.75" spans="1:7">
      <c r="A87" s="24">
        <v>45770</v>
      </c>
      <c r="B87" s="25">
        <v>71</v>
      </c>
      <c r="C87" s="26" t="s">
        <v>399</v>
      </c>
      <c r="D87" s="27">
        <v>2600</v>
      </c>
      <c r="E87" s="38"/>
      <c r="F87" s="22">
        <f t="shared" si="5"/>
        <v>50222.5</v>
      </c>
      <c r="G87" s="55"/>
    </row>
    <row r="88" ht="18.75" spans="1:7">
      <c r="A88" s="24">
        <v>45773</v>
      </c>
      <c r="B88" s="25">
        <v>87</v>
      </c>
      <c r="C88" s="26" t="s">
        <v>399</v>
      </c>
      <c r="D88" s="27">
        <v>2030</v>
      </c>
      <c r="E88" s="38"/>
      <c r="F88" s="22">
        <f t="shared" si="5"/>
        <v>52252.5</v>
      </c>
      <c r="G88" s="55"/>
    </row>
    <row r="89" ht="18.75" spans="1:7">
      <c r="A89" s="29">
        <v>45782</v>
      </c>
      <c r="B89" s="30">
        <v>2</v>
      </c>
      <c r="C89" s="31" t="s">
        <v>399</v>
      </c>
      <c r="D89" s="32">
        <v>750</v>
      </c>
      <c r="E89" s="48"/>
      <c r="F89" s="33">
        <f t="shared" si="5"/>
        <v>53002.5</v>
      </c>
      <c r="G89" s="23"/>
    </row>
    <row r="90" ht="18.75" spans="1:7">
      <c r="A90" s="29">
        <v>45786</v>
      </c>
      <c r="B90" s="30">
        <v>11</v>
      </c>
      <c r="C90" s="31" t="s">
        <v>399</v>
      </c>
      <c r="D90" s="32">
        <v>5263.5</v>
      </c>
      <c r="E90" s="48"/>
      <c r="F90" s="33">
        <f t="shared" si="5"/>
        <v>58266</v>
      </c>
      <c r="G90" s="23"/>
    </row>
    <row r="91" ht="18.75" spans="1:7">
      <c r="A91" s="29">
        <v>45787</v>
      </c>
      <c r="B91" s="30">
        <v>21</v>
      </c>
      <c r="C91" s="31" t="s">
        <v>399</v>
      </c>
      <c r="D91" s="32">
        <v>3045</v>
      </c>
      <c r="E91" s="48"/>
      <c r="F91" s="33">
        <f t="shared" si="5"/>
        <v>61311</v>
      </c>
      <c r="G91" s="23"/>
    </row>
    <row r="92" ht="18.75" spans="1:7">
      <c r="A92" s="29">
        <v>45800</v>
      </c>
      <c r="B92" s="30">
        <v>61</v>
      </c>
      <c r="C92" s="31" t="s">
        <v>399</v>
      </c>
      <c r="D92" s="32">
        <v>5583</v>
      </c>
      <c r="E92" s="48"/>
      <c r="F92" s="33">
        <f t="shared" si="5"/>
        <v>66894</v>
      </c>
      <c r="G92" s="23"/>
    </row>
    <row r="93" ht="18.75" spans="1:7">
      <c r="A93" s="29">
        <v>45804</v>
      </c>
      <c r="B93" s="30">
        <v>67</v>
      </c>
      <c r="C93" s="31" t="s">
        <v>399</v>
      </c>
      <c r="D93" s="32">
        <v>394.1</v>
      </c>
      <c r="E93" s="48"/>
      <c r="F93" s="33">
        <f t="shared" si="5"/>
        <v>67288.1</v>
      </c>
      <c r="G93" s="55"/>
    </row>
    <row r="94" ht="18.75" spans="1:7">
      <c r="A94" s="29">
        <v>45806</v>
      </c>
      <c r="B94" s="30">
        <v>76</v>
      </c>
      <c r="C94" s="31" t="s">
        <v>399</v>
      </c>
      <c r="D94" s="32">
        <v>-601</v>
      </c>
      <c r="E94" s="38"/>
      <c r="F94" s="33">
        <f t="shared" si="5"/>
        <v>66687.1</v>
      </c>
      <c r="G94" s="55"/>
    </row>
    <row r="97" ht="25.5" spans="1:7">
      <c r="A97" s="3" t="s">
        <v>416</v>
      </c>
      <c r="B97" s="4"/>
      <c r="C97" s="4"/>
      <c r="D97" s="4"/>
      <c r="E97" s="3"/>
      <c r="F97" s="3"/>
      <c r="G97" s="3"/>
    </row>
    <row r="98" ht="20.25" spans="1:7">
      <c r="A98" s="5" t="s">
        <v>26</v>
      </c>
      <c r="B98" s="6" t="s">
        <v>390</v>
      </c>
      <c r="C98" s="6"/>
      <c r="D98" s="6"/>
      <c r="E98" s="6" t="s">
        <v>391</v>
      </c>
      <c r="F98" s="6" t="s">
        <v>392</v>
      </c>
      <c r="G98" s="5" t="s">
        <v>29</v>
      </c>
    </row>
    <row r="99" spans="1:7">
      <c r="A99" s="5"/>
      <c r="B99" s="7">
        <f>SUM(D103:D122)</f>
        <v>46751.7</v>
      </c>
      <c r="C99" s="7"/>
      <c r="D99" s="7"/>
      <c r="E99" s="8">
        <f>SUM(E103:E122)</f>
        <v>97365.7</v>
      </c>
      <c r="F99" s="7">
        <f>B99-E99</f>
        <v>-50614</v>
      </c>
      <c r="G99" s="5"/>
    </row>
    <row r="100" spans="1:7">
      <c r="A100" s="5"/>
      <c r="B100" s="9"/>
      <c r="C100" s="9"/>
      <c r="D100" s="9"/>
      <c r="E100" s="10"/>
      <c r="F100" s="9"/>
      <c r="G100" s="5"/>
    </row>
    <row r="101" ht="20.25" spans="1:7">
      <c r="A101" s="11"/>
      <c r="B101" s="12" t="s">
        <v>393</v>
      </c>
      <c r="C101" s="13"/>
      <c r="D101" s="13"/>
      <c r="E101" s="13"/>
      <c r="F101" s="14"/>
      <c r="G101" s="15"/>
    </row>
    <row r="102" ht="18.75" spans="1:7">
      <c r="A102" s="11"/>
      <c r="B102" s="16" t="s">
        <v>394</v>
      </c>
      <c r="C102" s="16" t="s">
        <v>395</v>
      </c>
      <c r="D102" s="16" t="s">
        <v>396</v>
      </c>
      <c r="E102" s="16" t="s">
        <v>397</v>
      </c>
      <c r="F102" s="16" t="s">
        <v>398</v>
      </c>
      <c r="G102" s="15"/>
    </row>
    <row r="103" ht="18.75" spans="1:7">
      <c r="A103" s="24">
        <v>45590</v>
      </c>
      <c r="B103" s="25">
        <v>74</v>
      </c>
      <c r="C103" s="26" t="s">
        <v>399</v>
      </c>
      <c r="D103" s="27">
        <v>362.5</v>
      </c>
      <c r="E103" s="21"/>
      <c r="F103" s="22">
        <f>D103-E103</f>
        <v>362.5</v>
      </c>
      <c r="G103" s="55"/>
    </row>
    <row r="104" ht="18.75" spans="1:7">
      <c r="A104" s="24">
        <v>45594</v>
      </c>
      <c r="B104" s="25">
        <v>91</v>
      </c>
      <c r="C104" s="26" t="s">
        <v>399</v>
      </c>
      <c r="D104" s="27">
        <v>11280</v>
      </c>
      <c r="E104" s="21"/>
      <c r="F104" s="22">
        <f t="shared" ref="F104:F116" si="6">F103+D104-E104</f>
        <v>11642.5</v>
      </c>
      <c r="G104" s="55"/>
    </row>
    <row r="105" ht="18.75" spans="1:7">
      <c r="A105" s="57" t="s">
        <v>417</v>
      </c>
      <c r="B105" s="58"/>
      <c r="C105" s="59" t="s">
        <v>418</v>
      </c>
      <c r="D105" s="60"/>
      <c r="E105" s="61">
        <v>900</v>
      </c>
      <c r="F105" s="62">
        <f t="shared" si="6"/>
        <v>10742.5</v>
      </c>
      <c r="G105" s="55"/>
    </row>
    <row r="106" ht="18.75" spans="1:7">
      <c r="A106" s="57" t="s">
        <v>419</v>
      </c>
      <c r="B106" s="58"/>
      <c r="C106" s="59"/>
      <c r="D106" s="60"/>
      <c r="E106" s="61">
        <v>10742.5</v>
      </c>
      <c r="F106" s="62">
        <f t="shared" si="6"/>
        <v>0</v>
      </c>
      <c r="G106" s="55"/>
    </row>
    <row r="107" ht="18.75" spans="1:7">
      <c r="A107" s="29">
        <v>45602</v>
      </c>
      <c r="B107" s="30">
        <v>11</v>
      </c>
      <c r="C107" s="31" t="s">
        <v>399</v>
      </c>
      <c r="D107" s="32">
        <v>1448.7</v>
      </c>
      <c r="E107" s="48"/>
      <c r="F107" s="33">
        <f t="shared" si="6"/>
        <v>1448.7</v>
      </c>
      <c r="G107" s="23"/>
    </row>
    <row r="108" ht="18.75" spans="1:7">
      <c r="A108" s="29">
        <v>45612</v>
      </c>
      <c r="B108" s="30">
        <v>42</v>
      </c>
      <c r="C108" s="31" t="s">
        <v>399</v>
      </c>
      <c r="D108" s="32">
        <v>391.5</v>
      </c>
      <c r="E108" s="48"/>
      <c r="F108" s="33">
        <f t="shared" si="6"/>
        <v>1840.2</v>
      </c>
      <c r="G108" s="23"/>
    </row>
    <row r="109" ht="18.75" spans="1:7">
      <c r="A109" s="29">
        <v>45616</v>
      </c>
      <c r="B109" s="30">
        <v>57</v>
      </c>
      <c r="C109" s="31" t="s">
        <v>399</v>
      </c>
      <c r="D109" s="32">
        <v>6300</v>
      </c>
      <c r="E109" s="48">
        <v>8140.2</v>
      </c>
      <c r="F109" s="33">
        <f t="shared" si="6"/>
        <v>0</v>
      </c>
      <c r="G109" s="23"/>
    </row>
    <row r="110" ht="18.75" spans="1:7">
      <c r="A110" s="24">
        <v>45629</v>
      </c>
      <c r="B110" s="25">
        <v>7</v>
      </c>
      <c r="C110" s="26" t="s">
        <v>399</v>
      </c>
      <c r="D110" s="27">
        <v>2549</v>
      </c>
      <c r="E110" s="21"/>
      <c r="F110" s="22">
        <f t="shared" si="6"/>
        <v>2549</v>
      </c>
      <c r="G110" s="55"/>
    </row>
    <row r="111" ht="18.75" spans="1:7">
      <c r="A111" s="24">
        <v>45637</v>
      </c>
      <c r="B111" s="25">
        <v>35</v>
      </c>
      <c r="C111" s="26" t="s">
        <v>399</v>
      </c>
      <c r="D111" s="27">
        <v>7928</v>
      </c>
      <c r="E111" s="21"/>
      <c r="F111" s="22">
        <f t="shared" si="6"/>
        <v>10477</v>
      </c>
      <c r="G111" s="55"/>
    </row>
    <row r="112" ht="18.75" spans="1:7">
      <c r="A112" s="24">
        <v>45639</v>
      </c>
      <c r="B112" s="25">
        <v>44</v>
      </c>
      <c r="C112" s="26" t="s">
        <v>399</v>
      </c>
      <c r="D112" s="27">
        <v>1875</v>
      </c>
      <c r="E112" s="21"/>
      <c r="F112" s="22">
        <f t="shared" si="6"/>
        <v>12352</v>
      </c>
      <c r="G112" s="55"/>
    </row>
    <row r="113" ht="18.75" spans="1:7">
      <c r="A113" s="24">
        <v>45656</v>
      </c>
      <c r="B113" s="25">
        <v>97</v>
      </c>
      <c r="C113" s="26" t="s">
        <v>399</v>
      </c>
      <c r="D113" s="27">
        <v>2950</v>
      </c>
      <c r="E113" s="21">
        <v>15302</v>
      </c>
      <c r="F113" s="22">
        <f t="shared" si="6"/>
        <v>0</v>
      </c>
      <c r="G113" s="55"/>
    </row>
    <row r="114" ht="18.75" spans="1:7">
      <c r="A114" s="29">
        <v>45663</v>
      </c>
      <c r="B114" s="30">
        <v>23</v>
      </c>
      <c r="C114" s="31" t="s">
        <v>399</v>
      </c>
      <c r="D114" s="32">
        <v>2752</v>
      </c>
      <c r="E114" s="48"/>
      <c r="F114" s="33">
        <f t="shared" si="6"/>
        <v>2752</v>
      </c>
      <c r="G114" s="23"/>
    </row>
    <row r="115" ht="18.75" spans="1:7">
      <c r="A115" s="29">
        <v>45664</v>
      </c>
      <c r="B115" s="30">
        <v>32</v>
      </c>
      <c r="C115" s="31" t="s">
        <v>399</v>
      </c>
      <c r="D115" s="32">
        <v>8540</v>
      </c>
      <c r="E115" s="48"/>
      <c r="F115" s="33">
        <f t="shared" si="6"/>
        <v>11292</v>
      </c>
      <c r="G115" s="23"/>
    </row>
    <row r="116" ht="18.75" spans="1:7">
      <c r="A116" s="24">
        <v>45672</v>
      </c>
      <c r="B116" s="25">
        <v>52</v>
      </c>
      <c r="C116" s="31" t="s">
        <v>399</v>
      </c>
      <c r="D116" s="27">
        <v>375</v>
      </c>
      <c r="E116" s="38"/>
      <c r="F116" s="33">
        <f t="shared" si="6"/>
        <v>11667</v>
      </c>
      <c r="G116" s="23"/>
    </row>
    <row r="117" ht="18.75" spans="1:7">
      <c r="A117" s="29"/>
      <c r="B117" s="30"/>
      <c r="C117" s="31"/>
      <c r="D117" s="32"/>
      <c r="E117" s="48"/>
      <c r="F117" s="33"/>
      <c r="G117" s="23"/>
    </row>
    <row r="118" ht="18.75" spans="1:7">
      <c r="A118" s="29"/>
      <c r="B118" s="30"/>
      <c r="C118" s="31"/>
      <c r="D118" s="32"/>
      <c r="E118" s="48"/>
      <c r="F118" s="33"/>
      <c r="G118" s="23"/>
    </row>
    <row r="119" ht="18.75" spans="1:7">
      <c r="A119" s="29"/>
      <c r="B119" s="30"/>
      <c r="C119" s="31"/>
      <c r="D119" s="32"/>
      <c r="E119" s="48"/>
      <c r="F119" s="33"/>
      <c r="G119" s="23"/>
    </row>
    <row r="120" ht="25.5" spans="1:7">
      <c r="A120" s="3" t="s">
        <v>420</v>
      </c>
      <c r="B120" s="4"/>
      <c r="C120" s="4"/>
      <c r="D120" s="4"/>
      <c r="E120" s="3"/>
      <c r="F120" s="3"/>
      <c r="G120" s="3"/>
    </row>
    <row r="121" ht="20.25" spans="1:7">
      <c r="A121" s="5" t="s">
        <v>26</v>
      </c>
      <c r="B121" s="6" t="s">
        <v>390</v>
      </c>
      <c r="C121" s="6"/>
      <c r="D121" s="6"/>
      <c r="E121" s="6" t="s">
        <v>391</v>
      </c>
      <c r="F121" s="6" t="s">
        <v>392</v>
      </c>
      <c r="G121" s="5" t="s">
        <v>29</v>
      </c>
    </row>
    <row r="122" spans="1:7">
      <c r="A122" s="5"/>
      <c r="B122" s="7">
        <f>SUM(D126:D145)</f>
        <v>73923.2</v>
      </c>
      <c r="C122" s="7"/>
      <c r="D122" s="7"/>
      <c r="E122" s="8">
        <f>SUM(E126:E145)</f>
        <v>62281</v>
      </c>
      <c r="F122" s="7">
        <f>B122-E122</f>
        <v>11642.2</v>
      </c>
      <c r="G122" s="5"/>
    </row>
    <row r="123" spans="1:7">
      <c r="A123" s="5"/>
      <c r="B123" s="9"/>
      <c r="C123" s="9"/>
      <c r="D123" s="9"/>
      <c r="E123" s="10"/>
      <c r="F123" s="9"/>
      <c r="G123" s="5"/>
    </row>
    <row r="124" ht="20.25" spans="1:7">
      <c r="A124" s="11"/>
      <c r="B124" s="12" t="s">
        <v>393</v>
      </c>
      <c r="C124" s="13"/>
      <c r="D124" s="13"/>
      <c r="E124" s="13"/>
      <c r="F124" s="14"/>
      <c r="G124" s="15"/>
    </row>
    <row r="125" ht="18.75" spans="1:7">
      <c r="A125" s="11"/>
      <c r="B125" s="16" t="s">
        <v>394</v>
      </c>
      <c r="C125" s="16" t="s">
        <v>395</v>
      </c>
      <c r="D125" s="16" t="s">
        <v>396</v>
      </c>
      <c r="E125" s="16" t="s">
        <v>397</v>
      </c>
      <c r="F125" s="16" t="s">
        <v>398</v>
      </c>
      <c r="G125" s="15"/>
    </row>
    <row r="126" ht="18.75" spans="1:7">
      <c r="A126" s="24">
        <v>45477</v>
      </c>
      <c r="B126" s="25">
        <v>9</v>
      </c>
      <c r="C126" s="26" t="s">
        <v>399</v>
      </c>
      <c r="D126" s="27">
        <v>2091.6</v>
      </c>
      <c r="E126" s="38"/>
      <c r="F126" s="63">
        <f>D126-E126</f>
        <v>2091.6</v>
      </c>
      <c r="G126" s="55"/>
    </row>
    <row r="127" ht="18.75" spans="1:7">
      <c r="A127" s="24">
        <v>45478</v>
      </c>
      <c r="B127" s="25">
        <v>16</v>
      </c>
      <c r="C127" s="26" t="s">
        <v>399</v>
      </c>
      <c r="D127" s="27">
        <v>3189</v>
      </c>
      <c r="E127" s="21"/>
      <c r="F127" s="63">
        <f t="shared" ref="F127:F133" si="7">F126+D127-E127</f>
        <v>5280.6</v>
      </c>
      <c r="G127" s="55"/>
    </row>
    <row r="128" ht="18.75" spans="1:7">
      <c r="A128" s="24">
        <v>45479</v>
      </c>
      <c r="B128" s="25">
        <v>17</v>
      </c>
      <c r="C128" s="26" t="s">
        <v>399</v>
      </c>
      <c r="D128" s="27">
        <v>912.5</v>
      </c>
      <c r="E128" s="21"/>
      <c r="F128" s="63">
        <f t="shared" si="7"/>
        <v>6193.1</v>
      </c>
      <c r="G128" s="55"/>
    </row>
    <row r="129" ht="18.75" spans="1:7">
      <c r="A129" s="24">
        <v>45482</v>
      </c>
      <c r="B129" s="25">
        <v>27</v>
      </c>
      <c r="C129" s="26" t="s">
        <v>399</v>
      </c>
      <c r="D129" s="27">
        <v>9582.1</v>
      </c>
      <c r="E129" s="21"/>
      <c r="F129" s="63">
        <f t="shared" si="7"/>
        <v>15775.2</v>
      </c>
      <c r="G129" s="55"/>
    </row>
    <row r="130" ht="18.75" spans="1:7">
      <c r="A130" s="24">
        <v>45490</v>
      </c>
      <c r="B130" s="25">
        <v>63</v>
      </c>
      <c r="C130" s="26" t="s">
        <v>399</v>
      </c>
      <c r="D130" s="27">
        <v>3389.5</v>
      </c>
      <c r="E130" s="21"/>
      <c r="F130" s="63">
        <f t="shared" si="7"/>
        <v>19164.7</v>
      </c>
      <c r="G130" s="55"/>
    </row>
    <row r="131" ht="18.75" spans="1:7">
      <c r="A131" s="24">
        <v>45490</v>
      </c>
      <c r="B131" s="25">
        <v>64</v>
      </c>
      <c r="C131" s="26" t="s">
        <v>399</v>
      </c>
      <c r="D131" s="27">
        <v>2302.5</v>
      </c>
      <c r="E131" s="21"/>
      <c r="F131" s="63">
        <f t="shared" si="7"/>
        <v>21467.2</v>
      </c>
      <c r="G131" s="55"/>
    </row>
    <row r="132" ht="18.75" spans="1:7">
      <c r="A132" s="24">
        <v>45493</v>
      </c>
      <c r="B132" s="25">
        <v>71</v>
      </c>
      <c r="C132" s="26" t="s">
        <v>399</v>
      </c>
      <c r="D132" s="27">
        <v>5640</v>
      </c>
      <c r="E132" s="38"/>
      <c r="F132" s="63">
        <f t="shared" si="7"/>
        <v>27107.2</v>
      </c>
      <c r="G132" s="55"/>
    </row>
    <row r="133" ht="18.75" spans="1:7">
      <c r="A133" s="24">
        <v>45503</v>
      </c>
      <c r="B133" s="25">
        <v>92</v>
      </c>
      <c r="C133" s="26" t="s">
        <v>399</v>
      </c>
      <c r="D133" s="27">
        <v>1241.5</v>
      </c>
      <c r="E133" s="38"/>
      <c r="F133" s="63">
        <f t="shared" si="7"/>
        <v>28348.7</v>
      </c>
      <c r="G133" s="55"/>
    </row>
    <row r="134" ht="18.75" spans="1:7">
      <c r="A134" s="24"/>
      <c r="B134" s="25"/>
      <c r="C134" s="26"/>
      <c r="D134" s="27"/>
      <c r="E134" s="38">
        <v>28349</v>
      </c>
      <c r="F134" s="63">
        <f t="shared" ref="F134:F139" si="8">F133+D134-E134</f>
        <v>-0.299999999999272</v>
      </c>
      <c r="G134" s="55"/>
    </row>
    <row r="135" ht="18.75" spans="1:7">
      <c r="A135" s="29">
        <v>45511</v>
      </c>
      <c r="B135" s="30">
        <v>16</v>
      </c>
      <c r="C135" s="31" t="s">
        <v>399</v>
      </c>
      <c r="D135" s="32">
        <v>111.4</v>
      </c>
      <c r="E135" s="48"/>
      <c r="F135" s="63">
        <f t="shared" si="8"/>
        <v>111.100000000001</v>
      </c>
      <c r="G135" s="23"/>
    </row>
    <row r="136" ht="18.75" spans="1:7">
      <c r="A136" s="29">
        <v>45524</v>
      </c>
      <c r="B136" s="30">
        <v>71</v>
      </c>
      <c r="C136" s="31" t="s">
        <v>399</v>
      </c>
      <c r="D136" s="32">
        <v>10497</v>
      </c>
      <c r="E136" s="48"/>
      <c r="F136" s="63">
        <f t="shared" si="8"/>
        <v>10608.1</v>
      </c>
      <c r="G136" s="23"/>
    </row>
    <row r="137" ht="18.75" spans="1:7">
      <c r="A137" s="29">
        <v>45531</v>
      </c>
      <c r="B137" s="30">
        <v>89</v>
      </c>
      <c r="C137" s="31" t="s">
        <v>399</v>
      </c>
      <c r="D137" s="32">
        <v>2821.6</v>
      </c>
      <c r="E137" s="48"/>
      <c r="F137" s="63">
        <f t="shared" si="8"/>
        <v>13429.7</v>
      </c>
      <c r="G137" s="23"/>
    </row>
    <row r="138" ht="18.75" spans="1:7">
      <c r="A138" s="29">
        <v>45533</v>
      </c>
      <c r="B138" s="30">
        <v>92</v>
      </c>
      <c r="C138" s="31" t="s">
        <v>399</v>
      </c>
      <c r="D138" s="32">
        <v>2160</v>
      </c>
      <c r="E138" s="48"/>
      <c r="F138" s="63">
        <f t="shared" si="8"/>
        <v>15589.7</v>
      </c>
      <c r="G138" s="23"/>
    </row>
    <row r="139" ht="18.75" spans="1:7">
      <c r="A139" s="29"/>
      <c r="B139" s="30"/>
      <c r="C139" s="31"/>
      <c r="D139" s="32"/>
      <c r="E139" s="48">
        <v>15590</v>
      </c>
      <c r="F139" s="63">
        <f t="shared" si="8"/>
        <v>-0.299999999999272</v>
      </c>
      <c r="G139" s="23"/>
    </row>
    <row r="140" ht="18.75" spans="1:7">
      <c r="A140" s="24">
        <v>45549</v>
      </c>
      <c r="B140" s="25">
        <v>47</v>
      </c>
      <c r="C140" s="26" t="s">
        <v>399</v>
      </c>
      <c r="D140" s="27">
        <v>4270</v>
      </c>
      <c r="E140" s="21"/>
      <c r="F140" s="63">
        <f t="shared" ref="F140:F146" si="9">F139+D140-E140</f>
        <v>4269.7</v>
      </c>
      <c r="G140" s="55"/>
    </row>
    <row r="141" ht="18.75" spans="1:7">
      <c r="A141" s="24">
        <v>45559</v>
      </c>
      <c r="B141" s="25">
        <v>72</v>
      </c>
      <c r="C141" s="26" t="s">
        <v>399</v>
      </c>
      <c r="D141" s="27">
        <v>1100</v>
      </c>
      <c r="E141" s="21"/>
      <c r="F141" s="63">
        <f t="shared" si="9"/>
        <v>5369.7</v>
      </c>
      <c r="G141" s="55"/>
    </row>
    <row r="142" ht="18.75" spans="1:7">
      <c r="A142" s="24">
        <v>45560</v>
      </c>
      <c r="B142" s="25">
        <v>86</v>
      </c>
      <c r="C142" s="26" t="s">
        <v>399</v>
      </c>
      <c r="D142" s="27">
        <v>7332</v>
      </c>
      <c r="E142" s="21"/>
      <c r="F142" s="63">
        <f t="shared" si="9"/>
        <v>12701.7</v>
      </c>
      <c r="G142" s="55"/>
    </row>
    <row r="143" ht="18.75" spans="1:7">
      <c r="A143" s="24">
        <v>45562</v>
      </c>
      <c r="B143" s="25">
        <v>91</v>
      </c>
      <c r="C143" s="26" t="s">
        <v>399</v>
      </c>
      <c r="D143" s="27">
        <v>5640</v>
      </c>
      <c r="E143" s="21">
        <v>18342</v>
      </c>
      <c r="F143" s="63">
        <f t="shared" si="9"/>
        <v>-0.299999999999272</v>
      </c>
      <c r="G143" s="23"/>
    </row>
    <row r="144" ht="18.75" spans="1:7">
      <c r="A144" s="29">
        <v>45590</v>
      </c>
      <c r="B144" s="30">
        <v>74</v>
      </c>
      <c r="C144" s="31" t="s">
        <v>399</v>
      </c>
      <c r="D144" s="32">
        <v>362.5</v>
      </c>
      <c r="E144" s="48"/>
      <c r="F144" s="49">
        <f t="shared" si="9"/>
        <v>362.200000000001</v>
      </c>
      <c r="G144" s="23"/>
    </row>
    <row r="145" ht="18.75" spans="1:7">
      <c r="A145" s="29">
        <v>45594</v>
      </c>
      <c r="B145" s="30">
        <v>91</v>
      </c>
      <c r="C145" s="31" t="s">
        <v>399</v>
      </c>
      <c r="D145" s="32">
        <v>11280</v>
      </c>
      <c r="E145" s="48"/>
      <c r="F145" s="49">
        <f t="shared" si="9"/>
        <v>11642.2</v>
      </c>
      <c r="G145" s="23"/>
    </row>
    <row r="146" ht="18.75" spans="1:7">
      <c r="A146" s="57" t="s">
        <v>417</v>
      </c>
      <c r="B146" s="58"/>
      <c r="C146" s="59" t="s">
        <v>418</v>
      </c>
      <c r="D146" s="60"/>
      <c r="E146" s="61">
        <v>900</v>
      </c>
      <c r="F146" s="62">
        <f t="shared" si="9"/>
        <v>10742.2</v>
      </c>
      <c r="G146" s="23"/>
    </row>
    <row r="147" ht="25.5" spans="1:7">
      <c r="A147" s="3" t="s">
        <v>420</v>
      </c>
      <c r="B147" s="4"/>
      <c r="C147" s="4"/>
      <c r="D147" s="4"/>
      <c r="E147" s="3"/>
      <c r="F147" s="3"/>
      <c r="G147" s="3"/>
    </row>
    <row r="148" ht="20.25" spans="1:7">
      <c r="A148" s="5" t="s">
        <v>26</v>
      </c>
      <c r="B148" s="6" t="s">
        <v>390</v>
      </c>
      <c r="C148" s="6"/>
      <c r="D148" s="6"/>
      <c r="E148" s="6" t="s">
        <v>391</v>
      </c>
      <c r="F148" s="6" t="s">
        <v>392</v>
      </c>
      <c r="G148" s="5" t="s">
        <v>29</v>
      </c>
    </row>
    <row r="149" spans="1:7">
      <c r="A149" s="5"/>
      <c r="B149" s="7">
        <f>SUM(D153:D181)</f>
        <v>87159.4</v>
      </c>
      <c r="C149" s="7"/>
      <c r="D149" s="7"/>
      <c r="E149" s="8">
        <f>SUM(E153:E181)</f>
        <v>71569</v>
      </c>
      <c r="F149" s="7">
        <f>B149-E149</f>
        <v>15590.4</v>
      </c>
      <c r="G149" s="5"/>
    </row>
    <row r="150" spans="1:7">
      <c r="A150" s="5"/>
      <c r="B150" s="9"/>
      <c r="C150" s="9"/>
      <c r="D150" s="9"/>
      <c r="E150" s="10"/>
      <c r="F150" s="9"/>
      <c r="G150" s="5"/>
    </row>
    <row r="151" ht="20.25" spans="1:7">
      <c r="A151" s="11"/>
      <c r="B151" s="12" t="s">
        <v>393</v>
      </c>
      <c r="C151" s="13"/>
      <c r="D151" s="13"/>
      <c r="E151" s="13"/>
      <c r="F151" s="14"/>
      <c r="G151" s="15"/>
    </row>
    <row r="152" ht="18.75" spans="1:7">
      <c r="A152" s="11"/>
      <c r="B152" s="16" t="s">
        <v>394</v>
      </c>
      <c r="C152" s="16" t="s">
        <v>395</v>
      </c>
      <c r="D152" s="16" t="s">
        <v>396</v>
      </c>
      <c r="E152" s="16" t="s">
        <v>397</v>
      </c>
      <c r="F152" s="16" t="s">
        <v>398</v>
      </c>
      <c r="G152" s="15"/>
    </row>
    <row r="153" ht="18.75" spans="1:7">
      <c r="A153" s="24">
        <v>45420</v>
      </c>
      <c r="B153" s="25">
        <v>12</v>
      </c>
      <c r="C153" s="26" t="s">
        <v>399</v>
      </c>
      <c r="D153" s="27">
        <v>6670</v>
      </c>
      <c r="E153" s="38"/>
      <c r="F153" s="63">
        <f>D153-E153</f>
        <v>6670</v>
      </c>
      <c r="G153" s="55"/>
    </row>
    <row r="154" ht="18.75" spans="1:7">
      <c r="A154" s="24">
        <v>45429</v>
      </c>
      <c r="B154" s="25">
        <v>19</v>
      </c>
      <c r="C154" s="26" t="s">
        <v>399</v>
      </c>
      <c r="D154" s="27">
        <v>4944.1</v>
      </c>
      <c r="E154" s="38"/>
      <c r="F154" s="22">
        <f t="shared" ref="F154:F180" si="10">F153+D154-E154</f>
        <v>11614.1</v>
      </c>
      <c r="G154" s="55"/>
    </row>
    <row r="155" ht="18.75" spans="1:7">
      <c r="A155" s="24">
        <v>45434</v>
      </c>
      <c r="B155" s="25">
        <v>63</v>
      </c>
      <c r="C155" s="26" t="s">
        <v>399</v>
      </c>
      <c r="D155" s="27">
        <v>5193</v>
      </c>
      <c r="E155" s="38"/>
      <c r="F155" s="63">
        <f t="shared" si="10"/>
        <v>16807.1</v>
      </c>
      <c r="G155" s="55"/>
    </row>
    <row r="156" ht="18.75" spans="1:7">
      <c r="A156" s="24">
        <v>45442</v>
      </c>
      <c r="B156" s="25">
        <v>88</v>
      </c>
      <c r="C156" s="26" t="s">
        <v>399</v>
      </c>
      <c r="D156" s="27">
        <v>5227.5</v>
      </c>
      <c r="E156" s="38"/>
      <c r="F156" s="63">
        <f t="shared" si="10"/>
        <v>22034.6</v>
      </c>
      <c r="G156" s="55"/>
    </row>
    <row r="157" ht="18.75" spans="1:7">
      <c r="A157" s="34">
        <v>45481</v>
      </c>
      <c r="B157" s="35"/>
      <c r="C157" s="36" t="s">
        <v>421</v>
      </c>
      <c r="D157" s="37"/>
      <c r="E157" s="38">
        <v>21940</v>
      </c>
      <c r="F157" s="64">
        <f t="shared" si="10"/>
        <v>94.5999999999985</v>
      </c>
      <c r="G157" s="55"/>
    </row>
    <row r="158" ht="18.75" spans="1:7">
      <c r="A158" s="24">
        <v>45449</v>
      </c>
      <c r="B158" s="25">
        <v>26</v>
      </c>
      <c r="C158" s="26" t="s">
        <v>399</v>
      </c>
      <c r="D158" s="27">
        <v>6434</v>
      </c>
      <c r="E158" s="38"/>
      <c r="F158" s="63">
        <f t="shared" si="10"/>
        <v>6528.6</v>
      </c>
      <c r="G158" s="55"/>
    </row>
    <row r="159" ht="18.75" spans="1:7">
      <c r="A159" s="24">
        <v>45456</v>
      </c>
      <c r="B159" s="25">
        <v>34</v>
      </c>
      <c r="C159" s="26" t="s">
        <v>399</v>
      </c>
      <c r="D159" s="27">
        <v>5016.6</v>
      </c>
      <c r="E159" s="38"/>
      <c r="F159" s="63">
        <f t="shared" si="10"/>
        <v>11545.2</v>
      </c>
      <c r="G159" s="55"/>
    </row>
    <row r="160" ht="18.75" spans="1:7">
      <c r="A160" s="24">
        <v>45460</v>
      </c>
      <c r="B160" s="25">
        <v>46</v>
      </c>
      <c r="C160" s="26" t="s">
        <v>399</v>
      </c>
      <c r="D160" s="27">
        <v>5510</v>
      </c>
      <c r="E160" s="38"/>
      <c r="F160" s="63">
        <f t="shared" si="10"/>
        <v>17055.2</v>
      </c>
      <c r="G160" s="55"/>
    </row>
    <row r="161" ht="18.75" spans="1:7">
      <c r="A161" s="24">
        <v>45463</v>
      </c>
      <c r="B161" s="25">
        <v>52</v>
      </c>
      <c r="C161" s="26" t="s">
        <v>399</v>
      </c>
      <c r="D161" s="27">
        <v>1140</v>
      </c>
      <c r="E161" s="38"/>
      <c r="F161" s="63">
        <f t="shared" si="10"/>
        <v>18195.2</v>
      </c>
      <c r="G161" s="55"/>
    </row>
    <row r="162" ht="18.75" spans="1:7">
      <c r="A162" s="24">
        <v>45465</v>
      </c>
      <c r="B162" s="25">
        <v>58</v>
      </c>
      <c r="C162" s="26" t="s">
        <v>399</v>
      </c>
      <c r="D162" s="27">
        <v>663</v>
      </c>
      <c r="E162" s="38"/>
      <c r="F162" s="63">
        <f t="shared" si="10"/>
        <v>18858.2</v>
      </c>
      <c r="G162" s="55"/>
    </row>
    <row r="163" ht="18.75" spans="1:7">
      <c r="A163" s="24">
        <v>45472</v>
      </c>
      <c r="B163" s="25">
        <v>93</v>
      </c>
      <c r="C163" s="26" t="s">
        <v>399</v>
      </c>
      <c r="D163" s="27">
        <v>2422.5</v>
      </c>
      <c r="E163" s="48"/>
      <c r="F163" s="63">
        <f t="shared" si="10"/>
        <v>21280.7</v>
      </c>
      <c r="G163" s="55"/>
    </row>
    <row r="164" ht="18.75" spans="1:7">
      <c r="A164" s="34" t="s">
        <v>422</v>
      </c>
      <c r="B164" s="35"/>
      <c r="C164" s="36" t="s">
        <v>423</v>
      </c>
      <c r="D164" s="37"/>
      <c r="E164" s="38">
        <v>26</v>
      </c>
      <c r="F164" s="63">
        <f t="shared" si="10"/>
        <v>21254.7</v>
      </c>
      <c r="G164" s="55"/>
    </row>
    <row r="165" ht="18.75" spans="1:7">
      <c r="A165" s="34">
        <v>45512</v>
      </c>
      <c r="B165" s="35"/>
      <c r="C165" s="36"/>
      <c r="D165" s="37"/>
      <c r="E165" s="38">
        <v>21100</v>
      </c>
      <c r="F165" s="63">
        <f t="shared" si="10"/>
        <v>154.699999999997</v>
      </c>
      <c r="G165" s="55"/>
    </row>
    <row r="166" ht="18.75" spans="1:7">
      <c r="A166" s="34">
        <v>45513</v>
      </c>
      <c r="B166" s="35"/>
      <c r="C166" s="36" t="s">
        <v>424</v>
      </c>
      <c r="D166" s="37"/>
      <c r="E166" s="38">
        <v>155</v>
      </c>
      <c r="F166" s="63">
        <f t="shared" si="10"/>
        <v>-0.30000000000291</v>
      </c>
      <c r="G166" s="55" t="s">
        <v>425</v>
      </c>
    </row>
    <row r="167" ht="18.75" spans="1:7">
      <c r="A167" s="24">
        <v>45477</v>
      </c>
      <c r="B167" s="25">
        <v>9</v>
      </c>
      <c r="C167" s="26" t="s">
        <v>399</v>
      </c>
      <c r="D167" s="27">
        <v>2091.6</v>
      </c>
      <c r="E167" s="38"/>
      <c r="F167" s="63">
        <f t="shared" si="10"/>
        <v>2091.3</v>
      </c>
      <c r="G167" s="55"/>
    </row>
    <row r="168" ht="18.75" spans="1:7">
      <c r="A168" s="24">
        <v>45478</v>
      </c>
      <c r="B168" s="25">
        <v>16</v>
      </c>
      <c r="C168" s="26" t="s">
        <v>399</v>
      </c>
      <c r="D168" s="27">
        <v>3189</v>
      </c>
      <c r="E168" s="21"/>
      <c r="F168" s="63">
        <f t="shared" si="10"/>
        <v>5280.3</v>
      </c>
      <c r="G168" s="55"/>
    </row>
    <row r="169" ht="18.75" spans="1:7">
      <c r="A169" s="24">
        <v>45479</v>
      </c>
      <c r="B169" s="25">
        <v>17</v>
      </c>
      <c r="C169" s="26" t="s">
        <v>399</v>
      </c>
      <c r="D169" s="27">
        <v>912.5</v>
      </c>
      <c r="E169" s="21"/>
      <c r="F169" s="63">
        <f t="shared" si="10"/>
        <v>6192.8</v>
      </c>
      <c r="G169" s="55"/>
    </row>
    <row r="170" ht="18.75" spans="1:7">
      <c r="A170" s="24">
        <v>45482</v>
      </c>
      <c r="B170" s="25">
        <v>27</v>
      </c>
      <c r="C170" s="26" t="s">
        <v>399</v>
      </c>
      <c r="D170" s="27">
        <v>9582.1</v>
      </c>
      <c r="E170" s="21"/>
      <c r="F170" s="63">
        <f t="shared" si="10"/>
        <v>15774.9</v>
      </c>
      <c r="G170" s="55"/>
    </row>
    <row r="171" ht="18.75" spans="1:7">
      <c r="A171" s="24">
        <v>45490</v>
      </c>
      <c r="B171" s="25">
        <v>63</v>
      </c>
      <c r="C171" s="26" t="s">
        <v>399</v>
      </c>
      <c r="D171" s="27">
        <v>3389.5</v>
      </c>
      <c r="E171" s="21"/>
      <c r="F171" s="63">
        <f t="shared" si="10"/>
        <v>19164.4</v>
      </c>
      <c r="G171" s="55"/>
    </row>
    <row r="172" ht="18.75" spans="1:7">
      <c r="A172" s="24">
        <v>45490</v>
      </c>
      <c r="B172" s="25">
        <v>64</v>
      </c>
      <c r="C172" s="26" t="s">
        <v>399</v>
      </c>
      <c r="D172" s="27">
        <v>2302.5</v>
      </c>
      <c r="E172" s="21"/>
      <c r="F172" s="63">
        <f t="shared" si="10"/>
        <v>21466.9</v>
      </c>
      <c r="G172" s="55"/>
    </row>
    <row r="173" ht="18.75" spans="1:7">
      <c r="A173" s="24">
        <v>45493</v>
      </c>
      <c r="B173" s="25">
        <v>71</v>
      </c>
      <c r="C173" s="26" t="s">
        <v>399</v>
      </c>
      <c r="D173" s="27">
        <v>5640</v>
      </c>
      <c r="E173" s="38"/>
      <c r="F173" s="63">
        <f t="shared" si="10"/>
        <v>27106.9</v>
      </c>
      <c r="G173" s="55"/>
    </row>
    <row r="174" ht="18.75" spans="1:7">
      <c r="A174" s="24">
        <v>45503</v>
      </c>
      <c r="B174" s="25">
        <v>92</v>
      </c>
      <c r="C174" s="26" t="s">
        <v>399</v>
      </c>
      <c r="D174" s="27">
        <v>1241.5</v>
      </c>
      <c r="E174" s="38">
        <v>28348</v>
      </c>
      <c r="F174" s="63">
        <f t="shared" si="10"/>
        <v>0.399999999997817</v>
      </c>
      <c r="G174" s="55"/>
    </row>
    <row r="175" ht="18.75" spans="1:7">
      <c r="A175" s="24">
        <v>45511</v>
      </c>
      <c r="B175" s="25">
        <v>16</v>
      </c>
      <c r="C175" s="26" t="s">
        <v>399</v>
      </c>
      <c r="D175" s="27">
        <v>111.4</v>
      </c>
      <c r="E175" s="38"/>
      <c r="F175" s="63">
        <f t="shared" si="10"/>
        <v>111.799999999998</v>
      </c>
      <c r="G175" s="55"/>
    </row>
    <row r="176" ht="18.75" spans="1:7">
      <c r="A176" s="24">
        <v>45524</v>
      </c>
      <c r="B176" s="25">
        <v>71</v>
      </c>
      <c r="C176" s="26" t="s">
        <v>399</v>
      </c>
      <c r="D176" s="27">
        <v>10497</v>
      </c>
      <c r="E176" s="38"/>
      <c r="F176" s="63">
        <f t="shared" si="10"/>
        <v>10608.8</v>
      </c>
      <c r="G176" s="55"/>
    </row>
    <row r="177" ht="18.75" spans="1:7">
      <c r="A177" s="24">
        <v>45531</v>
      </c>
      <c r="B177" s="25">
        <v>89</v>
      </c>
      <c r="C177" s="26" t="s">
        <v>399</v>
      </c>
      <c r="D177" s="27">
        <v>2821.6</v>
      </c>
      <c r="E177" s="38"/>
      <c r="F177" s="63">
        <f t="shared" si="10"/>
        <v>13430.4</v>
      </c>
      <c r="G177" s="55"/>
    </row>
    <row r="178" ht="18.75" spans="1:7">
      <c r="A178" s="24">
        <v>45533</v>
      </c>
      <c r="B178" s="25">
        <v>92</v>
      </c>
      <c r="C178" s="26" t="s">
        <v>399</v>
      </c>
      <c r="D178" s="27">
        <v>2160</v>
      </c>
      <c r="E178" s="38"/>
      <c r="F178" s="63">
        <f t="shared" si="10"/>
        <v>15590.4</v>
      </c>
      <c r="G178" s="55"/>
    </row>
    <row r="179" ht="18.75" spans="1:7">
      <c r="A179" s="24"/>
      <c r="B179" s="25"/>
      <c r="C179" s="26"/>
      <c r="D179" s="27"/>
      <c r="E179" s="38"/>
      <c r="F179" s="63">
        <f t="shared" si="10"/>
        <v>15590.4</v>
      </c>
      <c r="G179" s="55"/>
    </row>
    <row r="180" ht="18.75" spans="1:7">
      <c r="A180" s="24"/>
      <c r="B180" s="25"/>
      <c r="C180" s="26"/>
      <c r="D180" s="27"/>
      <c r="E180" s="38"/>
      <c r="F180" s="63">
        <f t="shared" si="10"/>
        <v>15590.4</v>
      </c>
      <c r="G180" s="55"/>
    </row>
    <row r="184" ht="25.5" spans="1:7">
      <c r="A184" s="3" t="s">
        <v>420</v>
      </c>
      <c r="B184" s="4"/>
      <c r="C184" s="4"/>
      <c r="D184" s="4"/>
      <c r="E184" s="3"/>
      <c r="F184" s="3"/>
      <c r="G184" s="3"/>
    </row>
    <row r="185" ht="20.25" spans="1:7">
      <c r="A185" s="5" t="s">
        <v>26</v>
      </c>
      <c r="B185" s="6" t="s">
        <v>390</v>
      </c>
      <c r="C185" s="6"/>
      <c r="D185" s="6"/>
      <c r="E185" s="6" t="s">
        <v>391</v>
      </c>
      <c r="F185" s="6" t="s">
        <v>392</v>
      </c>
      <c r="G185" s="5" t="s">
        <v>29</v>
      </c>
    </row>
    <row r="186" spans="1:7">
      <c r="A186" s="5"/>
      <c r="B186" s="7">
        <f>SUM(D190:D218)</f>
        <v>84171.8</v>
      </c>
      <c r="C186" s="7"/>
      <c r="D186" s="7"/>
      <c r="E186" s="8">
        <f>SUM(E190:E218)</f>
        <v>38812.5</v>
      </c>
      <c r="F186" s="7">
        <f>B186-E186</f>
        <v>45359.3</v>
      </c>
      <c r="G186" s="5"/>
    </row>
    <row r="187" spans="1:7">
      <c r="A187" s="5"/>
      <c r="B187" s="9"/>
      <c r="C187" s="9"/>
      <c r="D187" s="9"/>
      <c r="E187" s="10"/>
      <c r="F187" s="9"/>
      <c r="G187" s="5"/>
    </row>
    <row r="188" ht="20.25" spans="1:7">
      <c r="A188" s="11"/>
      <c r="B188" s="12" t="s">
        <v>393</v>
      </c>
      <c r="C188" s="13"/>
      <c r="D188" s="13"/>
      <c r="E188" s="13"/>
      <c r="F188" s="14"/>
      <c r="G188" s="15"/>
    </row>
    <row r="189" ht="18.75" spans="1:7">
      <c r="A189" s="11"/>
      <c r="B189" s="16" t="s">
        <v>394</v>
      </c>
      <c r="C189" s="16" t="s">
        <v>395</v>
      </c>
      <c r="D189" s="16" t="s">
        <v>396</v>
      </c>
      <c r="E189" s="16" t="s">
        <v>397</v>
      </c>
      <c r="F189" s="16" t="s">
        <v>398</v>
      </c>
      <c r="G189" s="15"/>
    </row>
    <row r="190" ht="18.75" spans="1:7">
      <c r="A190" s="24">
        <v>45346</v>
      </c>
      <c r="B190" s="65"/>
      <c r="C190" s="65" t="s">
        <v>426</v>
      </c>
      <c r="D190" s="66">
        <v>5020</v>
      </c>
      <c r="E190" s="67"/>
      <c r="F190" s="68">
        <f>D190-E190</f>
        <v>5020</v>
      </c>
      <c r="G190" s="55"/>
    </row>
    <row r="191" ht="18.75" spans="1:7">
      <c r="A191" s="34">
        <v>45382</v>
      </c>
      <c r="B191" s="35"/>
      <c r="C191" s="36" t="s">
        <v>421</v>
      </c>
      <c r="D191" s="37"/>
      <c r="E191" s="38">
        <v>5000</v>
      </c>
      <c r="F191" s="63">
        <f t="shared" ref="F191:F217" si="11">F190+D191-E191</f>
        <v>20</v>
      </c>
      <c r="G191" s="55"/>
    </row>
    <row r="192" ht="18.75" spans="1:7">
      <c r="A192" s="24">
        <v>45355</v>
      </c>
      <c r="B192" s="25">
        <v>8</v>
      </c>
      <c r="C192" s="25" t="s">
        <v>399</v>
      </c>
      <c r="D192" s="27">
        <v>465</v>
      </c>
      <c r="E192" s="38"/>
      <c r="F192" s="63">
        <f t="shared" si="11"/>
        <v>485</v>
      </c>
      <c r="G192" s="55"/>
    </row>
    <row r="193" ht="18.75" spans="1:7">
      <c r="A193" s="24">
        <v>45363</v>
      </c>
      <c r="B193" s="25">
        <v>38</v>
      </c>
      <c r="C193" s="25" t="s">
        <v>427</v>
      </c>
      <c r="D193" s="27">
        <v>1935</v>
      </c>
      <c r="E193" s="38"/>
      <c r="F193" s="63">
        <f t="shared" si="11"/>
        <v>2420</v>
      </c>
      <c r="G193" s="55"/>
    </row>
    <row r="194" ht="18.75" spans="1:7">
      <c r="A194" s="24">
        <v>45366</v>
      </c>
      <c r="B194" s="25">
        <v>44</v>
      </c>
      <c r="C194" s="25" t="s">
        <v>399</v>
      </c>
      <c r="D194" s="27">
        <v>5000</v>
      </c>
      <c r="E194" s="38"/>
      <c r="F194" s="63">
        <f t="shared" si="11"/>
        <v>7420</v>
      </c>
      <c r="G194" s="55"/>
    </row>
    <row r="195" ht="18.75" spans="1:7">
      <c r="A195" s="24">
        <v>45376</v>
      </c>
      <c r="B195" s="25">
        <v>66</v>
      </c>
      <c r="C195" s="26" t="s">
        <v>399</v>
      </c>
      <c r="D195" s="27">
        <v>4562.5</v>
      </c>
      <c r="E195" s="38"/>
      <c r="F195" s="63">
        <f t="shared" si="11"/>
        <v>11982.5</v>
      </c>
      <c r="G195" s="55"/>
    </row>
    <row r="196" ht="18.75" spans="1:7">
      <c r="A196" s="24">
        <v>45381</v>
      </c>
      <c r="B196" s="25">
        <v>76</v>
      </c>
      <c r="C196" s="26" t="s">
        <v>399</v>
      </c>
      <c r="D196" s="27">
        <v>5130</v>
      </c>
      <c r="E196" s="38"/>
      <c r="F196" s="63">
        <f t="shared" si="11"/>
        <v>17112.5</v>
      </c>
      <c r="G196" s="55"/>
    </row>
    <row r="197" ht="18.75" spans="1:7">
      <c r="A197" s="34">
        <v>45420</v>
      </c>
      <c r="B197" s="35"/>
      <c r="C197" s="36" t="s">
        <v>421</v>
      </c>
      <c r="D197" s="37"/>
      <c r="E197" s="38">
        <v>17000</v>
      </c>
      <c r="F197" s="63">
        <f t="shared" si="11"/>
        <v>112.5</v>
      </c>
      <c r="G197" s="69"/>
    </row>
    <row r="198" ht="18.75" spans="1:7">
      <c r="A198" s="34"/>
      <c r="B198" s="35"/>
      <c r="C198" s="36" t="s">
        <v>428</v>
      </c>
      <c r="D198" s="37"/>
      <c r="E198" s="38">
        <v>112.5</v>
      </c>
      <c r="F198" s="63">
        <f t="shared" si="11"/>
        <v>0</v>
      </c>
      <c r="G198" s="69"/>
    </row>
    <row r="199" ht="18.75" spans="1:7">
      <c r="A199" s="24">
        <v>45383</v>
      </c>
      <c r="B199" s="25">
        <v>3</v>
      </c>
      <c r="C199" s="26" t="s">
        <v>399</v>
      </c>
      <c r="D199" s="27">
        <v>5297</v>
      </c>
      <c r="E199" s="21"/>
      <c r="F199" s="63">
        <f t="shared" si="11"/>
        <v>5297</v>
      </c>
      <c r="G199" s="55"/>
    </row>
    <row r="200" ht="18.75" spans="1:7">
      <c r="A200" s="24">
        <v>45387</v>
      </c>
      <c r="B200" s="25">
        <v>12</v>
      </c>
      <c r="C200" s="26" t="s">
        <v>399</v>
      </c>
      <c r="D200" s="27">
        <v>987.5</v>
      </c>
      <c r="E200" s="21"/>
      <c r="F200" s="63">
        <f t="shared" si="11"/>
        <v>6284.5</v>
      </c>
      <c r="G200" s="55"/>
    </row>
    <row r="201" ht="18.75" spans="1:7">
      <c r="A201" s="24">
        <v>45400</v>
      </c>
      <c r="B201" s="25">
        <v>47</v>
      </c>
      <c r="C201" s="26" t="s">
        <v>399</v>
      </c>
      <c r="D201" s="20">
        <v>637.5</v>
      </c>
      <c r="E201" s="21"/>
      <c r="F201" s="63">
        <f t="shared" si="11"/>
        <v>6922</v>
      </c>
      <c r="G201" s="55"/>
    </row>
    <row r="202" ht="18.75" spans="1:7">
      <c r="A202" s="24">
        <v>45397</v>
      </c>
      <c r="B202" s="25">
        <v>50</v>
      </c>
      <c r="C202" s="26" t="s">
        <v>399</v>
      </c>
      <c r="D202" s="27">
        <v>4750</v>
      </c>
      <c r="E202" s="21"/>
      <c r="F202" s="63">
        <f t="shared" si="11"/>
        <v>11672</v>
      </c>
      <c r="G202" s="55"/>
    </row>
    <row r="203" ht="18.75" spans="1:7">
      <c r="A203" s="24">
        <v>45411</v>
      </c>
      <c r="B203" s="25">
        <v>98</v>
      </c>
      <c r="C203" s="26" t="s">
        <v>399</v>
      </c>
      <c r="D203" s="27">
        <v>3950</v>
      </c>
      <c r="E203" s="21"/>
      <c r="F203" s="63">
        <f t="shared" si="11"/>
        <v>15622</v>
      </c>
      <c r="G203" s="55"/>
    </row>
    <row r="204" ht="18.75" spans="1:7">
      <c r="A204" s="24">
        <v>45411</v>
      </c>
      <c r="B204" s="25">
        <v>104</v>
      </c>
      <c r="C204" s="26" t="s">
        <v>399</v>
      </c>
      <c r="D204" s="27">
        <v>1125</v>
      </c>
      <c r="E204" s="38"/>
      <c r="F204" s="63">
        <f t="shared" si="11"/>
        <v>16747</v>
      </c>
      <c r="G204" s="55"/>
    </row>
    <row r="205" ht="18.75" spans="1:7">
      <c r="A205" s="24">
        <v>45450</v>
      </c>
      <c r="B205" s="25"/>
      <c r="C205" s="36" t="s">
        <v>421</v>
      </c>
      <c r="D205" s="27"/>
      <c r="E205" s="38">
        <v>16700</v>
      </c>
      <c r="F205" s="63">
        <f t="shared" si="11"/>
        <v>47</v>
      </c>
      <c r="G205" s="40" t="s">
        <v>429</v>
      </c>
    </row>
    <row r="206" ht="18.75" spans="1:7">
      <c r="A206" s="24">
        <v>45420</v>
      </c>
      <c r="B206" s="25">
        <v>12</v>
      </c>
      <c r="C206" s="26" t="s">
        <v>399</v>
      </c>
      <c r="D206" s="27">
        <v>6670</v>
      </c>
      <c r="E206" s="38"/>
      <c r="F206" s="63">
        <f t="shared" si="11"/>
        <v>6717</v>
      </c>
      <c r="G206" s="28" t="s">
        <v>412</v>
      </c>
    </row>
    <row r="207" ht="18.75" spans="1:7">
      <c r="A207" s="24">
        <v>45429</v>
      </c>
      <c r="B207" s="25">
        <v>19</v>
      </c>
      <c r="C207" s="26" t="s">
        <v>399</v>
      </c>
      <c r="D207" s="27">
        <v>4944.1</v>
      </c>
      <c r="E207" s="38"/>
      <c r="F207" s="63">
        <f t="shared" si="11"/>
        <v>11661.1</v>
      </c>
      <c r="G207" s="55"/>
    </row>
    <row r="208" ht="18.75" spans="1:7">
      <c r="A208" s="24">
        <v>45434</v>
      </c>
      <c r="B208" s="25">
        <v>63</v>
      </c>
      <c r="C208" s="26" t="s">
        <v>399</v>
      </c>
      <c r="D208" s="27">
        <v>5193</v>
      </c>
      <c r="E208" s="38"/>
      <c r="F208" s="63">
        <f t="shared" si="11"/>
        <v>16854.1</v>
      </c>
      <c r="G208" s="55"/>
    </row>
    <row r="209" ht="18.75" spans="1:7">
      <c r="A209" s="24">
        <v>45442</v>
      </c>
      <c r="B209" s="25">
        <v>88</v>
      </c>
      <c r="C209" s="26" t="s">
        <v>399</v>
      </c>
      <c r="D209" s="27">
        <v>5227.5</v>
      </c>
      <c r="E209" s="38"/>
      <c r="F209" s="63">
        <f t="shared" si="11"/>
        <v>22081.6</v>
      </c>
      <c r="G209" s="55"/>
    </row>
    <row r="210" ht="18.75" spans="1:7">
      <c r="A210" s="34"/>
      <c r="B210" s="35"/>
      <c r="C210" s="36"/>
      <c r="D210" s="37"/>
      <c r="E210" s="38"/>
      <c r="F210" s="63">
        <f t="shared" si="11"/>
        <v>22081.6</v>
      </c>
      <c r="G210" s="55"/>
    </row>
    <row r="211" ht="18.75" spans="1:7">
      <c r="A211" s="24">
        <v>45449</v>
      </c>
      <c r="B211" s="25">
        <v>26</v>
      </c>
      <c r="C211" s="26" t="s">
        <v>399</v>
      </c>
      <c r="D211" s="27">
        <v>6434</v>
      </c>
      <c r="E211" s="38"/>
      <c r="F211" s="63">
        <f t="shared" si="11"/>
        <v>28515.6</v>
      </c>
      <c r="G211" s="55"/>
    </row>
    <row r="212" ht="18.75" spans="1:7">
      <c r="A212" s="24">
        <v>45456</v>
      </c>
      <c r="B212" s="25">
        <v>34</v>
      </c>
      <c r="C212" s="26" t="s">
        <v>399</v>
      </c>
      <c r="D212" s="27">
        <v>5016.6</v>
      </c>
      <c r="E212" s="38"/>
      <c r="F212" s="63">
        <f t="shared" si="11"/>
        <v>33532.2</v>
      </c>
      <c r="G212" s="55"/>
    </row>
    <row r="213" ht="18.75" spans="1:7">
      <c r="A213" s="24">
        <v>45460</v>
      </c>
      <c r="B213" s="25">
        <v>46</v>
      </c>
      <c r="C213" s="26" t="s">
        <v>399</v>
      </c>
      <c r="D213" s="27">
        <v>5510</v>
      </c>
      <c r="E213" s="38"/>
      <c r="F213" s="63">
        <f t="shared" si="11"/>
        <v>39042.2</v>
      </c>
      <c r="G213" s="55"/>
    </row>
    <row r="214" ht="18.75" spans="1:7">
      <c r="A214" s="24">
        <v>45463</v>
      </c>
      <c r="B214" s="25">
        <v>52</v>
      </c>
      <c r="C214" s="26" t="s">
        <v>399</v>
      </c>
      <c r="D214" s="27">
        <v>1140</v>
      </c>
      <c r="E214" s="38"/>
      <c r="F214" s="63">
        <f t="shared" si="11"/>
        <v>40182.2</v>
      </c>
      <c r="G214" s="55"/>
    </row>
    <row r="215" ht="18.75" spans="1:7">
      <c r="A215" s="24">
        <v>45465</v>
      </c>
      <c r="B215" s="25">
        <v>58</v>
      </c>
      <c r="C215" s="26" t="s">
        <v>399</v>
      </c>
      <c r="D215" s="27">
        <v>663</v>
      </c>
      <c r="E215" s="38"/>
      <c r="F215" s="63">
        <f t="shared" si="11"/>
        <v>40845.2</v>
      </c>
      <c r="G215" s="55"/>
    </row>
    <row r="216" ht="18.75" spans="1:7">
      <c r="A216" s="34">
        <v>45472</v>
      </c>
      <c r="B216" s="35">
        <v>93</v>
      </c>
      <c r="C216" s="26" t="s">
        <v>399</v>
      </c>
      <c r="D216" s="37">
        <v>2422.5</v>
      </c>
      <c r="E216" s="38"/>
      <c r="F216" s="63">
        <f t="shared" si="11"/>
        <v>43267.7</v>
      </c>
      <c r="G216" s="55"/>
    </row>
    <row r="217" ht="18.75" spans="1:7">
      <c r="A217" s="34">
        <v>45477</v>
      </c>
      <c r="B217" s="35">
        <v>9</v>
      </c>
      <c r="C217" s="26" t="s">
        <v>399</v>
      </c>
      <c r="D217" s="37">
        <v>2091.6</v>
      </c>
      <c r="E217" s="38"/>
      <c r="F217" s="63">
        <f t="shared" si="11"/>
        <v>45359.3</v>
      </c>
      <c r="G217" s="55"/>
    </row>
    <row r="219" ht="25.5" spans="1:7">
      <c r="A219" s="70" t="s">
        <v>430</v>
      </c>
      <c r="B219" s="71"/>
      <c r="C219" s="71"/>
      <c r="D219" s="71"/>
      <c r="E219" s="72"/>
      <c r="F219" s="72"/>
      <c r="G219" s="72"/>
    </row>
    <row r="220" ht="25.5" spans="1:7">
      <c r="A220" s="73" t="s">
        <v>26</v>
      </c>
      <c r="B220" s="50" t="s">
        <v>431</v>
      </c>
      <c r="C220" s="50"/>
      <c r="D220" s="50"/>
      <c r="E220" s="50" t="s">
        <v>391</v>
      </c>
      <c r="F220" s="3"/>
      <c r="G220" s="3"/>
    </row>
    <row r="221" ht="20.25" spans="1:7">
      <c r="A221" s="74"/>
      <c r="B221" s="51">
        <f>SUM(D224:D244)</f>
        <v>54960</v>
      </c>
      <c r="C221" s="51"/>
      <c r="D221" s="51"/>
      <c r="E221" s="52">
        <f>SUM(E224:E239)</f>
        <v>34240</v>
      </c>
      <c r="F221" s="75" t="s">
        <v>392</v>
      </c>
      <c r="G221" s="74" t="s">
        <v>29</v>
      </c>
    </row>
    <row r="222" spans="1:7">
      <c r="A222" s="74"/>
      <c r="B222" s="51"/>
      <c r="C222" s="51"/>
      <c r="D222" s="51"/>
      <c r="E222" s="52"/>
      <c r="F222" s="76">
        <f>B221-E221</f>
        <v>20720</v>
      </c>
      <c r="G222" s="74"/>
    </row>
    <row r="223" ht="18.75" spans="1:7">
      <c r="A223" s="74"/>
      <c r="B223" s="77" t="s">
        <v>394</v>
      </c>
      <c r="C223" s="77" t="s">
        <v>395</v>
      </c>
      <c r="D223" s="16" t="s">
        <v>432</v>
      </c>
      <c r="E223" s="16" t="s">
        <v>396</v>
      </c>
      <c r="F223" s="76"/>
      <c r="G223" s="74"/>
    </row>
    <row r="224" ht="18.75" spans="1:7">
      <c r="A224" s="24">
        <v>45125</v>
      </c>
      <c r="B224" s="25">
        <v>24</v>
      </c>
      <c r="C224" s="25" t="s">
        <v>399</v>
      </c>
      <c r="D224" s="27">
        <v>6400</v>
      </c>
      <c r="E224" s="21"/>
      <c r="F224" s="77" t="s">
        <v>433</v>
      </c>
      <c r="G224" s="74"/>
    </row>
    <row r="225" ht="18.75" spans="1:7">
      <c r="A225" s="34">
        <v>45171</v>
      </c>
      <c r="B225" s="35"/>
      <c r="C225" s="36" t="s">
        <v>434</v>
      </c>
      <c r="D225" s="37"/>
      <c r="E225" s="38">
        <v>6400</v>
      </c>
      <c r="F225" s="21">
        <f>SUM(D224-E224)</f>
        <v>6400</v>
      </c>
      <c r="G225" s="55"/>
    </row>
    <row r="226" ht="18.75" spans="1:7">
      <c r="A226" s="24">
        <v>45163</v>
      </c>
      <c r="B226" s="25">
        <v>31</v>
      </c>
      <c r="C226" s="25" t="s">
        <v>399</v>
      </c>
      <c r="D226" s="27">
        <v>4400</v>
      </c>
      <c r="E226" s="21"/>
      <c r="F226" s="38">
        <f t="shared" ref="F226:F243" si="12">SUM(F225+D225-E225)</f>
        <v>0</v>
      </c>
      <c r="G226" s="55"/>
    </row>
    <row r="227" ht="18.75" spans="1:7">
      <c r="A227" s="24">
        <v>45178</v>
      </c>
      <c r="B227" s="25">
        <v>28</v>
      </c>
      <c r="C227" s="25" t="s">
        <v>399</v>
      </c>
      <c r="D227" s="27">
        <v>4400</v>
      </c>
      <c r="E227" s="21"/>
      <c r="F227" s="21">
        <f t="shared" si="12"/>
        <v>4400</v>
      </c>
      <c r="G227" s="40"/>
    </row>
    <row r="228" ht="18.75" spans="1:7">
      <c r="A228" s="24">
        <v>45188</v>
      </c>
      <c r="B228" s="25">
        <v>57</v>
      </c>
      <c r="C228" s="25" t="s">
        <v>399</v>
      </c>
      <c r="D228" s="27">
        <v>360</v>
      </c>
      <c r="E228" s="21"/>
      <c r="F228" s="21">
        <f t="shared" si="12"/>
        <v>8800</v>
      </c>
      <c r="G228" s="40"/>
    </row>
    <row r="229" ht="18.75" spans="1:7">
      <c r="A229" s="34">
        <v>45197</v>
      </c>
      <c r="B229" s="35"/>
      <c r="C229" s="35" t="s">
        <v>435</v>
      </c>
      <c r="D229" s="37"/>
      <c r="E229" s="38">
        <v>9160</v>
      </c>
      <c r="F229" s="21">
        <f t="shared" si="12"/>
        <v>9160</v>
      </c>
      <c r="G229" s="40"/>
    </row>
    <row r="230" ht="18.75" spans="1:7">
      <c r="A230" s="24">
        <v>45204</v>
      </c>
      <c r="B230" s="25">
        <v>3</v>
      </c>
      <c r="C230" s="25" t="s">
        <v>399</v>
      </c>
      <c r="D230" s="27">
        <v>5340</v>
      </c>
      <c r="E230" s="21"/>
      <c r="F230" s="38">
        <f t="shared" si="12"/>
        <v>0</v>
      </c>
      <c r="G230" s="40"/>
    </row>
    <row r="231" ht="18.75" spans="1:7">
      <c r="A231" s="24">
        <v>45212</v>
      </c>
      <c r="B231" s="25">
        <v>30</v>
      </c>
      <c r="C231" s="25" t="s">
        <v>399</v>
      </c>
      <c r="D231" s="27">
        <v>5020</v>
      </c>
      <c r="E231" s="21"/>
      <c r="F231" s="21">
        <f t="shared" si="12"/>
        <v>5340</v>
      </c>
      <c r="G231" s="40"/>
    </row>
    <row r="232" ht="18.75" spans="1:7">
      <c r="A232" s="24">
        <v>45223</v>
      </c>
      <c r="B232" s="25">
        <v>66</v>
      </c>
      <c r="C232" s="25" t="s">
        <v>399</v>
      </c>
      <c r="D232" s="27">
        <v>5020</v>
      </c>
      <c r="E232" s="38"/>
      <c r="F232" s="21">
        <f t="shared" si="12"/>
        <v>10360</v>
      </c>
      <c r="G232" s="40"/>
    </row>
    <row r="233" ht="18.75" spans="1:7">
      <c r="A233" s="24">
        <v>45227</v>
      </c>
      <c r="B233" s="25">
        <v>71</v>
      </c>
      <c r="C233" s="25" t="s">
        <v>399</v>
      </c>
      <c r="D233" s="27">
        <v>3300</v>
      </c>
      <c r="E233" s="21"/>
      <c r="F233" s="21">
        <f t="shared" si="12"/>
        <v>15380</v>
      </c>
      <c r="G233" s="40"/>
    </row>
    <row r="234" ht="18.75" spans="1:7">
      <c r="A234" s="34">
        <v>45233</v>
      </c>
      <c r="B234" s="35"/>
      <c r="C234" s="35" t="s">
        <v>436</v>
      </c>
      <c r="D234" s="37"/>
      <c r="E234" s="38">
        <v>10000</v>
      </c>
      <c r="F234" s="21">
        <f t="shared" si="12"/>
        <v>18680</v>
      </c>
      <c r="G234" s="40"/>
    </row>
    <row r="235" ht="18.75" spans="1:7">
      <c r="A235" s="34"/>
      <c r="B235" s="35"/>
      <c r="C235" s="35" t="s">
        <v>436</v>
      </c>
      <c r="D235" s="37"/>
      <c r="E235" s="38">
        <v>8680</v>
      </c>
      <c r="F235" s="21">
        <f t="shared" si="12"/>
        <v>8680</v>
      </c>
      <c r="G235" s="40"/>
    </row>
    <row r="236" ht="18.75" spans="1:7">
      <c r="A236" s="24">
        <v>45239</v>
      </c>
      <c r="B236" s="25">
        <v>19</v>
      </c>
      <c r="C236" s="25" t="s">
        <v>437</v>
      </c>
      <c r="D236" s="27">
        <v>3190</v>
      </c>
      <c r="E236" s="21"/>
      <c r="F236" s="21">
        <f t="shared" si="12"/>
        <v>0</v>
      </c>
      <c r="G236" s="40"/>
    </row>
    <row r="237" ht="18.75" spans="1:7">
      <c r="A237" s="24">
        <v>45259</v>
      </c>
      <c r="B237" s="25">
        <v>77</v>
      </c>
      <c r="C237" s="25" t="s">
        <v>437</v>
      </c>
      <c r="D237" s="27">
        <v>4700</v>
      </c>
      <c r="E237" s="21"/>
      <c r="F237" s="21">
        <f t="shared" si="12"/>
        <v>3190</v>
      </c>
      <c r="G237" s="40"/>
    </row>
    <row r="238" ht="18.75" spans="1:7">
      <c r="A238" s="24">
        <v>45286</v>
      </c>
      <c r="B238" s="25">
        <v>80</v>
      </c>
      <c r="C238" s="25" t="s">
        <v>437</v>
      </c>
      <c r="D238" s="27">
        <v>3130</v>
      </c>
      <c r="E238" s="21"/>
      <c r="F238" s="21">
        <f t="shared" si="12"/>
        <v>7890</v>
      </c>
      <c r="G238" s="40"/>
    </row>
    <row r="239" ht="18.75" spans="1:7">
      <c r="A239" s="24">
        <v>45294</v>
      </c>
      <c r="B239" s="25">
        <v>5</v>
      </c>
      <c r="C239" s="25" t="s">
        <v>437</v>
      </c>
      <c r="D239" s="27">
        <v>2900</v>
      </c>
      <c r="E239" s="21"/>
      <c r="F239" s="21">
        <f t="shared" si="12"/>
        <v>11020</v>
      </c>
      <c r="G239" s="40"/>
    </row>
    <row r="240" ht="18.75" spans="1:7">
      <c r="A240" s="24">
        <v>45307</v>
      </c>
      <c r="B240" s="25">
        <v>53</v>
      </c>
      <c r="C240" s="25" t="s">
        <v>437</v>
      </c>
      <c r="D240" s="27">
        <v>1800</v>
      </c>
      <c r="E240" s="21"/>
      <c r="F240" s="21">
        <f t="shared" si="12"/>
        <v>13920</v>
      </c>
      <c r="G240" s="40"/>
    </row>
    <row r="241" ht="18.75" spans="1:7">
      <c r="A241" s="24">
        <v>45316</v>
      </c>
      <c r="B241" s="25">
        <v>101</v>
      </c>
      <c r="C241" s="25" t="s">
        <v>437</v>
      </c>
      <c r="D241" s="27">
        <v>5000</v>
      </c>
      <c r="E241" s="21"/>
      <c r="F241" s="21">
        <f t="shared" si="12"/>
        <v>15720</v>
      </c>
      <c r="G241" s="40"/>
    </row>
    <row r="242" ht="18.75" spans="1:7">
      <c r="A242" s="24" t="s">
        <v>438</v>
      </c>
      <c r="B242" s="25"/>
      <c r="C242" s="35" t="s">
        <v>436</v>
      </c>
      <c r="D242" s="27"/>
      <c r="E242" s="38">
        <v>15700</v>
      </c>
      <c r="F242" s="21">
        <f t="shared" si="12"/>
        <v>20720</v>
      </c>
      <c r="G242" s="40"/>
    </row>
    <row r="243" ht="18.75" spans="1:7">
      <c r="A243" s="24"/>
      <c r="B243" s="25"/>
      <c r="C243" s="25"/>
      <c r="D243" s="27"/>
      <c r="E243" s="21"/>
      <c r="F243" s="21">
        <f t="shared" si="12"/>
        <v>5020</v>
      </c>
      <c r="G243" s="40"/>
    </row>
    <row r="244" ht="18.75" spans="1:7">
      <c r="A244" s="24"/>
      <c r="B244" s="25"/>
      <c r="C244" s="25"/>
      <c r="D244" s="27"/>
      <c r="E244" s="21"/>
      <c r="F244" s="21"/>
      <c r="G244" s="40"/>
    </row>
  </sheetData>
  <mergeCells count="87">
    <mergeCell ref="A1:G1"/>
    <mergeCell ref="B2:D2"/>
    <mergeCell ref="B5:F5"/>
    <mergeCell ref="A12:G12"/>
    <mergeCell ref="B13:D13"/>
    <mergeCell ref="B16:F16"/>
    <mergeCell ref="A27:G27"/>
    <mergeCell ref="B28:D28"/>
    <mergeCell ref="B31:F31"/>
    <mergeCell ref="A39:G39"/>
    <mergeCell ref="B40:D40"/>
    <mergeCell ref="B43:F43"/>
    <mergeCell ref="A52:G52"/>
    <mergeCell ref="B53:D53"/>
    <mergeCell ref="B56:F56"/>
    <mergeCell ref="A65:G65"/>
    <mergeCell ref="B66:D66"/>
    <mergeCell ref="B69:F69"/>
    <mergeCell ref="A97:G97"/>
    <mergeCell ref="B98:D98"/>
    <mergeCell ref="B101:F101"/>
    <mergeCell ref="A120:G120"/>
    <mergeCell ref="B121:D121"/>
    <mergeCell ref="B124:F124"/>
    <mergeCell ref="A147:G147"/>
    <mergeCell ref="B148:D148"/>
    <mergeCell ref="B151:F151"/>
    <mergeCell ref="A184:G184"/>
    <mergeCell ref="B185:D185"/>
    <mergeCell ref="B188:F188"/>
    <mergeCell ref="A219:G219"/>
    <mergeCell ref="B220:D220"/>
    <mergeCell ref="A2:A6"/>
    <mergeCell ref="A13:A17"/>
    <mergeCell ref="A28:A32"/>
    <mergeCell ref="A40:A44"/>
    <mergeCell ref="A53:A57"/>
    <mergeCell ref="A66:A70"/>
    <mergeCell ref="A98:A102"/>
    <mergeCell ref="A121:A125"/>
    <mergeCell ref="A148:A152"/>
    <mergeCell ref="A185:A189"/>
    <mergeCell ref="A220:A223"/>
    <mergeCell ref="E3:E4"/>
    <mergeCell ref="E14:E15"/>
    <mergeCell ref="E29:E30"/>
    <mergeCell ref="E41:E42"/>
    <mergeCell ref="E54:E55"/>
    <mergeCell ref="E67:E68"/>
    <mergeCell ref="E99:E100"/>
    <mergeCell ref="E122:E123"/>
    <mergeCell ref="E149:E150"/>
    <mergeCell ref="E186:E187"/>
    <mergeCell ref="E221:E222"/>
    <mergeCell ref="F3:F4"/>
    <mergeCell ref="F14:F15"/>
    <mergeCell ref="F29:F30"/>
    <mergeCell ref="F41:F42"/>
    <mergeCell ref="F54:F55"/>
    <mergeCell ref="F67:F68"/>
    <mergeCell ref="F99:F100"/>
    <mergeCell ref="F122:F123"/>
    <mergeCell ref="F149:F150"/>
    <mergeCell ref="F186:F187"/>
    <mergeCell ref="F222:F223"/>
    <mergeCell ref="G2:G6"/>
    <mergeCell ref="G13:G17"/>
    <mergeCell ref="G28:G32"/>
    <mergeCell ref="G40:G44"/>
    <mergeCell ref="G53:G57"/>
    <mergeCell ref="G66:G70"/>
    <mergeCell ref="G98:G102"/>
    <mergeCell ref="G121:G125"/>
    <mergeCell ref="G148:G152"/>
    <mergeCell ref="G185:G189"/>
    <mergeCell ref="G221:G224"/>
    <mergeCell ref="B14:D15"/>
    <mergeCell ref="B54:D55"/>
    <mergeCell ref="B99:D100"/>
    <mergeCell ref="B122:D123"/>
    <mergeCell ref="B186:D187"/>
    <mergeCell ref="B149:D150"/>
    <mergeCell ref="B221:D222"/>
    <mergeCell ref="B67:D68"/>
    <mergeCell ref="B41:D42"/>
    <mergeCell ref="B29:D30"/>
    <mergeCell ref="B3:D4"/>
  </mergeCells>
  <printOptions horizontalCentered="1"/>
  <pageMargins left="0.161111111111111" right="0.161111111111111" top="0.2125" bottom="1" header="0.5" footer="0.5"/>
  <pageSetup paperSize="9" scale="91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温总</vt:lpstr>
      <vt:lpstr>温总出货</vt:lpstr>
      <vt:lpstr>出货</vt:lpstr>
      <vt:lpstr>温总回款明细</vt:lpstr>
      <vt:lpstr>5月回款明细</vt:lpstr>
      <vt:lpstr>5月以前的回款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2022-07-02T02:26:00Z</cp:lastPrinted>
  <dcterms:modified xsi:type="dcterms:W3CDTF">2026-01-21T02:21:03Z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C376BF1CEB134138BC77D4DAFFCA6C26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