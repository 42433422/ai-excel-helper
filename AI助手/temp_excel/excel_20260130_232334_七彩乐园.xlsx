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2228" windowHeight="8400" tabRatio="600" firstSheet="0" activeTab="0" autoFilterDateGrouping="1"/>
  </bookViews>
  <sheets>
    <sheet name="25出货" sheetId="1" state="visible" r:id="rId1"/>
    <sheet name="已调价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General&quot;号&quot;"/>
    <numFmt numFmtId="166" formatCode="m&quot;月&quot;d&quot;日&quot;;@"/>
    <numFmt numFmtId="167" formatCode="_ \¥* #,##0.00_ ;_ \¥* \-#,##0.00_ ;_ \¥* &quot;-&quot;??_ ;_ @_ "/>
  </numFmts>
  <fonts count="40">
    <font>
      <name val="宋体"/>
      <charset val="134"/>
      <sz val="12"/>
    </font>
    <font>
      <name val="宋体"/>
      <charset val="134"/>
      <color rgb="FF000000"/>
      <sz val="16"/>
    </font>
    <font>
      <name val="宋体"/>
      <charset val="134"/>
      <sz val="14"/>
    </font>
    <font>
      <name val="宋体"/>
      <charset val="134"/>
      <color rgb="FF00B0F0"/>
      <sz val="16"/>
    </font>
    <font>
      <name val="宋体"/>
      <charset val="134"/>
      <color rgb="FFFF0000"/>
      <sz val="12"/>
    </font>
    <font>
      <name val="宋体"/>
      <charset val="134"/>
      <color rgb="FF00B0F0"/>
      <sz val="12"/>
    </font>
    <font>
      <name val="宋体"/>
      <charset val="134"/>
      <sz val="16"/>
    </font>
    <font>
      <name val="宋体"/>
      <charset val="134"/>
      <color rgb="FF7030A0"/>
      <sz val="12"/>
    </font>
    <font>
      <name val="宋体"/>
      <charset val="134"/>
      <color rgb="FFFF0000"/>
      <sz val="16"/>
    </font>
    <font>
      <name val="宋体"/>
      <charset val="134"/>
      <color rgb="FF00B0F0"/>
      <sz val="10"/>
    </font>
    <font>
      <name val="宋体"/>
      <charset val="134"/>
      <color rgb="FFFF0000"/>
      <sz val="14"/>
    </font>
    <font>
      <name val="宋体"/>
      <charset val="134"/>
      <color rgb="FF7030A0"/>
      <sz val="16"/>
    </font>
    <font>
      <name val="宋体"/>
      <charset val="134"/>
      <b val="1"/>
      <color rgb="FFFF0000"/>
      <sz val="12"/>
    </font>
    <font>
      <name val="宋体"/>
      <charset val="134"/>
      <b val="1"/>
      <sz val="12"/>
    </font>
    <font>
      <name val="宋体"/>
      <charset val="134"/>
      <b val="1"/>
      <color rgb="FF00B0F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0">
    <xf numFmtId="0" fontId="0" fillId="0" borderId="0" applyAlignment="1">
      <alignment vertical="center"/>
    </xf>
    <xf numFmtId="43" fontId="15" fillId="0" borderId="0" applyAlignment="1">
      <alignment vertical="center"/>
    </xf>
    <xf numFmtId="167" fontId="0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2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3" borderId="7" applyAlignment="1">
      <alignment vertical="center"/>
    </xf>
    <xf numFmtId="0" fontId="25" fillId="4" borderId="8" applyAlignment="1">
      <alignment vertical="center"/>
    </xf>
    <xf numFmtId="0" fontId="26" fillId="4" borderId="7" applyAlignment="1">
      <alignment vertical="center"/>
    </xf>
    <xf numFmtId="0" fontId="27" fillId="5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6" borderId="0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3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0" fillId="0" borderId="0"/>
    <xf numFmtId="0" fontId="35" fillId="8" borderId="0" applyAlignment="1">
      <alignment vertical="center"/>
    </xf>
    <xf numFmtId="0" fontId="15" fillId="0" borderId="0" applyAlignment="1">
      <alignment vertical="center"/>
    </xf>
    <xf numFmtId="0" fontId="15" fillId="0" borderId="0"/>
    <xf numFmtId="0" fontId="36" fillId="33" borderId="0" applyAlignment="1">
      <alignment vertical="center"/>
    </xf>
    <xf numFmtId="0" fontId="37" fillId="0" borderId="0" applyAlignment="1">
      <alignment vertical="center"/>
    </xf>
    <xf numFmtId="0" fontId="38" fillId="34" borderId="0" applyAlignment="1">
      <alignment vertical="center"/>
    </xf>
    <xf numFmtId="0" fontId="0" fillId="0" borderId="0" applyAlignment="1">
      <alignment vertical="center"/>
    </xf>
    <xf numFmtId="0" fontId="39" fillId="0" borderId="0"/>
    <xf numFmtId="167" fontId="0" fillId="0" borderId="0"/>
    <xf numFmtId="0" fontId="39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/>
    </xf>
    <xf numFmtId="58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58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58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textRotation="255"/>
    </xf>
    <xf numFmtId="58" fontId="8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textRotation="255"/>
    </xf>
    <xf numFmtId="0" fontId="14" fillId="0" borderId="0" applyAlignment="1" pivotButton="0" quotePrefix="0" xfId="0">
      <alignment horizontal="center" vertical="center" textRotation="255"/>
    </xf>
    <xf numFmtId="58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tabSelected="1" topLeftCell="K405" zoomScale="145" zoomScaleNormal="145" workbookViewId="0">
      <selection activeCell="M415" sqref="B414:M415"/>
    </sheetView>
  </sheetViews>
  <sheetFormatPr baseColWidth="8" defaultColWidth="9" defaultRowHeight="20.4"/>
  <cols>
    <col width="13" customWidth="1" style="12" min="1" max="1"/>
    <col width="9" customWidth="1" style="12" min="2" max="4"/>
    <col width="3.125" customWidth="1" style="12" min="5" max="5"/>
    <col width="34.625" customWidth="1" style="12" min="6" max="6"/>
    <col width="9" customWidth="1" style="12" min="7" max="9"/>
    <col width="10.1" customWidth="1" style="12" min="10" max="10"/>
    <col width="13.3" customWidth="1" style="12" min="11" max="11"/>
    <col width="14.125" customWidth="1" style="12" min="12" max="12"/>
    <col width="9.875" customWidth="1" style="12" min="13" max="13"/>
  </cols>
  <sheetData>
    <row r="1" customFormat="1" s="2">
      <c r="A1" s="19" t="inlineStr">
        <is>
          <t>日期</t>
        </is>
      </c>
      <c r="B1" s="19" t="inlineStr">
        <is>
          <t>单号</t>
        </is>
      </c>
      <c r="C1" s="19" t="inlineStr">
        <is>
          <t>产品型号</t>
        </is>
      </c>
      <c r="D1" s="20" t="n"/>
      <c r="E1" s="4" t="n"/>
      <c r="F1" s="21" t="inlineStr">
        <is>
          <t>产品名称</t>
        </is>
      </c>
      <c r="G1" s="19" t="inlineStr">
        <is>
          <t>数量/件</t>
        </is>
      </c>
      <c r="H1" s="19" t="inlineStr">
        <is>
          <t>规格/KG</t>
        </is>
      </c>
      <c r="I1" s="19" t="inlineStr">
        <is>
          <t>数量/KG</t>
        </is>
      </c>
      <c r="J1" s="19" t="inlineStr">
        <is>
          <t>单价/元</t>
        </is>
      </c>
      <c r="K1" s="19" t="inlineStr">
        <is>
          <t>金额/元</t>
        </is>
      </c>
      <c r="L1" s="19" t="inlineStr">
        <is>
          <t>备注</t>
        </is>
      </c>
      <c r="M1" s="19" t="inlineStr">
        <is>
          <t>金额合计</t>
        </is>
      </c>
    </row>
    <row r="2">
      <c r="A2" s="22" t="n">
        <v>45152</v>
      </c>
      <c r="B2" s="59" t="n">
        <v>1</v>
      </c>
      <c r="C2" s="24" t="inlineStr">
        <is>
          <t>9000F-1</t>
        </is>
      </c>
      <c r="F2" s="25" t="inlineStr">
        <is>
          <t>PU净味面漆稀释剂</t>
        </is>
      </c>
      <c r="G2" s="24" t="n">
        <v>1</v>
      </c>
      <c r="H2" s="24" t="n">
        <v>180</v>
      </c>
      <c r="I2" s="24">
        <f>G2*H2</f>
        <v/>
      </c>
      <c r="J2" s="24" t="n">
        <v>11</v>
      </c>
      <c r="K2" s="24">
        <f>I2*J2</f>
        <v/>
      </c>
      <c r="M2" s="24">
        <f>SUM(K2:K2)</f>
        <v/>
      </c>
    </row>
    <row r="3" customFormat="1" s="10">
      <c r="A3" s="60" t="n">
        <v>45154</v>
      </c>
      <c r="B3" s="61" t="n">
        <v>9</v>
      </c>
      <c r="C3" s="28" t="n">
        <v>9803</v>
      </c>
      <c r="F3" s="29" t="inlineStr">
        <is>
          <t>PE白底漆</t>
        </is>
      </c>
      <c r="G3" s="28" t="n">
        <v>1</v>
      </c>
      <c r="H3" s="28" t="n">
        <v>28</v>
      </c>
      <c r="I3" s="28">
        <f>G3*H3</f>
        <v/>
      </c>
      <c r="J3" s="28" t="n">
        <v>10</v>
      </c>
      <c r="K3" s="28">
        <f>I3*J3</f>
        <v/>
      </c>
      <c r="L3" s="15" t="inlineStr">
        <is>
          <t>18/7未开单：试油</t>
        </is>
      </c>
      <c r="M3" s="28" t="n"/>
    </row>
    <row r="4" customFormat="1" s="11">
      <c r="A4" s="62" t="n">
        <v>45154</v>
      </c>
      <c r="B4" s="61" t="n">
        <v>9</v>
      </c>
      <c r="C4" s="16" t="n">
        <v>9803</v>
      </c>
      <c r="F4" s="31" t="inlineStr">
        <is>
          <t>PE白底漆</t>
        </is>
      </c>
      <c r="G4" s="16" t="n">
        <v>9</v>
      </c>
      <c r="H4" s="16" t="n">
        <v>28</v>
      </c>
      <c r="I4" s="16">
        <f>G4*H4</f>
        <v/>
      </c>
      <c r="J4" s="16" t="n">
        <v>10</v>
      </c>
      <c r="K4" s="16">
        <f>I4*J4</f>
        <v/>
      </c>
      <c r="L4" s="13" t="n"/>
      <c r="M4" s="16" t="n"/>
    </row>
    <row r="5" customFormat="1" s="11">
      <c r="A5" s="32" t="n">
        <v>45154</v>
      </c>
      <c r="B5" s="61" t="n">
        <v>9</v>
      </c>
      <c r="C5" s="16" t="inlineStr">
        <is>
          <t>A1(553)</t>
        </is>
      </c>
      <c r="F5" s="31" t="inlineStr">
        <is>
          <t>PU净味哑光浅蓝色漆</t>
        </is>
      </c>
      <c r="G5" s="16" t="n">
        <v>1</v>
      </c>
      <c r="H5" s="16" t="n">
        <v>26</v>
      </c>
      <c r="I5" s="16">
        <f>G5*H5</f>
        <v/>
      </c>
      <c r="J5" s="16" t="n">
        <v>22</v>
      </c>
      <c r="K5" s="16">
        <f>I5*J5</f>
        <v/>
      </c>
      <c r="L5" s="13" t="n"/>
      <c r="M5" s="16" t="n"/>
    </row>
    <row r="6" customFormat="1" s="11">
      <c r="A6" s="32" t="n">
        <v>45154</v>
      </c>
      <c r="B6" s="61" t="n">
        <v>9</v>
      </c>
      <c r="C6" s="16" t="inlineStr">
        <is>
          <t>A2(553)</t>
        </is>
      </c>
      <c r="F6" s="31" t="inlineStr">
        <is>
          <t>PU净味哑光香槟银珠漆</t>
        </is>
      </c>
      <c r="G6" s="16" t="n">
        <v>1</v>
      </c>
      <c r="H6" s="16" t="n">
        <v>20</v>
      </c>
      <c r="I6" s="16">
        <f>G6*H6</f>
        <v/>
      </c>
      <c r="J6" s="16" t="n">
        <v>25</v>
      </c>
      <c r="K6" s="16">
        <f>I6*J6</f>
        <v/>
      </c>
      <c r="L6" s="13" t="n"/>
      <c r="M6" s="16" t="n"/>
    </row>
    <row r="7" customFormat="1" s="11">
      <c r="A7" s="32" t="n">
        <v>45154</v>
      </c>
      <c r="B7" s="61" t="n">
        <v>9</v>
      </c>
      <c r="C7" s="16" t="inlineStr">
        <is>
          <t>535F</t>
        </is>
      </c>
      <c r="F7" s="31" t="inlineStr">
        <is>
          <t>PU净味哑光固化剂</t>
        </is>
      </c>
      <c r="G7" s="16" t="n">
        <v>3</v>
      </c>
      <c r="H7" s="16" t="n">
        <v>10</v>
      </c>
      <c r="I7" s="16">
        <f>G7*H7</f>
        <v/>
      </c>
      <c r="J7" s="16" t="n">
        <v>22</v>
      </c>
      <c r="K7" s="16">
        <f>I7*J7</f>
        <v/>
      </c>
      <c r="L7" s="13" t="n"/>
      <c r="M7" s="16">
        <f>SUM(K3:K7)</f>
        <v/>
      </c>
    </row>
    <row r="8">
      <c r="A8" s="22" t="n">
        <v>45156</v>
      </c>
      <c r="B8" s="59" t="n">
        <v>17</v>
      </c>
      <c r="C8" s="24" t="inlineStr">
        <is>
          <t>7225-70F</t>
        </is>
      </c>
      <c r="F8" s="25" t="inlineStr">
        <is>
          <t>PU净味三分光清面漆</t>
        </is>
      </c>
      <c r="G8" s="24" t="n">
        <v>3</v>
      </c>
      <c r="H8" s="24" t="n">
        <v>20</v>
      </c>
      <c r="I8" s="24">
        <f>G8*H8</f>
        <v/>
      </c>
      <c r="J8" s="24" t="n">
        <v>19</v>
      </c>
      <c r="K8" s="24">
        <f>I8*J8</f>
        <v/>
      </c>
      <c r="M8" s="24" t="n"/>
    </row>
    <row r="9">
      <c r="A9" s="22" t="n">
        <v>45156</v>
      </c>
      <c r="B9" s="59" t="n">
        <v>17</v>
      </c>
      <c r="C9" s="24" t="inlineStr">
        <is>
          <t>HL-001</t>
        </is>
      </c>
      <c r="F9" s="25" t="inlineStr">
        <is>
          <t>PU净味哑光白面漆</t>
        </is>
      </c>
      <c r="G9" s="24" t="n">
        <v>5</v>
      </c>
      <c r="H9" s="24" t="n">
        <v>25</v>
      </c>
      <c r="I9" s="24">
        <f>G9*H9</f>
        <v/>
      </c>
      <c r="J9" s="24" t="n">
        <v>22</v>
      </c>
      <c r="K9" s="24">
        <f>I9*J9</f>
        <v/>
      </c>
      <c r="M9" s="24" t="n"/>
    </row>
    <row r="10">
      <c r="A10" s="22" t="n">
        <v>45156</v>
      </c>
      <c r="B10" s="59" t="n">
        <v>17</v>
      </c>
      <c r="C10" s="24" t="inlineStr">
        <is>
          <t>535F</t>
        </is>
      </c>
      <c r="F10" s="25" t="inlineStr">
        <is>
          <t>PU净味哑光固化剂</t>
        </is>
      </c>
      <c r="G10" s="24" t="n">
        <v>9</v>
      </c>
      <c r="H10" s="24" t="n">
        <v>10</v>
      </c>
      <c r="I10" s="24">
        <f>G10*H10</f>
        <v/>
      </c>
      <c r="J10" s="24" t="n">
        <v>22</v>
      </c>
      <c r="K10" s="24">
        <f>I10*J10</f>
        <v/>
      </c>
      <c r="M10" s="24">
        <f>SUM(K8:K10)</f>
        <v/>
      </c>
    </row>
    <row r="11" customFormat="1" s="11">
      <c r="A11" s="62" t="n">
        <v>45166</v>
      </c>
      <c r="B11" s="61" t="n">
        <v>39</v>
      </c>
      <c r="C11" s="16" t="n">
        <v>9803</v>
      </c>
      <c r="F11" s="31" t="inlineStr">
        <is>
          <t>PE白底漆</t>
        </is>
      </c>
      <c r="G11" s="16" t="n">
        <v>10</v>
      </c>
      <c r="H11" s="16" t="n">
        <v>28</v>
      </c>
      <c r="I11" s="16">
        <f>G11*H11</f>
        <v/>
      </c>
      <c r="J11" s="16" t="n">
        <v>10</v>
      </c>
      <c r="K11" s="16">
        <f>I11*J11</f>
        <v/>
      </c>
      <c r="L11" s="13" t="n"/>
      <c r="M11" s="16" t="n"/>
    </row>
    <row r="12" customFormat="1" s="12">
      <c r="A12" s="22" t="n">
        <v>45170</v>
      </c>
      <c r="B12" s="59" t="n">
        <v>3</v>
      </c>
      <c r="C12" s="24" t="n">
        <v>9803</v>
      </c>
      <c r="F12" s="25" t="inlineStr">
        <is>
          <t>PE白底漆</t>
        </is>
      </c>
      <c r="G12" s="24" t="n">
        <v>10</v>
      </c>
      <c r="H12" s="24" t="n">
        <v>28</v>
      </c>
      <c r="I12" s="24">
        <f>G12*H12</f>
        <v/>
      </c>
      <c r="J12" s="24" t="n">
        <v>10</v>
      </c>
      <c r="K12" s="24">
        <f>I12*J12</f>
        <v/>
      </c>
      <c r="M12" s="24" t="n"/>
    </row>
    <row r="13" customFormat="1" s="12">
      <c r="A13" s="22" t="n">
        <v>45170</v>
      </c>
      <c r="B13" s="59" t="n">
        <v>3</v>
      </c>
      <c r="C13" s="24" t="inlineStr">
        <is>
          <t>HL-9824A</t>
        </is>
      </c>
      <c r="F13" s="12" t="inlineStr">
        <is>
          <t>PE封固底漆</t>
        </is>
      </c>
      <c r="G13" s="24" t="n">
        <v>5</v>
      </c>
      <c r="H13" s="24" t="n">
        <v>22</v>
      </c>
      <c r="I13" s="24">
        <f>G13*H13</f>
        <v/>
      </c>
      <c r="J13" s="24" t="n">
        <v>13.5</v>
      </c>
      <c r="K13" s="24">
        <f>I13*J13</f>
        <v/>
      </c>
      <c r="M13" s="24">
        <f>SUM(K12:K13)</f>
        <v/>
      </c>
    </row>
    <row r="14" customFormat="1" s="13">
      <c r="A14" s="32" t="n">
        <v>45177</v>
      </c>
      <c r="B14" s="61" t="n">
        <v>21</v>
      </c>
      <c r="C14" s="16" t="inlineStr">
        <is>
          <t>733#</t>
        </is>
      </c>
      <c r="F14" s="31" t="inlineStr">
        <is>
          <t>PU净味哑光香槟色漆</t>
        </is>
      </c>
      <c r="G14" s="16" t="n">
        <v>1</v>
      </c>
      <c r="H14" s="16" t="n">
        <v>16</v>
      </c>
      <c r="I14" s="16">
        <f>G14*H14</f>
        <v/>
      </c>
      <c r="J14" s="16" t="n">
        <v>22</v>
      </c>
      <c r="K14" s="16">
        <f>I14*J14</f>
        <v/>
      </c>
      <c r="M14" s="16" t="n"/>
    </row>
    <row r="15" customFormat="1" s="13">
      <c r="A15" s="32" t="n">
        <v>45177</v>
      </c>
      <c r="B15" s="61" t="n">
        <v>21</v>
      </c>
      <c r="C15" s="16" t="n">
        <v>709</v>
      </c>
      <c r="F15" s="31" t="inlineStr">
        <is>
          <t>PU净味哑光灰蓝色漆</t>
        </is>
      </c>
      <c r="G15" s="16" t="n">
        <v>2</v>
      </c>
      <c r="H15" s="16" t="n">
        <v>26</v>
      </c>
      <c r="I15" s="16">
        <f>G15*H15</f>
        <v/>
      </c>
      <c r="J15" s="16" t="n">
        <v>22</v>
      </c>
      <c r="K15" s="16">
        <f>I15*J15</f>
        <v/>
      </c>
      <c r="M15" s="16" t="n"/>
    </row>
    <row r="16" customFormat="1" s="13">
      <c r="A16" s="32" t="n">
        <v>45177</v>
      </c>
      <c r="B16" s="61" t="n">
        <v>21</v>
      </c>
      <c r="C16" s="16" t="inlineStr">
        <is>
          <t>HL-001</t>
        </is>
      </c>
      <c r="F16" s="31" t="inlineStr">
        <is>
          <t>PU净味哑光白面漆</t>
        </is>
      </c>
      <c r="G16" s="16" t="n">
        <v>4</v>
      </c>
      <c r="H16" s="16" t="n">
        <v>25</v>
      </c>
      <c r="I16" s="16">
        <f>G16*H16</f>
        <v/>
      </c>
      <c r="J16" s="16" t="n">
        <v>22</v>
      </c>
      <c r="K16" s="16">
        <f>I16*J16</f>
        <v/>
      </c>
      <c r="M16" s="16" t="n"/>
    </row>
    <row r="17" customFormat="1" s="13">
      <c r="A17" s="32" t="n">
        <v>45177</v>
      </c>
      <c r="B17" s="61" t="n">
        <v>21</v>
      </c>
      <c r="C17" s="16" t="inlineStr">
        <is>
          <t>HL-001</t>
        </is>
      </c>
      <c r="F17" s="31" t="inlineStr">
        <is>
          <t>PU净味哑光白面漆</t>
        </is>
      </c>
      <c r="G17" s="16" t="n">
        <v>1</v>
      </c>
      <c r="H17" s="16" t="n">
        <v>26</v>
      </c>
      <c r="I17" s="16">
        <f>G17*H17</f>
        <v/>
      </c>
      <c r="J17" s="16" t="n">
        <v>22</v>
      </c>
      <c r="K17" s="16">
        <f>I17*J17</f>
        <v/>
      </c>
      <c r="M17" s="16" t="n"/>
    </row>
    <row r="18" customFormat="1" s="13">
      <c r="A18" s="32" t="n">
        <v>45177</v>
      </c>
      <c r="B18" s="61" t="n">
        <v>21</v>
      </c>
      <c r="C18" s="16" t="inlineStr">
        <is>
          <t>535F</t>
        </is>
      </c>
      <c r="F18" s="31" t="inlineStr">
        <is>
          <t>PU净味哑光固化剂</t>
        </is>
      </c>
      <c r="G18" s="16" t="n">
        <v>10</v>
      </c>
      <c r="H18" s="16" t="n">
        <v>10</v>
      </c>
      <c r="I18" s="16">
        <f>G18*H18</f>
        <v/>
      </c>
      <c r="J18" s="16" t="n">
        <v>22</v>
      </c>
      <c r="K18" s="16">
        <f>I18*J18</f>
        <v/>
      </c>
      <c r="M18" s="16" t="n"/>
    </row>
    <row r="19" customFormat="1" s="11">
      <c r="A19" s="32" t="n">
        <v>45177</v>
      </c>
      <c r="B19" s="61" t="n">
        <v>21</v>
      </c>
      <c r="C19" s="16" t="inlineStr">
        <is>
          <t>7225-70F</t>
        </is>
      </c>
      <c r="F19" s="31" t="inlineStr">
        <is>
          <t>PU净味三分光清面漆</t>
        </is>
      </c>
      <c r="G19" s="16" t="n">
        <v>2</v>
      </c>
      <c r="H19" s="16" t="n">
        <v>20</v>
      </c>
      <c r="I19" s="16">
        <f>G19*H19</f>
        <v/>
      </c>
      <c r="J19" s="16" t="n">
        <v>19</v>
      </c>
      <c r="K19" s="16">
        <f>I19*J19</f>
        <v/>
      </c>
      <c r="L19" s="13" t="n"/>
      <c r="M19" s="16">
        <f>SUM(K14:K19)</f>
        <v/>
      </c>
    </row>
    <row r="20">
      <c r="A20" s="22" t="n">
        <v>45180</v>
      </c>
      <c r="B20" s="59" t="n">
        <v>31</v>
      </c>
      <c r="C20" s="24" t="inlineStr">
        <is>
          <t>9000F-1</t>
        </is>
      </c>
      <c r="F20" s="25" t="inlineStr">
        <is>
          <t>PU净味面漆稀释剂</t>
        </is>
      </c>
      <c r="G20" s="24" t="n">
        <v>1</v>
      </c>
      <c r="H20" s="24" t="n">
        <v>180</v>
      </c>
      <c r="I20" s="24">
        <f>G20*H20</f>
        <v/>
      </c>
      <c r="J20" s="24" t="n">
        <v>11</v>
      </c>
      <c r="K20" s="24">
        <f>I20*J20</f>
        <v/>
      </c>
      <c r="M20" s="24">
        <f>SUM(K20:K20)</f>
        <v/>
      </c>
    </row>
    <row r="21" customFormat="1" s="13">
      <c r="A21" s="32" t="n">
        <v>45181</v>
      </c>
      <c r="B21" s="61" t="n">
        <v>34</v>
      </c>
      <c r="C21" s="16" t="inlineStr">
        <is>
          <t>HL-9824A</t>
        </is>
      </c>
      <c r="F21" s="13" t="inlineStr">
        <is>
          <t>PE封固底漆</t>
        </is>
      </c>
      <c r="G21" s="16" t="n">
        <v>5</v>
      </c>
      <c r="H21" s="16" t="n">
        <v>22</v>
      </c>
      <c r="I21" s="16">
        <f>G21*H21</f>
        <v/>
      </c>
      <c r="J21" s="16" t="n">
        <v>13.5</v>
      </c>
      <c r="K21" s="16">
        <f>I21*J21</f>
        <v/>
      </c>
      <c r="M21" s="16" t="n"/>
    </row>
    <row r="22" customFormat="1" s="13">
      <c r="A22" s="32" t="n">
        <v>45181</v>
      </c>
      <c r="B22" s="61" t="n">
        <v>34</v>
      </c>
      <c r="C22" s="16" t="n">
        <v>9803</v>
      </c>
      <c r="F22" s="31" t="inlineStr">
        <is>
          <t>PE白底漆</t>
        </is>
      </c>
      <c r="G22" s="16" t="n">
        <v>10</v>
      </c>
      <c r="H22" s="16" t="n">
        <v>28</v>
      </c>
      <c r="I22" s="16">
        <f>G22*H22</f>
        <v/>
      </c>
      <c r="J22" s="16" t="n">
        <v>10</v>
      </c>
      <c r="K22" s="16">
        <f>I22*J22</f>
        <v/>
      </c>
      <c r="M22" s="16">
        <f>SUM(K21:K22)</f>
        <v/>
      </c>
    </row>
    <row r="23">
      <c r="A23" s="22" t="n">
        <v>45195</v>
      </c>
      <c r="B23" s="59" t="n">
        <v>74</v>
      </c>
      <c r="C23" s="24" t="inlineStr">
        <is>
          <t>7225-80F</t>
        </is>
      </c>
      <c r="F23" s="25" t="inlineStr">
        <is>
          <t>PU净味全哑清面漆</t>
        </is>
      </c>
      <c r="G23" s="24" t="n">
        <v>1</v>
      </c>
      <c r="H23" s="24" t="n">
        <v>20</v>
      </c>
      <c r="I23" s="24">
        <f>G23*H23</f>
        <v/>
      </c>
      <c r="J23" s="24" t="n">
        <v>19</v>
      </c>
      <c r="K23" s="24">
        <f>I23*J23</f>
        <v/>
      </c>
      <c r="M23" s="24" t="n"/>
    </row>
    <row r="24">
      <c r="A24" s="22" t="n">
        <v>45195</v>
      </c>
      <c r="B24" s="59" t="n">
        <v>74</v>
      </c>
      <c r="C24" s="24" t="inlineStr">
        <is>
          <t>535F</t>
        </is>
      </c>
      <c r="F24" s="25" t="inlineStr">
        <is>
          <t>PU净味哑光固化剂</t>
        </is>
      </c>
      <c r="G24" s="24" t="n">
        <v>1</v>
      </c>
      <c r="H24" s="24" t="n">
        <v>10</v>
      </c>
      <c r="I24" s="24">
        <f>G24*H24</f>
        <v/>
      </c>
      <c r="J24" s="24" t="n">
        <v>22</v>
      </c>
      <c r="K24" s="24">
        <f>I24*J24</f>
        <v/>
      </c>
      <c r="M24" s="24">
        <f>SUM(K23:K24)</f>
        <v/>
      </c>
    </row>
    <row r="25" customFormat="1" s="13">
      <c r="A25" s="32" t="n">
        <v>45201</v>
      </c>
      <c r="B25" s="61" t="n">
        <v>1</v>
      </c>
      <c r="C25" s="16" t="n">
        <v>9803</v>
      </c>
      <c r="F25" s="31" t="inlineStr">
        <is>
          <t>PE白底漆</t>
        </is>
      </c>
      <c r="G25" s="16" t="n">
        <v>10</v>
      </c>
      <c r="H25" s="16" t="n">
        <v>28</v>
      </c>
      <c r="I25" s="16">
        <f>G25*H25</f>
        <v/>
      </c>
      <c r="J25" s="16" t="n">
        <v>10</v>
      </c>
      <c r="K25" s="16">
        <f>I25*J25</f>
        <v/>
      </c>
      <c r="M25" s="16" t="n"/>
    </row>
    <row r="26" customFormat="1" s="12">
      <c r="A26" s="22" t="n">
        <v>45205</v>
      </c>
      <c r="B26" s="59" t="n">
        <v>6</v>
      </c>
      <c r="C26" s="24" t="inlineStr">
        <is>
          <t>HL-9824A</t>
        </is>
      </c>
      <c r="F26" s="12" t="inlineStr">
        <is>
          <t>PE封固底漆</t>
        </is>
      </c>
      <c r="G26" s="24" t="n">
        <v>6</v>
      </c>
      <c r="H26" s="24" t="n">
        <v>22</v>
      </c>
      <c r="I26" s="24">
        <f>G26*H26</f>
        <v/>
      </c>
      <c r="J26" s="24" t="n">
        <v>13.5</v>
      </c>
      <c r="K26" s="24">
        <f>I26*J26</f>
        <v/>
      </c>
      <c r="M26" s="24" t="n"/>
    </row>
    <row r="27" customFormat="1" s="13">
      <c r="A27" s="32" t="n">
        <v>45211</v>
      </c>
      <c r="B27" s="61" t="n">
        <v>24</v>
      </c>
      <c r="C27" s="16" t="inlineStr">
        <is>
          <t>HL-001</t>
        </is>
      </c>
      <c r="F27" s="31" t="inlineStr">
        <is>
          <t>PU净味哑光白面漆</t>
        </is>
      </c>
      <c r="G27" s="16" t="n">
        <v>3</v>
      </c>
      <c r="H27" s="16" t="n">
        <v>26</v>
      </c>
      <c r="I27" s="16">
        <f>G27*H27</f>
        <v/>
      </c>
      <c r="J27" s="16" t="n">
        <v>22</v>
      </c>
      <c r="K27" s="16">
        <f>I27*J27</f>
        <v/>
      </c>
      <c r="M27" s="16" t="n"/>
    </row>
    <row r="28" customFormat="1" s="13">
      <c r="A28" s="32" t="n">
        <v>45211</v>
      </c>
      <c r="B28" s="61" t="n">
        <v>24</v>
      </c>
      <c r="C28" s="16" t="inlineStr">
        <is>
          <t>HL-001</t>
        </is>
      </c>
      <c r="F28" s="31" t="inlineStr">
        <is>
          <t>PU净味哑光白面漆</t>
        </is>
      </c>
      <c r="G28" s="16" t="n">
        <v>2</v>
      </c>
      <c r="H28" s="16" t="n">
        <v>25</v>
      </c>
      <c r="I28" s="16">
        <f>G28*H28</f>
        <v/>
      </c>
      <c r="J28" s="16" t="n">
        <v>22</v>
      </c>
      <c r="K28" s="16">
        <f>I28*J28</f>
        <v/>
      </c>
      <c r="M28" s="16" t="n"/>
    </row>
    <row r="29" customFormat="1" s="11">
      <c r="A29" s="32" t="n">
        <v>45211</v>
      </c>
      <c r="B29" s="61" t="n">
        <v>24</v>
      </c>
      <c r="C29" s="16" t="inlineStr">
        <is>
          <t>7225-70F</t>
        </is>
      </c>
      <c r="F29" s="31" t="inlineStr">
        <is>
          <t>PU净味三分光清面漆</t>
        </is>
      </c>
      <c r="G29" s="16" t="n">
        <v>3</v>
      </c>
      <c r="H29" s="16" t="n">
        <v>20</v>
      </c>
      <c r="I29" s="16">
        <f>G29*H29</f>
        <v/>
      </c>
      <c r="J29" s="16" t="n">
        <v>19</v>
      </c>
      <c r="K29" s="16">
        <f>I29*J29</f>
        <v/>
      </c>
      <c r="L29" s="13" t="n"/>
      <c r="M29" s="16" t="n"/>
    </row>
    <row r="30" customFormat="1" s="13">
      <c r="A30" s="32" t="n">
        <v>45211</v>
      </c>
      <c r="B30" s="61" t="n">
        <v>24</v>
      </c>
      <c r="C30" s="16" t="n">
        <v>709</v>
      </c>
      <c r="F30" s="31" t="inlineStr">
        <is>
          <t>PU净味哑光灰蓝色漆</t>
        </is>
      </c>
      <c r="G30" s="16" t="n">
        <v>2</v>
      </c>
      <c r="H30" s="16" t="n">
        <v>25</v>
      </c>
      <c r="I30" s="16">
        <f>G30*H30</f>
        <v/>
      </c>
      <c r="J30" s="16" t="n">
        <v>22</v>
      </c>
      <c r="K30" s="16">
        <f>I30*J30</f>
        <v/>
      </c>
      <c r="M30" s="16" t="n"/>
    </row>
    <row r="31" customFormat="1" s="11">
      <c r="A31" s="32" t="n">
        <v>45211</v>
      </c>
      <c r="B31" s="61" t="n">
        <v>24</v>
      </c>
      <c r="C31" s="16" t="inlineStr">
        <is>
          <t>535F</t>
        </is>
      </c>
      <c r="F31" s="31" t="inlineStr">
        <is>
          <t>PU净味哑光固化剂</t>
        </is>
      </c>
      <c r="G31" s="16" t="n">
        <v>15</v>
      </c>
      <c r="H31" s="16" t="n">
        <v>10</v>
      </c>
      <c r="I31" s="16">
        <f>G31*H31</f>
        <v/>
      </c>
      <c r="J31" s="16" t="n">
        <v>22</v>
      </c>
      <c r="K31" s="16">
        <f>I31*J31</f>
        <v/>
      </c>
      <c r="L31" s="13" t="n"/>
      <c r="M31" s="16">
        <f>SUM(K27:K31)</f>
        <v/>
      </c>
    </row>
    <row r="32" customFormat="1" s="12">
      <c r="A32" s="22" t="n">
        <v>45212</v>
      </c>
      <c r="B32" s="59" t="n">
        <v>28</v>
      </c>
      <c r="C32" s="24" t="inlineStr">
        <is>
          <t>HL-9824A</t>
        </is>
      </c>
      <c r="F32" s="12" t="inlineStr">
        <is>
          <t>PE封固底漆</t>
        </is>
      </c>
      <c r="G32" s="24" t="n">
        <v>5</v>
      </c>
      <c r="H32" s="24" t="n">
        <v>22</v>
      </c>
      <c r="I32" s="24">
        <f>G32*H32</f>
        <v/>
      </c>
      <c r="J32" s="24" t="n">
        <v>13.5</v>
      </c>
      <c r="K32" s="24">
        <f>I32*J32</f>
        <v/>
      </c>
      <c r="M32" s="24" t="n"/>
    </row>
    <row r="33" customFormat="1" s="12">
      <c r="A33" s="22" t="n">
        <v>45212</v>
      </c>
      <c r="B33" s="59" t="n">
        <v>28</v>
      </c>
      <c r="C33" s="24" t="n">
        <v>9803</v>
      </c>
      <c r="F33" s="25" t="inlineStr">
        <is>
          <t>PE白底漆</t>
        </is>
      </c>
      <c r="G33" s="24" t="n">
        <v>10</v>
      </c>
      <c r="H33" s="24" t="n">
        <v>28</v>
      </c>
      <c r="I33" s="24">
        <f>G33*H33</f>
        <v/>
      </c>
      <c r="J33" s="24" t="n">
        <v>10</v>
      </c>
      <c r="K33" s="24">
        <f>I33*J33</f>
        <v/>
      </c>
      <c r="L33" s="25" t="n">
        <v>9804</v>
      </c>
      <c r="M33" s="24" t="n"/>
    </row>
    <row r="34" customFormat="1" s="12">
      <c r="A34" s="22" t="n">
        <v>45212</v>
      </c>
      <c r="B34" s="59" t="n">
        <v>28</v>
      </c>
      <c r="C34" s="24" t="inlineStr">
        <is>
          <t>QCL25A</t>
        </is>
      </c>
      <c r="F34" s="12" t="inlineStr">
        <is>
          <t>PE无粉封固底漆</t>
        </is>
      </c>
      <c r="G34" s="24" t="n">
        <v>2</v>
      </c>
      <c r="H34" s="24" t="n">
        <v>20</v>
      </c>
      <c r="I34" s="24">
        <f>G34*H34</f>
        <v/>
      </c>
      <c r="J34" s="24" t="n">
        <v>13.5</v>
      </c>
      <c r="K34" s="24">
        <f>I34*J34</f>
        <v/>
      </c>
      <c r="M34" s="24">
        <f>SUM(K32:K34)</f>
        <v/>
      </c>
    </row>
    <row r="35" customFormat="1" s="13">
      <c r="A35" s="32" t="n">
        <v>45217</v>
      </c>
      <c r="B35" s="61" t="n">
        <v>38</v>
      </c>
      <c r="C35" s="16" t="inlineStr">
        <is>
          <t>QCL25A</t>
        </is>
      </c>
      <c r="F35" s="13" t="inlineStr">
        <is>
          <t>PE无粉封固底漆</t>
        </is>
      </c>
      <c r="G35" s="16" t="n">
        <v>5</v>
      </c>
      <c r="H35" s="16" t="n">
        <v>20</v>
      </c>
      <c r="I35" s="16">
        <f>G35*H35</f>
        <v/>
      </c>
      <c r="J35" s="16" t="n">
        <v>13.5</v>
      </c>
      <c r="K35" s="16">
        <f>I35*J35</f>
        <v/>
      </c>
      <c r="M35" s="16">
        <f>SUM(K35)</f>
        <v/>
      </c>
    </row>
    <row r="36">
      <c r="A36" s="22" t="n">
        <v>45217</v>
      </c>
      <c r="B36" s="59" t="n">
        <v>39</v>
      </c>
      <c r="C36" s="24" t="inlineStr">
        <is>
          <t>9000F-1</t>
        </is>
      </c>
      <c r="F36" s="25" t="inlineStr">
        <is>
          <t>PU净味面漆稀释剂</t>
        </is>
      </c>
      <c r="G36" s="24" t="n">
        <v>1</v>
      </c>
      <c r="H36" s="24" t="n">
        <v>180</v>
      </c>
      <c r="I36" s="24">
        <f>G36*H36</f>
        <v/>
      </c>
      <c r="J36" s="24" t="n">
        <v>11</v>
      </c>
      <c r="K36" s="24">
        <f>I36*J36</f>
        <v/>
      </c>
      <c r="M36" s="24" t="n"/>
    </row>
    <row r="37">
      <c r="A37" s="22" t="n">
        <v>45217</v>
      </c>
      <c r="B37" s="59" t="n">
        <v>39</v>
      </c>
      <c r="C37" s="24" t="n">
        <v>731</v>
      </c>
      <c r="F37" s="25" t="inlineStr">
        <is>
          <t>PU净味哑光浅蓝色漆</t>
        </is>
      </c>
      <c r="G37" s="24" t="n">
        <v>1</v>
      </c>
      <c r="H37" s="24" t="n">
        <v>19</v>
      </c>
      <c r="I37" s="24">
        <f>G37*H37</f>
        <v/>
      </c>
      <c r="J37" s="24" t="n">
        <v>22</v>
      </c>
      <c r="K37" s="24">
        <f>I37*J37</f>
        <v/>
      </c>
      <c r="M37" s="24" t="n"/>
    </row>
    <row r="38">
      <c r="A38" s="22" t="n">
        <v>45217</v>
      </c>
      <c r="B38" s="59" t="n">
        <v>39</v>
      </c>
      <c r="C38" s="24" t="inlineStr">
        <is>
          <t>535F</t>
        </is>
      </c>
      <c r="F38" s="25" t="inlineStr">
        <is>
          <t>PU净味哑光固化剂</t>
        </is>
      </c>
      <c r="G38" s="24" t="n">
        <v>2</v>
      </c>
      <c r="H38" s="24" t="n">
        <v>10</v>
      </c>
      <c r="I38" s="24">
        <f>G38*H38</f>
        <v/>
      </c>
      <c r="J38" s="24" t="n">
        <v>22</v>
      </c>
      <c r="K38" s="24">
        <f>I38*J38</f>
        <v/>
      </c>
      <c r="M38" s="24">
        <f>SUM(K36:K38)</f>
        <v/>
      </c>
    </row>
    <row r="39" customFormat="1" s="11">
      <c r="A39" s="32" t="n">
        <v>45224</v>
      </c>
      <c r="B39" s="61" t="n">
        <v>58</v>
      </c>
      <c r="C39" s="16" t="inlineStr">
        <is>
          <t>A</t>
        </is>
      </c>
      <c r="F39" s="31" t="inlineStr">
        <is>
          <t>PU净味全哑修色油</t>
        </is>
      </c>
      <c r="G39" s="16" t="n">
        <v>1</v>
      </c>
      <c r="H39" s="16" t="n">
        <v>20</v>
      </c>
      <c r="I39" s="16">
        <f>G39*H39</f>
        <v/>
      </c>
      <c r="J39" s="16" t="n">
        <v>22</v>
      </c>
      <c r="K39" s="16">
        <f>I39*J39</f>
        <v/>
      </c>
      <c r="L39" s="13" t="inlineStr">
        <is>
          <t>商标配比是哑光清面配比</t>
        </is>
      </c>
      <c r="M39" s="16" t="n"/>
    </row>
    <row r="40" customFormat="1" s="11">
      <c r="A40" s="32" t="n">
        <v>45224</v>
      </c>
      <c r="B40" s="61" t="n">
        <v>58</v>
      </c>
      <c r="C40" s="16" t="inlineStr">
        <is>
          <t>535F</t>
        </is>
      </c>
      <c r="F40" s="31" t="inlineStr">
        <is>
          <t>PU净味哑光固化剂</t>
        </is>
      </c>
      <c r="G40" s="16" t="n">
        <v>1</v>
      </c>
      <c r="H40" s="16" t="n">
        <v>10</v>
      </c>
      <c r="I40" s="16">
        <f>G40*H40</f>
        <v/>
      </c>
      <c r="J40" s="16" t="n">
        <v>22</v>
      </c>
      <c r="K40" s="16">
        <f>I40*J40</f>
        <v/>
      </c>
      <c r="L40" s="13" t="n"/>
      <c r="M40" s="16">
        <f>SUM(K39:K40)</f>
        <v/>
      </c>
    </row>
    <row r="41" customFormat="1" s="12">
      <c r="A41" s="22" t="n">
        <v>45234</v>
      </c>
      <c r="B41" s="59" t="n">
        <v>5</v>
      </c>
      <c r="C41" s="24" t="n">
        <v>9803</v>
      </c>
      <c r="F41" s="25" t="inlineStr">
        <is>
          <t>PE白底漆</t>
        </is>
      </c>
      <c r="G41" s="24" t="n">
        <v>15</v>
      </c>
      <c r="H41" s="24" t="n">
        <v>28</v>
      </c>
      <c r="I41" s="24">
        <f>G41*H41</f>
        <v/>
      </c>
      <c r="J41" s="24" t="n">
        <v>10</v>
      </c>
      <c r="K41" s="24">
        <f>I41*J41</f>
        <v/>
      </c>
      <c r="L41" s="29" t="n">
        <v>9804</v>
      </c>
      <c r="M41" s="29" t="inlineStr">
        <is>
          <t>4/11日做</t>
        </is>
      </c>
    </row>
    <row r="42" customFormat="1" s="12">
      <c r="A42" s="22" t="n">
        <v>45234</v>
      </c>
      <c r="B42" s="59" t="n">
        <v>5</v>
      </c>
      <c r="C42" s="24" t="inlineStr">
        <is>
          <t>HL-9824A</t>
        </is>
      </c>
      <c r="F42" s="12" t="inlineStr">
        <is>
          <t>PE封固底漆</t>
        </is>
      </c>
      <c r="G42" s="24" t="n">
        <v>5</v>
      </c>
      <c r="H42" s="24" t="n">
        <v>22</v>
      </c>
      <c r="I42" s="24">
        <f>G42*H42</f>
        <v/>
      </c>
      <c r="J42" s="24" t="n">
        <v>13.5</v>
      </c>
      <c r="K42" s="24">
        <f>I42*J42</f>
        <v/>
      </c>
      <c r="M42" s="24">
        <f>SUM(K41:K42)</f>
        <v/>
      </c>
    </row>
    <row r="43" customFormat="1" s="11">
      <c r="A43" s="32" t="n">
        <v>45236</v>
      </c>
      <c r="B43" s="61" t="inlineStr">
        <is>
          <t>13号</t>
        </is>
      </c>
      <c r="C43" s="16" t="inlineStr">
        <is>
          <t>M019</t>
        </is>
      </c>
      <c r="F43" s="31" t="inlineStr">
        <is>
          <t>PU哑光香槟色漆</t>
        </is>
      </c>
      <c r="G43" s="16" t="n">
        <v>1</v>
      </c>
      <c r="H43" s="16" t="n">
        <v>10</v>
      </c>
      <c r="I43" s="24">
        <f>G43*H43</f>
        <v/>
      </c>
      <c r="J43" s="16" t="n">
        <v>22</v>
      </c>
      <c r="K43" s="16">
        <f>I43*J43</f>
        <v/>
      </c>
      <c r="L43" s="13" t="n"/>
      <c r="M43" s="16" t="n"/>
    </row>
    <row r="44" customFormat="1" s="11">
      <c r="A44" s="32" t="n">
        <v>45224</v>
      </c>
      <c r="B44" s="61" t="inlineStr">
        <is>
          <t>13号</t>
        </is>
      </c>
      <c r="C44" s="16" t="inlineStr">
        <is>
          <t>535F</t>
        </is>
      </c>
      <c r="F44" s="31" t="inlineStr">
        <is>
          <t>PU净味哑光固化剂</t>
        </is>
      </c>
      <c r="G44" s="16" t="n">
        <v>5</v>
      </c>
      <c r="H44" s="16" t="n">
        <v>10</v>
      </c>
      <c r="I44" s="16">
        <f>G44*H44</f>
        <v/>
      </c>
      <c r="J44" s="16" t="n">
        <v>22</v>
      </c>
      <c r="K44" s="16">
        <f>I44*J44</f>
        <v/>
      </c>
      <c r="L44" s="13" t="n"/>
      <c r="M44" s="16">
        <f>SUM(K43:K44)</f>
        <v/>
      </c>
    </row>
    <row r="45" customFormat="1" s="12">
      <c r="A45" s="22" t="n">
        <v>45642</v>
      </c>
      <c r="B45" s="59" t="n">
        <v>49</v>
      </c>
      <c r="C45" s="24" t="n">
        <v>9803</v>
      </c>
      <c r="F45" s="25" t="inlineStr">
        <is>
          <t>PE白底漆</t>
        </is>
      </c>
      <c r="G45" s="24" t="n">
        <v>10</v>
      </c>
      <c r="H45" s="24" t="n">
        <v>28</v>
      </c>
      <c r="I45" s="16">
        <f>G45*H45</f>
        <v/>
      </c>
      <c r="J45" s="24" t="n">
        <v>10</v>
      </c>
      <c r="K45" s="24">
        <f>I45*J45</f>
        <v/>
      </c>
      <c r="L45" s="25" t="n">
        <v>9804</v>
      </c>
      <c r="M45" s="25" t="n"/>
    </row>
    <row r="46" customFormat="1" s="12">
      <c r="A46" s="22" t="n">
        <v>45642</v>
      </c>
      <c r="B46" s="59" t="n">
        <v>49</v>
      </c>
      <c r="C46" s="24" t="inlineStr">
        <is>
          <t>HL-9824A</t>
        </is>
      </c>
      <c r="F46" s="12" t="inlineStr">
        <is>
          <t>PE封固底漆</t>
        </is>
      </c>
      <c r="G46" s="24" t="n">
        <v>4</v>
      </c>
      <c r="H46" s="24" t="n">
        <v>22</v>
      </c>
      <c r="I46" s="16">
        <f>G46*H46</f>
        <v/>
      </c>
      <c r="J46" s="24" t="n">
        <v>13.5</v>
      </c>
      <c r="K46" s="24">
        <f>I46*J46</f>
        <v/>
      </c>
      <c r="M46" s="24" t="n"/>
    </row>
    <row r="47">
      <c r="A47" s="22" t="n">
        <v>45642</v>
      </c>
      <c r="B47" s="59" t="n">
        <v>49</v>
      </c>
      <c r="C47" s="24" t="n">
        <v>715</v>
      </c>
      <c r="F47" s="25" t="inlineStr">
        <is>
          <t>PU净味哑光冰蓝色漆</t>
        </is>
      </c>
      <c r="G47" s="24" t="n">
        <v>1</v>
      </c>
      <c r="H47" s="24" t="n">
        <v>10</v>
      </c>
      <c r="I47" s="16">
        <f>G47*H47</f>
        <v/>
      </c>
      <c r="J47" s="24" t="n"/>
      <c r="K47" s="24">
        <f>I47*J47</f>
        <v/>
      </c>
      <c r="L47" s="12" t="inlineStr">
        <is>
          <t>原油改色</t>
        </is>
      </c>
      <c r="M47" s="24" t="n"/>
    </row>
    <row r="48">
      <c r="A48" s="22" t="n">
        <v>45642</v>
      </c>
      <c r="B48" s="59" t="n">
        <v>49</v>
      </c>
      <c r="C48" s="24" t="n">
        <v>715</v>
      </c>
      <c r="F48" s="25" t="inlineStr">
        <is>
          <t>PU净味哑光冰蓝色漆</t>
        </is>
      </c>
      <c r="G48" s="24" t="n">
        <v>1</v>
      </c>
      <c r="H48" s="24" t="n">
        <v>8</v>
      </c>
      <c r="I48" s="16">
        <f>G48*H48</f>
        <v/>
      </c>
      <c r="J48" s="24" t="n">
        <v>22</v>
      </c>
      <c r="K48" s="24">
        <f>I48*J48</f>
        <v/>
      </c>
      <c r="M48" s="24" t="n"/>
    </row>
    <row r="49">
      <c r="A49" s="22" t="n">
        <v>45642</v>
      </c>
      <c r="B49" s="59" t="n">
        <v>49</v>
      </c>
      <c r="C49" s="24" t="inlineStr">
        <is>
          <t>535F</t>
        </is>
      </c>
      <c r="F49" s="25" t="inlineStr">
        <is>
          <t>PU净味哑光固化剂</t>
        </is>
      </c>
      <c r="G49" s="24" t="n">
        <v>2</v>
      </c>
      <c r="H49" s="24" t="n">
        <v>10</v>
      </c>
      <c r="I49" s="16">
        <f>G49*H49</f>
        <v/>
      </c>
      <c r="J49" s="24" t="n">
        <v>22</v>
      </c>
      <c r="K49" s="24">
        <f>I49*J49</f>
        <v/>
      </c>
      <c r="M49" s="24">
        <f>SUM(K45:K49)</f>
        <v/>
      </c>
    </row>
    <row r="50" customFormat="1" s="11">
      <c r="A50" s="32" t="n">
        <v>45304</v>
      </c>
      <c r="B50" s="61" t="n">
        <v>31</v>
      </c>
      <c r="C50" s="16" t="inlineStr">
        <is>
          <t>712B#</t>
        </is>
      </c>
      <c r="F50" s="31" t="inlineStr">
        <is>
          <t>PU净味亮光冰蓝色漆</t>
        </is>
      </c>
      <c r="G50" s="16" t="n">
        <v>1</v>
      </c>
      <c r="H50" s="16" t="n">
        <v>4</v>
      </c>
      <c r="I50" s="24">
        <f>G50*H50</f>
        <v/>
      </c>
      <c r="J50" s="16" t="n">
        <v>22</v>
      </c>
      <c r="K50" s="16">
        <f>I50*J50</f>
        <v/>
      </c>
      <c r="L50" s="13" t="inlineStr">
        <is>
          <t>图纸样</t>
        </is>
      </c>
      <c r="M50" s="16" t="n"/>
    </row>
    <row r="51" customFormat="1" s="11">
      <c r="A51" s="32" t="n">
        <v>45304</v>
      </c>
      <c r="B51" s="61" t="n">
        <v>31</v>
      </c>
      <c r="C51" s="16" t="inlineStr">
        <is>
          <t>389#</t>
        </is>
      </c>
      <c r="F51" s="31" t="inlineStr">
        <is>
          <t>PU净味亮光灰色漆</t>
        </is>
      </c>
      <c r="G51" s="16" t="n">
        <v>1</v>
      </c>
      <c r="H51" s="16" t="n">
        <v>4</v>
      </c>
      <c r="I51" s="24">
        <f>G51*H51</f>
        <v/>
      </c>
      <c r="J51" s="16" t="n">
        <v>22</v>
      </c>
      <c r="K51" s="16">
        <f>I51*J51</f>
        <v/>
      </c>
      <c r="L51" s="13" t="inlineStr">
        <is>
          <t>图纸样</t>
        </is>
      </c>
      <c r="M51" s="16">
        <f>SUM(K50:K51)</f>
        <v/>
      </c>
    </row>
    <row r="52" customFormat="1" s="12">
      <c r="A52" s="22" t="n">
        <v>45308</v>
      </c>
      <c r="B52" s="59" t="n">
        <v>57</v>
      </c>
      <c r="C52" s="24" t="n">
        <v>9803</v>
      </c>
      <c r="F52" s="25" t="inlineStr">
        <is>
          <t>PE白底漆</t>
        </is>
      </c>
      <c r="G52" s="24" t="n">
        <v>10</v>
      </c>
      <c r="H52" s="24" t="n">
        <v>28</v>
      </c>
      <c r="I52" s="16">
        <f>G52*H52</f>
        <v/>
      </c>
      <c r="J52" s="24" t="n">
        <v>10</v>
      </c>
      <c r="K52" s="24">
        <f>I52*J52</f>
        <v/>
      </c>
      <c r="L52" s="25" t="n">
        <v>9804</v>
      </c>
      <c r="M52" s="25" t="n"/>
    </row>
    <row r="53" customFormat="1" s="13">
      <c r="A53" s="32" t="n">
        <v>45309</v>
      </c>
      <c r="B53" s="61" t="n">
        <v>72</v>
      </c>
      <c r="C53" s="16" t="inlineStr">
        <is>
          <t>HL-9824A</t>
        </is>
      </c>
      <c r="F53" s="13" t="inlineStr">
        <is>
          <t>PE封固底漆</t>
        </is>
      </c>
      <c r="G53" s="16" t="n">
        <v>2</v>
      </c>
      <c r="H53" s="16" t="n">
        <v>22</v>
      </c>
      <c r="I53" s="16">
        <f>G53*H53</f>
        <v/>
      </c>
      <c r="J53" s="16" t="n">
        <v>13.5</v>
      </c>
      <c r="K53" s="16">
        <f>I53*J53</f>
        <v/>
      </c>
      <c r="M53" s="16" t="n"/>
    </row>
    <row r="54" customFormat="1" s="13">
      <c r="A54" s="32" t="n">
        <v>45309</v>
      </c>
      <c r="B54" s="61" t="n">
        <v>72</v>
      </c>
      <c r="C54" s="16" t="inlineStr">
        <is>
          <t>QCL25A</t>
        </is>
      </c>
      <c r="F54" s="13" t="inlineStr">
        <is>
          <t>PE无粉封固底漆</t>
        </is>
      </c>
      <c r="G54" s="16" t="n">
        <v>1</v>
      </c>
      <c r="H54" s="16" t="n">
        <v>20</v>
      </c>
      <c r="I54" s="16">
        <f>G54*H54</f>
        <v/>
      </c>
      <c r="J54" s="16" t="n">
        <v>13.5</v>
      </c>
      <c r="K54" s="16">
        <f>I54*J54</f>
        <v/>
      </c>
      <c r="M54" s="16" t="n"/>
    </row>
    <row r="55" customFormat="1" s="11">
      <c r="A55" s="32" t="n">
        <v>45309</v>
      </c>
      <c r="B55" s="61" t="n">
        <v>72</v>
      </c>
      <c r="C55" s="16" t="inlineStr">
        <is>
          <t>535F</t>
        </is>
      </c>
      <c r="F55" s="31" t="inlineStr">
        <is>
          <t>PU净味哑光固化剂</t>
        </is>
      </c>
      <c r="G55" s="16" t="n">
        <v>5</v>
      </c>
      <c r="H55" s="16" t="n">
        <v>10</v>
      </c>
      <c r="I55" s="16">
        <f>G55*H55</f>
        <v/>
      </c>
      <c r="J55" s="16" t="n">
        <v>22</v>
      </c>
      <c r="K55" s="16">
        <f>I55*J55</f>
        <v/>
      </c>
      <c r="L55" s="13" t="n"/>
      <c r="M55" s="16">
        <f>SUM(K53:K55)</f>
        <v/>
      </c>
    </row>
    <row r="56">
      <c r="A56" s="22" t="n">
        <v>45312</v>
      </c>
      <c r="B56" s="59" t="n">
        <v>78</v>
      </c>
      <c r="C56" s="24" t="inlineStr">
        <is>
          <t>556（557）</t>
        </is>
      </c>
      <c r="F56" s="25" t="inlineStr">
        <is>
          <t>PU七分光香槟金属漆</t>
        </is>
      </c>
      <c r="G56" s="24" t="n">
        <v>1</v>
      </c>
      <c r="H56" s="24" t="n">
        <v>10</v>
      </c>
      <c r="I56" s="24">
        <f>G56*H56</f>
        <v/>
      </c>
      <c r="J56" s="24" t="n">
        <v>25</v>
      </c>
      <c r="K56" s="24">
        <f>I56*J56</f>
        <v/>
      </c>
      <c r="M56" s="24" t="n"/>
    </row>
    <row r="57">
      <c r="A57" s="22" t="n">
        <v>45312</v>
      </c>
      <c r="B57" s="59" t="n">
        <v>78</v>
      </c>
      <c r="C57" s="24" t="n">
        <v>709</v>
      </c>
      <c r="F57" s="25" t="inlineStr">
        <is>
          <t>PU净味哑光灰蓝色漆</t>
        </is>
      </c>
      <c r="G57" s="24" t="n">
        <v>1</v>
      </c>
      <c r="H57" s="24" t="n">
        <v>16</v>
      </c>
      <c r="I57" s="24">
        <f>G57*H57</f>
        <v/>
      </c>
      <c r="J57" s="24" t="n">
        <v>22</v>
      </c>
      <c r="K57" s="24">
        <f>I57*J57</f>
        <v/>
      </c>
      <c r="M57" s="24" t="n"/>
    </row>
    <row r="58">
      <c r="A58" s="22" t="n">
        <v>45312</v>
      </c>
      <c r="B58" s="59" t="n">
        <v>78</v>
      </c>
      <c r="C58" s="24" t="n">
        <v>709</v>
      </c>
      <c r="F58" s="25" t="inlineStr">
        <is>
          <t>PU净味哑光灰蓝色漆</t>
        </is>
      </c>
      <c r="G58" s="24" t="n">
        <v>1</v>
      </c>
      <c r="H58" s="24" t="n">
        <v>10</v>
      </c>
      <c r="I58" s="24">
        <f>G58*H58</f>
        <v/>
      </c>
      <c r="J58" s="24" t="n"/>
      <c r="K58" s="24">
        <f>I58*J58</f>
        <v/>
      </c>
      <c r="M58" s="24" t="n"/>
    </row>
    <row r="59">
      <c r="A59" s="22" t="n">
        <v>45312</v>
      </c>
      <c r="B59" s="59" t="n">
        <v>78</v>
      </c>
      <c r="C59" s="24" t="inlineStr">
        <is>
          <t>535F</t>
        </is>
      </c>
      <c r="F59" s="25" t="inlineStr">
        <is>
          <t>PU净味哑光固化剂</t>
        </is>
      </c>
      <c r="G59" s="24" t="n">
        <v>5</v>
      </c>
      <c r="H59" s="24" t="n">
        <v>10</v>
      </c>
      <c r="I59" s="24">
        <f>G59*H59</f>
        <v/>
      </c>
      <c r="J59" s="24" t="n">
        <v>22</v>
      </c>
      <c r="K59" s="24">
        <f>I59*J59</f>
        <v/>
      </c>
      <c r="M59" s="24">
        <f>SUM(K56:K59)</f>
        <v/>
      </c>
    </row>
    <row r="60" customFormat="1" s="11">
      <c r="A60" s="32" t="n">
        <v>45313</v>
      </c>
      <c r="B60" s="61" t="n">
        <v>82</v>
      </c>
      <c r="C60" s="16" t="n">
        <v>9803</v>
      </c>
      <c r="F60" s="31" t="inlineStr">
        <is>
          <t>PE白底漆</t>
        </is>
      </c>
      <c r="G60" s="16" t="n">
        <v>10</v>
      </c>
      <c r="H60" s="16" t="n">
        <v>28</v>
      </c>
      <c r="I60" s="16">
        <f>G60*H60</f>
        <v/>
      </c>
      <c r="J60" s="16" t="n">
        <v>10</v>
      </c>
      <c r="K60" s="16">
        <f>I60*J60</f>
        <v/>
      </c>
      <c r="L60" s="31" t="n">
        <v>9804</v>
      </c>
      <c r="M60" s="16" t="n"/>
    </row>
    <row r="61" customFormat="1" s="11">
      <c r="A61" s="32" t="n">
        <v>45313</v>
      </c>
      <c r="B61" s="61" t="n">
        <v>82</v>
      </c>
      <c r="C61" s="16" t="inlineStr">
        <is>
          <t>HL-001</t>
        </is>
      </c>
      <c r="F61" s="31" t="inlineStr">
        <is>
          <t>PU净味哑光白面漆</t>
        </is>
      </c>
      <c r="G61" s="16" t="n">
        <v>1</v>
      </c>
      <c r="H61" s="16" t="n">
        <v>25</v>
      </c>
      <c r="I61" s="16">
        <f>G61*H61</f>
        <v/>
      </c>
      <c r="J61" s="16" t="n">
        <v>22</v>
      </c>
      <c r="K61" s="16">
        <f>I61*J61</f>
        <v/>
      </c>
      <c r="L61" s="13" t="n"/>
      <c r="M61" s="16" t="n"/>
    </row>
    <row r="62" customFormat="1" s="11">
      <c r="A62" s="32" t="n">
        <v>45313</v>
      </c>
      <c r="B62" s="61" t="n">
        <v>82</v>
      </c>
      <c r="C62" s="16" t="inlineStr">
        <is>
          <t>QCL25A</t>
        </is>
      </c>
      <c r="F62" s="13" t="inlineStr">
        <is>
          <t>PE无粉封固底漆</t>
        </is>
      </c>
      <c r="G62" s="16" t="n">
        <v>1</v>
      </c>
      <c r="H62" s="16" t="n">
        <v>20</v>
      </c>
      <c r="I62" s="16">
        <f>G62*H62</f>
        <v/>
      </c>
      <c r="J62" s="16" t="n">
        <v>13.5</v>
      </c>
      <c r="K62" s="16">
        <f>I62*J62</f>
        <v/>
      </c>
      <c r="L62" s="13" t="n"/>
      <c r="M62" s="16" t="n"/>
    </row>
    <row r="63" customFormat="1" s="11">
      <c r="A63" s="32" t="n">
        <v>45313</v>
      </c>
      <c r="B63" s="61" t="n">
        <v>82</v>
      </c>
      <c r="C63" s="16" t="inlineStr">
        <is>
          <t>535F</t>
        </is>
      </c>
      <c r="F63" s="31" t="inlineStr">
        <is>
          <t>PU净味哑光固化剂</t>
        </is>
      </c>
      <c r="G63" s="16" t="n">
        <v>1</v>
      </c>
      <c r="H63" s="16" t="n">
        <v>10</v>
      </c>
      <c r="I63" s="16">
        <f>G63*H63</f>
        <v/>
      </c>
      <c r="J63" s="16" t="n">
        <v>22</v>
      </c>
      <c r="K63" s="16">
        <f>I63*J63</f>
        <v/>
      </c>
      <c r="L63" s="13" t="n"/>
      <c r="M63" s="16" t="n"/>
    </row>
    <row r="64" customFormat="1" s="11">
      <c r="A64" s="32" t="n">
        <v>45313</v>
      </c>
      <c r="B64" s="61" t="n">
        <v>82</v>
      </c>
      <c r="C64" s="16" t="inlineStr">
        <is>
          <t>9000F-1</t>
        </is>
      </c>
      <c r="F64" s="31" t="inlineStr">
        <is>
          <t>PU净味面漆稀释剂</t>
        </is>
      </c>
      <c r="G64" s="16" t="n">
        <v>1</v>
      </c>
      <c r="H64" s="16" t="n">
        <v>180</v>
      </c>
      <c r="I64" s="16">
        <f>G64*H64</f>
        <v/>
      </c>
      <c r="J64" s="16" t="n">
        <v>11</v>
      </c>
      <c r="K64" s="16">
        <f>I64*J64</f>
        <v/>
      </c>
      <c r="L64" s="13" t="n"/>
      <c r="M64" s="16">
        <f>SUM(K60:K64)</f>
        <v/>
      </c>
    </row>
    <row r="65">
      <c r="A65" s="22" t="n">
        <v>45317</v>
      </c>
      <c r="B65" s="59" t="n">
        <v>104</v>
      </c>
      <c r="C65" s="24" t="inlineStr">
        <is>
          <t>7225-70F</t>
        </is>
      </c>
      <c r="F65" s="25" t="inlineStr">
        <is>
          <t>PU净味三分光清面漆</t>
        </is>
      </c>
      <c r="G65" s="24" t="n">
        <v>1</v>
      </c>
      <c r="H65" s="24" t="n">
        <v>20</v>
      </c>
      <c r="I65" s="24">
        <f>G65*H65</f>
        <v/>
      </c>
      <c r="J65" s="24" t="n">
        <v>19</v>
      </c>
      <c r="K65" s="24">
        <f>I65*J65</f>
        <v/>
      </c>
      <c r="M65" s="24" t="n"/>
    </row>
    <row r="66">
      <c r="A66" s="22" t="n">
        <v>45317</v>
      </c>
      <c r="B66" s="59" t="n">
        <v>104</v>
      </c>
      <c r="C66" s="24" t="inlineStr">
        <is>
          <t>535F</t>
        </is>
      </c>
      <c r="F66" s="25" t="inlineStr">
        <is>
          <t>PU净味哑光固化剂</t>
        </is>
      </c>
      <c r="G66" s="24" t="n">
        <v>2</v>
      </c>
      <c r="H66" s="24" t="n">
        <v>10</v>
      </c>
      <c r="I66" s="24">
        <f>G66*H66</f>
        <v/>
      </c>
      <c r="J66" s="24" t="n">
        <v>22</v>
      </c>
      <c r="K66" s="24">
        <f>I66*J66</f>
        <v/>
      </c>
      <c r="M66" s="24" t="n"/>
    </row>
    <row r="67" customFormat="1" s="12">
      <c r="A67" s="22" t="n">
        <v>45317</v>
      </c>
      <c r="B67" s="59" t="n">
        <v>104</v>
      </c>
      <c r="C67" s="24" t="inlineStr">
        <is>
          <t>HL-9827AA</t>
        </is>
      </c>
      <c r="F67" s="12" t="inlineStr">
        <is>
          <t>PE清底漆</t>
        </is>
      </c>
      <c r="G67" s="24" t="n">
        <v>5</v>
      </c>
      <c r="H67" s="24" t="n">
        <v>25</v>
      </c>
      <c r="I67" s="24">
        <f>G67*H67</f>
        <v/>
      </c>
      <c r="J67" s="24" t="n">
        <v>15.5</v>
      </c>
      <c r="K67" s="24">
        <f>I67*J67</f>
        <v/>
      </c>
      <c r="M67" s="24" t="n"/>
    </row>
    <row r="68">
      <c r="A68" s="22" t="n">
        <v>45317</v>
      </c>
      <c r="B68" s="59" t="n">
        <v>104</v>
      </c>
      <c r="C68" s="24" t="n">
        <v>9803</v>
      </c>
      <c r="F68" s="25" t="inlineStr">
        <is>
          <t>PE白底漆</t>
        </is>
      </c>
      <c r="G68" s="24" t="n">
        <v>10</v>
      </c>
      <c r="H68" s="24" t="n">
        <v>28</v>
      </c>
      <c r="I68" s="24">
        <f>G68*H68</f>
        <v/>
      </c>
      <c r="J68" s="24" t="n">
        <v>10</v>
      </c>
      <c r="K68" s="24">
        <f>I68*J68</f>
        <v/>
      </c>
      <c r="L68" s="25" t="n">
        <v>9804</v>
      </c>
      <c r="M68" s="24">
        <f>SUM(K65:K68)</f>
        <v/>
      </c>
    </row>
    <row r="69" customFormat="1" s="11">
      <c r="A69" s="32" t="n">
        <v>45369</v>
      </c>
      <c r="B69" s="61" t="n">
        <v>50</v>
      </c>
      <c r="C69" s="16" t="inlineStr">
        <is>
          <t>HL-001</t>
        </is>
      </c>
      <c r="F69" s="31" t="inlineStr">
        <is>
          <t>PU净味哑光白面漆</t>
        </is>
      </c>
      <c r="G69" s="16" t="n">
        <v>1</v>
      </c>
      <c r="H69" s="16" t="n">
        <v>26</v>
      </c>
      <c r="I69" s="16">
        <f>G69*H69</f>
        <v/>
      </c>
      <c r="J69" s="16" t="n">
        <v>22</v>
      </c>
      <c r="K69" s="16">
        <f>I69*J69</f>
        <v/>
      </c>
      <c r="L69" s="13" t="n"/>
      <c r="M69" s="16" t="n"/>
    </row>
    <row r="70" customFormat="1" s="11">
      <c r="A70" s="32" t="n">
        <v>45369</v>
      </c>
      <c r="B70" s="61" t="n">
        <v>50</v>
      </c>
      <c r="C70" s="16" t="inlineStr">
        <is>
          <t>HL-001</t>
        </is>
      </c>
      <c r="F70" s="31" t="inlineStr">
        <is>
          <t>PU净味哑光白面漆</t>
        </is>
      </c>
      <c r="G70" s="16" t="n">
        <v>5</v>
      </c>
      <c r="H70" s="16" t="n">
        <v>25</v>
      </c>
      <c r="I70" s="16">
        <f>G70*H70</f>
        <v/>
      </c>
      <c r="J70" s="16" t="n">
        <v>22</v>
      </c>
      <c r="K70" s="16">
        <f>I70*J70</f>
        <v/>
      </c>
      <c r="L70" s="13" t="n"/>
      <c r="M70" s="16" t="n"/>
    </row>
    <row r="71" customFormat="1" s="11">
      <c r="A71" s="32" t="n">
        <v>45369</v>
      </c>
      <c r="B71" s="61" t="n">
        <v>50</v>
      </c>
      <c r="C71" s="16" t="inlineStr">
        <is>
          <t>7225-70F</t>
        </is>
      </c>
      <c r="F71" s="31" t="inlineStr">
        <is>
          <t>PU净味三分光清面漆</t>
        </is>
      </c>
      <c r="G71" s="16" t="n">
        <v>2</v>
      </c>
      <c r="H71" s="16" t="n">
        <v>20</v>
      </c>
      <c r="I71" s="16">
        <f>G71*H71</f>
        <v/>
      </c>
      <c r="J71" s="16" t="n">
        <v>19</v>
      </c>
      <c r="K71" s="16">
        <f>I71*J71</f>
        <v/>
      </c>
      <c r="L71" s="13" t="n"/>
      <c r="M71" s="16" t="n"/>
    </row>
    <row r="72" customFormat="1" s="11">
      <c r="A72" s="32" t="n">
        <v>45369</v>
      </c>
      <c r="B72" s="61" t="n">
        <v>50</v>
      </c>
      <c r="C72" s="16" t="n">
        <v>709</v>
      </c>
      <c r="F72" s="31" t="inlineStr">
        <is>
          <t>PU净味哑光灰蓝色漆</t>
        </is>
      </c>
      <c r="G72" s="16" t="n">
        <v>1</v>
      </c>
      <c r="H72" s="16" t="n">
        <v>26</v>
      </c>
      <c r="I72" s="16">
        <f>G72*H72</f>
        <v/>
      </c>
      <c r="J72" s="16" t="n">
        <v>22</v>
      </c>
      <c r="K72" s="16">
        <f>I72*J72</f>
        <v/>
      </c>
      <c r="L72" s="13" t="n"/>
      <c r="M72" s="16" t="n"/>
    </row>
    <row r="73" customFormat="1" s="11">
      <c r="A73" s="32" t="n">
        <v>45369</v>
      </c>
      <c r="B73" s="61" t="n">
        <v>50</v>
      </c>
      <c r="C73" s="16" t="inlineStr">
        <is>
          <t>535F</t>
        </is>
      </c>
      <c r="F73" s="31" t="inlineStr">
        <is>
          <t>PU净味哑光固化剂</t>
        </is>
      </c>
      <c r="G73" s="16" t="n">
        <v>10</v>
      </c>
      <c r="H73" s="16" t="n">
        <v>10</v>
      </c>
      <c r="I73" s="16">
        <f>G73*H73</f>
        <v/>
      </c>
      <c r="J73" s="16" t="n">
        <v>22</v>
      </c>
      <c r="K73" s="16">
        <f>I73*J73</f>
        <v/>
      </c>
      <c r="L73" s="13" t="n"/>
      <c r="M73" s="16" t="n"/>
    </row>
    <row r="74" customFormat="1" s="11">
      <c r="A74" s="32" t="n">
        <v>45369</v>
      </c>
      <c r="B74" s="61" t="n">
        <v>50</v>
      </c>
      <c r="C74" s="16" t="inlineStr">
        <is>
          <t>900F-1</t>
        </is>
      </c>
      <c r="F74" s="31" t="inlineStr">
        <is>
          <t>PU净味面漆稀释剂</t>
        </is>
      </c>
      <c r="G74" s="16" t="n">
        <v>1</v>
      </c>
      <c r="H74" s="16" t="n">
        <v>180</v>
      </c>
      <c r="I74" s="16">
        <f>G74*H74</f>
        <v/>
      </c>
      <c r="J74" s="16" t="n">
        <v>11</v>
      </c>
      <c r="K74" s="16">
        <f>I74*J74</f>
        <v/>
      </c>
      <c r="L74" s="13" t="n"/>
      <c r="M74" s="16">
        <f>SUM(K69:K74)</f>
        <v/>
      </c>
    </row>
    <row r="75" customFormat="1" s="11">
      <c r="A75" s="32" t="n"/>
      <c r="B75" s="61" t="n"/>
      <c r="C75" s="16" t="n"/>
      <c r="D75" s="16" t="n"/>
      <c r="E75" s="16" t="n"/>
      <c r="F75" s="29" t="inlineStr">
        <is>
          <t>从4月起已调价：对账不返点</t>
        </is>
      </c>
      <c r="G75" s="16" t="n"/>
      <c r="H75" s="16" t="n"/>
      <c r="I75" s="16" t="n"/>
      <c r="J75" s="16" t="n"/>
      <c r="K75" s="16" t="n"/>
      <c r="L75" s="13" t="n"/>
      <c r="M75" s="16" t="n"/>
    </row>
    <row r="76">
      <c r="A76" s="22" t="n">
        <v>45390</v>
      </c>
      <c r="B76" s="59" t="n">
        <v>28</v>
      </c>
      <c r="C76" s="24" t="inlineStr">
        <is>
          <t>556（557）</t>
        </is>
      </c>
      <c r="F76" s="25" t="inlineStr">
        <is>
          <t>PU净味七分光香槟银珠漆</t>
        </is>
      </c>
      <c r="G76" s="24" t="n">
        <v>1</v>
      </c>
      <c r="H76" s="28" t="n">
        <v>10</v>
      </c>
      <c r="I76" s="24">
        <f>G76*H76</f>
        <v/>
      </c>
      <c r="J76" s="63" t="n">
        <v>22</v>
      </c>
      <c r="K76" s="63">
        <f>I76*J76</f>
        <v/>
      </c>
      <c r="M76" s="24" t="n"/>
    </row>
    <row r="77">
      <c r="A77" s="22" t="n">
        <v>45390</v>
      </c>
      <c r="B77" s="59" t="n">
        <v>28</v>
      </c>
      <c r="C77" s="24" t="inlineStr">
        <is>
          <t>557A(556-558)</t>
        </is>
      </c>
      <c r="F77" s="25" t="inlineStr">
        <is>
          <t>PU净味哑光浅淡黄色漆</t>
        </is>
      </c>
      <c r="G77" s="24" t="n">
        <v>1</v>
      </c>
      <c r="H77" s="24" t="n">
        <v>26</v>
      </c>
      <c r="I77" s="24">
        <f>G77*H77</f>
        <v/>
      </c>
      <c r="J77" s="63" t="n">
        <v>18</v>
      </c>
      <c r="K77" s="63">
        <f>I77*J77</f>
        <v/>
      </c>
      <c r="M77" s="24" t="n"/>
    </row>
    <row r="78">
      <c r="A78" s="22" t="n">
        <v>45390</v>
      </c>
      <c r="B78" s="59" t="n">
        <v>28</v>
      </c>
      <c r="C78" s="24" t="inlineStr">
        <is>
          <t>A1(553)</t>
        </is>
      </c>
      <c r="F78" s="25" t="inlineStr">
        <is>
          <t>PU净味哑光浅蓝色漆</t>
        </is>
      </c>
      <c r="G78" s="24" t="n">
        <v>1</v>
      </c>
      <c r="H78" s="24" t="n">
        <v>16</v>
      </c>
      <c r="I78" s="24">
        <f>G78*H78</f>
        <v/>
      </c>
      <c r="J78" s="63" t="n">
        <v>18</v>
      </c>
      <c r="K78" s="63">
        <f>I78*J78</f>
        <v/>
      </c>
      <c r="M78" s="24" t="n"/>
    </row>
    <row r="79">
      <c r="A79" s="22" t="n">
        <v>45390</v>
      </c>
      <c r="B79" s="59" t="n">
        <v>28</v>
      </c>
      <c r="C79" s="24" t="inlineStr">
        <is>
          <t>A2(553)</t>
        </is>
      </c>
      <c r="F79" s="25" t="inlineStr">
        <is>
          <t>PU净味哑光香槟银珠漆</t>
        </is>
      </c>
      <c r="G79" s="24" t="n">
        <v>1</v>
      </c>
      <c r="H79" s="28" t="n">
        <v>15</v>
      </c>
      <c r="I79" s="24">
        <f>G79*H79</f>
        <v/>
      </c>
      <c r="J79" s="63" t="n">
        <v>22</v>
      </c>
      <c r="K79" s="63">
        <f>I79*J79</f>
        <v/>
      </c>
      <c r="M79" s="24" t="n"/>
    </row>
    <row r="80">
      <c r="A80" s="22" t="n">
        <v>45390</v>
      </c>
      <c r="B80" s="59" t="n">
        <v>28</v>
      </c>
      <c r="C80" s="24" t="inlineStr">
        <is>
          <t>7225-70F</t>
        </is>
      </c>
      <c r="F80" s="25" t="inlineStr">
        <is>
          <t>PU净味三分光清面漆</t>
        </is>
      </c>
      <c r="G80" s="24" t="n">
        <v>2</v>
      </c>
      <c r="H80" s="24" t="n">
        <v>20</v>
      </c>
      <c r="I80" s="24">
        <f>G80*H80</f>
        <v/>
      </c>
      <c r="J80" s="63" t="n">
        <v>18</v>
      </c>
      <c r="K80" s="63">
        <f>I80*J80</f>
        <v/>
      </c>
      <c r="M80" s="24" t="n"/>
    </row>
    <row r="81">
      <c r="A81" s="22" t="n">
        <v>45390</v>
      </c>
      <c r="B81" s="59" t="n">
        <v>28</v>
      </c>
      <c r="C81" s="24" t="n">
        <v>709</v>
      </c>
      <c r="F81" s="25" t="inlineStr">
        <is>
          <t>PU净味哑光灰蓝色漆</t>
        </is>
      </c>
      <c r="G81" s="24" t="n">
        <v>1</v>
      </c>
      <c r="H81" s="24" t="n">
        <v>26</v>
      </c>
      <c r="I81" s="24">
        <f>G81*H81</f>
        <v/>
      </c>
      <c r="J81" s="63" t="n">
        <v>18</v>
      </c>
      <c r="K81" s="63">
        <f>I81*J81</f>
        <v/>
      </c>
      <c r="M81" s="24" t="n"/>
    </row>
    <row r="82">
      <c r="A82" s="22" t="n">
        <v>45390</v>
      </c>
      <c r="B82" s="59" t="n">
        <v>28</v>
      </c>
      <c r="C82" s="24" t="inlineStr">
        <is>
          <t>535F</t>
        </is>
      </c>
      <c r="F82" s="25" t="inlineStr">
        <is>
          <t>PU净味哑光固化剂</t>
        </is>
      </c>
      <c r="G82" s="24" t="n">
        <v>8</v>
      </c>
      <c r="H82" s="24" t="n">
        <v>10</v>
      </c>
      <c r="I82" s="24">
        <f>G82*H82</f>
        <v/>
      </c>
      <c r="J82" s="63" t="n">
        <v>18</v>
      </c>
      <c r="K82" s="63">
        <f>I82*J82</f>
        <v/>
      </c>
      <c r="M82" s="24">
        <f>SUM(K76:K82)</f>
        <v/>
      </c>
    </row>
    <row r="83" customFormat="1" s="11">
      <c r="A83" s="32" t="n">
        <v>45395</v>
      </c>
      <c r="B83" s="61" t="n">
        <v>42</v>
      </c>
      <c r="C83" s="34" t="inlineStr">
        <is>
          <t>29-5-1*</t>
        </is>
      </c>
      <c r="F83" s="31" t="inlineStr">
        <is>
          <t>PU净味哑光咖啡色漆</t>
        </is>
      </c>
      <c r="G83" s="16" t="n">
        <v>1</v>
      </c>
      <c r="H83" s="16" t="n">
        <v>4</v>
      </c>
      <c r="I83" s="16">
        <f>G83*H83</f>
        <v/>
      </c>
      <c r="J83" s="64" t="n">
        <v>18</v>
      </c>
      <c r="K83" s="64">
        <f>I83*J83</f>
        <v/>
      </c>
      <c r="L83" s="13" t="inlineStr">
        <is>
          <t>干板</t>
        </is>
      </c>
      <c r="M83" s="16" t="n"/>
    </row>
    <row r="84" customFormat="1" s="13">
      <c r="A84" s="32" t="n">
        <v>45395</v>
      </c>
      <c r="B84" s="61" t="n">
        <v>42</v>
      </c>
      <c r="C84" s="16" t="inlineStr">
        <is>
          <t>HL-9827AA</t>
        </is>
      </c>
      <c r="F84" s="13" t="inlineStr">
        <is>
          <t>PE清底漆</t>
        </is>
      </c>
      <c r="G84" s="16" t="n">
        <v>2</v>
      </c>
      <c r="H84" s="16" t="n">
        <v>25</v>
      </c>
      <c r="I84" s="16">
        <f>G84*H84</f>
        <v/>
      </c>
      <c r="J84" s="16" t="n">
        <v>14</v>
      </c>
      <c r="K84" s="64">
        <f>I84*J84</f>
        <v/>
      </c>
      <c r="M84" s="16">
        <f>SUM(K83:K84)</f>
        <v/>
      </c>
    </row>
    <row r="85" customFormat="1" s="12">
      <c r="A85" s="22" t="n">
        <v>45395</v>
      </c>
      <c r="B85" s="59" t="n">
        <v>42</v>
      </c>
      <c r="C85" s="24" t="inlineStr">
        <is>
          <t>HL-9827AA</t>
        </is>
      </c>
      <c r="F85" s="12" t="inlineStr">
        <is>
          <t>PE清底漆</t>
        </is>
      </c>
      <c r="G85" s="24" t="n">
        <v>3</v>
      </c>
      <c r="H85" s="24" t="n">
        <v>25</v>
      </c>
      <c r="I85" s="24">
        <f>G85*H85</f>
        <v/>
      </c>
      <c r="J85" s="24" t="n">
        <v>14</v>
      </c>
      <c r="K85" s="63">
        <f>I85*J85</f>
        <v/>
      </c>
      <c r="M85" s="24">
        <f>SUM(K84:K85)</f>
        <v/>
      </c>
    </row>
    <row r="86" customFormat="1" s="11">
      <c r="A86" s="32" t="n">
        <v>45390</v>
      </c>
      <c r="B86" s="61" t="n">
        <v>28</v>
      </c>
      <c r="C86" s="16" t="inlineStr">
        <is>
          <t>外单</t>
        </is>
      </c>
      <c r="F86" s="31" t="inlineStr">
        <is>
          <t>PU净味哑光浅香槟色漆</t>
        </is>
      </c>
      <c r="G86" s="16" t="n">
        <v>2</v>
      </c>
      <c r="H86" s="16" t="n">
        <v>25</v>
      </c>
      <c r="I86" s="16">
        <f>G86*H86</f>
        <v/>
      </c>
      <c r="J86" s="64" t="n">
        <v>18</v>
      </c>
      <c r="K86" s="64">
        <f>I86*J86</f>
        <v/>
      </c>
      <c r="L86" s="13" t="n"/>
      <c r="M86" s="16" t="n"/>
    </row>
    <row r="87" customFormat="1" s="11">
      <c r="A87" s="32" t="n">
        <v>45390</v>
      </c>
      <c r="B87" s="61" t="n">
        <v>28</v>
      </c>
      <c r="C87" s="16" t="inlineStr">
        <is>
          <t>535F</t>
        </is>
      </c>
      <c r="F87" s="31" t="inlineStr">
        <is>
          <t>PU净味哑光固化剂</t>
        </is>
      </c>
      <c r="G87" s="16" t="n">
        <v>6</v>
      </c>
      <c r="H87" s="16" t="n">
        <v>10</v>
      </c>
      <c r="I87" s="16">
        <f>G87*H87</f>
        <v/>
      </c>
      <c r="J87" s="64" t="n">
        <v>18</v>
      </c>
      <c r="K87" s="64">
        <f>I87*J87</f>
        <v/>
      </c>
      <c r="L87" s="13" t="n"/>
      <c r="M87" s="16">
        <f>SUM(K81:K87)</f>
        <v/>
      </c>
    </row>
    <row r="88">
      <c r="A88" s="22" t="n">
        <v>45425</v>
      </c>
      <c r="B88" s="59" t="n">
        <v>13</v>
      </c>
      <c r="C88" s="24" t="inlineStr">
        <is>
          <t>A1(553)</t>
        </is>
      </c>
      <c r="F88" s="25" t="inlineStr">
        <is>
          <t>PU净味哑光浅蓝色漆</t>
        </is>
      </c>
      <c r="G88" s="24" t="n">
        <v>1</v>
      </c>
      <c r="H88" s="24" t="n">
        <v>11</v>
      </c>
      <c r="I88" s="24">
        <f>G88*H88</f>
        <v/>
      </c>
      <c r="J88" s="63" t="n">
        <v>18</v>
      </c>
      <c r="K88" s="63">
        <f>I88*J88</f>
        <v/>
      </c>
      <c r="M88" s="24" t="n"/>
    </row>
    <row r="89">
      <c r="A89" s="22" t="n">
        <v>45425</v>
      </c>
      <c r="B89" s="59" t="n">
        <v>13</v>
      </c>
      <c r="C89" s="24" t="inlineStr">
        <is>
          <t>535F</t>
        </is>
      </c>
      <c r="F89" s="25" t="inlineStr">
        <is>
          <t>PU净味哑光固化剂</t>
        </is>
      </c>
      <c r="G89" s="24" t="n">
        <v>4</v>
      </c>
      <c r="H89" s="24" t="n">
        <v>10</v>
      </c>
      <c r="I89" s="24">
        <f>G89*H89</f>
        <v/>
      </c>
      <c r="J89" s="63" t="n">
        <v>18</v>
      </c>
      <c r="K89" s="63">
        <f>I89*J89</f>
        <v/>
      </c>
      <c r="M89" s="24" t="n"/>
    </row>
    <row r="90">
      <c r="A90" s="22" t="n">
        <v>45425</v>
      </c>
      <c r="B90" s="59" t="n">
        <v>13</v>
      </c>
      <c r="C90" s="24" t="inlineStr">
        <is>
          <t>900F-1</t>
        </is>
      </c>
      <c r="F90" s="25" t="inlineStr">
        <is>
          <t>PU净味面漆稀释剂</t>
        </is>
      </c>
      <c r="G90" s="24" t="n">
        <v>1</v>
      </c>
      <c r="H90" s="24" t="n">
        <v>180</v>
      </c>
      <c r="I90" s="24">
        <f>G90*H90</f>
        <v/>
      </c>
      <c r="J90" s="24" t="n">
        <v>10.5</v>
      </c>
      <c r="K90" s="24">
        <f>I90*J90</f>
        <v/>
      </c>
      <c r="M90" s="24">
        <f>SUM(K88:K90)</f>
        <v/>
      </c>
    </row>
    <row r="91" customFormat="1" s="11">
      <c r="A91" s="32" t="n">
        <v>45442</v>
      </c>
      <c r="B91" s="61" t="n">
        <v>89</v>
      </c>
      <c r="C91" s="16" t="n"/>
      <c r="F91" s="31" t="inlineStr">
        <is>
          <t>PU净味哑光天蓝色漆</t>
        </is>
      </c>
      <c r="G91" s="16" t="n">
        <v>1</v>
      </c>
      <c r="H91" s="16" t="n">
        <v>3</v>
      </c>
      <c r="I91" s="16">
        <f>G91*H91</f>
        <v/>
      </c>
      <c r="J91" s="64" t="n"/>
      <c r="K91" s="64" t="n"/>
      <c r="L91" s="13" t="inlineStr">
        <is>
          <t>打样：未留样</t>
        </is>
      </c>
      <c r="M91" s="16" t="n"/>
    </row>
    <row r="92" customFormat="1" s="11">
      <c r="A92" s="32" t="n">
        <v>45442</v>
      </c>
      <c r="B92" s="61" t="n">
        <v>89</v>
      </c>
      <c r="C92" s="16" t="inlineStr">
        <is>
          <t>AB831子母床</t>
        </is>
      </c>
      <c r="F92" s="31" t="inlineStr">
        <is>
          <t>PU净味哑光浅海蓝色漆</t>
        </is>
      </c>
      <c r="G92" s="16" t="n">
        <v>1</v>
      </c>
      <c r="H92" s="16" t="n">
        <v>4</v>
      </c>
      <c r="I92" s="16">
        <f>G92*H92</f>
        <v/>
      </c>
      <c r="J92" s="64" t="n"/>
      <c r="K92" s="64" t="n"/>
      <c r="L92" s="13" t="inlineStr">
        <is>
          <t>打样：未留样</t>
        </is>
      </c>
      <c r="M92" s="16" t="n"/>
    </row>
    <row r="93" customFormat="1" s="10">
      <c r="A93" s="32" t="n">
        <v>45442</v>
      </c>
      <c r="B93" s="61" t="n">
        <v>89</v>
      </c>
      <c r="C93" s="16" t="inlineStr">
        <is>
          <t>7225-70F</t>
        </is>
      </c>
      <c r="F93" s="31" t="inlineStr">
        <is>
          <t>PU净味三分光清面漆</t>
        </is>
      </c>
      <c r="G93" s="16" t="n">
        <v>1</v>
      </c>
      <c r="H93" s="16" t="n">
        <v>20</v>
      </c>
      <c r="I93" s="16">
        <f>G93*H93</f>
        <v/>
      </c>
      <c r="J93" s="64" t="n">
        <v>18</v>
      </c>
      <c r="K93" s="64">
        <f>I93*J93</f>
        <v/>
      </c>
      <c r="L93" s="15" t="n"/>
      <c r="M93" s="28" t="n"/>
    </row>
    <row r="94" customFormat="1" s="10">
      <c r="A94" s="32" t="n">
        <v>45442</v>
      </c>
      <c r="B94" s="61" t="n">
        <v>89</v>
      </c>
      <c r="C94" s="16" t="inlineStr">
        <is>
          <t>535F</t>
        </is>
      </c>
      <c r="F94" s="31" t="inlineStr">
        <is>
          <t>PU净味哑光固化剂</t>
        </is>
      </c>
      <c r="G94" s="16" t="n">
        <v>2</v>
      </c>
      <c r="H94" s="16" t="n">
        <v>10</v>
      </c>
      <c r="I94" s="16">
        <f>G94*H94</f>
        <v/>
      </c>
      <c r="J94" s="64" t="n">
        <v>18</v>
      </c>
      <c r="K94" s="64">
        <f>I94*J94</f>
        <v/>
      </c>
      <c r="L94" s="15" t="n"/>
      <c r="M94" s="28">
        <f>SUM(K91:K94)</f>
        <v/>
      </c>
      <c r="N94" s="10" t="inlineStr">
        <is>
          <t>31/8日送货</t>
        </is>
      </c>
    </row>
    <row r="95">
      <c r="A95" s="22" t="n">
        <v>45445</v>
      </c>
      <c r="B95" s="59" t="n">
        <v>4</v>
      </c>
      <c r="C95" s="24" t="n">
        <v>9803</v>
      </c>
      <c r="F95" s="25" t="inlineStr">
        <is>
          <t>PE白底漆</t>
        </is>
      </c>
      <c r="G95" s="24" t="n">
        <v>5</v>
      </c>
      <c r="H95" s="24" t="n">
        <v>28</v>
      </c>
      <c r="I95" s="24">
        <f>G95*H95</f>
        <v/>
      </c>
      <c r="J95" s="24" t="n">
        <v>9</v>
      </c>
      <c r="K95" s="24">
        <f>I95*J95</f>
        <v/>
      </c>
      <c r="L95" s="25" t="n">
        <v>9804</v>
      </c>
      <c r="M95" s="24">
        <f>K95</f>
        <v/>
      </c>
    </row>
    <row r="96" customFormat="1" s="11">
      <c r="A96" s="32" t="n">
        <v>45448</v>
      </c>
      <c r="B96" s="61" t="inlineStr">
        <is>
          <t>13号</t>
        </is>
      </c>
      <c r="C96" s="16" t="n">
        <v>9803</v>
      </c>
      <c r="F96" s="31" t="inlineStr">
        <is>
          <t>PE白底漆</t>
        </is>
      </c>
      <c r="G96" s="16" t="n">
        <v>10</v>
      </c>
      <c r="H96" s="16" t="n">
        <v>28</v>
      </c>
      <c r="I96" s="16">
        <f>G96*H96</f>
        <v/>
      </c>
      <c r="J96" s="16" t="n">
        <v>9</v>
      </c>
      <c r="K96" s="16">
        <f>I96*J96</f>
        <v/>
      </c>
      <c r="L96" s="31" t="n">
        <v>9804</v>
      </c>
      <c r="M96" s="16">
        <f>K96</f>
        <v/>
      </c>
    </row>
    <row r="97">
      <c r="A97" s="22" t="n">
        <v>45471</v>
      </c>
      <c r="B97" s="59" t="n">
        <v>80</v>
      </c>
      <c r="C97" s="24" t="n">
        <v>709</v>
      </c>
      <c r="F97" s="25" t="inlineStr">
        <is>
          <t>PU净味哑光灰蓝色漆</t>
        </is>
      </c>
      <c r="G97" s="24" t="n">
        <v>1</v>
      </c>
      <c r="H97" s="24" t="n">
        <v>27</v>
      </c>
      <c r="I97" s="24">
        <f>G97*H97</f>
        <v/>
      </c>
      <c r="J97" s="63" t="n">
        <v>18</v>
      </c>
      <c r="K97" s="63">
        <f>I97*J97</f>
        <v/>
      </c>
      <c r="M97" s="24" t="n"/>
    </row>
    <row r="98">
      <c r="A98" s="22" t="n">
        <v>45471</v>
      </c>
      <c r="B98" s="59" t="n">
        <v>80</v>
      </c>
      <c r="C98" s="24" t="inlineStr">
        <is>
          <t>535F</t>
        </is>
      </c>
      <c r="F98" s="25" t="inlineStr">
        <is>
          <t>PU净味哑光固化剂</t>
        </is>
      </c>
      <c r="G98" s="24" t="n">
        <v>2</v>
      </c>
      <c r="H98" s="24" t="n">
        <v>10</v>
      </c>
      <c r="I98" s="24">
        <f>G98*H98</f>
        <v/>
      </c>
      <c r="J98" s="63" t="n">
        <v>18</v>
      </c>
      <c r="K98" s="63">
        <f>I98*J98</f>
        <v/>
      </c>
      <c r="M98" s="24" t="n"/>
    </row>
    <row r="99">
      <c r="A99" s="22" t="n">
        <v>45471</v>
      </c>
      <c r="B99" s="59" t="n">
        <v>80</v>
      </c>
      <c r="C99" s="24" t="inlineStr">
        <is>
          <t>900F-1</t>
        </is>
      </c>
      <c r="F99" s="25" t="inlineStr">
        <is>
          <t>PU净味面漆稀释剂</t>
        </is>
      </c>
      <c r="G99" s="24" t="n">
        <v>1</v>
      </c>
      <c r="H99" s="24" t="n">
        <v>180</v>
      </c>
      <c r="I99" s="24">
        <f>G99*H99</f>
        <v/>
      </c>
      <c r="J99" s="24" t="n">
        <v>10.5</v>
      </c>
      <c r="K99" s="24">
        <f>I99*J99</f>
        <v/>
      </c>
      <c r="M99" s="24">
        <f>SUM(K97:K99)</f>
        <v/>
      </c>
    </row>
    <row r="100" customFormat="1" s="11">
      <c r="A100" s="32" t="n">
        <v>45473</v>
      </c>
      <c r="B100" s="61" t="n">
        <v>94</v>
      </c>
      <c r="C100" s="16" t="n"/>
      <c r="F100" s="31" t="inlineStr">
        <is>
          <t>PU净味底得宝</t>
        </is>
      </c>
      <c r="G100" s="16" t="n">
        <v>1</v>
      </c>
      <c r="H100" s="16" t="n">
        <v>18</v>
      </c>
      <c r="I100" s="16">
        <f>G100*H100</f>
        <v/>
      </c>
      <c r="J100" s="16" t="n">
        <v>14.5</v>
      </c>
      <c r="K100" s="16">
        <f>I100*J100</f>
        <v/>
      </c>
      <c r="L100" s="13" t="n"/>
      <c r="M100" s="16" t="n"/>
    </row>
    <row r="101" customFormat="1" s="11">
      <c r="A101" s="32" t="n">
        <v>45473</v>
      </c>
      <c r="B101" s="61" t="n">
        <v>94</v>
      </c>
      <c r="C101" s="16" t="n"/>
      <c r="F101" s="31" t="inlineStr">
        <is>
          <t>PU净味底漆固化剂</t>
        </is>
      </c>
      <c r="G101" s="16" t="n">
        <v>1</v>
      </c>
      <c r="H101" s="16" t="n">
        <v>10</v>
      </c>
      <c r="I101" s="16">
        <f>G101*H101</f>
        <v/>
      </c>
      <c r="J101" s="16" t="n">
        <v>18</v>
      </c>
      <c r="K101" s="16">
        <f>I101*J101</f>
        <v/>
      </c>
      <c r="L101" s="31" t="inlineStr">
        <is>
          <t>LF535</t>
        </is>
      </c>
      <c r="M101" s="16" t="n"/>
    </row>
    <row r="102">
      <c r="A102" s="22" t="n">
        <v>45479</v>
      </c>
      <c r="B102" s="59" t="inlineStr">
        <is>
          <t>20号</t>
        </is>
      </c>
      <c r="C102" s="24" t="inlineStr">
        <is>
          <t>561色</t>
        </is>
      </c>
      <c r="F102" s="25" t="inlineStr">
        <is>
          <t>PU净味哑光天蓝色漆</t>
        </is>
      </c>
      <c r="G102" s="24" t="n">
        <v>1</v>
      </c>
      <c r="H102" s="24" t="n">
        <v>12</v>
      </c>
      <c r="I102" s="24">
        <f>G102*H102</f>
        <v/>
      </c>
      <c r="J102" s="63" t="n">
        <v>18</v>
      </c>
      <c r="K102" s="24">
        <f>I102*J102</f>
        <v/>
      </c>
      <c r="M102" s="12" t="inlineStr">
        <is>
          <t>打样：未留样</t>
        </is>
      </c>
    </row>
    <row r="103">
      <c r="A103" s="22" t="n">
        <v>45479</v>
      </c>
      <c r="B103" s="59" t="inlineStr">
        <is>
          <t>20号</t>
        </is>
      </c>
      <c r="C103" s="24" t="inlineStr">
        <is>
          <t>562色</t>
        </is>
      </c>
      <c r="F103" s="25" t="inlineStr">
        <is>
          <t>PU净味哑光浅海蓝色漆</t>
        </is>
      </c>
      <c r="G103" s="24" t="n">
        <v>1</v>
      </c>
      <c r="H103" s="24" t="n">
        <v>12</v>
      </c>
      <c r="I103" s="24">
        <f>G103*H103</f>
        <v/>
      </c>
      <c r="J103" s="63" t="n">
        <v>18</v>
      </c>
      <c r="K103" s="24">
        <f>I103*J103</f>
        <v/>
      </c>
      <c r="L103" s="0" t="inlineStr">
        <is>
          <t>AB831子母床</t>
        </is>
      </c>
      <c r="M103" s="12" t="inlineStr">
        <is>
          <t>打样：未留样</t>
        </is>
      </c>
    </row>
    <row r="104">
      <c r="A104" s="22" t="n">
        <v>45479</v>
      </c>
      <c r="B104" s="59" t="inlineStr">
        <is>
          <t>20号</t>
        </is>
      </c>
      <c r="C104" s="24" t="n"/>
      <c r="F104" s="25" t="inlineStr">
        <is>
          <t>PU杏黄底漆</t>
        </is>
      </c>
      <c r="G104" s="24" t="n">
        <v>1</v>
      </c>
      <c r="H104" s="24" t="n">
        <v>13</v>
      </c>
      <c r="I104" s="24">
        <f>G104*H104</f>
        <v/>
      </c>
      <c r="J104" s="63" t="n">
        <v>15.5</v>
      </c>
      <c r="K104" s="24">
        <f>I104*J104</f>
        <v/>
      </c>
      <c r="M104" s="24" t="n"/>
    </row>
    <row r="105">
      <c r="A105" s="22" t="n">
        <v>45479</v>
      </c>
      <c r="B105" s="59" t="inlineStr">
        <is>
          <t>20号</t>
        </is>
      </c>
      <c r="C105" s="24" t="n"/>
      <c r="F105" s="25" t="inlineStr">
        <is>
          <t>PU净味底得宝</t>
        </is>
      </c>
      <c r="G105" s="24" t="n">
        <v>2</v>
      </c>
      <c r="H105" s="24" t="n">
        <v>18</v>
      </c>
      <c r="I105" s="24">
        <f>G105*H105</f>
        <v/>
      </c>
      <c r="J105" s="24" t="n">
        <v>14.5</v>
      </c>
      <c r="K105" s="24">
        <f>I105*J105</f>
        <v/>
      </c>
      <c r="M105" s="24" t="n"/>
    </row>
    <row r="106">
      <c r="A106" s="22" t="n">
        <v>45479</v>
      </c>
      <c r="B106" s="59" t="inlineStr">
        <is>
          <t>20号</t>
        </is>
      </c>
      <c r="C106" s="24" t="n"/>
      <c r="F106" s="25" t="inlineStr">
        <is>
          <t>PU净味底漆固化剂</t>
        </is>
      </c>
      <c r="G106" s="24" t="n">
        <v>2</v>
      </c>
      <c r="H106" s="24" t="n">
        <v>20</v>
      </c>
      <c r="I106" s="24">
        <f>G106*H106</f>
        <v/>
      </c>
      <c r="J106" s="24" t="n">
        <v>18</v>
      </c>
      <c r="K106" s="24">
        <f>I106*J106</f>
        <v/>
      </c>
      <c r="L106" s="25" t="inlineStr">
        <is>
          <t>303B</t>
        </is>
      </c>
      <c r="M106" s="24" t="n"/>
    </row>
    <row r="107" customFormat="1" s="12">
      <c r="A107" s="22" t="n">
        <v>45479</v>
      </c>
      <c r="B107" s="59" t="inlineStr">
        <is>
          <t>20号</t>
        </is>
      </c>
      <c r="C107" s="24" t="inlineStr">
        <is>
          <t>HL-9827AA</t>
        </is>
      </c>
      <c r="F107" s="12" t="inlineStr">
        <is>
          <t>PE清底漆</t>
        </is>
      </c>
      <c r="G107" s="24" t="n">
        <v>3</v>
      </c>
      <c r="H107" s="24" t="n">
        <v>25</v>
      </c>
      <c r="I107" s="24">
        <f>G107*H107</f>
        <v/>
      </c>
      <c r="J107" s="24" t="n">
        <v>14</v>
      </c>
      <c r="K107" s="63">
        <f>I107*J107</f>
        <v/>
      </c>
      <c r="M107" s="24" t="n"/>
    </row>
    <row r="108">
      <c r="A108" s="22" t="n">
        <v>45479</v>
      </c>
      <c r="B108" s="59" t="inlineStr">
        <is>
          <t>20号</t>
        </is>
      </c>
      <c r="C108" s="24" t="inlineStr">
        <is>
          <t>535F</t>
        </is>
      </c>
      <c r="F108" s="25" t="inlineStr">
        <is>
          <t>PU净味哑光固化剂</t>
        </is>
      </c>
      <c r="G108" s="24" t="n">
        <v>2</v>
      </c>
      <c r="H108" s="24" t="n">
        <v>10</v>
      </c>
      <c r="I108" s="24">
        <f>G108*H108</f>
        <v/>
      </c>
      <c r="J108" s="63" t="n">
        <v>18</v>
      </c>
      <c r="K108" s="63">
        <f>I108*J108</f>
        <v/>
      </c>
      <c r="M108" s="24">
        <f>SUM(K102:K108)</f>
        <v/>
      </c>
    </row>
    <row r="109" customFormat="1" s="11">
      <c r="A109" s="32" t="n">
        <v>45479</v>
      </c>
      <c r="B109" s="61" t="n">
        <v>22</v>
      </c>
      <c r="C109" s="16" t="inlineStr">
        <is>
          <t>1#</t>
        </is>
      </c>
      <c r="F109" s="31" t="inlineStr">
        <is>
          <t>PU哑光实木修色油</t>
        </is>
      </c>
      <c r="G109" s="16" t="n">
        <v>1</v>
      </c>
      <c r="H109" s="16" t="n">
        <v>21</v>
      </c>
      <c r="I109" s="16">
        <f>G109*H109</f>
        <v/>
      </c>
      <c r="J109" s="64" t="n">
        <v>18</v>
      </c>
      <c r="K109" s="16">
        <f>I109*J109</f>
        <v/>
      </c>
      <c r="L109" s="10" t="inlineStr">
        <is>
          <t>样品上没编号</t>
        </is>
      </c>
      <c r="M109" s="13" t="n"/>
    </row>
    <row r="110" customFormat="1" s="12">
      <c r="A110" s="22" t="n">
        <v>45481</v>
      </c>
      <c r="B110" s="59" t="n">
        <v>23</v>
      </c>
      <c r="C110" s="24" t="inlineStr">
        <is>
          <t>HL-9827AA</t>
        </is>
      </c>
      <c r="F110" s="12" t="inlineStr">
        <is>
          <t>PE清底漆</t>
        </is>
      </c>
      <c r="G110" s="24" t="n">
        <v>10</v>
      </c>
      <c r="H110" s="24" t="n">
        <v>25</v>
      </c>
      <c r="I110" s="24">
        <f>G110*H110</f>
        <v/>
      </c>
      <c r="J110" s="63" t="n">
        <v>14</v>
      </c>
      <c r="K110" s="63">
        <f>I110*J110</f>
        <v/>
      </c>
      <c r="M110" s="24" t="n"/>
    </row>
    <row r="111">
      <c r="A111" s="22" t="n">
        <v>45481</v>
      </c>
      <c r="B111" s="59" t="n">
        <v>23</v>
      </c>
      <c r="C111" s="28" t="inlineStr">
        <is>
          <t>1#</t>
        </is>
      </c>
      <c r="F111" s="25" t="inlineStr">
        <is>
          <t>PU哑光实木修色油</t>
        </is>
      </c>
      <c r="G111" s="24" t="n">
        <v>2</v>
      </c>
      <c r="H111" s="24" t="n">
        <v>21</v>
      </c>
      <c r="I111" s="24">
        <f>G111*H111</f>
        <v/>
      </c>
      <c r="J111" s="63" t="n">
        <v>18</v>
      </c>
      <c r="K111" s="63">
        <f>I111*J111</f>
        <v/>
      </c>
      <c r="L111" s="10" t="inlineStr">
        <is>
          <t>样品上没编号</t>
        </is>
      </c>
    </row>
    <row r="112">
      <c r="A112" s="22" t="n">
        <v>45481</v>
      </c>
      <c r="B112" s="59" t="n">
        <v>23</v>
      </c>
      <c r="C112" s="24" t="inlineStr">
        <is>
          <t>535F</t>
        </is>
      </c>
      <c r="F112" s="25" t="inlineStr">
        <is>
          <t>PU净味哑光固化剂</t>
        </is>
      </c>
      <c r="G112" s="24" t="n">
        <v>6</v>
      </c>
      <c r="H112" s="24" t="n">
        <v>10</v>
      </c>
      <c r="I112" s="24">
        <f>G112*H112</f>
        <v/>
      </c>
      <c r="J112" s="63" t="n">
        <v>18</v>
      </c>
      <c r="K112" s="63">
        <f>I112*J112</f>
        <v/>
      </c>
      <c r="M112" s="24">
        <f>SUM(K110:K112)</f>
        <v/>
      </c>
    </row>
    <row r="113" customFormat="1" s="11">
      <c r="A113" s="32" t="n">
        <v>45482</v>
      </c>
      <c r="B113" s="61" t="n">
        <v>28</v>
      </c>
      <c r="C113" s="16" t="inlineStr">
        <is>
          <t>2#（195-15-21）</t>
        </is>
      </c>
      <c r="F113" s="31" t="inlineStr">
        <is>
          <t>PU哑光实木修色油</t>
        </is>
      </c>
      <c r="G113" s="16" t="n">
        <v>1</v>
      </c>
      <c r="H113" s="16" t="n">
        <v>21</v>
      </c>
      <c r="I113" s="16">
        <f>G113*H113</f>
        <v/>
      </c>
      <c r="J113" s="64" t="n">
        <v>18</v>
      </c>
      <c r="K113" s="64">
        <f>I113*J113</f>
        <v/>
      </c>
      <c r="L113" s="36" t="inlineStr">
        <is>
          <t>括号里的编号就是配方）</t>
        </is>
      </c>
      <c r="M113" s="13" t="n"/>
    </row>
    <row r="114" customFormat="1" s="11">
      <c r="A114" s="32" t="n">
        <v>45482</v>
      </c>
      <c r="B114" s="61" t="n">
        <v>28</v>
      </c>
      <c r="C114" s="16" t="n"/>
      <c r="F114" s="31" t="inlineStr">
        <is>
          <t>棕色修边漆</t>
        </is>
      </c>
      <c r="G114" s="16" t="n">
        <v>1</v>
      </c>
      <c r="H114" s="16" t="n">
        <v>4</v>
      </c>
      <c r="I114" s="16">
        <f>G114*H114</f>
        <v/>
      </c>
      <c r="J114" s="64" t="n">
        <v>18</v>
      </c>
      <c r="K114" s="64">
        <f>I114*J114</f>
        <v/>
      </c>
      <c r="L114" s="13" t="n"/>
      <c r="M114" s="16">
        <f>SUM(K113:K114)</f>
        <v/>
      </c>
    </row>
    <row r="115">
      <c r="A115" s="22" t="n">
        <v>45484</v>
      </c>
      <c r="B115" s="59" t="n">
        <v>36</v>
      </c>
      <c r="C115" s="28" t="inlineStr">
        <is>
          <t>1#</t>
        </is>
      </c>
      <c r="F115" s="25" t="inlineStr">
        <is>
          <t>PU哑光实木修色油</t>
        </is>
      </c>
      <c r="G115" s="24" t="n">
        <v>2</v>
      </c>
      <c r="H115" s="24" t="n">
        <v>21</v>
      </c>
      <c r="I115" s="24">
        <f>G115*H115</f>
        <v/>
      </c>
      <c r="J115" s="63" t="n">
        <v>18</v>
      </c>
      <c r="K115" s="63">
        <f>I115*J115</f>
        <v/>
      </c>
      <c r="L115" s="10" t="inlineStr">
        <is>
          <t>样品上没编号</t>
        </is>
      </c>
    </row>
    <row r="116">
      <c r="A116" s="22" t="n">
        <v>45484</v>
      </c>
      <c r="B116" s="59" t="n">
        <v>36</v>
      </c>
      <c r="C116" s="24" t="inlineStr">
        <is>
          <t>7225-70F</t>
        </is>
      </c>
      <c r="F116" s="25" t="inlineStr">
        <is>
          <t>PU净味三分光清面漆</t>
        </is>
      </c>
      <c r="G116" s="24" t="n">
        <v>1</v>
      </c>
      <c r="H116" s="24" t="n">
        <v>20</v>
      </c>
      <c r="I116" s="24">
        <f>G116*H116</f>
        <v/>
      </c>
      <c r="J116" s="63" t="n">
        <v>18</v>
      </c>
      <c r="K116" s="63">
        <f>I116*J116</f>
        <v/>
      </c>
      <c r="M116" s="24" t="n"/>
    </row>
    <row r="117">
      <c r="A117" s="22" t="n">
        <v>45484</v>
      </c>
      <c r="B117" s="59" t="n">
        <v>36</v>
      </c>
      <c r="C117" s="24" t="inlineStr">
        <is>
          <t>535F</t>
        </is>
      </c>
      <c r="F117" s="25" t="inlineStr">
        <is>
          <t>PU净味哑光固化剂</t>
        </is>
      </c>
      <c r="G117" s="24" t="n">
        <v>3</v>
      </c>
      <c r="H117" s="24" t="n">
        <v>10</v>
      </c>
      <c r="I117" s="24">
        <f>G117*H117</f>
        <v/>
      </c>
      <c r="J117" s="63" t="n">
        <v>18</v>
      </c>
      <c r="K117" s="63">
        <f>I117*J117</f>
        <v/>
      </c>
      <c r="M117" s="24">
        <f>SUM(K115:K117)</f>
        <v/>
      </c>
    </row>
    <row r="118" customFormat="1" s="13">
      <c r="A118" s="32" t="n">
        <v>45486</v>
      </c>
      <c r="B118" s="61" t="n">
        <v>50</v>
      </c>
      <c r="C118" s="16" t="inlineStr">
        <is>
          <t>HL-9827AA</t>
        </is>
      </c>
      <c r="F118" s="13" t="inlineStr">
        <is>
          <t>PE清底漆</t>
        </is>
      </c>
      <c r="G118" s="16" t="n">
        <v>10</v>
      </c>
      <c r="H118" s="16" t="n">
        <v>25</v>
      </c>
      <c r="I118" s="16">
        <f>G118*H118</f>
        <v/>
      </c>
      <c r="J118" s="64" t="n">
        <v>14</v>
      </c>
      <c r="K118" s="64">
        <f>I118*J118</f>
        <v/>
      </c>
      <c r="M118" s="16" t="n"/>
    </row>
    <row r="119">
      <c r="A119" s="22" t="n">
        <v>45486</v>
      </c>
      <c r="B119" s="59" t="n">
        <v>52</v>
      </c>
      <c r="C119" s="24" t="inlineStr">
        <is>
          <t>1#</t>
        </is>
      </c>
      <c r="F119" s="25" t="inlineStr">
        <is>
          <t>PU哑光实木修色油</t>
        </is>
      </c>
      <c r="G119" s="24" t="n">
        <v>3</v>
      </c>
      <c r="H119" s="24" t="n">
        <v>21</v>
      </c>
      <c r="I119" s="24">
        <f>G119*H119</f>
        <v/>
      </c>
      <c r="J119" s="63" t="n">
        <v>18</v>
      </c>
      <c r="K119" s="63">
        <f>I119*J119</f>
        <v/>
      </c>
      <c r="L119" s="0" t="inlineStr">
        <is>
          <t>样品上没编号</t>
        </is>
      </c>
    </row>
    <row r="120">
      <c r="A120" s="22" t="n">
        <v>45486</v>
      </c>
      <c r="B120" s="59" t="n">
        <v>52</v>
      </c>
      <c r="C120" s="24" t="inlineStr">
        <is>
          <t>535F</t>
        </is>
      </c>
      <c r="F120" s="25" t="inlineStr">
        <is>
          <t>PU净味哑光固化剂</t>
        </is>
      </c>
      <c r="G120" s="24" t="n">
        <v>3</v>
      </c>
      <c r="H120" s="24" t="n">
        <v>10</v>
      </c>
      <c r="I120" s="24">
        <f>G120*H120</f>
        <v/>
      </c>
      <c r="J120" s="63" t="n">
        <v>18</v>
      </c>
      <c r="K120" s="63">
        <f>I120*J120</f>
        <v/>
      </c>
      <c r="M120" s="24" t="n"/>
    </row>
    <row r="121">
      <c r="A121" s="22" t="n">
        <v>45486</v>
      </c>
      <c r="B121" s="59" t="n">
        <v>52</v>
      </c>
      <c r="C121" s="24" t="n">
        <v>9803</v>
      </c>
      <c r="F121" s="25" t="inlineStr">
        <is>
          <t>PE白底漆</t>
        </is>
      </c>
      <c r="G121" s="24" t="n">
        <v>10</v>
      </c>
      <c r="H121" s="24" t="n">
        <v>28</v>
      </c>
      <c r="I121" s="24">
        <f>G121*H121</f>
        <v/>
      </c>
      <c r="J121" s="24" t="n">
        <v>9</v>
      </c>
      <c r="K121" s="24">
        <f>I121*J121</f>
        <v/>
      </c>
      <c r="L121" s="25" t="n">
        <v>9804</v>
      </c>
      <c r="M121" s="24">
        <f>SUM(K119:K121)</f>
        <v/>
      </c>
    </row>
    <row r="122" customFormat="1" s="11">
      <c r="A122" s="32" t="n">
        <v>45488</v>
      </c>
      <c r="B122" s="61" t="n">
        <v>53</v>
      </c>
      <c r="C122" s="16" t="inlineStr">
        <is>
          <t>3#（204-06）</t>
        </is>
      </c>
      <c r="F122" s="31" t="inlineStr">
        <is>
          <t>PU哑光浅棕色实木修色油</t>
        </is>
      </c>
      <c r="G122" s="16" t="n">
        <v>1</v>
      </c>
      <c r="H122" s="16" t="n">
        <v>21</v>
      </c>
      <c r="I122" s="16">
        <f>G122*H122</f>
        <v/>
      </c>
      <c r="J122" s="64" t="n">
        <v>18</v>
      </c>
      <c r="K122" s="64">
        <f>I122*J122</f>
        <v/>
      </c>
      <c r="L122" s="13" t="n"/>
      <c r="M122" s="16" t="n"/>
    </row>
    <row r="123" customFormat="1" s="11">
      <c r="A123" s="32" t="n">
        <v>45488</v>
      </c>
      <c r="B123" s="61" t="n">
        <v>53</v>
      </c>
      <c r="C123" s="16" t="inlineStr">
        <is>
          <t>535F</t>
        </is>
      </c>
      <c r="F123" s="31" t="inlineStr">
        <is>
          <t>PU净味哑光固化剂</t>
        </is>
      </c>
      <c r="G123" s="16" t="n">
        <v>1</v>
      </c>
      <c r="H123" s="16" t="n">
        <v>10</v>
      </c>
      <c r="I123" s="16">
        <f>G123*H123</f>
        <v/>
      </c>
      <c r="J123" s="64" t="n">
        <v>18</v>
      </c>
      <c r="K123" s="64">
        <f>I123*J123</f>
        <v/>
      </c>
      <c r="L123" s="13" t="n"/>
      <c r="M123" s="16">
        <f>SUM(K122:K123)</f>
        <v/>
      </c>
    </row>
    <row r="124" customFormat="1" s="10">
      <c r="A124" s="37" t="n">
        <v>45493</v>
      </c>
      <c r="B124" s="65" t="n"/>
      <c r="C124" s="28" t="inlineStr">
        <is>
          <t>019-1</t>
        </is>
      </c>
      <c r="F124" s="39" t="inlineStr">
        <is>
          <t>调成哑光打样喷板：须留样</t>
        </is>
      </c>
      <c r="G124" s="28" t="n"/>
      <c r="H124" s="28" t="n"/>
      <c r="I124" s="28" t="n"/>
      <c r="J124" s="66" t="n"/>
      <c r="K124" s="66" t="n"/>
      <c r="L124" s="15" t="n"/>
      <c r="M124" s="28" t="n"/>
    </row>
    <row r="125" customFormat="1" s="10">
      <c r="A125" s="37" t="n">
        <v>45493</v>
      </c>
      <c r="B125" s="65" t="n"/>
      <c r="C125" s="28" t="inlineStr">
        <is>
          <t>019-2</t>
        </is>
      </c>
      <c r="F125" s="39" t="inlineStr">
        <is>
          <t>调成哑光打样喷板：须留样</t>
        </is>
      </c>
      <c r="G125" s="28" t="n"/>
      <c r="H125" s="28" t="n"/>
      <c r="I125" s="28" t="n"/>
      <c r="J125" s="66" t="n"/>
      <c r="K125" s="66" t="n"/>
      <c r="L125" s="15" t="n"/>
      <c r="M125" s="28" t="n"/>
    </row>
    <row r="126" customFormat="1" s="10">
      <c r="A126" s="37" t="n">
        <v>45493</v>
      </c>
      <c r="B126" s="65" t="n"/>
      <c r="C126" s="28" t="inlineStr">
        <is>
          <t>019-3</t>
        </is>
      </c>
      <c r="F126" s="29" t="inlineStr">
        <is>
          <t>灰色干板打样喷板：须留样</t>
        </is>
      </c>
      <c r="G126" s="28" t="n"/>
      <c r="H126" s="28" t="n"/>
      <c r="I126" s="28" t="n"/>
      <c r="J126" s="66" t="n"/>
      <c r="K126" s="66" t="n"/>
      <c r="L126" s="15" t="n"/>
      <c r="M126" s="28" t="n"/>
    </row>
    <row r="127" customFormat="1" s="10">
      <c r="A127" s="37" t="n">
        <v>45493</v>
      </c>
      <c r="B127" s="65" t="n"/>
      <c r="C127" s="28" t="inlineStr">
        <is>
          <t>019-4</t>
        </is>
      </c>
      <c r="F127" s="29" t="inlineStr">
        <is>
          <t>白色干板打样喷板：须留样</t>
        </is>
      </c>
      <c r="G127" s="28" t="n"/>
      <c r="H127" s="28" t="n"/>
      <c r="I127" s="28" t="n"/>
      <c r="J127" s="66" t="n"/>
      <c r="K127" s="66" t="n"/>
      <c r="L127" s="15" t="n"/>
      <c r="M127" s="28" t="n"/>
    </row>
    <row r="128" customFormat="1" s="10">
      <c r="A128" s="37" t="n">
        <v>45493</v>
      </c>
      <c r="B128" s="65" t="n"/>
      <c r="C128" s="28" t="inlineStr">
        <is>
          <t>019-5</t>
        </is>
      </c>
      <c r="F128" s="29" t="inlineStr">
        <is>
          <t>以“1#：哑光实木修色油”为样调成实色漆打样喷板：须留样</t>
        </is>
      </c>
      <c r="G128" s="28" t="n"/>
      <c r="H128" s="28" t="n"/>
      <c r="I128" s="28" t="n"/>
      <c r="J128" s="66" t="n"/>
      <c r="K128" s="66" t="n"/>
      <c r="L128" s="15" t="n"/>
      <c r="M128" s="28" t="n"/>
    </row>
    <row r="129" customFormat="1" s="14">
      <c r="A129" s="41" t="n">
        <v>45496</v>
      </c>
      <c r="B129" s="67" t="inlineStr">
        <is>
          <t>不开单</t>
        </is>
      </c>
      <c r="C129" s="43" t="inlineStr">
        <is>
          <t>019-5</t>
        </is>
      </c>
      <c r="F129" s="44" t="inlineStr">
        <is>
          <t>PU哑光修色漆</t>
        </is>
      </c>
      <c r="G129" s="43" t="n">
        <v>1</v>
      </c>
      <c r="H129" s="43" t="n">
        <v>2</v>
      </c>
      <c r="I129" s="43">
        <f>G129*H129</f>
        <v/>
      </c>
      <c r="J129" s="68" t="n">
        <v>18</v>
      </c>
      <c r="K129" s="68" t="n"/>
      <c r="L129" s="46" t="n"/>
      <c r="M129" s="43" t="n"/>
    </row>
    <row r="130">
      <c r="A130" s="22" t="n">
        <v>45497</v>
      </c>
      <c r="B130" s="59" t="n">
        <v>70</v>
      </c>
      <c r="C130" s="24" t="inlineStr">
        <is>
          <t>HL-9824A</t>
        </is>
      </c>
      <c r="F130" s="25" t="inlineStr">
        <is>
          <t>PE封固底漆</t>
        </is>
      </c>
      <c r="G130" s="24" t="n">
        <v>5</v>
      </c>
      <c r="H130" s="24" t="n">
        <v>22</v>
      </c>
      <c r="I130" s="24">
        <f>G130*H130</f>
        <v/>
      </c>
      <c r="J130" s="63" t="n">
        <v>12</v>
      </c>
      <c r="K130" s="63">
        <f>I130*J130</f>
        <v/>
      </c>
      <c r="M130" s="24" t="n"/>
    </row>
    <row r="131" customFormat="1" s="11">
      <c r="A131" s="32" t="n">
        <v>45500</v>
      </c>
      <c r="B131" s="61" t="n">
        <v>83</v>
      </c>
      <c r="C131" s="16" t="inlineStr">
        <is>
          <t>HL-001</t>
        </is>
      </c>
      <c r="F131" s="31" t="inlineStr">
        <is>
          <t>PU净味哑光白面漆</t>
        </is>
      </c>
      <c r="G131" s="16" t="n">
        <v>1</v>
      </c>
      <c r="H131" s="16" t="n">
        <v>25</v>
      </c>
      <c r="I131" s="16">
        <f>G131*H131</f>
        <v/>
      </c>
      <c r="J131" s="64" t="n">
        <v>18</v>
      </c>
      <c r="K131" s="16">
        <f>I131*J131</f>
        <v/>
      </c>
      <c r="L131" s="13" t="n"/>
      <c r="M131" s="24" t="n"/>
    </row>
    <row r="132" customFormat="1" s="11">
      <c r="A132" s="32" t="n">
        <v>45500</v>
      </c>
      <c r="B132" s="61" t="n">
        <v>83</v>
      </c>
      <c r="C132" s="16" t="inlineStr">
        <is>
          <t>7225-70F</t>
        </is>
      </c>
      <c r="F132" s="31" t="inlineStr">
        <is>
          <t>PU净味三分光清面漆</t>
        </is>
      </c>
      <c r="G132" s="16" t="n">
        <v>1</v>
      </c>
      <c r="H132" s="16" t="n">
        <v>20</v>
      </c>
      <c r="I132" s="16">
        <f>G132*H132</f>
        <v/>
      </c>
      <c r="J132" s="64" t="n">
        <v>18</v>
      </c>
      <c r="K132" s="64">
        <f>I132*J132</f>
        <v/>
      </c>
      <c r="L132" s="13" t="n"/>
      <c r="M132" s="24" t="n"/>
    </row>
    <row r="133" customFormat="1" s="11">
      <c r="A133" s="32" t="n">
        <v>45500</v>
      </c>
      <c r="B133" s="61" t="n">
        <v>83</v>
      </c>
      <c r="C133" s="16" t="inlineStr">
        <is>
          <t>535F</t>
        </is>
      </c>
      <c r="F133" s="31" t="inlineStr">
        <is>
          <t>PU净味哑光固化剂</t>
        </is>
      </c>
      <c r="G133" s="16" t="n">
        <v>2</v>
      </c>
      <c r="H133" s="16" t="n">
        <v>10</v>
      </c>
      <c r="I133" s="16">
        <f>G133*H133</f>
        <v/>
      </c>
      <c r="J133" s="64" t="n">
        <v>18</v>
      </c>
      <c r="K133" s="64">
        <f>I133*J133</f>
        <v/>
      </c>
      <c r="L133" s="13" t="n"/>
      <c r="M133" s="24" t="n"/>
    </row>
    <row r="134" customFormat="1" s="11">
      <c r="A134" s="32" t="n">
        <v>45500</v>
      </c>
      <c r="B134" s="61" t="n">
        <v>83</v>
      </c>
      <c r="C134" s="16" t="inlineStr">
        <is>
          <t>900F-1</t>
        </is>
      </c>
      <c r="F134" s="31" t="inlineStr">
        <is>
          <t>PU净味面漆稀释剂</t>
        </is>
      </c>
      <c r="G134" s="16" t="n">
        <v>1</v>
      </c>
      <c r="H134" s="16" t="n">
        <v>180</v>
      </c>
      <c r="I134" s="16">
        <f>G134*H134</f>
        <v/>
      </c>
      <c r="J134" s="16" t="n">
        <v>10.5</v>
      </c>
      <c r="K134" s="16">
        <f>I134*J134</f>
        <v/>
      </c>
      <c r="L134" s="13" t="n"/>
      <c r="M134" s="16">
        <f>SUM(K131:K134)</f>
        <v/>
      </c>
    </row>
    <row r="135">
      <c r="A135" s="37" t="inlineStr">
        <is>
          <t>8月10前</t>
        </is>
      </c>
      <c r="B135" s="65" t="n"/>
      <c r="C135" s="28" t="inlineStr">
        <is>
          <t>已打样</t>
        </is>
      </c>
      <c r="F135" s="29" t="inlineStr">
        <is>
          <t>送PU哑光烟熏色板</t>
        </is>
      </c>
      <c r="G135" s="24" t="n"/>
      <c r="H135" s="24" t="n"/>
      <c r="I135" s="24" t="n"/>
      <c r="J135" s="63" t="n"/>
      <c r="K135" s="63" t="n"/>
      <c r="M135" s="24" t="n"/>
    </row>
    <row r="136">
      <c r="A136" s="37" t="inlineStr">
        <is>
          <t>8月10前</t>
        </is>
      </c>
      <c r="B136" s="65" t="n"/>
      <c r="C136" s="28" t="inlineStr">
        <is>
          <t>已打样</t>
        </is>
      </c>
      <c r="F136" s="29" t="inlineStr">
        <is>
          <t>送PU哑光淡灰色板</t>
        </is>
      </c>
      <c r="G136" s="24" t="n"/>
      <c r="H136" s="24" t="n"/>
      <c r="I136" s="24" t="n"/>
      <c r="J136" s="63" t="n"/>
      <c r="K136" s="63" t="n"/>
      <c r="M136" s="24" t="n"/>
    </row>
    <row r="137">
      <c r="A137" s="37" t="inlineStr">
        <is>
          <t>8月10前</t>
        </is>
      </c>
      <c r="B137" s="65" t="n"/>
      <c r="C137" s="28" t="inlineStr">
        <is>
          <t>已打样</t>
        </is>
      </c>
      <c r="F137" s="29" t="inlineStr">
        <is>
          <t>送PU哑光卡其色板</t>
        </is>
      </c>
      <c r="G137" s="24" t="n"/>
      <c r="H137" s="24" t="n"/>
      <c r="I137" s="24" t="n"/>
      <c r="J137" s="63" t="n"/>
      <c r="K137" s="63" t="n"/>
      <c r="M137" s="24" t="n"/>
    </row>
    <row r="138">
      <c r="A138" s="37" t="inlineStr">
        <is>
          <t>8月10前</t>
        </is>
      </c>
      <c r="B138" s="65" t="n"/>
      <c r="C138" s="28" t="inlineStr">
        <is>
          <t>已打样</t>
        </is>
      </c>
      <c r="F138" s="29" t="inlineStr">
        <is>
          <t>送PU哑光象牙白色板</t>
        </is>
      </c>
      <c r="G138" s="24" t="n"/>
      <c r="H138" s="24" t="n"/>
      <c r="I138" s="24" t="n"/>
      <c r="J138" s="63" t="n"/>
      <c r="K138" s="63" t="n"/>
      <c r="M138" s="24" t="n"/>
    </row>
    <row r="139" customFormat="1" s="13">
      <c r="A139" s="32" t="n">
        <v>45514</v>
      </c>
      <c r="B139" s="65" t="n"/>
      <c r="C139" s="16" t="inlineStr">
        <is>
          <t>HL-9824A</t>
        </is>
      </c>
      <c r="F139" s="13" t="inlineStr">
        <is>
          <t>PE封固底漆</t>
        </is>
      </c>
      <c r="G139" s="16" t="n">
        <v>3</v>
      </c>
      <c r="H139" s="16" t="n">
        <v>22</v>
      </c>
      <c r="I139" s="16">
        <f>G139*H139</f>
        <v/>
      </c>
      <c r="J139" s="16" t="n"/>
      <c r="K139" s="16">
        <f>I139*J139</f>
        <v/>
      </c>
      <c r="L139" s="13" t="inlineStr">
        <is>
          <t>换货</t>
        </is>
      </c>
      <c r="M139" s="16" t="n"/>
    </row>
    <row r="140">
      <c r="A140" s="22" t="n">
        <v>45518</v>
      </c>
      <c r="B140" s="59" t="n">
        <v>42</v>
      </c>
      <c r="C140" s="24" t="n">
        <v>813</v>
      </c>
      <c r="F140" s="25" t="inlineStr">
        <is>
          <t>PU净味哑光淡灰色漆</t>
        </is>
      </c>
      <c r="G140" s="24" t="n">
        <v>3</v>
      </c>
      <c r="H140" s="24" t="n">
        <v>26</v>
      </c>
      <c r="I140" s="24">
        <f>G140*H140</f>
        <v/>
      </c>
      <c r="J140" s="63" t="n">
        <v>18</v>
      </c>
      <c r="K140" s="63">
        <f>I140*J140</f>
        <v/>
      </c>
      <c r="M140" s="24" t="n"/>
    </row>
    <row r="141">
      <c r="A141" s="22" t="n">
        <v>45518</v>
      </c>
      <c r="B141" s="59" t="n">
        <v>42</v>
      </c>
      <c r="C141" s="24" t="n">
        <v>812</v>
      </c>
      <c r="F141" s="25" t="inlineStr">
        <is>
          <t>PU净味哑光烟熏色漆</t>
        </is>
      </c>
      <c r="G141" s="24" t="n">
        <v>2</v>
      </c>
      <c r="H141" s="24" t="n">
        <v>23</v>
      </c>
      <c r="I141" s="24">
        <f>G141*H141</f>
        <v/>
      </c>
      <c r="J141" s="63" t="n">
        <v>18</v>
      </c>
      <c r="K141" s="63">
        <f>I141*J141</f>
        <v/>
      </c>
      <c r="M141" s="24" t="n"/>
    </row>
    <row r="142">
      <c r="A142" s="22" t="n">
        <v>45518</v>
      </c>
      <c r="B142" s="59" t="n">
        <v>42</v>
      </c>
      <c r="C142" s="24" t="inlineStr">
        <is>
          <t>535F</t>
        </is>
      </c>
      <c r="F142" s="25" t="inlineStr">
        <is>
          <t>PU净味哑光固化剂</t>
        </is>
      </c>
      <c r="G142" s="24" t="n">
        <v>6</v>
      </c>
      <c r="H142" s="24" t="n">
        <v>10</v>
      </c>
      <c r="I142" s="24">
        <f>G142*H142</f>
        <v/>
      </c>
      <c r="J142" s="63" t="n">
        <v>18</v>
      </c>
      <c r="K142" s="63">
        <f>I142*J142</f>
        <v/>
      </c>
      <c r="M142" s="24" t="n"/>
    </row>
    <row r="143" customFormat="1" s="11">
      <c r="A143" s="32" t="n">
        <v>45520</v>
      </c>
      <c r="B143" s="61" t="n">
        <v>54</v>
      </c>
      <c r="C143" s="16" t="n">
        <v>9803</v>
      </c>
      <c r="F143" s="31" t="inlineStr">
        <is>
          <t>PE白底漆</t>
        </is>
      </c>
      <c r="G143" s="16" t="n">
        <v>10</v>
      </c>
      <c r="H143" s="16" t="n">
        <v>28</v>
      </c>
      <c r="I143" s="16">
        <f>G143*H143</f>
        <v/>
      </c>
      <c r="J143" s="16" t="n">
        <v>9</v>
      </c>
      <c r="K143" s="16">
        <f>I143*J143</f>
        <v/>
      </c>
      <c r="L143" s="31" t="n">
        <v>9804</v>
      </c>
      <c r="M143" s="16">
        <f>SUM(K141:K143)</f>
        <v/>
      </c>
    </row>
    <row r="144">
      <c r="A144" s="22" t="n">
        <v>45520</v>
      </c>
      <c r="B144" s="59" t="n">
        <v>57</v>
      </c>
      <c r="C144" s="24" t="inlineStr">
        <is>
          <t>2662餐边柜门板</t>
        </is>
      </c>
      <c r="F144" s="25" t="inlineStr">
        <is>
          <t>PU哑光净味浅黄色漆</t>
        </is>
      </c>
      <c r="G144" s="24" t="n">
        <v>1</v>
      </c>
      <c r="H144" s="24" t="n">
        <v>25</v>
      </c>
      <c r="I144" s="24">
        <f>G144*H144</f>
        <v/>
      </c>
      <c r="J144" s="24" t="n">
        <v>18</v>
      </c>
      <c r="K144" s="24">
        <f>I144*J144</f>
        <v/>
      </c>
      <c r="M144" s="24" t="n"/>
    </row>
    <row r="145">
      <c r="A145" s="22" t="n">
        <v>45520</v>
      </c>
      <c r="B145" s="59" t="n">
        <v>57</v>
      </c>
      <c r="C145" s="24" t="inlineStr">
        <is>
          <t>535F</t>
        </is>
      </c>
      <c r="F145" s="25" t="inlineStr">
        <is>
          <t>PU净味哑光固化剂</t>
        </is>
      </c>
      <c r="G145" s="24" t="n">
        <v>1</v>
      </c>
      <c r="H145" s="24" t="n">
        <v>10</v>
      </c>
      <c r="I145" s="24">
        <f>G145*H145</f>
        <v/>
      </c>
      <c r="J145" s="24" t="n">
        <v>18</v>
      </c>
      <c r="K145" s="24">
        <f>I145*J145</f>
        <v/>
      </c>
      <c r="M145" s="24">
        <f>SUM(K144:K145)</f>
        <v/>
      </c>
    </row>
    <row r="146" customFormat="1" s="11">
      <c r="A146" s="32" t="n">
        <v>45521</v>
      </c>
      <c r="B146" s="61" t="n">
        <v>58</v>
      </c>
      <c r="C146" s="16" t="inlineStr">
        <is>
          <t>0817#</t>
        </is>
      </c>
      <c r="F146" s="31" t="inlineStr">
        <is>
          <t>PU餐边柜修色油</t>
        </is>
      </c>
      <c r="G146" s="16" t="n">
        <v>1</v>
      </c>
      <c r="H146" s="16" t="n">
        <v>21</v>
      </c>
      <c r="I146" s="16">
        <f>G146*H146</f>
        <v/>
      </c>
      <c r="J146" s="16" t="n">
        <v>18</v>
      </c>
      <c r="K146" s="16">
        <f>I146*J146</f>
        <v/>
      </c>
      <c r="L146" s="13" t="inlineStr">
        <is>
          <t>哑光</t>
        </is>
      </c>
      <c r="M146" s="16" t="n"/>
    </row>
    <row r="147" customFormat="1" s="10">
      <c r="A147" s="37" t="n">
        <v>45523</v>
      </c>
      <c r="B147" s="65" t="n"/>
      <c r="C147" s="28" t="inlineStr">
        <is>
          <t>0819*</t>
        </is>
      </c>
      <c r="F147" s="29" t="inlineStr">
        <is>
          <t>哑光米白色漆</t>
        </is>
      </c>
      <c r="G147" s="28" t="n">
        <v>1</v>
      </c>
      <c r="H147" s="28" t="n">
        <v>1</v>
      </c>
      <c r="I147" s="28">
        <f>G147*H147</f>
        <v/>
      </c>
      <c r="J147" s="28" t="n"/>
      <c r="K147" s="28" t="n"/>
      <c r="L147" s="15" t="inlineStr">
        <is>
          <t>干板样：1KG</t>
        </is>
      </c>
      <c r="M147" s="28" t="n"/>
    </row>
    <row r="148">
      <c r="A148" s="22" t="n">
        <v>45524</v>
      </c>
      <c r="B148" s="59" t="n">
        <v>70</v>
      </c>
      <c r="C148" s="24" t="inlineStr">
        <is>
          <t>2662餐边柜门板</t>
        </is>
      </c>
      <c r="F148" s="25" t="inlineStr">
        <is>
          <t>PU净味哑光浅黄色漆</t>
        </is>
      </c>
      <c r="G148" s="24" t="n">
        <v>2</v>
      </c>
      <c r="H148" s="24" t="n">
        <v>25</v>
      </c>
      <c r="I148" s="24">
        <f>G148*H148</f>
        <v/>
      </c>
      <c r="J148" s="24" t="n">
        <v>18</v>
      </c>
      <c r="K148" s="24">
        <f>I148*J148</f>
        <v/>
      </c>
      <c r="L148" s="12" t="inlineStr">
        <is>
          <t>备货</t>
        </is>
      </c>
      <c r="M148" s="24" t="n"/>
    </row>
    <row r="149">
      <c r="A149" s="22" t="n">
        <v>45524</v>
      </c>
      <c r="B149" s="59" t="n">
        <v>70</v>
      </c>
      <c r="C149" s="24" t="inlineStr">
        <is>
          <t>535F</t>
        </is>
      </c>
      <c r="F149" s="25" t="inlineStr">
        <is>
          <t>PU净味哑光固化剂</t>
        </is>
      </c>
      <c r="G149" s="24" t="n">
        <v>2</v>
      </c>
      <c r="H149" s="24" t="n">
        <v>10</v>
      </c>
      <c r="I149" s="24">
        <f>G149*H149</f>
        <v/>
      </c>
      <c r="J149" s="24" t="n">
        <v>18</v>
      </c>
      <c r="K149" s="24">
        <f>I149*J149</f>
        <v/>
      </c>
      <c r="M149" s="24">
        <f>SUM(K148:K149)</f>
        <v/>
      </c>
    </row>
    <row r="150" customFormat="1" s="11">
      <c r="A150" s="32" t="n">
        <v>45530</v>
      </c>
      <c r="B150" s="61" t="n">
        <v>81</v>
      </c>
      <c r="C150" s="16" t="inlineStr">
        <is>
          <t>7225-70F</t>
        </is>
      </c>
      <c r="F150" s="31" t="inlineStr">
        <is>
          <t>PU净味三分光清面漆</t>
        </is>
      </c>
      <c r="G150" s="16" t="n">
        <v>1</v>
      </c>
      <c r="H150" s="16" t="n">
        <v>20</v>
      </c>
      <c r="I150" s="16">
        <f>G150*H150</f>
        <v/>
      </c>
      <c r="J150" s="64" t="n">
        <v>18</v>
      </c>
      <c r="K150" s="64">
        <f>I150*J150</f>
        <v/>
      </c>
      <c r="L150" s="13" t="n"/>
      <c r="M150" s="24" t="n"/>
    </row>
    <row r="151" customFormat="1" s="11">
      <c r="A151" s="32" t="n">
        <v>45530</v>
      </c>
      <c r="B151" s="61" t="n">
        <v>81</v>
      </c>
      <c r="C151" s="16" t="inlineStr">
        <is>
          <t>535F</t>
        </is>
      </c>
      <c r="F151" s="31" t="inlineStr">
        <is>
          <t>PU净味哑光固化剂</t>
        </is>
      </c>
      <c r="G151" s="16" t="n">
        <v>1</v>
      </c>
      <c r="H151" s="16" t="n">
        <v>10</v>
      </c>
      <c r="I151" s="16">
        <f>G151*H151</f>
        <v/>
      </c>
      <c r="J151" s="64" t="n">
        <v>18</v>
      </c>
      <c r="K151" s="64">
        <f>I151*J151</f>
        <v/>
      </c>
      <c r="L151" s="13" t="n"/>
      <c r="M151" s="24" t="n"/>
    </row>
    <row r="152" customFormat="1" s="11">
      <c r="A152" s="32" t="n">
        <v>45530</v>
      </c>
      <c r="B152" s="61" t="n">
        <v>81</v>
      </c>
      <c r="C152" s="16" t="inlineStr">
        <is>
          <t>0817#</t>
        </is>
      </c>
      <c r="F152" s="31" t="inlineStr">
        <is>
          <t>PU餐边柜修色油</t>
        </is>
      </c>
      <c r="G152" s="16" t="n">
        <v>-1</v>
      </c>
      <c r="H152" s="16" t="n">
        <v>20</v>
      </c>
      <c r="I152" s="16">
        <f>G152*H152</f>
        <v/>
      </c>
      <c r="J152" s="16" t="n">
        <v>18</v>
      </c>
      <c r="K152" s="16">
        <f>I152*J152</f>
        <v/>
      </c>
      <c r="L152" s="13" t="inlineStr">
        <is>
          <t>退货哑光</t>
        </is>
      </c>
      <c r="M152" s="16" t="n"/>
    </row>
    <row r="153" customFormat="1" s="15">
      <c r="A153" s="37" t="n">
        <v>45577</v>
      </c>
      <c r="B153" s="65" t="inlineStr">
        <is>
          <t>不开单</t>
        </is>
      </c>
      <c r="C153" s="28" t="inlineStr">
        <is>
          <t>6824B</t>
        </is>
      </c>
      <c r="F153" s="15" t="inlineStr">
        <is>
          <t>PE封固底漆</t>
        </is>
      </c>
      <c r="G153" s="28" t="n">
        <v>1</v>
      </c>
      <c r="H153" s="28" t="n">
        <v>22</v>
      </c>
      <c r="I153" s="28">
        <f>G153*H153</f>
        <v/>
      </c>
      <c r="J153" s="28" t="n"/>
      <c r="K153" s="28">
        <f>I153*J153</f>
        <v/>
      </c>
      <c r="L153" s="13" t="inlineStr">
        <is>
          <t>12/10换货制:6824A:20+1.2:K600+0.3锌粉+0.5:801溶剂</t>
        </is>
      </c>
      <c r="M153" s="28" t="n"/>
    </row>
    <row r="154" customFormat="1" s="12">
      <c r="A154" s="22" t="n">
        <v>45553</v>
      </c>
      <c r="B154" s="59" t="n">
        <v>56</v>
      </c>
      <c r="C154" s="24" t="inlineStr">
        <is>
          <t>6824B</t>
        </is>
      </c>
      <c r="F154" s="12" t="inlineStr">
        <is>
          <t>PE封固底漆</t>
        </is>
      </c>
      <c r="G154" s="24" t="n">
        <v>2</v>
      </c>
      <c r="H154" s="24" t="n">
        <v>22</v>
      </c>
      <c r="I154" s="24">
        <f>G154*H154</f>
        <v/>
      </c>
      <c r="J154" s="63" t="n">
        <v>12</v>
      </c>
      <c r="K154" s="63">
        <f>I154*J154</f>
        <v/>
      </c>
      <c r="L154" s="12" t="inlineStr">
        <is>
          <t xml:space="preserve">定制:见生产单 </t>
        </is>
      </c>
      <c r="M154" s="24" t="n"/>
    </row>
    <row r="155">
      <c r="A155" s="22" t="n">
        <v>45553</v>
      </c>
      <c r="B155" s="59" t="n">
        <v>56</v>
      </c>
      <c r="C155" s="24" t="inlineStr">
        <is>
          <t>2662餐边柜门板</t>
        </is>
      </c>
      <c r="F155" s="25" t="inlineStr">
        <is>
          <t>PU净味哑光浅黄色漆</t>
        </is>
      </c>
      <c r="G155" s="24" t="n">
        <v>2</v>
      </c>
      <c r="H155" s="24" t="n">
        <v>25</v>
      </c>
      <c r="I155" s="24">
        <f>G155*H155</f>
        <v/>
      </c>
      <c r="J155" s="63" t="n">
        <v>18</v>
      </c>
      <c r="K155" s="63">
        <f>I155*J155</f>
        <v/>
      </c>
      <c r="L155" s="12" t="inlineStr">
        <is>
          <t>备货</t>
        </is>
      </c>
      <c r="M155" s="24" t="n"/>
    </row>
    <row r="156">
      <c r="A156" s="22" t="n">
        <v>45553</v>
      </c>
      <c r="B156" s="59" t="n">
        <v>56</v>
      </c>
      <c r="C156" s="24" t="inlineStr">
        <is>
          <t>535F</t>
        </is>
      </c>
      <c r="F156" s="25" t="inlineStr">
        <is>
          <t>PU净味哑光固化剂</t>
        </is>
      </c>
      <c r="G156" s="24" t="n">
        <v>7</v>
      </c>
      <c r="H156" s="24" t="n">
        <v>10</v>
      </c>
      <c r="I156" s="24">
        <f>G156*H156</f>
        <v/>
      </c>
      <c r="J156" s="63" t="n">
        <v>18</v>
      </c>
      <c r="K156" s="63">
        <f>I156*J156</f>
        <v/>
      </c>
      <c r="M156" s="24" t="n"/>
    </row>
    <row r="157">
      <c r="A157" s="22" t="n">
        <v>45553</v>
      </c>
      <c r="B157" s="59" t="n">
        <v>56</v>
      </c>
      <c r="C157" s="24" t="inlineStr">
        <is>
          <t>7225-70F</t>
        </is>
      </c>
      <c r="F157" s="25" t="inlineStr">
        <is>
          <t>PU净味三分光清面漆</t>
        </is>
      </c>
      <c r="G157" s="24" t="n">
        <v>2</v>
      </c>
      <c r="H157" s="24" t="n">
        <v>20</v>
      </c>
      <c r="I157" s="24">
        <f>G157*H157</f>
        <v/>
      </c>
      <c r="J157" s="63" t="n">
        <v>18</v>
      </c>
      <c r="K157" s="63">
        <f>I157*J157</f>
        <v/>
      </c>
      <c r="M157" s="24" t="n"/>
    </row>
    <row r="158">
      <c r="A158" s="22" t="n">
        <v>45553</v>
      </c>
      <c r="B158" s="59" t="n">
        <v>56</v>
      </c>
      <c r="C158" s="24" t="inlineStr">
        <is>
          <t>HL-001</t>
        </is>
      </c>
      <c r="F158" s="25" t="inlineStr">
        <is>
          <t>PU净味哑光白面漆</t>
        </is>
      </c>
      <c r="G158" s="24" t="n">
        <v>2</v>
      </c>
      <c r="H158" s="24" t="n">
        <v>25</v>
      </c>
      <c r="I158" s="24">
        <f>G158*H158</f>
        <v/>
      </c>
      <c r="J158" s="63" t="n">
        <v>18</v>
      </c>
      <c r="K158" s="63">
        <f>I158*J158</f>
        <v/>
      </c>
      <c r="M158" s="24" t="n"/>
    </row>
    <row r="159">
      <c r="A159" s="22" t="n">
        <v>45553</v>
      </c>
      <c r="B159" s="59" t="n">
        <v>56</v>
      </c>
      <c r="C159" s="24" t="inlineStr">
        <is>
          <t>900F-1</t>
        </is>
      </c>
      <c r="F159" s="25" t="inlineStr">
        <is>
          <t>PU净味面漆稀释剂</t>
        </is>
      </c>
      <c r="G159" s="24" t="n">
        <v>1</v>
      </c>
      <c r="H159" s="24" t="n">
        <v>180</v>
      </c>
      <c r="I159" s="24">
        <f>G159*H159</f>
        <v/>
      </c>
      <c r="J159" s="63" t="n">
        <v>10.5</v>
      </c>
      <c r="K159" s="63">
        <f>I159*J159</f>
        <v/>
      </c>
      <c r="M159" s="24">
        <f>SUM(K154:K159)</f>
        <v/>
      </c>
    </row>
    <row r="160" customFormat="1" s="13">
      <c r="A160" s="32" t="n">
        <v>45554</v>
      </c>
      <c r="B160" s="61" t="n">
        <v>58</v>
      </c>
      <c r="C160" s="16" t="inlineStr">
        <is>
          <t>HL-9824A</t>
        </is>
      </c>
      <c r="F160" s="13" t="inlineStr">
        <is>
          <t>PE封固底漆</t>
        </is>
      </c>
      <c r="G160" s="16" t="n">
        <v>2</v>
      </c>
      <c r="H160" s="16" t="n">
        <v>22</v>
      </c>
      <c r="I160" s="16">
        <f>G160*H160</f>
        <v/>
      </c>
      <c r="J160" s="64" t="n">
        <v>12</v>
      </c>
      <c r="K160" s="64">
        <f>I160*J160</f>
        <v/>
      </c>
      <c r="M160" s="16" t="n"/>
    </row>
    <row r="161" customFormat="1" s="12">
      <c r="A161" s="22" t="n">
        <v>45556</v>
      </c>
      <c r="B161" s="59" t="n">
        <v>68</v>
      </c>
      <c r="C161" s="22" t="n">
        <v>45555</v>
      </c>
      <c r="F161" s="12" t="inlineStr">
        <is>
          <t>PE封固底漆稀料</t>
        </is>
      </c>
      <c r="G161" s="24" t="n">
        <v>1</v>
      </c>
      <c r="H161" s="24" t="n">
        <v>18</v>
      </c>
      <c r="I161" s="24">
        <f>G161*H161</f>
        <v/>
      </c>
      <c r="J161" s="63" t="n">
        <v>6</v>
      </c>
      <c r="K161" s="63">
        <f>I161*J161</f>
        <v/>
      </c>
      <c r="L161" s="12" t="inlineStr">
        <is>
          <t>20/9已送</t>
        </is>
      </c>
      <c r="M161" s="18" t="inlineStr">
        <is>
          <t>本：4.5</t>
        </is>
      </c>
    </row>
    <row r="162">
      <c r="A162" s="22" t="n">
        <v>45556</v>
      </c>
      <c r="B162" s="59" t="n">
        <v>68</v>
      </c>
      <c r="C162" s="24" t="n">
        <v>9803</v>
      </c>
      <c r="F162" s="25" t="inlineStr">
        <is>
          <t>PE白底漆</t>
        </is>
      </c>
      <c r="G162" s="24" t="n">
        <v>10</v>
      </c>
      <c r="H162" s="24" t="n">
        <v>28</v>
      </c>
      <c r="I162" s="24">
        <f>G162*H162</f>
        <v/>
      </c>
      <c r="J162" s="63" t="n">
        <v>9</v>
      </c>
      <c r="K162" s="63">
        <f>I162*J162</f>
        <v/>
      </c>
      <c r="L162" s="25" t="n">
        <v>9804</v>
      </c>
      <c r="M162" s="24" t="n"/>
    </row>
    <row r="163" customFormat="1" s="13">
      <c r="A163" s="32" t="n">
        <v>45565</v>
      </c>
      <c r="B163" s="61" t="n">
        <v>102</v>
      </c>
      <c r="C163" s="16" t="n">
        <v>1871</v>
      </c>
      <c r="F163" s="13" t="inlineStr">
        <is>
          <t>PU清底漆</t>
        </is>
      </c>
      <c r="G163" s="16" t="n">
        <v>1</v>
      </c>
      <c r="H163" s="16" t="n">
        <v>4</v>
      </c>
      <c r="I163" s="16">
        <f>G163*H163</f>
        <v/>
      </c>
      <c r="J163" s="64" t="n">
        <v>14</v>
      </c>
      <c r="K163" s="64">
        <f>I163*J163</f>
        <v/>
      </c>
      <c r="L163" s="13" t="inlineStr">
        <is>
          <t>22/9送</t>
        </is>
      </c>
      <c r="M163" s="16" t="n"/>
    </row>
    <row r="164" customFormat="1" s="11">
      <c r="A164" s="32" t="n">
        <v>45565</v>
      </c>
      <c r="B164" s="61" t="n">
        <v>102</v>
      </c>
      <c r="C164" s="16" t="n">
        <v>9803</v>
      </c>
      <c r="F164" s="31" t="inlineStr">
        <is>
          <t>PE白底漆</t>
        </is>
      </c>
      <c r="G164" s="16" t="n">
        <v>5</v>
      </c>
      <c r="H164" s="16" t="n">
        <v>28</v>
      </c>
      <c r="I164" s="16">
        <f>G164*H164</f>
        <v/>
      </c>
      <c r="J164" s="64" t="n">
        <v>9</v>
      </c>
      <c r="K164" s="64">
        <f>I164*J164</f>
        <v/>
      </c>
      <c r="L164" s="31" t="n">
        <v>9804</v>
      </c>
      <c r="M164" s="16" t="n"/>
    </row>
    <row r="165">
      <c r="A165" s="22" t="n">
        <v>45565</v>
      </c>
      <c r="B165" s="59" t="n">
        <v>103</v>
      </c>
      <c r="C165" s="24" t="inlineStr">
        <is>
          <t>2662餐边柜门板</t>
        </is>
      </c>
      <c r="F165" s="25" t="inlineStr">
        <is>
          <t>PU净味哑光浅黄色漆</t>
        </is>
      </c>
      <c r="G165" s="24" t="n">
        <v>2</v>
      </c>
      <c r="H165" s="24" t="n">
        <v>25</v>
      </c>
      <c r="I165" s="24">
        <f>G165*H165</f>
        <v/>
      </c>
      <c r="J165" s="63" t="n">
        <v>18</v>
      </c>
      <c r="K165" s="63">
        <f>I165*J165</f>
        <v/>
      </c>
      <c r="L165" s="12" t="inlineStr">
        <is>
          <t>备货</t>
        </is>
      </c>
      <c r="M165" s="24" t="n"/>
    </row>
    <row r="166">
      <c r="A166" s="22" t="n">
        <v>45565</v>
      </c>
      <c r="B166" s="59" t="n">
        <v>103</v>
      </c>
      <c r="C166" s="24" t="inlineStr">
        <is>
          <t>535F</t>
        </is>
      </c>
      <c r="F166" s="25" t="inlineStr">
        <is>
          <t>PU净味哑光固化剂</t>
        </is>
      </c>
      <c r="G166" s="24" t="n">
        <v>2</v>
      </c>
      <c r="H166" s="24" t="n">
        <v>10</v>
      </c>
      <c r="I166" s="24">
        <f>G166*H166</f>
        <v/>
      </c>
      <c r="J166" s="63" t="n">
        <v>18</v>
      </c>
      <c r="K166" s="63">
        <f>I166*J166</f>
        <v/>
      </c>
      <c r="M166" s="24" t="n"/>
    </row>
    <row r="167" customFormat="1" s="13">
      <c r="A167" s="32" t="n">
        <v>45569</v>
      </c>
      <c r="B167" s="61" t="n">
        <v>1</v>
      </c>
      <c r="C167" s="16" t="n">
        <v>1872</v>
      </c>
      <c r="F167" s="13" t="inlineStr">
        <is>
          <t>PU净味清底漆</t>
        </is>
      </c>
      <c r="G167" s="16" t="n">
        <v>2</v>
      </c>
      <c r="H167" s="16" t="n">
        <v>25</v>
      </c>
      <c r="I167" s="16">
        <f>G167*H167</f>
        <v/>
      </c>
      <c r="J167" s="64" t="n">
        <v>14</v>
      </c>
      <c r="K167" s="64">
        <f>I167*J167</f>
        <v/>
      </c>
      <c r="M167" s="16" t="n"/>
    </row>
    <row r="168" customFormat="1" s="13">
      <c r="A168" s="32" t="n">
        <v>45569</v>
      </c>
      <c r="B168" s="61" t="n">
        <v>1</v>
      </c>
      <c r="C168" s="16" t="inlineStr">
        <is>
          <t>309A</t>
        </is>
      </c>
      <c r="F168" s="13" t="inlineStr">
        <is>
          <t>PU净味底漆固化剂</t>
        </is>
      </c>
      <c r="G168" s="16" t="n">
        <v>2</v>
      </c>
      <c r="H168" s="16" t="n">
        <v>20</v>
      </c>
      <c r="I168" s="16">
        <f>G168*H168</f>
        <v/>
      </c>
      <c r="J168" s="64" t="n">
        <v>18</v>
      </c>
      <c r="K168" s="64">
        <f>I168*J168</f>
        <v/>
      </c>
      <c r="M168" s="16" t="n"/>
    </row>
    <row r="169" customFormat="1" s="12">
      <c r="A169" s="22" t="n">
        <v>45571</v>
      </c>
      <c r="B169" s="59" t="n">
        <v>5</v>
      </c>
      <c r="C169" s="24" t="n">
        <v>1872</v>
      </c>
      <c r="F169" s="12" t="inlineStr">
        <is>
          <t>PU净味清底漆</t>
        </is>
      </c>
      <c r="G169" s="24" t="n">
        <v>2</v>
      </c>
      <c r="H169" s="24" t="n">
        <v>25</v>
      </c>
      <c r="I169" s="24">
        <f>G169*H169</f>
        <v/>
      </c>
      <c r="J169" s="63" t="n">
        <v>14</v>
      </c>
      <c r="K169" s="63">
        <f>I169*J169</f>
        <v/>
      </c>
      <c r="L169" s="12" t="inlineStr">
        <is>
          <t>1176树脂做</t>
        </is>
      </c>
      <c r="M169" s="24" t="n"/>
    </row>
    <row r="170" customFormat="1" s="12">
      <c r="A170" s="22" t="n">
        <v>45571</v>
      </c>
      <c r="B170" s="59" t="n">
        <v>5</v>
      </c>
      <c r="C170" s="24" t="inlineStr">
        <is>
          <t>309A</t>
        </is>
      </c>
      <c r="F170" s="12" t="inlineStr">
        <is>
          <t>PU净味底漆固化剂</t>
        </is>
      </c>
      <c r="G170" s="24" t="n">
        <v>1</v>
      </c>
      <c r="H170" s="24" t="n">
        <v>20</v>
      </c>
      <c r="I170" s="24">
        <f>G170*H170</f>
        <v/>
      </c>
      <c r="J170" s="63" t="n">
        <v>18</v>
      </c>
      <c r="K170" s="63">
        <f>I170*J170</f>
        <v/>
      </c>
      <c r="L170" s="12" t="inlineStr">
        <is>
          <t>加2KG：1451/桶</t>
        </is>
      </c>
      <c r="M170" s="24" t="n"/>
    </row>
    <row r="171" customFormat="1" s="12">
      <c r="A171" s="22" t="n">
        <v>45571</v>
      </c>
      <c r="B171" s="59" t="n">
        <v>5</v>
      </c>
      <c r="C171" s="22" t="n"/>
      <c r="F171" s="12" t="inlineStr">
        <is>
          <t>PE封固底漆稀料</t>
        </is>
      </c>
      <c r="G171" s="24" t="n">
        <v>1</v>
      </c>
      <c r="H171" s="24" t="n">
        <v>18</v>
      </c>
      <c r="I171" s="24">
        <f>G171*H171</f>
        <v/>
      </c>
      <c r="J171" s="63" t="n">
        <v>6</v>
      </c>
      <c r="K171" s="63">
        <f>I171*J171</f>
        <v/>
      </c>
      <c r="L171" s="12" t="inlineStr">
        <is>
          <t>20/9已送</t>
        </is>
      </c>
      <c r="M171" s="18" t="inlineStr">
        <is>
          <t>本：4.5</t>
        </is>
      </c>
    </row>
    <row r="172" customFormat="1" s="13">
      <c r="A172" s="32" t="n">
        <v>45577</v>
      </c>
      <c r="B172" s="61" t="n">
        <v>30</v>
      </c>
      <c r="C172" s="16" t="inlineStr">
        <is>
          <t>HL-9824A</t>
        </is>
      </c>
      <c r="F172" s="13" t="inlineStr">
        <is>
          <t>PE封固底漆</t>
        </is>
      </c>
      <c r="G172" s="16" t="n">
        <v>1</v>
      </c>
      <c r="H172" s="16" t="n">
        <v>22</v>
      </c>
      <c r="I172" s="16">
        <f>G172*H172</f>
        <v/>
      </c>
      <c r="J172" s="64" t="n">
        <v>12</v>
      </c>
      <c r="K172" s="64">
        <f>I172*J172</f>
        <v/>
      </c>
      <c r="M172" s="16" t="n"/>
    </row>
    <row r="173" customFormat="1" s="11">
      <c r="A173" s="32" t="n">
        <v>45577</v>
      </c>
      <c r="B173" s="61" t="n">
        <v>30</v>
      </c>
      <c r="C173" s="16" t="n">
        <v>9803</v>
      </c>
      <c r="F173" s="31" t="inlineStr">
        <is>
          <t>PE白底漆</t>
        </is>
      </c>
      <c r="G173" s="16" t="n">
        <v>10</v>
      </c>
      <c r="H173" s="16" t="n">
        <v>28</v>
      </c>
      <c r="I173" s="16">
        <f>G173*H173</f>
        <v/>
      </c>
      <c r="J173" s="64" t="n">
        <v>9</v>
      </c>
      <c r="K173" s="64">
        <f>I173*J173</f>
        <v/>
      </c>
      <c r="L173" s="31" t="n">
        <v>9804</v>
      </c>
      <c r="M173" s="16" t="n"/>
    </row>
    <row r="174" customFormat="1" s="13">
      <c r="A174" s="32" t="n">
        <v>45577</v>
      </c>
      <c r="B174" s="61" t="n">
        <v>30</v>
      </c>
      <c r="C174" s="16" t="inlineStr">
        <is>
          <t>HL-9827AA</t>
        </is>
      </c>
      <c r="F174" s="13" t="inlineStr">
        <is>
          <t>PE清底漆</t>
        </is>
      </c>
      <c r="G174" s="16" t="n">
        <v>2</v>
      </c>
      <c r="H174" s="16" t="n">
        <v>25</v>
      </c>
      <c r="I174" s="16">
        <f>G174*H174</f>
        <v/>
      </c>
      <c r="J174" s="64" t="n">
        <v>14</v>
      </c>
      <c r="K174" s="64">
        <f>I174*J174</f>
        <v/>
      </c>
      <c r="M174" s="16">
        <f>SUM(K172:K174)</f>
        <v/>
      </c>
    </row>
    <row r="175">
      <c r="A175" s="22" t="n">
        <v>45581</v>
      </c>
      <c r="B175" s="59" t="n">
        <v>44</v>
      </c>
      <c r="C175" s="24" t="inlineStr">
        <is>
          <t>A1(553)</t>
        </is>
      </c>
      <c r="F175" s="25" t="inlineStr">
        <is>
          <t>PU净味哑光浅蓝色漆</t>
        </is>
      </c>
      <c r="G175" s="24" t="n">
        <v>1</v>
      </c>
      <c r="H175" s="24" t="n">
        <v>10</v>
      </c>
      <c r="I175" s="24">
        <f>G175*H175</f>
        <v/>
      </c>
      <c r="J175" s="63" t="n">
        <v>18</v>
      </c>
      <c r="K175" s="63">
        <f>I175*J175</f>
        <v/>
      </c>
      <c r="M175" s="24" t="n"/>
    </row>
    <row r="176">
      <c r="A176" s="22" t="n">
        <v>45581</v>
      </c>
      <c r="B176" s="59" t="n">
        <v>44</v>
      </c>
      <c r="C176" s="24" t="inlineStr">
        <is>
          <t>7225-70F</t>
        </is>
      </c>
      <c r="F176" s="25" t="inlineStr">
        <is>
          <t>PU净味三分光清面漆</t>
        </is>
      </c>
      <c r="G176" s="24" t="n">
        <v>2</v>
      </c>
      <c r="H176" s="24" t="n">
        <v>20</v>
      </c>
      <c r="I176" s="24">
        <f>G176*H176</f>
        <v/>
      </c>
      <c r="J176" s="63" t="n">
        <v>18</v>
      </c>
      <c r="K176" s="63">
        <f>I176*J176</f>
        <v/>
      </c>
      <c r="M176" s="24" t="n"/>
    </row>
    <row r="177">
      <c r="A177" s="22" t="n">
        <v>45581</v>
      </c>
      <c r="B177" s="59" t="n">
        <v>44</v>
      </c>
      <c r="C177" s="24" t="n">
        <v>709</v>
      </c>
      <c r="F177" s="25" t="inlineStr">
        <is>
          <t>PU净味哑光灰蓝色漆</t>
        </is>
      </c>
      <c r="G177" s="24" t="n">
        <v>1</v>
      </c>
      <c r="H177" s="24" t="n">
        <v>26</v>
      </c>
      <c r="I177" s="24">
        <f>G177*H177</f>
        <v/>
      </c>
      <c r="J177" s="63" t="n">
        <v>18</v>
      </c>
      <c r="K177" s="63">
        <f>I177*J177</f>
        <v/>
      </c>
      <c r="M177" s="24" t="n"/>
    </row>
    <row r="178">
      <c r="A178" s="22" t="n">
        <v>45581</v>
      </c>
      <c r="B178" s="59" t="n">
        <v>44</v>
      </c>
      <c r="C178" s="24" t="inlineStr">
        <is>
          <t>HL-001</t>
        </is>
      </c>
      <c r="F178" s="25" t="inlineStr">
        <is>
          <t>PU净味哑光白面漆</t>
        </is>
      </c>
      <c r="G178" s="24" t="n">
        <v>2</v>
      </c>
      <c r="H178" s="24" t="n">
        <v>25</v>
      </c>
      <c r="I178" s="24">
        <f>G178*H178</f>
        <v/>
      </c>
      <c r="J178" s="63" t="n">
        <v>18</v>
      </c>
      <c r="K178" s="63">
        <f>I178*J178</f>
        <v/>
      </c>
      <c r="M178" s="24" t="n"/>
    </row>
    <row r="179">
      <c r="A179" s="22" t="n">
        <v>45581</v>
      </c>
      <c r="B179" s="59" t="n">
        <v>44</v>
      </c>
      <c r="C179" s="24" t="inlineStr">
        <is>
          <t>535F</t>
        </is>
      </c>
      <c r="F179" s="25" t="inlineStr">
        <is>
          <t>PU净味哑光固化剂</t>
        </is>
      </c>
      <c r="G179" s="24" t="n">
        <v>6</v>
      </c>
      <c r="H179" s="24" t="n">
        <v>10</v>
      </c>
      <c r="I179" s="24">
        <f>G179*H179</f>
        <v/>
      </c>
      <c r="J179" s="63" t="n">
        <v>18</v>
      </c>
      <c r="K179" s="63">
        <f>I179*J179</f>
        <v/>
      </c>
      <c r="M179" s="24">
        <f>SUM(K175:K180)</f>
        <v/>
      </c>
    </row>
    <row r="180" customFormat="1" s="12">
      <c r="A180" s="22" t="n">
        <v>45581</v>
      </c>
      <c r="B180" s="59" t="n">
        <v>44</v>
      </c>
      <c r="C180" s="24" t="inlineStr">
        <is>
          <t>HL-9824A</t>
        </is>
      </c>
      <c r="F180" s="12" t="inlineStr">
        <is>
          <t>PE封固底漆</t>
        </is>
      </c>
      <c r="G180" s="24" t="n">
        <v>2</v>
      </c>
      <c r="H180" s="24" t="n">
        <v>22</v>
      </c>
      <c r="I180" s="24">
        <f>G180*H180</f>
        <v/>
      </c>
      <c r="J180" s="63" t="n">
        <v>12</v>
      </c>
      <c r="K180" s="63">
        <f>I180*J180</f>
        <v/>
      </c>
      <c r="M180" s="24" t="n"/>
    </row>
    <row r="181" customFormat="1" s="11">
      <c r="A181" s="32" t="n">
        <v>45586</v>
      </c>
      <c r="B181" s="61" t="n">
        <v>57</v>
      </c>
      <c r="C181" s="16" t="inlineStr">
        <is>
          <t>900F-1</t>
        </is>
      </c>
      <c r="F181" s="31" t="inlineStr">
        <is>
          <t>PU净味面漆稀释剂</t>
        </is>
      </c>
      <c r="G181" s="16" t="n">
        <v>1</v>
      </c>
      <c r="H181" s="16" t="n">
        <v>180</v>
      </c>
      <c r="I181" s="16">
        <f>G181*H181</f>
        <v/>
      </c>
      <c r="J181" s="64" t="n">
        <v>10.5</v>
      </c>
      <c r="K181" s="64">
        <f>I181*J181</f>
        <v/>
      </c>
      <c r="L181" s="13" t="n"/>
      <c r="M181" s="16">
        <f>K181</f>
        <v/>
      </c>
    </row>
    <row r="182">
      <c r="A182" s="22" t="n">
        <v>45586</v>
      </c>
      <c r="B182" s="59" t="n">
        <v>59</v>
      </c>
      <c r="C182" s="24" t="inlineStr">
        <is>
          <t>2662餐边柜门板</t>
        </is>
      </c>
      <c r="F182" s="25" t="inlineStr">
        <is>
          <t>PU净味哑光浅黄色漆</t>
        </is>
      </c>
      <c r="G182" s="24" t="n">
        <v>3</v>
      </c>
      <c r="H182" s="24" t="n">
        <v>25</v>
      </c>
      <c r="I182" s="24">
        <f>G182*H182</f>
        <v/>
      </c>
      <c r="J182" s="63" t="n">
        <v>18</v>
      </c>
      <c r="K182" s="63">
        <f>I182*J182</f>
        <v/>
      </c>
      <c r="M182" s="24" t="n"/>
    </row>
    <row r="183">
      <c r="A183" s="22" t="n">
        <v>45586</v>
      </c>
      <c r="B183" s="59" t="n">
        <v>59</v>
      </c>
      <c r="C183" s="24" t="inlineStr">
        <is>
          <t>535F</t>
        </is>
      </c>
      <c r="F183" s="25" t="inlineStr">
        <is>
          <t>PU净味哑光固化剂</t>
        </is>
      </c>
      <c r="G183" s="24" t="n">
        <v>3</v>
      </c>
      <c r="H183" s="24" t="n">
        <v>10</v>
      </c>
      <c r="I183" s="24">
        <f>G183*H183</f>
        <v/>
      </c>
      <c r="J183" s="63" t="n">
        <v>18</v>
      </c>
      <c r="K183" s="63">
        <f>I183*J183</f>
        <v/>
      </c>
      <c r="M183" s="24" t="n"/>
    </row>
    <row r="184" customFormat="1" s="12">
      <c r="A184" s="22" t="n">
        <v>45586</v>
      </c>
      <c r="B184" s="59" t="n">
        <v>59</v>
      </c>
      <c r="C184" s="22" t="n"/>
      <c r="F184" s="12" t="inlineStr">
        <is>
          <t>PE白底漆稀料</t>
        </is>
      </c>
      <c r="G184" s="24" t="n">
        <v>1</v>
      </c>
      <c r="H184" s="24" t="n">
        <v>18</v>
      </c>
      <c r="I184" s="24">
        <f>G184*H184</f>
        <v/>
      </c>
      <c r="J184" s="63" t="n">
        <v>6</v>
      </c>
      <c r="K184" s="63">
        <f>I184*J184</f>
        <v/>
      </c>
      <c r="M184" s="18" t="n"/>
    </row>
    <row r="185" customFormat="1" s="12">
      <c r="A185" s="22" t="n">
        <v>45586</v>
      </c>
      <c r="B185" s="59" t="n">
        <v>59</v>
      </c>
      <c r="C185" s="28" t="n">
        <v>1872</v>
      </c>
      <c r="F185" s="15" t="inlineStr">
        <is>
          <t>PU净味清底漆</t>
        </is>
      </c>
      <c r="G185" s="28" t="n">
        <v>-1</v>
      </c>
      <c r="H185" s="28" t="n">
        <v>29</v>
      </c>
      <c r="I185" s="28">
        <f>G185*H185</f>
        <v/>
      </c>
      <c r="J185" s="66" t="n">
        <v>14</v>
      </c>
      <c r="K185" s="66">
        <f>I185*J185</f>
        <v/>
      </c>
      <c r="L185" s="12" t="inlineStr">
        <is>
          <t>退货</t>
        </is>
      </c>
      <c r="M185" s="18" t="n"/>
    </row>
    <row r="186" customFormat="1" s="12">
      <c r="A186" s="22" t="n">
        <v>45586</v>
      </c>
      <c r="B186" s="59" t="n">
        <v>59</v>
      </c>
      <c r="C186" s="28" t="inlineStr">
        <is>
          <t>309A</t>
        </is>
      </c>
      <c r="F186" s="15" t="inlineStr">
        <is>
          <t>PU净味底漆固化剂</t>
        </is>
      </c>
      <c r="G186" s="28" t="n">
        <v>-1</v>
      </c>
      <c r="H186" s="28" t="n">
        <v>47</v>
      </c>
      <c r="I186" s="28">
        <f>G186*H186</f>
        <v/>
      </c>
      <c r="J186" s="66" t="n">
        <v>18</v>
      </c>
      <c r="K186" s="66">
        <f>I186*J186</f>
        <v/>
      </c>
      <c r="L186" s="12" t="inlineStr">
        <is>
          <t>退货</t>
        </is>
      </c>
      <c r="M186" s="18">
        <f>SUM(K182:K186)</f>
        <v/>
      </c>
    </row>
    <row r="187" customFormat="1" s="11">
      <c r="A187" s="32" t="n">
        <v>45589</v>
      </c>
      <c r="B187" s="61" t="n">
        <v>71</v>
      </c>
      <c r="C187" s="16" t="n">
        <v>9803</v>
      </c>
      <c r="F187" s="31" t="inlineStr">
        <is>
          <t>PE白底漆</t>
        </is>
      </c>
      <c r="G187" s="16" t="n">
        <v>10</v>
      </c>
      <c r="H187" s="16" t="n">
        <v>28</v>
      </c>
      <c r="I187" s="16">
        <f>G187*H187</f>
        <v/>
      </c>
      <c r="J187" s="64" t="n">
        <v>9</v>
      </c>
      <c r="K187" s="64">
        <f>I187*J187</f>
        <v/>
      </c>
      <c r="L187" s="31" t="n">
        <v>9804</v>
      </c>
      <c r="M187" s="16" t="n"/>
    </row>
    <row r="188" customFormat="1" s="13">
      <c r="A188" s="32" t="n">
        <v>45589</v>
      </c>
      <c r="B188" s="61" t="n">
        <v>71</v>
      </c>
      <c r="C188" s="16" t="inlineStr">
        <is>
          <t>HL-9827AA</t>
        </is>
      </c>
      <c r="F188" s="13" t="inlineStr">
        <is>
          <t>PE清底漆</t>
        </is>
      </c>
      <c r="G188" s="16" t="n">
        <v>2</v>
      </c>
      <c r="H188" s="16" t="n">
        <v>25</v>
      </c>
      <c r="I188" s="16">
        <f>G188*H188</f>
        <v/>
      </c>
      <c r="J188" s="64" t="n">
        <v>14</v>
      </c>
      <c r="K188" s="64">
        <f>I188*J188</f>
        <v/>
      </c>
      <c r="M188" s="16">
        <f>SUM(K187:K188)</f>
        <v/>
      </c>
    </row>
    <row r="189">
      <c r="A189" s="22" t="n">
        <v>45601</v>
      </c>
      <c r="B189" s="59" t="n">
        <v>10</v>
      </c>
      <c r="C189" s="24" t="n">
        <v>9803</v>
      </c>
      <c r="F189" s="25" t="inlineStr">
        <is>
          <t>PE白底漆</t>
        </is>
      </c>
      <c r="G189" s="24" t="n">
        <v>10</v>
      </c>
      <c r="H189" s="24" t="n">
        <v>28</v>
      </c>
      <c r="I189" s="24">
        <f>G189*H189</f>
        <v/>
      </c>
      <c r="J189" s="63" t="n">
        <v>9</v>
      </c>
      <c r="K189" s="63">
        <f>I189*J189</f>
        <v/>
      </c>
      <c r="L189" s="25" t="n">
        <v>9804</v>
      </c>
      <c r="M189" s="24" t="n"/>
    </row>
    <row r="190" customFormat="1" s="11">
      <c r="A190" s="32" t="n">
        <v>45604</v>
      </c>
      <c r="B190" s="61" t="n">
        <v>21</v>
      </c>
      <c r="C190" s="16" t="inlineStr">
        <is>
          <t>2662餐边柜门板</t>
        </is>
      </c>
      <c r="F190" s="31" t="inlineStr">
        <is>
          <t>PU净味哑光浅黄色漆</t>
        </is>
      </c>
      <c r="G190" s="16" t="n">
        <v>2</v>
      </c>
      <c r="H190" s="16" t="n">
        <v>25</v>
      </c>
      <c r="I190" s="16">
        <f>G190*H190</f>
        <v/>
      </c>
      <c r="J190" s="64" t="n">
        <v>18</v>
      </c>
      <c r="K190" s="64">
        <f>I190*J190</f>
        <v/>
      </c>
      <c r="L190" s="13" t="n"/>
      <c r="M190" s="16" t="n"/>
    </row>
    <row r="191" customFormat="1" s="11">
      <c r="A191" s="32" t="n">
        <v>45604</v>
      </c>
      <c r="B191" s="61" t="n">
        <v>21</v>
      </c>
      <c r="C191" s="16" t="inlineStr">
        <is>
          <t>2662餐边柜门板</t>
        </is>
      </c>
      <c r="F191" s="31" t="inlineStr">
        <is>
          <t>PU净味哑光浅黄色漆</t>
        </is>
      </c>
      <c r="G191" s="16" t="n">
        <v>3</v>
      </c>
      <c r="H191" s="16" t="n">
        <v>26</v>
      </c>
      <c r="I191" s="16">
        <f>G191*H191</f>
        <v/>
      </c>
      <c r="J191" s="64" t="n">
        <v>18</v>
      </c>
      <c r="K191" s="64">
        <f>I191*J191</f>
        <v/>
      </c>
      <c r="L191" s="13" t="n"/>
      <c r="M191" s="16" t="n"/>
    </row>
    <row r="192" customFormat="1" s="11">
      <c r="A192" s="32" t="n">
        <v>45604</v>
      </c>
      <c r="B192" s="61" t="n">
        <v>21</v>
      </c>
      <c r="C192" s="16" t="inlineStr">
        <is>
          <t>7225-70F</t>
        </is>
      </c>
      <c r="F192" s="31" t="inlineStr">
        <is>
          <t>PU净味三分光清面漆</t>
        </is>
      </c>
      <c r="G192" s="16" t="n">
        <v>1</v>
      </c>
      <c r="H192" s="16" t="n">
        <v>20</v>
      </c>
      <c r="I192" s="16">
        <f>G192*H192</f>
        <v/>
      </c>
      <c r="J192" s="64" t="n">
        <v>18</v>
      </c>
      <c r="K192" s="64">
        <f>I192*J192</f>
        <v/>
      </c>
      <c r="L192" s="13" t="n"/>
      <c r="M192" s="16" t="n"/>
    </row>
    <row r="193" customFormat="1" s="11">
      <c r="A193" s="32" t="n">
        <v>45604</v>
      </c>
      <c r="B193" s="61" t="n">
        <v>21</v>
      </c>
      <c r="C193" s="16" t="inlineStr">
        <is>
          <t>HL-001</t>
        </is>
      </c>
      <c r="F193" s="31" t="inlineStr">
        <is>
          <t>PU净味哑光白面漆</t>
        </is>
      </c>
      <c r="G193" s="16" t="n">
        <v>1</v>
      </c>
      <c r="H193" s="16" t="n">
        <v>25</v>
      </c>
      <c r="I193" s="16">
        <f>G193*H193</f>
        <v/>
      </c>
      <c r="J193" s="64" t="n">
        <v>18</v>
      </c>
      <c r="K193" s="64">
        <f>I193*J193</f>
        <v/>
      </c>
      <c r="L193" s="13" t="n"/>
      <c r="M193" s="16" t="n"/>
    </row>
    <row r="194" customFormat="1" s="11">
      <c r="A194" s="32" t="n">
        <v>45604</v>
      </c>
      <c r="B194" s="61" t="n">
        <v>21</v>
      </c>
      <c r="C194" s="16" t="inlineStr">
        <is>
          <t>535F</t>
        </is>
      </c>
      <c r="F194" s="31" t="inlineStr">
        <is>
          <t>PU净味哑光固化剂</t>
        </is>
      </c>
      <c r="G194" s="16" t="n">
        <v>7</v>
      </c>
      <c r="H194" s="16" t="n">
        <v>10</v>
      </c>
      <c r="I194" s="16">
        <f>G194*H194</f>
        <v/>
      </c>
      <c r="J194" s="64" t="n">
        <v>18</v>
      </c>
      <c r="K194" s="64">
        <f>I194*J194</f>
        <v/>
      </c>
      <c r="L194" s="13" t="n"/>
      <c r="M194" s="16">
        <f>SUM(K190:K194)</f>
        <v/>
      </c>
    </row>
    <row r="195">
      <c r="A195" s="22" t="n">
        <v>45609</v>
      </c>
      <c r="B195" s="59" t="n">
        <v>36</v>
      </c>
      <c r="C195" s="24" t="inlineStr">
        <is>
          <t>7225-70F</t>
        </is>
      </c>
      <c r="F195" s="25" t="inlineStr">
        <is>
          <t>PU净味三分光清面漆</t>
        </is>
      </c>
      <c r="G195" s="24" t="n">
        <v>1</v>
      </c>
      <c r="H195" s="24" t="n">
        <v>20</v>
      </c>
      <c r="I195" s="24">
        <f>G195*H195</f>
        <v/>
      </c>
      <c r="J195" s="63" t="n">
        <v>18</v>
      </c>
      <c r="K195" s="63">
        <f>I195*J195</f>
        <v/>
      </c>
      <c r="M195" s="24" t="n"/>
    </row>
    <row r="196" customFormat="1" s="12">
      <c r="A196" s="22" t="n">
        <v>45609</v>
      </c>
      <c r="B196" s="59" t="n">
        <v>36</v>
      </c>
      <c r="C196" s="24" t="inlineStr">
        <is>
          <t>733#</t>
        </is>
      </c>
      <c r="F196" s="25" t="inlineStr">
        <is>
          <t>PU净味哑光香槟色漆</t>
        </is>
      </c>
      <c r="G196" s="24" t="n">
        <v>1</v>
      </c>
      <c r="H196" s="24" t="n">
        <v>6</v>
      </c>
      <c r="I196" s="24">
        <f>G196*H196</f>
        <v/>
      </c>
      <c r="J196" s="63" t="n">
        <v>18</v>
      </c>
      <c r="K196" s="24">
        <f>I196*J196</f>
        <v/>
      </c>
      <c r="M196" s="24" t="n"/>
    </row>
    <row r="197" customFormat="1" s="12">
      <c r="A197" s="22" t="n">
        <v>45609</v>
      </c>
      <c r="B197" s="59" t="n">
        <v>36</v>
      </c>
      <c r="C197" s="24" t="n">
        <v>709</v>
      </c>
      <c r="F197" s="25" t="inlineStr">
        <is>
          <t>PU净味哑光灰蓝色漆</t>
        </is>
      </c>
      <c r="G197" s="24" t="n">
        <v>2</v>
      </c>
      <c r="H197" s="24" t="n">
        <v>25</v>
      </c>
      <c r="I197" s="24">
        <f>G197*H197</f>
        <v/>
      </c>
      <c r="J197" s="63" t="n">
        <v>18</v>
      </c>
      <c r="K197" s="24">
        <f>I197*J197</f>
        <v/>
      </c>
      <c r="M197" s="24" t="n"/>
    </row>
    <row r="198">
      <c r="A198" s="22" t="n">
        <v>45609</v>
      </c>
      <c r="B198" s="59" t="n">
        <v>36</v>
      </c>
      <c r="C198" s="24" t="inlineStr">
        <is>
          <t>535F</t>
        </is>
      </c>
      <c r="F198" s="25" t="inlineStr">
        <is>
          <t>PU净味哑光固化剂</t>
        </is>
      </c>
      <c r="G198" s="24" t="n">
        <v>3</v>
      </c>
      <c r="H198" s="24" t="n">
        <v>10</v>
      </c>
      <c r="I198" s="24">
        <f>G198*H198</f>
        <v/>
      </c>
      <c r="J198" s="63" t="n">
        <v>18</v>
      </c>
      <c r="K198" s="63">
        <f>I198*J198</f>
        <v/>
      </c>
      <c r="M198" s="24">
        <f>SUM(K195:K198)</f>
        <v/>
      </c>
    </row>
    <row r="199" customFormat="1" s="11">
      <c r="A199" s="32" t="n">
        <v>45611</v>
      </c>
      <c r="B199" s="61" t="n">
        <v>38</v>
      </c>
      <c r="C199" s="16" t="n">
        <v>9803</v>
      </c>
      <c r="F199" s="31" t="inlineStr">
        <is>
          <t>PE白底漆</t>
        </is>
      </c>
      <c r="G199" s="16" t="n">
        <v>10</v>
      </c>
      <c r="H199" s="16" t="n">
        <v>28</v>
      </c>
      <c r="I199" s="16">
        <f>G199*H199</f>
        <v/>
      </c>
      <c r="J199" s="64" t="n">
        <v>9</v>
      </c>
      <c r="K199" s="64">
        <f>I199*J199</f>
        <v/>
      </c>
      <c r="L199" s="31" t="n">
        <v>9804</v>
      </c>
      <c r="M199" s="16" t="n"/>
    </row>
    <row r="200" customFormat="1" s="11">
      <c r="A200" s="32" t="n">
        <v>45611</v>
      </c>
      <c r="B200" s="61" t="n">
        <v>38</v>
      </c>
      <c r="C200" s="16" t="inlineStr">
        <is>
          <t>HL-001</t>
        </is>
      </c>
      <c r="F200" s="31" t="inlineStr">
        <is>
          <t>PU净味哑光白面漆</t>
        </is>
      </c>
      <c r="G200" s="16" t="n">
        <v>1</v>
      </c>
      <c r="H200" s="16" t="n">
        <v>25</v>
      </c>
      <c r="I200" s="16">
        <f>G200*H200</f>
        <v/>
      </c>
      <c r="J200" s="64" t="n">
        <v>18</v>
      </c>
      <c r="K200" s="64">
        <f>I200*J200</f>
        <v/>
      </c>
      <c r="L200" s="13" t="n"/>
      <c r="M200" s="16" t="n"/>
    </row>
    <row r="201" customFormat="1" s="12">
      <c r="A201" s="22" t="n">
        <v>45614</v>
      </c>
      <c r="B201" s="59" t="n">
        <v>49</v>
      </c>
      <c r="C201" s="24" t="inlineStr">
        <is>
          <t>539*</t>
        </is>
      </c>
      <c r="F201" s="25" t="inlineStr">
        <is>
          <t>PU哑光粉红色漆</t>
        </is>
      </c>
      <c r="G201" s="24" t="n">
        <v>1</v>
      </c>
      <c r="H201" s="24" t="n">
        <v>1</v>
      </c>
      <c r="I201" s="24">
        <f>G201*H201</f>
        <v/>
      </c>
      <c r="J201" s="63" t="n"/>
      <c r="K201" s="24" t="n"/>
      <c r="L201" s="12" t="n"/>
      <c r="M201" s="24" t="n"/>
    </row>
    <row r="202" customFormat="1" s="12">
      <c r="A202" s="22" t="n">
        <v>45614</v>
      </c>
      <c r="B202" s="59" t="n">
        <v>49</v>
      </c>
      <c r="C202" s="24" t="inlineStr">
        <is>
          <t>36系列</t>
        </is>
      </c>
      <c r="F202" s="25" t="inlineStr">
        <is>
          <t>PU哑光浅黄色漆</t>
        </is>
      </c>
      <c r="G202" s="24" t="n">
        <v>1</v>
      </c>
      <c r="H202" s="24" t="n">
        <v>7</v>
      </c>
      <c r="I202" s="24">
        <f>G202*H202</f>
        <v/>
      </c>
      <c r="J202" s="63" t="n">
        <v>18</v>
      </c>
      <c r="K202" s="24">
        <f>I202*J202</f>
        <v/>
      </c>
      <c r="M202" s="24" t="n"/>
    </row>
    <row r="203" customFormat="1" s="11">
      <c r="A203" s="22" t="n">
        <v>45614</v>
      </c>
      <c r="B203" s="59" t="n">
        <v>49</v>
      </c>
      <c r="C203" s="16" t="inlineStr">
        <is>
          <t>900F-1</t>
        </is>
      </c>
      <c r="F203" s="31" t="inlineStr">
        <is>
          <t>PU净味面漆稀释剂</t>
        </is>
      </c>
      <c r="G203" s="16" t="n">
        <v>1</v>
      </c>
      <c r="H203" s="16" t="n">
        <v>18</v>
      </c>
      <c r="I203" s="16">
        <f>G203*H203</f>
        <v/>
      </c>
      <c r="J203" s="64" t="n">
        <v>10.5</v>
      </c>
      <c r="K203" s="64">
        <f>I203*J203</f>
        <v/>
      </c>
      <c r="L203" s="13" t="n"/>
      <c r="M203" s="16">
        <f>SUM(K201:K203)</f>
        <v/>
      </c>
    </row>
    <row r="204">
      <c r="A204" s="22" t="n">
        <v>45617</v>
      </c>
      <c r="B204" s="59" t="n">
        <v>63</v>
      </c>
      <c r="C204" s="24" t="n">
        <v>9803</v>
      </c>
      <c r="F204" s="25" t="inlineStr">
        <is>
          <t>PE白底漆</t>
        </is>
      </c>
      <c r="G204" s="24" t="n">
        <v>10</v>
      </c>
      <c r="H204" s="24" t="n">
        <v>28</v>
      </c>
      <c r="I204" s="24">
        <f>G204*H204</f>
        <v/>
      </c>
      <c r="J204" s="63" t="n">
        <v>9</v>
      </c>
      <c r="K204" s="63">
        <f>I204*J204</f>
        <v/>
      </c>
      <c r="L204" s="25" t="n">
        <v>9804</v>
      </c>
      <c r="M204" s="24" t="n"/>
    </row>
    <row r="205" customFormat="1" s="10">
      <c r="A205" s="37" t="n">
        <v>45621</v>
      </c>
      <c r="B205" s="65" t="n">
        <v>74</v>
      </c>
      <c r="C205" s="28" t="inlineStr">
        <is>
          <t>900F-1</t>
        </is>
      </c>
      <c r="F205" s="29" t="inlineStr">
        <is>
          <t>PU净味面漆稀释剂</t>
        </is>
      </c>
      <c r="G205" s="28" t="n">
        <v>1</v>
      </c>
      <c r="H205" s="28" t="n">
        <v>180</v>
      </c>
      <c r="I205" s="28">
        <f>G205*H205</f>
        <v/>
      </c>
      <c r="J205" s="66" t="n">
        <v>10.5</v>
      </c>
      <c r="K205" s="66">
        <f>I205*J205</f>
        <v/>
      </c>
      <c r="L205" s="15" t="n"/>
      <c r="M205" s="28">
        <f>K205</f>
        <v/>
      </c>
    </row>
    <row r="206" customFormat="1" s="13">
      <c r="A206" s="32" t="n">
        <v>45621</v>
      </c>
      <c r="B206" s="61" t="n">
        <v>77</v>
      </c>
      <c r="C206" s="16" t="inlineStr">
        <is>
          <t>HL-9827AA</t>
        </is>
      </c>
      <c r="F206" s="13" t="inlineStr">
        <is>
          <t>PE清底漆</t>
        </is>
      </c>
      <c r="G206" s="16" t="n">
        <v>4</v>
      </c>
      <c r="H206" s="16" t="n">
        <v>25</v>
      </c>
      <c r="I206" s="16">
        <f>G206*H206</f>
        <v/>
      </c>
      <c r="J206" s="64" t="n">
        <v>14</v>
      </c>
      <c r="K206" s="64">
        <f>I206*J206</f>
        <v/>
      </c>
      <c r="M206" s="16" t="n"/>
    </row>
    <row r="207" customFormat="1" s="11">
      <c r="A207" s="32" t="n">
        <v>45621</v>
      </c>
      <c r="B207" s="61" t="n">
        <v>77</v>
      </c>
      <c r="C207" s="16" t="inlineStr">
        <is>
          <t>2662餐边柜门板</t>
        </is>
      </c>
      <c r="F207" s="31" t="inlineStr">
        <is>
          <t>PU净味哑光浅黄色漆</t>
        </is>
      </c>
      <c r="G207" s="16" t="n">
        <v>2</v>
      </c>
      <c r="H207" s="16" t="n">
        <v>25</v>
      </c>
      <c r="I207" s="16">
        <f>G207*H207</f>
        <v/>
      </c>
      <c r="J207" s="64" t="n">
        <v>18</v>
      </c>
      <c r="K207" s="64">
        <f>I207*J207</f>
        <v/>
      </c>
      <c r="L207" s="13" t="n"/>
      <c r="M207" s="16" t="n"/>
    </row>
    <row r="208" customFormat="1" s="11">
      <c r="A208" s="32" t="n">
        <v>45621</v>
      </c>
      <c r="B208" s="61" t="n">
        <v>77</v>
      </c>
      <c r="C208" s="16" t="inlineStr">
        <is>
          <t>2662餐边柜门板</t>
        </is>
      </c>
      <c r="F208" s="31" t="inlineStr">
        <is>
          <t>PU净味哑光浅黄色漆</t>
        </is>
      </c>
      <c r="G208" s="16" t="n">
        <v>1</v>
      </c>
      <c r="H208" s="16" t="n">
        <v>26</v>
      </c>
      <c r="I208" s="16">
        <f>G208*H208</f>
        <v/>
      </c>
      <c r="J208" s="64" t="n">
        <v>18</v>
      </c>
      <c r="K208" s="64">
        <f>I208*J208</f>
        <v/>
      </c>
      <c r="L208" s="13" t="n"/>
      <c r="M208" s="16" t="n"/>
    </row>
    <row r="209" customFormat="1" s="11">
      <c r="A209" s="32" t="n">
        <v>45621</v>
      </c>
      <c r="B209" s="61" t="n">
        <v>77</v>
      </c>
      <c r="C209" s="16" t="inlineStr">
        <is>
          <t>535F</t>
        </is>
      </c>
      <c r="F209" s="31" t="inlineStr">
        <is>
          <t>PU净味哑光固化剂</t>
        </is>
      </c>
      <c r="G209" s="16" t="n">
        <v>3</v>
      </c>
      <c r="H209" s="16" t="n">
        <v>10</v>
      </c>
      <c r="I209" s="16">
        <f>G209*H209</f>
        <v/>
      </c>
      <c r="J209" s="64" t="n">
        <v>18</v>
      </c>
      <c r="K209" s="64">
        <f>I209*J209</f>
        <v/>
      </c>
      <c r="L209" s="13" t="n"/>
      <c r="M209" s="16" t="n"/>
    </row>
    <row r="210" customFormat="1" s="13">
      <c r="A210" s="32" t="n">
        <v>45621</v>
      </c>
      <c r="B210" s="61" t="n">
        <v>77</v>
      </c>
      <c r="C210" s="16" t="inlineStr">
        <is>
          <t>HL-9824A</t>
        </is>
      </c>
      <c r="F210" s="13" t="inlineStr">
        <is>
          <t>PE封固底漆</t>
        </is>
      </c>
      <c r="G210" s="16" t="n">
        <v>1</v>
      </c>
      <c r="H210" s="16" t="n">
        <v>22</v>
      </c>
      <c r="I210" s="16">
        <f>G210*H210</f>
        <v/>
      </c>
      <c r="J210" s="64" t="n"/>
      <c r="K210" s="64" t="n"/>
      <c r="L210" s="13" t="inlineStr">
        <is>
          <t>换货</t>
        </is>
      </c>
      <c r="M210" s="16" t="n"/>
    </row>
    <row r="211" customFormat="1" s="13">
      <c r="A211" s="32" t="n">
        <v>45621</v>
      </c>
      <c r="B211" s="61" t="n">
        <v>77</v>
      </c>
      <c r="C211" s="16" t="n">
        <v>1126</v>
      </c>
      <c r="F211" s="13" t="inlineStr">
        <is>
          <t>PU净味哑光象牙白色漆</t>
        </is>
      </c>
      <c r="G211" s="16" t="n">
        <v>1</v>
      </c>
      <c r="H211" s="16" t="n">
        <v>1</v>
      </c>
      <c r="I211" s="16" t="n"/>
      <c r="J211" s="64" t="n"/>
      <c r="K211" s="64" t="n"/>
      <c r="L211" s="36" t="inlineStr">
        <is>
          <t>干板样：未留样</t>
        </is>
      </c>
      <c r="M211" s="16">
        <f>SUM(K206:K211)</f>
        <v/>
      </c>
    </row>
    <row r="212" customFormat="1" s="10">
      <c r="A212" s="37" t="n">
        <v>45628</v>
      </c>
      <c r="B212" s="65" t="n">
        <v>2</v>
      </c>
      <c r="C212" s="28" t="inlineStr">
        <is>
          <t>1126B（2602）</t>
        </is>
      </c>
      <c r="F212" s="29" t="inlineStr">
        <is>
          <t>PU哑光琥珀黄修色漆</t>
        </is>
      </c>
      <c r="G212" s="28" t="n">
        <v>1</v>
      </c>
      <c r="H212" s="28" t="n">
        <v>5</v>
      </c>
      <c r="I212" s="28">
        <f>G212*H212</f>
        <v/>
      </c>
      <c r="J212" s="28" t="n">
        <v>18</v>
      </c>
      <c r="K212" s="28">
        <f>I212*J212</f>
        <v/>
      </c>
      <c r="L212" s="15" t="inlineStr">
        <is>
          <t>哑光</t>
        </is>
      </c>
      <c r="M212" s="28" t="n"/>
    </row>
    <row r="213" customFormat="1" s="11">
      <c r="A213" s="32" t="n">
        <v>45632</v>
      </c>
      <c r="B213" s="61" t="n">
        <v>17</v>
      </c>
      <c r="C213" s="16" t="inlineStr">
        <is>
          <t>7225-70F</t>
        </is>
      </c>
      <c r="F213" s="31" t="inlineStr">
        <is>
          <t>PU净味三分光清面漆</t>
        </is>
      </c>
      <c r="G213" s="16" t="n">
        <v>1</v>
      </c>
      <c r="H213" s="16" t="n">
        <v>20</v>
      </c>
      <c r="I213" s="16">
        <f>G213*H213</f>
        <v/>
      </c>
      <c r="J213" s="64" t="n">
        <v>18</v>
      </c>
      <c r="K213" s="64">
        <f>I213*J213</f>
        <v/>
      </c>
      <c r="L213" s="13" t="n"/>
      <c r="M213" s="16" t="n"/>
    </row>
    <row r="214" customFormat="1" s="11">
      <c r="A214" s="32" t="n">
        <v>45632</v>
      </c>
      <c r="B214" s="61" t="n">
        <v>17</v>
      </c>
      <c r="C214" s="16" t="inlineStr">
        <is>
          <t>HL-001</t>
        </is>
      </c>
      <c r="F214" s="31" t="inlineStr">
        <is>
          <t>PU净味哑光白面漆</t>
        </is>
      </c>
      <c r="G214" s="16" t="n">
        <v>2</v>
      </c>
      <c r="H214" s="16" t="n">
        <v>25</v>
      </c>
      <c r="I214" s="16">
        <f>G214*H214</f>
        <v/>
      </c>
      <c r="J214" s="64" t="n">
        <v>18</v>
      </c>
      <c r="K214" s="64">
        <f>I214*J214</f>
        <v/>
      </c>
      <c r="L214" s="13" t="n"/>
      <c r="M214" s="16" t="n"/>
    </row>
    <row r="215" customFormat="1" s="11">
      <c r="A215" s="32" t="n">
        <v>45632</v>
      </c>
      <c r="B215" s="61" t="n">
        <v>17</v>
      </c>
      <c r="C215" s="16" t="inlineStr">
        <is>
          <t>535F</t>
        </is>
      </c>
      <c r="F215" s="31" t="inlineStr">
        <is>
          <t>PU净味哑光固化剂</t>
        </is>
      </c>
      <c r="G215" s="16" t="n">
        <v>5</v>
      </c>
      <c r="H215" s="16" t="n">
        <v>10</v>
      </c>
      <c r="I215" s="16">
        <f>G215*H215</f>
        <v/>
      </c>
      <c r="J215" s="64" t="n">
        <v>18</v>
      </c>
      <c r="K215" s="64">
        <f>I215*J215</f>
        <v/>
      </c>
      <c r="L215" s="13" t="n"/>
      <c r="M215" s="16">
        <f>SUM(K211:K215)</f>
        <v/>
      </c>
    </row>
    <row r="216">
      <c r="A216" s="22" t="n">
        <v>45633</v>
      </c>
      <c r="B216" s="59" t="n">
        <v>22</v>
      </c>
      <c r="C216" s="24" t="inlineStr">
        <is>
          <t>557A(556-558)</t>
        </is>
      </c>
      <c r="F216" s="25" t="inlineStr">
        <is>
          <t>PU净味哑光浅淡黄色漆</t>
        </is>
      </c>
      <c r="G216" s="24" t="n">
        <v>1</v>
      </c>
      <c r="H216" s="24" t="n">
        <v>17</v>
      </c>
      <c r="I216" s="24">
        <f>G216*H216</f>
        <v/>
      </c>
      <c r="J216" s="63" t="n">
        <v>18</v>
      </c>
      <c r="K216" s="63">
        <f>I216*J216</f>
        <v/>
      </c>
      <c r="L216" s="47" t="inlineStr">
        <is>
          <t>556-558于6/12改为557A</t>
        </is>
      </c>
    </row>
    <row r="217">
      <c r="A217" s="22" t="n">
        <v>45633</v>
      </c>
      <c r="B217" s="59" t="n">
        <v>22</v>
      </c>
      <c r="C217" s="24" t="inlineStr">
        <is>
          <t>557B(556-557)</t>
        </is>
      </c>
      <c r="F217" s="25" t="inlineStr">
        <is>
          <t>PU净味七分光香槟银珠漆</t>
        </is>
      </c>
      <c r="G217" s="24" t="n">
        <v>1</v>
      </c>
      <c r="H217" s="24" t="n">
        <v>10</v>
      </c>
      <c r="I217" s="24">
        <f>G217*H217</f>
        <v/>
      </c>
      <c r="J217" s="63" t="n">
        <v>22</v>
      </c>
      <c r="K217" s="63">
        <f>I217*J217</f>
        <v/>
      </c>
      <c r="L217" s="47" t="inlineStr">
        <is>
          <t>556（557）于6/12改为557B</t>
        </is>
      </c>
    </row>
    <row r="218">
      <c r="A218" s="22" t="n">
        <v>45633</v>
      </c>
      <c r="B218" s="59" t="n">
        <v>22</v>
      </c>
      <c r="C218" s="24" t="inlineStr">
        <is>
          <t>557C</t>
        </is>
      </c>
      <c r="F218" s="29" t="inlineStr">
        <is>
          <t>PU净味哑光灰蓝色漆</t>
        </is>
      </c>
      <c r="G218" s="24" t="n">
        <v>1</v>
      </c>
      <c r="H218" s="24" t="n">
        <v>5</v>
      </c>
      <c r="I218" s="24">
        <f>G218*H218</f>
        <v/>
      </c>
      <c r="J218" s="63" t="n">
        <v>18</v>
      </c>
      <c r="K218" s="63">
        <f>I218*J218</f>
        <v/>
      </c>
      <c r="L218" s="47" t="n"/>
    </row>
    <row r="219">
      <c r="A219" s="22" t="n">
        <v>45633</v>
      </c>
      <c r="B219" s="59" t="n">
        <v>22</v>
      </c>
      <c r="C219" s="24" t="inlineStr">
        <is>
          <t>535F</t>
        </is>
      </c>
      <c r="F219" s="25" t="inlineStr">
        <is>
          <t>PU净味哑光固化剂</t>
        </is>
      </c>
      <c r="G219" s="24" t="n">
        <v>2</v>
      </c>
      <c r="H219" s="24" t="n">
        <v>10</v>
      </c>
      <c r="I219" s="24">
        <f>G219*H219</f>
        <v/>
      </c>
      <c r="J219" s="63" t="n">
        <v>18</v>
      </c>
      <c r="K219" s="63">
        <f>I219*J219</f>
        <v/>
      </c>
      <c r="M219" s="24" t="n"/>
    </row>
    <row r="220">
      <c r="A220" s="22" t="n">
        <v>45633</v>
      </c>
      <c r="B220" s="59" t="n">
        <v>22</v>
      </c>
      <c r="C220" s="24" t="n">
        <v>9803</v>
      </c>
      <c r="F220" s="25" t="inlineStr">
        <is>
          <t>PE白底漆</t>
        </is>
      </c>
      <c r="G220" s="24" t="n">
        <v>10</v>
      </c>
      <c r="H220" s="24" t="n">
        <v>28</v>
      </c>
      <c r="I220" s="24">
        <f>G220*H220</f>
        <v/>
      </c>
      <c r="J220" s="63" t="n">
        <v>9</v>
      </c>
      <c r="K220" s="63">
        <f>I220*J220</f>
        <v/>
      </c>
      <c r="L220" s="25" t="n">
        <v>9804</v>
      </c>
      <c r="M220" s="24" t="n"/>
    </row>
    <row r="221" customFormat="1" s="12">
      <c r="A221" s="22" t="n">
        <v>45633</v>
      </c>
      <c r="B221" s="59" t="n">
        <v>22</v>
      </c>
      <c r="C221" s="24" t="inlineStr">
        <is>
          <t>HL-9827AA</t>
        </is>
      </c>
      <c r="F221" s="12" t="inlineStr">
        <is>
          <t>PE清底漆</t>
        </is>
      </c>
      <c r="G221" s="24" t="n">
        <v>2</v>
      </c>
      <c r="H221" s="24" t="n">
        <v>25</v>
      </c>
      <c r="I221" s="24">
        <f>G221*H221</f>
        <v/>
      </c>
      <c r="J221" s="63" t="n">
        <v>14</v>
      </c>
      <c r="K221" s="63">
        <f>I221*J221</f>
        <v/>
      </c>
      <c r="M221" s="24">
        <f>SUM(K216:K221)</f>
        <v/>
      </c>
    </row>
    <row r="222" customFormat="1" s="10">
      <c r="A222" s="37" t="n">
        <v>45636</v>
      </c>
      <c r="B222" s="65" t="n"/>
      <c r="C222" s="28" t="inlineStr">
        <is>
          <t>干板样</t>
        </is>
      </c>
      <c r="F222" s="29" t="inlineStr">
        <is>
          <t>PU哑光枣红色漆</t>
        </is>
      </c>
      <c r="G222" s="28" t="n">
        <v>1</v>
      </c>
      <c r="H222" s="28" t="n">
        <v>1</v>
      </c>
      <c r="I222" s="28">
        <f>G222*H222</f>
        <v/>
      </c>
      <c r="J222" s="66" t="n"/>
      <c r="K222" s="66" t="n"/>
      <c r="L222" s="39" t="n"/>
    </row>
    <row r="223" customFormat="1" s="11">
      <c r="A223" s="32" t="n">
        <v>45640</v>
      </c>
      <c r="B223" s="61" t="n">
        <v>47</v>
      </c>
      <c r="C223" s="16" t="inlineStr">
        <is>
          <t>HL-001</t>
        </is>
      </c>
      <c r="F223" s="31" t="inlineStr">
        <is>
          <t>PU净味哑光白面漆</t>
        </is>
      </c>
      <c r="G223" s="16" t="n">
        <v>2</v>
      </c>
      <c r="H223" s="16" t="n">
        <v>25</v>
      </c>
      <c r="I223" s="16">
        <f>G223*H223</f>
        <v/>
      </c>
      <c r="J223" s="64" t="n">
        <v>18</v>
      </c>
      <c r="K223" s="64">
        <f>I223*J223</f>
        <v/>
      </c>
      <c r="L223" s="13" t="n"/>
      <c r="M223" s="16" t="n"/>
    </row>
    <row r="224" customFormat="1" s="11">
      <c r="A224" s="32" t="n">
        <v>45640</v>
      </c>
      <c r="B224" s="61" t="n">
        <v>47</v>
      </c>
      <c r="C224" s="16" t="inlineStr">
        <is>
          <t>535F</t>
        </is>
      </c>
      <c r="F224" s="31" t="inlineStr">
        <is>
          <t>PU净味哑光固化剂</t>
        </is>
      </c>
      <c r="G224" s="16" t="n">
        <v>2</v>
      </c>
      <c r="H224" s="16" t="n">
        <v>10</v>
      </c>
      <c r="I224" s="16">
        <f>G224*H224</f>
        <v/>
      </c>
      <c r="J224" s="64" t="n">
        <v>18</v>
      </c>
      <c r="K224" s="64">
        <f>I224*J224</f>
        <v/>
      </c>
      <c r="L224" s="13" t="n"/>
      <c r="M224" s="16">
        <f>SUM(K220:K224)</f>
        <v/>
      </c>
    </row>
    <row r="225" customFormat="1" s="12">
      <c r="A225" s="22" t="n">
        <v>45581</v>
      </c>
      <c r="B225" s="59" t="n">
        <v>44</v>
      </c>
      <c r="C225" s="24" t="inlineStr">
        <is>
          <t>HL-9824A</t>
        </is>
      </c>
      <c r="F225" s="12" t="inlineStr">
        <is>
          <t>PE专用封固底漆</t>
        </is>
      </c>
      <c r="G225" s="24" t="n">
        <v>2</v>
      </c>
      <c r="H225" s="24" t="n">
        <v>20</v>
      </c>
      <c r="I225" s="24">
        <f>G225*H225</f>
        <v/>
      </c>
      <c r="J225" s="63" t="n">
        <v>12</v>
      </c>
      <c r="K225" s="63">
        <f>I225*J225</f>
        <v/>
      </c>
      <c r="M225" s="24" t="n"/>
    </row>
    <row r="226" customFormat="1" s="11">
      <c r="A226" s="32" t="n">
        <v>45654</v>
      </c>
      <c r="B226" s="61" t="n">
        <v>93</v>
      </c>
      <c r="C226" s="16" t="inlineStr">
        <is>
          <t>2662餐边柜门板</t>
        </is>
      </c>
      <c r="F226" s="31" t="inlineStr">
        <is>
          <t>PU净味哑光浅黄色漆</t>
        </is>
      </c>
      <c r="G226" s="16" t="n">
        <v>2</v>
      </c>
      <c r="H226" s="16" t="n">
        <v>26</v>
      </c>
      <c r="I226" s="16">
        <f>G226*H226</f>
        <v/>
      </c>
      <c r="J226" s="64" t="n">
        <v>18</v>
      </c>
      <c r="K226" s="64">
        <f>I226*J226</f>
        <v/>
      </c>
      <c r="L226" s="13" t="n"/>
      <c r="M226" s="16" t="n"/>
    </row>
    <row r="227" customFormat="1" s="11">
      <c r="A227" s="32" t="n">
        <v>45654</v>
      </c>
      <c r="B227" s="61" t="n">
        <v>93</v>
      </c>
      <c r="C227" s="16" t="inlineStr">
        <is>
          <t>508-4</t>
        </is>
      </c>
      <c r="F227" s="31" t="inlineStr">
        <is>
          <t>PU净味哑光粉色漆</t>
        </is>
      </c>
      <c r="G227" s="16" t="n">
        <v>1</v>
      </c>
      <c r="H227" s="16" t="n">
        <v>13</v>
      </c>
      <c r="I227" s="16">
        <f>G227*H227</f>
        <v/>
      </c>
      <c r="J227" s="64" t="n">
        <v>18</v>
      </c>
      <c r="K227" s="64">
        <f>I227*J227</f>
        <v/>
      </c>
      <c r="L227" s="31" t="inlineStr">
        <is>
          <t>508-4(553改）</t>
        </is>
      </c>
    </row>
    <row r="228" customFormat="1" s="11">
      <c r="A228" s="32" t="n">
        <v>45654</v>
      </c>
      <c r="B228" s="61" t="n">
        <v>93</v>
      </c>
      <c r="C228" s="16" t="inlineStr">
        <is>
          <t>508-4</t>
        </is>
      </c>
      <c r="F228" s="31" t="inlineStr">
        <is>
          <t>PU净味哑光粉色漆</t>
        </is>
      </c>
      <c r="G228" s="16" t="n">
        <v>1</v>
      </c>
      <c r="H228" s="16" t="n">
        <v>14</v>
      </c>
      <c r="I228" s="16">
        <f>G228*H228</f>
        <v/>
      </c>
      <c r="J228" s="64" t="n"/>
      <c r="K228" s="64" t="n"/>
      <c r="L228" s="31" t="inlineStr">
        <is>
          <t>原油508-4(553改）</t>
        </is>
      </c>
    </row>
    <row r="229" customFormat="1" s="11">
      <c r="A229" s="32" t="n">
        <v>45654</v>
      </c>
      <c r="B229" s="61" t="n">
        <v>93</v>
      </c>
      <c r="C229" s="16" t="inlineStr">
        <is>
          <t>222（730）</t>
        </is>
      </c>
      <c r="F229" s="31" t="inlineStr">
        <is>
          <t>PU净味哑光粉绿色漆</t>
        </is>
      </c>
      <c r="G229" s="16" t="n">
        <v>1</v>
      </c>
      <c r="H229" s="16" t="n">
        <v>21</v>
      </c>
      <c r="I229" s="16">
        <f>G229*H229</f>
        <v/>
      </c>
      <c r="J229" s="64" t="n">
        <v>18</v>
      </c>
      <c r="K229" s="64">
        <f>I229*J229</f>
        <v/>
      </c>
      <c r="L229" s="13" t="n"/>
      <c r="M229" s="16">
        <f>SUM(K226:K230)</f>
        <v/>
      </c>
    </row>
    <row r="230" customFormat="1" s="11">
      <c r="A230" s="32" t="n">
        <v>45654</v>
      </c>
      <c r="B230" s="61" t="n">
        <v>93</v>
      </c>
      <c r="C230" s="16" t="inlineStr">
        <is>
          <t>535F</t>
        </is>
      </c>
      <c r="F230" s="31" t="inlineStr">
        <is>
          <t>PU净味哑光固化剂</t>
        </is>
      </c>
      <c r="G230" s="16" t="n">
        <v>5</v>
      </c>
      <c r="H230" s="16" t="n">
        <v>10</v>
      </c>
      <c r="I230" s="16">
        <f>G230*H230</f>
        <v/>
      </c>
      <c r="J230" s="64" t="n">
        <v>18</v>
      </c>
      <c r="K230" s="64">
        <f>I230*J230</f>
        <v/>
      </c>
      <c r="L230" s="13" t="n"/>
      <c r="M230" s="16" t="n"/>
    </row>
    <row r="231">
      <c r="A231" s="22" t="n">
        <v>45656</v>
      </c>
      <c r="B231" s="59" t="n">
        <v>98</v>
      </c>
      <c r="C231" s="24" t="n">
        <v>9803</v>
      </c>
      <c r="F231" s="25" t="inlineStr">
        <is>
          <t>PE白底漆</t>
        </is>
      </c>
      <c r="G231" s="24" t="n">
        <v>10</v>
      </c>
      <c r="H231" s="24" t="n">
        <v>28</v>
      </c>
      <c r="I231" s="24">
        <f>G231*H231</f>
        <v/>
      </c>
      <c r="J231" s="63" t="n">
        <v>9</v>
      </c>
      <c r="K231" s="63">
        <f>I231*J231</f>
        <v/>
      </c>
      <c r="L231" s="25" t="n">
        <v>9804</v>
      </c>
      <c r="M231" s="24" t="n"/>
    </row>
    <row r="232">
      <c r="A232" s="22" t="n">
        <v>45656</v>
      </c>
      <c r="B232" s="59" t="n">
        <v>98</v>
      </c>
      <c r="C232" s="24" t="inlineStr">
        <is>
          <t>508A（主）</t>
        </is>
      </c>
      <c r="F232" s="25" t="inlineStr">
        <is>
          <t>PU净味哑光暖色调面漆</t>
        </is>
      </c>
      <c r="G232" s="24" t="n">
        <v>1</v>
      </c>
      <c r="H232" s="24" t="n">
        <v>25</v>
      </c>
      <c r="I232" s="24">
        <f>G232*H232</f>
        <v/>
      </c>
      <c r="J232" s="63" t="n">
        <v>18</v>
      </c>
      <c r="K232" s="63">
        <f>I232*J232</f>
        <v/>
      </c>
      <c r="L232" s="12" t="inlineStr">
        <is>
          <t>17/12编的主色</t>
        </is>
      </c>
      <c r="M232" s="24" t="n"/>
    </row>
    <row r="233">
      <c r="A233" s="22" t="n">
        <v>45656</v>
      </c>
      <c r="B233" s="59" t="n">
        <v>98</v>
      </c>
      <c r="C233" s="24" t="inlineStr">
        <is>
          <t>508A（主）</t>
        </is>
      </c>
      <c r="F233" s="25" t="inlineStr">
        <is>
          <t>PU净味哑光暖色调面漆</t>
        </is>
      </c>
      <c r="G233" s="24" t="n">
        <v>1</v>
      </c>
      <c r="H233" s="24" t="n">
        <v>2</v>
      </c>
      <c r="I233" s="24">
        <f>G233*H233</f>
        <v/>
      </c>
      <c r="J233" s="63" t="n"/>
      <c r="K233" s="63" t="n"/>
      <c r="L233" s="12" t="inlineStr">
        <is>
          <t>原油17/12编的主色</t>
        </is>
      </c>
      <c r="M233" s="24" t="n"/>
    </row>
    <row r="234" customFormat="1" s="15">
      <c r="A234" s="37" t="n">
        <v>45657</v>
      </c>
      <c r="B234" s="65" t="n">
        <v>102</v>
      </c>
      <c r="C234" s="37" t="n"/>
      <c r="F234" s="15" t="inlineStr">
        <is>
          <t>PE白底漆稀料</t>
        </is>
      </c>
      <c r="G234" s="28" t="n">
        <v>5</v>
      </c>
      <c r="H234" s="28" t="n">
        <v>18</v>
      </c>
      <c r="I234" s="28">
        <f>G234*H234</f>
        <v/>
      </c>
      <c r="J234" s="66" t="n">
        <v>6</v>
      </c>
      <c r="K234" s="66">
        <f>I234*J234</f>
        <v/>
      </c>
      <c r="M234" s="48" t="n"/>
    </row>
    <row r="235">
      <c r="A235" s="22" t="n">
        <v>45664</v>
      </c>
      <c r="B235" s="59" t="n">
        <v>31</v>
      </c>
      <c r="C235" s="24" t="inlineStr">
        <is>
          <t>508-2</t>
        </is>
      </c>
      <c r="F235" s="25" t="inlineStr">
        <is>
          <t>PU哑光土黄色漆</t>
        </is>
      </c>
      <c r="G235" s="24" t="n">
        <v>1</v>
      </c>
      <c r="H235" s="24" t="n">
        <v>5</v>
      </c>
      <c r="I235" s="24">
        <f>G235*H235</f>
        <v/>
      </c>
      <c r="J235" s="63" t="n">
        <v>18</v>
      </c>
      <c r="K235" s="63">
        <f>I235*J235</f>
        <v/>
      </c>
      <c r="M235" s="24" t="n"/>
    </row>
    <row r="236" customFormat="1" s="11">
      <c r="A236" s="32" t="n">
        <v>45665</v>
      </c>
      <c r="B236" s="61" t="n">
        <v>34</v>
      </c>
      <c r="C236" s="16" t="n">
        <v>9803</v>
      </c>
      <c r="F236" s="31" t="inlineStr">
        <is>
          <t>PE白底漆</t>
        </is>
      </c>
      <c r="G236" s="16" t="n">
        <v>10</v>
      </c>
      <c r="H236" s="16" t="n">
        <v>28</v>
      </c>
      <c r="I236" s="16">
        <f>G236*H236</f>
        <v/>
      </c>
      <c r="J236" s="64" t="n">
        <v>9</v>
      </c>
      <c r="K236" s="64">
        <f>I236*J236</f>
        <v/>
      </c>
      <c r="L236" s="31" t="n">
        <v>9804</v>
      </c>
      <c r="M236" s="16" t="n"/>
    </row>
    <row r="237" customFormat="1" s="13">
      <c r="A237" s="32" t="n">
        <v>45665</v>
      </c>
      <c r="B237" s="61" t="n">
        <v>34</v>
      </c>
      <c r="C237" s="32" t="n"/>
      <c r="F237" s="13" t="inlineStr">
        <is>
          <t>PE白底漆稀料</t>
        </is>
      </c>
      <c r="G237" s="16" t="n">
        <v>3</v>
      </c>
      <c r="H237" s="16" t="n">
        <v>18</v>
      </c>
      <c r="I237" s="16">
        <f>G237*H237</f>
        <v/>
      </c>
      <c r="J237" s="64" t="n">
        <v>6</v>
      </c>
      <c r="K237" s="64">
        <f>I237*J237</f>
        <v/>
      </c>
      <c r="M237" s="17" t="n"/>
    </row>
    <row r="238">
      <c r="A238" s="22" t="n">
        <v>45670</v>
      </c>
      <c r="B238" s="59" t="n">
        <v>45</v>
      </c>
      <c r="C238" s="24" t="inlineStr">
        <is>
          <t>HL-9827AA</t>
        </is>
      </c>
      <c r="F238" s="12" t="inlineStr">
        <is>
          <t>PE清底漆</t>
        </is>
      </c>
      <c r="G238" s="24" t="n">
        <v>2</v>
      </c>
      <c r="H238" s="24" t="n">
        <v>25</v>
      </c>
      <c r="I238" s="24">
        <f>G238*H238</f>
        <v/>
      </c>
      <c r="J238" s="63" t="n">
        <v>14</v>
      </c>
      <c r="K238" s="63">
        <f>I238*J238</f>
        <v/>
      </c>
      <c r="M238" s="24" t="n"/>
    </row>
    <row r="239">
      <c r="A239" s="22" t="n">
        <v>45670</v>
      </c>
      <c r="B239" s="59" t="n">
        <v>45</v>
      </c>
      <c r="C239" s="22" t="n"/>
      <c r="F239" s="12" t="inlineStr">
        <is>
          <t>PE白底漆稀料</t>
        </is>
      </c>
      <c r="G239" s="24" t="n">
        <v>1</v>
      </c>
      <c r="H239" s="24" t="n">
        <v>18</v>
      </c>
      <c r="I239" s="24">
        <f>G239*H239</f>
        <v/>
      </c>
      <c r="J239" s="63" t="n">
        <v>6</v>
      </c>
      <c r="K239" s="63">
        <f>I239*J239</f>
        <v/>
      </c>
      <c r="M239" s="24" t="n"/>
    </row>
    <row r="240" customFormat="1" s="11">
      <c r="A240" s="32" t="n">
        <v>45671</v>
      </c>
      <c r="B240" s="61" t="n">
        <v>47</v>
      </c>
      <c r="C240" s="16" t="inlineStr">
        <is>
          <t>900F-1</t>
        </is>
      </c>
      <c r="F240" s="31" t="inlineStr">
        <is>
          <t>PU净味面漆稀释剂</t>
        </is>
      </c>
      <c r="G240" s="16" t="n">
        <v>2</v>
      </c>
      <c r="H240" s="16" t="n">
        <v>18</v>
      </c>
      <c r="I240" s="16">
        <f>G240*H240</f>
        <v/>
      </c>
      <c r="J240" s="64" t="n">
        <v>10.5</v>
      </c>
      <c r="K240" s="64">
        <f>I240*J240</f>
        <v/>
      </c>
      <c r="L240" s="13" t="n"/>
      <c r="M240" s="16">
        <f>SUM(K238:K240)</f>
        <v/>
      </c>
    </row>
    <row r="241" customFormat="1" s="12">
      <c r="A241" s="22" t="n">
        <v>45671</v>
      </c>
      <c r="B241" s="59" t="n">
        <v>49</v>
      </c>
      <c r="C241" s="24" t="inlineStr">
        <is>
          <t>HL-9824A</t>
        </is>
      </c>
      <c r="F241" s="12" t="inlineStr">
        <is>
          <t>PE封固底漆</t>
        </is>
      </c>
      <c r="G241" s="24" t="n">
        <v>1</v>
      </c>
      <c r="H241" s="24" t="n">
        <v>22</v>
      </c>
      <c r="I241" s="24">
        <f>G241*H241</f>
        <v/>
      </c>
      <c r="J241" s="63" t="n">
        <v>12</v>
      </c>
      <c r="K241" s="63">
        <f>I241*J241</f>
        <v/>
      </c>
      <c r="M241" s="24" t="n"/>
    </row>
    <row r="242" customFormat="1" s="10">
      <c r="A242" s="37" t="n">
        <v>45673</v>
      </c>
      <c r="B242" s="65" t="n">
        <v>61</v>
      </c>
      <c r="C242" s="28" t="n">
        <v>118</v>
      </c>
      <c r="F242" s="29" t="inlineStr">
        <is>
          <t>黑棕修色漆</t>
        </is>
      </c>
      <c r="G242" s="28" t="n">
        <v>1</v>
      </c>
      <c r="H242" s="28" t="n">
        <v>0.8</v>
      </c>
      <c r="I242" s="28">
        <f>G242*H242</f>
        <v/>
      </c>
      <c r="J242" s="66" t="n"/>
      <c r="K242" s="66" t="n"/>
      <c r="L242" s="15" t="inlineStr">
        <is>
          <t>打样：</t>
        </is>
      </c>
      <c r="M242" s="28" t="n"/>
    </row>
    <row r="243" customFormat="1" s="11">
      <c r="A243" s="32" t="n">
        <v>45673</v>
      </c>
      <c r="B243" s="61" t="n">
        <v>61</v>
      </c>
      <c r="C243" s="16" t="inlineStr">
        <is>
          <t>7225-70F</t>
        </is>
      </c>
      <c r="F243" s="31" t="inlineStr">
        <is>
          <t>PU净味三分光清面漆</t>
        </is>
      </c>
      <c r="G243" s="16" t="n">
        <v>1</v>
      </c>
      <c r="H243" s="16" t="n">
        <v>20</v>
      </c>
      <c r="I243" s="16">
        <f>G243*H243</f>
        <v/>
      </c>
      <c r="J243" s="64" t="n">
        <v>18</v>
      </c>
      <c r="K243" s="64">
        <f>I243*J243</f>
        <v/>
      </c>
      <c r="L243" s="13" t="n"/>
      <c r="M243" s="16" t="n"/>
    </row>
    <row r="244" customFormat="1" s="11">
      <c r="A244" s="32" t="n">
        <v>45673</v>
      </c>
      <c r="B244" s="61" t="n">
        <v>61</v>
      </c>
      <c r="C244" s="16" t="inlineStr">
        <is>
          <t>535F</t>
        </is>
      </c>
      <c r="F244" s="31" t="inlineStr">
        <is>
          <t>PU净味哑光固化剂</t>
        </is>
      </c>
      <c r="G244" s="16" t="n">
        <v>1</v>
      </c>
      <c r="H244" s="16" t="n">
        <v>10</v>
      </c>
      <c r="I244" s="16">
        <f>G244*H244</f>
        <v/>
      </c>
      <c r="J244" s="64" t="n">
        <v>18</v>
      </c>
      <c r="K244" s="64">
        <f>I244*J244</f>
        <v/>
      </c>
      <c r="L244" s="13" t="n"/>
      <c r="M244" s="16">
        <f>SUM(K241:K244)</f>
        <v/>
      </c>
    </row>
    <row r="245">
      <c r="A245" s="22" t="n">
        <v>45673</v>
      </c>
      <c r="B245" s="59" t="n">
        <v>62</v>
      </c>
      <c r="C245" s="24" t="n"/>
      <c r="F245" s="25" t="inlineStr">
        <is>
          <t>PU净味新款哑光象牙白漆</t>
        </is>
      </c>
      <c r="G245" s="24" t="n">
        <v>1</v>
      </c>
      <c r="H245" s="24" t="n">
        <v>25</v>
      </c>
      <c r="I245" s="24">
        <f>G245*H245</f>
        <v/>
      </c>
      <c r="J245" s="63" t="n">
        <v>18</v>
      </c>
      <c r="K245" s="63">
        <f>I245*J245</f>
        <v/>
      </c>
      <c r="M245" s="24" t="n"/>
    </row>
    <row r="246">
      <c r="A246" s="22" t="n">
        <v>45673</v>
      </c>
      <c r="B246" s="59" t="n">
        <v>62</v>
      </c>
      <c r="C246" s="24" t="inlineStr">
        <is>
          <t>拉手样</t>
        </is>
      </c>
      <c r="F246" s="25" t="inlineStr">
        <is>
          <t>PU净味哑光中灰色漆</t>
        </is>
      </c>
      <c r="G246" s="24" t="n">
        <v>1</v>
      </c>
      <c r="H246" s="24" t="n">
        <v>2</v>
      </c>
      <c r="I246" s="24">
        <f>G246*H246</f>
        <v/>
      </c>
      <c r="J246" s="63" t="n">
        <v>18</v>
      </c>
      <c r="K246" s="63">
        <f>I246*J246</f>
        <v/>
      </c>
      <c r="M246" s="24" t="n"/>
    </row>
    <row r="247">
      <c r="A247" s="22" t="n">
        <v>45673</v>
      </c>
      <c r="B247" s="59" t="n">
        <v>62</v>
      </c>
      <c r="C247" s="24" t="inlineStr">
        <is>
          <t>皮样</t>
        </is>
      </c>
      <c r="F247" s="25" t="inlineStr">
        <is>
          <t>PU净味哑光泥黄色漆</t>
        </is>
      </c>
      <c r="G247" s="24" t="n">
        <v>1</v>
      </c>
      <c r="H247" s="24" t="n">
        <v>2</v>
      </c>
      <c r="I247" s="24">
        <f>G247*H247</f>
        <v/>
      </c>
      <c r="J247" s="63" t="n">
        <v>18</v>
      </c>
      <c r="K247" s="63">
        <f>I247*J247</f>
        <v/>
      </c>
      <c r="M247" s="24" t="n"/>
    </row>
    <row r="248">
      <c r="A248" s="22" t="n">
        <v>45673</v>
      </c>
      <c r="B248" s="59" t="n">
        <v>62</v>
      </c>
      <c r="C248" s="24" t="inlineStr">
        <is>
          <t>535F</t>
        </is>
      </c>
      <c r="F248" s="25" t="inlineStr">
        <is>
          <t>PU净味哑光固化剂</t>
        </is>
      </c>
      <c r="G248" s="24" t="n">
        <v>1</v>
      </c>
      <c r="H248" s="24" t="n">
        <v>10</v>
      </c>
      <c r="I248" s="24">
        <f>G248*H248</f>
        <v/>
      </c>
      <c r="J248" s="63" t="n">
        <v>18</v>
      </c>
      <c r="K248" s="63">
        <f>I248*J248</f>
        <v/>
      </c>
      <c r="M248" s="24">
        <f>SUM(K245:K248)</f>
        <v/>
      </c>
    </row>
    <row r="249" customFormat="1" s="11">
      <c r="A249" s="32" t="n">
        <v>45729</v>
      </c>
      <c r="B249" s="61" t="n">
        <v>44</v>
      </c>
      <c r="C249" s="16" t="n">
        <v>9803</v>
      </c>
      <c r="F249" s="31" t="inlineStr">
        <is>
          <t>PE白底漆</t>
        </is>
      </c>
      <c r="G249" s="16" t="n">
        <v>6</v>
      </c>
      <c r="H249" s="16" t="n">
        <v>28</v>
      </c>
      <c r="I249" s="16">
        <f>G249*H249</f>
        <v/>
      </c>
      <c r="J249" s="64" t="n">
        <v>9</v>
      </c>
      <c r="K249" s="64">
        <f>I249*J249</f>
        <v/>
      </c>
      <c r="L249" s="31" t="n">
        <v>9804</v>
      </c>
      <c r="M249" s="16" t="n"/>
    </row>
    <row r="250" customFormat="1" s="11">
      <c r="A250" s="32" t="n">
        <v>45729</v>
      </c>
      <c r="B250" s="61" t="n">
        <v>44</v>
      </c>
      <c r="C250" s="16" t="n"/>
      <c r="F250" s="31" t="inlineStr">
        <is>
          <t>PU净味新款哑光象牙白漆</t>
        </is>
      </c>
      <c r="G250" s="16" t="n">
        <v>5</v>
      </c>
      <c r="H250" s="16" t="n">
        <v>25</v>
      </c>
      <c r="I250" s="16">
        <f>G250*H250</f>
        <v/>
      </c>
      <c r="J250" s="64" t="n">
        <v>18</v>
      </c>
      <c r="K250" s="64">
        <f>I250*J250</f>
        <v/>
      </c>
      <c r="L250" s="13" t="n"/>
      <c r="M250" s="16" t="n"/>
    </row>
    <row r="251" customFormat="1" s="11">
      <c r="A251" s="32" t="n">
        <v>45729</v>
      </c>
      <c r="B251" s="61" t="n">
        <v>44</v>
      </c>
      <c r="C251" s="16" t="inlineStr">
        <is>
          <t>535F</t>
        </is>
      </c>
      <c r="F251" s="31" t="inlineStr">
        <is>
          <t>PU净味哑光固化剂</t>
        </is>
      </c>
      <c r="G251" s="16" t="n">
        <v>6</v>
      </c>
      <c r="H251" s="16" t="n">
        <v>10</v>
      </c>
      <c r="I251" s="16">
        <f>G251*H251</f>
        <v/>
      </c>
      <c r="J251" s="64" t="n">
        <v>18</v>
      </c>
      <c r="K251" s="64">
        <f>I251*J251</f>
        <v/>
      </c>
      <c r="L251" s="13" t="n"/>
      <c r="M251" s="16" t="n"/>
    </row>
    <row r="252" customFormat="1" s="11">
      <c r="A252" s="32" t="n">
        <v>45729</v>
      </c>
      <c r="B252" s="61" t="n">
        <v>44</v>
      </c>
      <c r="C252" s="16" t="inlineStr">
        <is>
          <t>900F-1</t>
        </is>
      </c>
      <c r="F252" s="31" t="inlineStr">
        <is>
          <t>PU净味面漆稀释剂</t>
        </is>
      </c>
      <c r="G252" s="16" t="n">
        <v>1</v>
      </c>
      <c r="H252" s="16" t="n">
        <v>180</v>
      </c>
      <c r="I252" s="16">
        <f>G252*H252</f>
        <v/>
      </c>
      <c r="J252" s="64" t="n">
        <v>10.5</v>
      </c>
      <c r="K252" s="64">
        <f>I252*J252</f>
        <v/>
      </c>
      <c r="L252" s="13" t="n"/>
      <c r="M252" s="16">
        <f>SUM(K249:K252)</f>
        <v/>
      </c>
    </row>
    <row r="253">
      <c r="A253" s="22" t="n">
        <v>45735</v>
      </c>
      <c r="B253" s="59" t="n">
        <v>69</v>
      </c>
      <c r="C253" s="24" t="n">
        <v>9803</v>
      </c>
      <c r="F253" s="25" t="inlineStr">
        <is>
          <t>PE白底漆</t>
        </is>
      </c>
      <c r="G253" s="24" t="n">
        <v>10</v>
      </c>
      <c r="H253" s="24" t="n">
        <v>28</v>
      </c>
      <c r="I253" s="24">
        <f>G253*H253</f>
        <v/>
      </c>
      <c r="J253" s="63" t="n">
        <v>9</v>
      </c>
      <c r="K253" s="63">
        <f>I253*J253</f>
        <v/>
      </c>
      <c r="L253" s="25" t="n">
        <v>9804</v>
      </c>
      <c r="M253" s="24" t="n"/>
    </row>
    <row r="254" customFormat="1" s="11">
      <c r="A254" s="32" t="n">
        <v>45736</v>
      </c>
      <c r="B254" s="61" t="n">
        <v>74</v>
      </c>
      <c r="C254" s="16" t="n"/>
      <c r="F254" s="31" t="inlineStr">
        <is>
          <t>PU净味新款哑光象牙白漆</t>
        </is>
      </c>
      <c r="G254" s="16" t="n">
        <v>4</v>
      </c>
      <c r="H254" s="16" t="n">
        <v>25</v>
      </c>
      <c r="I254" s="16">
        <f>G254*H254</f>
        <v/>
      </c>
      <c r="J254" s="64" t="n">
        <v>18</v>
      </c>
      <c r="K254" s="64">
        <f>I254*J254</f>
        <v/>
      </c>
      <c r="L254" s="13" t="n"/>
      <c r="M254" s="16" t="n"/>
    </row>
    <row r="255" customFormat="1" s="11">
      <c r="A255" s="32" t="n">
        <v>45736</v>
      </c>
      <c r="B255" s="61" t="n">
        <v>74</v>
      </c>
      <c r="C255" s="16" t="n"/>
      <c r="F255" s="31" t="inlineStr">
        <is>
          <t>PU净味新款哑光象牙白漆</t>
        </is>
      </c>
      <c r="G255" s="16" t="n">
        <v>1</v>
      </c>
      <c r="H255" s="16" t="n">
        <v>24</v>
      </c>
      <c r="I255" s="16">
        <f>G255*H255</f>
        <v/>
      </c>
      <c r="J255" s="64" t="n">
        <v>18</v>
      </c>
      <c r="K255" s="64">
        <f>I255*J255</f>
        <v/>
      </c>
      <c r="L255" s="13" t="n"/>
      <c r="M255" s="16" t="n"/>
    </row>
    <row r="256" customFormat="1" s="11">
      <c r="A256" s="32" t="n">
        <v>45736</v>
      </c>
      <c r="B256" s="61" t="n">
        <v>74</v>
      </c>
      <c r="C256" s="16" t="inlineStr">
        <is>
          <t>535F</t>
        </is>
      </c>
      <c r="F256" s="31" t="inlineStr">
        <is>
          <t>PU净味哑光固化剂</t>
        </is>
      </c>
      <c r="G256" s="16" t="n">
        <v>6</v>
      </c>
      <c r="H256" s="16" t="n">
        <v>10</v>
      </c>
      <c r="I256" s="16">
        <f>G256*H256</f>
        <v/>
      </c>
      <c r="J256" s="64" t="n">
        <v>18</v>
      </c>
      <c r="K256" s="64">
        <f>I256*J256</f>
        <v/>
      </c>
      <c r="L256" s="13" t="n"/>
      <c r="M256" s="16" t="n"/>
    </row>
    <row r="257" customFormat="1" s="13">
      <c r="A257" s="32" t="n">
        <v>45736</v>
      </c>
      <c r="B257" s="61" t="n">
        <v>74</v>
      </c>
      <c r="C257" s="16" t="inlineStr">
        <is>
          <t>HL-9824A</t>
        </is>
      </c>
      <c r="F257" s="13" t="inlineStr">
        <is>
          <t>PE封固底漆</t>
        </is>
      </c>
      <c r="G257" s="16" t="n">
        <v>2</v>
      </c>
      <c r="H257" s="16" t="n">
        <v>22</v>
      </c>
      <c r="I257" s="16">
        <f>G257*H257</f>
        <v/>
      </c>
      <c r="J257" s="64" t="n">
        <v>12</v>
      </c>
      <c r="K257" s="64">
        <f>I257*J257</f>
        <v/>
      </c>
      <c r="M257" s="16" t="n"/>
    </row>
    <row r="258">
      <c r="A258" s="22" t="n">
        <v>45742</v>
      </c>
      <c r="B258" s="59" t="n">
        <v>98</v>
      </c>
      <c r="C258" s="24" t="inlineStr">
        <is>
          <t>HL-9827AA</t>
        </is>
      </c>
      <c r="F258" s="12" t="inlineStr">
        <is>
          <t>PE清底漆</t>
        </is>
      </c>
      <c r="G258" s="24" t="n">
        <v>5</v>
      </c>
      <c r="H258" s="24" t="n">
        <v>25</v>
      </c>
      <c r="I258" s="24">
        <f>G258*H258</f>
        <v/>
      </c>
      <c r="J258" s="63" t="n">
        <v>14</v>
      </c>
      <c r="K258" s="63">
        <f>I258*J258</f>
        <v/>
      </c>
      <c r="M258" s="24" t="n"/>
    </row>
    <row r="259">
      <c r="A259" s="22" t="n">
        <v>45742</v>
      </c>
      <c r="B259" s="59" t="n">
        <v>98</v>
      </c>
      <c r="C259" s="24" t="inlineStr">
        <is>
          <t>7225-70F</t>
        </is>
      </c>
      <c r="F259" s="25" t="inlineStr">
        <is>
          <t>PU净味三分光清面漆</t>
        </is>
      </c>
      <c r="G259" s="24" t="n">
        <v>2</v>
      </c>
      <c r="H259" s="24" t="n">
        <v>20</v>
      </c>
      <c r="I259" s="24">
        <f>G259*H259</f>
        <v/>
      </c>
      <c r="J259" s="63" t="n">
        <v>18</v>
      </c>
      <c r="K259" s="63">
        <f>I259*J259</f>
        <v/>
      </c>
      <c r="M259" s="24" t="n"/>
    </row>
    <row r="260">
      <c r="A260" s="22" t="n">
        <v>45742</v>
      </c>
      <c r="B260" s="59" t="n">
        <v>98</v>
      </c>
      <c r="C260" s="24" t="inlineStr">
        <is>
          <t>557A(556-558)</t>
        </is>
      </c>
      <c r="F260" s="25" t="inlineStr">
        <is>
          <t>PU净味哑光浅淡黄色漆</t>
        </is>
      </c>
      <c r="G260" s="24" t="n">
        <v>2</v>
      </c>
      <c r="H260" s="24" t="n">
        <v>26</v>
      </c>
      <c r="I260" s="24">
        <f>G260*H260</f>
        <v/>
      </c>
      <c r="J260" s="63" t="n">
        <v>18</v>
      </c>
      <c r="K260" s="63">
        <f>I260*J260</f>
        <v/>
      </c>
      <c r="L260" s="47" t="inlineStr">
        <is>
          <t>556-558于6/12改为557A</t>
        </is>
      </c>
    </row>
    <row r="261">
      <c r="A261" s="22" t="n">
        <v>45742</v>
      </c>
      <c r="B261" s="59" t="n">
        <v>98</v>
      </c>
      <c r="C261" s="24" t="inlineStr">
        <is>
          <t>550*</t>
        </is>
      </c>
      <c r="F261" s="25" t="inlineStr">
        <is>
          <t>PU净味哑光香槟色漆</t>
        </is>
      </c>
      <c r="G261" s="24" t="n">
        <v>1</v>
      </c>
      <c r="H261" s="24" t="n">
        <v>16</v>
      </c>
      <c r="I261" s="24">
        <f>G261*H261</f>
        <v/>
      </c>
      <c r="J261" s="63" t="n">
        <v>18</v>
      </c>
      <c r="K261" s="63">
        <f>I261*J261</f>
        <v/>
      </c>
      <c r="M261" s="24" t="n"/>
    </row>
    <row r="262">
      <c r="A262" s="22" t="n">
        <v>45742</v>
      </c>
      <c r="B262" s="59" t="n">
        <v>98</v>
      </c>
      <c r="C262" s="24" t="inlineStr">
        <is>
          <t>535F</t>
        </is>
      </c>
      <c r="F262" s="25" t="inlineStr">
        <is>
          <t>PU净味哑光固化剂</t>
        </is>
      </c>
      <c r="G262" s="24" t="n">
        <v>5</v>
      </c>
      <c r="H262" s="24" t="n">
        <v>10</v>
      </c>
      <c r="I262" s="24">
        <f>G262*H262</f>
        <v/>
      </c>
      <c r="J262" s="63" t="n">
        <v>18</v>
      </c>
      <c r="K262" s="63">
        <f>I262*J262</f>
        <v/>
      </c>
      <c r="M262" s="24">
        <f>SUM(K258:K262)</f>
        <v/>
      </c>
    </row>
    <row r="263" customFormat="1" s="11">
      <c r="A263" s="32" t="n">
        <v>45754</v>
      </c>
      <c r="B263" s="61" t="n">
        <v>18</v>
      </c>
      <c r="C263" s="16" t="n">
        <v>9803</v>
      </c>
      <c r="F263" s="31" t="inlineStr">
        <is>
          <t>PE白底漆</t>
        </is>
      </c>
      <c r="G263" s="16" t="n">
        <v>10</v>
      </c>
      <c r="H263" s="16" t="n">
        <v>28</v>
      </c>
      <c r="I263" s="16">
        <f>G263*H263</f>
        <v/>
      </c>
      <c r="J263" s="64" t="n">
        <v>9</v>
      </c>
      <c r="K263" s="64">
        <f>I263*J263</f>
        <v/>
      </c>
      <c r="L263" s="31" t="n">
        <v>9804</v>
      </c>
      <c r="M263" s="16" t="n"/>
    </row>
    <row r="264">
      <c r="A264" s="22" t="n">
        <v>45755</v>
      </c>
      <c r="B264" s="59" t="n">
        <v>21</v>
      </c>
      <c r="C264" s="24" t="inlineStr">
        <is>
          <t>556-557B</t>
        </is>
      </c>
      <c r="F264" s="25" t="inlineStr">
        <is>
          <t>PU净味七分光香槟银珠漆</t>
        </is>
      </c>
      <c r="G264" s="24" t="n">
        <v>1</v>
      </c>
      <c r="H264" s="24" t="n">
        <v>10</v>
      </c>
      <c r="I264" s="24">
        <f>G264*H264</f>
        <v/>
      </c>
      <c r="J264" s="63" t="n">
        <v>22</v>
      </c>
      <c r="K264" s="63">
        <f>I264*J264</f>
        <v/>
      </c>
      <c r="L264" s="24" t="inlineStr">
        <is>
          <t>556（557）</t>
        </is>
      </c>
    </row>
    <row r="265">
      <c r="A265" s="22" t="n">
        <v>45755</v>
      </c>
      <c r="B265" s="59" t="n">
        <v>21</v>
      </c>
      <c r="C265" s="24" t="inlineStr">
        <is>
          <t>557A(556-558)</t>
        </is>
      </c>
      <c r="F265" s="25" t="inlineStr">
        <is>
          <t>PU净味哑光浅淡黄色漆</t>
        </is>
      </c>
      <c r="G265" s="24" t="n">
        <v>2</v>
      </c>
      <c r="H265" s="24" t="n">
        <v>25</v>
      </c>
      <c r="I265" s="24">
        <f>G265*H265</f>
        <v/>
      </c>
      <c r="J265" s="63" t="n">
        <v>18</v>
      </c>
      <c r="K265" s="63">
        <f>I265*J265</f>
        <v/>
      </c>
      <c r="L265" s="12" t="inlineStr">
        <is>
          <t>主色</t>
        </is>
      </c>
      <c r="M265" s="24" t="n"/>
    </row>
    <row r="266">
      <c r="A266" s="22" t="n">
        <v>45755</v>
      </c>
      <c r="B266" s="59" t="n">
        <v>21</v>
      </c>
      <c r="C266" s="24" t="inlineStr">
        <is>
          <t>557A(556-558)</t>
        </is>
      </c>
      <c r="F266" s="25" t="inlineStr">
        <is>
          <t>PU净味哑光浅淡黄色漆</t>
        </is>
      </c>
      <c r="G266" s="24" t="n">
        <v>1</v>
      </c>
      <c r="H266" s="24" t="n">
        <v>26</v>
      </c>
      <c r="I266" s="24">
        <f>G266*H266</f>
        <v/>
      </c>
      <c r="J266" s="63" t="n">
        <v>18</v>
      </c>
      <c r="K266" s="63">
        <f>I266*J266</f>
        <v/>
      </c>
      <c r="L266" s="12" t="inlineStr">
        <is>
          <t>主色</t>
        </is>
      </c>
      <c r="M266" s="24" t="n"/>
    </row>
    <row r="267">
      <c r="A267" s="22" t="n">
        <v>45755</v>
      </c>
      <c r="B267" s="59" t="n">
        <v>21</v>
      </c>
      <c r="C267" s="24" t="inlineStr">
        <is>
          <t>M019</t>
        </is>
      </c>
      <c r="F267" s="25" t="inlineStr">
        <is>
          <t>PU净味哑光香槟色漆</t>
        </is>
      </c>
      <c r="G267" s="24" t="n">
        <v>1</v>
      </c>
      <c r="H267" s="24" t="n">
        <v>8</v>
      </c>
      <c r="I267" s="24">
        <f>G267*H267</f>
        <v/>
      </c>
      <c r="J267" s="63" t="n">
        <v>18</v>
      </c>
      <c r="K267" s="63">
        <f>I267*J267</f>
        <v/>
      </c>
      <c r="M267" s="24" t="n"/>
    </row>
    <row r="268" customFormat="1" s="12">
      <c r="A268" s="22" t="n">
        <v>45755</v>
      </c>
      <c r="B268" s="59" t="n">
        <v>21</v>
      </c>
      <c r="C268" s="24" t="inlineStr">
        <is>
          <t>733#</t>
        </is>
      </c>
      <c r="F268" s="25" t="inlineStr">
        <is>
          <t>PU净味哑光香槟色漆</t>
        </is>
      </c>
      <c r="G268" s="24" t="n">
        <v>1</v>
      </c>
      <c r="H268" s="24" t="n">
        <v>8</v>
      </c>
      <c r="I268" s="24">
        <f>G268*H268</f>
        <v/>
      </c>
      <c r="J268" s="63" t="n">
        <v>18</v>
      </c>
      <c r="K268" s="63">
        <f>I268*J268</f>
        <v/>
      </c>
      <c r="M268" s="24" t="n"/>
    </row>
    <row r="269" customFormat="1" s="12">
      <c r="A269" s="22" t="n">
        <v>45755</v>
      </c>
      <c r="B269" s="59" t="n">
        <v>21</v>
      </c>
      <c r="C269" s="24" t="n">
        <v>709</v>
      </c>
      <c r="F269" s="25" t="inlineStr">
        <is>
          <t>PU净味哑光灰蓝色漆</t>
        </is>
      </c>
      <c r="G269" s="24" t="n">
        <v>1</v>
      </c>
      <c r="H269" s="24" t="n">
        <v>25</v>
      </c>
      <c r="I269" s="24">
        <f>G269*H269</f>
        <v/>
      </c>
      <c r="J269" s="63" t="n">
        <v>18</v>
      </c>
      <c r="K269" s="63">
        <f>I269*J269</f>
        <v/>
      </c>
      <c r="M269" s="24" t="n"/>
    </row>
    <row r="270">
      <c r="A270" s="22" t="n">
        <v>45755</v>
      </c>
      <c r="B270" s="59" t="n">
        <v>21</v>
      </c>
      <c r="C270" s="24" t="inlineStr">
        <is>
          <t>535F</t>
        </is>
      </c>
      <c r="F270" s="25" t="inlineStr">
        <is>
          <t>PU净味哑光固化剂</t>
        </is>
      </c>
      <c r="G270" s="24" t="n">
        <v>6</v>
      </c>
      <c r="H270" s="24" t="n">
        <v>10</v>
      </c>
      <c r="I270" s="24">
        <f>G270*H270</f>
        <v/>
      </c>
      <c r="J270" s="63" t="n">
        <v>18</v>
      </c>
      <c r="K270" s="63">
        <f>I270*J270</f>
        <v/>
      </c>
      <c r="M270" s="24">
        <f>SUM(K264:K270)</f>
        <v/>
      </c>
    </row>
    <row r="271" customFormat="1" s="11">
      <c r="A271" s="32" t="n">
        <v>45768</v>
      </c>
      <c r="B271" s="61" t="n">
        <v>61</v>
      </c>
      <c r="C271" s="16" t="n">
        <v>9803</v>
      </c>
      <c r="F271" s="31" t="inlineStr">
        <is>
          <t>PE白底漆</t>
        </is>
      </c>
      <c r="G271" s="16" t="n">
        <v>5</v>
      </c>
      <c r="H271" s="16" t="n">
        <v>28</v>
      </c>
      <c r="I271" s="16">
        <f>G271*H271</f>
        <v/>
      </c>
      <c r="J271" s="64" t="n">
        <v>9</v>
      </c>
      <c r="K271" s="64">
        <f>I271*J271</f>
        <v/>
      </c>
      <c r="L271" s="31" t="n">
        <v>9804</v>
      </c>
      <c r="M271" s="16" t="n"/>
    </row>
    <row r="272">
      <c r="A272" s="22" t="n">
        <v>45773</v>
      </c>
      <c r="B272" s="59" t="n">
        <v>85</v>
      </c>
      <c r="C272" s="24" t="inlineStr">
        <is>
          <t>HL-001</t>
        </is>
      </c>
      <c r="F272" s="25" t="inlineStr">
        <is>
          <t>PU净味哑光白面漆</t>
        </is>
      </c>
      <c r="G272" s="24" t="n">
        <v>1</v>
      </c>
      <c r="H272" s="24" t="n">
        <v>25</v>
      </c>
      <c r="I272" s="24">
        <f>G272*H272</f>
        <v/>
      </c>
      <c r="J272" s="63" t="n">
        <v>18</v>
      </c>
      <c r="K272" s="63">
        <f>I272*J272</f>
        <v/>
      </c>
      <c r="M272" s="24" t="n"/>
    </row>
    <row r="273">
      <c r="A273" s="22" t="n">
        <v>45773</v>
      </c>
      <c r="B273" s="59" t="n">
        <v>85</v>
      </c>
      <c r="C273" s="24" t="inlineStr">
        <is>
          <t>535F</t>
        </is>
      </c>
      <c r="F273" s="25" t="inlineStr">
        <is>
          <t>PU净味哑光固化剂</t>
        </is>
      </c>
      <c r="G273" s="24" t="n">
        <v>1</v>
      </c>
      <c r="H273" s="24" t="n">
        <v>10</v>
      </c>
      <c r="I273" s="24">
        <f>G273*H273</f>
        <v/>
      </c>
      <c r="J273" s="63" t="n">
        <v>18</v>
      </c>
      <c r="K273" s="63">
        <f>I273*J273</f>
        <v/>
      </c>
      <c r="M273" s="24">
        <f>SUM(K272:K274)</f>
        <v/>
      </c>
    </row>
    <row r="274">
      <c r="A274" s="22" t="n">
        <v>45773</v>
      </c>
      <c r="B274" s="59" t="n">
        <v>85</v>
      </c>
      <c r="C274" s="24" t="inlineStr">
        <is>
          <t>HL-712</t>
        </is>
      </c>
      <c r="F274" s="25" t="inlineStr">
        <is>
          <t>PU哑光粉紫色漆</t>
        </is>
      </c>
      <c r="G274" s="24" t="n">
        <v>1</v>
      </c>
      <c r="H274" s="24" t="n">
        <v>1</v>
      </c>
      <c r="I274" s="24">
        <f>G274*H274</f>
        <v/>
      </c>
      <c r="J274" s="63" t="n">
        <v>18</v>
      </c>
      <c r="K274" s="63">
        <f>I274*J274</f>
        <v/>
      </c>
      <c r="L274" s="49" t="inlineStr">
        <is>
          <t>元</t>
        </is>
      </c>
      <c r="N274" s="0" t="inlineStr">
        <is>
          <t>欧包装</t>
        </is>
      </c>
    </row>
    <row r="275" customFormat="1" s="11">
      <c r="A275" s="32" t="n">
        <v>45773</v>
      </c>
      <c r="B275" s="61" t="n">
        <v>89</v>
      </c>
      <c r="C275" s="16" t="n">
        <v>9803</v>
      </c>
      <c r="F275" s="31" t="inlineStr">
        <is>
          <t>PE白底漆</t>
        </is>
      </c>
      <c r="G275" s="16" t="n">
        <v>5</v>
      </c>
      <c r="H275" s="16" t="n">
        <v>28</v>
      </c>
      <c r="I275" s="16">
        <f>G275*H275</f>
        <v/>
      </c>
      <c r="J275" s="64" t="n">
        <v>9</v>
      </c>
      <c r="K275" s="64">
        <f>I275*J275</f>
        <v/>
      </c>
      <c r="L275" s="31" t="n">
        <v>9804</v>
      </c>
      <c r="M275" s="16" t="n"/>
    </row>
    <row r="276">
      <c r="A276" s="22" t="n">
        <v>45777</v>
      </c>
      <c r="B276" s="59" t="n">
        <v>98</v>
      </c>
      <c r="C276" s="24" t="inlineStr">
        <is>
          <t>508A床尾</t>
        </is>
      </c>
      <c r="F276" s="25" t="inlineStr">
        <is>
          <t>PU净味哑光暖色调面漆</t>
        </is>
      </c>
      <c r="G276" s="24" t="n">
        <v>1</v>
      </c>
      <c r="H276" s="24" t="n">
        <v>26</v>
      </c>
      <c r="I276" s="24">
        <f>G276*H276</f>
        <v/>
      </c>
      <c r="J276" s="63" t="n">
        <v>18</v>
      </c>
      <c r="K276" s="63">
        <f>I276*J276</f>
        <v/>
      </c>
      <c r="L276" s="12" t="inlineStr">
        <is>
          <t>床尾17/12编的主色</t>
        </is>
      </c>
      <c r="M276" s="24" t="n"/>
    </row>
    <row r="277">
      <c r="A277" s="22" t="n">
        <v>45777</v>
      </c>
      <c r="B277" s="59" t="n">
        <v>98</v>
      </c>
      <c r="C277" s="24" t="inlineStr">
        <is>
          <t>508-4</t>
        </is>
      </c>
      <c r="F277" s="25" t="inlineStr">
        <is>
          <t>PU净味哑光粉色漆</t>
        </is>
      </c>
      <c r="G277" s="24" t="n">
        <v>1</v>
      </c>
      <c r="H277" s="24" t="n">
        <v>10</v>
      </c>
      <c r="I277" s="24">
        <f>G277*H277</f>
        <v/>
      </c>
      <c r="J277" s="63" t="n">
        <v>18</v>
      </c>
      <c r="K277" s="63">
        <f>I277*J277</f>
        <v/>
      </c>
      <c r="L277" s="25" t="inlineStr">
        <is>
          <t>508-4(553改）</t>
        </is>
      </c>
    </row>
    <row r="278">
      <c r="A278" s="22" t="n">
        <v>45777</v>
      </c>
      <c r="B278" s="59" t="n">
        <v>98</v>
      </c>
      <c r="C278" s="24" t="inlineStr">
        <is>
          <t>535F</t>
        </is>
      </c>
      <c r="F278" s="25" t="inlineStr">
        <is>
          <t>PU净味哑光固化剂</t>
        </is>
      </c>
      <c r="G278" s="24" t="n">
        <v>1</v>
      </c>
      <c r="H278" s="24" t="n">
        <v>10</v>
      </c>
      <c r="I278" s="24">
        <f>G278*H278</f>
        <v/>
      </c>
      <c r="J278" s="63" t="n">
        <v>18</v>
      </c>
      <c r="K278" s="63">
        <f>I278*J278</f>
        <v/>
      </c>
      <c r="M278" s="24">
        <f>SUM(K276:K278)</f>
        <v/>
      </c>
    </row>
    <row r="279" customFormat="1" s="11">
      <c r="A279" s="32" t="n">
        <v>45784</v>
      </c>
      <c r="B279" s="61" t="n">
        <v>8</v>
      </c>
      <c r="C279" s="16" t="n">
        <v>9803</v>
      </c>
      <c r="F279" s="31" t="inlineStr">
        <is>
          <t>PE白底漆</t>
        </is>
      </c>
      <c r="G279" s="16" t="n">
        <v>10</v>
      </c>
      <c r="H279" s="16" t="n">
        <v>28</v>
      </c>
      <c r="I279" s="16">
        <f>G279*H279</f>
        <v/>
      </c>
      <c r="J279" s="64" t="n">
        <v>9</v>
      </c>
      <c r="K279" s="64">
        <f>I279*J279</f>
        <v/>
      </c>
      <c r="L279" s="31" t="n">
        <v>9804</v>
      </c>
      <c r="M279" s="16" t="n"/>
    </row>
    <row r="280">
      <c r="A280" s="22" t="n">
        <v>45790</v>
      </c>
      <c r="B280" s="59" t="n">
        <v>24</v>
      </c>
      <c r="C280" s="16" t="n">
        <v>516</v>
      </c>
      <c r="F280" s="25" t="inlineStr">
        <is>
          <t>PU净味新款哑光象牙白漆</t>
        </is>
      </c>
      <c r="G280" s="24" t="n">
        <v>2</v>
      </c>
      <c r="H280" s="24" t="n">
        <v>25</v>
      </c>
      <c r="I280" s="24">
        <f>G280*H280</f>
        <v/>
      </c>
      <c r="J280" s="63" t="n">
        <v>18</v>
      </c>
      <c r="K280" s="63">
        <f>I280*J280</f>
        <v/>
      </c>
      <c r="M280" s="24" t="n"/>
    </row>
    <row r="281">
      <c r="A281" s="22" t="n">
        <v>45790</v>
      </c>
      <c r="B281" s="59" t="n">
        <v>24</v>
      </c>
      <c r="C281" s="24" t="inlineStr">
        <is>
          <t>535F</t>
        </is>
      </c>
      <c r="F281" s="25" t="inlineStr">
        <is>
          <t>PU净味哑光固化剂</t>
        </is>
      </c>
      <c r="G281" s="24" t="n">
        <v>3</v>
      </c>
      <c r="H281" s="24" t="n">
        <v>10</v>
      </c>
      <c r="I281" s="24">
        <f>G281*H281</f>
        <v/>
      </c>
      <c r="J281" s="63" t="n">
        <v>18</v>
      </c>
      <c r="K281" s="63">
        <f>I281*J281</f>
        <v/>
      </c>
      <c r="L281" s="12">
        <f>SUM(K280:K281)</f>
        <v/>
      </c>
      <c r="M281" s="24" t="n"/>
    </row>
    <row r="282" customFormat="1" s="11">
      <c r="A282" s="32" t="n">
        <v>45796</v>
      </c>
      <c r="B282" s="61" t="n">
        <v>54</v>
      </c>
      <c r="C282" s="16" t="n">
        <v>709</v>
      </c>
      <c r="F282" s="31" t="inlineStr">
        <is>
          <t>PU净味哑光灰蓝色漆</t>
        </is>
      </c>
      <c r="G282" s="16" t="n">
        <v>1</v>
      </c>
      <c r="H282" s="16" t="n">
        <v>26</v>
      </c>
      <c r="I282" s="16">
        <f>G282*H282</f>
        <v/>
      </c>
      <c r="J282" s="64" t="n">
        <v>18</v>
      </c>
      <c r="K282" s="64">
        <f>I282*J282</f>
        <v/>
      </c>
      <c r="L282" s="13" t="n"/>
      <c r="M282" s="16" t="n"/>
    </row>
    <row r="283" customFormat="1" s="11">
      <c r="A283" s="32" t="n">
        <v>45796</v>
      </c>
      <c r="B283" s="61" t="n">
        <v>54</v>
      </c>
      <c r="C283" s="16" t="n">
        <v>516</v>
      </c>
      <c r="F283" s="31" t="inlineStr">
        <is>
          <t>PU净味新款哑光象牙白漆</t>
        </is>
      </c>
      <c r="G283" s="16" t="n">
        <v>2</v>
      </c>
      <c r="H283" s="16" t="n">
        <v>25</v>
      </c>
      <c r="I283" s="16">
        <f>G283*H283</f>
        <v/>
      </c>
      <c r="J283" s="64" t="n">
        <v>18</v>
      </c>
      <c r="K283" s="64">
        <f>I283*J283</f>
        <v/>
      </c>
      <c r="L283" s="13" t="inlineStr">
        <is>
          <t>已编号：516</t>
        </is>
      </c>
      <c r="M283" s="16" t="n"/>
    </row>
    <row r="284" customFormat="1" s="11">
      <c r="A284" s="32" t="n">
        <v>45796</v>
      </c>
      <c r="B284" s="61" t="n">
        <v>54</v>
      </c>
      <c r="C284" s="16" t="inlineStr">
        <is>
          <t>535F</t>
        </is>
      </c>
      <c r="F284" s="31" t="inlineStr">
        <is>
          <t>PU净味哑光固化剂</t>
        </is>
      </c>
      <c r="G284" s="16" t="n">
        <v>3</v>
      </c>
      <c r="H284" s="16" t="n">
        <v>10</v>
      </c>
      <c r="I284" s="16">
        <f>G284*H284</f>
        <v/>
      </c>
      <c r="J284" s="64" t="n">
        <v>18</v>
      </c>
      <c r="K284" s="64">
        <f>I284*J284</f>
        <v/>
      </c>
      <c r="L284" s="13" t="n"/>
      <c r="M284" s="16">
        <f>SUM(K282:K284)</f>
        <v/>
      </c>
    </row>
    <row r="285">
      <c r="A285" s="22" t="n">
        <v>45803</v>
      </c>
      <c r="B285" s="59" t="n">
        <v>64</v>
      </c>
      <c r="C285" s="24" t="inlineStr">
        <is>
          <t>2662餐边柜门板</t>
        </is>
      </c>
      <c r="F285" s="25" t="inlineStr">
        <is>
          <t>PU净味哑光浅黄色漆</t>
        </is>
      </c>
      <c r="G285" s="24" t="n">
        <v>1</v>
      </c>
      <c r="H285" s="24" t="n">
        <v>25</v>
      </c>
      <c r="I285" s="24">
        <f>G285*H285</f>
        <v/>
      </c>
      <c r="J285" s="63" t="n">
        <v>18</v>
      </c>
      <c r="K285" s="63">
        <f>I285*J285</f>
        <v/>
      </c>
      <c r="M285" s="24" t="n"/>
    </row>
    <row r="286">
      <c r="A286" s="22" t="n">
        <v>45803</v>
      </c>
      <c r="B286" s="59" t="n">
        <v>64</v>
      </c>
      <c r="C286" s="24" t="inlineStr">
        <is>
          <t>535F</t>
        </is>
      </c>
      <c r="F286" s="25" t="inlineStr">
        <is>
          <t>PU净味哑光固化剂</t>
        </is>
      </c>
      <c r="G286" s="24" t="n">
        <v>1</v>
      </c>
      <c r="H286" s="24" t="n">
        <v>10</v>
      </c>
      <c r="I286" s="24">
        <f>G286*H286</f>
        <v/>
      </c>
      <c r="J286" s="63" t="n">
        <v>18</v>
      </c>
      <c r="K286" s="63">
        <f>I286*J286</f>
        <v/>
      </c>
      <c r="M286" s="24">
        <f>SUM(K284:K286)</f>
        <v/>
      </c>
    </row>
    <row r="287" customFormat="1" s="11">
      <c r="A287" s="32" t="n">
        <v>45805</v>
      </c>
      <c r="B287" s="61" t="n">
        <v>68</v>
      </c>
      <c r="C287" s="16" t="n">
        <v>9803</v>
      </c>
      <c r="F287" s="31" t="inlineStr">
        <is>
          <t>PE白底漆</t>
        </is>
      </c>
      <c r="G287" s="16" t="n">
        <v>5</v>
      </c>
      <c r="H287" s="16" t="n">
        <v>28</v>
      </c>
      <c r="I287" s="16">
        <f>G287*H287</f>
        <v/>
      </c>
      <c r="J287" s="64" t="n">
        <v>9</v>
      </c>
      <c r="K287" s="64">
        <f>I287*J287</f>
        <v/>
      </c>
      <c r="L287" s="31" t="n">
        <v>9804</v>
      </c>
      <c r="M287" s="16" t="n"/>
    </row>
    <row r="288" customFormat="1" s="11">
      <c r="A288" s="32" t="n">
        <v>45805</v>
      </c>
      <c r="B288" s="61" t="n">
        <v>68</v>
      </c>
      <c r="C288" s="16" t="inlineStr">
        <is>
          <t>HL-9827AA</t>
        </is>
      </c>
      <c r="F288" s="13" t="inlineStr">
        <is>
          <t>PE清底漆</t>
        </is>
      </c>
      <c r="G288" s="16" t="n">
        <v>2</v>
      </c>
      <c r="H288" s="16" t="n">
        <v>25</v>
      </c>
      <c r="I288" s="16">
        <f>G288*H288</f>
        <v/>
      </c>
      <c r="J288" s="64" t="n">
        <v>14</v>
      </c>
      <c r="K288" s="64">
        <f>I288*J288</f>
        <v/>
      </c>
      <c r="L288" s="13" t="n"/>
      <c r="M288" s="16" t="n"/>
    </row>
    <row r="289" customFormat="1" s="11">
      <c r="A289" s="32" t="n">
        <v>45805</v>
      </c>
      <c r="B289" s="61" t="n">
        <v>68</v>
      </c>
      <c r="C289" s="16" t="inlineStr">
        <is>
          <t>522A</t>
        </is>
      </c>
      <c r="F289" s="31" t="inlineStr">
        <is>
          <t>PU哑光浅蓝色漆</t>
        </is>
      </c>
      <c r="G289" s="16" t="n">
        <v>1</v>
      </c>
      <c r="H289" s="16" t="n"/>
      <c r="I289" s="16" t="n"/>
      <c r="J289" s="64" t="n"/>
      <c r="K289" s="64" t="n"/>
      <c r="L289" s="13" t="inlineStr">
        <is>
          <t>打样未留样</t>
        </is>
      </c>
      <c r="M289" s="16" t="n"/>
    </row>
    <row r="290" customFormat="1" s="11">
      <c r="A290" s="32" t="n">
        <v>45805</v>
      </c>
      <c r="B290" s="61" t="n">
        <v>68</v>
      </c>
      <c r="C290" s="16" t="inlineStr">
        <is>
          <t>522B</t>
        </is>
      </c>
      <c r="F290" s="31" t="inlineStr">
        <is>
          <t>PU哑光深蓝色漆</t>
        </is>
      </c>
      <c r="G290" s="16" t="n">
        <v>1</v>
      </c>
      <c r="H290" s="16" t="n"/>
      <c r="I290" s="16" t="n"/>
      <c r="J290" s="64" t="n"/>
      <c r="K290" s="64" t="n"/>
      <c r="L290" s="13" t="inlineStr">
        <is>
          <t>打样未留样</t>
        </is>
      </c>
      <c r="M290" s="16" t="n"/>
    </row>
    <row r="291" customFormat="1" s="11">
      <c r="A291" s="32" t="n">
        <v>45805</v>
      </c>
      <c r="B291" s="61" t="n">
        <v>68</v>
      </c>
      <c r="C291" s="16" t="n">
        <v>566</v>
      </c>
      <c r="F291" s="31" t="inlineStr">
        <is>
          <t>PU哑光米黄色漆</t>
        </is>
      </c>
      <c r="G291" s="16" t="n">
        <v>1</v>
      </c>
      <c r="H291" s="16" t="n"/>
      <c r="I291" s="16" t="n"/>
      <c r="J291" s="64" t="n"/>
      <c r="K291" s="64" t="n"/>
      <c r="L291" s="13" t="inlineStr">
        <is>
          <t>打样未留样</t>
        </is>
      </c>
      <c r="M291" s="16" t="n"/>
    </row>
    <row r="292" customFormat="1" s="12">
      <c r="A292" s="22" t="n">
        <v>45817</v>
      </c>
      <c r="B292" s="59" t="n">
        <v>28</v>
      </c>
      <c r="C292" s="50" t="inlineStr">
        <is>
          <t xml:space="preserve">732#
</t>
        </is>
      </c>
      <c r="F292" s="24" t="inlineStr">
        <is>
          <t>PU净味哑光粉红色漆</t>
        </is>
      </c>
      <c r="G292" s="24" t="n">
        <v>1</v>
      </c>
      <c r="H292" s="24" t="n">
        <v>12</v>
      </c>
      <c r="I292" s="24">
        <f>G292*H292</f>
        <v/>
      </c>
      <c r="J292" s="63" t="n">
        <v>18</v>
      </c>
      <c r="K292" s="63">
        <f>I292*J292</f>
        <v/>
      </c>
      <c r="M292" s="24" t="n"/>
    </row>
    <row r="293" customFormat="1" s="12">
      <c r="A293" s="22" t="n">
        <v>45817</v>
      </c>
      <c r="B293" s="59" t="n">
        <v>28</v>
      </c>
      <c r="C293" s="50" t="inlineStr">
        <is>
          <t xml:space="preserve">731
</t>
        </is>
      </c>
      <c r="F293" s="24" t="inlineStr">
        <is>
          <t>PU净味哑光浅蓝色漆</t>
        </is>
      </c>
      <c r="G293" s="24" t="n">
        <v>1</v>
      </c>
      <c r="H293" s="24" t="n">
        <v>5</v>
      </c>
      <c r="I293" s="24">
        <f>G293*H293</f>
        <v/>
      </c>
      <c r="J293" s="63" t="n">
        <v>18</v>
      </c>
      <c r="K293" s="63">
        <f>I293*J293</f>
        <v/>
      </c>
      <c r="M293" s="24" t="n"/>
    </row>
    <row r="294">
      <c r="A294" s="22" t="n">
        <v>45817</v>
      </c>
      <c r="B294" s="59" t="n">
        <v>28</v>
      </c>
      <c r="C294" s="24" t="inlineStr">
        <is>
          <t>535F</t>
        </is>
      </c>
      <c r="F294" s="25" t="inlineStr">
        <is>
          <t>PU净味哑光固化剂</t>
        </is>
      </c>
      <c r="G294" s="24" t="n">
        <v>1</v>
      </c>
      <c r="H294" s="24" t="n">
        <v>10</v>
      </c>
      <c r="I294" s="24">
        <f>G294*H294</f>
        <v/>
      </c>
      <c r="J294" s="63" t="n">
        <v>18</v>
      </c>
      <c r="K294" s="63">
        <f>I294*J294</f>
        <v/>
      </c>
      <c r="M294" s="24">
        <f>SUM(K292:K294)</f>
        <v/>
      </c>
    </row>
    <row r="295">
      <c r="A295" s="22" t="n">
        <v>45817</v>
      </c>
      <c r="B295" s="59" t="n">
        <v>28</v>
      </c>
      <c r="C295" s="24" t="inlineStr">
        <is>
          <t>900F-1</t>
        </is>
      </c>
      <c r="F295" s="25" t="inlineStr">
        <is>
          <t>PU净味面漆稀释剂</t>
        </is>
      </c>
      <c r="G295" s="24" t="n">
        <v>1</v>
      </c>
      <c r="H295" s="24" t="n">
        <v>180</v>
      </c>
      <c r="I295" s="24">
        <f>G295*H295</f>
        <v/>
      </c>
      <c r="J295" s="63" t="n">
        <v>10.5</v>
      </c>
      <c r="K295" s="63">
        <f>I295*J295</f>
        <v/>
      </c>
      <c r="M295" s="24">
        <f>SUM(K292:K295)</f>
        <v/>
      </c>
    </row>
    <row r="296" customFormat="1" s="16">
      <c r="A296" s="32" t="n">
        <v>45835</v>
      </c>
      <c r="B296" s="61" t="n">
        <v>44</v>
      </c>
      <c r="C296" s="51" t="n"/>
      <c r="F296" s="31" t="inlineStr">
        <is>
          <t>浅黄修边漆</t>
        </is>
      </c>
      <c r="G296" s="16" t="n">
        <v>1</v>
      </c>
      <c r="H296" s="16" t="n">
        <v>2</v>
      </c>
      <c r="I296" s="16">
        <f>G296*H296</f>
        <v/>
      </c>
      <c r="J296" s="64" t="n">
        <v>18</v>
      </c>
      <c r="K296" s="64">
        <f>I296*J296</f>
        <v/>
      </c>
      <c r="L296" s="32" t="n">
        <v>45822</v>
      </c>
      <c r="M296" s="13" t="n"/>
    </row>
    <row r="297" customFormat="1" s="17">
      <c r="A297" s="32" t="n">
        <v>45835</v>
      </c>
      <c r="B297" s="61" t="n">
        <v>44</v>
      </c>
      <c r="C297" s="52" t="inlineStr">
        <is>
          <t>25-6-14*</t>
        </is>
      </c>
      <c r="F297" s="31" t="inlineStr">
        <is>
          <t>PU哑光浅灰砂面漆</t>
        </is>
      </c>
      <c r="G297" s="16" t="n">
        <v>1</v>
      </c>
      <c r="H297" s="16" t="n">
        <v>2</v>
      </c>
      <c r="I297" s="16">
        <f>G297*H297</f>
        <v/>
      </c>
      <c r="J297" s="64" t="n">
        <v>22</v>
      </c>
      <c r="K297" s="64">
        <f>I297*J297</f>
        <v/>
      </c>
      <c r="L297" s="32" t="n">
        <v>45822</v>
      </c>
      <c r="M297" s="16">
        <f>SUM(K296:K297)</f>
        <v/>
      </c>
    </row>
    <row r="298" customFormat="1" s="17">
      <c r="A298" s="32" t="n">
        <v>45835</v>
      </c>
      <c r="B298" s="61" t="n">
        <v>44</v>
      </c>
      <c r="C298" s="16" t="n">
        <v>9803</v>
      </c>
      <c r="F298" s="31" t="inlineStr">
        <is>
          <t>PE白底漆</t>
        </is>
      </c>
      <c r="G298" s="16" t="n">
        <v>10</v>
      </c>
      <c r="H298" s="16" t="n">
        <v>28</v>
      </c>
      <c r="I298" s="16">
        <f>G298*H298</f>
        <v/>
      </c>
      <c r="J298" s="64" t="n">
        <v>9</v>
      </c>
      <c r="K298" s="64">
        <f>I298*J298</f>
        <v/>
      </c>
      <c r="L298" s="16" t="n">
        <v>9804</v>
      </c>
      <c r="M298" s="16" t="n"/>
    </row>
    <row r="299">
      <c r="A299" s="22" t="n">
        <v>45838</v>
      </c>
      <c r="B299" s="59" t="n">
        <v>99</v>
      </c>
      <c r="C299" s="24" t="inlineStr">
        <is>
          <t>522A</t>
        </is>
      </c>
      <c r="F299" s="25" t="inlineStr">
        <is>
          <t>PU哑光浅蓝色漆</t>
        </is>
      </c>
      <c r="G299" s="24" t="n">
        <v>1</v>
      </c>
      <c r="H299" s="24" t="n">
        <v>11</v>
      </c>
      <c r="I299" s="24">
        <f>G299*H299</f>
        <v/>
      </c>
      <c r="J299" s="63" t="n">
        <v>18</v>
      </c>
      <c r="K299" s="63">
        <f>I299*J299</f>
        <v/>
      </c>
      <c r="M299" s="24" t="n"/>
    </row>
    <row r="300">
      <c r="A300" s="22" t="n">
        <v>45838</v>
      </c>
      <c r="B300" s="59" t="n">
        <v>99</v>
      </c>
      <c r="C300" s="24" t="n">
        <v>2022</v>
      </c>
      <c r="F300" s="25" t="inlineStr">
        <is>
          <t>PU哑光棕色漆</t>
        </is>
      </c>
      <c r="G300" s="24" t="n">
        <v>1</v>
      </c>
      <c r="H300" s="24" t="n">
        <v>11</v>
      </c>
      <c r="I300" s="24">
        <f>G300*H300</f>
        <v/>
      </c>
      <c r="J300" s="63" t="n">
        <v>18</v>
      </c>
      <c r="K300" s="63">
        <f>I300*J300</f>
        <v/>
      </c>
      <c r="M300" s="24" t="n"/>
    </row>
    <row r="301">
      <c r="A301" s="22" t="n">
        <v>45838</v>
      </c>
      <c r="B301" s="59" t="n">
        <v>99</v>
      </c>
      <c r="C301" s="24" t="n">
        <v>516</v>
      </c>
      <c r="F301" s="25" t="inlineStr">
        <is>
          <t>PU净味新款哑光象牙白漆</t>
        </is>
      </c>
      <c r="G301" s="24" t="n">
        <v>2</v>
      </c>
      <c r="H301" s="24" t="n">
        <v>26</v>
      </c>
      <c r="I301" s="24">
        <f>G301*H301</f>
        <v/>
      </c>
      <c r="J301" s="63" t="n">
        <v>18</v>
      </c>
      <c r="K301" s="63">
        <f>I301*J301</f>
        <v/>
      </c>
      <c r="M301" s="24" t="n"/>
    </row>
    <row r="302">
      <c r="A302" s="22" t="n">
        <v>45838</v>
      </c>
      <c r="B302" s="59" t="n">
        <v>99</v>
      </c>
      <c r="C302" s="24" t="inlineStr">
        <is>
          <t>535F</t>
        </is>
      </c>
      <c r="F302" s="25" t="inlineStr">
        <is>
          <t>PU净味哑光固化剂</t>
        </is>
      </c>
      <c r="G302" s="24" t="n">
        <v>4</v>
      </c>
      <c r="H302" s="24" t="n">
        <v>10</v>
      </c>
      <c r="I302" s="24">
        <f>G302*H302</f>
        <v/>
      </c>
      <c r="J302" s="63" t="n">
        <v>18</v>
      </c>
      <c r="K302" s="63">
        <f>I302*J302</f>
        <v/>
      </c>
      <c r="L302" s="12">
        <f>SUM(K299:K302)</f>
        <v/>
      </c>
      <c r="M302" s="24" t="n"/>
    </row>
    <row r="303" customFormat="1" s="11">
      <c r="A303" s="32" t="n">
        <v>45839</v>
      </c>
      <c r="B303" s="61" t="n">
        <v>1</v>
      </c>
      <c r="C303" s="16" t="inlineStr">
        <is>
          <t>522B</t>
        </is>
      </c>
      <c r="F303" s="31" t="inlineStr">
        <is>
          <t>PU净味哑光深蓝色漆</t>
        </is>
      </c>
      <c r="G303" s="16" t="n">
        <v>1</v>
      </c>
      <c r="H303" s="16" t="n">
        <v>11</v>
      </c>
      <c r="I303" s="16">
        <f>G303*H303</f>
        <v/>
      </c>
      <c r="J303" s="64" t="n">
        <v>18</v>
      </c>
      <c r="K303" s="64">
        <f>I303*J303</f>
        <v/>
      </c>
      <c r="L303" s="13" t="n"/>
      <c r="M303" s="16" t="n"/>
    </row>
    <row r="304" customFormat="1" s="13">
      <c r="A304" s="32" t="n">
        <v>45839</v>
      </c>
      <c r="B304" s="61" t="n">
        <v>1</v>
      </c>
      <c r="C304" s="51" t="n">
        <v>711</v>
      </c>
      <c r="F304" s="13" t="inlineStr">
        <is>
          <t>PU净味哑光浅蓝色漆</t>
        </is>
      </c>
      <c r="G304" s="16" t="n">
        <v>1</v>
      </c>
      <c r="H304" s="16" t="n">
        <v>6</v>
      </c>
      <c r="I304" s="16">
        <f>G304*H304</f>
        <v/>
      </c>
      <c r="J304" s="64" t="n">
        <v>18</v>
      </c>
      <c r="K304" s="64">
        <f>I304*J304</f>
        <v/>
      </c>
      <c r="M304" s="16" t="n"/>
    </row>
    <row r="305" ht="23" customFormat="1" customHeight="1" s="18">
      <c r="A305" s="22" t="n">
        <v>45843</v>
      </c>
      <c r="B305" s="59" t="n">
        <v>15</v>
      </c>
      <c r="C305" s="24" t="n">
        <v>9803</v>
      </c>
      <c r="F305" s="25" t="inlineStr">
        <is>
          <t>PE白底漆</t>
        </is>
      </c>
      <c r="G305" s="24" t="n">
        <v>10</v>
      </c>
      <c r="H305" s="24" t="n">
        <v>28</v>
      </c>
      <c r="I305" s="24">
        <f>G305*H305</f>
        <v/>
      </c>
      <c r="J305" s="63" t="n">
        <v>9</v>
      </c>
      <c r="K305" s="63">
        <f>I305*J305</f>
        <v/>
      </c>
      <c r="L305" s="24" t="n">
        <v>9804</v>
      </c>
      <c r="M305" s="24" t="n"/>
    </row>
    <row r="306" customFormat="1" s="11">
      <c r="A306" s="32" t="n">
        <v>45846</v>
      </c>
      <c r="B306" s="61" t="n">
        <v>21</v>
      </c>
      <c r="C306" s="16" t="n">
        <v>516</v>
      </c>
      <c r="F306" s="31" t="inlineStr">
        <is>
          <t>PU净味新款哑光象牙白漆</t>
        </is>
      </c>
      <c r="G306" s="16" t="n">
        <v>1</v>
      </c>
      <c r="H306" s="16" t="n">
        <v>26</v>
      </c>
      <c r="I306" s="16">
        <f>G306*H306</f>
        <v/>
      </c>
      <c r="J306" s="64" t="n">
        <v>18</v>
      </c>
      <c r="K306" s="64">
        <f>I306*J306</f>
        <v/>
      </c>
      <c r="L306" s="13" t="inlineStr">
        <is>
          <t>已编号：516</t>
        </is>
      </c>
      <c r="M306" s="16" t="n"/>
    </row>
    <row r="307" customFormat="1" s="11">
      <c r="A307" s="32" t="n">
        <v>45846</v>
      </c>
      <c r="B307" s="61" t="n">
        <v>21</v>
      </c>
      <c r="C307" s="16" t="n">
        <v>516</v>
      </c>
      <c r="F307" s="31" t="inlineStr">
        <is>
          <t>PU净味新款哑光象牙白漆</t>
        </is>
      </c>
      <c r="G307" s="16" t="n">
        <v>1</v>
      </c>
      <c r="H307" s="16" t="n">
        <v>25</v>
      </c>
      <c r="I307" s="16">
        <f>G307*H307</f>
        <v/>
      </c>
      <c r="J307" s="64" t="n">
        <v>18</v>
      </c>
      <c r="K307" s="64">
        <f>I307*J307</f>
        <v/>
      </c>
      <c r="L307" s="13" t="inlineStr">
        <is>
          <t>已编号：516</t>
        </is>
      </c>
      <c r="M307" s="16" t="n"/>
    </row>
    <row r="308" customFormat="1" s="13">
      <c r="A308" s="32" t="n">
        <v>45846</v>
      </c>
      <c r="B308" s="61" t="n">
        <v>21</v>
      </c>
      <c r="C308" s="51" t="inlineStr">
        <is>
          <t xml:space="preserve">732#
</t>
        </is>
      </c>
      <c r="F308" s="31" t="inlineStr">
        <is>
          <t>PU净味哑光粉红色漆</t>
        </is>
      </c>
      <c r="G308" s="16" t="n">
        <v>1</v>
      </c>
      <c r="H308" s="16" t="n">
        <v>15</v>
      </c>
      <c r="I308" s="16">
        <f>G308*H308</f>
        <v/>
      </c>
      <c r="J308" s="64" t="n">
        <v>18</v>
      </c>
      <c r="K308" s="64">
        <f>I308*J308</f>
        <v/>
      </c>
      <c r="M308" s="16" t="n"/>
    </row>
    <row r="309" customFormat="1" s="11">
      <c r="A309" s="32" t="n">
        <v>45846</v>
      </c>
      <c r="B309" s="61" t="n">
        <v>21</v>
      </c>
      <c r="C309" s="16" t="inlineStr">
        <is>
          <t>557A(556-558)</t>
        </is>
      </c>
      <c r="F309" s="31" t="inlineStr">
        <is>
          <t>PU净味哑光浅淡黄色漆</t>
        </is>
      </c>
      <c r="G309" s="16" t="n">
        <v>2</v>
      </c>
      <c r="H309" s="16" t="n">
        <v>26</v>
      </c>
      <c r="I309" s="16">
        <f>G309*H309</f>
        <v/>
      </c>
      <c r="J309" s="64" t="n">
        <v>18</v>
      </c>
      <c r="K309" s="64">
        <f>I309*J309</f>
        <v/>
      </c>
      <c r="L309" s="13" t="inlineStr">
        <is>
          <t>主色</t>
        </is>
      </c>
      <c r="M309" s="16" t="n"/>
    </row>
    <row r="310" customFormat="1" s="11">
      <c r="A310" s="32" t="n">
        <v>45846</v>
      </c>
      <c r="B310" s="61" t="n">
        <v>21</v>
      </c>
      <c r="C310" s="16" t="inlineStr">
        <is>
          <t>557A(556-558)</t>
        </is>
      </c>
      <c r="F310" s="31" t="inlineStr">
        <is>
          <t>PU净味哑光浅淡黄色漆</t>
        </is>
      </c>
      <c r="G310" s="16" t="n">
        <v>1</v>
      </c>
      <c r="H310" s="16" t="n">
        <v>25</v>
      </c>
      <c r="I310" s="16">
        <f>G310*H310</f>
        <v/>
      </c>
      <c r="J310" s="64" t="n">
        <v>18</v>
      </c>
      <c r="K310" s="64">
        <f>I310*J310</f>
        <v/>
      </c>
      <c r="L310" s="13" t="inlineStr">
        <is>
          <t>主色</t>
        </is>
      </c>
      <c r="M310" s="16" t="n"/>
    </row>
    <row r="311" customFormat="1" s="11">
      <c r="A311" s="32" t="n">
        <v>45846</v>
      </c>
      <c r="B311" s="61" t="n">
        <v>21</v>
      </c>
      <c r="C311" s="16" t="inlineStr">
        <is>
          <t>535F</t>
        </is>
      </c>
      <c r="F311" s="31" t="inlineStr">
        <is>
          <t>PU净味哑光固化剂</t>
        </is>
      </c>
      <c r="G311" s="16" t="n">
        <v>6</v>
      </c>
      <c r="H311" s="16" t="n">
        <v>10</v>
      </c>
      <c r="I311" s="16">
        <f>G311*H311</f>
        <v/>
      </c>
      <c r="J311" s="64" t="n">
        <v>18</v>
      </c>
      <c r="K311" s="64">
        <f>I311*J311</f>
        <v/>
      </c>
      <c r="L311" s="13">
        <f>SUM(K306:K311)</f>
        <v/>
      </c>
      <c r="M311" s="16" t="n"/>
    </row>
    <row r="312">
      <c r="A312" s="22" t="n">
        <v>45852</v>
      </c>
      <c r="B312" s="59" t="n">
        <v>50</v>
      </c>
      <c r="C312" s="24" t="inlineStr">
        <is>
          <t>557A(556-558)</t>
        </is>
      </c>
      <c r="F312" s="25" t="inlineStr">
        <is>
          <t>PU净味哑光浅淡黄色漆</t>
        </is>
      </c>
      <c r="G312" s="24" t="n">
        <v>3</v>
      </c>
      <c r="H312" s="24" t="n">
        <v>26</v>
      </c>
      <c r="I312" s="24">
        <f>G312*H312</f>
        <v/>
      </c>
      <c r="J312" s="63" t="n">
        <v>18</v>
      </c>
      <c r="K312" s="63">
        <f>I312*J312</f>
        <v/>
      </c>
      <c r="L312" s="12" t="inlineStr">
        <is>
          <t>主色</t>
        </is>
      </c>
      <c r="M312" s="24" t="n"/>
    </row>
    <row r="313">
      <c r="A313" s="22" t="n">
        <v>45852</v>
      </c>
      <c r="B313" s="59" t="n">
        <v>50</v>
      </c>
      <c r="C313" s="24" t="inlineStr">
        <is>
          <t>535F</t>
        </is>
      </c>
      <c r="F313" s="25" t="inlineStr">
        <is>
          <t>PU净味哑光固化剂</t>
        </is>
      </c>
      <c r="G313" s="24" t="n">
        <v>3</v>
      </c>
      <c r="H313" s="24" t="n">
        <v>10</v>
      </c>
      <c r="I313" s="24">
        <f>G313*H313</f>
        <v/>
      </c>
      <c r="J313" s="63" t="n">
        <v>18</v>
      </c>
      <c r="K313" s="63">
        <f>I313*J313</f>
        <v/>
      </c>
      <c r="L313" s="12">
        <f>SUM(K308:K313)</f>
        <v/>
      </c>
      <c r="M313" s="24" t="n"/>
    </row>
    <row r="314" customFormat="1" s="11">
      <c r="A314" s="32" t="n">
        <v>45857</v>
      </c>
      <c r="B314" s="61" t="n">
        <v>69</v>
      </c>
      <c r="C314" s="16" t="inlineStr">
        <is>
          <t>HL-9827AA</t>
        </is>
      </c>
      <c r="F314" s="13" t="inlineStr">
        <is>
          <t>PE清底漆</t>
        </is>
      </c>
      <c r="G314" s="16" t="n">
        <v>4</v>
      </c>
      <c r="H314" s="16" t="n">
        <v>25</v>
      </c>
      <c r="I314" s="16">
        <f>G314*H314</f>
        <v/>
      </c>
      <c r="J314" s="64" t="n">
        <v>14</v>
      </c>
      <c r="K314" s="64">
        <f>I314*J314</f>
        <v/>
      </c>
      <c r="L314" s="13" t="n"/>
      <c r="M314" s="16" t="n"/>
    </row>
    <row r="315">
      <c r="A315" s="22" t="n">
        <v>45860</v>
      </c>
      <c r="B315" s="59" t="n">
        <v>74</v>
      </c>
      <c r="C315" s="24" t="inlineStr">
        <is>
          <t>HL-9827AA</t>
        </is>
      </c>
      <c r="F315" s="12" t="inlineStr">
        <is>
          <t>PE清底漆</t>
        </is>
      </c>
      <c r="G315" s="24" t="n">
        <v>2</v>
      </c>
      <c r="H315" s="24" t="n">
        <v>25</v>
      </c>
      <c r="I315" s="24">
        <f>G315*H315</f>
        <v/>
      </c>
      <c r="J315" s="63" t="n">
        <v>14</v>
      </c>
      <c r="K315" s="63">
        <f>I315*J315</f>
        <v/>
      </c>
      <c r="M315" s="24" t="n"/>
    </row>
    <row r="316">
      <c r="A316" s="22" t="n">
        <v>45860</v>
      </c>
      <c r="B316" s="59" t="n">
        <v>74</v>
      </c>
      <c r="C316" s="24" t="inlineStr">
        <is>
          <t>7225-70F</t>
        </is>
      </c>
      <c r="F316" s="25" t="inlineStr">
        <is>
          <t>PU净味三分光清面漆</t>
        </is>
      </c>
      <c r="G316" s="24" t="n">
        <v>1</v>
      </c>
      <c r="H316" s="24" t="n">
        <v>20</v>
      </c>
      <c r="I316" s="24">
        <f>G316*H316</f>
        <v/>
      </c>
      <c r="J316" s="63" t="n">
        <v>18</v>
      </c>
      <c r="K316" s="63">
        <f>I316*J316</f>
        <v/>
      </c>
      <c r="M316" s="24" t="n"/>
    </row>
    <row r="317">
      <c r="A317" s="22" t="n">
        <v>45860</v>
      </c>
      <c r="B317" s="59" t="n">
        <v>74</v>
      </c>
      <c r="C317" s="24" t="inlineStr">
        <is>
          <t>535F</t>
        </is>
      </c>
      <c r="F317" s="25" t="inlineStr">
        <is>
          <t>PU净味哑光固化剂</t>
        </is>
      </c>
      <c r="G317" s="24" t="n">
        <v>1</v>
      </c>
      <c r="H317" s="24" t="n">
        <v>10</v>
      </c>
      <c r="I317" s="24">
        <f>G317*H317</f>
        <v/>
      </c>
      <c r="J317" s="63" t="n">
        <v>18</v>
      </c>
      <c r="K317" s="63">
        <f>I317*J317</f>
        <v/>
      </c>
      <c r="L317" s="12">
        <f>SUM(K312:K317)</f>
        <v/>
      </c>
      <c r="M317" s="24" t="n"/>
    </row>
    <row r="318" customFormat="1" s="11">
      <c r="A318" s="32" t="n">
        <v>45860</v>
      </c>
      <c r="B318" s="61" t="n">
        <v>77</v>
      </c>
      <c r="C318" s="16" t="inlineStr">
        <is>
          <t>7225-70F</t>
        </is>
      </c>
      <c r="F318" s="31" t="inlineStr">
        <is>
          <t>PU净味三分光清面漆</t>
        </is>
      </c>
      <c r="G318" s="16" t="n">
        <v>1</v>
      </c>
      <c r="H318" s="16" t="n">
        <v>20</v>
      </c>
      <c r="I318" s="16">
        <f>G318*H318</f>
        <v/>
      </c>
      <c r="J318" s="64" t="n">
        <v>18</v>
      </c>
      <c r="K318" s="64">
        <f>I318*J318</f>
        <v/>
      </c>
      <c r="L318" s="13" t="n"/>
      <c r="M318" s="16" t="n"/>
    </row>
    <row r="319" customFormat="1" s="11">
      <c r="A319" s="32" t="n">
        <v>45860</v>
      </c>
      <c r="B319" s="61" t="n">
        <v>77</v>
      </c>
      <c r="C319" s="16" t="inlineStr">
        <is>
          <t>535F</t>
        </is>
      </c>
      <c r="F319" s="31" t="inlineStr">
        <is>
          <t>PU净味哑光固化剂</t>
        </is>
      </c>
      <c r="G319" s="16" t="n">
        <v>1</v>
      </c>
      <c r="H319" s="16" t="n">
        <v>10</v>
      </c>
      <c r="I319" s="16">
        <f>G319*H319</f>
        <v/>
      </c>
      <c r="J319" s="64" t="n">
        <v>18</v>
      </c>
      <c r="K319" s="64">
        <f>I319*J319</f>
        <v/>
      </c>
      <c r="L319" s="13">
        <f>SUM(K318:K319)</f>
        <v/>
      </c>
      <c r="M319" s="16" t="n"/>
    </row>
    <row r="320" ht="23" customFormat="1" customHeight="1" s="18">
      <c r="A320" s="22" t="n">
        <v>45867</v>
      </c>
      <c r="B320" s="59" t="n">
        <v>90</v>
      </c>
      <c r="C320" s="24" t="n">
        <v>9803</v>
      </c>
      <c r="F320" s="25" t="inlineStr">
        <is>
          <t>PE白底漆</t>
        </is>
      </c>
      <c r="G320" s="24" t="n">
        <v>4</v>
      </c>
      <c r="H320" s="24" t="n">
        <v>28</v>
      </c>
      <c r="I320" s="24">
        <f>G320*H320</f>
        <v/>
      </c>
      <c r="J320" s="63" t="n">
        <v>9</v>
      </c>
      <c r="K320" s="63">
        <f>I320*J320</f>
        <v/>
      </c>
      <c r="L320" s="24" t="inlineStr">
        <is>
          <t>28/7 9804</t>
        </is>
      </c>
      <c r="M320" s="24" t="n"/>
    </row>
    <row r="321" ht="23" customFormat="1" customHeight="1" s="18">
      <c r="A321" s="22" t="n">
        <v>45867</v>
      </c>
      <c r="B321" s="59" t="n">
        <v>90</v>
      </c>
      <c r="C321" s="24" t="n">
        <v>9803</v>
      </c>
      <c r="F321" s="25" t="inlineStr">
        <is>
          <t>PE白底漆</t>
        </is>
      </c>
      <c r="G321" s="24" t="n">
        <v>6</v>
      </c>
      <c r="H321" s="24" t="n">
        <v>28</v>
      </c>
      <c r="I321" s="24">
        <f>G321*H321</f>
        <v/>
      </c>
      <c r="J321" s="63" t="n">
        <v>9</v>
      </c>
      <c r="K321" s="63">
        <f>I321*J321</f>
        <v/>
      </c>
      <c r="L321" s="24" t="n">
        <v>9804</v>
      </c>
      <c r="M321" s="24" t="n"/>
    </row>
    <row r="322" customFormat="1" s="11">
      <c r="A322" s="32" t="n">
        <v>45871</v>
      </c>
      <c r="B322" s="61" t="n">
        <v>1</v>
      </c>
      <c r="C322" s="16" t="inlineStr">
        <is>
          <t>2662餐边柜门板</t>
        </is>
      </c>
      <c r="F322" s="31" t="inlineStr">
        <is>
          <t>PU净味哑光浅黄色漆</t>
        </is>
      </c>
      <c r="G322" s="16" t="n">
        <v>3</v>
      </c>
      <c r="H322" s="16" t="n">
        <v>25</v>
      </c>
      <c r="I322" s="16">
        <f>G322*H322</f>
        <v/>
      </c>
      <c r="J322" s="64" t="n"/>
      <c r="K322" s="64">
        <f>I322*J322</f>
        <v/>
      </c>
      <c r="L322" s="15" t="inlineStr">
        <is>
          <t>补 8月以前改色的100-75=25KG下欠</t>
        </is>
      </c>
      <c r="M322" s="28" t="n"/>
      <c r="N322" s="10" t="n"/>
      <c r="O322" s="10" t="n"/>
    </row>
    <row r="323" customFormat="1" s="11">
      <c r="A323" s="32" t="n">
        <v>45871</v>
      </c>
      <c r="B323" s="61" t="n">
        <v>1</v>
      </c>
      <c r="C323" s="16" t="inlineStr">
        <is>
          <t>535F</t>
        </is>
      </c>
      <c r="F323" s="31" t="inlineStr">
        <is>
          <t>PU净味哑光固化剂</t>
        </is>
      </c>
      <c r="G323" s="16" t="n">
        <v>4</v>
      </c>
      <c r="H323" s="16" t="n">
        <v>10</v>
      </c>
      <c r="I323" s="16">
        <f>G323*H323</f>
        <v/>
      </c>
      <c r="J323" s="64" t="n">
        <v>18</v>
      </c>
      <c r="K323" s="64">
        <f>I323*J323</f>
        <v/>
      </c>
      <c r="L323" s="13" t="n"/>
      <c r="M323" s="16">
        <f>SUM(K321:K323)</f>
        <v/>
      </c>
    </row>
    <row r="324" customFormat="1" s="11">
      <c r="A324" s="32" t="n">
        <v>45871</v>
      </c>
      <c r="B324" s="61" t="n">
        <v>1</v>
      </c>
      <c r="C324" s="16" t="inlineStr">
        <is>
          <t>900F-1</t>
        </is>
      </c>
      <c r="F324" s="31" t="inlineStr">
        <is>
          <t>PU净味面漆稀释剂</t>
        </is>
      </c>
      <c r="G324" s="16" t="n">
        <v>1</v>
      </c>
      <c r="H324" s="16" t="n">
        <v>180</v>
      </c>
      <c r="I324" s="16">
        <f>G324*H324</f>
        <v/>
      </c>
      <c r="J324" s="64" t="n">
        <v>10.5</v>
      </c>
      <c r="K324" s="64">
        <f>I324*J324</f>
        <v/>
      </c>
      <c r="L324" s="13" t="n"/>
      <c r="M324" s="16">
        <f>SUM(K321:K324)</f>
        <v/>
      </c>
    </row>
    <row r="325" ht="23" customFormat="1" customHeight="1" s="18">
      <c r="A325" s="22" t="n">
        <v>45881</v>
      </c>
      <c r="B325" s="59" t="n">
        <v>21</v>
      </c>
      <c r="C325" s="24" t="n">
        <v>9803</v>
      </c>
      <c r="F325" s="25" t="inlineStr">
        <is>
          <t>PE白底漆</t>
        </is>
      </c>
      <c r="G325" s="24" t="n">
        <v>5</v>
      </c>
      <c r="H325" s="24" t="n">
        <v>28</v>
      </c>
      <c r="I325" s="24">
        <f>G325*H325</f>
        <v/>
      </c>
      <c r="J325" s="63" t="n">
        <v>9</v>
      </c>
      <c r="K325" s="63">
        <f>I325*J325</f>
        <v/>
      </c>
      <c r="L325" s="25" t="n">
        <v>9804</v>
      </c>
      <c r="M325" s="24" t="inlineStr">
        <is>
          <t>11/8未签单</t>
        </is>
      </c>
    </row>
    <row r="326">
      <c r="A326" s="22" t="n">
        <v>45881</v>
      </c>
      <c r="B326" s="59" t="n">
        <v>21</v>
      </c>
      <c r="C326" s="24" t="inlineStr">
        <is>
          <t>222A(2662)</t>
        </is>
      </c>
      <c r="F326" s="25" t="inlineStr">
        <is>
          <t>PU净味哑光浅黄色漆</t>
        </is>
      </c>
      <c r="G326" s="24" t="n">
        <v>1</v>
      </c>
      <c r="H326" s="24" t="n">
        <v>25</v>
      </c>
      <c r="I326" s="24">
        <f>G326*H326</f>
        <v/>
      </c>
      <c r="J326" s="63" t="n">
        <v>18</v>
      </c>
      <c r="K326" s="63">
        <f>I326*J326</f>
        <v/>
      </c>
      <c r="L326" s="12" t="inlineStr">
        <is>
          <t>餐边柜门板</t>
        </is>
      </c>
      <c r="M326" s="24" t="n"/>
    </row>
    <row r="327">
      <c r="A327" s="22" t="n">
        <v>45881</v>
      </c>
      <c r="B327" s="59" t="n">
        <v>21</v>
      </c>
      <c r="C327" s="24" t="inlineStr">
        <is>
          <t>222B（730）</t>
        </is>
      </c>
      <c r="F327" s="25" t="inlineStr">
        <is>
          <t>PU净味哑光粉绿色漆</t>
        </is>
      </c>
      <c r="G327" s="24" t="n">
        <v>1</v>
      </c>
      <c r="H327" s="24" t="n">
        <v>25</v>
      </c>
      <c r="I327" s="24">
        <f>G327*H327</f>
        <v/>
      </c>
      <c r="J327" s="63" t="n">
        <v>18</v>
      </c>
      <c r="K327" s="63">
        <f>I327*J327</f>
        <v/>
      </c>
      <c r="M327" s="24" t="n"/>
    </row>
    <row r="328">
      <c r="A328" s="22" t="n">
        <v>45881</v>
      </c>
      <c r="B328" s="59" t="n">
        <v>21</v>
      </c>
      <c r="C328" s="24" t="n">
        <v>516</v>
      </c>
      <c r="F328" s="25" t="inlineStr">
        <is>
          <t>PU净味新款哑光象牙白漆</t>
        </is>
      </c>
      <c r="G328" s="24" t="n">
        <v>1</v>
      </c>
      <c r="H328" s="24" t="n">
        <v>13</v>
      </c>
      <c r="I328" s="24">
        <f>G328*H328</f>
        <v/>
      </c>
      <c r="J328" s="63" t="n">
        <v>18</v>
      </c>
      <c r="K328" s="63">
        <f>I328*J328</f>
        <v/>
      </c>
      <c r="M328" s="24" t="n"/>
    </row>
    <row r="329">
      <c r="A329" s="22" t="n">
        <v>45881</v>
      </c>
      <c r="B329" s="59" t="n">
        <v>21</v>
      </c>
      <c r="C329" s="24" t="inlineStr">
        <is>
          <t>535F</t>
        </is>
      </c>
      <c r="F329" s="25" t="inlineStr">
        <is>
          <t>PU净味哑光固化剂</t>
        </is>
      </c>
      <c r="G329" s="24" t="n">
        <v>4</v>
      </c>
      <c r="H329" s="24" t="n">
        <v>10</v>
      </c>
      <c r="I329" s="24">
        <f>G329*H329</f>
        <v/>
      </c>
      <c r="J329" s="63" t="n">
        <v>18</v>
      </c>
      <c r="K329" s="63">
        <f>I329*J329</f>
        <v/>
      </c>
      <c r="L329" s="12">
        <f>SUM(K325:K329)</f>
        <v/>
      </c>
      <c r="M329" s="24" t="n"/>
    </row>
    <row r="330" customFormat="1" s="11">
      <c r="A330" s="32" t="n">
        <v>45882</v>
      </c>
      <c r="B330" s="61" t="inlineStr">
        <is>
          <t>26号</t>
        </is>
      </c>
      <c r="C330" s="32" t="n">
        <v>45881</v>
      </c>
      <c r="F330" s="13" t="inlineStr">
        <is>
          <t>PE白底漆稀料</t>
        </is>
      </c>
      <c r="G330" s="16" t="n">
        <v>2</v>
      </c>
      <c r="H330" s="16" t="n">
        <v>18</v>
      </c>
      <c r="I330" s="16">
        <f>G330*H330</f>
        <v/>
      </c>
      <c r="J330" s="64" t="n">
        <v>5.5</v>
      </c>
      <c r="K330" s="64">
        <f>I330*J330</f>
        <v/>
      </c>
      <c r="L330" s="13" t="n"/>
      <c r="M330" s="16" t="n"/>
    </row>
    <row r="331" customFormat="1" s="11">
      <c r="A331" s="32" t="n">
        <v>45882</v>
      </c>
      <c r="B331" s="61" t="inlineStr">
        <is>
          <t>26号</t>
        </is>
      </c>
      <c r="C331" s="32" t="n">
        <v>45882</v>
      </c>
      <c r="F331" s="13" t="inlineStr">
        <is>
          <t>PE白底漆稀料</t>
        </is>
      </c>
      <c r="G331" s="16" t="n">
        <v>3</v>
      </c>
      <c r="H331" s="16" t="n">
        <v>18</v>
      </c>
      <c r="I331" s="16">
        <f>G331*H331</f>
        <v/>
      </c>
      <c r="J331" s="64" t="n">
        <v>5.5</v>
      </c>
      <c r="K331" s="64">
        <f>I331*J331</f>
        <v/>
      </c>
      <c r="L331" s="13">
        <f>SUM(K330:K331)</f>
        <v/>
      </c>
      <c r="M331" s="16" t="n"/>
    </row>
    <row r="332">
      <c r="A332" s="22" t="n">
        <v>45882</v>
      </c>
      <c r="B332" s="59" t="inlineStr">
        <is>
          <t>27号</t>
        </is>
      </c>
      <c r="C332" s="24" t="n">
        <v>9803</v>
      </c>
      <c r="F332" s="25" t="inlineStr">
        <is>
          <t>PE白底漆</t>
        </is>
      </c>
      <c r="G332" s="24" t="n">
        <v>4</v>
      </c>
      <c r="H332" s="24" t="n">
        <v>28</v>
      </c>
      <c r="I332" s="24">
        <f>G332*H332</f>
        <v/>
      </c>
      <c r="J332" s="63" t="n">
        <v>9</v>
      </c>
      <c r="K332" s="63">
        <f>I332*J332</f>
        <v/>
      </c>
      <c r="M332" s="24" t="n"/>
    </row>
    <row r="333" customFormat="1" s="11">
      <c r="A333" s="32" t="n">
        <v>45884</v>
      </c>
      <c r="B333" s="61" t="n">
        <v>36</v>
      </c>
      <c r="C333" s="16" t="n">
        <v>9803</v>
      </c>
      <c r="F333" s="31" t="inlineStr">
        <is>
          <t>PE白底漆</t>
        </is>
      </c>
      <c r="G333" s="16" t="n">
        <v>2</v>
      </c>
      <c r="H333" s="16" t="n">
        <v>28</v>
      </c>
      <c r="I333" s="16">
        <f>G333*H333</f>
        <v/>
      </c>
      <c r="J333" s="64" t="n">
        <v>9</v>
      </c>
      <c r="K333" s="64">
        <f>I333*J333</f>
        <v/>
      </c>
      <c r="L333" s="13" t="n"/>
      <c r="M333" s="16" t="n"/>
    </row>
    <row r="334">
      <c r="A334" s="22" t="n">
        <v>45885</v>
      </c>
      <c r="B334" s="59" t="n">
        <v>40</v>
      </c>
      <c r="C334" s="24" t="n">
        <v>516</v>
      </c>
      <c r="F334" s="25" t="inlineStr">
        <is>
          <t>PU净味新款哑光象牙白漆</t>
        </is>
      </c>
      <c r="G334" s="24" t="n">
        <v>1</v>
      </c>
      <c r="H334" s="24" t="n">
        <v>10</v>
      </c>
      <c r="I334" s="24">
        <f>G334*H334</f>
        <v/>
      </c>
      <c r="J334" s="63" t="n">
        <v>18</v>
      </c>
      <c r="K334" s="63">
        <f>I334*J334</f>
        <v/>
      </c>
      <c r="M334" s="24" t="n"/>
    </row>
    <row r="335" customFormat="1" s="11">
      <c r="A335" s="32" t="n">
        <v>45887</v>
      </c>
      <c r="B335" s="61" t="n">
        <v>41</v>
      </c>
      <c r="C335" s="16" t="inlineStr">
        <is>
          <t>535F</t>
        </is>
      </c>
      <c r="F335" s="31" t="inlineStr">
        <is>
          <t>PU净味哑光固化剂</t>
        </is>
      </c>
      <c r="G335" s="16" t="n">
        <v>1</v>
      </c>
      <c r="H335" s="16" t="n">
        <v>10</v>
      </c>
      <c r="I335" s="16">
        <f>G335*H335</f>
        <v/>
      </c>
      <c r="J335" s="64" t="n">
        <v>18</v>
      </c>
      <c r="K335" s="64">
        <f>I335*J335</f>
        <v/>
      </c>
      <c r="L335" s="13">
        <f>K335</f>
        <v/>
      </c>
      <c r="M335" s="16" t="n"/>
    </row>
    <row r="336">
      <c r="A336" s="22" t="n">
        <v>45890</v>
      </c>
      <c r="B336" s="59" t="inlineStr">
        <is>
          <t>未开单</t>
        </is>
      </c>
      <c r="C336" s="24" t="inlineStr">
        <is>
          <t>干板样</t>
        </is>
      </c>
      <c r="F336" s="25" t="inlineStr">
        <is>
          <t>PU净味哑光粉色漆</t>
        </is>
      </c>
      <c r="G336" s="24" t="n">
        <v>1</v>
      </c>
      <c r="H336" s="24" t="n">
        <v>1</v>
      </c>
      <c r="I336" s="24">
        <f>G336*H336</f>
        <v/>
      </c>
      <c r="J336" s="63" t="n">
        <v>18</v>
      </c>
      <c r="K336" s="63">
        <f>I336*J336</f>
        <v/>
      </c>
      <c r="L336" s="12" t="inlineStr">
        <is>
          <t>未留样</t>
        </is>
      </c>
      <c r="M336" s="24" t="n"/>
    </row>
    <row r="337" customFormat="1" s="10">
      <c r="A337" s="37" t="n">
        <v>45891</v>
      </c>
      <c r="B337" s="65" t="n">
        <v>56</v>
      </c>
      <c r="C337" s="28" t="inlineStr">
        <is>
          <t>退货</t>
        </is>
      </c>
      <c r="F337" s="39" t="inlineStr">
        <is>
          <t>8月前原油108KG-75KG=33</t>
        </is>
      </c>
      <c r="G337" s="28" t="n">
        <v>-1</v>
      </c>
      <c r="H337" s="28" t="n">
        <v>25</v>
      </c>
      <c r="I337" s="28">
        <f>G337*H337</f>
        <v/>
      </c>
      <c r="J337" s="66" t="n">
        <v>18</v>
      </c>
      <c r="K337" s="66">
        <f>I337*J337</f>
        <v/>
      </c>
      <c r="L337" s="10" t="inlineStr">
        <is>
          <t>2/8减75KG+8kg：扣包装桶</t>
        </is>
      </c>
      <c r="M337" s="28" t="n"/>
      <c r="N337" s="53" t="inlineStr">
        <is>
          <t>已放假</t>
        </is>
      </c>
    </row>
    <row r="338" customFormat="1" s="10">
      <c r="A338" s="37" t="n">
        <v>45891</v>
      </c>
      <c r="B338" s="65" t="n">
        <v>56</v>
      </c>
      <c r="C338" s="28" t="inlineStr">
        <is>
          <t>退货</t>
        </is>
      </c>
      <c r="F338" s="39" t="inlineStr">
        <is>
          <t>8月前原油108KG-75KG-25kg=8</t>
        </is>
      </c>
      <c r="G338" s="28" t="n">
        <v>1</v>
      </c>
      <c r="H338" s="28" t="n">
        <v>8</v>
      </c>
      <c r="I338" s="28">
        <f>G338*H338</f>
        <v/>
      </c>
      <c r="J338" s="66" t="n"/>
      <c r="K338" s="66" t="n"/>
      <c r="L338" s="10" t="inlineStr">
        <is>
          <t>危废包装桶</t>
        </is>
      </c>
      <c r="M338" s="28" t="n"/>
    </row>
    <row r="339" customFormat="1" s="10">
      <c r="A339" s="37" t="n">
        <v>45891</v>
      </c>
      <c r="B339" s="65" t="n">
        <v>56</v>
      </c>
      <c r="C339" s="28" t="inlineStr">
        <is>
          <t>退货</t>
        </is>
      </c>
      <c r="F339" s="15" t="inlineStr">
        <is>
          <t>PE清底漆</t>
        </is>
      </c>
      <c r="G339" s="28" t="n">
        <v>-1</v>
      </c>
      <c r="H339" s="28" t="n">
        <v>25</v>
      </c>
      <c r="I339" s="28">
        <f>G339*H339</f>
        <v/>
      </c>
      <c r="J339" s="66" t="n">
        <v>14</v>
      </c>
      <c r="K339" s="66">
        <f>I339*J339</f>
        <v/>
      </c>
      <c r="L339" s="54" t="n">
        <v>45891</v>
      </c>
      <c r="M339" s="28" t="n"/>
    </row>
    <row r="340" customFormat="1" s="10">
      <c r="A340" s="37" t="n">
        <v>45891</v>
      </c>
      <c r="B340" s="65" t="n">
        <v>56</v>
      </c>
      <c r="C340" s="28" t="inlineStr">
        <is>
          <t>退货</t>
        </is>
      </c>
      <c r="F340" s="29" t="inlineStr">
        <is>
          <t>色漆</t>
        </is>
      </c>
      <c r="G340" s="28" t="n">
        <v>-1</v>
      </c>
      <c r="H340" s="28" t="n">
        <v>101</v>
      </c>
      <c r="I340" s="28">
        <f>G340*H340</f>
        <v/>
      </c>
      <c r="J340" s="66" t="n">
        <v>18</v>
      </c>
      <c r="K340" s="66">
        <f>I340*J340</f>
        <v/>
      </c>
      <c r="L340" s="54" t="n">
        <v>45891</v>
      </c>
      <c r="M340" s="28" t="n"/>
    </row>
    <row r="341" customFormat="1" s="10">
      <c r="A341" s="37" t="n">
        <v>45891</v>
      </c>
      <c r="B341" s="65" t="n">
        <v>56</v>
      </c>
      <c r="C341" s="28" t="inlineStr">
        <is>
          <t>退货</t>
        </is>
      </c>
      <c r="F341" s="15" t="inlineStr">
        <is>
          <t>PE白底漆稀料</t>
        </is>
      </c>
      <c r="G341" s="28" t="n">
        <v>-2</v>
      </c>
      <c r="H341" s="28" t="n">
        <v>18</v>
      </c>
      <c r="I341" s="28">
        <f>G341*H341</f>
        <v/>
      </c>
      <c r="J341" s="66" t="n">
        <v>5.5</v>
      </c>
      <c r="K341" s="66">
        <f>I341*J341</f>
        <v/>
      </c>
      <c r="L341" s="54" t="n">
        <v>45891</v>
      </c>
      <c r="M341" s="28" t="n"/>
    </row>
    <row r="342" customFormat="1" s="10">
      <c r="A342" s="37" t="n">
        <v>45891</v>
      </c>
      <c r="B342" s="65" t="n">
        <v>56</v>
      </c>
      <c r="C342" s="28" t="inlineStr">
        <is>
          <t>退货</t>
        </is>
      </c>
      <c r="F342" s="29" t="inlineStr">
        <is>
          <t>PU净味面漆稀释剂</t>
        </is>
      </c>
      <c r="G342" s="28" t="n">
        <v>-1</v>
      </c>
      <c r="H342" s="28" t="n">
        <v>82</v>
      </c>
      <c r="I342" s="28">
        <f>G342*H342</f>
        <v/>
      </c>
      <c r="J342" s="66" t="n">
        <v>10.5</v>
      </c>
      <c r="K342" s="66">
        <f>I342*J342</f>
        <v/>
      </c>
      <c r="L342" s="54" t="n">
        <v>45891</v>
      </c>
      <c r="M342" s="28">
        <f>SUM(K337:K342)</f>
        <v/>
      </c>
    </row>
    <row r="343">
      <c r="A343" s="22" t="n">
        <v>45898</v>
      </c>
      <c r="B343" s="59" t="n">
        <v>78</v>
      </c>
      <c r="C343" s="24" t="inlineStr">
        <is>
          <t>557A(556-558)</t>
        </is>
      </c>
      <c r="F343" s="25" t="inlineStr">
        <is>
          <t>PU净味哑光浅淡黄色漆</t>
        </is>
      </c>
      <c r="G343" s="24" t="n">
        <v>1</v>
      </c>
      <c r="H343" s="24" t="n">
        <v>10</v>
      </c>
      <c r="I343" s="24">
        <f>G343*H343</f>
        <v/>
      </c>
      <c r="J343" s="63" t="n">
        <v>18</v>
      </c>
      <c r="K343" s="63">
        <f>I343*J343</f>
        <v/>
      </c>
      <c r="L343" s="12" t="inlineStr">
        <is>
          <t>做补件</t>
        </is>
      </c>
      <c r="M343" s="24" t="n"/>
    </row>
    <row r="344">
      <c r="A344" s="22" t="n">
        <v>45898</v>
      </c>
      <c r="B344" s="59" t="n">
        <v>78</v>
      </c>
      <c r="C344" s="28" t="n">
        <v>709</v>
      </c>
      <c r="F344" s="25" t="inlineStr">
        <is>
          <t>PU净味哑光灰蓝色漆</t>
        </is>
      </c>
      <c r="G344" s="24" t="n">
        <v>1</v>
      </c>
      <c r="H344" s="24" t="n">
        <v>17</v>
      </c>
      <c r="I344" s="24">
        <f>G344*H344</f>
        <v/>
      </c>
      <c r="J344" s="63" t="n">
        <v>18</v>
      </c>
      <c r="K344" s="63">
        <f>I344*J344</f>
        <v/>
      </c>
      <c r="L344" s="15" t="inlineStr">
        <is>
          <t>做补件</t>
        </is>
      </c>
      <c r="M344" s="55" t="inlineStr">
        <is>
          <t>元（722、713和709是同一个颜色）</t>
        </is>
      </c>
      <c r="N344" s="11" t="n"/>
    </row>
    <row r="345">
      <c r="A345" s="22" t="n">
        <v>45898</v>
      </c>
      <c r="B345" s="59" t="n">
        <v>78</v>
      </c>
      <c r="C345" s="24" t="inlineStr">
        <is>
          <t>522A</t>
        </is>
      </c>
      <c r="F345" s="25" t="inlineStr">
        <is>
          <t>PU哑光浅蓝色漆</t>
        </is>
      </c>
      <c r="G345" s="24" t="n">
        <v>1</v>
      </c>
      <c r="H345" s="24" t="n">
        <v>5</v>
      </c>
      <c r="I345" s="24">
        <f>G345*H345</f>
        <v/>
      </c>
      <c r="J345" s="63" t="n">
        <v>18</v>
      </c>
      <c r="K345" s="63">
        <f>I345*J345</f>
        <v/>
      </c>
      <c r="L345" s="12" t="inlineStr">
        <is>
          <t>做补件</t>
        </is>
      </c>
      <c r="M345" s="24" t="n"/>
    </row>
    <row r="346">
      <c r="A346" s="22" t="n">
        <v>45898</v>
      </c>
      <c r="B346" s="59" t="n">
        <v>78</v>
      </c>
      <c r="C346" s="24" t="inlineStr">
        <is>
          <t>222（730）</t>
        </is>
      </c>
      <c r="F346" s="25" t="inlineStr">
        <is>
          <t>PU净味哑光粉绿色漆</t>
        </is>
      </c>
      <c r="G346" s="24" t="n">
        <v>1</v>
      </c>
      <c r="H346" s="24" t="n">
        <v>12</v>
      </c>
      <c r="I346" s="24">
        <f>G346*H346</f>
        <v/>
      </c>
      <c r="J346" s="63" t="n">
        <v>18</v>
      </c>
      <c r="K346" s="63">
        <f>I346*J346</f>
        <v/>
      </c>
      <c r="L346" s="12" t="inlineStr">
        <is>
          <t>做补件</t>
        </is>
      </c>
      <c r="M346" s="24" t="n"/>
    </row>
    <row r="347">
      <c r="A347" s="22" t="n">
        <v>45898</v>
      </c>
      <c r="B347" s="59" t="n">
        <v>78</v>
      </c>
      <c r="C347" s="24" t="n">
        <v>516</v>
      </c>
      <c r="F347" s="25" t="inlineStr">
        <is>
          <t>PU净味新款哑光象牙白漆</t>
        </is>
      </c>
      <c r="G347" s="24" t="n">
        <v>1</v>
      </c>
      <c r="H347" s="24" t="n">
        <v>6.5</v>
      </c>
      <c r="I347" s="24">
        <f>G347*H347</f>
        <v/>
      </c>
      <c r="J347" s="63" t="n">
        <v>18</v>
      </c>
      <c r="K347" s="63">
        <f>I347*J347</f>
        <v/>
      </c>
      <c r="L347" s="12" t="inlineStr">
        <is>
          <t>做补件</t>
        </is>
      </c>
      <c r="M347" s="24" t="n"/>
    </row>
    <row r="348" customFormat="1" s="11">
      <c r="A348" s="32" t="n">
        <v>45898</v>
      </c>
      <c r="B348" s="61" t="n">
        <v>83</v>
      </c>
      <c r="C348" s="16" t="inlineStr">
        <is>
          <t>900F-1</t>
        </is>
      </c>
      <c r="F348" s="31" t="inlineStr">
        <is>
          <t>PU净味面漆稀释剂</t>
        </is>
      </c>
      <c r="G348" s="16" t="n">
        <v>1</v>
      </c>
      <c r="H348" s="16" t="n">
        <v>18</v>
      </c>
      <c r="I348" s="16">
        <f>G348*H348</f>
        <v/>
      </c>
      <c r="J348" s="64" t="n">
        <v>10.5</v>
      </c>
      <c r="K348" s="64">
        <f>I348*J348</f>
        <v/>
      </c>
      <c r="L348" s="13" t="n"/>
      <c r="M348" s="16">
        <f>SUM(K348:K349)</f>
        <v/>
      </c>
    </row>
    <row r="349" customFormat="1" s="11">
      <c r="A349" s="32" t="n">
        <v>45898</v>
      </c>
      <c r="B349" s="61" t="n">
        <v>83</v>
      </c>
      <c r="C349" s="16" t="inlineStr">
        <is>
          <t>535F</t>
        </is>
      </c>
      <c r="F349" s="31" t="inlineStr">
        <is>
          <t>PU净味哑光固化剂</t>
        </is>
      </c>
      <c r="G349" s="16" t="n">
        <v>1</v>
      </c>
      <c r="H349" s="16" t="n">
        <v>10</v>
      </c>
      <c r="I349" s="16">
        <f>G349*H349</f>
        <v/>
      </c>
      <c r="J349" s="64" t="n">
        <v>18</v>
      </c>
      <c r="K349" s="64">
        <f>I349*J349</f>
        <v/>
      </c>
      <c r="L349" s="13" t="n"/>
      <c r="M349" s="16" t="n"/>
    </row>
    <row r="350" customFormat="1" s="12">
      <c r="A350" s="22" t="n">
        <v>45950</v>
      </c>
      <c r="B350" s="59" t="n">
        <v>55</v>
      </c>
      <c r="C350" s="24" t="inlineStr">
        <is>
          <t>HL-9824A</t>
        </is>
      </c>
      <c r="F350" s="12" t="inlineStr">
        <is>
          <t>PE封固底漆</t>
        </is>
      </c>
      <c r="G350" s="24" t="n">
        <v>2</v>
      </c>
      <c r="H350" s="24" t="n">
        <v>25</v>
      </c>
      <c r="I350" s="24">
        <f>G350*H350</f>
        <v/>
      </c>
      <c r="J350" s="63" t="n">
        <v>12</v>
      </c>
      <c r="K350" s="63">
        <f>I350*J350</f>
        <v/>
      </c>
      <c r="L350" s="12" t="inlineStr">
        <is>
          <t>627B</t>
        </is>
      </c>
      <c r="M350" s="24" t="n"/>
    </row>
    <row r="351">
      <c r="A351" s="22" t="n">
        <v>45950</v>
      </c>
      <c r="B351" s="59" t="n">
        <v>55</v>
      </c>
      <c r="C351" s="24" t="n"/>
      <c r="F351" s="12" t="inlineStr">
        <is>
          <t>PE白底漆稀料</t>
        </is>
      </c>
      <c r="G351" s="24" t="n">
        <v>2</v>
      </c>
      <c r="H351" s="24" t="n">
        <v>18</v>
      </c>
      <c r="I351" s="24">
        <f>G351*H351</f>
        <v/>
      </c>
      <c r="J351" s="63" t="n">
        <v>5.5</v>
      </c>
      <c r="K351" s="63">
        <f>I351*J351</f>
        <v/>
      </c>
      <c r="L351" s="13">
        <f>SUM(K350:K351)</f>
        <v/>
      </c>
      <c r="M351" s="24" t="n"/>
      <c r="N351" s="56" t="n"/>
    </row>
    <row r="352" customFormat="1" s="13">
      <c r="A352" s="32" t="n">
        <v>45951</v>
      </c>
      <c r="B352" s="61" t="n">
        <v>57</v>
      </c>
      <c r="C352" s="16" t="inlineStr">
        <is>
          <t>HL-9824A</t>
        </is>
      </c>
      <c r="F352" s="13" t="inlineStr">
        <is>
          <t>PE封固底漆</t>
        </is>
      </c>
      <c r="G352" s="16" t="n">
        <v>1</v>
      </c>
      <c r="H352" s="16" t="n">
        <v>25</v>
      </c>
      <c r="I352" s="16">
        <f>G352*H352</f>
        <v/>
      </c>
      <c r="J352" s="64" t="n">
        <v>12</v>
      </c>
      <c r="K352" s="64">
        <f>I352*J352</f>
        <v/>
      </c>
      <c r="M352" s="16" t="n"/>
    </row>
    <row r="353" customFormat="1" s="13">
      <c r="A353" s="32" t="n">
        <v>45951</v>
      </c>
      <c r="B353" s="61" t="n">
        <v>57</v>
      </c>
      <c r="C353" s="16" t="inlineStr">
        <is>
          <t>HL-9824A</t>
        </is>
      </c>
      <c r="F353" s="13" t="inlineStr">
        <is>
          <t>PE封固底漆</t>
        </is>
      </c>
      <c r="G353" s="16" t="n">
        <v>1</v>
      </c>
      <c r="H353" s="16" t="n">
        <v>25</v>
      </c>
      <c r="I353" s="16">
        <f>G353*H353</f>
        <v/>
      </c>
      <c r="J353" s="64" t="n"/>
      <c r="K353" s="64" t="n"/>
      <c r="L353" s="13" t="inlineStr">
        <is>
          <t>换货：见21/10改的配方6824</t>
        </is>
      </c>
      <c r="M353" s="16" t="n"/>
    </row>
    <row r="354" customFormat="1" s="11">
      <c r="A354" s="32" t="n">
        <v>45951</v>
      </c>
      <c r="B354" s="61" t="n">
        <v>57</v>
      </c>
      <c r="C354" s="16" t="n"/>
      <c r="F354" s="13" t="inlineStr">
        <is>
          <t>PE白底漆稀料</t>
        </is>
      </c>
      <c r="G354" s="16" t="n">
        <v>1</v>
      </c>
      <c r="H354" s="16" t="n">
        <v>90</v>
      </c>
      <c r="I354" s="16">
        <f>G354*H354</f>
        <v/>
      </c>
      <c r="J354" s="64" t="n">
        <v>5.5</v>
      </c>
      <c r="K354" s="64">
        <f>I354*J354</f>
        <v/>
      </c>
      <c r="L354" s="13">
        <f>SUM(K352:K354)</f>
        <v/>
      </c>
      <c r="M354" s="16" t="n"/>
      <c r="N354" s="57" t="n"/>
    </row>
    <row r="355">
      <c r="A355" s="22" t="n">
        <v>45953</v>
      </c>
      <c r="B355" s="59" t="n">
        <v>64</v>
      </c>
      <c r="C355" s="24" t="n">
        <v>9803</v>
      </c>
      <c r="F355" s="25" t="inlineStr">
        <is>
          <t>PE白底漆</t>
        </is>
      </c>
      <c r="G355" s="24" t="n">
        <v>4</v>
      </c>
      <c r="H355" s="24" t="n">
        <v>28</v>
      </c>
      <c r="I355" s="24">
        <f>G355*H355</f>
        <v/>
      </c>
      <c r="J355" s="63" t="n">
        <v>9</v>
      </c>
      <c r="K355" s="63">
        <f>I355*J355</f>
        <v/>
      </c>
      <c r="M355" s="24" t="n"/>
    </row>
    <row r="356">
      <c r="A356" s="22" t="n">
        <v>45953</v>
      </c>
      <c r="B356" s="59" t="n">
        <v>64</v>
      </c>
      <c r="C356" s="24" t="inlineStr">
        <is>
          <t>HL-9827AA</t>
        </is>
      </c>
      <c r="F356" s="12" t="inlineStr">
        <is>
          <t>PE清底漆</t>
        </is>
      </c>
      <c r="G356" s="24" t="n">
        <v>2</v>
      </c>
      <c r="H356" s="24" t="n">
        <v>25</v>
      </c>
      <c r="I356" s="24">
        <f>G356*H356</f>
        <v/>
      </c>
      <c r="J356" s="63" t="n">
        <v>14</v>
      </c>
      <c r="K356" s="63">
        <f>I356*J356</f>
        <v/>
      </c>
      <c r="M356" s="24" t="n"/>
    </row>
    <row r="357" customFormat="1" s="11">
      <c r="A357" s="32" t="n">
        <v>45953</v>
      </c>
      <c r="B357" s="61" t="n">
        <v>66</v>
      </c>
      <c r="C357" s="16" t="n"/>
      <c r="F357" s="31" t="inlineStr">
        <is>
          <t>PU底漆固化剂</t>
        </is>
      </c>
      <c r="G357" s="16" t="n">
        <v>1</v>
      </c>
      <c r="H357" s="16" t="n">
        <v>20</v>
      </c>
      <c r="I357" s="16">
        <f>G357*H357</f>
        <v/>
      </c>
      <c r="J357" s="16" t="n">
        <v>17</v>
      </c>
      <c r="K357" s="16">
        <f>I357*J357</f>
        <v/>
      </c>
      <c r="L357" s="31" t="inlineStr">
        <is>
          <t>309A</t>
        </is>
      </c>
      <c r="M357" s="16" t="n"/>
    </row>
    <row r="358" customFormat="1" s="11">
      <c r="A358" s="32" t="n">
        <v>45953</v>
      </c>
      <c r="B358" s="61" t="n">
        <v>66</v>
      </c>
      <c r="C358" s="16" t="n"/>
      <c r="F358" s="31" t="inlineStr">
        <is>
          <t>PU底漆稀释剂</t>
        </is>
      </c>
      <c r="G358" s="16" t="n">
        <v>1</v>
      </c>
      <c r="H358" s="16" t="n">
        <v>18</v>
      </c>
      <c r="I358" s="16">
        <f>G358*H358</f>
        <v/>
      </c>
      <c r="J358" s="16" t="n">
        <v>8.5</v>
      </c>
      <c r="K358" s="16">
        <f>I358*J358</f>
        <v/>
      </c>
      <c r="L358" s="31" t="inlineStr">
        <is>
          <t>以前的剩货</t>
        </is>
      </c>
      <c r="M358" s="16" t="n"/>
    </row>
    <row r="359">
      <c r="A359" s="22" t="n">
        <v>45955</v>
      </c>
      <c r="B359" s="59" t="n">
        <v>72</v>
      </c>
      <c r="C359" s="24" t="inlineStr">
        <is>
          <t>M019</t>
        </is>
      </c>
      <c r="F359" s="25" t="inlineStr">
        <is>
          <t>PU哑光香槟色漆</t>
        </is>
      </c>
      <c r="G359" s="24" t="n">
        <v>1</v>
      </c>
      <c r="H359" s="24" t="n">
        <v>26</v>
      </c>
      <c r="I359" s="24">
        <f>G359*H359</f>
        <v/>
      </c>
      <c r="J359" s="63" t="n">
        <v>18</v>
      </c>
      <c r="K359" s="24">
        <f>I359*J359</f>
        <v/>
      </c>
      <c r="M359" s="24" t="n"/>
    </row>
    <row r="360">
      <c r="A360" s="22" t="n">
        <v>45955</v>
      </c>
      <c r="B360" s="59" t="n">
        <v>72</v>
      </c>
      <c r="C360" s="24" t="n">
        <v>516</v>
      </c>
      <c r="F360" s="25" t="inlineStr">
        <is>
          <t>PU净味新款哑光象牙白漆</t>
        </is>
      </c>
      <c r="G360" s="24" t="n">
        <v>1</v>
      </c>
      <c r="H360" s="24" t="n">
        <v>25</v>
      </c>
      <c r="I360" s="24">
        <f>G360*H360</f>
        <v/>
      </c>
      <c r="J360" s="63" t="n">
        <v>18</v>
      </c>
      <c r="K360" s="63">
        <f>I360*J360</f>
        <v/>
      </c>
      <c r="M360" s="24" t="n"/>
    </row>
    <row r="361" customFormat="1" s="11">
      <c r="A361" s="22" t="n">
        <v>45955</v>
      </c>
      <c r="B361" s="59" t="n">
        <v>72</v>
      </c>
      <c r="C361" s="24" t="n"/>
      <c r="F361" s="12" t="inlineStr">
        <is>
          <t>PE白底漆稀料</t>
        </is>
      </c>
      <c r="G361" s="24" t="n">
        <v>1</v>
      </c>
      <c r="H361" s="24" t="n">
        <v>180</v>
      </c>
      <c r="I361" s="24">
        <f>G361*H361</f>
        <v/>
      </c>
      <c r="J361" s="63" t="n">
        <v>5.5</v>
      </c>
      <c r="K361" s="63">
        <f>I361*J361</f>
        <v/>
      </c>
      <c r="L361" s="13">
        <f>SUM(K359:K361)</f>
        <v/>
      </c>
      <c r="M361" s="16" t="n"/>
      <c r="N361" s="57" t="n"/>
    </row>
    <row r="362" customFormat="1" s="11">
      <c r="A362" s="22" t="n">
        <v>45955</v>
      </c>
      <c r="B362" s="59" t="n">
        <v>72</v>
      </c>
      <c r="C362" s="24" t="inlineStr">
        <is>
          <t>535F</t>
        </is>
      </c>
      <c r="F362" s="25" t="inlineStr">
        <is>
          <t>PU净味哑光固化剂</t>
        </is>
      </c>
      <c r="G362" s="24" t="n">
        <v>2</v>
      </c>
      <c r="H362" s="24" t="n">
        <v>10</v>
      </c>
      <c r="I362" s="24">
        <f>G362*H362</f>
        <v/>
      </c>
      <c r="J362" s="63" t="n">
        <v>18</v>
      </c>
      <c r="K362" s="63">
        <f>I362*J362</f>
        <v/>
      </c>
      <c r="L362" s="13" t="n"/>
      <c r="M362" s="16" t="n"/>
    </row>
    <row r="363" customFormat="1" s="11">
      <c r="A363" s="32" t="n">
        <v>45955</v>
      </c>
      <c r="B363" s="61" t="n">
        <v>77</v>
      </c>
      <c r="C363" s="16" t="n">
        <v>9803</v>
      </c>
      <c r="F363" s="31" t="inlineStr">
        <is>
          <t>PE白底漆</t>
        </is>
      </c>
      <c r="G363" s="16" t="n">
        <v>5</v>
      </c>
      <c r="H363" s="16" t="n">
        <v>28</v>
      </c>
      <c r="I363" s="16">
        <f>G363*H363</f>
        <v/>
      </c>
      <c r="J363" s="64" t="n">
        <v>9</v>
      </c>
      <c r="K363" s="64">
        <f>I363*J363</f>
        <v/>
      </c>
      <c r="L363" s="13" t="n"/>
      <c r="M363" s="16" t="n"/>
    </row>
    <row r="364" customFormat="1" s="11">
      <c r="A364" s="32" t="n">
        <v>45955</v>
      </c>
      <c r="B364" s="61" t="n">
        <v>77</v>
      </c>
      <c r="C364" s="16" t="inlineStr">
        <is>
          <t>A03(A01)</t>
        </is>
      </c>
      <c r="F364" s="31" t="inlineStr">
        <is>
          <t>PU哑光米黄色漆</t>
        </is>
      </c>
      <c r="G364" s="16" t="n">
        <v>1</v>
      </c>
      <c r="H364" s="16" t="n">
        <v>5</v>
      </c>
      <c r="I364" s="16">
        <f>G364*H364</f>
        <v/>
      </c>
      <c r="J364" s="64" t="n">
        <v>18</v>
      </c>
      <c r="K364" s="64">
        <f>I364*J364</f>
        <v/>
      </c>
      <c r="L364" s="13" t="inlineStr">
        <is>
          <t>样油</t>
        </is>
      </c>
      <c r="M364" s="16" t="n"/>
    </row>
    <row r="365">
      <c r="A365" s="22" t="n">
        <v>45957</v>
      </c>
      <c r="B365" s="59" t="n">
        <v>83</v>
      </c>
      <c r="C365" s="24" t="inlineStr">
        <is>
          <t>7225-70F</t>
        </is>
      </c>
      <c r="F365" s="25" t="inlineStr">
        <is>
          <t>PU净味三分光清面漆</t>
        </is>
      </c>
      <c r="G365" s="24" t="n">
        <v>1</v>
      </c>
      <c r="H365" s="24" t="n">
        <v>20</v>
      </c>
      <c r="I365" s="24">
        <f>G365*H365</f>
        <v/>
      </c>
      <c r="J365" s="63" t="n">
        <v>18</v>
      </c>
      <c r="K365" s="63">
        <f>I365*J365</f>
        <v/>
      </c>
      <c r="M365" s="24" t="n"/>
    </row>
    <row r="366">
      <c r="A366" s="22" t="n">
        <v>45957</v>
      </c>
      <c r="B366" s="59" t="n">
        <v>83</v>
      </c>
      <c r="C366" s="24" t="inlineStr">
        <is>
          <t>535F</t>
        </is>
      </c>
      <c r="F366" s="25" t="inlineStr">
        <is>
          <t>PU净味哑光固化剂</t>
        </is>
      </c>
      <c r="G366" s="24" t="n">
        <v>2</v>
      </c>
      <c r="H366" s="24" t="n">
        <v>10</v>
      </c>
      <c r="I366" s="24">
        <f>G366*H366</f>
        <v/>
      </c>
      <c r="J366" s="63" t="n">
        <v>18</v>
      </c>
      <c r="K366" s="63">
        <f>I366*J366</f>
        <v/>
      </c>
      <c r="M366" s="24" t="n"/>
    </row>
    <row r="367">
      <c r="A367" s="22" t="n">
        <v>45957</v>
      </c>
      <c r="B367" s="59" t="n">
        <v>83</v>
      </c>
      <c r="C367" s="24" t="inlineStr">
        <is>
          <t>900F-1</t>
        </is>
      </c>
      <c r="F367" s="25" t="inlineStr">
        <is>
          <t>PU净味面漆稀释剂</t>
        </is>
      </c>
      <c r="G367" s="24" t="n">
        <v>1</v>
      </c>
      <c r="H367" s="24" t="n">
        <v>180</v>
      </c>
      <c r="I367" s="24">
        <f>G367*H367</f>
        <v/>
      </c>
      <c r="J367" s="63" t="n">
        <v>10.5</v>
      </c>
      <c r="K367" s="63">
        <f>I367*J367</f>
        <v/>
      </c>
      <c r="M367" s="24">
        <f>SUM(K365:K367)</f>
        <v/>
      </c>
    </row>
    <row r="368" customFormat="1" s="11">
      <c r="A368" s="32" t="n">
        <v>45958</v>
      </c>
      <c r="B368" s="61" t="n">
        <v>91</v>
      </c>
      <c r="C368" s="16" t="n">
        <v>516</v>
      </c>
      <c r="F368" s="31" t="inlineStr">
        <is>
          <t>PU净味新款哑光象牙白漆</t>
        </is>
      </c>
      <c r="G368" s="16" t="n">
        <v>1</v>
      </c>
      <c r="H368" s="16" t="n">
        <v>25</v>
      </c>
      <c r="I368" s="16">
        <f>G368*H368</f>
        <v/>
      </c>
      <c r="J368" s="64" t="n">
        <v>18</v>
      </c>
      <c r="K368" s="64">
        <f>I368*J368</f>
        <v/>
      </c>
      <c r="L368" s="13" t="n"/>
      <c r="M368" s="16" t="n"/>
    </row>
    <row r="369">
      <c r="A369" s="32" t="n">
        <v>45958</v>
      </c>
      <c r="B369" s="61" t="n">
        <v>91</v>
      </c>
      <c r="C369" s="16" t="inlineStr">
        <is>
          <t>535F</t>
        </is>
      </c>
      <c r="F369" s="31" t="inlineStr">
        <is>
          <t>PU净味哑光固化剂</t>
        </is>
      </c>
      <c r="G369" s="16" t="n">
        <v>1</v>
      </c>
      <c r="H369" s="16" t="n">
        <v>10</v>
      </c>
      <c r="I369" s="16">
        <f>G369*H369</f>
        <v/>
      </c>
      <c r="J369" s="64" t="n">
        <v>18</v>
      </c>
      <c r="K369" s="64">
        <f>I369*J369</f>
        <v/>
      </c>
      <c r="L369" s="12">
        <f>SUM(K368:K369)</f>
        <v/>
      </c>
      <c r="M369" s="24" t="n"/>
    </row>
    <row r="370">
      <c r="A370" s="22" t="n">
        <v>45961</v>
      </c>
      <c r="B370" s="59" t="n">
        <v>98</v>
      </c>
      <c r="C370" s="24" t="inlineStr">
        <is>
          <t>A03(A01)</t>
        </is>
      </c>
      <c r="F370" s="25" t="inlineStr">
        <is>
          <t>PU哑光米黄色漆</t>
        </is>
      </c>
      <c r="G370" s="24" t="n">
        <v>1</v>
      </c>
      <c r="H370" s="24" t="n">
        <v>4</v>
      </c>
      <c r="I370" s="24">
        <f>G370*H370</f>
        <v/>
      </c>
      <c r="J370" s="63" t="n">
        <v>18</v>
      </c>
      <c r="K370" s="63">
        <f>I370*J370</f>
        <v/>
      </c>
      <c r="L370" s="12" t="inlineStr">
        <is>
          <t>样油</t>
        </is>
      </c>
      <c r="M370" s="24" t="n"/>
    </row>
    <row r="371">
      <c r="A371" s="22" t="n">
        <v>45961</v>
      </c>
      <c r="B371" s="59" t="n">
        <v>98</v>
      </c>
      <c r="C371" s="24" t="n">
        <v>516</v>
      </c>
      <c r="F371" s="25" t="inlineStr">
        <is>
          <t>PU净味新款哑光象牙白漆</t>
        </is>
      </c>
      <c r="G371" s="24" t="n">
        <v>1</v>
      </c>
      <c r="H371" s="24" t="n">
        <v>27</v>
      </c>
      <c r="I371" s="24">
        <f>G371*H371</f>
        <v/>
      </c>
      <c r="J371" s="63" t="n">
        <v>18</v>
      </c>
      <c r="K371" s="63">
        <f>I371*J371</f>
        <v/>
      </c>
      <c r="M371" s="24" t="n"/>
    </row>
    <row r="372">
      <c r="A372" s="22" t="n">
        <v>45961</v>
      </c>
      <c r="B372" s="59" t="n">
        <v>98</v>
      </c>
      <c r="C372" s="24" t="inlineStr">
        <is>
          <t>535F</t>
        </is>
      </c>
      <c r="F372" s="25" t="inlineStr">
        <is>
          <t>PU净味哑光固化剂</t>
        </is>
      </c>
      <c r="G372" s="24" t="n">
        <v>1</v>
      </c>
      <c r="H372" s="24" t="n">
        <v>10</v>
      </c>
      <c r="I372" s="24">
        <f>G372*H372</f>
        <v/>
      </c>
      <c r="J372" s="63" t="n">
        <v>18</v>
      </c>
      <c r="K372" s="63">
        <f>I372*J372</f>
        <v/>
      </c>
      <c r="L372" s="12">
        <f>SUM(K371:K372)</f>
        <v/>
      </c>
      <c r="M372" s="24" t="n"/>
    </row>
    <row r="373">
      <c r="A373" s="22" t="n">
        <v>45961</v>
      </c>
      <c r="B373" s="59" t="n">
        <v>98</v>
      </c>
      <c r="C373" s="24" t="inlineStr">
        <is>
          <t>709（713）</t>
        </is>
      </c>
      <c r="F373" s="25" t="inlineStr">
        <is>
          <t>PU净味哑光灰蓝色漆</t>
        </is>
      </c>
      <c r="G373" s="24" t="n">
        <v>1</v>
      </c>
      <c r="H373" s="24" t="n">
        <v>7</v>
      </c>
      <c r="I373" s="24">
        <f>G373*H373</f>
        <v/>
      </c>
      <c r="J373" s="63" t="n">
        <v>18</v>
      </c>
      <c r="K373" s="63">
        <f>I373*J373</f>
        <v/>
      </c>
      <c r="L373" s="12" t="inlineStr">
        <is>
          <t>做补件</t>
        </is>
      </c>
      <c r="M373" s="49" t="inlineStr">
        <is>
          <t>元（722、713和709是同一个颜色）</t>
        </is>
      </c>
    </row>
    <row r="374" customFormat="1" s="11">
      <c r="A374" s="32" t="n">
        <v>45971</v>
      </c>
      <c r="B374" s="61" t="n">
        <v>25</v>
      </c>
      <c r="C374" s="16" t="inlineStr">
        <is>
          <t>HL-9827AA</t>
        </is>
      </c>
      <c r="F374" s="13" t="inlineStr">
        <is>
          <t>PE清底漆</t>
        </is>
      </c>
      <c r="G374" s="16" t="n">
        <v>2</v>
      </c>
      <c r="H374" s="16" t="n">
        <v>25</v>
      </c>
      <c r="I374" s="16">
        <f>G374*H374</f>
        <v/>
      </c>
      <c r="J374" s="64" t="n">
        <v>14</v>
      </c>
      <c r="K374" s="64">
        <f>I374*J374</f>
        <v/>
      </c>
      <c r="L374" s="13" t="n"/>
      <c r="M374" s="16" t="n"/>
    </row>
    <row r="375">
      <c r="A375" s="22" t="n">
        <v>45976</v>
      </c>
      <c r="B375" s="59" t="n">
        <v>42</v>
      </c>
      <c r="C375" s="24" t="n">
        <v>516</v>
      </c>
      <c r="F375" s="25" t="inlineStr">
        <is>
          <t>PU净味新款哑光象牙白漆</t>
        </is>
      </c>
      <c r="G375" s="24" t="n">
        <v>1</v>
      </c>
      <c r="H375" s="24" t="n">
        <v>26</v>
      </c>
      <c r="I375" s="24">
        <f>G375*H375</f>
        <v/>
      </c>
      <c r="J375" s="63" t="n">
        <v>18</v>
      </c>
      <c r="K375" s="63">
        <f>I375*J375</f>
        <v/>
      </c>
      <c r="M375" s="24" t="n"/>
    </row>
    <row r="376">
      <c r="A376" s="22" t="n">
        <v>45976</v>
      </c>
      <c r="B376" s="59" t="n">
        <v>42</v>
      </c>
      <c r="C376" s="24" t="inlineStr">
        <is>
          <t>535F</t>
        </is>
      </c>
      <c r="F376" s="25" t="inlineStr">
        <is>
          <t>PU净味哑光固化剂</t>
        </is>
      </c>
      <c r="G376" s="24" t="n">
        <v>1</v>
      </c>
      <c r="H376" s="24" t="n">
        <v>10</v>
      </c>
      <c r="I376" s="24">
        <f>G376*H376</f>
        <v/>
      </c>
      <c r="J376" s="63" t="n">
        <v>18</v>
      </c>
      <c r="K376" s="63">
        <f>I376*J376</f>
        <v/>
      </c>
      <c r="L376" s="12">
        <f>SUM(K375:K376)</f>
        <v/>
      </c>
      <c r="M376" s="24" t="n"/>
    </row>
    <row r="377" customFormat="1" s="11">
      <c r="A377" s="32" t="n">
        <v>45978</v>
      </c>
      <c r="B377" s="61" t="n">
        <v>48</v>
      </c>
      <c r="C377" s="16" t="n">
        <v>9803</v>
      </c>
      <c r="F377" s="31" t="inlineStr">
        <is>
          <t>PE白底漆</t>
        </is>
      </c>
      <c r="G377" s="16" t="n">
        <v>6</v>
      </c>
      <c r="H377" s="16" t="n">
        <v>28</v>
      </c>
      <c r="I377" s="16">
        <f>G377*H377</f>
        <v/>
      </c>
      <c r="J377" s="64" t="n">
        <v>9</v>
      </c>
      <c r="K377" s="64">
        <f>I377*J377</f>
        <v/>
      </c>
      <c r="L377" s="13" t="n"/>
      <c r="M377" s="16" t="n"/>
    </row>
    <row r="378" customFormat="1" s="11">
      <c r="A378" s="32" t="n">
        <v>45978</v>
      </c>
      <c r="B378" s="61" t="n">
        <v>48</v>
      </c>
      <c r="C378" s="16" t="n"/>
      <c r="F378" s="13" t="inlineStr">
        <is>
          <t>PE白底漆稀料</t>
        </is>
      </c>
      <c r="G378" s="16" t="n">
        <v>1</v>
      </c>
      <c r="H378" s="16" t="n">
        <v>180</v>
      </c>
      <c r="I378" s="16">
        <f>G378*H378</f>
        <v/>
      </c>
      <c r="J378" s="64" t="n">
        <v>5.5</v>
      </c>
      <c r="K378" s="64">
        <f>I378*J378</f>
        <v/>
      </c>
      <c r="L378" s="13">
        <f>SUM(K377:K378)</f>
        <v/>
      </c>
      <c r="M378" s="16" t="n"/>
      <c r="N378" s="57" t="n"/>
    </row>
    <row r="379">
      <c r="A379" s="22" t="n">
        <v>45999</v>
      </c>
      <c r="B379" s="59" t="n">
        <v>16</v>
      </c>
      <c r="C379" s="24" t="inlineStr">
        <is>
          <t>HL-9827AA</t>
        </is>
      </c>
      <c r="F379" s="12" t="inlineStr">
        <is>
          <t>PE清底漆</t>
        </is>
      </c>
      <c r="G379" s="24" t="n">
        <v>5</v>
      </c>
      <c r="H379" s="24" t="n">
        <v>25</v>
      </c>
      <c r="I379" s="24">
        <f>G379*H379</f>
        <v/>
      </c>
      <c r="J379" s="63" t="n">
        <v>14</v>
      </c>
      <c r="K379" s="63">
        <f>I379*J379</f>
        <v/>
      </c>
      <c r="M379" s="24" t="n"/>
    </row>
    <row r="380">
      <c r="A380" s="22" t="n">
        <v>45999</v>
      </c>
      <c r="B380" s="59" t="n">
        <v>16</v>
      </c>
      <c r="C380" s="24" t="n">
        <v>9803</v>
      </c>
      <c r="F380" s="25" t="inlineStr">
        <is>
          <t>PE白底漆</t>
        </is>
      </c>
      <c r="G380" s="24" t="n">
        <v>6</v>
      </c>
      <c r="H380" s="24" t="n">
        <v>28</v>
      </c>
      <c r="I380" s="24">
        <f>G380*H380</f>
        <v/>
      </c>
      <c r="J380" s="63" t="n">
        <v>9</v>
      </c>
      <c r="K380" s="63">
        <f>I380*J380</f>
        <v/>
      </c>
      <c r="M380" s="24" t="n"/>
    </row>
    <row r="381">
      <c r="A381" s="22" t="n">
        <v>45999</v>
      </c>
      <c r="B381" s="59" t="n">
        <v>16</v>
      </c>
      <c r="C381" s="24" t="n"/>
      <c r="F381" s="12" t="inlineStr">
        <is>
          <t>PE白底漆稀料</t>
        </is>
      </c>
      <c r="G381" s="24" t="n">
        <v>1</v>
      </c>
      <c r="H381" s="24" t="n">
        <v>180</v>
      </c>
      <c r="I381" s="24">
        <f>G381*H381</f>
        <v/>
      </c>
      <c r="J381" s="63" t="n">
        <v>5.5</v>
      </c>
      <c r="K381" s="63">
        <f>I381*J381</f>
        <v/>
      </c>
      <c r="L381" s="12">
        <f>SUM(K379:K382)</f>
        <v/>
      </c>
      <c r="M381" s="24" t="n"/>
      <c r="N381" s="56" t="n"/>
    </row>
    <row r="382">
      <c r="A382" s="22" t="n">
        <v>45999</v>
      </c>
      <c r="B382" s="59" t="n">
        <v>16</v>
      </c>
      <c r="C382" s="24" t="n"/>
      <c r="F382" s="12" t="inlineStr">
        <is>
          <t>退色漆M019</t>
        </is>
      </c>
      <c r="G382" s="24" t="n">
        <v>-1</v>
      </c>
      <c r="H382" s="24" t="n">
        <v>12</v>
      </c>
      <c r="I382" s="24">
        <f>G382*H382</f>
        <v/>
      </c>
      <c r="J382" s="63" t="n">
        <v>18</v>
      </c>
      <c r="K382" s="63">
        <f>I382*J382</f>
        <v/>
      </c>
      <c r="M382" s="24" t="n"/>
      <c r="N382" s="56" t="n"/>
    </row>
    <row r="383" customFormat="1" s="11">
      <c r="A383" s="32" t="n">
        <v>46001</v>
      </c>
      <c r="B383" s="61" t="inlineStr">
        <is>
          <t>27号</t>
        </is>
      </c>
      <c r="C383" s="16" t="n">
        <v>9803</v>
      </c>
      <c r="F383" s="31" t="inlineStr">
        <is>
          <t>PE白底漆</t>
        </is>
      </c>
      <c r="G383" s="16" t="n">
        <v>10</v>
      </c>
      <c r="H383" s="16" t="n">
        <v>28</v>
      </c>
      <c r="I383" s="16">
        <f>G383*H383</f>
        <v/>
      </c>
      <c r="J383" s="64" t="n">
        <v>9</v>
      </c>
      <c r="K383" s="64">
        <f>I383*J383</f>
        <v/>
      </c>
      <c r="L383" s="13" t="n"/>
      <c r="M383" s="16" t="n"/>
    </row>
    <row r="384" customFormat="1" s="11">
      <c r="A384" s="32" t="n">
        <v>46001</v>
      </c>
      <c r="B384" s="61" t="inlineStr">
        <is>
          <t>27号</t>
        </is>
      </c>
      <c r="C384" s="16" t="n">
        <v>516</v>
      </c>
      <c r="F384" s="31" t="inlineStr">
        <is>
          <t>PU净味新款哑光象牙白漆</t>
        </is>
      </c>
      <c r="G384" s="16" t="n">
        <v>2</v>
      </c>
      <c r="H384" s="16" t="n">
        <v>25</v>
      </c>
      <c r="I384" s="16">
        <f>G384*H384</f>
        <v/>
      </c>
      <c r="J384" s="64" t="n">
        <v>18</v>
      </c>
      <c r="K384" s="64">
        <f>I384*J384</f>
        <v/>
      </c>
      <c r="L384" s="13" t="n"/>
      <c r="M384" s="16" t="n"/>
    </row>
    <row r="385" customFormat="1" s="11">
      <c r="A385" s="32" t="n">
        <v>46001</v>
      </c>
      <c r="B385" s="61" t="inlineStr">
        <is>
          <t>27号</t>
        </is>
      </c>
      <c r="C385" s="16" t="inlineStr">
        <is>
          <t>535F</t>
        </is>
      </c>
      <c r="F385" s="31" t="inlineStr">
        <is>
          <t>PU净味哑光固化剂</t>
        </is>
      </c>
      <c r="G385" s="16" t="n">
        <v>3</v>
      </c>
      <c r="H385" s="16" t="n">
        <v>10</v>
      </c>
      <c r="I385" s="16">
        <f>G385*H385</f>
        <v/>
      </c>
      <c r="J385" s="64" t="n">
        <v>18</v>
      </c>
      <c r="K385" s="64">
        <f>I385*J385</f>
        <v/>
      </c>
      <c r="L385" s="13" t="n"/>
      <c r="M385" s="16" t="n"/>
    </row>
    <row r="386" customFormat="1" s="11">
      <c r="A386" s="32" t="n">
        <v>46001</v>
      </c>
      <c r="B386" s="61" t="inlineStr">
        <is>
          <t>27号</t>
        </is>
      </c>
      <c r="C386" s="16" t="n"/>
      <c r="F386" s="13" t="inlineStr">
        <is>
          <t>PE白底漆稀料</t>
        </is>
      </c>
      <c r="G386" s="16" t="n">
        <v>2</v>
      </c>
      <c r="H386" s="16" t="n">
        <v>180</v>
      </c>
      <c r="I386" s="16">
        <f>G386*H386</f>
        <v/>
      </c>
      <c r="J386" s="64" t="n">
        <v>5.5</v>
      </c>
      <c r="K386" s="64">
        <f>I386*J386</f>
        <v/>
      </c>
      <c r="L386" s="13" t="n"/>
      <c r="M386" s="16" t="n"/>
      <c r="N386" s="57" t="n"/>
    </row>
    <row r="387" customFormat="1" s="11">
      <c r="A387" s="32" t="n">
        <v>46001</v>
      </c>
      <c r="B387" s="61" t="inlineStr">
        <is>
          <t>27号</t>
        </is>
      </c>
      <c r="C387" s="16" t="inlineStr">
        <is>
          <t>900F-1</t>
        </is>
      </c>
      <c r="F387" s="31" t="inlineStr">
        <is>
          <t>PU净味面漆稀释剂</t>
        </is>
      </c>
      <c r="G387" s="16" t="n">
        <v>1</v>
      </c>
      <c r="H387" s="16" t="n">
        <v>180</v>
      </c>
      <c r="I387" s="16">
        <f>G387*H387</f>
        <v/>
      </c>
      <c r="J387" s="64" t="n">
        <v>10.5</v>
      </c>
      <c r="K387" s="64">
        <f>I387*J387</f>
        <v/>
      </c>
      <c r="L387" s="13" t="n"/>
      <c r="M387" s="16">
        <f>SUM(K383:K387)</f>
        <v/>
      </c>
    </row>
    <row r="388">
      <c r="A388" s="22" t="n">
        <v>46004</v>
      </c>
      <c r="B388" s="59" t="n">
        <v>34</v>
      </c>
      <c r="C388" s="24" t="inlineStr">
        <is>
          <t>7225-70F</t>
        </is>
      </c>
      <c r="F388" s="25" t="inlineStr">
        <is>
          <t>PU净味三分光清面漆</t>
        </is>
      </c>
      <c r="G388" s="24" t="n">
        <v>2</v>
      </c>
      <c r="H388" s="24" t="n">
        <v>20</v>
      </c>
      <c r="I388" s="24">
        <f>G388*H388</f>
        <v/>
      </c>
      <c r="J388" s="63" t="n">
        <v>18</v>
      </c>
      <c r="K388" s="63">
        <f>I388*J388</f>
        <v/>
      </c>
      <c r="M388" s="24" t="n"/>
    </row>
    <row r="389">
      <c r="A389" s="22" t="n">
        <v>46004</v>
      </c>
      <c r="B389" s="59" t="n">
        <v>34</v>
      </c>
      <c r="C389" s="24" t="inlineStr">
        <is>
          <t>535F</t>
        </is>
      </c>
      <c r="F389" s="25" t="inlineStr">
        <is>
          <t>PU净味哑光固化剂</t>
        </is>
      </c>
      <c r="G389" s="24" t="n">
        <v>2</v>
      </c>
      <c r="H389" s="24" t="n">
        <v>10</v>
      </c>
      <c r="I389" s="24">
        <f>G389*H389</f>
        <v/>
      </c>
      <c r="J389" s="63" t="n">
        <v>18</v>
      </c>
      <c r="K389" s="63">
        <f>I389*J389</f>
        <v/>
      </c>
      <c r="M389" s="24" t="n"/>
    </row>
    <row r="390" customFormat="1" s="11">
      <c r="A390" s="32" t="n">
        <v>46013</v>
      </c>
      <c r="B390" s="61" t="n">
        <v>51</v>
      </c>
      <c r="C390" s="16" t="n">
        <v>9803</v>
      </c>
      <c r="F390" s="31" t="inlineStr">
        <is>
          <t>PE白底漆</t>
        </is>
      </c>
      <c r="G390" s="16" t="n">
        <v>10</v>
      </c>
      <c r="H390" s="16" t="n">
        <v>28</v>
      </c>
      <c r="I390" s="16">
        <f>G390*H390</f>
        <v/>
      </c>
      <c r="J390" s="64" t="n">
        <v>8.5</v>
      </c>
      <c r="K390" s="64">
        <f>I390*J390</f>
        <v/>
      </c>
      <c r="L390" s="13" t="n"/>
      <c r="M390" s="16" t="n"/>
    </row>
    <row r="391" customFormat="1" s="11">
      <c r="A391" s="32" t="n">
        <v>46013</v>
      </c>
      <c r="B391" s="61" t="n">
        <v>51</v>
      </c>
      <c r="C391" s="16" t="n">
        <v>516</v>
      </c>
      <c r="F391" s="31" t="inlineStr">
        <is>
          <t>PU净味新款哑光象牙白漆</t>
        </is>
      </c>
      <c r="G391" s="16" t="n">
        <v>4</v>
      </c>
      <c r="H391" s="16" t="n">
        <v>26</v>
      </c>
      <c r="I391" s="16">
        <f>G391*H391</f>
        <v/>
      </c>
      <c r="J391" s="64" t="n">
        <v>17</v>
      </c>
      <c r="K391" s="64">
        <f>I391*J391</f>
        <v/>
      </c>
      <c r="L391" s="13" t="n"/>
      <c r="M391" s="16" t="n"/>
    </row>
    <row r="392" customFormat="1" s="11">
      <c r="A392" s="32" t="n">
        <v>46013</v>
      </c>
      <c r="B392" s="61" t="n">
        <v>51</v>
      </c>
      <c r="C392" s="16" t="inlineStr">
        <is>
          <t>535F</t>
        </is>
      </c>
      <c r="F392" s="31" t="inlineStr">
        <is>
          <t>PU净味哑光固化剂</t>
        </is>
      </c>
      <c r="G392" s="16" t="n">
        <v>5</v>
      </c>
      <c r="H392" s="16" t="n">
        <v>10</v>
      </c>
      <c r="I392" s="16">
        <f>G392*H392</f>
        <v/>
      </c>
      <c r="J392" s="64" t="n">
        <v>17</v>
      </c>
      <c r="K392" s="64">
        <f>I392*J392</f>
        <v/>
      </c>
      <c r="L392" s="13" t="n"/>
      <c r="M392" s="16" t="n"/>
    </row>
    <row r="393" customFormat="1" s="11">
      <c r="A393" s="32" t="n">
        <v>46013</v>
      </c>
      <c r="B393" s="61" t="n">
        <v>51</v>
      </c>
      <c r="C393" s="16" t="n"/>
      <c r="F393" s="13" t="inlineStr">
        <is>
          <t>PE白底漆稀料</t>
        </is>
      </c>
      <c r="G393" s="16" t="n">
        <v>2</v>
      </c>
      <c r="H393" s="16" t="n">
        <v>180</v>
      </c>
      <c r="I393" s="16">
        <f>G393*H393</f>
        <v/>
      </c>
      <c r="J393" s="64" t="n">
        <v>5.5</v>
      </c>
      <c r="K393" s="64">
        <f>I393*J393</f>
        <v/>
      </c>
      <c r="L393" s="13" t="n"/>
      <c r="M393" s="16">
        <f>SUM(K390:K393)</f>
        <v/>
      </c>
      <c r="N393" s="57" t="n"/>
    </row>
    <row r="394">
      <c r="A394" s="22" t="n">
        <v>46014</v>
      </c>
      <c r="B394" s="59" t="n">
        <v>53</v>
      </c>
      <c r="C394" s="24" t="n">
        <v>722</v>
      </c>
      <c r="F394" s="25" t="inlineStr">
        <is>
          <t>PU哑光浅蓝色漆</t>
        </is>
      </c>
      <c r="G394" s="24" t="n">
        <v>1</v>
      </c>
      <c r="H394" s="24" t="n">
        <v>5</v>
      </c>
      <c r="I394" s="24">
        <f>G394*H394</f>
        <v/>
      </c>
      <c r="J394" s="63" t="n">
        <v>17</v>
      </c>
      <c r="K394" s="63">
        <f>I394*J394</f>
        <v/>
      </c>
      <c r="M394" s="24" t="n"/>
    </row>
    <row r="395" customFormat="1" s="11">
      <c r="A395" s="32" t="n">
        <v>46016</v>
      </c>
      <c r="B395" s="61" t="n">
        <v>66</v>
      </c>
      <c r="C395" s="16" t="inlineStr">
        <is>
          <t>7225-70F</t>
        </is>
      </c>
      <c r="F395" s="31" t="inlineStr">
        <is>
          <t>PU净味三分光清面漆</t>
        </is>
      </c>
      <c r="G395" s="16" t="n">
        <v>2</v>
      </c>
      <c r="H395" s="16" t="n">
        <v>20</v>
      </c>
      <c r="I395" s="16">
        <f>G395*H395</f>
        <v/>
      </c>
      <c r="J395" s="64" t="n">
        <v>18</v>
      </c>
      <c r="K395" s="64">
        <f>I395*J395</f>
        <v/>
      </c>
      <c r="L395" s="13" t="n"/>
      <c r="M395" s="16" t="n"/>
    </row>
    <row r="396" customFormat="1" s="11">
      <c r="A396" s="32" t="n">
        <v>46016</v>
      </c>
      <c r="B396" s="61" t="n">
        <v>66</v>
      </c>
      <c r="C396" s="16" t="inlineStr">
        <is>
          <t>535F</t>
        </is>
      </c>
      <c r="F396" s="31" t="inlineStr">
        <is>
          <t>PU净味哑光固化剂</t>
        </is>
      </c>
      <c r="G396" s="16" t="n">
        <v>5</v>
      </c>
      <c r="H396" s="16" t="n">
        <v>10</v>
      </c>
      <c r="I396" s="16">
        <f>G396*H396</f>
        <v/>
      </c>
      <c r="J396" s="64" t="n">
        <v>18</v>
      </c>
      <c r="K396" s="64">
        <f>I396*J396</f>
        <v/>
      </c>
      <c r="L396" s="13" t="n"/>
      <c r="M396" s="16" t="n"/>
    </row>
    <row r="397">
      <c r="A397" s="22" t="n">
        <v>46017</v>
      </c>
      <c r="B397" s="59" t="n">
        <v>69</v>
      </c>
      <c r="C397" s="24" t="inlineStr">
        <is>
          <t>HL-9827AA</t>
        </is>
      </c>
      <c r="F397" s="12" t="inlineStr">
        <is>
          <t>PE清底漆</t>
        </is>
      </c>
      <c r="G397" s="24" t="n">
        <v>3</v>
      </c>
      <c r="H397" s="24" t="n">
        <v>25</v>
      </c>
      <c r="I397" s="24">
        <f>G397*H397</f>
        <v/>
      </c>
      <c r="J397" s="63" t="n">
        <v>14</v>
      </c>
      <c r="K397" s="63">
        <f>I397*J397</f>
        <v/>
      </c>
      <c r="M397" s="24" t="n"/>
    </row>
    <row r="398">
      <c r="A398" s="22" t="n">
        <v>46017</v>
      </c>
      <c r="B398" s="59" t="n">
        <v>69</v>
      </c>
      <c r="C398" s="24" t="n">
        <v>516</v>
      </c>
      <c r="F398" s="25" t="inlineStr">
        <is>
          <t>PU净味新款哑光象牙白漆</t>
        </is>
      </c>
      <c r="G398" s="24" t="n">
        <v>2</v>
      </c>
      <c r="H398" s="24" t="n">
        <v>25</v>
      </c>
      <c r="I398" s="24">
        <f>G398*H398</f>
        <v/>
      </c>
      <c r="J398" s="63" t="n">
        <v>17</v>
      </c>
      <c r="K398" s="63">
        <f>I398*J398</f>
        <v/>
      </c>
      <c r="M398" s="24" t="n"/>
    </row>
    <row r="399">
      <c r="A399" s="22" t="n">
        <v>46017</v>
      </c>
      <c r="B399" s="59" t="n">
        <v>69</v>
      </c>
      <c r="C399" s="24" t="inlineStr">
        <is>
          <t>535F</t>
        </is>
      </c>
      <c r="F399" s="25" t="inlineStr">
        <is>
          <t>PU净味哑光固化剂</t>
        </is>
      </c>
      <c r="G399" s="24" t="n">
        <v>2</v>
      </c>
      <c r="H399" s="24" t="n">
        <v>10</v>
      </c>
      <c r="I399" s="24">
        <f>G399*H399</f>
        <v/>
      </c>
      <c r="J399" s="63" t="n">
        <v>17</v>
      </c>
      <c r="K399" s="63">
        <f>I399*J399</f>
        <v/>
      </c>
      <c r="L399" s="12">
        <f>SUM(K397:K399)</f>
        <v/>
      </c>
      <c r="M399" s="24" t="n"/>
    </row>
    <row r="400" customFormat="1" s="11">
      <c r="A400" s="32" t="n">
        <v>46018</v>
      </c>
      <c r="B400" s="61" t="inlineStr">
        <is>
          <t>75号</t>
        </is>
      </c>
      <c r="C400" s="16" t="inlineStr">
        <is>
          <t>2662（222A)</t>
        </is>
      </c>
      <c r="F400" s="31" t="inlineStr">
        <is>
          <t>PU净味哑光浅黄色漆</t>
        </is>
      </c>
      <c r="G400" s="16" t="n">
        <v>1</v>
      </c>
      <c r="H400" s="16" t="n">
        <v>5</v>
      </c>
      <c r="I400" s="16">
        <f>G400*H400</f>
        <v/>
      </c>
      <c r="J400" s="64" t="n">
        <v>17</v>
      </c>
      <c r="K400" s="64">
        <f>I400*J400</f>
        <v/>
      </c>
      <c r="L400" s="15" t="inlineStr">
        <is>
          <t>已改编号</t>
        </is>
      </c>
      <c r="M400" s="28" t="n"/>
      <c r="N400" s="10" t="n"/>
      <c r="O400" s="10" t="n"/>
    </row>
    <row r="401">
      <c r="A401" s="22" t="n">
        <v>46021</v>
      </c>
      <c r="B401" s="59" t="n">
        <v>86</v>
      </c>
      <c r="C401" s="24" t="inlineStr">
        <is>
          <t>508A床尾</t>
        </is>
      </c>
      <c r="F401" s="25" t="inlineStr">
        <is>
          <t>PU净味哑光暖色调面漆</t>
        </is>
      </c>
      <c r="G401" s="24" t="n">
        <v>1</v>
      </c>
      <c r="H401" s="24" t="n">
        <v>26</v>
      </c>
      <c r="I401" s="24">
        <f>G401*H401</f>
        <v/>
      </c>
      <c r="J401" s="63" t="n">
        <v>18</v>
      </c>
      <c r="K401" s="63">
        <f>I401*J401</f>
        <v/>
      </c>
      <c r="L401" s="12" t="inlineStr">
        <is>
          <t>床尾17/12编的主色</t>
        </is>
      </c>
      <c r="M401" s="24" t="n"/>
    </row>
    <row r="402">
      <c r="A402" s="22" t="n">
        <v>46021</v>
      </c>
      <c r="B402" s="59" t="n">
        <v>86</v>
      </c>
      <c r="C402" s="24" t="inlineStr">
        <is>
          <t>7225-70F</t>
        </is>
      </c>
      <c r="F402" s="25" t="inlineStr">
        <is>
          <t>PU净味三分光清面漆</t>
        </is>
      </c>
      <c r="G402" s="24" t="n">
        <v>2</v>
      </c>
      <c r="H402" s="24" t="n">
        <v>20</v>
      </c>
      <c r="I402" s="24">
        <f>G402*H402</f>
        <v/>
      </c>
      <c r="J402" s="63" t="n">
        <v>18</v>
      </c>
      <c r="K402" s="63">
        <f>I402*J402</f>
        <v/>
      </c>
      <c r="M402" s="24" t="n"/>
    </row>
    <row r="403">
      <c r="A403" s="22" t="n">
        <v>46021</v>
      </c>
      <c r="B403" s="59" t="n">
        <v>86</v>
      </c>
      <c r="C403" s="24" t="inlineStr">
        <is>
          <t>508-2</t>
        </is>
      </c>
      <c r="F403" s="25" t="inlineStr">
        <is>
          <t>PU净味哑光土黄色漆</t>
        </is>
      </c>
      <c r="G403" s="24" t="n">
        <v>1</v>
      </c>
      <c r="H403" s="24" t="n">
        <v>2.5</v>
      </c>
      <c r="I403" s="24">
        <f>G403*H403</f>
        <v/>
      </c>
      <c r="J403" s="63" t="n">
        <v>18</v>
      </c>
      <c r="K403" s="63">
        <f>I403*J403</f>
        <v/>
      </c>
      <c r="M403" s="24" t="n"/>
    </row>
    <row r="404">
      <c r="A404" s="22" t="n">
        <v>46021</v>
      </c>
      <c r="B404" s="59" t="n">
        <v>86</v>
      </c>
      <c r="C404" s="24" t="inlineStr">
        <is>
          <t>508-3</t>
        </is>
      </c>
      <c r="F404" s="25" t="inlineStr">
        <is>
          <t>PU净味哑光浅灰色漆</t>
        </is>
      </c>
      <c r="G404" s="24" t="n">
        <v>1</v>
      </c>
      <c r="H404" s="24" t="n">
        <v>25</v>
      </c>
      <c r="I404" s="24">
        <f>G404*H404</f>
        <v/>
      </c>
      <c r="J404" s="63" t="n">
        <v>18</v>
      </c>
      <c r="K404" s="63">
        <f>I404*J404</f>
        <v/>
      </c>
      <c r="M404" s="24" t="n"/>
    </row>
    <row r="405">
      <c r="A405" s="22" t="n">
        <v>46021</v>
      </c>
      <c r="B405" s="59" t="n">
        <v>86</v>
      </c>
      <c r="C405" s="24" t="inlineStr">
        <is>
          <t>508-4</t>
        </is>
      </c>
      <c r="F405" s="25" t="inlineStr">
        <is>
          <t>PU净味哑光粉色漆</t>
        </is>
      </c>
      <c r="G405" s="24" t="n">
        <v>1</v>
      </c>
      <c r="H405" s="24" t="n">
        <v>25</v>
      </c>
      <c r="I405" s="24">
        <f>G405*H405</f>
        <v/>
      </c>
      <c r="J405" s="63" t="n">
        <v>18</v>
      </c>
      <c r="K405" s="63">
        <f>I405*J405</f>
        <v/>
      </c>
      <c r="L405" s="25" t="inlineStr">
        <is>
          <t>508-4(553改）</t>
        </is>
      </c>
    </row>
    <row r="406">
      <c r="A406" s="22" t="n">
        <v>46021</v>
      </c>
      <c r="B406" s="59" t="n">
        <v>86</v>
      </c>
      <c r="C406" s="24" t="inlineStr">
        <is>
          <t>535F</t>
        </is>
      </c>
      <c r="F406" s="25" t="inlineStr">
        <is>
          <t>PU净味哑光固化剂</t>
        </is>
      </c>
      <c r="G406" s="24" t="n">
        <v>5</v>
      </c>
      <c r="H406" s="24" t="n">
        <v>10</v>
      </c>
      <c r="I406" s="24">
        <f>G406*H406</f>
        <v/>
      </c>
      <c r="J406" s="63" t="n">
        <v>18</v>
      </c>
      <c r="K406" s="63">
        <f>I406*J406</f>
        <v/>
      </c>
      <c r="M406" s="24">
        <f>SUM(K401:K406)</f>
        <v/>
      </c>
    </row>
    <row r="407" customFormat="1" s="11">
      <c r="A407" s="32" t="n">
        <v>46027</v>
      </c>
      <c r="B407" s="61" t="n">
        <v>9</v>
      </c>
      <c r="C407" s="16" t="n">
        <v>9803</v>
      </c>
      <c r="F407" s="31" t="inlineStr">
        <is>
          <t>PE白底漆</t>
        </is>
      </c>
      <c r="G407" s="16" t="n">
        <v>10</v>
      </c>
      <c r="H407" s="16" t="n">
        <v>28</v>
      </c>
      <c r="I407" s="16">
        <f>G407*H407</f>
        <v/>
      </c>
      <c r="J407" s="64" t="n">
        <v>8.5</v>
      </c>
      <c r="K407" s="64">
        <f>I407*J407</f>
        <v/>
      </c>
      <c r="L407" s="13" t="n"/>
      <c r="M407" s="16" t="n"/>
    </row>
    <row r="408">
      <c r="A408" s="58" t="n">
        <v>46029</v>
      </c>
      <c r="B408" s="12" t="inlineStr">
        <is>
          <t>16号</t>
        </is>
      </c>
      <c r="C408" s="24" t="n">
        <v>516</v>
      </c>
      <c r="F408" s="25" t="inlineStr">
        <is>
          <t>PU净味新款哑光象牙白漆</t>
        </is>
      </c>
      <c r="G408" s="24" t="n">
        <v>2</v>
      </c>
      <c r="H408" s="24" t="n">
        <v>25</v>
      </c>
      <c r="I408" s="24">
        <f>G408*H408</f>
        <v/>
      </c>
      <c r="J408" s="63" t="n">
        <v>17</v>
      </c>
      <c r="K408" s="63">
        <f>I408*J408</f>
        <v/>
      </c>
    </row>
    <row r="409">
      <c r="A409" s="58" t="n">
        <v>46029</v>
      </c>
      <c r="B409" s="12" t="inlineStr">
        <is>
          <t>16号</t>
        </is>
      </c>
      <c r="C409" s="24" t="n">
        <v>722</v>
      </c>
      <c r="F409" s="25" t="inlineStr">
        <is>
          <t>PU哑光浅蓝色漆</t>
        </is>
      </c>
      <c r="G409" s="24" t="n">
        <v>1</v>
      </c>
      <c r="H409" s="24" t="n">
        <v>7</v>
      </c>
      <c r="I409" s="24">
        <f>G409*H409</f>
        <v/>
      </c>
      <c r="J409" s="63" t="n">
        <v>17</v>
      </c>
      <c r="K409" s="63">
        <f>I409*J409</f>
        <v/>
      </c>
    </row>
    <row r="410">
      <c r="A410" s="58" t="n">
        <v>46029</v>
      </c>
      <c r="B410" s="12" t="inlineStr">
        <is>
          <t>16号</t>
        </is>
      </c>
      <c r="C410" s="24" t="inlineStr">
        <is>
          <t>535F</t>
        </is>
      </c>
      <c r="F410" s="25" t="inlineStr">
        <is>
          <t>PU净味哑光固化剂</t>
        </is>
      </c>
      <c r="G410" s="24" t="n">
        <v>3</v>
      </c>
      <c r="H410" s="24" t="n">
        <v>10</v>
      </c>
      <c r="I410" s="24">
        <f>G410*H410</f>
        <v/>
      </c>
      <c r="J410" s="63" t="n">
        <v>17</v>
      </c>
      <c r="K410" s="63">
        <f>I410*J410</f>
        <v/>
      </c>
      <c r="L410" s="12">
        <f>SUM(K408:K410)</f>
        <v/>
      </c>
    </row>
    <row r="411" customFormat="1" s="11">
      <c r="A411" s="32" t="n">
        <v>46034</v>
      </c>
      <c r="B411" s="61" t="inlineStr">
        <is>
          <t>31号</t>
        </is>
      </c>
      <c r="C411" s="16" t="inlineStr">
        <is>
          <t>900F-1</t>
        </is>
      </c>
      <c r="F411" s="31" t="inlineStr">
        <is>
          <t>PU净味面漆稀释剂</t>
        </is>
      </c>
      <c r="G411" s="16" t="n">
        <v>2</v>
      </c>
      <c r="H411" s="16" t="n">
        <v>18</v>
      </c>
      <c r="I411" s="16">
        <f>G411*H411</f>
        <v/>
      </c>
      <c r="J411" s="64" t="n">
        <v>10.5</v>
      </c>
      <c r="K411" s="64">
        <f>I411*J411</f>
        <v/>
      </c>
      <c r="L411" s="13" t="inlineStr">
        <is>
          <t>小桶不降</t>
        </is>
      </c>
      <c r="M411" s="16" t="n"/>
    </row>
    <row r="412">
      <c r="A412" s="22" t="n">
        <v>46042</v>
      </c>
      <c r="B412" s="59" t="n">
        <v>51</v>
      </c>
      <c r="C412" s="24" t="inlineStr">
        <is>
          <t>508A（主）</t>
        </is>
      </c>
      <c r="F412" s="25" t="inlineStr">
        <is>
          <t>PU净味哑光暖色调面漆</t>
        </is>
      </c>
      <c r="G412" s="24" t="n">
        <v>1</v>
      </c>
      <c r="H412" s="24" t="n">
        <v>5</v>
      </c>
      <c r="I412" s="24">
        <f>G412*H412</f>
        <v/>
      </c>
      <c r="J412" s="63" t="n">
        <v>17</v>
      </c>
      <c r="K412" s="63">
        <f>I412*J412</f>
        <v/>
      </c>
      <c r="L412" s="12" t="inlineStr">
        <is>
          <t>17/12编的主色</t>
        </is>
      </c>
      <c r="M412" s="24" t="n"/>
    </row>
    <row r="413" customFormat="1" s="11">
      <c r="A413" s="32" t="n">
        <v>46044</v>
      </c>
      <c r="B413" s="61" t="n">
        <v>63</v>
      </c>
      <c r="C413" s="16" t="inlineStr">
        <is>
          <t>2662（222A)</t>
        </is>
      </c>
      <c r="F413" s="31" t="inlineStr">
        <is>
          <t>PU净味哑光浅黄色漆</t>
        </is>
      </c>
      <c r="G413" s="16" t="n">
        <v>1</v>
      </c>
      <c r="H413" s="16" t="n">
        <v>4</v>
      </c>
      <c r="I413" s="16">
        <f>G413*H413</f>
        <v/>
      </c>
      <c r="J413" s="64" t="n">
        <v>17</v>
      </c>
      <c r="K413" s="64">
        <f>I413*J413</f>
        <v/>
      </c>
      <c r="L413" s="15" t="inlineStr">
        <is>
          <t>已改编号</t>
        </is>
      </c>
      <c r="M413" s="28" t="n"/>
      <c r="N413" s="10" t="n"/>
      <c r="O413" s="10" t="n"/>
    </row>
    <row r="414" customFormat="1" s="11">
      <c r="A414" s="32" t="inlineStr">
        <is>
          <t>1月30日</t>
        </is>
      </c>
      <c r="B414" s="61" t="n"/>
      <c r="C414" s="16" t="n"/>
      <c r="F414" s="31" t="n"/>
      <c r="G414" s="16" t="n"/>
      <c r="H414" s="16" t="n"/>
      <c r="I414" s="16" t="n"/>
      <c r="J414" s="64" t="n"/>
      <c r="K414" s="64" t="n"/>
      <c r="L414" s="13" t="n"/>
      <c r="M414" s="16" t="n"/>
    </row>
    <row r="415" customFormat="1" s="11">
      <c r="A415" s="32" t="inlineStr">
        <is>
          <t>1月30日</t>
        </is>
      </c>
      <c r="B415" s="61" t="inlineStr">
        <is>
          <t>92号</t>
        </is>
      </c>
      <c r="C415" s="16" t="inlineStr">
        <is>
          <t>9803</t>
        </is>
      </c>
      <c r="F415" s="31" t="inlineStr">
        <is>
          <t>PE白底漆</t>
        </is>
      </c>
      <c r="G415" s="16" t="n">
        <v>10</v>
      </c>
      <c r="H415" s="16" t="n">
        <v>28</v>
      </c>
      <c r="I415" s="16">
        <f>G415*H415</f>
        <v/>
      </c>
      <c r="J415" s="64" t="n">
        <v>10</v>
      </c>
      <c r="K415" s="64">
        <f>I415*J415</f>
        <v/>
      </c>
      <c r="L415" s="13" t="n"/>
      <c r="M415" s="16" t="n"/>
    </row>
    <row r="416" customFormat="1" s="11">
      <c r="A416" s="32" t="inlineStr">
        <is>
          <t>1月30日</t>
        </is>
      </c>
      <c r="B416" s="61" t="inlineStr">
        <is>
          <t>92号</t>
        </is>
      </c>
      <c r="C416" s="16" t="inlineStr">
        <is>
          <t>9000F-1</t>
        </is>
      </c>
      <c r="F416" s="31" t="inlineStr">
        <is>
          <t>PU净味面漆稀释剂</t>
        </is>
      </c>
      <c r="G416" s="16" t="n">
        <v>1</v>
      </c>
      <c r="H416" s="16" t="n">
        <v>180</v>
      </c>
      <c r="I416" s="16">
        <f>G416*H416</f>
        <v/>
      </c>
      <c r="J416" s="64" t="n">
        <v>13</v>
      </c>
      <c r="K416" s="64">
        <f>I416*J416</f>
        <v/>
      </c>
      <c r="L416" s="13" t="n">
        <v>5140</v>
      </c>
      <c r="M416" s="16" t="n"/>
    </row>
    <row r="417" customFormat="1" s="11">
      <c r="A417" s="32" t="inlineStr">
        <is>
          <t>1月30日</t>
        </is>
      </c>
      <c r="B417" s="61" t="inlineStr">
        <is>
          <t>96号</t>
        </is>
      </c>
      <c r="C417" s="16" t="inlineStr">
        <is>
          <t>9803</t>
        </is>
      </c>
      <c r="F417" s="31" t="inlineStr">
        <is>
          <t>PE白底漆</t>
        </is>
      </c>
      <c r="G417" s="16" t="n">
        <v>10</v>
      </c>
      <c r="H417" s="16" t="n">
        <v>28</v>
      </c>
      <c r="I417" s="16">
        <f>G417*H417</f>
        <v/>
      </c>
      <c r="J417" s="64" t="n">
        <v>10</v>
      </c>
      <c r="K417" s="64">
        <f>I417*J417</f>
        <v/>
      </c>
      <c r="L417" s="13" t="n"/>
      <c r="M417" s="16" t="n"/>
    </row>
    <row r="418" customFormat="1" s="11">
      <c r="A418" s="32" t="inlineStr">
        <is>
          <t>1月30日</t>
        </is>
      </c>
      <c r="B418" s="61" t="inlineStr">
        <is>
          <t>96号</t>
        </is>
      </c>
      <c r="C418" s="16" t="inlineStr">
        <is>
          <t>9803</t>
        </is>
      </c>
      <c r="F418" s="31" t="inlineStr">
        <is>
          <t>PE白底漆</t>
        </is>
      </c>
      <c r="G418" s="16" t="n">
        <v>1</v>
      </c>
      <c r="H418" s="16" t="n">
        <v>180</v>
      </c>
      <c r="I418" s="16">
        <f>G418*H418</f>
        <v/>
      </c>
      <c r="J418" s="64" t="n">
        <v>10</v>
      </c>
      <c r="K418" s="64">
        <f>I418*J418</f>
        <v/>
      </c>
      <c r="L418" s="13" t="n">
        <v>4600</v>
      </c>
      <c r="M418" s="16" t="n"/>
    </row>
    <row r="419" customFormat="1" s="11">
      <c r="A419" s="32" t="inlineStr">
        <is>
          <t>1月30日</t>
        </is>
      </c>
      <c r="B419" s="61" t="inlineStr">
        <is>
          <t>100号</t>
        </is>
      </c>
      <c r="C419" s="16" t="inlineStr">
        <is>
          <t>9803</t>
        </is>
      </c>
      <c r="F419" s="31" t="inlineStr">
        <is>
          <t>PE白底漆</t>
        </is>
      </c>
      <c r="G419" s="16" t="n">
        <v>10</v>
      </c>
      <c r="H419" s="16" t="n">
        <v>28</v>
      </c>
      <c r="I419" s="16">
        <f>G419*H419</f>
        <v/>
      </c>
      <c r="J419" s="64" t="n">
        <v>10</v>
      </c>
      <c r="K419" s="64">
        <f>I419*J419</f>
        <v/>
      </c>
      <c r="L419" s="13" t="n"/>
      <c r="M419" s="16" t="n"/>
    </row>
    <row r="420" customFormat="1" s="11">
      <c r="A420" s="32" t="inlineStr">
        <is>
          <t>1月30日</t>
        </is>
      </c>
      <c r="B420" s="61" t="inlineStr">
        <is>
          <t>100号</t>
        </is>
      </c>
      <c r="C420" s="16" t="inlineStr">
        <is>
          <t>608A</t>
        </is>
      </c>
      <c r="F420" s="31" t="inlineStr">
        <is>
          <t>PE白底漆稀料</t>
        </is>
      </c>
      <c r="G420" s="16" t="n">
        <v>1</v>
      </c>
      <c r="H420" s="16" t="n">
        <v>180</v>
      </c>
      <c r="I420" s="16">
        <f>G420*H420</f>
        <v/>
      </c>
      <c r="J420" s="64" t="n">
        <v>5.5</v>
      </c>
      <c r="K420" s="64">
        <f>I420*J420</f>
        <v/>
      </c>
      <c r="L420" s="13" t="n">
        <v>3790</v>
      </c>
      <c r="M420" s="16" t="n"/>
    </row>
    <row r="421" customFormat="1" s="11">
      <c r="A421" s="32" t="n"/>
      <c r="B421" s="61" t="n"/>
      <c r="C421" s="16" t="n"/>
      <c r="F421" s="31" t="n"/>
      <c r="G421" s="16" t="n"/>
      <c r="H421" s="16" t="n"/>
      <c r="I421" s="16" t="n"/>
      <c r="J421" s="64" t="n"/>
      <c r="K421" s="64" t="n"/>
      <c r="L421" s="13" t="n"/>
      <c r="M421" s="16" t="n"/>
    </row>
    <row r="422" customFormat="1" s="11">
      <c r="A422" s="32" t="n"/>
      <c r="B422" s="61" t="n"/>
      <c r="C422" s="16" t="n"/>
      <c r="F422" s="31" t="n"/>
      <c r="G422" s="16" t="n"/>
      <c r="H422" s="16" t="n"/>
      <c r="I422" s="16" t="n"/>
      <c r="J422" s="64" t="n"/>
      <c r="K422" s="64" t="n"/>
      <c r="L422" s="13" t="n"/>
      <c r="M422" s="16" t="n"/>
    </row>
    <row r="423" customFormat="1" s="11">
      <c r="A423" s="32" t="n"/>
      <c r="B423" s="61" t="n"/>
      <c r="C423" s="16" t="n"/>
      <c r="F423" s="31" t="n"/>
      <c r="G423" s="16" t="n"/>
      <c r="H423" s="16" t="n"/>
      <c r="I423" s="16" t="n"/>
      <c r="J423" s="64" t="n"/>
      <c r="K423" s="64" t="n"/>
      <c r="L423" s="13" t="n"/>
      <c r="M423" s="16" t="n"/>
    </row>
    <row r="424" customFormat="1" s="11">
      <c r="A424" s="32" t="n"/>
      <c r="B424" s="61" t="n"/>
      <c r="C424" s="16" t="n"/>
      <c r="F424" s="31" t="n"/>
      <c r="G424" s="16" t="n"/>
      <c r="H424" s="16" t="n"/>
      <c r="I424" s="16" t="n"/>
      <c r="J424" s="64" t="n"/>
      <c r="K424" s="64" t="n"/>
      <c r="L424" s="13" t="n"/>
      <c r="M424" s="16" t="n"/>
    </row>
    <row r="425" customFormat="1" s="11">
      <c r="A425" s="32" t="n"/>
      <c r="B425" s="61" t="n"/>
      <c r="C425" s="16" t="n"/>
      <c r="F425" s="31" t="n"/>
      <c r="G425" s="16" t="n"/>
      <c r="H425" s="16" t="n"/>
      <c r="I425" s="16" t="n"/>
      <c r="J425" s="64" t="n"/>
      <c r="K425" s="64" t="n"/>
      <c r="L425" s="13" t="n"/>
      <c r="M425" s="16" t="n"/>
    </row>
    <row r="426" customFormat="1" s="11">
      <c r="A426" s="32" t="n"/>
      <c r="B426" s="61" t="n"/>
      <c r="C426" s="16" t="n"/>
      <c r="F426" s="31" t="n"/>
      <c r="G426" s="16" t="n"/>
      <c r="H426" s="16" t="n"/>
      <c r="I426" s="16" t="n"/>
      <c r="J426" s="64" t="n"/>
      <c r="K426" s="64" t="n"/>
      <c r="L426" s="13" t="n"/>
      <c r="M426" s="16" t="n"/>
    </row>
    <row r="427" customFormat="1" s="11">
      <c r="A427" s="32" t="n"/>
      <c r="B427" s="61" t="n"/>
      <c r="C427" s="16" t="n"/>
      <c r="F427" s="31" t="n"/>
      <c r="G427" s="16" t="n"/>
      <c r="H427" s="16" t="n"/>
      <c r="I427" s="16" t="n"/>
      <c r="J427" s="64" t="n"/>
      <c r="K427" s="64" t="n"/>
      <c r="L427" s="13" t="n"/>
      <c r="M427" s="16" t="n"/>
    </row>
    <row r="428" customFormat="1" s="11">
      <c r="A428" s="32" t="n"/>
      <c r="B428" s="61" t="n"/>
      <c r="C428" s="16" t="n"/>
      <c r="F428" s="31" t="n"/>
      <c r="G428" s="16" t="n"/>
      <c r="H428" s="16" t="n"/>
      <c r="I428" s="16" t="n"/>
      <c r="J428" s="64" t="n"/>
      <c r="K428" s="64" t="n"/>
      <c r="L428" s="13" t="n"/>
      <c r="M428" s="16" t="n"/>
    </row>
    <row r="429" customFormat="1" s="11">
      <c r="A429" s="32" t="n"/>
      <c r="B429" s="61" t="n"/>
      <c r="C429" s="16" t="n"/>
      <c r="F429" s="31" t="n"/>
      <c r="G429" s="16" t="n"/>
      <c r="H429" s="16" t="n"/>
      <c r="I429" s="16" t="n"/>
      <c r="J429" s="64" t="n"/>
      <c r="K429" s="64" t="n"/>
      <c r="L429" s="13" t="n"/>
      <c r="M429" s="16" t="n"/>
    </row>
    <row r="430" customFormat="1" s="11">
      <c r="A430" s="32" t="n"/>
      <c r="B430" s="61" t="n"/>
      <c r="C430" s="16" t="n"/>
      <c r="F430" s="31" t="n"/>
      <c r="G430" s="16" t="n"/>
      <c r="H430" s="16" t="n"/>
      <c r="I430" s="16" t="n"/>
      <c r="J430" s="64" t="n"/>
      <c r="K430" s="64" t="n"/>
      <c r="L430" s="13" t="n"/>
      <c r="M430" s="16" t="n"/>
    </row>
    <row r="431" customFormat="1" s="11">
      <c r="A431" s="32" t="n"/>
      <c r="B431" s="61" t="n"/>
      <c r="C431" s="16" t="n"/>
      <c r="F431" s="31" t="n"/>
      <c r="G431" s="16" t="n"/>
      <c r="H431" s="16" t="n"/>
      <c r="I431" s="16" t="n"/>
      <c r="J431" s="64" t="n"/>
      <c r="K431" s="64" t="n"/>
      <c r="L431" s="13" t="n"/>
      <c r="M431" s="16" t="n"/>
    </row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mergeCells count="441">
    <mergeCell ref="C321:E321"/>
    <mergeCell ref="C255:E255"/>
    <mergeCell ref="C413:E413"/>
    <mergeCell ref="C242:E242"/>
    <mergeCell ref="C21:E21"/>
    <mergeCell ref="C192:E192"/>
    <mergeCell ref="C379:E379"/>
    <mergeCell ref="C244:E244"/>
    <mergeCell ref="C415:E415"/>
    <mergeCell ref="C123:E123"/>
    <mergeCell ref="C23:E23"/>
    <mergeCell ref="C194:E194"/>
    <mergeCell ref="C181:E181"/>
    <mergeCell ref="C423:E423"/>
    <mergeCell ref="N337:N342"/>
    <mergeCell ref="C18:E18"/>
    <mergeCell ref="C285:E285"/>
    <mergeCell ref="C34:E34"/>
    <mergeCell ref="C397:E397"/>
    <mergeCell ref="C74:E74"/>
    <mergeCell ref="C372:E372"/>
    <mergeCell ref="C128:E128"/>
    <mergeCell ref="C426:E426"/>
    <mergeCell ref="C309:E309"/>
    <mergeCell ref="C113:E113"/>
    <mergeCell ref="C103:E103"/>
    <mergeCell ref="C374:E374"/>
    <mergeCell ref="C401:E401"/>
    <mergeCell ref="C205:E205"/>
    <mergeCell ref="C168:E168"/>
    <mergeCell ref="C94:E94"/>
    <mergeCell ref="C180:E180"/>
    <mergeCell ref="C118:E118"/>
    <mergeCell ref="C428:E428"/>
    <mergeCell ref="C311:E311"/>
    <mergeCell ref="C167:E167"/>
    <mergeCell ref="C238:E238"/>
    <mergeCell ref="C232:E232"/>
    <mergeCell ref="C403:E403"/>
    <mergeCell ref="C182:E182"/>
    <mergeCell ref="C169:E169"/>
    <mergeCell ref="C233:E233"/>
    <mergeCell ref="C131:E131"/>
    <mergeCell ref="C87:E87"/>
    <mergeCell ref="C258:E258"/>
    <mergeCell ref="C245:E245"/>
    <mergeCell ref="C421:E421"/>
    <mergeCell ref="C24:E24"/>
    <mergeCell ref="C195:E195"/>
    <mergeCell ref="C266:E266"/>
    <mergeCell ref="C322:E322"/>
    <mergeCell ref="C89:E89"/>
    <mergeCell ref="C260:E260"/>
    <mergeCell ref="C116:E116"/>
    <mergeCell ref="C431:E431"/>
    <mergeCell ref="C187:E187"/>
    <mergeCell ref="C88:E88"/>
    <mergeCell ref="C259:E259"/>
    <mergeCell ref="C26:E26"/>
    <mergeCell ref="C197:E197"/>
    <mergeCell ref="C324:E324"/>
    <mergeCell ref="C416:E416"/>
    <mergeCell ref="C261:E261"/>
    <mergeCell ref="C117:E117"/>
    <mergeCell ref="C55:E55"/>
    <mergeCell ref="L216:N216"/>
    <mergeCell ref="C115:E115"/>
    <mergeCell ref="C213:E213"/>
    <mergeCell ref="C400:E400"/>
    <mergeCell ref="C150:E150"/>
    <mergeCell ref="C144:E144"/>
    <mergeCell ref="C411:E411"/>
    <mergeCell ref="C190:E190"/>
    <mergeCell ref="C37:E37"/>
    <mergeCell ref="C208:E208"/>
    <mergeCell ref="C254:E254"/>
    <mergeCell ref="C248:E248"/>
    <mergeCell ref="C419:E419"/>
    <mergeCell ref="C235:E235"/>
    <mergeCell ref="C210:E210"/>
    <mergeCell ref="C406:E406"/>
    <mergeCell ref="C14:E14"/>
    <mergeCell ref="C185:E185"/>
    <mergeCell ref="C393:E393"/>
    <mergeCell ref="L264:N264"/>
    <mergeCell ref="C137:E137"/>
    <mergeCell ref="C330:E330"/>
    <mergeCell ref="C134:E134"/>
    <mergeCell ref="C124:E124"/>
    <mergeCell ref="C422:E422"/>
    <mergeCell ref="C201:E201"/>
    <mergeCell ref="C90:E90"/>
    <mergeCell ref="C139:E139"/>
    <mergeCell ref="C332:E332"/>
    <mergeCell ref="C388:E388"/>
    <mergeCell ref="C188:E188"/>
    <mergeCell ref="C424:E424"/>
    <mergeCell ref="C138:E138"/>
    <mergeCell ref="C27:E27"/>
    <mergeCell ref="C76:E76"/>
    <mergeCell ref="C132:E132"/>
    <mergeCell ref="C203:E203"/>
    <mergeCell ref="C119:E119"/>
    <mergeCell ref="C361:E361"/>
    <mergeCell ref="C327:E327"/>
    <mergeCell ref="C425:E425"/>
    <mergeCell ref="C108:E108"/>
    <mergeCell ref="C279:E279"/>
    <mergeCell ref="L277:N277"/>
    <mergeCell ref="C45:E45"/>
    <mergeCell ref="C216:E216"/>
    <mergeCell ref="C343:E343"/>
    <mergeCell ref="C281:E281"/>
    <mergeCell ref="C280:E280"/>
    <mergeCell ref="C109:E109"/>
    <mergeCell ref="C47:E47"/>
    <mergeCell ref="C274:E274"/>
    <mergeCell ref="C218:E218"/>
    <mergeCell ref="C345:E345"/>
    <mergeCell ref="C193:E193"/>
    <mergeCell ref="C40:E40"/>
    <mergeCell ref="C282:E282"/>
    <mergeCell ref="C257:E257"/>
    <mergeCell ref="C51:E51"/>
    <mergeCell ref="C71:E71"/>
    <mergeCell ref="C371:E371"/>
    <mergeCell ref="C165:E165"/>
    <mergeCell ref="C140:E140"/>
    <mergeCell ref="C229:E229"/>
    <mergeCell ref="C77:E77"/>
    <mergeCell ref="C204:E204"/>
    <mergeCell ref="C375:E375"/>
    <mergeCell ref="C275:E275"/>
    <mergeCell ref="C427:E427"/>
    <mergeCell ref="C141:E141"/>
    <mergeCell ref="C206:E206"/>
    <mergeCell ref="C377:E377"/>
    <mergeCell ref="C143:E143"/>
    <mergeCell ref="C99:E99"/>
    <mergeCell ref="C270:E270"/>
    <mergeCell ref="L260:N260"/>
    <mergeCell ref="C59:E59"/>
    <mergeCell ref="C130:E130"/>
    <mergeCell ref="C295:E295"/>
    <mergeCell ref="C46:E46"/>
    <mergeCell ref="C409:E409"/>
    <mergeCell ref="C380:E380"/>
    <mergeCell ref="C61:E61"/>
    <mergeCell ref="C359:E359"/>
    <mergeCell ref="C159:E159"/>
    <mergeCell ref="C430:E430"/>
    <mergeCell ref="C48:E48"/>
    <mergeCell ref="C153:E153"/>
    <mergeCell ref="C219:E219"/>
    <mergeCell ref="C224:E224"/>
    <mergeCell ref="C346:E346"/>
    <mergeCell ref="C395:E395"/>
    <mergeCell ref="C125:E125"/>
    <mergeCell ref="C296:E296"/>
    <mergeCell ref="C161:E161"/>
    <mergeCell ref="C217:E217"/>
    <mergeCell ref="C283:E283"/>
    <mergeCell ref="C348:E348"/>
    <mergeCell ref="C323:E323"/>
    <mergeCell ref="C298:E298"/>
    <mergeCell ref="C154:E154"/>
    <mergeCell ref="C390:E390"/>
    <mergeCell ref="C156:E156"/>
    <mergeCell ref="C250:E250"/>
    <mergeCell ref="C212:E212"/>
    <mergeCell ref="C16:E16"/>
    <mergeCell ref="C230:E230"/>
    <mergeCell ref="C301:E301"/>
    <mergeCell ref="C9:E9"/>
    <mergeCell ref="C276:E276"/>
    <mergeCell ref="C214:E214"/>
    <mergeCell ref="C303:E303"/>
    <mergeCell ref="C36:E36"/>
    <mergeCell ref="C11:E11"/>
    <mergeCell ref="C207:E207"/>
    <mergeCell ref="C278:E278"/>
    <mergeCell ref="C370:E370"/>
    <mergeCell ref="C67:E67"/>
    <mergeCell ref="C69:E69"/>
    <mergeCell ref="C96:E96"/>
    <mergeCell ref="C367:E367"/>
    <mergeCell ref="C354:E354"/>
    <mergeCell ref="C6:E6"/>
    <mergeCell ref="C62:E62"/>
    <mergeCell ref="C98:E98"/>
    <mergeCell ref="C369:E369"/>
    <mergeCell ref="C225:E225"/>
    <mergeCell ref="C396:E396"/>
    <mergeCell ref="C4:E4"/>
    <mergeCell ref="C64:E64"/>
    <mergeCell ref="C368:E368"/>
    <mergeCell ref="C306:E306"/>
    <mergeCell ref="C162:E162"/>
    <mergeCell ref="C227:E227"/>
    <mergeCell ref="C349:E349"/>
    <mergeCell ref="C398:E398"/>
    <mergeCell ref="C1:E1"/>
    <mergeCell ref="C177:E177"/>
    <mergeCell ref="C93:E93"/>
    <mergeCell ref="C226:E226"/>
    <mergeCell ref="C164:E164"/>
    <mergeCell ref="C335:E335"/>
    <mergeCell ref="C364:E364"/>
    <mergeCell ref="C291:E291"/>
    <mergeCell ref="C222:E222"/>
    <mergeCell ref="C251:E251"/>
    <mergeCell ref="C17:E17"/>
    <mergeCell ref="C82:E82"/>
    <mergeCell ref="C253:E253"/>
    <mergeCell ref="C240:E240"/>
    <mergeCell ref="C19:E19"/>
    <mergeCell ref="C317:E317"/>
    <mergeCell ref="C111:E111"/>
    <mergeCell ref="C304:E304"/>
    <mergeCell ref="C86:E86"/>
    <mergeCell ref="C83:E83"/>
    <mergeCell ref="C319:E319"/>
    <mergeCell ref="C175:E175"/>
    <mergeCell ref="C58:E58"/>
    <mergeCell ref="C294:E294"/>
    <mergeCell ref="C386:E386"/>
    <mergeCell ref="C152:E152"/>
    <mergeCell ref="C297:E297"/>
    <mergeCell ref="C241:E241"/>
    <mergeCell ref="C228:E228"/>
    <mergeCell ref="C399:E399"/>
    <mergeCell ref="C299:E299"/>
    <mergeCell ref="C7:E7"/>
    <mergeCell ref="C243:E243"/>
    <mergeCell ref="C292:E292"/>
    <mergeCell ref="C307:E307"/>
    <mergeCell ref="C101:E101"/>
    <mergeCell ref="L217:N217"/>
    <mergeCell ref="C325:E325"/>
    <mergeCell ref="C246:E246"/>
    <mergeCell ref="C417:E417"/>
    <mergeCell ref="C20:E20"/>
    <mergeCell ref="C25:E25"/>
    <mergeCell ref="C196:E196"/>
    <mergeCell ref="C389:E389"/>
    <mergeCell ref="C85:E85"/>
    <mergeCell ref="C318:E318"/>
    <mergeCell ref="C383:E383"/>
    <mergeCell ref="C183:E183"/>
    <mergeCell ref="C112:E112"/>
    <mergeCell ref="C256:E256"/>
    <mergeCell ref="C84:E84"/>
    <mergeCell ref="C133:E133"/>
    <mergeCell ref="C22:E22"/>
    <mergeCell ref="C127:E127"/>
    <mergeCell ref="C198:E198"/>
    <mergeCell ref="C320:E320"/>
    <mergeCell ref="C176:E176"/>
    <mergeCell ref="C114:E114"/>
    <mergeCell ref="C247:E247"/>
    <mergeCell ref="C356:E356"/>
    <mergeCell ref="C412:E412"/>
    <mergeCell ref="C418:E418"/>
    <mergeCell ref="C178:E178"/>
    <mergeCell ref="C272:E272"/>
    <mergeCell ref="C38:E38"/>
    <mergeCell ref="C209:E209"/>
    <mergeCell ref="C13:E13"/>
    <mergeCell ref="C249:E249"/>
    <mergeCell ref="C267:E267"/>
    <mergeCell ref="C338:E338"/>
    <mergeCell ref="C15:E15"/>
    <mergeCell ref="C313:E313"/>
    <mergeCell ref="C33:E33"/>
    <mergeCell ref="C104:E104"/>
    <mergeCell ref="C269:E269"/>
    <mergeCell ref="C340:E340"/>
    <mergeCell ref="C79:E79"/>
    <mergeCell ref="C73:E73"/>
    <mergeCell ref="C315:E315"/>
    <mergeCell ref="C231:E231"/>
    <mergeCell ref="C35:E35"/>
    <mergeCell ref="C302:E302"/>
    <mergeCell ref="C333:E333"/>
    <mergeCell ref="C121:E121"/>
    <mergeCell ref="C10:E10"/>
    <mergeCell ref="C173:E173"/>
    <mergeCell ref="L227:N227"/>
    <mergeCell ref="C135:E135"/>
    <mergeCell ref="C328:E328"/>
    <mergeCell ref="C262:E262"/>
    <mergeCell ref="C122:E122"/>
    <mergeCell ref="C420:E420"/>
    <mergeCell ref="C72:E72"/>
    <mergeCell ref="C28:E28"/>
    <mergeCell ref="C199:E199"/>
    <mergeCell ref="L222:N222"/>
    <mergeCell ref="C326:E326"/>
    <mergeCell ref="C186:E186"/>
    <mergeCell ref="C136:E136"/>
    <mergeCell ref="C92:E92"/>
    <mergeCell ref="C263:E263"/>
    <mergeCell ref="C30:E30"/>
    <mergeCell ref="C54:E54"/>
    <mergeCell ref="C41:E41"/>
    <mergeCell ref="C146:E146"/>
    <mergeCell ref="C277:E277"/>
    <mergeCell ref="C404:E404"/>
    <mergeCell ref="C252:E252"/>
    <mergeCell ref="C56:E56"/>
    <mergeCell ref="C105:E105"/>
    <mergeCell ref="C43:E43"/>
    <mergeCell ref="C341:E341"/>
    <mergeCell ref="C316:E316"/>
    <mergeCell ref="C120:E120"/>
    <mergeCell ref="C110:E110"/>
    <mergeCell ref="C408:E408"/>
    <mergeCell ref="C405:E405"/>
    <mergeCell ref="C174:E174"/>
    <mergeCell ref="C149:E149"/>
    <mergeCell ref="C410:E410"/>
    <mergeCell ref="C385:E385"/>
    <mergeCell ref="C189:E189"/>
    <mergeCell ref="L228:N228"/>
    <mergeCell ref="C288:E288"/>
    <mergeCell ref="C334:E334"/>
    <mergeCell ref="C200:E200"/>
    <mergeCell ref="C29:E29"/>
    <mergeCell ref="C271:E271"/>
    <mergeCell ref="C100:E100"/>
    <mergeCell ref="C265:E265"/>
    <mergeCell ref="C65:E65"/>
    <mergeCell ref="C336:E336"/>
    <mergeCell ref="C44:E44"/>
    <mergeCell ref="C142:E142"/>
    <mergeCell ref="C31:E31"/>
    <mergeCell ref="C80:E80"/>
    <mergeCell ref="C202:E202"/>
    <mergeCell ref="C329:E329"/>
    <mergeCell ref="C129:E129"/>
    <mergeCell ref="C373:E373"/>
    <mergeCell ref="C365:E365"/>
    <mergeCell ref="C95:E95"/>
    <mergeCell ref="C60:E60"/>
    <mergeCell ref="C331:E331"/>
    <mergeCell ref="C347:E347"/>
    <mergeCell ref="C268:E268"/>
    <mergeCell ref="C360:E360"/>
    <mergeCell ref="C91:E91"/>
    <mergeCell ref="C362:E362"/>
    <mergeCell ref="C57:E57"/>
    <mergeCell ref="C355:E355"/>
    <mergeCell ref="C155:E155"/>
    <mergeCell ref="C293:E293"/>
    <mergeCell ref="C49:E49"/>
    <mergeCell ref="C220:E220"/>
    <mergeCell ref="C342:E342"/>
    <mergeCell ref="C391:E391"/>
    <mergeCell ref="L218:N218"/>
    <mergeCell ref="C357:E357"/>
    <mergeCell ref="C157:E157"/>
    <mergeCell ref="C42:E42"/>
    <mergeCell ref="C151:E151"/>
    <mergeCell ref="C284:E284"/>
    <mergeCell ref="C344:E344"/>
    <mergeCell ref="C126:E126"/>
    <mergeCell ref="C215:E215"/>
    <mergeCell ref="C12:E12"/>
    <mergeCell ref="C273:E273"/>
    <mergeCell ref="C52:E52"/>
    <mergeCell ref="C39:E39"/>
    <mergeCell ref="C70:E70"/>
    <mergeCell ref="C337:E337"/>
    <mergeCell ref="C312:E312"/>
    <mergeCell ref="C106:E106"/>
    <mergeCell ref="C429:E429"/>
    <mergeCell ref="C414:E414"/>
    <mergeCell ref="C32:E32"/>
    <mergeCell ref="C81:E81"/>
    <mergeCell ref="C352:E352"/>
    <mergeCell ref="C339:E339"/>
    <mergeCell ref="C366:E366"/>
    <mergeCell ref="C170:E170"/>
    <mergeCell ref="C145:E145"/>
    <mergeCell ref="C381:E381"/>
    <mergeCell ref="C63:E63"/>
    <mergeCell ref="C305:E305"/>
    <mergeCell ref="C50:E50"/>
    <mergeCell ref="C221:E221"/>
    <mergeCell ref="C392:E392"/>
    <mergeCell ref="C286:E286"/>
    <mergeCell ref="C236:E236"/>
    <mergeCell ref="C163:E163"/>
    <mergeCell ref="C223:E223"/>
    <mergeCell ref="C394:E394"/>
    <mergeCell ref="C350:E350"/>
    <mergeCell ref="C2:E2"/>
    <mergeCell ref="C300:E300"/>
    <mergeCell ref="C287:E287"/>
    <mergeCell ref="C158:E158"/>
    <mergeCell ref="C289:E289"/>
    <mergeCell ref="C264:E264"/>
    <mergeCell ref="C78:E78"/>
    <mergeCell ref="C376:E376"/>
    <mergeCell ref="C314:E314"/>
    <mergeCell ref="C363:E363"/>
    <mergeCell ref="C387:E387"/>
    <mergeCell ref="C191:E191"/>
    <mergeCell ref="C107:E107"/>
    <mergeCell ref="C378:E378"/>
    <mergeCell ref="C234:E234"/>
    <mergeCell ref="C172:E172"/>
    <mergeCell ref="C353:E353"/>
    <mergeCell ref="C184:E184"/>
    <mergeCell ref="C147:E147"/>
    <mergeCell ref="C171:E171"/>
    <mergeCell ref="C407:E407"/>
    <mergeCell ref="C211:E211"/>
    <mergeCell ref="C382:E382"/>
    <mergeCell ref="C148:E148"/>
    <mergeCell ref="C8:E8"/>
    <mergeCell ref="C358:E358"/>
    <mergeCell ref="C66:E66"/>
    <mergeCell ref="C237:E237"/>
    <mergeCell ref="C308:E308"/>
    <mergeCell ref="C53:E53"/>
    <mergeCell ref="C102:E102"/>
    <mergeCell ref="C351:E351"/>
    <mergeCell ref="C3:E3"/>
    <mergeCell ref="C179:E179"/>
    <mergeCell ref="C68:E68"/>
    <mergeCell ref="C239:E239"/>
    <mergeCell ref="C310:E310"/>
    <mergeCell ref="C166:E166"/>
    <mergeCell ref="C160:E160"/>
    <mergeCell ref="C402:E402"/>
    <mergeCell ref="C5:E5"/>
    <mergeCell ref="L405:N405"/>
    <mergeCell ref="C97:E97"/>
    <mergeCell ref="C290:E290"/>
    <mergeCell ref="C384:E384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I19" sqref="I19"/>
    </sheetView>
  </sheetViews>
  <sheetFormatPr baseColWidth="8" defaultColWidth="9" defaultRowHeight="15.6"/>
  <cols>
    <col width="13.5" customWidth="1" style="1" min="1" max="1"/>
    <col width="20.875" customWidth="1" style="1" min="2" max="2"/>
    <col width="9.125" customWidth="1" style="1" min="5" max="5"/>
  </cols>
  <sheetData>
    <row r="1" ht="15.75" customHeight="1" s="1">
      <c r="A1" s="2" t="n"/>
      <c r="B1" s="2" t="n"/>
      <c r="C1" s="2" t="n"/>
      <c r="D1" s="2" t="n"/>
      <c r="E1" s="2" t="n"/>
      <c r="F1" s="2" t="n"/>
    </row>
    <row r="2" ht="20.4" customHeight="1" s="1">
      <c r="A2" s="3" t="inlineStr">
        <is>
          <t>型号</t>
        </is>
      </c>
      <c r="B2" s="3" t="inlineStr">
        <is>
          <t>名称</t>
        </is>
      </c>
      <c r="C2" s="3" t="inlineStr">
        <is>
          <t>规格</t>
        </is>
      </c>
      <c r="D2" s="4" t="n"/>
      <c r="E2" s="3" t="inlineStr">
        <is>
          <t>单价</t>
        </is>
      </c>
      <c r="F2" s="3" t="inlineStr">
        <is>
          <t>备注</t>
        </is>
      </c>
    </row>
    <row r="3" ht="17.4" customHeight="1" s="1">
      <c r="A3" s="5" t="n">
        <v>9803</v>
      </c>
      <c r="B3" s="5" t="inlineStr">
        <is>
          <t>PE白底漆</t>
        </is>
      </c>
      <c r="C3" s="6" t="n">
        <v>28</v>
      </c>
      <c r="D3" s="6" t="inlineStr">
        <is>
          <t>kg/桶</t>
        </is>
      </c>
      <c r="E3" s="69" t="n">
        <v>9</v>
      </c>
      <c r="F3" s="5" t="n"/>
    </row>
    <row r="4" ht="17.4" customHeight="1" s="1">
      <c r="A4" s="5" t="inlineStr">
        <is>
          <t>HL-9824A</t>
        </is>
      </c>
      <c r="B4" s="5" t="inlineStr">
        <is>
          <t>PE封固底漆</t>
        </is>
      </c>
      <c r="C4" s="6" t="n">
        <v>25</v>
      </c>
      <c r="D4" s="6" t="inlineStr">
        <is>
          <t>kg/桶</t>
        </is>
      </c>
      <c r="E4" s="69" t="n">
        <v>12</v>
      </c>
      <c r="F4" s="5" t="n"/>
    </row>
    <row r="5" ht="17.4" customHeight="1" s="1">
      <c r="A5" s="8" t="inlineStr">
        <is>
          <t>QCL25A</t>
        </is>
      </c>
      <c r="B5" s="8" t="inlineStr">
        <is>
          <t>PE无粉封固底漆</t>
        </is>
      </c>
      <c r="C5" s="6" t="n">
        <v>20</v>
      </c>
      <c r="D5" s="6" t="inlineStr">
        <is>
          <t>kg/桶</t>
        </is>
      </c>
      <c r="E5" s="69" t="n">
        <v>12</v>
      </c>
      <c r="F5" s="5" t="n"/>
    </row>
    <row r="6" ht="17.4" customHeight="1" s="1">
      <c r="A6" s="5" t="inlineStr">
        <is>
          <t>HL-9827AA</t>
        </is>
      </c>
      <c r="B6" s="5" t="inlineStr">
        <is>
          <t>PE清底漆</t>
        </is>
      </c>
      <c r="C6" s="6" t="n">
        <v>25</v>
      </c>
      <c r="D6" s="6" t="inlineStr">
        <is>
          <t>kg/桶</t>
        </is>
      </c>
      <c r="E6" s="69" t="n">
        <v>14</v>
      </c>
      <c r="F6" s="5" t="n"/>
    </row>
    <row r="7" ht="17.4" customHeight="1" s="1">
      <c r="A7" s="5" t="n"/>
      <c r="B7" s="5" t="inlineStr">
        <is>
          <t>PU实色漆</t>
        </is>
      </c>
      <c r="C7" s="6" t="n">
        <v>25</v>
      </c>
      <c r="D7" s="6" t="inlineStr">
        <is>
          <t>kg/桶</t>
        </is>
      </c>
      <c r="E7" s="69" t="n">
        <v>18</v>
      </c>
      <c r="F7" s="5" t="n"/>
    </row>
    <row r="8" ht="17.4" customHeight="1" s="1">
      <c r="A8" s="5" t="inlineStr">
        <is>
          <t>7225-70F</t>
        </is>
      </c>
      <c r="B8" s="5" t="inlineStr">
        <is>
          <t>PU哑光清面漆</t>
        </is>
      </c>
      <c r="C8" s="6" t="n">
        <v>20</v>
      </c>
      <c r="D8" s="6" t="inlineStr">
        <is>
          <t>kg/桶</t>
        </is>
      </c>
      <c r="E8" s="69" t="n">
        <v>18</v>
      </c>
      <c r="F8" s="5" t="n"/>
    </row>
    <row r="9" ht="17.4" customHeight="1" s="1">
      <c r="A9" s="5" t="n"/>
      <c r="B9" s="5" t="inlineStr">
        <is>
          <t>PU净味哑光固化剂</t>
        </is>
      </c>
      <c r="C9" s="6" t="n">
        <v>20</v>
      </c>
      <c r="D9" s="6" t="inlineStr">
        <is>
          <t>kg/桶</t>
        </is>
      </c>
      <c r="E9" s="69" t="n">
        <v>18</v>
      </c>
      <c r="F9" s="5" t="n"/>
    </row>
    <row r="10" ht="17.4" customHeight="1" s="1">
      <c r="A10" s="5" t="n"/>
      <c r="B10" s="5" t="inlineStr">
        <is>
          <t>PU砂面漆、银珠</t>
        </is>
      </c>
      <c r="C10" s="6" t="n">
        <v>20</v>
      </c>
      <c r="D10" s="6" t="inlineStr">
        <is>
          <t>kg/桶</t>
        </is>
      </c>
      <c r="E10" s="69" t="n">
        <v>22</v>
      </c>
      <c r="F10" s="5" t="n"/>
    </row>
    <row r="11" ht="17.4" customHeight="1" s="1">
      <c r="A11" s="2" t="n"/>
      <c r="B11" s="2" t="inlineStr">
        <is>
          <t>PU净味面稀</t>
        </is>
      </c>
      <c r="C11" s="6" t="n">
        <v>180</v>
      </c>
      <c r="D11" s="6" t="inlineStr">
        <is>
          <t>kg/桶</t>
        </is>
      </c>
      <c r="E11" s="69" t="n">
        <v>10.5</v>
      </c>
      <c r="F11" s="2" t="n"/>
    </row>
    <row r="12" ht="17.4" customHeight="1" s="1">
      <c r="A12" s="2" t="n"/>
      <c r="B12" s="2" t="inlineStr">
        <is>
          <t>PU杏黄底漆</t>
        </is>
      </c>
      <c r="C12" s="6" t="n">
        <v>13</v>
      </c>
      <c r="D12" s="6" t="inlineStr">
        <is>
          <t>kg/桶</t>
        </is>
      </c>
      <c r="E12" s="69" t="n">
        <v>15.5</v>
      </c>
      <c r="F12" s="2" t="n"/>
    </row>
    <row r="13" ht="17.4" customHeight="1" s="1">
      <c r="A13" s="2" t="inlineStr">
        <is>
          <t>1#、2#</t>
        </is>
      </c>
      <c r="B13" s="2" t="inlineStr">
        <is>
          <t>哑光实木修色油</t>
        </is>
      </c>
      <c r="C13" s="6" t="n">
        <v>21</v>
      </c>
      <c r="D13" s="6" t="inlineStr">
        <is>
          <t>kg/桶</t>
        </is>
      </c>
      <c r="E13" s="69" t="n">
        <v>18</v>
      </c>
      <c r="F13" s="2" t="n"/>
    </row>
    <row r="14" ht="20.4" customHeight="1" s="1">
      <c r="A14" s="2" t="n"/>
      <c r="B14" s="9" t="inlineStr">
        <is>
          <t>PU净味底得宝</t>
        </is>
      </c>
      <c r="C14" s="2" t="n">
        <v>18</v>
      </c>
      <c r="D14" s="6" t="inlineStr">
        <is>
          <t>kg/桶</t>
        </is>
      </c>
      <c r="E14" s="69" t="n">
        <v>14.5</v>
      </c>
      <c r="F14" s="2" t="n"/>
    </row>
    <row r="15" ht="20.4" customHeight="1" s="1">
      <c r="A15" s="2" t="n"/>
      <c r="B15" s="9" t="inlineStr">
        <is>
          <t>PU净味底漆固化剂</t>
        </is>
      </c>
      <c r="C15" s="2" t="n">
        <v>20</v>
      </c>
      <c r="D15" s="6" t="inlineStr">
        <is>
          <t>kg/桶</t>
        </is>
      </c>
      <c r="E15" s="69" t="n">
        <v>18</v>
      </c>
      <c r="F15" s="2" t="n"/>
    </row>
  </sheetData>
  <mergeCells count="1">
    <mergeCell ref="C2:D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2013-02-26T11:10:00Z</dcterms:created>
  <dcterms:modified xsi:type="dcterms:W3CDTF">2026-01-30T15:49:05Z</dcterms:modified>
  <cp:lastModifiedBy>WPS_1695616602</cp:lastModifiedBy>
  <cp:lastPrinted>2022-07-15T09:38:00Z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6846A1B4621D47DE8ADFED850AFFFE70</vt:lpwstr>
  </property>
  <property name="KSOProductBuildVer" fmtid="{D5CDD505-2E9C-101B-9397-08002B2CF9AE}" pid="3">
    <vt:lpwstr>2052-12.1.0.24657</vt:lpwstr>
  </property>
  <property name="CalculationRule" fmtid="{D5CDD505-2E9C-101B-9397-08002B2CF9AE}" pid="4">
    <vt:i4>0</vt:i4>
  </property>
</Properties>
</file>