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868" windowHeight="15300"/>
  </bookViews>
  <sheets>
    <sheet name="25出货" sheetId="9" r:id="rId1"/>
    <sheet name="已调价" sheetId="10" state="hidden" r:id="rId2"/>
  </sheets>
  <definedNames>
    <definedName name="_xlnm._FilterDatabase" localSheetId="0" hidden="1">'25出货'!$A$50:$N$413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<sst xmlns="http://schemas.openxmlformats.org/spreadsheetml/2006/main" count="872" uniqueCount="233">
  <si>
    <t>日期</t>
  </si>
  <si>
    <t>单号</t>
  </si>
  <si>
    <t>产品型号</t>
  </si>
  <si>
    <t>产品名称</t>
  </si>
  <si>
    <t>数量/件</t>
  </si>
  <si>
    <t>规格/KG</t>
  </si>
  <si>
    <t>数量/KG</t>
  </si>
  <si>
    <t>单价/元</t>
  </si>
  <si>
    <t>金额/元</t>
  </si>
  <si>
    <t>备注</t>
  </si>
  <si>
    <t>金额合计</t>
  </si>
  <si>
    <t>9000F-1</t>
  </si>
  <si>
    <t>PU净味面漆稀释剂</t>
  </si>
  <si>
    <t>PE白底漆</t>
  </si>
  <si>
    <t>18/7未开单：试油</t>
  </si>
  <si>
    <t>A1(553)</t>
  </si>
  <si>
    <t>PU净味哑光浅蓝色漆</t>
  </si>
  <si>
    <t>A2(553)</t>
  </si>
  <si>
    <t>PU净味哑光香槟银珠漆</t>
  </si>
  <si>
    <t>535F</t>
  </si>
  <si>
    <t>PU净味哑光固化剂</t>
  </si>
  <si>
    <t>7225-70F</t>
  </si>
  <si>
    <t>PU净味三分光清面漆</t>
  </si>
  <si>
    <t>HL-001</t>
  </si>
  <si>
    <t>PU净味哑光白面漆</t>
  </si>
  <si>
    <t>HL-9824A</t>
  </si>
  <si>
    <t>PE封固底漆</t>
  </si>
  <si>
    <t>733#</t>
  </si>
  <si>
    <t>PU净味哑光香槟色漆</t>
  </si>
  <si>
    <t>PU净味哑光灰蓝色漆</t>
  </si>
  <si>
    <t>7225-80F</t>
  </si>
  <si>
    <t>PU净味全哑清面漆</t>
  </si>
  <si>
    <t>QCL25A</t>
  </si>
  <si>
    <t>PE无粉封固底漆</t>
  </si>
  <si>
    <t>A</t>
  </si>
  <si>
    <t>PU净味全哑修色油</t>
  </si>
  <si>
    <t>商标配比是哑光清面配比</t>
  </si>
  <si>
    <t>4/11日做</t>
  </si>
  <si>
    <t>13号</t>
  </si>
  <si>
    <t>M019</t>
  </si>
  <si>
    <t>PU哑光香槟色漆</t>
  </si>
  <si>
    <t>PU净味哑光冰蓝色漆</t>
  </si>
  <si>
    <t>原油改色</t>
  </si>
  <si>
    <r>
      <rPr>
        <sz val="16"/>
        <color rgb="FF00B0F0"/>
        <rFont val="宋体"/>
        <charset val="134"/>
      </rPr>
      <t>712B</t>
    </r>
    <r>
      <rPr>
        <i/>
        <sz val="16"/>
        <color rgb="FF00B0F0"/>
        <rFont val="宋体"/>
        <charset val="134"/>
      </rPr>
      <t>#</t>
    </r>
  </si>
  <si>
    <t>PU净味亮光冰蓝色漆</t>
  </si>
  <si>
    <t>图纸样</t>
  </si>
  <si>
    <t>389#</t>
  </si>
  <si>
    <t>PU净味亮光灰色漆</t>
  </si>
  <si>
    <t>556（557）</t>
  </si>
  <si>
    <t>PU七分光香槟金属漆</t>
  </si>
  <si>
    <t>HL-9827AA</t>
  </si>
  <si>
    <t>PE清底漆</t>
  </si>
  <si>
    <t>900F-1</t>
  </si>
  <si>
    <t>从4月起已调价：对账不返点</t>
  </si>
  <si>
    <t>PU净味七分光香槟银珠漆</t>
  </si>
  <si>
    <t>557A(556-558)</t>
  </si>
  <si>
    <t>PU净味哑光浅淡黄色漆</t>
  </si>
  <si>
    <t>29-5-1*</t>
  </si>
  <si>
    <t>PU净味哑光咖啡色漆</t>
  </si>
  <si>
    <t>干板</t>
  </si>
  <si>
    <t>外单</t>
  </si>
  <si>
    <t>PU净味哑光浅香槟色漆</t>
  </si>
  <si>
    <t>PU净味哑光天蓝色漆</t>
  </si>
  <si>
    <t>打样：未留样</t>
  </si>
  <si>
    <t>AB831子母床</t>
  </si>
  <si>
    <t>PU净味哑光浅海蓝色漆</t>
  </si>
  <si>
    <t>31/8日送货</t>
  </si>
  <si>
    <t>PU净味底得宝</t>
  </si>
  <si>
    <t>PU净味底漆固化剂</t>
  </si>
  <si>
    <t>LF535</t>
  </si>
  <si>
    <t>20号</t>
  </si>
  <si>
    <t>561色</t>
  </si>
  <si>
    <t>562色</t>
  </si>
  <si>
    <t>PU杏黄底漆</t>
  </si>
  <si>
    <t>303B</t>
  </si>
  <si>
    <t>1#</t>
  </si>
  <si>
    <t>PU哑光实木修色油</t>
  </si>
  <si>
    <t>样品上没编号</t>
  </si>
  <si>
    <t>2#（195-15-21）</t>
  </si>
  <si>
    <t>括号里的编号就是配方）</t>
  </si>
  <si>
    <t>棕色修边漆</t>
  </si>
  <si>
    <t>3#（204-06）</t>
  </si>
  <si>
    <t>PU哑光浅棕色实木修色油</t>
  </si>
  <si>
    <t>019-1</t>
  </si>
  <si>
    <t>调成哑光打样喷板：须留样</t>
  </si>
  <si>
    <t>019-2</t>
  </si>
  <si>
    <t>019-3</t>
  </si>
  <si>
    <t>灰色干板打样喷板：须留样</t>
  </si>
  <si>
    <t>019-4</t>
  </si>
  <si>
    <t>白色干板打样喷板：须留样</t>
  </si>
  <si>
    <t>019-5</t>
  </si>
  <si>
    <t>以“1#：哑光实木修色油”为样调成实色漆打样喷板：须留样</t>
  </si>
  <si>
    <t>不开单</t>
  </si>
  <si>
    <t>PU哑光修色漆</t>
  </si>
  <si>
    <t>8月10前</t>
  </si>
  <si>
    <t>已打样</t>
  </si>
  <si>
    <t>送PU哑光烟熏色板</t>
  </si>
  <si>
    <t>送PU哑光淡灰色板</t>
  </si>
  <si>
    <t>送PU哑光卡其色板</t>
  </si>
  <si>
    <t>送PU哑光象牙白色板</t>
  </si>
  <si>
    <t>换货</t>
  </si>
  <si>
    <t>PU净味哑光淡灰色漆</t>
  </si>
  <si>
    <t>PU净味哑光烟熏色漆</t>
  </si>
  <si>
    <t>2662餐边柜门板</t>
  </si>
  <si>
    <t>PU哑光净味浅黄色漆</t>
  </si>
  <si>
    <t>0817#</t>
  </si>
  <si>
    <t>PU餐边柜修色油</t>
  </si>
  <si>
    <t>哑光</t>
  </si>
  <si>
    <t>0819*</t>
  </si>
  <si>
    <t>哑光米白色漆</t>
  </si>
  <si>
    <t>干板样：1KG</t>
  </si>
  <si>
    <t>PU净味哑光浅黄色漆</t>
  </si>
  <si>
    <t>备货</t>
  </si>
  <si>
    <t>退货哑光</t>
  </si>
  <si>
    <t>6824B</t>
  </si>
  <si>
    <t>12/10换货制:6824A:20+1.2:K600+0.3锌粉+0.5:801溶剂</t>
  </si>
  <si>
    <t xml:space="preserve">定制:见生产单 </t>
  </si>
  <si>
    <t>PE封固底漆稀料</t>
  </si>
  <si>
    <t>20/9已送</t>
  </si>
  <si>
    <t>本：4.5</t>
  </si>
  <si>
    <t>PU清底漆</t>
  </si>
  <si>
    <t>22/9送</t>
  </si>
  <si>
    <t>PU净味清底漆</t>
  </si>
  <si>
    <t>309A</t>
  </si>
  <si>
    <t>1176树脂做</t>
  </si>
  <si>
    <t>加2KG：1451/桶</t>
  </si>
  <si>
    <t>PE白底漆稀料</t>
  </si>
  <si>
    <t>退货</t>
  </si>
  <si>
    <t>539*</t>
  </si>
  <si>
    <t>PU哑光粉红色漆</t>
  </si>
  <si>
    <t>36系列</t>
  </si>
  <si>
    <t>PU哑光浅黄色漆</t>
  </si>
  <si>
    <t>PU净味哑光象牙白色漆</t>
  </si>
  <si>
    <t>干板样：未留样</t>
  </si>
  <si>
    <t>1126B（2602）</t>
  </si>
  <si>
    <t>PU哑光琥珀黄修色漆</t>
  </si>
  <si>
    <t>556-558于6/12改为557A</t>
  </si>
  <si>
    <t>557B(556-557)</t>
  </si>
  <si>
    <t>556（557）于6/12改为557B</t>
  </si>
  <si>
    <t>557C</t>
  </si>
  <si>
    <t>干板样</t>
  </si>
  <si>
    <t>PU哑光枣红色漆</t>
  </si>
  <si>
    <t>PE专用封固底漆</t>
  </si>
  <si>
    <t>508-4</t>
  </si>
  <si>
    <t>PU净味哑光粉色漆</t>
  </si>
  <si>
    <t>508-4(553改）</t>
  </si>
  <si>
    <t>原油508-4(553改）</t>
  </si>
  <si>
    <t>222（730）</t>
  </si>
  <si>
    <t>PU净味哑光粉绿色漆</t>
  </si>
  <si>
    <t>508A（主）</t>
  </si>
  <si>
    <t>PU净味哑光暖色调面漆</t>
  </si>
  <si>
    <t>17/12编的主色</t>
  </si>
  <si>
    <t>原油17/12编的主色</t>
  </si>
  <si>
    <t>508-2</t>
  </si>
  <si>
    <t>PU哑光土黄色漆</t>
  </si>
  <si>
    <t>黑棕修色漆</t>
  </si>
  <si>
    <t>打样：</t>
  </si>
  <si>
    <t>PU净味新款哑光象牙白漆</t>
  </si>
  <si>
    <t>拉手样</t>
  </si>
  <si>
    <t>PU净味哑光中灰色漆</t>
  </si>
  <si>
    <t>皮样</t>
  </si>
  <si>
    <t>PU净味哑光泥黄色漆</t>
  </si>
  <si>
    <t>550*</t>
  </si>
  <si>
    <t>556-557B</t>
  </si>
  <si>
    <t>主色</t>
  </si>
  <si>
    <t>HL-712</t>
  </si>
  <si>
    <t>PU哑光粉紫色漆</t>
  </si>
  <si>
    <t>元</t>
  </si>
  <si>
    <t>欧包装</t>
  </si>
  <si>
    <t>508A床尾</t>
  </si>
  <si>
    <t>床尾17/12编的主色</t>
  </si>
  <si>
    <t>已编号：516</t>
  </si>
  <si>
    <t>522A</t>
  </si>
  <si>
    <t>PU哑光浅蓝色漆</t>
  </si>
  <si>
    <t>打样未留样</t>
  </si>
  <si>
    <t>522B</t>
  </si>
  <si>
    <t>PU哑光深蓝色漆</t>
  </si>
  <si>
    <t>PU哑光米黄色漆</t>
  </si>
  <si>
    <t xml:space="preserve">732#
</t>
  </si>
  <si>
    <t>PU净味哑光粉红色漆</t>
  </si>
  <si>
    <t xml:space="preserve">731
</t>
  </si>
  <si>
    <t>浅黄修边漆</t>
  </si>
  <si>
    <t>25-6-14*</t>
  </si>
  <si>
    <t>PU哑光浅灰砂面漆</t>
  </si>
  <si>
    <t>PU哑光棕色漆</t>
  </si>
  <si>
    <t>PU净味哑光深蓝色漆</t>
  </si>
  <si>
    <t>28/7 9804</t>
  </si>
  <si>
    <t>补 8月以前改色的100-75=25KG下欠</t>
  </si>
  <si>
    <t>11/8未签单</t>
  </si>
  <si>
    <t>222A(2662)</t>
  </si>
  <si>
    <t>餐边柜门板</t>
  </si>
  <si>
    <t>222B（730）</t>
  </si>
  <si>
    <t>26号</t>
  </si>
  <si>
    <t>27号</t>
  </si>
  <si>
    <t>未开单</t>
  </si>
  <si>
    <t>未留样</t>
  </si>
  <si>
    <t>8月前原油108KG-75KG=33</t>
  </si>
  <si>
    <t>2/8减75KG+8kg：扣包装桶</t>
  </si>
  <si>
    <t>已放假</t>
  </si>
  <si>
    <t>8月前原油108KG-75KG-25kg=8</t>
  </si>
  <si>
    <t>危废包装桶</t>
  </si>
  <si>
    <t>色漆</t>
  </si>
  <si>
    <t>做补件</t>
  </si>
  <si>
    <t>元（722、713和709是同一个颜色）</t>
  </si>
  <si>
    <t>627B</t>
  </si>
  <si>
    <t>换货：见21/10改的配方6824</t>
  </si>
  <si>
    <t>PU底漆固化剂</t>
  </si>
  <si>
    <t>PU底漆稀释剂</t>
  </si>
  <si>
    <t>以前的剩货</t>
  </si>
  <si>
    <t>A03(A01)</t>
  </si>
  <si>
    <t>样油</t>
  </si>
  <si>
    <t>709（713）</t>
  </si>
  <si>
    <t>退色漆M019</t>
  </si>
  <si>
    <t>75号</t>
  </si>
  <si>
    <t>2662（222A)</t>
  </si>
  <si>
    <t>已改编号</t>
  </si>
  <si>
    <t>PU净味哑光土黄色漆</t>
  </si>
  <si>
    <t>508-3</t>
  </si>
  <si>
    <t>PU净味哑光浅灰色漆</t>
  </si>
  <si>
    <t>16号</t>
  </si>
  <si>
    <t>31号</t>
  </si>
  <si>
    <t>小桶不降</t>
  </si>
  <si>
    <r>
      <rPr>
        <sz val="16"/>
        <color rgb="FF000000"/>
        <rFont val="宋体"/>
        <charset val="134"/>
      </rPr>
      <t>型号</t>
    </r>
  </si>
  <si>
    <r>
      <rPr>
        <sz val="16"/>
        <color rgb="FF000000"/>
        <rFont val="宋体"/>
        <charset val="134"/>
      </rPr>
      <t>名称</t>
    </r>
  </si>
  <si>
    <r>
      <rPr>
        <sz val="16"/>
        <color rgb="FF000000"/>
        <rFont val="宋体"/>
        <charset val="134"/>
      </rPr>
      <t>规格</t>
    </r>
  </si>
  <si>
    <t>单价</t>
  </si>
  <si>
    <t>kg/桶</t>
  </si>
  <si>
    <t>PU实色漆</t>
  </si>
  <si>
    <t>PU哑光清面漆</t>
  </si>
  <si>
    <t>PU砂面漆、银珠</t>
  </si>
  <si>
    <t>PU净味面稀</t>
  </si>
  <si>
    <t>1#、2#</t>
  </si>
  <si>
    <t>哑光实木修色油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</si>
</sst>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_ \¥* #,##0.00_ ;_ \¥* \-#,##0.00_ ;_ \¥* &quot;-&quot;??_ ;_ @_ "/>
    <numFmt numFmtId="177" formatCode="0.00_ "/>
    <numFmt numFmtId="178" formatCode="General&quot;号&quot;"/>
    <numFmt numFmtId="179" formatCode="m&quot;月&quot;d&quot;日&quot;;@"/>
  </numFmts>
  <fonts count="41">
    <font>
      <sz val="12"/>
      <name val="宋体"/>
      <charset val="134"/>
    </font>
    <font>
      <sz val="16"/>
      <color rgb="FF000000"/>
      <name val="宋体"/>
      <charset val="134"/>
    </font>
    <font>
      <sz val="14"/>
      <name val="宋体"/>
      <charset val="134"/>
    </font>
    <font>
      <sz val="16"/>
      <color rgb="FF00B0F0"/>
      <name val="宋体"/>
      <charset val="134"/>
    </font>
    <font>
      <sz val="12"/>
      <color rgb="FFFF0000"/>
      <name val="宋体"/>
      <charset val="134"/>
    </font>
    <font>
      <sz val="12"/>
      <color rgb="FF00B0F0"/>
      <name val="宋体"/>
      <charset val="134"/>
    </font>
    <font>
      <sz val="16"/>
      <name val="宋体"/>
      <charset val="134"/>
    </font>
    <font>
      <sz val="12"/>
      <color rgb="FF7030A0"/>
      <name val="宋体"/>
      <charset val="134"/>
    </font>
    <font>
      <sz val="16"/>
      <color rgb="FFFF0000"/>
      <name val="宋体"/>
      <charset val="134"/>
    </font>
    <font>
      <sz val="10"/>
      <color rgb="FF00B0F0"/>
      <name val="宋体"/>
      <charset val="134"/>
    </font>
    <font>
      <sz val="14"/>
      <color rgb="FFFF0000"/>
      <name val="宋体"/>
      <charset val="134"/>
    </font>
    <font>
      <sz val="16"/>
      <color rgb="FF7030A0"/>
      <name val="宋体"/>
      <charset val="134"/>
    </font>
    <font>
      <b/>
      <sz val="12"/>
      <color rgb="FFFF0000"/>
      <name val="宋体"/>
      <charset val="134"/>
    </font>
    <font>
      <b/>
      <sz val="12"/>
      <name val="宋体"/>
      <charset val="134"/>
    </font>
    <font>
      <b/>
      <sz val="12"/>
      <color rgb="FF00B0F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134"/>
      <scheme val="minor"/>
    </font>
    <font>
      <sz val="11"/>
      <color indexed="20"/>
      <name val="宋体"/>
      <charset val="134"/>
    </font>
    <font>
      <sz val="12"/>
      <name val="宋体"/>
      <charset val="134"/>
      <scheme val="minor"/>
    </font>
    <font>
      <sz val="11"/>
      <color indexed="17"/>
      <name val="宋体"/>
      <charset val="134"/>
    </font>
    <font>
      <sz val="11"/>
      <color indexed="8"/>
      <name val="宋体"/>
      <charset val="134"/>
    </font>
    <font>
      <i/>
      <sz val="16"/>
      <color rgb="FF00B0F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2" borderId="2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" borderId="5" applyNumberFormat="0" applyAlignment="0" applyProtection="0">
      <alignment vertical="center"/>
    </xf>
    <xf numFmtId="0" fontId="25" fillId="4" borderId="6" applyNumberFormat="0" applyAlignment="0" applyProtection="0">
      <alignment vertical="center"/>
    </xf>
    <xf numFmtId="0" fontId="26" fillId="4" borderId="5" applyNumberFormat="0" applyAlignment="0" applyProtection="0">
      <alignment vertical="center"/>
    </xf>
    <xf numFmtId="0" fontId="27" fillId="5" borderId="7" applyNumberFormat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0" fillId="0" borderId="0"/>
    <xf numFmtId="0" fontId="35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/>
    <xf numFmtId="0" fontId="36" fillId="33" borderId="0" applyNumberFormat="0" applyBorder="0" applyAlignment="0" applyProtection="0">
      <alignment vertical="center"/>
    </xf>
    <xf numFmtId="0" fontId="37" fillId="0" borderId="0">
      <alignment vertical="center"/>
    </xf>
    <xf numFmtId="0" fontId="38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39" fillId="0" borderId="0"/>
    <xf numFmtId="176" fontId="0" fillId="0" borderId="0" applyFont="0" applyFill="0" applyBorder="0" applyAlignment="0" applyProtection="0"/>
    <xf numFmtId="0" fontId="39" fillId="0" borderId="0">
      <alignment vertical="center"/>
    </xf>
  </cellStyleXfs>
  <cellXfs count="71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Border="1">
      <alignment vertical="center"/>
    </xf>
    <xf numFmtId="0" fontId="4" fillId="0" borderId="0" xfId="0" applyFont="1" applyBorder="1">
      <alignment vertical="center"/>
    </xf>
    <xf numFmtId="0" fontId="5" fillId="0" borderId="0" xfId="0" applyFont="1" applyBorder="1">
      <alignment vertical="center"/>
    </xf>
    <xf numFmtId="0" fontId="0" fillId="0" borderId="0" xfId="0" applyFont="1" applyBorder="1">
      <alignment vertical="center"/>
    </xf>
    <xf numFmtId="0" fontId="6" fillId="0" borderId="0" xfId="0" applyFont="1" applyBorder="1">
      <alignment vertical="center"/>
    </xf>
    <xf numFmtId="0" fontId="3" fillId="0" borderId="0" xfId="0" applyFont="1" applyBorder="1">
      <alignment vertical="center"/>
    </xf>
    <xf numFmtId="0" fontId="7" fillId="0" borderId="0" xfId="0" applyFont="1" applyBorder="1">
      <alignment vertical="center"/>
    </xf>
    <xf numFmtId="0" fontId="8" fillId="0" borderId="0" xfId="0" applyFont="1" applyBorder="1">
      <alignment vertical="center"/>
    </xf>
    <xf numFmtId="0" fontId="0" fillId="0" borderId="0" xfId="0" applyFont="1">
      <alignment vertical="center"/>
    </xf>
    <xf numFmtId="0" fontId="3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58" fontId="6" fillId="0" borderId="0" xfId="0" applyNumberFormat="1" applyFont="1" applyBorder="1" applyAlignment="1">
      <alignment horizontal="center" vertical="center"/>
    </xf>
    <xf numFmtId="178" fontId="6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179" fontId="8" fillId="0" borderId="0" xfId="0" applyNumberFormat="1" applyFont="1" applyBorder="1" applyAlignment="1">
      <alignment horizontal="center" vertical="center"/>
    </xf>
    <xf numFmtId="178" fontId="3" fillId="0" borderId="0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179" fontId="3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58" fontId="3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77" fontId="6" fillId="0" borderId="0" xfId="0" applyNumberFormat="1" applyFont="1" applyBorder="1" applyAlignment="1">
      <alignment horizontal="center" vertical="center"/>
    </xf>
    <xf numFmtId="14" fontId="3" fillId="0" borderId="0" xfId="0" applyNumberFormat="1" applyFont="1" applyBorder="1" applyAlignment="1">
      <alignment horizontal="center" vertical="center"/>
    </xf>
    <xf numFmtId="177" fontId="3" fillId="0" borderId="0" xfId="0" applyNumberFormat="1" applyFont="1" applyBorder="1" applyAlignment="1">
      <alignment horizontal="center" vertical="center"/>
    </xf>
    <xf numFmtId="0" fontId="9" fillId="0" borderId="0" xfId="0" applyFont="1" applyBorder="1">
      <alignment vertical="center"/>
    </xf>
    <xf numFmtId="58" fontId="8" fillId="0" borderId="0" xfId="0" applyNumberFormat="1" applyFont="1" applyBorder="1" applyAlignment="1">
      <alignment horizontal="center" vertical="center"/>
    </xf>
    <xf numFmtId="178" fontId="8" fillId="0" borderId="0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177" fontId="8" fillId="0" borderId="0" xfId="0" applyNumberFormat="1" applyFont="1" applyBorder="1" applyAlignment="1">
      <alignment horizontal="center" vertical="center"/>
    </xf>
    <xf numFmtId="58" fontId="11" fillId="0" borderId="0" xfId="0" applyNumberFormat="1" applyFont="1" applyBorder="1" applyAlignment="1">
      <alignment horizontal="center" vertical="center"/>
    </xf>
    <xf numFmtId="178" fontId="11" fillId="0" borderId="0" xfId="0" applyNumberFormat="1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177" fontId="11" fillId="0" borderId="0" xfId="0" applyNumberFormat="1" applyFont="1" applyBorder="1" applyAlignment="1">
      <alignment horizontal="center" vertical="center"/>
    </xf>
    <xf numFmtId="0" fontId="11" fillId="0" borderId="0" xfId="0" applyFont="1" applyBorder="1">
      <alignment vertical="center"/>
    </xf>
    <xf numFmtId="0" fontId="8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14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textRotation="255"/>
    </xf>
    <xf numFmtId="58" fontId="8" fillId="0" borderId="0" xfId="0" applyNumberFormat="1" applyFont="1" applyBorder="1">
      <alignment vertical="center"/>
    </xf>
    <xf numFmtId="0" fontId="4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 vertical="center" textRotation="255"/>
    </xf>
    <xf numFmtId="0" fontId="14" fillId="0" borderId="0" xfId="0" applyFont="1" applyAlignment="1">
      <alignment horizontal="center" vertical="center" textRotation="255"/>
    </xf>
    <xf numFmtId="58" fontId="6" fillId="0" borderId="0" xfId="0" applyNumberFormat="1" applyFont="1" applyBorder="1">
      <alignment vertical="center"/>
    </xf>
  </cellXfs>
  <cellStyles count="6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3 4 2 2" xfId="49"/>
    <cellStyle name="适中 2 7 4 3" xfId="50"/>
    <cellStyle name="常规 36 2 7 3 2" xfId="51"/>
    <cellStyle name="常规 34 2 3 3" xfId="52"/>
    <cellStyle name="差_Sheet1" xfId="53"/>
    <cellStyle name="适中 2 13 4" xfId="54"/>
    <cellStyle name="好_Sheet1 2" xfId="55"/>
    <cellStyle name="常规 2" xfId="56"/>
    <cellStyle name="常规 34_Sheet1" xfId="57"/>
    <cellStyle name="货币 4 3 2" xfId="58"/>
    <cellStyle name="常规 44_Sheet1" xfId="59"/>
  </cellStyles>
  <tableStyles count="1" defaultTableStyle="TableStyleMedium9" defaultPivotStyle="PivotStyleLight16">
    <tableStyle name="表样式 1" pivot="0" count="0" xr9:uid="{3CEC1877-06F2-4DBC-B538-57E62C57444B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31"/>
  <sheetViews>
    <sheetView tabSelected="1" zoomScale="145" zoomScaleNormal="145" topLeftCell="A395" workbookViewId="0">
      <selection activeCell="L416" sqref="L416"/>
    </sheetView>
  </sheetViews>
  <sheetFormatPr defaultColWidth="9" defaultRowHeight="20.4"/>
  <cols>
    <col min="1" max="1" width="13" style="20"/>
    <col min="2" max="4" width="9" style="20"/>
    <col min="5" max="5" width="3.125" style="20" customWidth="1"/>
    <col min="6" max="6" width="34.625" style="20" customWidth="1"/>
    <col min="7" max="9" width="9" style="20"/>
    <col min="10" max="10" width="10.1" style="20"/>
    <col min="11" max="11" width="13.3" style="20"/>
    <col min="12" max="12" width="14.125" style="20" customWidth="1"/>
    <col min="13" max="13" width="9.875" style="20"/>
  </cols>
  <sheetData>
    <row r="1" s="1" customFormat="1" spans="1:13">
      <c r="A1" s="21" t="s">
        <v>0</v>
      </c>
      <c r="B1" s="21" t="s">
        <v>1</v>
      </c>
      <c r="C1" s="22" t="s">
        <v>2</v>
      </c>
      <c r="D1" s="22"/>
      <c r="E1" s="22"/>
      <c r="F1" s="23" t="s">
        <v>3</v>
      </c>
      <c r="G1" s="22" t="s">
        <v>4</v>
      </c>
      <c r="H1" s="22" t="s">
        <v>5</v>
      </c>
      <c r="I1" s="22" t="s">
        <v>6</v>
      </c>
      <c r="J1" s="22" t="s">
        <v>7</v>
      </c>
      <c r="K1" s="22" t="s">
        <v>8</v>
      </c>
      <c r="L1" s="22" t="s">
        <v>9</v>
      </c>
      <c r="M1" s="22" t="s">
        <v>10</v>
      </c>
    </row>
    <row r="2" s="8" customFormat="1" spans="1:13">
      <c r="A2" s="24">
        <v>45152</v>
      </c>
      <c r="B2" s="25">
        <v>1</v>
      </c>
      <c r="C2" s="26" t="s">
        <v>11</v>
      </c>
      <c r="D2" s="26"/>
      <c r="E2" s="26"/>
      <c r="F2" s="27" t="s">
        <v>12</v>
      </c>
      <c r="G2" s="26">
        <v>1</v>
      </c>
      <c r="H2" s="26">
        <v>180</v>
      </c>
      <c r="I2" s="26">
        <f t="shared" ref="I2:I7" si="0">G2*H2</f>
        <v>180</v>
      </c>
      <c r="J2" s="26">
        <v>11</v>
      </c>
      <c r="K2" s="26">
        <f t="shared" ref="K2:K7" si="1">I2*J2</f>
        <v>1980</v>
      </c>
      <c r="L2" s="12"/>
      <c r="M2" s="26">
        <f>SUM(K2:K2)</f>
        <v>1980</v>
      </c>
    </row>
    <row r="3" s="9" customFormat="1" spans="1:13">
      <c r="A3" s="28">
        <v>45154</v>
      </c>
      <c r="B3" s="29">
        <v>9</v>
      </c>
      <c r="C3" s="30">
        <v>9803</v>
      </c>
      <c r="D3" s="30"/>
      <c r="E3" s="30"/>
      <c r="F3" s="31" t="s">
        <v>13</v>
      </c>
      <c r="G3" s="30">
        <v>1</v>
      </c>
      <c r="H3" s="30">
        <v>28</v>
      </c>
      <c r="I3" s="30">
        <f t="shared" si="0"/>
        <v>28</v>
      </c>
      <c r="J3" s="30">
        <v>10</v>
      </c>
      <c r="K3" s="30">
        <f t="shared" si="1"/>
        <v>280</v>
      </c>
      <c r="L3" s="15" t="s">
        <v>14</v>
      </c>
      <c r="M3" s="30"/>
    </row>
    <row r="4" s="10" customFormat="1" spans="1:13">
      <c r="A4" s="32">
        <v>45154</v>
      </c>
      <c r="B4" s="29">
        <v>9</v>
      </c>
      <c r="C4" s="17">
        <v>9803</v>
      </c>
      <c r="D4" s="17"/>
      <c r="E4" s="17"/>
      <c r="F4" s="33" t="s">
        <v>13</v>
      </c>
      <c r="G4" s="17">
        <v>9</v>
      </c>
      <c r="H4" s="17">
        <v>28</v>
      </c>
      <c r="I4" s="17">
        <f t="shared" si="0"/>
        <v>252</v>
      </c>
      <c r="J4" s="17">
        <v>10</v>
      </c>
      <c r="K4" s="17">
        <f t="shared" si="1"/>
        <v>2520</v>
      </c>
      <c r="L4" s="13"/>
      <c r="M4" s="17"/>
    </row>
    <row r="5" s="10" customFormat="1" spans="1:13">
      <c r="A5" s="34">
        <v>45154</v>
      </c>
      <c r="B5" s="29">
        <v>9</v>
      </c>
      <c r="C5" s="17" t="s">
        <v>15</v>
      </c>
      <c r="D5" s="17"/>
      <c r="E5" s="17"/>
      <c r="F5" s="33" t="s">
        <v>16</v>
      </c>
      <c r="G5" s="17">
        <v>1</v>
      </c>
      <c r="H5" s="17">
        <v>26</v>
      </c>
      <c r="I5" s="17">
        <f t="shared" si="0"/>
        <v>26</v>
      </c>
      <c r="J5" s="17">
        <v>22</v>
      </c>
      <c r="K5" s="17">
        <f t="shared" si="1"/>
        <v>572</v>
      </c>
      <c r="L5" s="13"/>
      <c r="M5" s="17"/>
    </row>
    <row r="6" s="10" customFormat="1" spans="1:13">
      <c r="A6" s="34">
        <v>45154</v>
      </c>
      <c r="B6" s="29">
        <v>9</v>
      </c>
      <c r="C6" s="17" t="s">
        <v>17</v>
      </c>
      <c r="D6" s="17"/>
      <c r="E6" s="17"/>
      <c r="F6" s="33" t="s">
        <v>18</v>
      </c>
      <c r="G6" s="17">
        <v>1</v>
      </c>
      <c r="H6" s="17">
        <v>20</v>
      </c>
      <c r="I6" s="17">
        <f t="shared" si="0"/>
        <v>20</v>
      </c>
      <c r="J6" s="17">
        <v>25</v>
      </c>
      <c r="K6" s="17">
        <f t="shared" si="1"/>
        <v>500</v>
      </c>
      <c r="L6" s="13"/>
      <c r="M6" s="17"/>
    </row>
    <row r="7" s="10" customFormat="1" spans="1:13">
      <c r="A7" s="34">
        <v>45154</v>
      </c>
      <c r="B7" s="29">
        <v>9</v>
      </c>
      <c r="C7" s="17" t="s">
        <v>19</v>
      </c>
      <c r="D7" s="17"/>
      <c r="E7" s="17"/>
      <c r="F7" s="33" t="s">
        <v>20</v>
      </c>
      <c r="G7" s="17">
        <v>3</v>
      </c>
      <c r="H7" s="17">
        <v>10</v>
      </c>
      <c r="I7" s="17">
        <f t="shared" si="0"/>
        <v>30</v>
      </c>
      <c r="J7" s="17">
        <v>22</v>
      </c>
      <c r="K7" s="17">
        <f t="shared" si="1"/>
        <v>660</v>
      </c>
      <c r="L7" s="13"/>
      <c r="M7" s="17">
        <f>SUM(K3:K7)</f>
        <v>4532</v>
      </c>
    </row>
    <row r="8" s="11" customFormat="1" spans="1:13">
      <c r="A8" s="24">
        <v>45156</v>
      </c>
      <c r="B8" s="25">
        <v>17</v>
      </c>
      <c r="C8" s="26" t="s">
        <v>21</v>
      </c>
      <c r="D8" s="26"/>
      <c r="E8" s="26"/>
      <c r="F8" s="27" t="s">
        <v>22</v>
      </c>
      <c r="G8" s="26">
        <v>3</v>
      </c>
      <c r="H8" s="26">
        <v>20</v>
      </c>
      <c r="I8" s="26">
        <f t="shared" ref="I8:I49" si="2">G8*H8</f>
        <v>60</v>
      </c>
      <c r="J8" s="26">
        <v>19</v>
      </c>
      <c r="K8" s="26">
        <f t="shared" ref="K8:K49" si="3">I8*J8</f>
        <v>1140</v>
      </c>
      <c r="L8" s="12"/>
      <c r="M8" s="26"/>
    </row>
    <row r="9" s="11" customFormat="1" spans="1:13">
      <c r="A9" s="24">
        <v>45156</v>
      </c>
      <c r="B9" s="25">
        <v>17</v>
      </c>
      <c r="C9" s="26" t="s">
        <v>23</v>
      </c>
      <c r="D9" s="26"/>
      <c r="E9" s="26"/>
      <c r="F9" s="27" t="s">
        <v>24</v>
      </c>
      <c r="G9" s="26">
        <v>5</v>
      </c>
      <c r="H9" s="26">
        <v>25</v>
      </c>
      <c r="I9" s="26">
        <f t="shared" si="2"/>
        <v>125</v>
      </c>
      <c r="J9" s="26">
        <v>22</v>
      </c>
      <c r="K9" s="26">
        <f t="shared" si="3"/>
        <v>2750</v>
      </c>
      <c r="L9" s="12"/>
      <c r="M9" s="26"/>
    </row>
    <row r="10" s="11" customFormat="1" spans="1:13">
      <c r="A10" s="24">
        <v>45156</v>
      </c>
      <c r="B10" s="25">
        <v>17</v>
      </c>
      <c r="C10" s="26" t="s">
        <v>19</v>
      </c>
      <c r="D10" s="26"/>
      <c r="E10" s="26"/>
      <c r="F10" s="27" t="s">
        <v>20</v>
      </c>
      <c r="G10" s="26">
        <v>9</v>
      </c>
      <c r="H10" s="26">
        <v>10</v>
      </c>
      <c r="I10" s="26">
        <f t="shared" si="2"/>
        <v>90</v>
      </c>
      <c r="J10" s="26">
        <v>22</v>
      </c>
      <c r="K10" s="26">
        <f t="shared" si="3"/>
        <v>1980</v>
      </c>
      <c r="L10" s="12"/>
      <c r="M10" s="26">
        <f>SUM(K8:K10)</f>
        <v>5870</v>
      </c>
    </row>
    <row r="11" s="10" customFormat="1" spans="1:13">
      <c r="A11" s="32">
        <v>45166</v>
      </c>
      <c r="B11" s="29">
        <v>39</v>
      </c>
      <c r="C11" s="17">
        <v>9803</v>
      </c>
      <c r="D11" s="17"/>
      <c r="E11" s="17"/>
      <c r="F11" s="33" t="s">
        <v>13</v>
      </c>
      <c r="G11" s="17">
        <v>10</v>
      </c>
      <c r="H11" s="17">
        <v>28</v>
      </c>
      <c r="I11" s="17">
        <f t="shared" si="2"/>
        <v>280</v>
      </c>
      <c r="J11" s="17">
        <v>10</v>
      </c>
      <c r="K11" s="17">
        <f t="shared" si="3"/>
        <v>2800</v>
      </c>
      <c r="L11" s="13"/>
      <c r="M11" s="17"/>
    </row>
    <row r="12" s="12" customFormat="1" spans="1:13">
      <c r="A12" s="24">
        <v>45170</v>
      </c>
      <c r="B12" s="25">
        <v>3</v>
      </c>
      <c r="C12" s="26">
        <v>9803</v>
      </c>
      <c r="D12" s="26"/>
      <c r="E12" s="26"/>
      <c r="F12" s="27" t="s">
        <v>13</v>
      </c>
      <c r="G12" s="26">
        <v>10</v>
      </c>
      <c r="H12" s="26">
        <v>28</v>
      </c>
      <c r="I12" s="26">
        <f t="shared" si="2"/>
        <v>280</v>
      </c>
      <c r="J12" s="26">
        <v>10</v>
      </c>
      <c r="K12" s="26">
        <f t="shared" si="3"/>
        <v>2800</v>
      </c>
      <c r="M12" s="26"/>
    </row>
    <row r="13" s="12" customFormat="1" spans="1:13">
      <c r="A13" s="24">
        <v>45170</v>
      </c>
      <c r="B13" s="25">
        <v>3</v>
      </c>
      <c r="C13" s="26" t="s">
        <v>25</v>
      </c>
      <c r="D13" s="26"/>
      <c r="E13" s="26"/>
      <c r="F13" s="35" t="s">
        <v>26</v>
      </c>
      <c r="G13" s="26">
        <v>5</v>
      </c>
      <c r="H13" s="26">
        <v>22</v>
      </c>
      <c r="I13" s="26">
        <f t="shared" si="2"/>
        <v>110</v>
      </c>
      <c r="J13" s="26">
        <v>13.5</v>
      </c>
      <c r="K13" s="26">
        <f t="shared" si="3"/>
        <v>1485</v>
      </c>
      <c r="M13" s="26">
        <f>SUM(K12:K13)</f>
        <v>4285</v>
      </c>
    </row>
    <row r="14" s="13" customFormat="1" spans="1:13">
      <c r="A14" s="34">
        <v>45177</v>
      </c>
      <c r="B14" s="29">
        <v>21</v>
      </c>
      <c r="C14" s="17" t="s">
        <v>27</v>
      </c>
      <c r="D14" s="17"/>
      <c r="E14" s="17"/>
      <c r="F14" s="33" t="s">
        <v>28</v>
      </c>
      <c r="G14" s="17">
        <v>1</v>
      </c>
      <c r="H14" s="17">
        <v>16</v>
      </c>
      <c r="I14" s="17">
        <f t="shared" si="2"/>
        <v>16</v>
      </c>
      <c r="J14" s="17">
        <v>22</v>
      </c>
      <c r="K14" s="17">
        <f t="shared" si="3"/>
        <v>352</v>
      </c>
      <c r="L14" s="36"/>
      <c r="M14" s="17"/>
    </row>
    <row r="15" s="13" customFormat="1" spans="1:13">
      <c r="A15" s="34">
        <v>45177</v>
      </c>
      <c r="B15" s="29">
        <v>21</v>
      </c>
      <c r="C15" s="17">
        <v>709</v>
      </c>
      <c r="D15" s="17"/>
      <c r="E15" s="17"/>
      <c r="F15" s="33" t="s">
        <v>29</v>
      </c>
      <c r="G15" s="17">
        <v>2</v>
      </c>
      <c r="H15" s="17">
        <v>26</v>
      </c>
      <c r="I15" s="17">
        <f t="shared" si="2"/>
        <v>52</v>
      </c>
      <c r="J15" s="17">
        <v>22</v>
      </c>
      <c r="K15" s="17">
        <f t="shared" si="3"/>
        <v>1144</v>
      </c>
      <c r="L15" s="36"/>
      <c r="M15" s="17"/>
    </row>
    <row r="16" s="13" customFormat="1" spans="1:13">
      <c r="A16" s="34">
        <v>45177</v>
      </c>
      <c r="B16" s="29">
        <v>21</v>
      </c>
      <c r="C16" s="17" t="s">
        <v>23</v>
      </c>
      <c r="D16" s="17"/>
      <c r="E16" s="17"/>
      <c r="F16" s="33" t="s">
        <v>24</v>
      </c>
      <c r="G16" s="17">
        <v>4</v>
      </c>
      <c r="H16" s="17">
        <v>25</v>
      </c>
      <c r="I16" s="17">
        <f t="shared" si="2"/>
        <v>100</v>
      </c>
      <c r="J16" s="17">
        <v>22</v>
      </c>
      <c r="K16" s="17">
        <f t="shared" si="3"/>
        <v>2200</v>
      </c>
      <c r="L16" s="36"/>
      <c r="M16" s="17"/>
    </row>
    <row r="17" s="13" customFormat="1" spans="1:13">
      <c r="A17" s="34">
        <v>45177</v>
      </c>
      <c r="B17" s="29">
        <v>21</v>
      </c>
      <c r="C17" s="17" t="s">
        <v>23</v>
      </c>
      <c r="D17" s="17"/>
      <c r="E17" s="17"/>
      <c r="F17" s="33" t="s">
        <v>24</v>
      </c>
      <c r="G17" s="17">
        <v>1</v>
      </c>
      <c r="H17" s="17">
        <v>26</v>
      </c>
      <c r="I17" s="17">
        <f t="shared" si="2"/>
        <v>26</v>
      </c>
      <c r="J17" s="17">
        <v>22</v>
      </c>
      <c r="K17" s="17">
        <f t="shared" si="3"/>
        <v>572</v>
      </c>
      <c r="L17" s="36"/>
      <c r="M17" s="17"/>
    </row>
    <row r="18" s="13" customFormat="1" spans="1:13">
      <c r="A18" s="34">
        <v>45177</v>
      </c>
      <c r="B18" s="29">
        <v>21</v>
      </c>
      <c r="C18" s="17" t="s">
        <v>19</v>
      </c>
      <c r="D18" s="17"/>
      <c r="E18" s="17"/>
      <c r="F18" s="33" t="s">
        <v>20</v>
      </c>
      <c r="G18" s="17">
        <v>10</v>
      </c>
      <c r="H18" s="17">
        <v>10</v>
      </c>
      <c r="I18" s="17">
        <f t="shared" si="2"/>
        <v>100</v>
      </c>
      <c r="J18" s="17">
        <v>22</v>
      </c>
      <c r="K18" s="17">
        <f t="shared" si="3"/>
        <v>2200</v>
      </c>
      <c r="L18" s="36"/>
      <c r="M18" s="17"/>
    </row>
    <row r="19" s="10" customFormat="1" spans="1:13">
      <c r="A19" s="34">
        <v>45177</v>
      </c>
      <c r="B19" s="29">
        <v>21</v>
      </c>
      <c r="C19" s="17" t="s">
        <v>21</v>
      </c>
      <c r="D19" s="17"/>
      <c r="E19" s="17"/>
      <c r="F19" s="33" t="s">
        <v>22</v>
      </c>
      <c r="G19" s="17">
        <v>2</v>
      </c>
      <c r="H19" s="17">
        <v>20</v>
      </c>
      <c r="I19" s="17">
        <f t="shared" si="2"/>
        <v>40</v>
      </c>
      <c r="J19" s="17">
        <v>19</v>
      </c>
      <c r="K19" s="17">
        <f t="shared" si="3"/>
        <v>760</v>
      </c>
      <c r="L19" s="13"/>
      <c r="M19" s="17">
        <f>SUM(K14:K19)</f>
        <v>7228</v>
      </c>
    </row>
    <row r="20" s="8" customFormat="1" spans="1:13">
      <c r="A20" s="24">
        <v>45180</v>
      </c>
      <c r="B20" s="25">
        <v>31</v>
      </c>
      <c r="C20" s="26" t="s">
        <v>11</v>
      </c>
      <c r="D20" s="26"/>
      <c r="E20" s="26"/>
      <c r="F20" s="27" t="s">
        <v>12</v>
      </c>
      <c r="G20" s="26">
        <v>1</v>
      </c>
      <c r="H20" s="26">
        <v>180</v>
      </c>
      <c r="I20" s="26">
        <f t="shared" si="2"/>
        <v>180</v>
      </c>
      <c r="J20" s="26">
        <v>11</v>
      </c>
      <c r="K20" s="26">
        <f t="shared" si="3"/>
        <v>1980</v>
      </c>
      <c r="L20" s="12"/>
      <c r="M20" s="26">
        <f>SUM(K20:K20)</f>
        <v>1980</v>
      </c>
    </row>
    <row r="21" s="13" customFormat="1" spans="1:13">
      <c r="A21" s="34">
        <v>45181</v>
      </c>
      <c r="B21" s="29">
        <v>34</v>
      </c>
      <c r="C21" s="17" t="s">
        <v>25</v>
      </c>
      <c r="D21" s="17"/>
      <c r="E21" s="17"/>
      <c r="F21" s="37" t="s">
        <v>26</v>
      </c>
      <c r="G21" s="17">
        <v>5</v>
      </c>
      <c r="H21" s="17">
        <v>22</v>
      </c>
      <c r="I21" s="17">
        <f t="shared" si="2"/>
        <v>110</v>
      </c>
      <c r="J21" s="17">
        <v>13.5</v>
      </c>
      <c r="K21" s="17">
        <f t="shared" si="3"/>
        <v>1485</v>
      </c>
      <c r="M21" s="17"/>
    </row>
    <row r="22" s="13" customFormat="1" spans="1:13">
      <c r="A22" s="34">
        <v>45181</v>
      </c>
      <c r="B22" s="29">
        <v>34</v>
      </c>
      <c r="C22" s="17">
        <v>9803</v>
      </c>
      <c r="D22" s="17"/>
      <c r="E22" s="17"/>
      <c r="F22" s="33" t="s">
        <v>13</v>
      </c>
      <c r="G22" s="17">
        <v>10</v>
      </c>
      <c r="H22" s="17">
        <v>28</v>
      </c>
      <c r="I22" s="17">
        <f t="shared" si="2"/>
        <v>280</v>
      </c>
      <c r="J22" s="17">
        <v>10</v>
      </c>
      <c r="K22" s="17">
        <f t="shared" si="3"/>
        <v>2800</v>
      </c>
      <c r="M22" s="17">
        <f>SUM(K21:K22)</f>
        <v>4285</v>
      </c>
    </row>
    <row r="23" s="11" customFormat="1" spans="1:13">
      <c r="A23" s="24">
        <v>45195</v>
      </c>
      <c r="B23" s="25">
        <v>74</v>
      </c>
      <c r="C23" s="26" t="s">
        <v>30</v>
      </c>
      <c r="D23" s="26"/>
      <c r="E23" s="26"/>
      <c r="F23" s="27" t="s">
        <v>31</v>
      </c>
      <c r="G23" s="26">
        <v>1</v>
      </c>
      <c r="H23" s="26">
        <v>20</v>
      </c>
      <c r="I23" s="26">
        <f t="shared" si="2"/>
        <v>20</v>
      </c>
      <c r="J23" s="26">
        <v>19</v>
      </c>
      <c r="K23" s="26">
        <f t="shared" si="3"/>
        <v>380</v>
      </c>
      <c r="L23" s="12"/>
      <c r="M23" s="26"/>
    </row>
    <row r="24" s="11" customFormat="1" spans="1:13">
      <c r="A24" s="24">
        <v>45195</v>
      </c>
      <c r="B24" s="25">
        <v>74</v>
      </c>
      <c r="C24" s="26" t="s">
        <v>19</v>
      </c>
      <c r="D24" s="26"/>
      <c r="E24" s="26"/>
      <c r="F24" s="27" t="s">
        <v>20</v>
      </c>
      <c r="G24" s="26">
        <v>1</v>
      </c>
      <c r="H24" s="26">
        <v>10</v>
      </c>
      <c r="I24" s="26">
        <f t="shared" si="2"/>
        <v>10</v>
      </c>
      <c r="J24" s="26">
        <v>22</v>
      </c>
      <c r="K24" s="26">
        <f t="shared" si="3"/>
        <v>220</v>
      </c>
      <c r="L24" s="12"/>
      <c r="M24" s="26">
        <f>SUM(K23:K24)</f>
        <v>600</v>
      </c>
    </row>
    <row r="25" s="13" customFormat="1" spans="1:13">
      <c r="A25" s="34">
        <v>45201</v>
      </c>
      <c r="B25" s="29">
        <v>1</v>
      </c>
      <c r="C25" s="17">
        <v>9803</v>
      </c>
      <c r="D25" s="17"/>
      <c r="E25" s="17"/>
      <c r="F25" s="33" t="s">
        <v>13</v>
      </c>
      <c r="G25" s="17">
        <v>10</v>
      </c>
      <c r="H25" s="17">
        <v>28</v>
      </c>
      <c r="I25" s="17">
        <f t="shared" si="2"/>
        <v>280</v>
      </c>
      <c r="J25" s="17">
        <v>10</v>
      </c>
      <c r="K25" s="17">
        <f t="shared" si="3"/>
        <v>2800</v>
      </c>
      <c r="L25" s="36"/>
      <c r="M25" s="17"/>
    </row>
    <row r="26" s="12" customFormat="1" spans="1:13">
      <c r="A26" s="24">
        <v>45205</v>
      </c>
      <c r="B26" s="25">
        <v>6</v>
      </c>
      <c r="C26" s="26" t="s">
        <v>25</v>
      </c>
      <c r="D26" s="26"/>
      <c r="E26" s="26"/>
      <c r="F26" s="35" t="s">
        <v>26</v>
      </c>
      <c r="G26" s="26">
        <v>6</v>
      </c>
      <c r="H26" s="26">
        <v>22</v>
      </c>
      <c r="I26" s="26">
        <f t="shared" si="2"/>
        <v>132</v>
      </c>
      <c r="J26" s="26">
        <v>13.5</v>
      </c>
      <c r="K26" s="26">
        <f t="shared" si="3"/>
        <v>1782</v>
      </c>
      <c r="M26" s="26"/>
    </row>
    <row r="27" s="13" customFormat="1" spans="1:13">
      <c r="A27" s="34">
        <v>45211</v>
      </c>
      <c r="B27" s="29">
        <v>24</v>
      </c>
      <c r="C27" s="17" t="s">
        <v>23</v>
      </c>
      <c r="D27" s="17"/>
      <c r="E27" s="17"/>
      <c r="F27" s="33" t="s">
        <v>24</v>
      </c>
      <c r="G27" s="17">
        <v>3</v>
      </c>
      <c r="H27" s="17">
        <v>26</v>
      </c>
      <c r="I27" s="17">
        <f t="shared" si="2"/>
        <v>78</v>
      </c>
      <c r="J27" s="17">
        <v>22</v>
      </c>
      <c r="K27" s="17">
        <f t="shared" si="3"/>
        <v>1716</v>
      </c>
      <c r="L27" s="36"/>
      <c r="M27" s="17"/>
    </row>
    <row r="28" s="13" customFormat="1" spans="1:13">
      <c r="A28" s="34">
        <v>45211</v>
      </c>
      <c r="B28" s="29">
        <v>24</v>
      </c>
      <c r="C28" s="17" t="s">
        <v>23</v>
      </c>
      <c r="D28" s="17"/>
      <c r="E28" s="17"/>
      <c r="F28" s="33" t="s">
        <v>24</v>
      </c>
      <c r="G28" s="17">
        <v>2</v>
      </c>
      <c r="H28" s="17">
        <v>25</v>
      </c>
      <c r="I28" s="17">
        <f t="shared" si="2"/>
        <v>50</v>
      </c>
      <c r="J28" s="17">
        <v>22</v>
      </c>
      <c r="K28" s="17">
        <f t="shared" si="3"/>
        <v>1100</v>
      </c>
      <c r="L28" s="36"/>
      <c r="M28" s="17"/>
    </row>
    <row r="29" s="10" customFormat="1" spans="1:13">
      <c r="A29" s="34">
        <v>45211</v>
      </c>
      <c r="B29" s="29">
        <v>24</v>
      </c>
      <c r="C29" s="17" t="s">
        <v>21</v>
      </c>
      <c r="D29" s="17"/>
      <c r="E29" s="17"/>
      <c r="F29" s="33" t="s">
        <v>22</v>
      </c>
      <c r="G29" s="17">
        <v>3</v>
      </c>
      <c r="H29" s="17">
        <v>20</v>
      </c>
      <c r="I29" s="17">
        <f t="shared" si="2"/>
        <v>60</v>
      </c>
      <c r="J29" s="17">
        <v>19</v>
      </c>
      <c r="K29" s="17">
        <f t="shared" si="3"/>
        <v>1140</v>
      </c>
      <c r="L29" s="13"/>
      <c r="M29" s="17"/>
    </row>
    <row r="30" s="13" customFormat="1" spans="1:13">
      <c r="A30" s="34">
        <v>45211</v>
      </c>
      <c r="B30" s="29">
        <v>24</v>
      </c>
      <c r="C30" s="17">
        <v>709</v>
      </c>
      <c r="D30" s="17"/>
      <c r="E30" s="17"/>
      <c r="F30" s="33" t="s">
        <v>29</v>
      </c>
      <c r="G30" s="17">
        <v>2</v>
      </c>
      <c r="H30" s="17">
        <v>25</v>
      </c>
      <c r="I30" s="17">
        <f t="shared" si="2"/>
        <v>50</v>
      </c>
      <c r="J30" s="17">
        <v>22</v>
      </c>
      <c r="K30" s="17">
        <f t="shared" si="3"/>
        <v>1100</v>
      </c>
      <c r="L30" s="36"/>
      <c r="M30" s="17"/>
    </row>
    <row r="31" s="10" customFormat="1" spans="1:13">
      <c r="A31" s="34">
        <v>45211</v>
      </c>
      <c r="B31" s="29">
        <v>24</v>
      </c>
      <c r="C31" s="17" t="s">
        <v>19</v>
      </c>
      <c r="D31" s="17"/>
      <c r="E31" s="17"/>
      <c r="F31" s="33" t="s">
        <v>20</v>
      </c>
      <c r="G31" s="17">
        <v>15</v>
      </c>
      <c r="H31" s="17">
        <v>10</v>
      </c>
      <c r="I31" s="17">
        <f t="shared" si="2"/>
        <v>150</v>
      </c>
      <c r="J31" s="17">
        <v>22</v>
      </c>
      <c r="K31" s="17">
        <f t="shared" si="3"/>
        <v>3300</v>
      </c>
      <c r="L31" s="13"/>
      <c r="M31" s="17">
        <f>SUM(K27:K31)</f>
        <v>8356</v>
      </c>
    </row>
    <row r="32" s="12" customFormat="1" spans="1:13">
      <c r="A32" s="24">
        <v>45212</v>
      </c>
      <c r="B32" s="25">
        <v>28</v>
      </c>
      <c r="C32" s="26" t="s">
        <v>25</v>
      </c>
      <c r="D32" s="26"/>
      <c r="E32" s="26"/>
      <c r="F32" s="35" t="s">
        <v>26</v>
      </c>
      <c r="G32" s="26">
        <v>5</v>
      </c>
      <c r="H32" s="26">
        <v>22</v>
      </c>
      <c r="I32" s="26">
        <f t="shared" si="2"/>
        <v>110</v>
      </c>
      <c r="J32" s="26">
        <v>13.5</v>
      </c>
      <c r="K32" s="26">
        <f t="shared" si="3"/>
        <v>1485</v>
      </c>
      <c r="M32" s="26"/>
    </row>
    <row r="33" s="12" customFormat="1" spans="1:13">
      <c r="A33" s="24">
        <v>45212</v>
      </c>
      <c r="B33" s="25">
        <v>28</v>
      </c>
      <c r="C33" s="26">
        <v>9803</v>
      </c>
      <c r="D33" s="26"/>
      <c r="E33" s="26"/>
      <c r="F33" s="27" t="s">
        <v>13</v>
      </c>
      <c r="G33" s="26">
        <v>10</v>
      </c>
      <c r="H33" s="26">
        <v>28</v>
      </c>
      <c r="I33" s="26">
        <f t="shared" si="2"/>
        <v>280</v>
      </c>
      <c r="J33" s="26">
        <v>10</v>
      </c>
      <c r="K33" s="26">
        <f t="shared" si="3"/>
        <v>2800</v>
      </c>
      <c r="L33" s="27">
        <v>9804</v>
      </c>
      <c r="M33" s="26"/>
    </row>
    <row r="34" s="12" customFormat="1" spans="1:13">
      <c r="A34" s="24">
        <v>45212</v>
      </c>
      <c r="B34" s="25">
        <v>28</v>
      </c>
      <c r="C34" s="26" t="s">
        <v>32</v>
      </c>
      <c r="D34" s="26"/>
      <c r="E34" s="26"/>
      <c r="F34" s="35" t="s">
        <v>33</v>
      </c>
      <c r="G34" s="26">
        <v>2</v>
      </c>
      <c r="H34" s="26">
        <v>20</v>
      </c>
      <c r="I34" s="26">
        <f t="shared" si="2"/>
        <v>40</v>
      </c>
      <c r="J34" s="26">
        <v>13.5</v>
      </c>
      <c r="K34" s="26">
        <f t="shared" si="3"/>
        <v>540</v>
      </c>
      <c r="M34" s="26">
        <f>SUM(K32:K34)</f>
        <v>4825</v>
      </c>
    </row>
    <row r="35" s="13" customFormat="1" spans="1:13">
      <c r="A35" s="34">
        <v>45217</v>
      </c>
      <c r="B35" s="29">
        <v>38</v>
      </c>
      <c r="C35" s="17" t="s">
        <v>32</v>
      </c>
      <c r="D35" s="17"/>
      <c r="E35" s="17"/>
      <c r="F35" s="37" t="s">
        <v>33</v>
      </c>
      <c r="G35" s="17">
        <v>5</v>
      </c>
      <c r="H35" s="17">
        <v>20</v>
      </c>
      <c r="I35" s="17">
        <f t="shared" si="2"/>
        <v>100</v>
      </c>
      <c r="J35" s="17">
        <v>13.5</v>
      </c>
      <c r="K35" s="17">
        <f t="shared" si="3"/>
        <v>1350</v>
      </c>
      <c r="L35" s="36"/>
      <c r="M35" s="17">
        <f>SUM(K35)</f>
        <v>1350</v>
      </c>
    </row>
    <row r="36" s="11" customFormat="1" spans="1:13">
      <c r="A36" s="24">
        <v>45217</v>
      </c>
      <c r="B36" s="25">
        <v>39</v>
      </c>
      <c r="C36" s="26" t="s">
        <v>11</v>
      </c>
      <c r="D36" s="26"/>
      <c r="E36" s="26"/>
      <c r="F36" s="27" t="s">
        <v>12</v>
      </c>
      <c r="G36" s="26">
        <v>1</v>
      </c>
      <c r="H36" s="26">
        <v>180</v>
      </c>
      <c r="I36" s="26">
        <f t="shared" si="2"/>
        <v>180</v>
      </c>
      <c r="J36" s="26">
        <v>11</v>
      </c>
      <c r="K36" s="26">
        <f t="shared" si="3"/>
        <v>1980</v>
      </c>
      <c r="L36" s="12"/>
      <c r="M36" s="26"/>
    </row>
    <row r="37" s="11" customFormat="1" spans="1:13">
      <c r="A37" s="24">
        <v>45217</v>
      </c>
      <c r="B37" s="25">
        <v>39</v>
      </c>
      <c r="C37" s="26">
        <v>731</v>
      </c>
      <c r="D37" s="26"/>
      <c r="E37" s="26"/>
      <c r="F37" s="27" t="s">
        <v>16</v>
      </c>
      <c r="G37" s="26">
        <v>1</v>
      </c>
      <c r="H37" s="26">
        <v>19</v>
      </c>
      <c r="I37" s="26">
        <f t="shared" si="2"/>
        <v>19</v>
      </c>
      <c r="J37" s="26">
        <v>22</v>
      </c>
      <c r="K37" s="26">
        <f t="shared" si="3"/>
        <v>418</v>
      </c>
      <c r="L37" s="12"/>
      <c r="M37" s="26"/>
    </row>
    <row r="38" s="11" customFormat="1" spans="1:13">
      <c r="A38" s="24">
        <v>45217</v>
      </c>
      <c r="B38" s="25">
        <v>39</v>
      </c>
      <c r="C38" s="26" t="s">
        <v>19</v>
      </c>
      <c r="D38" s="26"/>
      <c r="E38" s="26"/>
      <c r="F38" s="27" t="s">
        <v>20</v>
      </c>
      <c r="G38" s="26">
        <v>2</v>
      </c>
      <c r="H38" s="26">
        <v>10</v>
      </c>
      <c r="I38" s="26">
        <f t="shared" si="2"/>
        <v>20</v>
      </c>
      <c r="J38" s="26">
        <v>22</v>
      </c>
      <c r="K38" s="26">
        <f t="shared" si="3"/>
        <v>440</v>
      </c>
      <c r="L38" s="12"/>
      <c r="M38" s="26">
        <f>SUM(K36:K38)</f>
        <v>2838</v>
      </c>
    </row>
    <row r="39" s="10" customFormat="1" spans="1:13">
      <c r="A39" s="34">
        <v>45224</v>
      </c>
      <c r="B39" s="29">
        <v>58</v>
      </c>
      <c r="C39" s="17" t="s">
        <v>34</v>
      </c>
      <c r="D39" s="17"/>
      <c r="E39" s="17"/>
      <c r="F39" s="33" t="s">
        <v>35</v>
      </c>
      <c r="G39" s="17">
        <v>1</v>
      </c>
      <c r="H39" s="17">
        <v>20</v>
      </c>
      <c r="I39" s="17">
        <f t="shared" si="2"/>
        <v>20</v>
      </c>
      <c r="J39" s="17">
        <v>22</v>
      </c>
      <c r="K39" s="17">
        <f t="shared" si="3"/>
        <v>440</v>
      </c>
      <c r="L39" s="13" t="s">
        <v>36</v>
      </c>
      <c r="M39" s="17"/>
    </row>
    <row r="40" s="10" customFormat="1" spans="1:13">
      <c r="A40" s="34">
        <v>45224</v>
      </c>
      <c r="B40" s="29">
        <v>58</v>
      </c>
      <c r="C40" s="17" t="s">
        <v>19</v>
      </c>
      <c r="D40" s="17"/>
      <c r="E40" s="17"/>
      <c r="F40" s="33" t="s">
        <v>20</v>
      </c>
      <c r="G40" s="17">
        <v>1</v>
      </c>
      <c r="H40" s="17">
        <v>10</v>
      </c>
      <c r="I40" s="17">
        <f t="shared" si="2"/>
        <v>10</v>
      </c>
      <c r="J40" s="17">
        <v>22</v>
      </c>
      <c r="K40" s="17">
        <f t="shared" si="3"/>
        <v>220</v>
      </c>
      <c r="L40" s="13"/>
      <c r="M40" s="17">
        <f t="shared" ref="M40:M44" si="4">SUM(K39:K40)</f>
        <v>660</v>
      </c>
    </row>
    <row r="41" s="12" customFormat="1" spans="1:13">
      <c r="A41" s="24">
        <v>45234</v>
      </c>
      <c r="B41" s="25">
        <v>5</v>
      </c>
      <c r="C41" s="26">
        <v>9803</v>
      </c>
      <c r="D41" s="26"/>
      <c r="E41" s="26"/>
      <c r="F41" s="27" t="s">
        <v>13</v>
      </c>
      <c r="G41" s="26">
        <v>15</v>
      </c>
      <c r="H41" s="26">
        <v>28</v>
      </c>
      <c r="I41" s="26">
        <f t="shared" si="2"/>
        <v>420</v>
      </c>
      <c r="J41" s="26">
        <v>10</v>
      </c>
      <c r="K41" s="26">
        <f t="shared" si="3"/>
        <v>4200</v>
      </c>
      <c r="L41" s="38">
        <v>9804</v>
      </c>
      <c r="M41" s="31" t="s">
        <v>37</v>
      </c>
    </row>
    <row r="42" s="12" customFormat="1" spans="1:13">
      <c r="A42" s="24">
        <v>45234</v>
      </c>
      <c r="B42" s="25">
        <v>5</v>
      </c>
      <c r="C42" s="26" t="s">
        <v>25</v>
      </c>
      <c r="D42" s="26"/>
      <c r="E42" s="26"/>
      <c r="F42" s="35" t="s">
        <v>26</v>
      </c>
      <c r="G42" s="26">
        <v>5</v>
      </c>
      <c r="H42" s="26">
        <v>22</v>
      </c>
      <c r="I42" s="26">
        <f t="shared" si="2"/>
        <v>110</v>
      </c>
      <c r="J42" s="26">
        <v>13.5</v>
      </c>
      <c r="K42" s="26">
        <f t="shared" si="3"/>
        <v>1485</v>
      </c>
      <c r="M42" s="26">
        <f t="shared" si="4"/>
        <v>5685</v>
      </c>
    </row>
    <row r="43" s="10" customFormat="1" spans="1:13">
      <c r="A43" s="34">
        <v>45236</v>
      </c>
      <c r="B43" s="29" t="s">
        <v>38</v>
      </c>
      <c r="C43" s="17" t="s">
        <v>39</v>
      </c>
      <c r="D43" s="17"/>
      <c r="E43" s="17"/>
      <c r="F43" s="33" t="s">
        <v>40</v>
      </c>
      <c r="G43" s="17">
        <v>1</v>
      </c>
      <c r="H43" s="17">
        <v>10</v>
      </c>
      <c r="I43" s="26">
        <f t="shared" si="2"/>
        <v>10</v>
      </c>
      <c r="J43" s="17">
        <v>22</v>
      </c>
      <c r="K43" s="17">
        <f t="shared" si="3"/>
        <v>220</v>
      </c>
      <c r="L43" s="13"/>
      <c r="M43" s="17"/>
    </row>
    <row r="44" s="10" customFormat="1" spans="1:13">
      <c r="A44" s="34">
        <v>45224</v>
      </c>
      <c r="B44" s="29" t="s">
        <v>38</v>
      </c>
      <c r="C44" s="17" t="s">
        <v>19</v>
      </c>
      <c r="D44" s="17"/>
      <c r="E44" s="17"/>
      <c r="F44" s="33" t="s">
        <v>20</v>
      </c>
      <c r="G44" s="17">
        <v>5</v>
      </c>
      <c r="H44" s="17">
        <v>10</v>
      </c>
      <c r="I44" s="17">
        <f t="shared" si="2"/>
        <v>50</v>
      </c>
      <c r="J44" s="17">
        <v>22</v>
      </c>
      <c r="K44" s="17">
        <f t="shared" si="3"/>
        <v>1100</v>
      </c>
      <c r="L44" s="13"/>
      <c r="M44" s="17">
        <f t="shared" si="4"/>
        <v>1320</v>
      </c>
    </row>
    <row r="45" s="12" customFormat="1" spans="1:13">
      <c r="A45" s="24">
        <v>45642</v>
      </c>
      <c r="B45" s="25">
        <v>49</v>
      </c>
      <c r="C45" s="26">
        <v>9803</v>
      </c>
      <c r="D45" s="26"/>
      <c r="E45" s="26"/>
      <c r="F45" s="27" t="s">
        <v>13</v>
      </c>
      <c r="G45" s="26">
        <v>10</v>
      </c>
      <c r="H45" s="26">
        <v>28</v>
      </c>
      <c r="I45" s="17">
        <f t="shared" si="2"/>
        <v>280</v>
      </c>
      <c r="J45" s="26">
        <v>10</v>
      </c>
      <c r="K45" s="26">
        <f t="shared" si="3"/>
        <v>2800</v>
      </c>
      <c r="L45" s="39">
        <v>9804</v>
      </c>
      <c r="M45" s="27"/>
    </row>
    <row r="46" s="12" customFormat="1" spans="1:13">
      <c r="A46" s="24">
        <v>45642</v>
      </c>
      <c r="B46" s="25">
        <v>49</v>
      </c>
      <c r="C46" s="26" t="s">
        <v>25</v>
      </c>
      <c r="D46" s="26"/>
      <c r="E46" s="26"/>
      <c r="F46" s="35" t="s">
        <v>26</v>
      </c>
      <c r="G46" s="26">
        <v>4</v>
      </c>
      <c r="H46" s="26">
        <v>22</v>
      </c>
      <c r="I46" s="17">
        <f t="shared" si="2"/>
        <v>88</v>
      </c>
      <c r="J46" s="26">
        <v>13.5</v>
      </c>
      <c r="K46" s="26">
        <f t="shared" si="3"/>
        <v>1188</v>
      </c>
      <c r="M46" s="26"/>
    </row>
    <row r="47" s="11" customFormat="1" spans="1:13">
      <c r="A47" s="24">
        <v>45642</v>
      </c>
      <c r="B47" s="25">
        <v>49</v>
      </c>
      <c r="C47" s="26">
        <v>715</v>
      </c>
      <c r="D47" s="26"/>
      <c r="E47" s="26"/>
      <c r="F47" s="27" t="s">
        <v>41</v>
      </c>
      <c r="G47" s="26">
        <v>1</v>
      </c>
      <c r="H47" s="26">
        <v>10</v>
      </c>
      <c r="I47" s="17">
        <f t="shared" si="2"/>
        <v>10</v>
      </c>
      <c r="J47" s="26"/>
      <c r="K47" s="26">
        <f t="shared" si="3"/>
        <v>0</v>
      </c>
      <c r="L47" s="12" t="s">
        <v>42</v>
      </c>
      <c r="M47" s="26"/>
    </row>
    <row r="48" s="11" customFormat="1" spans="1:13">
      <c r="A48" s="24">
        <v>45642</v>
      </c>
      <c r="B48" s="25">
        <v>49</v>
      </c>
      <c r="C48" s="26">
        <v>715</v>
      </c>
      <c r="D48" s="26"/>
      <c r="E48" s="26"/>
      <c r="F48" s="27" t="s">
        <v>41</v>
      </c>
      <c r="G48" s="26">
        <v>1</v>
      </c>
      <c r="H48" s="26">
        <v>8</v>
      </c>
      <c r="I48" s="17">
        <f t="shared" si="2"/>
        <v>8</v>
      </c>
      <c r="J48" s="26">
        <v>22</v>
      </c>
      <c r="K48" s="26">
        <f t="shared" si="3"/>
        <v>176</v>
      </c>
      <c r="L48" s="12"/>
      <c r="M48" s="26"/>
    </row>
    <row r="49" s="11" customFormat="1" spans="1:13">
      <c r="A49" s="24">
        <v>45642</v>
      </c>
      <c r="B49" s="25">
        <v>49</v>
      </c>
      <c r="C49" s="26" t="s">
        <v>19</v>
      </c>
      <c r="D49" s="26"/>
      <c r="E49" s="26"/>
      <c r="F49" s="27" t="s">
        <v>20</v>
      </c>
      <c r="G49" s="26">
        <v>2</v>
      </c>
      <c r="H49" s="26">
        <v>10</v>
      </c>
      <c r="I49" s="17">
        <f t="shared" si="2"/>
        <v>20</v>
      </c>
      <c r="J49" s="26">
        <v>22</v>
      </c>
      <c r="K49" s="26">
        <f t="shared" si="3"/>
        <v>440</v>
      </c>
      <c r="L49" s="12"/>
      <c r="M49" s="26">
        <f>SUM(K45:K49)</f>
        <v>4604</v>
      </c>
    </row>
    <row r="50" s="10" customFormat="1" spans="1:13">
      <c r="A50" s="34">
        <v>45304</v>
      </c>
      <c r="B50" s="29">
        <v>31</v>
      </c>
      <c r="C50" s="17" t="s">
        <v>43</v>
      </c>
      <c r="D50" s="17"/>
      <c r="E50" s="17"/>
      <c r="F50" s="33" t="s">
        <v>44</v>
      </c>
      <c r="G50" s="17">
        <v>1</v>
      </c>
      <c r="H50" s="17">
        <v>4</v>
      </c>
      <c r="I50" s="26">
        <f t="shared" ref="I50:I74" si="5">G50*H50</f>
        <v>4</v>
      </c>
      <c r="J50" s="17">
        <v>22</v>
      </c>
      <c r="K50" s="17">
        <f t="shared" ref="K50:K74" si="6">I50*J50</f>
        <v>88</v>
      </c>
      <c r="L50" s="13" t="s">
        <v>45</v>
      </c>
      <c r="M50" s="17"/>
    </row>
    <row r="51" s="10" customFormat="1" spans="1:13">
      <c r="A51" s="34">
        <v>45304</v>
      </c>
      <c r="B51" s="29">
        <v>31</v>
      </c>
      <c r="C51" s="17" t="s">
        <v>46</v>
      </c>
      <c r="D51" s="17"/>
      <c r="E51" s="17"/>
      <c r="F51" s="33" t="s">
        <v>47</v>
      </c>
      <c r="G51" s="17">
        <v>1</v>
      </c>
      <c r="H51" s="17">
        <v>4</v>
      </c>
      <c r="I51" s="26">
        <f t="shared" si="5"/>
        <v>4</v>
      </c>
      <c r="J51" s="17">
        <v>22</v>
      </c>
      <c r="K51" s="17">
        <f t="shared" si="6"/>
        <v>88</v>
      </c>
      <c r="L51" s="13" t="s">
        <v>45</v>
      </c>
      <c r="M51" s="17">
        <f>SUM(K50:K51)</f>
        <v>176</v>
      </c>
    </row>
    <row r="52" s="12" customFormat="1" spans="1:13">
      <c r="A52" s="24">
        <v>45308</v>
      </c>
      <c r="B52" s="25">
        <v>57</v>
      </c>
      <c r="C52" s="26">
        <v>9803</v>
      </c>
      <c r="D52" s="26"/>
      <c r="E52" s="26"/>
      <c r="F52" s="27" t="s">
        <v>13</v>
      </c>
      <c r="G52" s="26">
        <v>10</v>
      </c>
      <c r="H52" s="26">
        <v>28</v>
      </c>
      <c r="I52" s="17">
        <f t="shared" si="5"/>
        <v>280</v>
      </c>
      <c r="J52" s="26">
        <v>10</v>
      </c>
      <c r="K52" s="26">
        <f t="shared" si="6"/>
        <v>2800</v>
      </c>
      <c r="L52" s="39">
        <v>9804</v>
      </c>
      <c r="M52" s="27"/>
    </row>
    <row r="53" s="13" customFormat="1" spans="1:13">
      <c r="A53" s="34">
        <v>45309</v>
      </c>
      <c r="B53" s="29">
        <v>72</v>
      </c>
      <c r="C53" s="17" t="s">
        <v>25</v>
      </c>
      <c r="D53" s="17"/>
      <c r="E53" s="17"/>
      <c r="F53" s="37" t="s">
        <v>26</v>
      </c>
      <c r="G53" s="17">
        <v>2</v>
      </c>
      <c r="H53" s="17">
        <v>22</v>
      </c>
      <c r="I53" s="17">
        <f t="shared" si="5"/>
        <v>44</v>
      </c>
      <c r="J53" s="17">
        <v>13.5</v>
      </c>
      <c r="K53" s="17">
        <f t="shared" si="6"/>
        <v>594</v>
      </c>
      <c r="M53" s="17"/>
    </row>
    <row r="54" s="13" customFormat="1" spans="1:13">
      <c r="A54" s="34">
        <v>45309</v>
      </c>
      <c r="B54" s="29">
        <v>72</v>
      </c>
      <c r="C54" s="17" t="s">
        <v>32</v>
      </c>
      <c r="D54" s="17"/>
      <c r="E54" s="17"/>
      <c r="F54" s="37" t="s">
        <v>33</v>
      </c>
      <c r="G54" s="17">
        <v>1</v>
      </c>
      <c r="H54" s="17">
        <v>20</v>
      </c>
      <c r="I54" s="17">
        <f t="shared" si="5"/>
        <v>20</v>
      </c>
      <c r="J54" s="17">
        <v>13.5</v>
      </c>
      <c r="K54" s="17">
        <f t="shared" si="6"/>
        <v>270</v>
      </c>
      <c r="M54" s="17"/>
    </row>
    <row r="55" s="10" customFormat="1" spans="1:13">
      <c r="A55" s="34">
        <v>45309</v>
      </c>
      <c r="B55" s="29">
        <v>72</v>
      </c>
      <c r="C55" s="17" t="s">
        <v>19</v>
      </c>
      <c r="D55" s="17"/>
      <c r="E55" s="17"/>
      <c r="F55" s="33" t="s">
        <v>20</v>
      </c>
      <c r="G55" s="17">
        <v>5</v>
      </c>
      <c r="H55" s="17">
        <v>10</v>
      </c>
      <c r="I55" s="17">
        <f t="shared" si="5"/>
        <v>50</v>
      </c>
      <c r="J55" s="17">
        <v>22</v>
      </c>
      <c r="K55" s="17">
        <f t="shared" si="6"/>
        <v>1100</v>
      </c>
      <c r="L55" s="13"/>
      <c r="M55" s="17">
        <f>SUM(K53:K55)</f>
        <v>1964</v>
      </c>
    </row>
    <row r="56" s="11" customFormat="1" spans="1:13">
      <c r="A56" s="24">
        <v>45312</v>
      </c>
      <c r="B56" s="25">
        <v>78</v>
      </c>
      <c r="C56" s="26" t="s">
        <v>48</v>
      </c>
      <c r="D56" s="26"/>
      <c r="E56" s="26"/>
      <c r="F56" s="27" t="s">
        <v>49</v>
      </c>
      <c r="G56" s="26">
        <v>1</v>
      </c>
      <c r="H56" s="26">
        <v>10</v>
      </c>
      <c r="I56" s="26">
        <f t="shared" si="5"/>
        <v>10</v>
      </c>
      <c r="J56" s="26">
        <v>25</v>
      </c>
      <c r="K56" s="26">
        <f t="shared" si="6"/>
        <v>250</v>
      </c>
      <c r="L56" s="12"/>
      <c r="M56" s="26"/>
    </row>
    <row r="57" s="11" customFormat="1" spans="1:13">
      <c r="A57" s="24">
        <v>45312</v>
      </c>
      <c r="B57" s="25">
        <v>78</v>
      </c>
      <c r="C57" s="26">
        <v>709</v>
      </c>
      <c r="D57" s="26"/>
      <c r="E57" s="26"/>
      <c r="F57" s="27" t="s">
        <v>29</v>
      </c>
      <c r="G57" s="26">
        <v>1</v>
      </c>
      <c r="H57" s="26">
        <v>16</v>
      </c>
      <c r="I57" s="26">
        <f t="shared" si="5"/>
        <v>16</v>
      </c>
      <c r="J57" s="26">
        <v>22</v>
      </c>
      <c r="K57" s="26">
        <f t="shared" si="6"/>
        <v>352</v>
      </c>
      <c r="L57" s="12"/>
      <c r="M57" s="26"/>
    </row>
    <row r="58" s="11" customFormat="1" spans="1:13">
      <c r="A58" s="24">
        <v>45312</v>
      </c>
      <c r="B58" s="25">
        <v>78</v>
      </c>
      <c r="C58" s="26">
        <v>709</v>
      </c>
      <c r="D58" s="26"/>
      <c r="E58" s="26"/>
      <c r="F58" s="27" t="s">
        <v>29</v>
      </c>
      <c r="G58" s="26">
        <v>1</v>
      </c>
      <c r="H58" s="26">
        <v>10</v>
      </c>
      <c r="I58" s="26">
        <f t="shared" si="5"/>
        <v>10</v>
      </c>
      <c r="J58" s="26"/>
      <c r="K58" s="26">
        <f t="shared" si="6"/>
        <v>0</v>
      </c>
      <c r="L58" s="12"/>
      <c r="M58" s="26"/>
    </row>
    <row r="59" s="11" customFormat="1" spans="1:13">
      <c r="A59" s="24">
        <v>45312</v>
      </c>
      <c r="B59" s="25">
        <v>78</v>
      </c>
      <c r="C59" s="26" t="s">
        <v>19</v>
      </c>
      <c r="D59" s="26"/>
      <c r="E59" s="26"/>
      <c r="F59" s="27" t="s">
        <v>20</v>
      </c>
      <c r="G59" s="26">
        <v>5</v>
      </c>
      <c r="H59" s="26">
        <v>10</v>
      </c>
      <c r="I59" s="26">
        <f t="shared" si="5"/>
        <v>50</v>
      </c>
      <c r="J59" s="26">
        <v>22</v>
      </c>
      <c r="K59" s="26">
        <f t="shared" si="6"/>
        <v>1100</v>
      </c>
      <c r="L59" s="12"/>
      <c r="M59" s="26">
        <f>SUM(K56:K59)</f>
        <v>1702</v>
      </c>
    </row>
    <row r="60" s="10" customFormat="1" spans="1:13">
      <c r="A60" s="34">
        <v>45313</v>
      </c>
      <c r="B60" s="29">
        <v>82</v>
      </c>
      <c r="C60" s="17">
        <v>9803</v>
      </c>
      <c r="D60" s="17"/>
      <c r="E60" s="17"/>
      <c r="F60" s="33" t="s">
        <v>13</v>
      </c>
      <c r="G60" s="17">
        <v>10</v>
      </c>
      <c r="H60" s="17">
        <v>28</v>
      </c>
      <c r="I60" s="17">
        <f t="shared" si="5"/>
        <v>280</v>
      </c>
      <c r="J60" s="17">
        <v>10</v>
      </c>
      <c r="K60" s="17">
        <f t="shared" si="6"/>
        <v>2800</v>
      </c>
      <c r="L60" s="40">
        <v>9804</v>
      </c>
      <c r="M60" s="17"/>
    </row>
    <row r="61" s="10" customFormat="1" spans="1:13">
      <c r="A61" s="34">
        <v>45313</v>
      </c>
      <c r="B61" s="29">
        <v>82</v>
      </c>
      <c r="C61" s="17" t="s">
        <v>23</v>
      </c>
      <c r="D61" s="17"/>
      <c r="E61" s="17"/>
      <c r="F61" s="33" t="s">
        <v>24</v>
      </c>
      <c r="G61" s="17">
        <v>1</v>
      </c>
      <c r="H61" s="17">
        <v>25</v>
      </c>
      <c r="I61" s="17">
        <f t="shared" si="5"/>
        <v>25</v>
      </c>
      <c r="J61" s="17">
        <v>22</v>
      </c>
      <c r="K61" s="17">
        <f t="shared" si="6"/>
        <v>550</v>
      </c>
      <c r="L61" s="13"/>
      <c r="M61" s="17"/>
    </row>
    <row r="62" s="10" customFormat="1" spans="1:13">
      <c r="A62" s="34">
        <v>45313</v>
      </c>
      <c r="B62" s="29">
        <v>82</v>
      </c>
      <c r="C62" s="17" t="s">
        <v>32</v>
      </c>
      <c r="D62" s="17"/>
      <c r="E62" s="17"/>
      <c r="F62" s="37" t="s">
        <v>33</v>
      </c>
      <c r="G62" s="17">
        <v>1</v>
      </c>
      <c r="H62" s="17">
        <v>20</v>
      </c>
      <c r="I62" s="17">
        <f t="shared" si="5"/>
        <v>20</v>
      </c>
      <c r="J62" s="17">
        <v>13.5</v>
      </c>
      <c r="K62" s="17">
        <f t="shared" si="6"/>
        <v>270</v>
      </c>
      <c r="L62" s="13"/>
      <c r="M62" s="17"/>
    </row>
    <row r="63" s="10" customFormat="1" spans="1:13">
      <c r="A63" s="34">
        <v>45313</v>
      </c>
      <c r="B63" s="29">
        <v>82</v>
      </c>
      <c r="C63" s="17" t="s">
        <v>19</v>
      </c>
      <c r="D63" s="17"/>
      <c r="E63" s="17"/>
      <c r="F63" s="33" t="s">
        <v>20</v>
      </c>
      <c r="G63" s="17">
        <v>1</v>
      </c>
      <c r="H63" s="17">
        <v>10</v>
      </c>
      <c r="I63" s="17">
        <f t="shared" si="5"/>
        <v>10</v>
      </c>
      <c r="J63" s="17">
        <v>22</v>
      </c>
      <c r="K63" s="17">
        <f t="shared" si="6"/>
        <v>220</v>
      </c>
      <c r="L63" s="13"/>
      <c r="M63" s="17"/>
    </row>
    <row r="64" s="10" customFormat="1" spans="1:13">
      <c r="A64" s="34">
        <v>45313</v>
      </c>
      <c r="B64" s="29">
        <v>82</v>
      </c>
      <c r="C64" s="17" t="s">
        <v>11</v>
      </c>
      <c r="D64" s="17"/>
      <c r="E64" s="17"/>
      <c r="F64" s="33" t="s">
        <v>12</v>
      </c>
      <c r="G64" s="17">
        <v>1</v>
      </c>
      <c r="H64" s="17">
        <v>180</v>
      </c>
      <c r="I64" s="17">
        <f t="shared" si="5"/>
        <v>180</v>
      </c>
      <c r="J64" s="17">
        <v>11</v>
      </c>
      <c r="K64" s="17">
        <f t="shared" si="6"/>
        <v>1980</v>
      </c>
      <c r="L64" s="13"/>
      <c r="M64" s="17">
        <f>SUM(K60:K64)</f>
        <v>5820</v>
      </c>
    </row>
    <row r="65" s="11" customFormat="1" spans="1:13">
      <c r="A65" s="24">
        <v>45317</v>
      </c>
      <c r="B65" s="25">
        <v>104</v>
      </c>
      <c r="C65" s="26" t="s">
        <v>21</v>
      </c>
      <c r="D65" s="26"/>
      <c r="E65" s="26"/>
      <c r="F65" s="27" t="s">
        <v>22</v>
      </c>
      <c r="G65" s="26">
        <v>1</v>
      </c>
      <c r="H65" s="26">
        <v>20</v>
      </c>
      <c r="I65" s="26">
        <f t="shared" si="5"/>
        <v>20</v>
      </c>
      <c r="J65" s="26">
        <v>19</v>
      </c>
      <c r="K65" s="26">
        <f t="shared" si="6"/>
        <v>380</v>
      </c>
      <c r="L65" s="12"/>
      <c r="M65" s="26"/>
    </row>
    <row r="66" s="11" customFormat="1" spans="1:13">
      <c r="A66" s="24">
        <v>45317</v>
      </c>
      <c r="B66" s="25">
        <v>104</v>
      </c>
      <c r="C66" s="26" t="s">
        <v>19</v>
      </c>
      <c r="D66" s="26"/>
      <c r="E66" s="26"/>
      <c r="F66" s="27" t="s">
        <v>20</v>
      </c>
      <c r="G66" s="26">
        <v>2</v>
      </c>
      <c r="H66" s="26">
        <v>10</v>
      </c>
      <c r="I66" s="26">
        <f t="shared" si="5"/>
        <v>20</v>
      </c>
      <c r="J66" s="26">
        <v>22</v>
      </c>
      <c r="K66" s="26">
        <f t="shared" si="6"/>
        <v>440</v>
      </c>
      <c r="L66" s="12"/>
      <c r="M66" s="26"/>
    </row>
    <row r="67" s="12" customFormat="1" spans="1:13">
      <c r="A67" s="24">
        <v>45317</v>
      </c>
      <c r="B67" s="25">
        <v>104</v>
      </c>
      <c r="C67" s="26" t="s">
        <v>50</v>
      </c>
      <c r="D67" s="26"/>
      <c r="E67" s="26"/>
      <c r="F67" s="35" t="s">
        <v>51</v>
      </c>
      <c r="G67" s="26">
        <v>5</v>
      </c>
      <c r="H67" s="26">
        <v>25</v>
      </c>
      <c r="I67" s="26">
        <f t="shared" si="5"/>
        <v>125</v>
      </c>
      <c r="J67" s="26">
        <v>15.5</v>
      </c>
      <c r="K67" s="26">
        <f t="shared" si="6"/>
        <v>1937.5</v>
      </c>
      <c r="M67" s="26"/>
    </row>
    <row r="68" s="11" customFormat="1" spans="1:13">
      <c r="A68" s="24">
        <v>45317</v>
      </c>
      <c r="B68" s="25">
        <v>104</v>
      </c>
      <c r="C68" s="26">
        <v>9803</v>
      </c>
      <c r="D68" s="26"/>
      <c r="E68" s="26"/>
      <c r="F68" s="27" t="s">
        <v>13</v>
      </c>
      <c r="G68" s="26">
        <v>10</v>
      </c>
      <c r="H68" s="26">
        <v>28</v>
      </c>
      <c r="I68" s="26">
        <f t="shared" si="5"/>
        <v>280</v>
      </c>
      <c r="J68" s="26">
        <v>10</v>
      </c>
      <c r="K68" s="26">
        <f t="shared" si="6"/>
        <v>2800</v>
      </c>
      <c r="L68" s="39">
        <v>9804</v>
      </c>
      <c r="M68" s="26">
        <f>SUM(K65:K68)</f>
        <v>5557.5</v>
      </c>
    </row>
    <row r="69" s="10" customFormat="1" spans="1:13">
      <c r="A69" s="34">
        <v>45369</v>
      </c>
      <c r="B69" s="29">
        <v>50</v>
      </c>
      <c r="C69" s="17" t="s">
        <v>23</v>
      </c>
      <c r="D69" s="17"/>
      <c r="E69" s="17"/>
      <c r="F69" s="33" t="s">
        <v>24</v>
      </c>
      <c r="G69" s="17">
        <v>1</v>
      </c>
      <c r="H69" s="17">
        <v>26</v>
      </c>
      <c r="I69" s="17">
        <f t="shared" si="5"/>
        <v>26</v>
      </c>
      <c r="J69" s="17">
        <v>22</v>
      </c>
      <c r="K69" s="17">
        <f t="shared" si="6"/>
        <v>572</v>
      </c>
      <c r="L69" s="13"/>
      <c r="M69" s="17"/>
    </row>
    <row r="70" s="10" customFormat="1" spans="1:13">
      <c r="A70" s="34">
        <v>45369</v>
      </c>
      <c r="B70" s="29">
        <v>50</v>
      </c>
      <c r="C70" s="17" t="s">
        <v>23</v>
      </c>
      <c r="D70" s="17"/>
      <c r="E70" s="17"/>
      <c r="F70" s="33" t="s">
        <v>24</v>
      </c>
      <c r="G70" s="17">
        <v>5</v>
      </c>
      <c r="H70" s="17">
        <v>25</v>
      </c>
      <c r="I70" s="17">
        <f t="shared" si="5"/>
        <v>125</v>
      </c>
      <c r="J70" s="17">
        <v>22</v>
      </c>
      <c r="K70" s="17">
        <f t="shared" si="6"/>
        <v>2750</v>
      </c>
      <c r="L70" s="13"/>
      <c r="M70" s="17"/>
    </row>
    <row r="71" s="10" customFormat="1" spans="1:13">
      <c r="A71" s="34">
        <v>45369</v>
      </c>
      <c r="B71" s="29">
        <v>50</v>
      </c>
      <c r="C71" s="17" t="s">
        <v>21</v>
      </c>
      <c r="D71" s="17"/>
      <c r="E71" s="17"/>
      <c r="F71" s="33" t="s">
        <v>22</v>
      </c>
      <c r="G71" s="17">
        <v>2</v>
      </c>
      <c r="H71" s="17">
        <v>20</v>
      </c>
      <c r="I71" s="17">
        <f t="shared" si="5"/>
        <v>40</v>
      </c>
      <c r="J71" s="17">
        <v>19</v>
      </c>
      <c r="K71" s="17">
        <f t="shared" si="6"/>
        <v>760</v>
      </c>
      <c r="L71" s="13"/>
      <c r="M71" s="17"/>
    </row>
    <row r="72" s="10" customFormat="1" spans="1:13">
      <c r="A72" s="34">
        <v>45369</v>
      </c>
      <c r="B72" s="29">
        <v>50</v>
      </c>
      <c r="C72" s="17">
        <v>709</v>
      </c>
      <c r="D72" s="17"/>
      <c r="E72" s="17"/>
      <c r="F72" s="33" t="s">
        <v>29</v>
      </c>
      <c r="G72" s="17">
        <v>1</v>
      </c>
      <c r="H72" s="17">
        <v>26</v>
      </c>
      <c r="I72" s="17">
        <f t="shared" si="5"/>
        <v>26</v>
      </c>
      <c r="J72" s="17">
        <v>22</v>
      </c>
      <c r="K72" s="17">
        <f t="shared" si="6"/>
        <v>572</v>
      </c>
      <c r="L72" s="13"/>
      <c r="M72" s="17"/>
    </row>
    <row r="73" s="10" customFormat="1" spans="1:13">
      <c r="A73" s="34">
        <v>45369</v>
      </c>
      <c r="B73" s="29">
        <v>50</v>
      </c>
      <c r="C73" s="17" t="s">
        <v>19</v>
      </c>
      <c r="D73" s="17"/>
      <c r="E73" s="17"/>
      <c r="F73" s="33" t="s">
        <v>20</v>
      </c>
      <c r="G73" s="17">
        <v>10</v>
      </c>
      <c r="H73" s="17">
        <v>10</v>
      </c>
      <c r="I73" s="17">
        <f t="shared" si="5"/>
        <v>100</v>
      </c>
      <c r="J73" s="17">
        <v>22</v>
      </c>
      <c r="K73" s="17">
        <f t="shared" si="6"/>
        <v>2200</v>
      </c>
      <c r="L73" s="13"/>
      <c r="M73" s="17"/>
    </row>
    <row r="74" s="10" customFormat="1" spans="1:13">
      <c r="A74" s="34">
        <v>45369</v>
      </c>
      <c r="B74" s="29">
        <v>50</v>
      </c>
      <c r="C74" s="17" t="s">
        <v>52</v>
      </c>
      <c r="D74" s="17"/>
      <c r="E74" s="17"/>
      <c r="F74" s="33" t="s">
        <v>12</v>
      </c>
      <c r="G74" s="17">
        <v>1</v>
      </c>
      <c r="H74" s="17">
        <v>180</v>
      </c>
      <c r="I74" s="17">
        <f t="shared" si="5"/>
        <v>180</v>
      </c>
      <c r="J74" s="17">
        <v>11</v>
      </c>
      <c r="K74" s="17">
        <f t="shared" si="6"/>
        <v>1980</v>
      </c>
      <c r="L74" s="13"/>
      <c r="M74" s="17">
        <f>SUM(K69:K74)</f>
        <v>8834</v>
      </c>
    </row>
    <row r="75" s="10" customFormat="1" spans="1:13">
      <c r="A75" s="34"/>
      <c r="B75" s="29"/>
      <c r="C75" s="17"/>
      <c r="D75" s="17"/>
      <c r="E75" s="17"/>
      <c r="F75" s="31" t="s">
        <v>53</v>
      </c>
      <c r="G75" s="17"/>
      <c r="H75" s="17"/>
      <c r="I75" s="17"/>
      <c r="J75" s="17"/>
      <c r="K75" s="17"/>
      <c r="L75" s="13"/>
      <c r="M75" s="17"/>
    </row>
    <row r="76" s="11" customFormat="1" spans="1:13">
      <c r="A76" s="24">
        <v>45390</v>
      </c>
      <c r="B76" s="25">
        <v>28</v>
      </c>
      <c r="C76" s="26" t="s">
        <v>48</v>
      </c>
      <c r="D76" s="26"/>
      <c r="E76" s="26"/>
      <c r="F76" s="27" t="s">
        <v>54</v>
      </c>
      <c r="G76" s="26">
        <v>1</v>
      </c>
      <c r="H76" s="30">
        <v>10</v>
      </c>
      <c r="I76" s="26">
        <f>G76*H76</f>
        <v>10</v>
      </c>
      <c r="J76" s="41">
        <v>22</v>
      </c>
      <c r="K76" s="41">
        <f>I76*J76</f>
        <v>220</v>
      </c>
      <c r="L76" s="12"/>
      <c r="M76" s="26"/>
    </row>
    <row r="77" s="11" customFormat="1" spans="1:13">
      <c r="A77" s="24">
        <v>45390</v>
      </c>
      <c r="B77" s="25">
        <v>28</v>
      </c>
      <c r="C77" s="26" t="s">
        <v>55</v>
      </c>
      <c r="D77" s="26"/>
      <c r="E77" s="26"/>
      <c r="F77" s="27" t="s">
        <v>56</v>
      </c>
      <c r="G77" s="26">
        <v>1</v>
      </c>
      <c r="H77" s="26">
        <v>26</v>
      </c>
      <c r="I77" s="26">
        <f t="shared" ref="I77:I110" si="7">G77*H77</f>
        <v>26</v>
      </c>
      <c r="J77" s="41">
        <v>18</v>
      </c>
      <c r="K77" s="41">
        <f t="shared" ref="K77:K92" si="8">I77*J77</f>
        <v>468</v>
      </c>
      <c r="L77" s="12"/>
      <c r="M77" s="26"/>
    </row>
    <row r="78" s="11" customFormat="1" spans="1:13">
      <c r="A78" s="24">
        <v>45390</v>
      </c>
      <c r="B78" s="25">
        <v>28</v>
      </c>
      <c r="C78" s="26" t="s">
        <v>15</v>
      </c>
      <c r="D78" s="26"/>
      <c r="E78" s="26"/>
      <c r="F78" s="27" t="s">
        <v>16</v>
      </c>
      <c r="G78" s="26">
        <v>1</v>
      </c>
      <c r="H78" s="26">
        <v>16</v>
      </c>
      <c r="I78" s="26">
        <f t="shared" si="7"/>
        <v>16</v>
      </c>
      <c r="J78" s="41">
        <v>18</v>
      </c>
      <c r="K78" s="41">
        <f t="shared" si="8"/>
        <v>288</v>
      </c>
      <c r="L78" s="12"/>
      <c r="M78" s="26"/>
    </row>
    <row r="79" s="11" customFormat="1" spans="1:13">
      <c r="A79" s="24">
        <v>45390</v>
      </c>
      <c r="B79" s="25">
        <v>28</v>
      </c>
      <c r="C79" s="26" t="s">
        <v>17</v>
      </c>
      <c r="D79" s="26"/>
      <c r="E79" s="26"/>
      <c r="F79" s="27" t="s">
        <v>18</v>
      </c>
      <c r="G79" s="26">
        <v>1</v>
      </c>
      <c r="H79" s="30">
        <v>15</v>
      </c>
      <c r="I79" s="26">
        <f t="shared" si="7"/>
        <v>15</v>
      </c>
      <c r="J79" s="41">
        <v>22</v>
      </c>
      <c r="K79" s="41">
        <f t="shared" si="8"/>
        <v>330</v>
      </c>
      <c r="L79" s="12"/>
      <c r="M79" s="26"/>
    </row>
    <row r="80" s="11" customFormat="1" spans="1:13">
      <c r="A80" s="24">
        <v>45390</v>
      </c>
      <c r="B80" s="25">
        <v>28</v>
      </c>
      <c r="C80" s="26" t="s">
        <v>21</v>
      </c>
      <c r="D80" s="26"/>
      <c r="E80" s="26"/>
      <c r="F80" s="27" t="s">
        <v>22</v>
      </c>
      <c r="G80" s="26">
        <v>2</v>
      </c>
      <c r="H80" s="26">
        <v>20</v>
      </c>
      <c r="I80" s="26">
        <f t="shared" si="7"/>
        <v>40</v>
      </c>
      <c r="J80" s="41">
        <v>18</v>
      </c>
      <c r="K80" s="41">
        <f t="shared" si="8"/>
        <v>720</v>
      </c>
      <c r="L80" s="12"/>
      <c r="M80" s="26"/>
    </row>
    <row r="81" s="11" customFormat="1" spans="1:14">
      <c r="A81" s="24">
        <v>45390</v>
      </c>
      <c r="B81" s="25">
        <v>28</v>
      </c>
      <c r="C81" s="26">
        <v>709</v>
      </c>
      <c r="D81" s="26"/>
      <c r="E81" s="26"/>
      <c r="F81" s="27" t="s">
        <v>29</v>
      </c>
      <c r="G81" s="26">
        <v>1</v>
      </c>
      <c r="H81" s="26">
        <v>26</v>
      </c>
      <c r="I81" s="26">
        <f t="shared" si="7"/>
        <v>26</v>
      </c>
      <c r="J81" s="41">
        <v>18</v>
      </c>
      <c r="K81" s="41">
        <f t="shared" si="8"/>
        <v>468</v>
      </c>
      <c r="L81" s="12"/>
      <c r="M81" s="26"/>
    </row>
    <row r="82" s="11" customFormat="1" spans="1:14">
      <c r="A82" s="24">
        <v>45390</v>
      </c>
      <c r="B82" s="25">
        <v>28</v>
      </c>
      <c r="C82" s="26" t="s">
        <v>19</v>
      </c>
      <c r="D82" s="26"/>
      <c r="E82" s="26"/>
      <c r="F82" s="27" t="s">
        <v>20</v>
      </c>
      <c r="G82" s="26">
        <v>8</v>
      </c>
      <c r="H82" s="26">
        <v>10</v>
      </c>
      <c r="I82" s="26">
        <f t="shared" si="7"/>
        <v>80</v>
      </c>
      <c r="J82" s="41">
        <v>18</v>
      </c>
      <c r="K82" s="41">
        <f t="shared" si="8"/>
        <v>1440</v>
      </c>
      <c r="L82" s="12"/>
      <c r="M82" s="26">
        <f>SUM(K76:K82)</f>
        <v>3934</v>
      </c>
    </row>
    <row r="83" s="10" customFormat="1" spans="1:14">
      <c r="A83" s="34">
        <v>45395</v>
      </c>
      <c r="B83" s="29">
        <v>42</v>
      </c>
      <c r="C83" s="42" t="s">
        <v>57</v>
      </c>
      <c r="D83" s="17"/>
      <c r="E83" s="17"/>
      <c r="F83" s="33" t="s">
        <v>58</v>
      </c>
      <c r="G83" s="17">
        <v>1</v>
      </c>
      <c r="H83" s="17">
        <v>4</v>
      </c>
      <c r="I83" s="17">
        <f t="shared" si="7"/>
        <v>4</v>
      </c>
      <c r="J83" s="43">
        <v>18</v>
      </c>
      <c r="K83" s="43">
        <f t="shared" si="8"/>
        <v>72</v>
      </c>
      <c r="L83" s="13" t="s">
        <v>59</v>
      </c>
      <c r="M83" s="17"/>
    </row>
    <row r="84" s="13" customFormat="1" spans="1:14">
      <c r="A84" s="34">
        <v>45395</v>
      </c>
      <c r="B84" s="29">
        <v>42</v>
      </c>
      <c r="C84" s="17" t="s">
        <v>50</v>
      </c>
      <c r="D84" s="17"/>
      <c r="E84" s="17"/>
      <c r="F84" s="37" t="s">
        <v>51</v>
      </c>
      <c r="G84" s="17">
        <v>2</v>
      </c>
      <c r="H84" s="17">
        <v>25</v>
      </c>
      <c r="I84" s="17">
        <f t="shared" si="7"/>
        <v>50</v>
      </c>
      <c r="J84" s="17">
        <v>14</v>
      </c>
      <c r="K84" s="43">
        <f t="shared" si="8"/>
        <v>700</v>
      </c>
      <c r="M84" s="17">
        <f>SUM(K83:K84)</f>
        <v>772</v>
      </c>
    </row>
    <row r="85" s="12" customFormat="1" spans="1:14">
      <c r="A85" s="24">
        <v>45395</v>
      </c>
      <c r="B85" s="25">
        <v>42</v>
      </c>
      <c r="C85" s="26" t="s">
        <v>50</v>
      </c>
      <c r="D85" s="26"/>
      <c r="E85" s="26"/>
      <c r="F85" s="35" t="s">
        <v>51</v>
      </c>
      <c r="G85" s="26">
        <v>3</v>
      </c>
      <c r="H85" s="26">
        <v>25</v>
      </c>
      <c r="I85" s="26">
        <f t="shared" si="7"/>
        <v>75</v>
      </c>
      <c r="J85" s="26">
        <v>14</v>
      </c>
      <c r="K85" s="41">
        <f t="shared" si="8"/>
        <v>1050</v>
      </c>
      <c r="M85" s="26">
        <f>SUM(K84:K85)</f>
        <v>1750</v>
      </c>
    </row>
    <row r="86" s="10" customFormat="1" spans="1:14">
      <c r="A86" s="34">
        <v>45390</v>
      </c>
      <c r="B86" s="29">
        <v>28</v>
      </c>
      <c r="C86" s="17" t="s">
        <v>60</v>
      </c>
      <c r="D86" s="17"/>
      <c r="E86" s="17"/>
      <c r="F86" s="33" t="s">
        <v>61</v>
      </c>
      <c r="G86" s="17">
        <v>2</v>
      </c>
      <c r="H86" s="17">
        <v>25</v>
      </c>
      <c r="I86" s="17">
        <f t="shared" si="7"/>
        <v>50</v>
      </c>
      <c r="J86" s="43">
        <v>18</v>
      </c>
      <c r="K86" s="43">
        <f t="shared" si="8"/>
        <v>900</v>
      </c>
      <c r="L86" s="13"/>
      <c r="M86" s="17"/>
    </row>
    <row r="87" s="10" customFormat="1" spans="1:14">
      <c r="A87" s="34">
        <v>45390</v>
      </c>
      <c r="B87" s="29">
        <v>28</v>
      </c>
      <c r="C87" s="17" t="s">
        <v>19</v>
      </c>
      <c r="D87" s="17"/>
      <c r="E87" s="17"/>
      <c r="F87" s="33" t="s">
        <v>20</v>
      </c>
      <c r="G87" s="17">
        <v>6</v>
      </c>
      <c r="H87" s="17">
        <v>10</v>
      </c>
      <c r="I87" s="17">
        <f t="shared" si="7"/>
        <v>60</v>
      </c>
      <c r="J87" s="43">
        <v>18</v>
      </c>
      <c r="K87" s="43">
        <f t="shared" si="8"/>
        <v>1080</v>
      </c>
      <c r="L87" s="13"/>
      <c r="M87" s="17">
        <f>SUM(K81:K87)</f>
        <v>5710</v>
      </c>
    </row>
    <row r="88" s="11" customFormat="1" spans="1:14">
      <c r="A88" s="24">
        <v>45425</v>
      </c>
      <c r="B88" s="25">
        <v>13</v>
      </c>
      <c r="C88" s="26" t="s">
        <v>15</v>
      </c>
      <c r="D88" s="26"/>
      <c r="E88" s="26"/>
      <c r="F88" s="27" t="s">
        <v>16</v>
      </c>
      <c r="G88" s="26">
        <v>1</v>
      </c>
      <c r="H88" s="26">
        <v>11</v>
      </c>
      <c r="I88" s="26">
        <f t="shared" si="7"/>
        <v>11</v>
      </c>
      <c r="J88" s="41">
        <v>18</v>
      </c>
      <c r="K88" s="41">
        <f t="shared" si="8"/>
        <v>198</v>
      </c>
      <c r="L88" s="12"/>
      <c r="M88" s="26"/>
    </row>
    <row r="89" s="11" customFormat="1" spans="1:14">
      <c r="A89" s="24">
        <v>45425</v>
      </c>
      <c r="B89" s="25">
        <v>13</v>
      </c>
      <c r="C89" s="26" t="s">
        <v>19</v>
      </c>
      <c r="D89" s="26"/>
      <c r="E89" s="26"/>
      <c r="F89" s="27" t="s">
        <v>20</v>
      </c>
      <c r="G89" s="26">
        <v>4</v>
      </c>
      <c r="H89" s="26">
        <v>10</v>
      </c>
      <c r="I89" s="26">
        <f t="shared" si="7"/>
        <v>40</v>
      </c>
      <c r="J89" s="41">
        <v>18</v>
      </c>
      <c r="K89" s="41">
        <f t="shared" si="8"/>
        <v>720</v>
      </c>
      <c r="L89" s="12"/>
      <c r="M89" s="26"/>
    </row>
    <row r="90" s="11" customFormat="1" spans="1:14">
      <c r="A90" s="24">
        <v>45425</v>
      </c>
      <c r="B90" s="25">
        <v>13</v>
      </c>
      <c r="C90" s="26" t="s">
        <v>52</v>
      </c>
      <c r="D90" s="26"/>
      <c r="E90" s="26"/>
      <c r="F90" s="27" t="s">
        <v>12</v>
      </c>
      <c r="G90" s="26">
        <v>1</v>
      </c>
      <c r="H90" s="26">
        <v>180</v>
      </c>
      <c r="I90" s="26">
        <f t="shared" si="7"/>
        <v>180</v>
      </c>
      <c r="J90" s="26">
        <v>10.5</v>
      </c>
      <c r="K90" s="26">
        <f t="shared" si="8"/>
        <v>1890</v>
      </c>
      <c r="L90" s="12"/>
      <c r="M90" s="26">
        <f>SUM(K88:K90)</f>
        <v>2808</v>
      </c>
    </row>
    <row r="91" s="10" customFormat="1" spans="1:14">
      <c r="A91" s="34">
        <v>45442</v>
      </c>
      <c r="B91" s="29">
        <v>89</v>
      </c>
      <c r="C91" s="17"/>
      <c r="D91" s="17"/>
      <c r="E91" s="17"/>
      <c r="F91" s="33" t="s">
        <v>62</v>
      </c>
      <c r="G91" s="17">
        <v>1</v>
      </c>
      <c r="H91" s="17">
        <v>3</v>
      </c>
      <c r="I91" s="17">
        <f t="shared" si="7"/>
        <v>3</v>
      </c>
      <c r="J91" s="43"/>
      <c r="K91" s="43"/>
      <c r="L91" s="13" t="s">
        <v>63</v>
      </c>
      <c r="M91" s="17"/>
    </row>
    <row r="92" s="10" customFormat="1" spans="1:14">
      <c r="A92" s="34">
        <v>45442</v>
      </c>
      <c r="B92" s="29">
        <v>89</v>
      </c>
      <c r="C92" s="17" t="s">
        <v>64</v>
      </c>
      <c r="D92" s="17"/>
      <c r="E92" s="17"/>
      <c r="F92" s="33" t="s">
        <v>65</v>
      </c>
      <c r="G92" s="17">
        <v>1</v>
      </c>
      <c r="H92" s="17">
        <v>4</v>
      </c>
      <c r="I92" s="17">
        <f t="shared" si="7"/>
        <v>4</v>
      </c>
      <c r="J92" s="43"/>
      <c r="K92" s="43"/>
      <c r="L92" s="13" t="s">
        <v>63</v>
      </c>
      <c r="M92" s="17"/>
    </row>
    <row r="93" s="9" customFormat="1" spans="1:14">
      <c r="A93" s="34">
        <v>45442</v>
      </c>
      <c r="B93" s="29">
        <v>89</v>
      </c>
      <c r="C93" s="17" t="s">
        <v>21</v>
      </c>
      <c r="D93" s="17"/>
      <c r="E93" s="17"/>
      <c r="F93" s="33" t="s">
        <v>22</v>
      </c>
      <c r="G93" s="17">
        <v>1</v>
      </c>
      <c r="H93" s="17">
        <v>20</v>
      </c>
      <c r="I93" s="17">
        <f t="shared" si="7"/>
        <v>20</v>
      </c>
      <c r="J93" s="43">
        <v>18</v>
      </c>
      <c r="K93" s="43">
        <f t="shared" ref="K93:K123" si="9">I93*J93</f>
        <v>360</v>
      </c>
      <c r="L93" s="15"/>
      <c r="M93" s="30"/>
    </row>
    <row r="94" s="9" customFormat="1" spans="1:14">
      <c r="A94" s="34">
        <v>45442</v>
      </c>
      <c r="B94" s="29">
        <v>89</v>
      </c>
      <c r="C94" s="17" t="s">
        <v>19</v>
      </c>
      <c r="D94" s="17"/>
      <c r="E94" s="17"/>
      <c r="F94" s="33" t="s">
        <v>20</v>
      </c>
      <c r="G94" s="17">
        <v>2</v>
      </c>
      <c r="H94" s="17">
        <v>10</v>
      </c>
      <c r="I94" s="17">
        <f t="shared" si="7"/>
        <v>20</v>
      </c>
      <c r="J94" s="43">
        <v>18</v>
      </c>
      <c r="K94" s="43">
        <f t="shared" si="9"/>
        <v>360</v>
      </c>
      <c r="L94" s="15"/>
      <c r="M94" s="30">
        <f>SUM(K91:K94)</f>
        <v>720</v>
      </c>
      <c r="N94" s="9" t="s">
        <v>66</v>
      </c>
    </row>
    <row r="95" s="11" customFormat="1" spans="1:14">
      <c r="A95" s="24">
        <v>45445</v>
      </c>
      <c r="B95" s="25">
        <v>4</v>
      </c>
      <c r="C95" s="26">
        <v>9803</v>
      </c>
      <c r="D95" s="26"/>
      <c r="E95" s="26"/>
      <c r="F95" s="27" t="s">
        <v>13</v>
      </c>
      <c r="G95" s="26">
        <v>5</v>
      </c>
      <c r="H95" s="26">
        <v>28</v>
      </c>
      <c r="I95" s="26">
        <f t="shared" si="7"/>
        <v>140</v>
      </c>
      <c r="J95" s="26">
        <v>9</v>
      </c>
      <c r="K95" s="26">
        <f t="shared" si="9"/>
        <v>1260</v>
      </c>
      <c r="L95" s="39">
        <v>9804</v>
      </c>
      <c r="M95" s="26">
        <f>K95</f>
        <v>1260</v>
      </c>
    </row>
    <row r="96" s="10" customFormat="1" spans="1:14">
      <c r="A96" s="34">
        <v>45448</v>
      </c>
      <c r="B96" s="29" t="s">
        <v>38</v>
      </c>
      <c r="C96" s="17">
        <v>9803</v>
      </c>
      <c r="D96" s="17"/>
      <c r="E96" s="17"/>
      <c r="F96" s="33" t="s">
        <v>13</v>
      </c>
      <c r="G96" s="17">
        <v>10</v>
      </c>
      <c r="H96" s="17">
        <v>28</v>
      </c>
      <c r="I96" s="17">
        <f t="shared" si="7"/>
        <v>280</v>
      </c>
      <c r="J96" s="17">
        <v>9</v>
      </c>
      <c r="K96" s="17">
        <f t="shared" si="9"/>
        <v>2520</v>
      </c>
      <c r="L96" s="40">
        <v>9804</v>
      </c>
      <c r="M96" s="17">
        <f>K96</f>
        <v>2520</v>
      </c>
    </row>
    <row r="97" s="11" customFormat="1" spans="1:13">
      <c r="A97" s="24">
        <v>45471</v>
      </c>
      <c r="B97" s="25">
        <v>80</v>
      </c>
      <c r="C97" s="26">
        <v>709</v>
      </c>
      <c r="D97" s="26"/>
      <c r="E97" s="26"/>
      <c r="F97" s="27" t="s">
        <v>29</v>
      </c>
      <c r="G97" s="26">
        <v>1</v>
      </c>
      <c r="H97" s="26">
        <v>27</v>
      </c>
      <c r="I97" s="26">
        <f t="shared" si="7"/>
        <v>27</v>
      </c>
      <c r="J97" s="41">
        <v>18</v>
      </c>
      <c r="K97" s="41">
        <f t="shared" si="9"/>
        <v>486</v>
      </c>
      <c r="L97" s="12"/>
      <c r="M97" s="26"/>
    </row>
    <row r="98" s="11" customFormat="1" spans="1:13">
      <c r="A98" s="24">
        <v>45471</v>
      </c>
      <c r="B98" s="25">
        <v>80</v>
      </c>
      <c r="C98" s="26" t="s">
        <v>19</v>
      </c>
      <c r="D98" s="26"/>
      <c r="E98" s="26"/>
      <c r="F98" s="27" t="s">
        <v>20</v>
      </c>
      <c r="G98" s="26">
        <v>2</v>
      </c>
      <c r="H98" s="26">
        <v>10</v>
      </c>
      <c r="I98" s="26">
        <f t="shared" si="7"/>
        <v>20</v>
      </c>
      <c r="J98" s="41">
        <v>18</v>
      </c>
      <c r="K98" s="41">
        <f t="shared" si="9"/>
        <v>360</v>
      </c>
      <c r="L98" s="12"/>
      <c r="M98" s="26"/>
    </row>
    <row r="99" s="11" customFormat="1" spans="1:13">
      <c r="A99" s="24">
        <v>45471</v>
      </c>
      <c r="B99" s="25">
        <v>80</v>
      </c>
      <c r="C99" s="26" t="s">
        <v>52</v>
      </c>
      <c r="D99" s="26"/>
      <c r="E99" s="26"/>
      <c r="F99" s="27" t="s">
        <v>12</v>
      </c>
      <c r="G99" s="26">
        <v>1</v>
      </c>
      <c r="H99" s="26">
        <v>180</v>
      </c>
      <c r="I99" s="26">
        <f t="shared" si="7"/>
        <v>180</v>
      </c>
      <c r="J99" s="26">
        <v>10.5</v>
      </c>
      <c r="K99" s="26">
        <f t="shared" si="9"/>
        <v>1890</v>
      </c>
      <c r="L99" s="12"/>
      <c r="M99" s="26">
        <f>SUM(K97:K99)</f>
        <v>2736</v>
      </c>
    </row>
    <row r="100" s="10" customFormat="1" spans="1:13">
      <c r="A100" s="34">
        <v>45473</v>
      </c>
      <c r="B100" s="29">
        <v>94</v>
      </c>
      <c r="C100" s="17"/>
      <c r="D100" s="17"/>
      <c r="E100" s="17"/>
      <c r="F100" s="33" t="s">
        <v>67</v>
      </c>
      <c r="G100" s="17">
        <v>1</v>
      </c>
      <c r="H100" s="17">
        <v>18</v>
      </c>
      <c r="I100" s="17">
        <f t="shared" si="7"/>
        <v>18</v>
      </c>
      <c r="J100" s="17">
        <v>14.5</v>
      </c>
      <c r="K100" s="17">
        <f t="shared" si="9"/>
        <v>261</v>
      </c>
      <c r="L100" s="13"/>
      <c r="M100" s="17"/>
    </row>
    <row r="101" s="10" customFormat="1" spans="1:13">
      <c r="A101" s="34">
        <v>45473</v>
      </c>
      <c r="B101" s="29">
        <v>94</v>
      </c>
      <c r="C101" s="17"/>
      <c r="D101" s="17"/>
      <c r="E101" s="17"/>
      <c r="F101" s="33" t="s">
        <v>68</v>
      </c>
      <c r="G101" s="17">
        <v>1</v>
      </c>
      <c r="H101" s="17">
        <v>10</v>
      </c>
      <c r="I101" s="17">
        <f t="shared" si="7"/>
        <v>10</v>
      </c>
      <c r="J101" s="17">
        <v>18</v>
      </c>
      <c r="K101" s="17">
        <f t="shared" si="9"/>
        <v>180</v>
      </c>
      <c r="L101" s="33" t="s">
        <v>69</v>
      </c>
      <c r="M101" s="17"/>
    </row>
    <row r="102" s="11" customFormat="1" spans="1:13">
      <c r="A102" s="24">
        <v>45479</v>
      </c>
      <c r="B102" s="25" t="s">
        <v>70</v>
      </c>
      <c r="C102" s="26" t="s">
        <v>71</v>
      </c>
      <c r="D102" s="26"/>
      <c r="E102" s="26"/>
      <c r="F102" s="27" t="s">
        <v>62</v>
      </c>
      <c r="G102" s="26">
        <v>1</v>
      </c>
      <c r="H102" s="26">
        <v>12</v>
      </c>
      <c r="I102" s="26">
        <f t="shared" si="7"/>
        <v>12</v>
      </c>
      <c r="J102" s="41">
        <v>18</v>
      </c>
      <c r="K102" s="26">
        <f t="shared" si="9"/>
        <v>216</v>
      </c>
      <c r="M102" s="12" t="s">
        <v>63</v>
      </c>
    </row>
    <row r="103" s="11" customFormat="1" spans="1:13">
      <c r="A103" s="24">
        <v>45479</v>
      </c>
      <c r="B103" s="25" t="s">
        <v>70</v>
      </c>
      <c r="C103" s="26" t="s">
        <v>72</v>
      </c>
      <c r="D103" s="26"/>
      <c r="E103" s="26"/>
      <c r="F103" s="27" t="s">
        <v>65</v>
      </c>
      <c r="G103" s="26">
        <v>1</v>
      </c>
      <c r="H103" s="26">
        <v>12</v>
      </c>
      <c r="I103" s="26">
        <f t="shared" si="7"/>
        <v>12</v>
      </c>
      <c r="J103" s="41">
        <v>18</v>
      </c>
      <c r="K103" s="26">
        <f t="shared" si="9"/>
        <v>216</v>
      </c>
      <c r="L103" s="11" t="s">
        <v>64</v>
      </c>
      <c r="M103" s="12" t="s">
        <v>63</v>
      </c>
    </row>
    <row r="104" s="11" customFormat="1" spans="1:13">
      <c r="A104" s="24">
        <v>45479</v>
      </c>
      <c r="B104" s="25" t="s">
        <v>70</v>
      </c>
      <c r="C104" s="26"/>
      <c r="D104" s="26"/>
      <c r="E104" s="26"/>
      <c r="F104" s="27" t="s">
        <v>73</v>
      </c>
      <c r="G104" s="26">
        <v>1</v>
      </c>
      <c r="H104" s="26">
        <v>13</v>
      </c>
      <c r="I104" s="26">
        <f t="shared" si="7"/>
        <v>13</v>
      </c>
      <c r="J104" s="41">
        <v>15.5</v>
      </c>
      <c r="K104" s="26">
        <f t="shared" si="9"/>
        <v>201.5</v>
      </c>
      <c r="L104" s="12"/>
      <c r="M104" s="26"/>
    </row>
    <row r="105" s="11" customFormat="1" spans="1:13">
      <c r="A105" s="24">
        <v>45479</v>
      </c>
      <c r="B105" s="25" t="s">
        <v>70</v>
      </c>
      <c r="C105" s="26"/>
      <c r="D105" s="26"/>
      <c r="E105" s="26"/>
      <c r="F105" s="27" t="s">
        <v>67</v>
      </c>
      <c r="G105" s="26">
        <v>2</v>
      </c>
      <c r="H105" s="26">
        <v>18</v>
      </c>
      <c r="I105" s="26">
        <f t="shared" si="7"/>
        <v>36</v>
      </c>
      <c r="J105" s="26">
        <v>14.5</v>
      </c>
      <c r="K105" s="26">
        <f t="shared" si="9"/>
        <v>522</v>
      </c>
      <c r="L105" s="12"/>
      <c r="M105" s="26"/>
    </row>
    <row r="106" s="11" customFormat="1" spans="1:13">
      <c r="A106" s="24">
        <v>45479</v>
      </c>
      <c r="B106" s="25" t="s">
        <v>70</v>
      </c>
      <c r="C106" s="26"/>
      <c r="D106" s="26"/>
      <c r="E106" s="26"/>
      <c r="F106" s="27" t="s">
        <v>68</v>
      </c>
      <c r="G106" s="26">
        <v>2</v>
      </c>
      <c r="H106" s="26">
        <v>20</v>
      </c>
      <c r="I106" s="26">
        <f t="shared" si="7"/>
        <v>40</v>
      </c>
      <c r="J106" s="26">
        <v>18</v>
      </c>
      <c r="K106" s="26">
        <f t="shared" si="9"/>
        <v>720</v>
      </c>
      <c r="L106" s="27" t="s">
        <v>74</v>
      </c>
      <c r="M106" s="26"/>
    </row>
    <row r="107" s="12" customFormat="1" spans="1:13">
      <c r="A107" s="24">
        <v>45479</v>
      </c>
      <c r="B107" s="25" t="s">
        <v>70</v>
      </c>
      <c r="C107" s="26" t="s">
        <v>50</v>
      </c>
      <c r="D107" s="26"/>
      <c r="E107" s="26"/>
      <c r="F107" s="35" t="s">
        <v>51</v>
      </c>
      <c r="G107" s="26">
        <v>3</v>
      </c>
      <c r="H107" s="26">
        <v>25</v>
      </c>
      <c r="I107" s="26">
        <f t="shared" si="7"/>
        <v>75</v>
      </c>
      <c r="J107" s="26">
        <v>14</v>
      </c>
      <c r="K107" s="41">
        <f t="shared" si="9"/>
        <v>1050</v>
      </c>
      <c r="M107" s="26"/>
    </row>
    <row r="108" s="11" customFormat="1" spans="1:13">
      <c r="A108" s="24">
        <v>45479</v>
      </c>
      <c r="B108" s="25" t="s">
        <v>70</v>
      </c>
      <c r="C108" s="26" t="s">
        <v>19</v>
      </c>
      <c r="D108" s="26"/>
      <c r="E108" s="26"/>
      <c r="F108" s="27" t="s">
        <v>20</v>
      </c>
      <c r="G108" s="26">
        <v>2</v>
      </c>
      <c r="H108" s="26">
        <v>10</v>
      </c>
      <c r="I108" s="26">
        <f t="shared" si="7"/>
        <v>20</v>
      </c>
      <c r="J108" s="41">
        <v>18</v>
      </c>
      <c r="K108" s="41">
        <f t="shared" si="9"/>
        <v>360</v>
      </c>
      <c r="L108" s="12"/>
      <c r="M108" s="26">
        <f>SUM(K102:K108)</f>
        <v>3285.5</v>
      </c>
    </row>
    <row r="109" s="10" customFormat="1" spans="1:13">
      <c r="A109" s="34">
        <v>45479</v>
      </c>
      <c r="B109" s="29">
        <v>22</v>
      </c>
      <c r="C109" s="17" t="s">
        <v>75</v>
      </c>
      <c r="D109" s="17"/>
      <c r="E109" s="17"/>
      <c r="F109" s="33" t="s">
        <v>76</v>
      </c>
      <c r="G109" s="17">
        <v>1</v>
      </c>
      <c r="H109" s="17">
        <v>21</v>
      </c>
      <c r="I109" s="17">
        <f t="shared" ref="I109:I123" si="10">G109*H109</f>
        <v>21</v>
      </c>
      <c r="J109" s="43">
        <v>18</v>
      </c>
      <c r="K109" s="17">
        <f t="shared" si="9"/>
        <v>378</v>
      </c>
      <c r="L109" s="9" t="s">
        <v>77</v>
      </c>
      <c r="M109" s="13"/>
    </row>
    <row r="110" s="12" customFormat="1" spans="1:13">
      <c r="A110" s="24">
        <v>45481</v>
      </c>
      <c r="B110" s="25">
        <v>23</v>
      </c>
      <c r="C110" s="26" t="s">
        <v>50</v>
      </c>
      <c r="D110" s="26"/>
      <c r="E110" s="26"/>
      <c r="F110" s="35" t="s">
        <v>51</v>
      </c>
      <c r="G110" s="26">
        <v>10</v>
      </c>
      <c r="H110" s="26">
        <v>25</v>
      </c>
      <c r="I110" s="26">
        <f t="shared" si="10"/>
        <v>250</v>
      </c>
      <c r="J110" s="41">
        <v>14</v>
      </c>
      <c r="K110" s="41">
        <f t="shared" si="9"/>
        <v>3500</v>
      </c>
      <c r="M110" s="26"/>
    </row>
    <row r="111" s="11" customFormat="1" spans="1:13">
      <c r="A111" s="24">
        <v>45481</v>
      </c>
      <c r="B111" s="25">
        <v>23</v>
      </c>
      <c r="C111" s="30" t="s">
        <v>75</v>
      </c>
      <c r="D111" s="30"/>
      <c r="E111" s="30"/>
      <c r="F111" s="27" t="s">
        <v>76</v>
      </c>
      <c r="G111" s="26">
        <v>2</v>
      </c>
      <c r="H111" s="26">
        <v>21</v>
      </c>
      <c r="I111" s="26">
        <f t="shared" si="10"/>
        <v>42</v>
      </c>
      <c r="J111" s="41">
        <v>18</v>
      </c>
      <c r="K111" s="41">
        <f t="shared" si="9"/>
        <v>756</v>
      </c>
      <c r="L111" s="9" t="s">
        <v>77</v>
      </c>
      <c r="M111" s="12"/>
    </row>
    <row r="112" s="11" customFormat="1" spans="1:13">
      <c r="A112" s="24">
        <v>45481</v>
      </c>
      <c r="B112" s="25">
        <v>23</v>
      </c>
      <c r="C112" s="26" t="s">
        <v>19</v>
      </c>
      <c r="D112" s="26"/>
      <c r="E112" s="26"/>
      <c r="F112" s="27" t="s">
        <v>20</v>
      </c>
      <c r="G112" s="26">
        <v>6</v>
      </c>
      <c r="H112" s="26">
        <v>10</v>
      </c>
      <c r="I112" s="26">
        <f t="shared" si="10"/>
        <v>60</v>
      </c>
      <c r="J112" s="41">
        <v>18</v>
      </c>
      <c r="K112" s="41">
        <f t="shared" si="9"/>
        <v>1080</v>
      </c>
      <c r="L112" s="12"/>
      <c r="M112" s="26">
        <f>SUM(K110:K112)</f>
        <v>5336</v>
      </c>
    </row>
    <row r="113" s="10" customFormat="1" spans="1:13">
      <c r="A113" s="34">
        <v>45482</v>
      </c>
      <c r="B113" s="29">
        <v>28</v>
      </c>
      <c r="C113" s="17" t="s">
        <v>78</v>
      </c>
      <c r="D113" s="17"/>
      <c r="E113" s="17"/>
      <c r="F113" s="33" t="s">
        <v>76</v>
      </c>
      <c r="G113" s="17">
        <v>1</v>
      </c>
      <c r="H113" s="17">
        <v>21</v>
      </c>
      <c r="I113" s="17">
        <f t="shared" si="10"/>
        <v>21</v>
      </c>
      <c r="J113" s="43">
        <v>18</v>
      </c>
      <c r="K113" s="43">
        <f t="shared" si="9"/>
        <v>378</v>
      </c>
      <c r="L113" s="44" t="s">
        <v>79</v>
      </c>
      <c r="M113" s="13"/>
    </row>
    <row r="114" s="10" customFormat="1" spans="1:13">
      <c r="A114" s="34">
        <v>45482</v>
      </c>
      <c r="B114" s="29">
        <v>28</v>
      </c>
      <c r="C114" s="17"/>
      <c r="D114" s="17"/>
      <c r="E114" s="17"/>
      <c r="F114" s="33" t="s">
        <v>80</v>
      </c>
      <c r="G114" s="17">
        <v>1</v>
      </c>
      <c r="H114" s="17">
        <v>4</v>
      </c>
      <c r="I114" s="17">
        <f t="shared" si="10"/>
        <v>4</v>
      </c>
      <c r="J114" s="43">
        <v>18</v>
      </c>
      <c r="K114" s="43">
        <f t="shared" si="9"/>
        <v>72</v>
      </c>
      <c r="L114" s="13"/>
      <c r="M114" s="17">
        <f>SUM(K113:K114)</f>
        <v>450</v>
      </c>
    </row>
    <row r="115" s="11" customFormat="1" spans="1:13">
      <c r="A115" s="24">
        <v>45484</v>
      </c>
      <c r="B115" s="25">
        <v>36</v>
      </c>
      <c r="C115" s="30" t="s">
        <v>75</v>
      </c>
      <c r="D115" s="30"/>
      <c r="E115" s="30"/>
      <c r="F115" s="27" t="s">
        <v>76</v>
      </c>
      <c r="G115" s="26">
        <v>2</v>
      </c>
      <c r="H115" s="26">
        <v>21</v>
      </c>
      <c r="I115" s="26">
        <f t="shared" si="10"/>
        <v>42</v>
      </c>
      <c r="J115" s="41">
        <v>18</v>
      </c>
      <c r="K115" s="41">
        <f t="shared" si="9"/>
        <v>756</v>
      </c>
      <c r="L115" s="9" t="s">
        <v>77</v>
      </c>
      <c r="M115" s="12"/>
    </row>
    <row r="116" s="11" customFormat="1" spans="1:13">
      <c r="A116" s="24">
        <v>45484</v>
      </c>
      <c r="B116" s="25">
        <v>36</v>
      </c>
      <c r="C116" s="26" t="s">
        <v>21</v>
      </c>
      <c r="D116" s="26"/>
      <c r="E116" s="26"/>
      <c r="F116" s="27" t="s">
        <v>22</v>
      </c>
      <c r="G116" s="26">
        <v>1</v>
      </c>
      <c r="H116" s="26">
        <v>20</v>
      </c>
      <c r="I116" s="26">
        <f t="shared" si="10"/>
        <v>20</v>
      </c>
      <c r="J116" s="41">
        <v>18</v>
      </c>
      <c r="K116" s="41">
        <f t="shared" si="9"/>
        <v>360</v>
      </c>
      <c r="L116" s="12"/>
      <c r="M116" s="26"/>
    </row>
    <row r="117" s="11" customFormat="1" spans="1:13">
      <c r="A117" s="24">
        <v>45484</v>
      </c>
      <c r="B117" s="25">
        <v>36</v>
      </c>
      <c r="C117" s="26" t="s">
        <v>19</v>
      </c>
      <c r="D117" s="26"/>
      <c r="E117" s="26"/>
      <c r="F117" s="27" t="s">
        <v>20</v>
      </c>
      <c r="G117" s="26">
        <v>3</v>
      </c>
      <c r="H117" s="26">
        <v>10</v>
      </c>
      <c r="I117" s="26">
        <f t="shared" si="10"/>
        <v>30</v>
      </c>
      <c r="J117" s="41">
        <v>18</v>
      </c>
      <c r="K117" s="41">
        <f t="shared" si="9"/>
        <v>540</v>
      </c>
      <c r="L117" s="12"/>
      <c r="M117" s="26">
        <f>SUM(K115:K117)</f>
        <v>1656</v>
      </c>
    </row>
    <row r="118" s="13" customFormat="1" spans="1:13">
      <c r="A118" s="34">
        <v>45486</v>
      </c>
      <c r="B118" s="29">
        <v>50</v>
      </c>
      <c r="C118" s="17" t="s">
        <v>50</v>
      </c>
      <c r="D118" s="17"/>
      <c r="E118" s="17"/>
      <c r="F118" s="37" t="s">
        <v>51</v>
      </c>
      <c r="G118" s="17">
        <v>10</v>
      </c>
      <c r="H118" s="17">
        <v>25</v>
      </c>
      <c r="I118" s="17">
        <f t="shared" si="10"/>
        <v>250</v>
      </c>
      <c r="J118" s="43">
        <v>14</v>
      </c>
      <c r="K118" s="43">
        <f t="shared" si="9"/>
        <v>3500</v>
      </c>
      <c r="M118" s="17"/>
    </row>
    <row r="119" s="11" customFormat="1" spans="1:13">
      <c r="A119" s="24">
        <v>45486</v>
      </c>
      <c r="B119" s="25">
        <v>52</v>
      </c>
      <c r="C119" s="26" t="s">
        <v>75</v>
      </c>
      <c r="D119" s="26"/>
      <c r="E119" s="26"/>
      <c r="F119" s="27" t="s">
        <v>76</v>
      </c>
      <c r="G119" s="26">
        <v>3</v>
      </c>
      <c r="H119" s="26">
        <v>21</v>
      </c>
      <c r="I119" s="26">
        <f t="shared" si="10"/>
        <v>63</v>
      </c>
      <c r="J119" s="41">
        <v>18</v>
      </c>
      <c r="K119" s="41">
        <f t="shared" si="9"/>
        <v>1134</v>
      </c>
      <c r="L119" s="11" t="s">
        <v>77</v>
      </c>
      <c r="M119" s="12"/>
    </row>
    <row r="120" s="11" customFormat="1" spans="1:13">
      <c r="A120" s="24">
        <v>45486</v>
      </c>
      <c r="B120" s="25">
        <v>52</v>
      </c>
      <c r="C120" s="26" t="s">
        <v>19</v>
      </c>
      <c r="D120" s="26"/>
      <c r="E120" s="26"/>
      <c r="F120" s="27" t="s">
        <v>20</v>
      </c>
      <c r="G120" s="26">
        <v>3</v>
      </c>
      <c r="H120" s="26">
        <v>10</v>
      </c>
      <c r="I120" s="26">
        <f t="shared" si="10"/>
        <v>30</v>
      </c>
      <c r="J120" s="41">
        <v>18</v>
      </c>
      <c r="K120" s="41">
        <f t="shared" si="9"/>
        <v>540</v>
      </c>
      <c r="L120" s="12"/>
      <c r="M120" s="26"/>
    </row>
    <row r="121" s="11" customFormat="1" spans="1:13">
      <c r="A121" s="24">
        <v>45486</v>
      </c>
      <c r="B121" s="25">
        <v>52</v>
      </c>
      <c r="C121" s="26">
        <v>9803</v>
      </c>
      <c r="D121" s="26"/>
      <c r="E121" s="26"/>
      <c r="F121" s="27" t="s">
        <v>13</v>
      </c>
      <c r="G121" s="26">
        <v>10</v>
      </c>
      <c r="H121" s="26">
        <v>28</v>
      </c>
      <c r="I121" s="26">
        <f t="shared" si="10"/>
        <v>280</v>
      </c>
      <c r="J121" s="26">
        <v>9</v>
      </c>
      <c r="K121" s="26">
        <f t="shared" si="9"/>
        <v>2520</v>
      </c>
      <c r="L121" s="39">
        <v>9804</v>
      </c>
      <c r="M121" s="26">
        <f>SUM(K119:K121)</f>
        <v>4194</v>
      </c>
    </row>
    <row r="122" s="10" customFormat="1" spans="1:13">
      <c r="A122" s="34">
        <v>45488</v>
      </c>
      <c r="B122" s="29">
        <v>53</v>
      </c>
      <c r="C122" s="17" t="s">
        <v>81</v>
      </c>
      <c r="D122" s="17"/>
      <c r="E122" s="17"/>
      <c r="F122" s="33" t="s">
        <v>82</v>
      </c>
      <c r="G122" s="17">
        <v>1</v>
      </c>
      <c r="H122" s="17">
        <v>21</v>
      </c>
      <c r="I122" s="17">
        <f t="shared" si="10"/>
        <v>21</v>
      </c>
      <c r="J122" s="43">
        <v>18</v>
      </c>
      <c r="K122" s="43">
        <f t="shared" si="9"/>
        <v>378</v>
      </c>
      <c r="L122" s="13"/>
      <c r="M122" s="17"/>
    </row>
    <row r="123" s="10" customFormat="1" spans="1:13">
      <c r="A123" s="34">
        <v>45488</v>
      </c>
      <c r="B123" s="29">
        <v>53</v>
      </c>
      <c r="C123" s="17" t="s">
        <v>19</v>
      </c>
      <c r="D123" s="17"/>
      <c r="E123" s="17"/>
      <c r="F123" s="33" t="s">
        <v>20</v>
      </c>
      <c r="G123" s="17">
        <v>1</v>
      </c>
      <c r="H123" s="17">
        <v>10</v>
      </c>
      <c r="I123" s="17">
        <f t="shared" si="10"/>
        <v>10</v>
      </c>
      <c r="J123" s="43">
        <v>18</v>
      </c>
      <c r="K123" s="43">
        <f t="shared" si="9"/>
        <v>180</v>
      </c>
      <c r="L123" s="13"/>
      <c r="M123" s="17">
        <f>SUM(K122:K123)</f>
        <v>558</v>
      </c>
    </row>
    <row r="124" s="9" customFormat="1" spans="1:13">
      <c r="A124" s="45">
        <v>45493</v>
      </c>
      <c r="B124" s="46"/>
      <c r="C124" s="30" t="s">
        <v>83</v>
      </c>
      <c r="D124" s="30"/>
      <c r="E124" s="30"/>
      <c r="F124" s="47" t="s">
        <v>84</v>
      </c>
      <c r="G124" s="30"/>
      <c r="H124" s="30"/>
      <c r="I124" s="30"/>
      <c r="J124" s="48"/>
      <c r="K124" s="48"/>
      <c r="L124" s="15"/>
      <c r="M124" s="30"/>
    </row>
    <row r="125" s="9" customFormat="1" spans="1:13">
      <c r="A125" s="45">
        <v>45493</v>
      </c>
      <c r="B125" s="46"/>
      <c r="C125" s="30" t="s">
        <v>85</v>
      </c>
      <c r="D125" s="30"/>
      <c r="E125" s="30"/>
      <c r="F125" s="47" t="s">
        <v>84</v>
      </c>
      <c r="G125" s="30"/>
      <c r="H125" s="30"/>
      <c r="I125" s="30"/>
      <c r="J125" s="48"/>
      <c r="K125" s="48"/>
      <c r="L125" s="15"/>
      <c r="M125" s="30"/>
    </row>
    <row r="126" s="9" customFormat="1" spans="1:13">
      <c r="A126" s="45">
        <v>45493</v>
      </c>
      <c r="B126" s="46"/>
      <c r="C126" s="30" t="s">
        <v>86</v>
      </c>
      <c r="D126" s="30"/>
      <c r="E126" s="30"/>
      <c r="F126" s="31" t="s">
        <v>87</v>
      </c>
      <c r="G126" s="30"/>
      <c r="H126" s="30"/>
      <c r="I126" s="30"/>
      <c r="J126" s="48"/>
      <c r="K126" s="48"/>
      <c r="L126" s="15"/>
      <c r="M126" s="30"/>
    </row>
    <row r="127" s="9" customFormat="1" spans="1:13">
      <c r="A127" s="45">
        <v>45493</v>
      </c>
      <c r="B127" s="46"/>
      <c r="C127" s="30" t="s">
        <v>88</v>
      </c>
      <c r="D127" s="30"/>
      <c r="E127" s="30"/>
      <c r="F127" s="31" t="s">
        <v>89</v>
      </c>
      <c r="G127" s="30"/>
      <c r="H127" s="30"/>
      <c r="I127" s="30"/>
      <c r="J127" s="48"/>
      <c r="K127" s="48"/>
      <c r="L127" s="15"/>
      <c r="M127" s="30"/>
    </row>
    <row r="128" s="9" customFormat="1" spans="1:13">
      <c r="A128" s="45">
        <v>45493</v>
      </c>
      <c r="B128" s="46"/>
      <c r="C128" s="30" t="s">
        <v>90</v>
      </c>
      <c r="D128" s="30"/>
      <c r="E128" s="30"/>
      <c r="F128" s="31" t="s">
        <v>91</v>
      </c>
      <c r="G128" s="30"/>
      <c r="H128" s="30"/>
      <c r="I128" s="30"/>
      <c r="J128" s="48"/>
      <c r="K128" s="48"/>
      <c r="L128" s="15"/>
      <c r="M128" s="30"/>
    </row>
    <row r="129" s="14" customFormat="1" spans="1:13">
      <c r="A129" s="49">
        <v>45496</v>
      </c>
      <c r="B129" s="50" t="s">
        <v>92</v>
      </c>
      <c r="C129" s="51" t="s">
        <v>90</v>
      </c>
      <c r="D129" s="51"/>
      <c r="E129" s="51"/>
      <c r="F129" s="52" t="s">
        <v>93</v>
      </c>
      <c r="G129" s="51">
        <v>1</v>
      </c>
      <c r="H129" s="51">
        <v>2</v>
      </c>
      <c r="I129" s="51">
        <f t="shared" ref="I129:I134" si="11">G129*H129</f>
        <v>2</v>
      </c>
      <c r="J129" s="53">
        <v>18</v>
      </c>
      <c r="K129" s="53"/>
      <c r="L129" s="54"/>
      <c r="M129" s="51"/>
    </row>
    <row r="130" s="11" customFormat="1" spans="1:13">
      <c r="A130" s="24">
        <v>45497</v>
      </c>
      <c r="B130" s="25">
        <v>70</v>
      </c>
      <c r="C130" s="26" t="s">
        <v>25</v>
      </c>
      <c r="D130" s="26"/>
      <c r="E130" s="26"/>
      <c r="F130" s="27" t="s">
        <v>26</v>
      </c>
      <c r="G130" s="26">
        <v>5</v>
      </c>
      <c r="H130" s="26">
        <v>22</v>
      </c>
      <c r="I130" s="26">
        <f t="shared" si="11"/>
        <v>110</v>
      </c>
      <c r="J130" s="41">
        <v>12</v>
      </c>
      <c r="K130" s="41">
        <f t="shared" ref="K130:K134" si="12">I130*J130</f>
        <v>1320</v>
      </c>
      <c r="L130" s="12"/>
      <c r="M130" s="26"/>
    </row>
    <row r="131" s="10" customFormat="1" spans="1:13">
      <c r="A131" s="34">
        <v>45500</v>
      </c>
      <c r="B131" s="29">
        <v>83</v>
      </c>
      <c r="C131" s="17" t="s">
        <v>23</v>
      </c>
      <c r="D131" s="17"/>
      <c r="E131" s="17"/>
      <c r="F131" s="33" t="s">
        <v>24</v>
      </c>
      <c r="G131" s="17">
        <v>1</v>
      </c>
      <c r="H131" s="17">
        <v>25</v>
      </c>
      <c r="I131" s="17">
        <f t="shared" si="11"/>
        <v>25</v>
      </c>
      <c r="J131" s="43">
        <v>18</v>
      </c>
      <c r="K131" s="17">
        <f t="shared" si="12"/>
        <v>450</v>
      </c>
      <c r="L131" s="13"/>
      <c r="M131" s="26"/>
    </row>
    <row r="132" s="10" customFormat="1" spans="1:13">
      <c r="A132" s="34">
        <v>45500</v>
      </c>
      <c r="B132" s="29">
        <v>83</v>
      </c>
      <c r="C132" s="17" t="s">
        <v>21</v>
      </c>
      <c r="D132" s="17"/>
      <c r="E132" s="17"/>
      <c r="F132" s="33" t="s">
        <v>22</v>
      </c>
      <c r="G132" s="17">
        <v>1</v>
      </c>
      <c r="H132" s="17">
        <v>20</v>
      </c>
      <c r="I132" s="17">
        <f t="shared" si="11"/>
        <v>20</v>
      </c>
      <c r="J132" s="43">
        <v>18</v>
      </c>
      <c r="K132" s="43">
        <f t="shared" si="12"/>
        <v>360</v>
      </c>
      <c r="L132" s="13"/>
      <c r="M132" s="26"/>
    </row>
    <row r="133" s="10" customFormat="1" spans="1:13">
      <c r="A133" s="34">
        <v>45500</v>
      </c>
      <c r="B133" s="29">
        <v>83</v>
      </c>
      <c r="C133" s="17" t="s">
        <v>19</v>
      </c>
      <c r="D133" s="17"/>
      <c r="E133" s="17"/>
      <c r="F133" s="33" t="s">
        <v>20</v>
      </c>
      <c r="G133" s="17">
        <v>2</v>
      </c>
      <c r="H133" s="17">
        <v>10</v>
      </c>
      <c r="I133" s="17">
        <f t="shared" si="11"/>
        <v>20</v>
      </c>
      <c r="J133" s="43">
        <v>18</v>
      </c>
      <c r="K133" s="43">
        <f t="shared" si="12"/>
        <v>360</v>
      </c>
      <c r="L133" s="13"/>
      <c r="M133" s="26"/>
    </row>
    <row r="134" s="10" customFormat="1" spans="1:13">
      <c r="A134" s="34">
        <v>45500</v>
      </c>
      <c r="B134" s="29">
        <v>83</v>
      </c>
      <c r="C134" s="17" t="s">
        <v>52</v>
      </c>
      <c r="D134" s="17"/>
      <c r="E134" s="17"/>
      <c r="F134" s="33" t="s">
        <v>12</v>
      </c>
      <c r="G134" s="17">
        <v>1</v>
      </c>
      <c r="H134" s="17">
        <v>180</v>
      </c>
      <c r="I134" s="17">
        <f t="shared" si="11"/>
        <v>180</v>
      </c>
      <c r="J134" s="17">
        <v>10.5</v>
      </c>
      <c r="K134" s="17">
        <f t="shared" si="12"/>
        <v>1890</v>
      </c>
      <c r="L134" s="13"/>
      <c r="M134" s="17">
        <f>SUM(K131:K134)</f>
        <v>3060</v>
      </c>
    </row>
    <row r="135" s="11" customFormat="1" spans="1:13">
      <c r="A135" s="45" t="s">
        <v>94</v>
      </c>
      <c r="B135" s="46"/>
      <c r="C135" s="30" t="s">
        <v>95</v>
      </c>
      <c r="D135" s="30"/>
      <c r="E135" s="30"/>
      <c r="F135" s="31" t="s">
        <v>96</v>
      </c>
      <c r="G135" s="26"/>
      <c r="H135" s="26"/>
      <c r="I135" s="26"/>
      <c r="J135" s="41"/>
      <c r="K135" s="41"/>
      <c r="L135" s="12"/>
      <c r="M135" s="26"/>
    </row>
    <row r="136" s="11" customFormat="1" spans="1:13">
      <c r="A136" s="45" t="s">
        <v>94</v>
      </c>
      <c r="B136" s="46"/>
      <c r="C136" s="30" t="s">
        <v>95</v>
      </c>
      <c r="D136" s="30"/>
      <c r="E136" s="30"/>
      <c r="F136" s="31" t="s">
        <v>97</v>
      </c>
      <c r="G136" s="26"/>
      <c r="H136" s="26"/>
      <c r="I136" s="26"/>
      <c r="J136" s="41"/>
      <c r="K136" s="41"/>
      <c r="L136" s="12"/>
      <c r="M136" s="26"/>
    </row>
    <row r="137" s="11" customFormat="1" spans="1:13">
      <c r="A137" s="45" t="s">
        <v>94</v>
      </c>
      <c r="B137" s="46"/>
      <c r="C137" s="30" t="s">
        <v>95</v>
      </c>
      <c r="D137" s="30"/>
      <c r="E137" s="30"/>
      <c r="F137" s="31" t="s">
        <v>98</v>
      </c>
      <c r="G137" s="26"/>
      <c r="H137" s="26"/>
      <c r="I137" s="26"/>
      <c r="J137" s="41"/>
      <c r="K137" s="41"/>
      <c r="L137" s="12"/>
      <c r="M137" s="26"/>
    </row>
    <row r="138" s="11" customFormat="1" spans="1:13">
      <c r="A138" s="45" t="s">
        <v>94</v>
      </c>
      <c r="B138" s="46"/>
      <c r="C138" s="30" t="s">
        <v>95</v>
      </c>
      <c r="D138" s="30"/>
      <c r="E138" s="30"/>
      <c r="F138" s="31" t="s">
        <v>99</v>
      </c>
      <c r="G138" s="26"/>
      <c r="H138" s="26"/>
      <c r="I138" s="26"/>
      <c r="J138" s="41"/>
      <c r="K138" s="41"/>
      <c r="L138" s="12"/>
      <c r="M138" s="26"/>
    </row>
    <row r="139" s="13" customFormat="1" spans="1:13">
      <c r="A139" s="34">
        <v>45514</v>
      </c>
      <c r="B139" s="46"/>
      <c r="C139" s="17" t="s">
        <v>25</v>
      </c>
      <c r="D139" s="17"/>
      <c r="E139" s="17"/>
      <c r="F139" s="37" t="s">
        <v>26</v>
      </c>
      <c r="G139" s="17">
        <v>3</v>
      </c>
      <c r="H139" s="17">
        <v>22</v>
      </c>
      <c r="I139" s="17">
        <f t="shared" ref="I139:I174" si="13">G139*H139</f>
        <v>66</v>
      </c>
      <c r="J139" s="17"/>
      <c r="K139" s="17">
        <f t="shared" ref="K139:K147" si="14">I139*J139</f>
        <v>0</v>
      </c>
      <c r="L139" s="13" t="s">
        <v>100</v>
      </c>
      <c r="M139" s="17"/>
    </row>
    <row r="140" s="11" customFormat="1" spans="1:13">
      <c r="A140" s="24">
        <v>45518</v>
      </c>
      <c r="B140" s="25">
        <v>42</v>
      </c>
      <c r="C140" s="26">
        <v>813</v>
      </c>
      <c r="D140" s="26"/>
      <c r="E140" s="26"/>
      <c r="F140" s="27" t="s">
        <v>101</v>
      </c>
      <c r="G140" s="26">
        <v>3</v>
      </c>
      <c r="H140" s="26">
        <v>26</v>
      </c>
      <c r="I140" s="26">
        <f t="shared" si="13"/>
        <v>78</v>
      </c>
      <c r="J140" s="41">
        <v>18</v>
      </c>
      <c r="K140" s="41">
        <f t="shared" si="14"/>
        <v>1404</v>
      </c>
      <c r="L140" s="12"/>
      <c r="M140" s="26"/>
    </row>
    <row r="141" s="11" customFormat="1" spans="1:13">
      <c r="A141" s="24">
        <v>45518</v>
      </c>
      <c r="B141" s="25">
        <v>42</v>
      </c>
      <c r="C141" s="26">
        <v>812</v>
      </c>
      <c r="D141" s="26"/>
      <c r="E141" s="26"/>
      <c r="F141" s="27" t="s">
        <v>102</v>
      </c>
      <c r="G141" s="26">
        <v>2</v>
      </c>
      <c r="H141" s="26">
        <v>23</v>
      </c>
      <c r="I141" s="26">
        <f t="shared" si="13"/>
        <v>46</v>
      </c>
      <c r="J141" s="41">
        <v>18</v>
      </c>
      <c r="K141" s="41">
        <f t="shared" si="14"/>
        <v>828</v>
      </c>
      <c r="L141" s="12"/>
      <c r="M141" s="26"/>
    </row>
    <row r="142" s="11" customFormat="1" spans="1:13">
      <c r="A142" s="24">
        <v>45518</v>
      </c>
      <c r="B142" s="25">
        <v>42</v>
      </c>
      <c r="C142" s="26" t="s">
        <v>19</v>
      </c>
      <c r="D142" s="26"/>
      <c r="E142" s="26"/>
      <c r="F142" s="27" t="s">
        <v>20</v>
      </c>
      <c r="G142" s="26">
        <v>6</v>
      </c>
      <c r="H142" s="26">
        <v>10</v>
      </c>
      <c r="I142" s="26">
        <f t="shared" si="13"/>
        <v>60</v>
      </c>
      <c r="J142" s="41">
        <v>18</v>
      </c>
      <c r="K142" s="41">
        <f t="shared" si="14"/>
        <v>1080</v>
      </c>
      <c r="L142" s="12"/>
      <c r="M142" s="26"/>
    </row>
    <row r="143" s="10" customFormat="1" spans="1:13">
      <c r="A143" s="34">
        <v>45520</v>
      </c>
      <c r="B143" s="29">
        <v>54</v>
      </c>
      <c r="C143" s="17">
        <v>9803</v>
      </c>
      <c r="D143" s="17"/>
      <c r="E143" s="17"/>
      <c r="F143" s="33" t="s">
        <v>13</v>
      </c>
      <c r="G143" s="17">
        <v>10</v>
      </c>
      <c r="H143" s="17">
        <v>28</v>
      </c>
      <c r="I143" s="17">
        <f t="shared" si="13"/>
        <v>280</v>
      </c>
      <c r="J143" s="17">
        <v>9</v>
      </c>
      <c r="K143" s="17">
        <f t="shared" si="14"/>
        <v>2520</v>
      </c>
      <c r="L143" s="40">
        <v>9804</v>
      </c>
      <c r="M143" s="17">
        <f>SUM(K141:K143)</f>
        <v>4428</v>
      </c>
    </row>
    <row r="144" s="11" customFormat="1" spans="1:13">
      <c r="A144" s="24">
        <v>45520</v>
      </c>
      <c r="B144" s="25">
        <v>57</v>
      </c>
      <c r="C144" s="26" t="s">
        <v>103</v>
      </c>
      <c r="D144" s="26"/>
      <c r="E144" s="26"/>
      <c r="F144" s="27" t="s">
        <v>104</v>
      </c>
      <c r="G144" s="26">
        <v>1</v>
      </c>
      <c r="H144" s="26">
        <v>25</v>
      </c>
      <c r="I144" s="26">
        <f t="shared" si="13"/>
        <v>25</v>
      </c>
      <c r="J144" s="26">
        <v>18</v>
      </c>
      <c r="K144" s="26">
        <f t="shared" si="14"/>
        <v>450</v>
      </c>
      <c r="L144" s="12"/>
      <c r="M144" s="26"/>
    </row>
    <row r="145" s="11" customFormat="1" spans="1:13">
      <c r="A145" s="24">
        <v>45520</v>
      </c>
      <c r="B145" s="25">
        <v>57</v>
      </c>
      <c r="C145" s="26" t="s">
        <v>19</v>
      </c>
      <c r="D145" s="26"/>
      <c r="E145" s="26"/>
      <c r="F145" s="27" t="s">
        <v>20</v>
      </c>
      <c r="G145" s="26">
        <v>1</v>
      </c>
      <c r="H145" s="26">
        <v>10</v>
      </c>
      <c r="I145" s="26">
        <f t="shared" si="13"/>
        <v>10</v>
      </c>
      <c r="J145" s="26">
        <v>18</v>
      </c>
      <c r="K145" s="26">
        <f t="shared" si="14"/>
        <v>180</v>
      </c>
      <c r="L145" s="12"/>
      <c r="M145" s="26">
        <f>SUM(K144:K145)</f>
        <v>630</v>
      </c>
    </row>
    <row r="146" s="10" customFormat="1" spans="1:13">
      <c r="A146" s="34">
        <v>45521</v>
      </c>
      <c r="B146" s="29">
        <v>58</v>
      </c>
      <c r="C146" s="17" t="s">
        <v>105</v>
      </c>
      <c r="D146" s="17"/>
      <c r="E146" s="17"/>
      <c r="F146" s="33" t="s">
        <v>106</v>
      </c>
      <c r="G146" s="17">
        <v>1</v>
      </c>
      <c r="H146" s="17">
        <v>21</v>
      </c>
      <c r="I146" s="17">
        <f t="shared" si="13"/>
        <v>21</v>
      </c>
      <c r="J146" s="17">
        <v>18</v>
      </c>
      <c r="K146" s="17">
        <f t="shared" si="14"/>
        <v>378</v>
      </c>
      <c r="L146" s="13" t="s">
        <v>107</v>
      </c>
      <c r="M146" s="17"/>
    </row>
    <row r="147" s="9" customFormat="1" spans="1:13">
      <c r="A147" s="45">
        <v>45523</v>
      </c>
      <c r="B147" s="46"/>
      <c r="C147" s="30" t="s">
        <v>108</v>
      </c>
      <c r="D147" s="30"/>
      <c r="E147" s="30"/>
      <c r="F147" s="31" t="s">
        <v>109</v>
      </c>
      <c r="G147" s="30">
        <v>1</v>
      </c>
      <c r="H147" s="30">
        <v>1</v>
      </c>
      <c r="I147" s="30">
        <f t="shared" si="13"/>
        <v>1</v>
      </c>
      <c r="J147" s="30"/>
      <c r="K147" s="30"/>
      <c r="L147" s="15" t="s">
        <v>110</v>
      </c>
      <c r="M147" s="30"/>
    </row>
    <row r="148" s="11" customFormat="1" spans="1:13">
      <c r="A148" s="24">
        <v>45524</v>
      </c>
      <c r="B148" s="25">
        <v>70</v>
      </c>
      <c r="C148" s="26" t="s">
        <v>103</v>
      </c>
      <c r="D148" s="26"/>
      <c r="E148" s="26"/>
      <c r="F148" s="27" t="s">
        <v>111</v>
      </c>
      <c r="G148" s="26">
        <v>2</v>
      </c>
      <c r="H148" s="26">
        <v>25</v>
      </c>
      <c r="I148" s="26">
        <f t="shared" si="13"/>
        <v>50</v>
      </c>
      <c r="J148" s="26">
        <v>18</v>
      </c>
      <c r="K148" s="26">
        <f t="shared" ref="K148:K209" si="15">I148*J148</f>
        <v>900</v>
      </c>
      <c r="L148" s="12" t="s">
        <v>112</v>
      </c>
      <c r="M148" s="26"/>
    </row>
    <row r="149" s="11" customFormat="1" spans="1:13">
      <c r="A149" s="24">
        <v>45524</v>
      </c>
      <c r="B149" s="25">
        <v>70</v>
      </c>
      <c r="C149" s="26" t="s">
        <v>19</v>
      </c>
      <c r="D149" s="26"/>
      <c r="E149" s="26"/>
      <c r="F149" s="27" t="s">
        <v>20</v>
      </c>
      <c r="G149" s="26">
        <v>2</v>
      </c>
      <c r="H149" s="26">
        <v>10</v>
      </c>
      <c r="I149" s="26">
        <f t="shared" si="13"/>
        <v>20</v>
      </c>
      <c r="J149" s="26">
        <v>18</v>
      </c>
      <c r="K149" s="26">
        <f t="shared" si="15"/>
        <v>360</v>
      </c>
      <c r="L149" s="12"/>
      <c r="M149" s="26">
        <f>SUM(K148:K149)</f>
        <v>1260</v>
      </c>
    </row>
    <row r="150" s="10" customFormat="1" spans="1:13">
      <c r="A150" s="34">
        <v>45530</v>
      </c>
      <c r="B150" s="29">
        <v>81</v>
      </c>
      <c r="C150" s="17" t="s">
        <v>21</v>
      </c>
      <c r="D150" s="17"/>
      <c r="E150" s="17"/>
      <c r="F150" s="33" t="s">
        <v>22</v>
      </c>
      <c r="G150" s="17">
        <v>1</v>
      </c>
      <c r="H150" s="17">
        <v>20</v>
      </c>
      <c r="I150" s="17">
        <f t="shared" si="13"/>
        <v>20</v>
      </c>
      <c r="J150" s="43">
        <v>18</v>
      </c>
      <c r="K150" s="43">
        <f t="shared" si="15"/>
        <v>360</v>
      </c>
      <c r="L150" s="13"/>
      <c r="M150" s="26"/>
    </row>
    <row r="151" s="10" customFormat="1" spans="1:13">
      <c r="A151" s="34">
        <v>45530</v>
      </c>
      <c r="B151" s="29">
        <v>81</v>
      </c>
      <c r="C151" s="17" t="s">
        <v>19</v>
      </c>
      <c r="D151" s="17"/>
      <c r="E151" s="17"/>
      <c r="F151" s="33" t="s">
        <v>20</v>
      </c>
      <c r="G151" s="17">
        <v>1</v>
      </c>
      <c r="H151" s="17">
        <v>10</v>
      </c>
      <c r="I151" s="17">
        <f t="shared" si="13"/>
        <v>10</v>
      </c>
      <c r="J151" s="43">
        <v>18</v>
      </c>
      <c r="K151" s="43">
        <f t="shared" si="15"/>
        <v>180</v>
      </c>
      <c r="L151" s="13"/>
      <c r="M151" s="26"/>
    </row>
    <row r="152" s="10" customFormat="1" spans="1:13">
      <c r="A152" s="34">
        <v>45530</v>
      </c>
      <c r="B152" s="29">
        <v>81</v>
      </c>
      <c r="C152" s="17" t="s">
        <v>105</v>
      </c>
      <c r="D152" s="17"/>
      <c r="E152" s="17"/>
      <c r="F152" s="33" t="s">
        <v>106</v>
      </c>
      <c r="G152" s="17">
        <v>-1</v>
      </c>
      <c r="H152" s="17">
        <v>20</v>
      </c>
      <c r="I152" s="17">
        <f t="shared" si="13"/>
        <v>-20</v>
      </c>
      <c r="J152" s="17">
        <v>18</v>
      </c>
      <c r="K152" s="17">
        <f t="shared" si="15"/>
        <v>-360</v>
      </c>
      <c r="L152" s="13" t="s">
        <v>113</v>
      </c>
      <c r="M152" s="17"/>
    </row>
    <row r="153" s="15" customFormat="1" spans="1:13">
      <c r="A153" s="45">
        <v>45577</v>
      </c>
      <c r="B153" s="46" t="s">
        <v>92</v>
      </c>
      <c r="C153" s="30" t="s">
        <v>114</v>
      </c>
      <c r="D153" s="30"/>
      <c r="E153" s="30"/>
      <c r="F153" s="55" t="s">
        <v>26</v>
      </c>
      <c r="G153" s="30">
        <v>1</v>
      </c>
      <c r="H153" s="30">
        <v>22</v>
      </c>
      <c r="I153" s="30">
        <f t="shared" si="13"/>
        <v>22</v>
      </c>
      <c r="J153" s="30"/>
      <c r="K153" s="30">
        <f t="shared" si="15"/>
        <v>0</v>
      </c>
      <c r="L153" s="13" t="s">
        <v>115</v>
      </c>
      <c r="M153" s="30"/>
    </row>
    <row r="154" s="12" customFormat="1" spans="1:13">
      <c r="A154" s="24">
        <v>45553</v>
      </c>
      <c r="B154" s="25">
        <v>56</v>
      </c>
      <c r="C154" s="26" t="s">
        <v>114</v>
      </c>
      <c r="D154" s="26"/>
      <c r="E154" s="26"/>
      <c r="F154" s="35" t="s">
        <v>26</v>
      </c>
      <c r="G154" s="26">
        <v>2</v>
      </c>
      <c r="H154" s="26">
        <v>22</v>
      </c>
      <c r="I154" s="26">
        <f t="shared" si="13"/>
        <v>44</v>
      </c>
      <c r="J154" s="41">
        <v>12</v>
      </c>
      <c r="K154" s="41">
        <f t="shared" si="15"/>
        <v>528</v>
      </c>
      <c r="L154" s="12" t="s">
        <v>116</v>
      </c>
      <c r="M154" s="26"/>
    </row>
    <row r="155" s="11" customFormat="1" spans="1:13">
      <c r="A155" s="24">
        <v>45553</v>
      </c>
      <c r="B155" s="25">
        <v>56</v>
      </c>
      <c r="C155" s="26" t="s">
        <v>103</v>
      </c>
      <c r="D155" s="26"/>
      <c r="E155" s="26"/>
      <c r="F155" s="27" t="s">
        <v>111</v>
      </c>
      <c r="G155" s="26">
        <v>2</v>
      </c>
      <c r="H155" s="26">
        <v>25</v>
      </c>
      <c r="I155" s="26">
        <f t="shared" si="13"/>
        <v>50</v>
      </c>
      <c r="J155" s="41">
        <v>18</v>
      </c>
      <c r="K155" s="41">
        <f t="shared" si="15"/>
        <v>900</v>
      </c>
      <c r="L155" s="12" t="s">
        <v>112</v>
      </c>
      <c r="M155" s="26"/>
    </row>
    <row r="156" s="11" customFormat="1" spans="1:13">
      <c r="A156" s="24">
        <v>45553</v>
      </c>
      <c r="B156" s="25">
        <v>56</v>
      </c>
      <c r="C156" s="26" t="s">
        <v>19</v>
      </c>
      <c r="D156" s="26"/>
      <c r="E156" s="26"/>
      <c r="F156" s="27" t="s">
        <v>20</v>
      </c>
      <c r="G156" s="26">
        <v>7</v>
      </c>
      <c r="H156" s="26">
        <v>10</v>
      </c>
      <c r="I156" s="26">
        <f t="shared" si="13"/>
        <v>70</v>
      </c>
      <c r="J156" s="41">
        <v>18</v>
      </c>
      <c r="K156" s="41">
        <f t="shared" si="15"/>
        <v>1260</v>
      </c>
      <c r="L156" s="12"/>
      <c r="M156" s="26"/>
    </row>
    <row r="157" s="11" customFormat="1" spans="1:13">
      <c r="A157" s="24">
        <v>45553</v>
      </c>
      <c r="B157" s="25">
        <v>56</v>
      </c>
      <c r="C157" s="26" t="s">
        <v>21</v>
      </c>
      <c r="D157" s="26"/>
      <c r="E157" s="26"/>
      <c r="F157" s="27" t="s">
        <v>22</v>
      </c>
      <c r="G157" s="26">
        <v>2</v>
      </c>
      <c r="H157" s="26">
        <v>20</v>
      </c>
      <c r="I157" s="26">
        <f t="shared" si="13"/>
        <v>40</v>
      </c>
      <c r="J157" s="41">
        <v>18</v>
      </c>
      <c r="K157" s="41">
        <f t="shared" si="15"/>
        <v>720</v>
      </c>
      <c r="L157" s="12"/>
      <c r="M157" s="26"/>
    </row>
    <row r="158" s="11" customFormat="1" spans="1:13">
      <c r="A158" s="24">
        <v>45553</v>
      </c>
      <c r="B158" s="25">
        <v>56</v>
      </c>
      <c r="C158" s="26" t="s">
        <v>23</v>
      </c>
      <c r="D158" s="26"/>
      <c r="E158" s="26"/>
      <c r="F158" s="27" t="s">
        <v>24</v>
      </c>
      <c r="G158" s="26">
        <v>2</v>
      </c>
      <c r="H158" s="26">
        <v>25</v>
      </c>
      <c r="I158" s="26">
        <f t="shared" si="13"/>
        <v>50</v>
      </c>
      <c r="J158" s="41">
        <v>18</v>
      </c>
      <c r="K158" s="41">
        <f t="shared" si="15"/>
        <v>900</v>
      </c>
      <c r="L158" s="12"/>
      <c r="M158" s="26"/>
    </row>
    <row r="159" s="11" customFormat="1" spans="1:13">
      <c r="A159" s="24">
        <v>45553</v>
      </c>
      <c r="B159" s="25">
        <v>56</v>
      </c>
      <c r="C159" s="26" t="s">
        <v>52</v>
      </c>
      <c r="D159" s="26"/>
      <c r="E159" s="26"/>
      <c r="F159" s="27" t="s">
        <v>12</v>
      </c>
      <c r="G159" s="26">
        <v>1</v>
      </c>
      <c r="H159" s="26">
        <v>180</v>
      </c>
      <c r="I159" s="26">
        <f t="shared" si="13"/>
        <v>180</v>
      </c>
      <c r="J159" s="41">
        <v>10.5</v>
      </c>
      <c r="K159" s="41">
        <f t="shared" si="15"/>
        <v>1890</v>
      </c>
      <c r="L159" s="12"/>
      <c r="M159" s="26">
        <f>SUM(K154:K159)</f>
        <v>6198</v>
      </c>
    </row>
    <row r="160" s="13" customFormat="1" spans="1:13">
      <c r="A160" s="34">
        <v>45554</v>
      </c>
      <c r="B160" s="29">
        <v>58</v>
      </c>
      <c r="C160" s="17" t="s">
        <v>25</v>
      </c>
      <c r="D160" s="17"/>
      <c r="E160" s="17"/>
      <c r="F160" s="37" t="s">
        <v>26</v>
      </c>
      <c r="G160" s="17">
        <v>2</v>
      </c>
      <c r="H160" s="17">
        <v>22</v>
      </c>
      <c r="I160" s="17">
        <f t="shared" si="13"/>
        <v>44</v>
      </c>
      <c r="J160" s="43">
        <v>12</v>
      </c>
      <c r="K160" s="43">
        <f t="shared" si="15"/>
        <v>528</v>
      </c>
      <c r="L160" s="36"/>
      <c r="M160" s="17"/>
    </row>
    <row r="161" s="12" customFormat="1" spans="1:13">
      <c r="A161" s="24">
        <v>45556</v>
      </c>
      <c r="B161" s="25">
        <v>68</v>
      </c>
      <c r="C161" s="24">
        <v>45555</v>
      </c>
      <c r="D161" s="26"/>
      <c r="E161" s="26"/>
      <c r="F161" s="35" t="s">
        <v>117</v>
      </c>
      <c r="G161" s="26">
        <v>1</v>
      </c>
      <c r="H161" s="26">
        <v>18</v>
      </c>
      <c r="I161" s="26">
        <f t="shared" si="13"/>
        <v>18</v>
      </c>
      <c r="J161" s="41">
        <v>6</v>
      </c>
      <c r="K161" s="41">
        <f t="shared" si="15"/>
        <v>108</v>
      </c>
      <c r="L161" s="12" t="s">
        <v>118</v>
      </c>
      <c r="M161" s="19" t="s">
        <v>119</v>
      </c>
    </row>
    <row r="162" s="11" customFormat="1" spans="1:13">
      <c r="A162" s="24">
        <v>45556</v>
      </c>
      <c r="B162" s="25">
        <v>68</v>
      </c>
      <c r="C162" s="26">
        <v>9803</v>
      </c>
      <c r="D162" s="26"/>
      <c r="E162" s="26"/>
      <c r="F162" s="27" t="s">
        <v>13</v>
      </c>
      <c r="G162" s="26">
        <v>10</v>
      </c>
      <c r="H162" s="26">
        <v>28</v>
      </c>
      <c r="I162" s="26">
        <f t="shared" si="13"/>
        <v>280</v>
      </c>
      <c r="J162" s="41">
        <v>9</v>
      </c>
      <c r="K162" s="41">
        <f t="shared" si="15"/>
        <v>2520</v>
      </c>
      <c r="L162" s="39">
        <v>9804</v>
      </c>
      <c r="M162" s="26"/>
    </row>
    <row r="163" s="13" customFormat="1" spans="1:13">
      <c r="A163" s="34">
        <v>45565</v>
      </c>
      <c r="B163" s="29">
        <v>102</v>
      </c>
      <c r="C163" s="17">
        <v>1871</v>
      </c>
      <c r="D163" s="17"/>
      <c r="E163" s="17"/>
      <c r="F163" s="37" t="s">
        <v>120</v>
      </c>
      <c r="G163" s="17">
        <v>1</v>
      </c>
      <c r="H163" s="17">
        <v>4</v>
      </c>
      <c r="I163" s="17">
        <f t="shared" si="13"/>
        <v>4</v>
      </c>
      <c r="J163" s="43">
        <v>14</v>
      </c>
      <c r="K163" s="43">
        <f t="shared" si="15"/>
        <v>56</v>
      </c>
      <c r="L163" s="36" t="s">
        <v>121</v>
      </c>
      <c r="M163" s="17"/>
    </row>
    <row r="164" s="10" customFormat="1" spans="1:13">
      <c r="A164" s="34">
        <v>45565</v>
      </c>
      <c r="B164" s="29">
        <v>102</v>
      </c>
      <c r="C164" s="17">
        <v>9803</v>
      </c>
      <c r="D164" s="17"/>
      <c r="E164" s="17"/>
      <c r="F164" s="33" t="s">
        <v>13</v>
      </c>
      <c r="G164" s="17">
        <v>5</v>
      </c>
      <c r="H164" s="17">
        <v>28</v>
      </c>
      <c r="I164" s="17">
        <f t="shared" si="13"/>
        <v>140</v>
      </c>
      <c r="J164" s="43">
        <v>9</v>
      </c>
      <c r="K164" s="43">
        <f t="shared" si="15"/>
        <v>1260</v>
      </c>
      <c r="L164" s="40">
        <v>9804</v>
      </c>
      <c r="M164" s="17"/>
    </row>
    <row r="165" s="11" customFormat="1" spans="1:13">
      <c r="A165" s="24">
        <v>45565</v>
      </c>
      <c r="B165" s="25">
        <v>103</v>
      </c>
      <c r="C165" s="26" t="s">
        <v>103</v>
      </c>
      <c r="D165" s="26"/>
      <c r="E165" s="26"/>
      <c r="F165" s="27" t="s">
        <v>111</v>
      </c>
      <c r="G165" s="26">
        <v>2</v>
      </c>
      <c r="H165" s="26">
        <v>25</v>
      </c>
      <c r="I165" s="26">
        <f t="shared" si="13"/>
        <v>50</v>
      </c>
      <c r="J165" s="41">
        <v>18</v>
      </c>
      <c r="K165" s="41">
        <f t="shared" si="15"/>
        <v>900</v>
      </c>
      <c r="L165" s="12" t="s">
        <v>112</v>
      </c>
      <c r="M165" s="26"/>
    </row>
    <row r="166" s="11" customFormat="1" spans="1:13">
      <c r="A166" s="24">
        <v>45565</v>
      </c>
      <c r="B166" s="25">
        <v>103</v>
      </c>
      <c r="C166" s="26" t="s">
        <v>19</v>
      </c>
      <c r="D166" s="26"/>
      <c r="E166" s="26"/>
      <c r="F166" s="27" t="s">
        <v>20</v>
      </c>
      <c r="G166" s="26">
        <v>2</v>
      </c>
      <c r="H166" s="26">
        <v>10</v>
      </c>
      <c r="I166" s="26">
        <f t="shared" si="13"/>
        <v>20</v>
      </c>
      <c r="J166" s="41">
        <v>18</v>
      </c>
      <c r="K166" s="41">
        <f t="shared" si="15"/>
        <v>360</v>
      </c>
      <c r="L166" s="12"/>
      <c r="M166" s="26"/>
    </row>
    <row r="167" s="13" customFormat="1" spans="1:13">
      <c r="A167" s="34">
        <v>45569</v>
      </c>
      <c r="B167" s="29">
        <v>1</v>
      </c>
      <c r="C167" s="17">
        <v>1872</v>
      </c>
      <c r="D167" s="17"/>
      <c r="E167" s="17"/>
      <c r="F167" s="37" t="s">
        <v>122</v>
      </c>
      <c r="G167" s="17">
        <v>2</v>
      </c>
      <c r="H167" s="17">
        <v>25</v>
      </c>
      <c r="I167" s="17">
        <f t="shared" si="13"/>
        <v>50</v>
      </c>
      <c r="J167" s="43">
        <v>14</v>
      </c>
      <c r="K167" s="43">
        <f t="shared" si="15"/>
        <v>700</v>
      </c>
      <c r="L167" s="36"/>
      <c r="M167" s="17"/>
    </row>
    <row r="168" s="13" customFormat="1" spans="1:13">
      <c r="A168" s="34">
        <v>45569</v>
      </c>
      <c r="B168" s="29">
        <v>1</v>
      </c>
      <c r="C168" s="17" t="s">
        <v>123</v>
      </c>
      <c r="D168" s="17"/>
      <c r="E168" s="17"/>
      <c r="F168" s="37" t="s">
        <v>68</v>
      </c>
      <c r="G168" s="17">
        <v>2</v>
      </c>
      <c r="H168" s="17">
        <v>20</v>
      </c>
      <c r="I168" s="17">
        <f t="shared" si="13"/>
        <v>40</v>
      </c>
      <c r="J168" s="43">
        <v>18</v>
      </c>
      <c r="K168" s="43">
        <f t="shared" si="15"/>
        <v>720</v>
      </c>
      <c r="L168" s="36"/>
      <c r="M168" s="17"/>
    </row>
    <row r="169" s="12" customFormat="1" spans="1:13">
      <c r="A169" s="24">
        <v>45571</v>
      </c>
      <c r="B169" s="25">
        <v>5</v>
      </c>
      <c r="C169" s="26">
        <v>1872</v>
      </c>
      <c r="D169" s="26"/>
      <c r="E169" s="26"/>
      <c r="F169" s="35" t="s">
        <v>122</v>
      </c>
      <c r="G169" s="26">
        <v>2</v>
      </c>
      <c r="H169" s="26">
        <v>25</v>
      </c>
      <c r="I169" s="26">
        <f t="shared" si="13"/>
        <v>50</v>
      </c>
      <c r="J169" s="41">
        <v>14</v>
      </c>
      <c r="K169" s="41">
        <f t="shared" si="15"/>
        <v>700</v>
      </c>
      <c r="L169" s="20" t="s">
        <v>124</v>
      </c>
      <c r="M169" s="26"/>
    </row>
    <row r="170" s="12" customFormat="1" spans="1:13">
      <c r="A170" s="24">
        <v>45571</v>
      </c>
      <c r="B170" s="25">
        <v>5</v>
      </c>
      <c r="C170" s="26" t="s">
        <v>123</v>
      </c>
      <c r="D170" s="26"/>
      <c r="E170" s="26"/>
      <c r="F170" s="35" t="s">
        <v>68</v>
      </c>
      <c r="G170" s="26">
        <v>1</v>
      </c>
      <c r="H170" s="26">
        <v>20</v>
      </c>
      <c r="I170" s="26">
        <f t="shared" si="13"/>
        <v>20</v>
      </c>
      <c r="J170" s="41">
        <v>18</v>
      </c>
      <c r="K170" s="41">
        <f t="shared" si="15"/>
        <v>360</v>
      </c>
      <c r="L170" s="20" t="s">
        <v>125</v>
      </c>
      <c r="M170" s="26"/>
    </row>
    <row r="171" s="12" customFormat="1" spans="1:13">
      <c r="A171" s="24">
        <v>45571</v>
      </c>
      <c r="B171" s="25">
        <v>5</v>
      </c>
      <c r="C171" s="24"/>
      <c r="D171" s="26"/>
      <c r="E171" s="26"/>
      <c r="F171" s="35" t="s">
        <v>117</v>
      </c>
      <c r="G171" s="26">
        <v>1</v>
      </c>
      <c r="H171" s="26">
        <v>18</v>
      </c>
      <c r="I171" s="26">
        <f t="shared" si="13"/>
        <v>18</v>
      </c>
      <c r="J171" s="41">
        <v>6</v>
      </c>
      <c r="K171" s="41">
        <f t="shared" si="15"/>
        <v>108</v>
      </c>
      <c r="L171" s="12" t="s">
        <v>118</v>
      </c>
      <c r="M171" s="19" t="s">
        <v>119</v>
      </c>
    </row>
    <row r="172" s="13" customFormat="1" spans="1:13">
      <c r="A172" s="34">
        <v>45577</v>
      </c>
      <c r="B172" s="29">
        <v>30</v>
      </c>
      <c r="C172" s="17" t="s">
        <v>25</v>
      </c>
      <c r="D172" s="17"/>
      <c r="E172" s="17"/>
      <c r="F172" s="37" t="s">
        <v>26</v>
      </c>
      <c r="G172" s="17">
        <v>1</v>
      </c>
      <c r="H172" s="17">
        <v>22</v>
      </c>
      <c r="I172" s="17">
        <f t="shared" si="13"/>
        <v>22</v>
      </c>
      <c r="J172" s="43">
        <v>12</v>
      </c>
      <c r="K172" s="43">
        <f t="shared" si="15"/>
        <v>264</v>
      </c>
      <c r="M172" s="17"/>
    </row>
    <row r="173" s="10" customFormat="1" spans="1:13">
      <c r="A173" s="34">
        <v>45577</v>
      </c>
      <c r="B173" s="29">
        <v>30</v>
      </c>
      <c r="C173" s="17">
        <v>9803</v>
      </c>
      <c r="D173" s="17"/>
      <c r="E173" s="17"/>
      <c r="F173" s="33" t="s">
        <v>13</v>
      </c>
      <c r="G173" s="17">
        <v>10</v>
      </c>
      <c r="H173" s="17">
        <v>28</v>
      </c>
      <c r="I173" s="17">
        <f t="shared" si="13"/>
        <v>280</v>
      </c>
      <c r="J173" s="43">
        <v>9</v>
      </c>
      <c r="K173" s="43">
        <f t="shared" si="15"/>
        <v>2520</v>
      </c>
      <c r="L173" s="40">
        <v>9804</v>
      </c>
      <c r="M173" s="17"/>
    </row>
    <row r="174" s="13" customFormat="1" spans="1:13">
      <c r="A174" s="34">
        <v>45577</v>
      </c>
      <c r="B174" s="29">
        <v>30</v>
      </c>
      <c r="C174" s="17" t="s">
        <v>50</v>
      </c>
      <c r="D174" s="17"/>
      <c r="E174" s="17"/>
      <c r="F174" s="37" t="s">
        <v>51</v>
      </c>
      <c r="G174" s="17">
        <v>2</v>
      </c>
      <c r="H174" s="17">
        <v>25</v>
      </c>
      <c r="I174" s="17">
        <f t="shared" si="13"/>
        <v>50</v>
      </c>
      <c r="J174" s="43">
        <v>14</v>
      </c>
      <c r="K174" s="43">
        <f t="shared" si="15"/>
        <v>700</v>
      </c>
      <c r="L174" s="36"/>
      <c r="M174" s="17">
        <f>SUM(K172:K174)</f>
        <v>3484</v>
      </c>
    </row>
    <row r="175" s="11" customFormat="1" spans="1:13">
      <c r="A175" s="24">
        <v>45581</v>
      </c>
      <c r="B175" s="25">
        <v>44</v>
      </c>
      <c r="C175" s="26" t="s">
        <v>15</v>
      </c>
      <c r="D175" s="26"/>
      <c r="E175" s="26"/>
      <c r="F175" s="27" t="s">
        <v>16</v>
      </c>
      <c r="G175" s="26">
        <v>1</v>
      </c>
      <c r="H175" s="26">
        <v>10</v>
      </c>
      <c r="I175" s="26">
        <f t="shared" ref="I175:I209" si="16">G175*H175</f>
        <v>10</v>
      </c>
      <c r="J175" s="41">
        <v>18</v>
      </c>
      <c r="K175" s="41">
        <f t="shared" si="15"/>
        <v>180</v>
      </c>
      <c r="L175" s="12"/>
      <c r="M175" s="26"/>
    </row>
    <row r="176" s="11" customFormat="1" spans="1:13">
      <c r="A176" s="24">
        <v>45581</v>
      </c>
      <c r="B176" s="25">
        <v>44</v>
      </c>
      <c r="C176" s="26" t="s">
        <v>21</v>
      </c>
      <c r="D176" s="26"/>
      <c r="E176" s="26"/>
      <c r="F176" s="27" t="s">
        <v>22</v>
      </c>
      <c r="G176" s="26">
        <v>2</v>
      </c>
      <c r="H176" s="26">
        <v>20</v>
      </c>
      <c r="I176" s="26">
        <f t="shared" si="16"/>
        <v>40</v>
      </c>
      <c r="J176" s="41">
        <v>18</v>
      </c>
      <c r="K176" s="41">
        <f t="shared" si="15"/>
        <v>720</v>
      </c>
      <c r="L176" s="12"/>
      <c r="M176" s="26"/>
    </row>
    <row r="177" s="11" customFormat="1" spans="1:13">
      <c r="A177" s="24">
        <v>45581</v>
      </c>
      <c r="B177" s="25">
        <v>44</v>
      </c>
      <c r="C177" s="26">
        <v>709</v>
      </c>
      <c r="D177" s="26"/>
      <c r="E177" s="26"/>
      <c r="F177" s="27" t="s">
        <v>29</v>
      </c>
      <c r="G177" s="26">
        <v>1</v>
      </c>
      <c r="H177" s="26">
        <v>26</v>
      </c>
      <c r="I177" s="26">
        <f t="shared" si="16"/>
        <v>26</v>
      </c>
      <c r="J177" s="41">
        <v>18</v>
      </c>
      <c r="K177" s="41">
        <f t="shared" si="15"/>
        <v>468</v>
      </c>
      <c r="L177" s="12"/>
      <c r="M177" s="26"/>
    </row>
    <row r="178" s="11" customFormat="1" spans="1:13">
      <c r="A178" s="24">
        <v>45581</v>
      </c>
      <c r="B178" s="25">
        <v>44</v>
      </c>
      <c r="C178" s="26" t="s">
        <v>23</v>
      </c>
      <c r="D178" s="26"/>
      <c r="E178" s="26"/>
      <c r="F178" s="27" t="s">
        <v>24</v>
      </c>
      <c r="G178" s="26">
        <v>2</v>
      </c>
      <c r="H178" s="26">
        <v>25</v>
      </c>
      <c r="I178" s="26">
        <f t="shared" si="16"/>
        <v>50</v>
      </c>
      <c r="J178" s="41">
        <v>18</v>
      </c>
      <c r="K178" s="41">
        <f t="shared" si="15"/>
        <v>900</v>
      </c>
      <c r="L178" s="12"/>
      <c r="M178" s="26"/>
    </row>
    <row r="179" s="11" customFormat="1" spans="1:13">
      <c r="A179" s="24">
        <v>45581</v>
      </c>
      <c r="B179" s="25">
        <v>44</v>
      </c>
      <c r="C179" s="26" t="s">
        <v>19</v>
      </c>
      <c r="D179" s="26"/>
      <c r="E179" s="26"/>
      <c r="F179" s="27" t="s">
        <v>20</v>
      </c>
      <c r="G179" s="26">
        <v>6</v>
      </c>
      <c r="H179" s="26">
        <v>10</v>
      </c>
      <c r="I179" s="26">
        <f t="shared" si="16"/>
        <v>60</v>
      </c>
      <c r="J179" s="41">
        <v>18</v>
      </c>
      <c r="K179" s="41">
        <f t="shared" si="15"/>
        <v>1080</v>
      </c>
      <c r="L179" s="12"/>
      <c r="M179" s="26">
        <f>SUM(K175:K180)</f>
        <v>3876</v>
      </c>
    </row>
    <row r="180" s="12" customFormat="1" spans="1:13">
      <c r="A180" s="24">
        <v>45581</v>
      </c>
      <c r="B180" s="25">
        <v>44</v>
      </c>
      <c r="C180" s="26" t="s">
        <v>25</v>
      </c>
      <c r="D180" s="26"/>
      <c r="E180" s="26"/>
      <c r="F180" s="35" t="s">
        <v>26</v>
      </c>
      <c r="G180" s="26">
        <v>2</v>
      </c>
      <c r="H180" s="26">
        <v>22</v>
      </c>
      <c r="I180" s="26">
        <f t="shared" si="16"/>
        <v>44</v>
      </c>
      <c r="J180" s="41">
        <v>12</v>
      </c>
      <c r="K180" s="41">
        <f t="shared" si="15"/>
        <v>528</v>
      </c>
      <c r="M180" s="26"/>
    </row>
    <row r="181" s="10" customFormat="1" spans="1:13">
      <c r="A181" s="34">
        <v>45586</v>
      </c>
      <c r="B181" s="29">
        <v>57</v>
      </c>
      <c r="C181" s="17" t="s">
        <v>52</v>
      </c>
      <c r="D181" s="17"/>
      <c r="E181" s="17"/>
      <c r="F181" s="33" t="s">
        <v>12</v>
      </c>
      <c r="G181" s="17">
        <v>1</v>
      </c>
      <c r="H181" s="17">
        <v>180</v>
      </c>
      <c r="I181" s="17">
        <f t="shared" si="16"/>
        <v>180</v>
      </c>
      <c r="J181" s="43">
        <v>10.5</v>
      </c>
      <c r="K181" s="43">
        <f t="shared" si="15"/>
        <v>1890</v>
      </c>
      <c r="L181" s="13"/>
      <c r="M181" s="17">
        <f>K181</f>
        <v>1890</v>
      </c>
    </row>
    <row r="182" s="11" customFormat="1" spans="1:13">
      <c r="A182" s="24">
        <v>45586</v>
      </c>
      <c r="B182" s="25">
        <v>59</v>
      </c>
      <c r="C182" s="26" t="s">
        <v>103</v>
      </c>
      <c r="D182" s="26"/>
      <c r="E182" s="26"/>
      <c r="F182" s="27" t="s">
        <v>111</v>
      </c>
      <c r="G182" s="26">
        <v>3</v>
      </c>
      <c r="H182" s="26">
        <v>25</v>
      </c>
      <c r="I182" s="26">
        <f t="shared" si="16"/>
        <v>75</v>
      </c>
      <c r="J182" s="41">
        <v>18</v>
      </c>
      <c r="K182" s="41">
        <f t="shared" si="15"/>
        <v>1350</v>
      </c>
      <c r="L182" s="12"/>
      <c r="M182" s="26"/>
    </row>
    <row r="183" s="11" customFormat="1" spans="1:13">
      <c r="A183" s="24">
        <v>45586</v>
      </c>
      <c r="B183" s="25">
        <v>59</v>
      </c>
      <c r="C183" s="26" t="s">
        <v>19</v>
      </c>
      <c r="D183" s="26"/>
      <c r="E183" s="26"/>
      <c r="F183" s="27" t="s">
        <v>20</v>
      </c>
      <c r="G183" s="26">
        <v>3</v>
      </c>
      <c r="H183" s="26">
        <v>10</v>
      </c>
      <c r="I183" s="26">
        <f t="shared" si="16"/>
        <v>30</v>
      </c>
      <c r="J183" s="41">
        <v>18</v>
      </c>
      <c r="K183" s="41">
        <f t="shared" si="15"/>
        <v>540</v>
      </c>
      <c r="L183" s="12"/>
      <c r="M183" s="26"/>
    </row>
    <row r="184" s="12" customFormat="1" spans="1:13">
      <c r="A184" s="24">
        <v>45586</v>
      </c>
      <c r="B184" s="25">
        <v>59</v>
      </c>
      <c r="C184" s="24"/>
      <c r="D184" s="26"/>
      <c r="E184" s="26"/>
      <c r="F184" s="35" t="s">
        <v>126</v>
      </c>
      <c r="G184" s="26">
        <v>1</v>
      </c>
      <c r="H184" s="26">
        <v>18</v>
      </c>
      <c r="I184" s="26">
        <f t="shared" si="16"/>
        <v>18</v>
      </c>
      <c r="J184" s="41">
        <v>6</v>
      </c>
      <c r="K184" s="41">
        <f t="shared" si="15"/>
        <v>108</v>
      </c>
      <c r="M184" s="19"/>
    </row>
    <row r="185" s="12" customFormat="1" spans="1:13">
      <c r="A185" s="24">
        <v>45586</v>
      </c>
      <c r="B185" s="25">
        <v>59</v>
      </c>
      <c r="C185" s="30">
        <v>1872</v>
      </c>
      <c r="D185" s="30"/>
      <c r="E185" s="30"/>
      <c r="F185" s="55" t="s">
        <v>122</v>
      </c>
      <c r="G185" s="30">
        <v>-1</v>
      </c>
      <c r="H185" s="30">
        <v>29</v>
      </c>
      <c r="I185" s="30">
        <f t="shared" si="16"/>
        <v>-29</v>
      </c>
      <c r="J185" s="48">
        <v>14</v>
      </c>
      <c r="K185" s="48">
        <f t="shared" si="15"/>
        <v>-406</v>
      </c>
      <c r="L185" s="12" t="s">
        <v>127</v>
      </c>
      <c r="M185" s="19"/>
    </row>
    <row r="186" s="12" customFormat="1" spans="1:13">
      <c r="A186" s="24">
        <v>45586</v>
      </c>
      <c r="B186" s="25">
        <v>59</v>
      </c>
      <c r="C186" s="30" t="s">
        <v>123</v>
      </c>
      <c r="D186" s="30"/>
      <c r="E186" s="30"/>
      <c r="F186" s="55" t="s">
        <v>68</v>
      </c>
      <c r="G186" s="30">
        <v>-1</v>
      </c>
      <c r="H186" s="30">
        <v>47</v>
      </c>
      <c r="I186" s="30">
        <f t="shared" si="16"/>
        <v>-47</v>
      </c>
      <c r="J186" s="48">
        <v>18</v>
      </c>
      <c r="K186" s="48">
        <f t="shared" si="15"/>
        <v>-846</v>
      </c>
      <c r="L186" s="12" t="s">
        <v>127</v>
      </c>
      <c r="M186" s="19">
        <f>SUM(K182:K186)</f>
        <v>746</v>
      </c>
    </row>
    <row r="187" s="10" customFormat="1" spans="1:13">
      <c r="A187" s="34">
        <v>45589</v>
      </c>
      <c r="B187" s="29">
        <v>71</v>
      </c>
      <c r="C187" s="17">
        <v>9803</v>
      </c>
      <c r="D187" s="17"/>
      <c r="E187" s="17"/>
      <c r="F187" s="33" t="s">
        <v>13</v>
      </c>
      <c r="G187" s="17">
        <v>10</v>
      </c>
      <c r="H187" s="17">
        <v>28</v>
      </c>
      <c r="I187" s="17">
        <f t="shared" si="16"/>
        <v>280</v>
      </c>
      <c r="J187" s="43">
        <v>9</v>
      </c>
      <c r="K187" s="43">
        <f t="shared" si="15"/>
        <v>2520</v>
      </c>
      <c r="L187" s="40">
        <v>9804</v>
      </c>
      <c r="M187" s="17"/>
    </row>
    <row r="188" s="13" customFormat="1" spans="1:13">
      <c r="A188" s="34">
        <v>45589</v>
      </c>
      <c r="B188" s="29">
        <v>71</v>
      </c>
      <c r="C188" s="17" t="s">
        <v>50</v>
      </c>
      <c r="D188" s="17"/>
      <c r="E188" s="17"/>
      <c r="F188" s="37" t="s">
        <v>51</v>
      </c>
      <c r="G188" s="17">
        <v>2</v>
      </c>
      <c r="H188" s="17">
        <v>25</v>
      </c>
      <c r="I188" s="17">
        <f t="shared" si="16"/>
        <v>50</v>
      </c>
      <c r="J188" s="43">
        <v>14</v>
      </c>
      <c r="K188" s="43">
        <f t="shared" si="15"/>
        <v>700</v>
      </c>
      <c r="L188" s="36"/>
      <c r="M188" s="17">
        <f>SUM(K187:K188)</f>
        <v>3220</v>
      </c>
    </row>
    <row r="189" s="11" customFormat="1" spans="1:13">
      <c r="A189" s="24">
        <v>45601</v>
      </c>
      <c r="B189" s="25">
        <v>10</v>
      </c>
      <c r="C189" s="26">
        <v>9803</v>
      </c>
      <c r="D189" s="26"/>
      <c r="E189" s="26"/>
      <c r="F189" s="27" t="s">
        <v>13</v>
      </c>
      <c r="G189" s="26">
        <v>10</v>
      </c>
      <c r="H189" s="26">
        <v>28</v>
      </c>
      <c r="I189" s="26">
        <f t="shared" si="16"/>
        <v>280</v>
      </c>
      <c r="J189" s="41">
        <v>9</v>
      </c>
      <c r="K189" s="41">
        <f t="shared" si="15"/>
        <v>2520</v>
      </c>
      <c r="L189" s="39">
        <v>9804</v>
      </c>
      <c r="M189" s="26"/>
    </row>
    <row r="190" s="10" customFormat="1" spans="1:13">
      <c r="A190" s="34">
        <v>45604</v>
      </c>
      <c r="B190" s="29">
        <v>21</v>
      </c>
      <c r="C190" s="17" t="s">
        <v>103</v>
      </c>
      <c r="D190" s="17"/>
      <c r="E190" s="17"/>
      <c r="F190" s="33" t="s">
        <v>111</v>
      </c>
      <c r="G190" s="17">
        <v>2</v>
      </c>
      <c r="H190" s="17">
        <v>25</v>
      </c>
      <c r="I190" s="17">
        <f t="shared" si="16"/>
        <v>50</v>
      </c>
      <c r="J190" s="43">
        <v>18</v>
      </c>
      <c r="K190" s="43">
        <f t="shared" si="15"/>
        <v>900</v>
      </c>
      <c r="L190" s="13"/>
      <c r="M190" s="17"/>
    </row>
    <row r="191" s="10" customFormat="1" spans="1:13">
      <c r="A191" s="34">
        <v>45604</v>
      </c>
      <c r="B191" s="29">
        <v>21</v>
      </c>
      <c r="C191" s="17" t="s">
        <v>103</v>
      </c>
      <c r="D191" s="17"/>
      <c r="E191" s="17"/>
      <c r="F191" s="33" t="s">
        <v>111</v>
      </c>
      <c r="G191" s="17">
        <v>3</v>
      </c>
      <c r="H191" s="17">
        <v>26</v>
      </c>
      <c r="I191" s="17">
        <f t="shared" si="16"/>
        <v>78</v>
      </c>
      <c r="J191" s="43">
        <v>18</v>
      </c>
      <c r="K191" s="43">
        <f t="shared" si="15"/>
        <v>1404</v>
      </c>
      <c r="L191" s="13"/>
      <c r="M191" s="17"/>
    </row>
    <row r="192" s="10" customFormat="1" spans="1:13">
      <c r="A192" s="34">
        <v>45604</v>
      </c>
      <c r="B192" s="29">
        <v>21</v>
      </c>
      <c r="C192" s="17" t="s">
        <v>21</v>
      </c>
      <c r="D192" s="17"/>
      <c r="E192" s="17"/>
      <c r="F192" s="33" t="s">
        <v>22</v>
      </c>
      <c r="G192" s="17">
        <v>1</v>
      </c>
      <c r="H192" s="17">
        <v>20</v>
      </c>
      <c r="I192" s="17">
        <f t="shared" si="16"/>
        <v>20</v>
      </c>
      <c r="J192" s="43">
        <v>18</v>
      </c>
      <c r="K192" s="43">
        <f t="shared" si="15"/>
        <v>360</v>
      </c>
      <c r="L192" s="13"/>
      <c r="M192" s="17"/>
    </row>
    <row r="193" s="10" customFormat="1" spans="1:13">
      <c r="A193" s="34">
        <v>45604</v>
      </c>
      <c r="B193" s="29">
        <v>21</v>
      </c>
      <c r="C193" s="17" t="s">
        <v>23</v>
      </c>
      <c r="D193" s="17"/>
      <c r="E193" s="17"/>
      <c r="F193" s="33" t="s">
        <v>24</v>
      </c>
      <c r="G193" s="17">
        <v>1</v>
      </c>
      <c r="H193" s="17">
        <v>25</v>
      </c>
      <c r="I193" s="17">
        <f t="shared" si="16"/>
        <v>25</v>
      </c>
      <c r="J193" s="43">
        <v>18</v>
      </c>
      <c r="K193" s="43">
        <f t="shared" si="15"/>
        <v>450</v>
      </c>
      <c r="L193" s="13"/>
      <c r="M193" s="17"/>
    </row>
    <row r="194" s="10" customFormat="1" spans="1:13">
      <c r="A194" s="34">
        <v>45604</v>
      </c>
      <c r="B194" s="29">
        <v>21</v>
      </c>
      <c r="C194" s="17" t="s">
        <v>19</v>
      </c>
      <c r="D194" s="17"/>
      <c r="E194" s="17"/>
      <c r="F194" s="33" t="s">
        <v>20</v>
      </c>
      <c r="G194" s="17">
        <v>7</v>
      </c>
      <c r="H194" s="17">
        <v>10</v>
      </c>
      <c r="I194" s="17">
        <f t="shared" si="16"/>
        <v>70</v>
      </c>
      <c r="J194" s="43">
        <v>18</v>
      </c>
      <c r="K194" s="43">
        <f t="shared" si="15"/>
        <v>1260</v>
      </c>
      <c r="L194" s="13"/>
      <c r="M194" s="17">
        <f>SUM(K190:K194)</f>
        <v>4374</v>
      </c>
    </row>
    <row r="195" s="11" customFormat="1" spans="1:13">
      <c r="A195" s="24">
        <v>45609</v>
      </c>
      <c r="B195" s="25">
        <v>36</v>
      </c>
      <c r="C195" s="26" t="s">
        <v>21</v>
      </c>
      <c r="D195" s="26"/>
      <c r="E195" s="26"/>
      <c r="F195" s="27" t="s">
        <v>22</v>
      </c>
      <c r="G195" s="26">
        <v>1</v>
      </c>
      <c r="H195" s="26">
        <v>20</v>
      </c>
      <c r="I195" s="26">
        <f t="shared" si="16"/>
        <v>20</v>
      </c>
      <c r="J195" s="41">
        <v>18</v>
      </c>
      <c r="K195" s="41">
        <f t="shared" si="15"/>
        <v>360</v>
      </c>
      <c r="L195" s="12"/>
      <c r="M195" s="26"/>
    </row>
    <row r="196" s="12" customFormat="1" spans="1:13">
      <c r="A196" s="24">
        <v>45609</v>
      </c>
      <c r="B196" s="25">
        <v>36</v>
      </c>
      <c r="C196" s="26" t="s">
        <v>27</v>
      </c>
      <c r="D196" s="26"/>
      <c r="E196" s="26"/>
      <c r="F196" s="27" t="s">
        <v>28</v>
      </c>
      <c r="G196" s="26">
        <v>1</v>
      </c>
      <c r="H196" s="26">
        <v>6</v>
      </c>
      <c r="I196" s="26">
        <f t="shared" si="16"/>
        <v>6</v>
      </c>
      <c r="J196" s="41">
        <v>18</v>
      </c>
      <c r="K196" s="26">
        <f t="shared" si="15"/>
        <v>108</v>
      </c>
      <c r="L196" s="20"/>
      <c r="M196" s="26"/>
    </row>
    <row r="197" s="12" customFormat="1" spans="1:13">
      <c r="A197" s="24">
        <v>45609</v>
      </c>
      <c r="B197" s="25">
        <v>36</v>
      </c>
      <c r="C197" s="26">
        <v>709</v>
      </c>
      <c r="D197" s="26"/>
      <c r="E197" s="26"/>
      <c r="F197" s="27" t="s">
        <v>29</v>
      </c>
      <c r="G197" s="26">
        <v>2</v>
      </c>
      <c r="H197" s="26">
        <v>25</v>
      </c>
      <c r="I197" s="26">
        <f t="shared" si="16"/>
        <v>50</v>
      </c>
      <c r="J197" s="41">
        <v>18</v>
      </c>
      <c r="K197" s="26">
        <f t="shared" si="15"/>
        <v>900</v>
      </c>
      <c r="L197" s="20"/>
      <c r="M197" s="26"/>
    </row>
    <row r="198" s="11" customFormat="1" spans="1:13">
      <c r="A198" s="24">
        <v>45609</v>
      </c>
      <c r="B198" s="25">
        <v>36</v>
      </c>
      <c r="C198" s="26" t="s">
        <v>19</v>
      </c>
      <c r="D198" s="26"/>
      <c r="E198" s="26"/>
      <c r="F198" s="27" t="s">
        <v>20</v>
      </c>
      <c r="G198" s="26">
        <v>3</v>
      </c>
      <c r="H198" s="26">
        <v>10</v>
      </c>
      <c r="I198" s="26">
        <f t="shared" si="16"/>
        <v>30</v>
      </c>
      <c r="J198" s="41">
        <v>18</v>
      </c>
      <c r="K198" s="41">
        <f t="shared" si="15"/>
        <v>540</v>
      </c>
      <c r="L198" s="12"/>
      <c r="M198" s="26">
        <f>SUM(K195:K198)</f>
        <v>1908</v>
      </c>
    </row>
    <row r="199" s="10" customFormat="1" spans="1:13">
      <c r="A199" s="34">
        <v>45611</v>
      </c>
      <c r="B199" s="29">
        <v>38</v>
      </c>
      <c r="C199" s="17">
        <v>9803</v>
      </c>
      <c r="D199" s="17"/>
      <c r="E199" s="17"/>
      <c r="F199" s="33" t="s">
        <v>13</v>
      </c>
      <c r="G199" s="17">
        <v>10</v>
      </c>
      <c r="H199" s="17">
        <v>28</v>
      </c>
      <c r="I199" s="17">
        <f t="shared" si="16"/>
        <v>280</v>
      </c>
      <c r="J199" s="43">
        <v>9</v>
      </c>
      <c r="K199" s="43">
        <f t="shared" si="15"/>
        <v>2520</v>
      </c>
      <c r="L199" s="40">
        <v>9804</v>
      </c>
      <c r="M199" s="17"/>
    </row>
    <row r="200" s="10" customFormat="1" spans="1:13">
      <c r="A200" s="34">
        <v>45611</v>
      </c>
      <c r="B200" s="29">
        <v>38</v>
      </c>
      <c r="C200" s="17" t="s">
        <v>23</v>
      </c>
      <c r="D200" s="17"/>
      <c r="E200" s="17"/>
      <c r="F200" s="33" t="s">
        <v>24</v>
      </c>
      <c r="G200" s="17">
        <v>1</v>
      </c>
      <c r="H200" s="17">
        <v>25</v>
      </c>
      <c r="I200" s="17">
        <f t="shared" si="16"/>
        <v>25</v>
      </c>
      <c r="J200" s="43">
        <v>18</v>
      </c>
      <c r="K200" s="43">
        <f t="shared" si="15"/>
        <v>450</v>
      </c>
      <c r="L200" s="13"/>
      <c r="M200" s="17"/>
    </row>
    <row r="201" s="12" customFormat="1" spans="1:13">
      <c r="A201" s="24">
        <v>45614</v>
      </c>
      <c r="B201" s="25">
        <v>49</v>
      </c>
      <c r="C201" s="26" t="s">
        <v>128</v>
      </c>
      <c r="D201" s="26"/>
      <c r="E201" s="26"/>
      <c r="F201" s="27" t="s">
        <v>129</v>
      </c>
      <c r="G201" s="26">
        <v>1</v>
      </c>
      <c r="H201" s="26">
        <v>1</v>
      </c>
      <c r="I201" s="26">
        <f t="shared" si="16"/>
        <v>1</v>
      </c>
      <c r="J201" s="41"/>
      <c r="K201" s="26"/>
      <c r="L201" s="20"/>
      <c r="M201" s="26"/>
    </row>
    <row r="202" s="12" customFormat="1" spans="1:13">
      <c r="A202" s="24">
        <v>45614</v>
      </c>
      <c r="B202" s="25">
        <v>49</v>
      </c>
      <c r="C202" s="26" t="s">
        <v>130</v>
      </c>
      <c r="D202" s="26"/>
      <c r="E202" s="26"/>
      <c r="F202" s="27" t="s">
        <v>131</v>
      </c>
      <c r="G202" s="26">
        <v>1</v>
      </c>
      <c r="H202" s="26">
        <v>7</v>
      </c>
      <c r="I202" s="26">
        <f t="shared" si="16"/>
        <v>7</v>
      </c>
      <c r="J202" s="41">
        <v>18</v>
      </c>
      <c r="K202" s="26">
        <f t="shared" si="15"/>
        <v>126</v>
      </c>
      <c r="L202" s="20"/>
      <c r="M202" s="26"/>
    </row>
    <row r="203" s="10" customFormat="1" spans="1:13">
      <c r="A203" s="24">
        <v>45614</v>
      </c>
      <c r="B203" s="25">
        <v>49</v>
      </c>
      <c r="C203" s="17" t="s">
        <v>52</v>
      </c>
      <c r="D203" s="17"/>
      <c r="E203" s="17"/>
      <c r="F203" s="33" t="s">
        <v>12</v>
      </c>
      <c r="G203" s="17">
        <v>1</v>
      </c>
      <c r="H203" s="17">
        <v>18</v>
      </c>
      <c r="I203" s="17">
        <f t="shared" si="16"/>
        <v>18</v>
      </c>
      <c r="J203" s="43">
        <v>10.5</v>
      </c>
      <c r="K203" s="43">
        <f t="shared" si="15"/>
        <v>189</v>
      </c>
      <c r="L203" s="13"/>
      <c r="M203" s="17">
        <f>SUM(K201:K203)</f>
        <v>315</v>
      </c>
    </row>
    <row r="204" s="11" customFormat="1" spans="1:13">
      <c r="A204" s="24">
        <v>45617</v>
      </c>
      <c r="B204" s="25">
        <v>63</v>
      </c>
      <c r="C204" s="26">
        <v>9803</v>
      </c>
      <c r="D204" s="26"/>
      <c r="E204" s="26"/>
      <c r="F204" s="27" t="s">
        <v>13</v>
      </c>
      <c r="G204" s="26">
        <v>10</v>
      </c>
      <c r="H204" s="26">
        <v>28</v>
      </c>
      <c r="I204" s="26">
        <f t="shared" si="16"/>
        <v>280</v>
      </c>
      <c r="J204" s="41">
        <v>9</v>
      </c>
      <c r="K204" s="41">
        <f t="shared" si="15"/>
        <v>2520</v>
      </c>
      <c r="L204" s="39">
        <v>9804</v>
      </c>
      <c r="M204" s="26"/>
    </row>
    <row r="205" s="9" customFormat="1" spans="1:13">
      <c r="A205" s="45">
        <v>45621</v>
      </c>
      <c r="B205" s="46">
        <v>74</v>
      </c>
      <c r="C205" s="30" t="s">
        <v>52</v>
      </c>
      <c r="D205" s="30"/>
      <c r="E205" s="30"/>
      <c r="F205" s="31" t="s">
        <v>12</v>
      </c>
      <c r="G205" s="30">
        <v>1</v>
      </c>
      <c r="H205" s="30">
        <v>180</v>
      </c>
      <c r="I205" s="30">
        <f t="shared" si="16"/>
        <v>180</v>
      </c>
      <c r="J205" s="48">
        <v>10.5</v>
      </c>
      <c r="K205" s="48">
        <f t="shared" si="15"/>
        <v>1890</v>
      </c>
      <c r="L205" s="15"/>
      <c r="M205" s="30">
        <f>K205</f>
        <v>1890</v>
      </c>
    </row>
    <row r="206" s="13" customFormat="1" spans="1:13">
      <c r="A206" s="34">
        <v>45621</v>
      </c>
      <c r="B206" s="29">
        <v>77</v>
      </c>
      <c r="C206" s="17" t="s">
        <v>50</v>
      </c>
      <c r="D206" s="17"/>
      <c r="E206" s="17"/>
      <c r="F206" s="37" t="s">
        <v>51</v>
      </c>
      <c r="G206" s="17">
        <v>4</v>
      </c>
      <c r="H206" s="17">
        <v>25</v>
      </c>
      <c r="I206" s="17">
        <f t="shared" si="16"/>
        <v>100</v>
      </c>
      <c r="J206" s="43">
        <v>14</v>
      </c>
      <c r="K206" s="43">
        <f t="shared" si="15"/>
        <v>1400</v>
      </c>
      <c r="L206" s="36"/>
      <c r="M206" s="17"/>
    </row>
    <row r="207" s="10" customFormat="1" spans="1:13">
      <c r="A207" s="34">
        <v>45621</v>
      </c>
      <c r="B207" s="29">
        <v>77</v>
      </c>
      <c r="C207" s="17" t="s">
        <v>103</v>
      </c>
      <c r="D207" s="17"/>
      <c r="E207" s="17"/>
      <c r="F207" s="33" t="s">
        <v>111</v>
      </c>
      <c r="G207" s="17">
        <v>2</v>
      </c>
      <c r="H207" s="17">
        <v>25</v>
      </c>
      <c r="I207" s="17">
        <f t="shared" ref="I207:I210" si="17">G207*H207</f>
        <v>50</v>
      </c>
      <c r="J207" s="43">
        <v>18</v>
      </c>
      <c r="K207" s="43">
        <f t="shared" ref="K207:K209" si="18">I207*J207</f>
        <v>900</v>
      </c>
      <c r="L207" s="13"/>
      <c r="M207" s="17"/>
    </row>
    <row r="208" s="10" customFormat="1" spans="1:13">
      <c r="A208" s="34">
        <v>45621</v>
      </c>
      <c r="B208" s="29">
        <v>77</v>
      </c>
      <c r="C208" s="17" t="s">
        <v>103</v>
      </c>
      <c r="D208" s="17"/>
      <c r="E208" s="17"/>
      <c r="F208" s="33" t="s">
        <v>111</v>
      </c>
      <c r="G208" s="17">
        <v>1</v>
      </c>
      <c r="H208" s="17">
        <v>26</v>
      </c>
      <c r="I208" s="17">
        <f t="shared" si="17"/>
        <v>26</v>
      </c>
      <c r="J208" s="43">
        <v>18</v>
      </c>
      <c r="K208" s="43">
        <f t="shared" si="18"/>
        <v>468</v>
      </c>
      <c r="L208" s="13"/>
      <c r="M208" s="17"/>
    </row>
    <row r="209" s="10" customFormat="1" spans="1:14">
      <c r="A209" s="34">
        <v>45621</v>
      </c>
      <c r="B209" s="29">
        <v>77</v>
      </c>
      <c r="C209" s="17" t="s">
        <v>19</v>
      </c>
      <c r="D209" s="17"/>
      <c r="E209" s="17"/>
      <c r="F209" s="33" t="s">
        <v>20</v>
      </c>
      <c r="G209" s="17">
        <v>3</v>
      </c>
      <c r="H209" s="17">
        <v>10</v>
      </c>
      <c r="I209" s="17">
        <f t="shared" si="17"/>
        <v>30</v>
      </c>
      <c r="J209" s="43">
        <v>18</v>
      </c>
      <c r="K209" s="43">
        <f t="shared" si="18"/>
        <v>540</v>
      </c>
      <c r="L209" s="13"/>
      <c r="M209" s="17"/>
    </row>
    <row r="210" s="13" customFormat="1" spans="1:14">
      <c r="A210" s="34">
        <v>45621</v>
      </c>
      <c r="B210" s="29">
        <v>77</v>
      </c>
      <c r="C210" s="17" t="s">
        <v>25</v>
      </c>
      <c r="D210" s="17"/>
      <c r="E210" s="17"/>
      <c r="F210" s="37" t="s">
        <v>26</v>
      </c>
      <c r="G210" s="17">
        <v>1</v>
      </c>
      <c r="H210" s="17">
        <v>22</v>
      </c>
      <c r="I210" s="17">
        <f t="shared" si="17"/>
        <v>22</v>
      </c>
      <c r="J210" s="43"/>
      <c r="K210" s="43"/>
      <c r="L210" s="13" t="s">
        <v>100</v>
      </c>
      <c r="M210" s="17"/>
    </row>
    <row r="211" s="13" customFormat="1" spans="1:14">
      <c r="A211" s="34">
        <v>45621</v>
      </c>
      <c r="B211" s="29">
        <v>77</v>
      </c>
      <c r="C211" s="17">
        <v>1126</v>
      </c>
      <c r="D211" s="17"/>
      <c r="E211" s="17"/>
      <c r="F211" s="37" t="s">
        <v>132</v>
      </c>
      <c r="G211" s="17">
        <v>1</v>
      </c>
      <c r="H211" s="17">
        <v>1</v>
      </c>
      <c r="I211" s="17"/>
      <c r="J211" s="43"/>
      <c r="K211" s="43"/>
      <c r="L211" s="44" t="s">
        <v>133</v>
      </c>
      <c r="M211" s="17">
        <f>SUM(K206:K211)</f>
        <v>3308</v>
      </c>
    </row>
    <row r="212" s="9" customFormat="1" spans="1:14">
      <c r="A212" s="45">
        <v>45628</v>
      </c>
      <c r="B212" s="46">
        <v>2</v>
      </c>
      <c r="C212" s="30" t="s">
        <v>134</v>
      </c>
      <c r="D212" s="30"/>
      <c r="E212" s="30"/>
      <c r="F212" s="31" t="s">
        <v>135</v>
      </c>
      <c r="G212" s="30">
        <v>1</v>
      </c>
      <c r="H212" s="30">
        <v>5</v>
      </c>
      <c r="I212" s="30">
        <f>G212*H212</f>
        <v>5</v>
      </c>
      <c r="J212" s="30">
        <v>18</v>
      </c>
      <c r="K212" s="30">
        <f t="shared" ref="K212:K221" si="19">I212*J212</f>
        <v>90</v>
      </c>
      <c r="L212" s="15" t="s">
        <v>107</v>
      </c>
      <c r="M212" s="30"/>
    </row>
    <row r="213" s="10" customFormat="1" spans="1:14">
      <c r="A213" s="34">
        <v>45632</v>
      </c>
      <c r="B213" s="29">
        <v>17</v>
      </c>
      <c r="C213" s="17" t="s">
        <v>21</v>
      </c>
      <c r="D213" s="17"/>
      <c r="E213" s="17"/>
      <c r="F213" s="33" t="s">
        <v>22</v>
      </c>
      <c r="G213" s="17">
        <v>1</v>
      </c>
      <c r="H213" s="17">
        <v>20</v>
      </c>
      <c r="I213" s="17">
        <f>G213*H213</f>
        <v>20</v>
      </c>
      <c r="J213" s="43">
        <v>18</v>
      </c>
      <c r="K213" s="43">
        <f t="shared" si="19"/>
        <v>360</v>
      </c>
      <c r="L213" s="13"/>
      <c r="M213" s="17"/>
    </row>
    <row r="214" s="10" customFormat="1" spans="1:14">
      <c r="A214" s="34">
        <v>45632</v>
      </c>
      <c r="B214" s="29">
        <v>17</v>
      </c>
      <c r="C214" s="17" t="s">
        <v>23</v>
      </c>
      <c r="D214" s="17"/>
      <c r="E214" s="17"/>
      <c r="F214" s="33" t="s">
        <v>24</v>
      </c>
      <c r="G214" s="17">
        <v>2</v>
      </c>
      <c r="H214" s="17">
        <v>25</v>
      </c>
      <c r="I214" s="17">
        <f t="shared" ref="I214:I249" si="20">G214*H214</f>
        <v>50</v>
      </c>
      <c r="J214" s="43">
        <v>18</v>
      </c>
      <c r="K214" s="43">
        <f t="shared" si="19"/>
        <v>900</v>
      </c>
      <c r="L214" s="13"/>
      <c r="M214" s="17"/>
    </row>
    <row r="215" s="10" customFormat="1" spans="1:14">
      <c r="A215" s="34">
        <v>45632</v>
      </c>
      <c r="B215" s="29">
        <v>17</v>
      </c>
      <c r="C215" s="17" t="s">
        <v>19</v>
      </c>
      <c r="D215" s="17"/>
      <c r="E215" s="17"/>
      <c r="F215" s="33" t="s">
        <v>20</v>
      </c>
      <c r="G215" s="17">
        <v>5</v>
      </c>
      <c r="H215" s="17">
        <v>10</v>
      </c>
      <c r="I215" s="17">
        <f t="shared" si="20"/>
        <v>50</v>
      </c>
      <c r="J215" s="43">
        <v>18</v>
      </c>
      <c r="K215" s="43">
        <f t="shared" si="19"/>
        <v>900</v>
      </c>
      <c r="L215" s="13"/>
      <c r="M215" s="17">
        <f>SUM(K211:K215)</f>
        <v>2250</v>
      </c>
    </row>
    <row r="216" s="11" customFormat="1" spans="1:14">
      <c r="A216" s="24">
        <v>45633</v>
      </c>
      <c r="B216" s="25">
        <v>22</v>
      </c>
      <c r="C216" s="26" t="s">
        <v>55</v>
      </c>
      <c r="D216" s="26"/>
      <c r="E216" s="26"/>
      <c r="F216" s="27" t="s">
        <v>56</v>
      </c>
      <c r="G216" s="26">
        <v>1</v>
      </c>
      <c r="H216" s="26">
        <v>17</v>
      </c>
      <c r="I216" s="26">
        <f t="shared" si="20"/>
        <v>17</v>
      </c>
      <c r="J216" s="41">
        <v>18</v>
      </c>
      <c r="K216" s="41">
        <f t="shared" si="19"/>
        <v>306</v>
      </c>
      <c r="L216" s="56" t="s">
        <v>136</v>
      </c>
      <c r="M216" s="56"/>
      <c r="N216" s="56"/>
    </row>
    <row r="217" s="11" customFormat="1" spans="1:14">
      <c r="A217" s="24">
        <v>45633</v>
      </c>
      <c r="B217" s="25">
        <v>22</v>
      </c>
      <c r="C217" s="26" t="s">
        <v>137</v>
      </c>
      <c r="D217" s="26"/>
      <c r="E217" s="26"/>
      <c r="F217" s="27" t="s">
        <v>54</v>
      </c>
      <c r="G217" s="26">
        <v>1</v>
      </c>
      <c r="H217" s="26">
        <v>10</v>
      </c>
      <c r="I217" s="26">
        <f t="shared" si="20"/>
        <v>10</v>
      </c>
      <c r="J217" s="41">
        <v>22</v>
      </c>
      <c r="K217" s="41">
        <f t="shared" si="19"/>
        <v>220</v>
      </c>
      <c r="L217" s="56" t="s">
        <v>138</v>
      </c>
      <c r="M217" s="56"/>
      <c r="N217" s="56"/>
    </row>
    <row r="218" s="11" customFormat="1" spans="1:14">
      <c r="A218" s="24">
        <v>45633</v>
      </c>
      <c r="B218" s="25">
        <v>22</v>
      </c>
      <c r="C218" s="26" t="s">
        <v>139</v>
      </c>
      <c r="D218" s="26"/>
      <c r="E218" s="26"/>
      <c r="F218" s="31" t="s">
        <v>29</v>
      </c>
      <c r="G218" s="26">
        <v>1</v>
      </c>
      <c r="H218" s="26">
        <v>5</v>
      </c>
      <c r="I218" s="26">
        <f t="shared" si="20"/>
        <v>5</v>
      </c>
      <c r="J218" s="41">
        <v>18</v>
      </c>
      <c r="K218" s="41">
        <f t="shared" si="19"/>
        <v>90</v>
      </c>
      <c r="L218" s="56"/>
      <c r="M218" s="56"/>
      <c r="N218" s="56"/>
    </row>
    <row r="219" s="11" customFormat="1" spans="1:14">
      <c r="A219" s="24">
        <v>45633</v>
      </c>
      <c r="B219" s="25">
        <v>22</v>
      </c>
      <c r="C219" s="26" t="s">
        <v>19</v>
      </c>
      <c r="D219" s="26"/>
      <c r="E219" s="26"/>
      <c r="F219" s="27" t="s">
        <v>20</v>
      </c>
      <c r="G219" s="26">
        <v>2</v>
      </c>
      <c r="H219" s="26">
        <v>10</v>
      </c>
      <c r="I219" s="26">
        <f t="shared" si="20"/>
        <v>20</v>
      </c>
      <c r="J219" s="41">
        <v>18</v>
      </c>
      <c r="K219" s="41">
        <f t="shared" si="19"/>
        <v>360</v>
      </c>
      <c r="L219" s="12"/>
      <c r="M219" s="26"/>
    </row>
    <row r="220" s="11" customFormat="1" spans="1:14">
      <c r="A220" s="24">
        <v>45633</v>
      </c>
      <c r="B220" s="25">
        <v>22</v>
      </c>
      <c r="C220" s="26">
        <v>9803</v>
      </c>
      <c r="D220" s="26"/>
      <c r="E220" s="26"/>
      <c r="F220" s="27" t="s">
        <v>13</v>
      </c>
      <c r="G220" s="26">
        <v>10</v>
      </c>
      <c r="H220" s="26">
        <v>28</v>
      </c>
      <c r="I220" s="26">
        <f t="shared" si="20"/>
        <v>280</v>
      </c>
      <c r="J220" s="41">
        <v>9</v>
      </c>
      <c r="K220" s="41">
        <f t="shared" si="19"/>
        <v>2520</v>
      </c>
      <c r="L220" s="39">
        <v>9804</v>
      </c>
      <c r="M220" s="26"/>
    </row>
    <row r="221" s="12" customFormat="1" spans="1:14">
      <c r="A221" s="24">
        <v>45633</v>
      </c>
      <c r="B221" s="25">
        <v>22</v>
      </c>
      <c r="C221" s="26" t="s">
        <v>50</v>
      </c>
      <c r="D221" s="26"/>
      <c r="E221" s="26"/>
      <c r="F221" s="35" t="s">
        <v>51</v>
      </c>
      <c r="G221" s="26">
        <v>2</v>
      </c>
      <c r="H221" s="26">
        <v>25</v>
      </c>
      <c r="I221" s="26">
        <f t="shared" si="20"/>
        <v>50</v>
      </c>
      <c r="J221" s="41">
        <v>14</v>
      </c>
      <c r="K221" s="41">
        <f t="shared" si="19"/>
        <v>700</v>
      </c>
      <c r="L221" s="20"/>
      <c r="M221" s="26">
        <f>SUM(K216:K221)</f>
        <v>4196</v>
      </c>
    </row>
    <row r="222" s="9" customFormat="1" spans="1:14">
      <c r="A222" s="45">
        <v>45636</v>
      </c>
      <c r="B222" s="46"/>
      <c r="C222" s="30" t="s">
        <v>140</v>
      </c>
      <c r="D222" s="30"/>
      <c r="E222" s="30"/>
      <c r="F222" s="31" t="s">
        <v>141</v>
      </c>
      <c r="G222" s="30">
        <v>1</v>
      </c>
      <c r="H222" s="30">
        <v>1</v>
      </c>
      <c r="I222" s="30">
        <f t="shared" si="20"/>
        <v>1</v>
      </c>
      <c r="J222" s="48"/>
      <c r="K222" s="48"/>
      <c r="L222" s="47"/>
      <c r="M222" s="47"/>
      <c r="N222" s="47"/>
    </row>
    <row r="223" s="10" customFormat="1" spans="1:14">
      <c r="A223" s="34">
        <v>45640</v>
      </c>
      <c r="B223" s="29">
        <v>47</v>
      </c>
      <c r="C223" s="17" t="s">
        <v>23</v>
      </c>
      <c r="D223" s="17"/>
      <c r="E223" s="17"/>
      <c r="F223" s="33" t="s">
        <v>24</v>
      </c>
      <c r="G223" s="17">
        <v>2</v>
      </c>
      <c r="H223" s="17">
        <v>25</v>
      </c>
      <c r="I223" s="17">
        <f t="shared" si="20"/>
        <v>50</v>
      </c>
      <c r="J223" s="43">
        <v>18</v>
      </c>
      <c r="K223" s="43">
        <f>I223*J223</f>
        <v>900</v>
      </c>
      <c r="L223" s="13"/>
      <c r="M223" s="17"/>
    </row>
    <row r="224" s="10" customFormat="1" spans="1:14">
      <c r="A224" s="34">
        <v>45640</v>
      </c>
      <c r="B224" s="29">
        <v>47</v>
      </c>
      <c r="C224" s="17" t="s">
        <v>19</v>
      </c>
      <c r="D224" s="17"/>
      <c r="E224" s="17"/>
      <c r="F224" s="33" t="s">
        <v>20</v>
      </c>
      <c r="G224" s="17">
        <v>2</v>
      </c>
      <c r="H224" s="17">
        <v>10</v>
      </c>
      <c r="I224" s="17">
        <f t="shared" si="20"/>
        <v>20</v>
      </c>
      <c r="J224" s="43">
        <v>18</v>
      </c>
      <c r="K224" s="43">
        <f>I224*J224</f>
        <v>360</v>
      </c>
      <c r="L224" s="13"/>
      <c r="M224" s="17">
        <f>SUM(K220:K224)</f>
        <v>4480</v>
      </c>
    </row>
    <row r="225" s="12" customFormat="1" spans="1:14">
      <c r="A225" s="24">
        <v>45581</v>
      </c>
      <c r="B225" s="25">
        <v>44</v>
      </c>
      <c r="C225" s="26" t="s">
        <v>25</v>
      </c>
      <c r="D225" s="26"/>
      <c r="E225" s="26"/>
      <c r="F225" s="35" t="s">
        <v>142</v>
      </c>
      <c r="G225" s="26">
        <v>2</v>
      </c>
      <c r="H225" s="26">
        <v>20</v>
      </c>
      <c r="I225" s="26">
        <f t="shared" si="20"/>
        <v>40</v>
      </c>
      <c r="J225" s="41">
        <v>12</v>
      </c>
      <c r="K225" s="41">
        <f>I225*J225</f>
        <v>480</v>
      </c>
      <c r="M225" s="26"/>
    </row>
    <row r="226" s="10" customFormat="1" spans="1:14">
      <c r="A226" s="34">
        <v>45654</v>
      </c>
      <c r="B226" s="29">
        <v>93</v>
      </c>
      <c r="C226" s="17" t="s">
        <v>103</v>
      </c>
      <c r="D226" s="17"/>
      <c r="E226" s="17"/>
      <c r="F226" s="33" t="s">
        <v>111</v>
      </c>
      <c r="G226" s="17">
        <v>2</v>
      </c>
      <c r="H226" s="17">
        <v>26</v>
      </c>
      <c r="I226" s="17">
        <f t="shared" si="20"/>
        <v>52</v>
      </c>
      <c r="J226" s="43">
        <v>18</v>
      </c>
      <c r="K226" s="43">
        <f t="shared" ref="K226:K232" si="21">I226*J226</f>
        <v>936</v>
      </c>
      <c r="L226" s="13"/>
      <c r="M226" s="17"/>
    </row>
    <row r="227" s="10" customFormat="1" spans="1:14">
      <c r="A227" s="34">
        <v>45654</v>
      </c>
      <c r="B227" s="29">
        <v>93</v>
      </c>
      <c r="C227" s="17" t="s">
        <v>143</v>
      </c>
      <c r="D227" s="17"/>
      <c r="E227" s="17"/>
      <c r="F227" s="33" t="s">
        <v>144</v>
      </c>
      <c r="G227" s="17">
        <v>1</v>
      </c>
      <c r="H227" s="17">
        <v>13</v>
      </c>
      <c r="I227" s="17">
        <f t="shared" si="20"/>
        <v>13</v>
      </c>
      <c r="J227" s="43">
        <v>18</v>
      </c>
      <c r="K227" s="43">
        <f t="shared" si="21"/>
        <v>234</v>
      </c>
      <c r="L227" s="33" t="s">
        <v>145</v>
      </c>
      <c r="M227" s="33"/>
      <c r="N227" s="33"/>
    </row>
    <row r="228" s="10" customFormat="1" spans="1:14">
      <c r="A228" s="34">
        <v>45654</v>
      </c>
      <c r="B228" s="29">
        <v>93</v>
      </c>
      <c r="C228" s="17" t="s">
        <v>143</v>
      </c>
      <c r="D228" s="17"/>
      <c r="E228" s="17"/>
      <c r="F228" s="33" t="s">
        <v>144</v>
      </c>
      <c r="G228" s="17">
        <v>1</v>
      </c>
      <c r="H228" s="17">
        <v>14</v>
      </c>
      <c r="I228" s="17">
        <f t="shared" si="20"/>
        <v>14</v>
      </c>
      <c r="J228" s="43"/>
      <c r="K228" s="43"/>
      <c r="L228" s="33" t="s">
        <v>146</v>
      </c>
      <c r="M228" s="33"/>
      <c r="N228" s="33"/>
    </row>
    <row r="229" s="10" customFormat="1" spans="1:14">
      <c r="A229" s="34">
        <v>45654</v>
      </c>
      <c r="B229" s="29">
        <v>93</v>
      </c>
      <c r="C229" s="17" t="s">
        <v>147</v>
      </c>
      <c r="D229" s="17"/>
      <c r="E229" s="17"/>
      <c r="F229" s="33" t="s">
        <v>148</v>
      </c>
      <c r="G229" s="17">
        <v>1</v>
      </c>
      <c r="H229" s="17">
        <v>21</v>
      </c>
      <c r="I229" s="17">
        <f t="shared" si="20"/>
        <v>21</v>
      </c>
      <c r="J229" s="43">
        <v>18</v>
      </c>
      <c r="K229" s="43">
        <f t="shared" si="21"/>
        <v>378</v>
      </c>
      <c r="L229" s="13"/>
      <c r="M229" s="17">
        <f>SUM(K226:K230)</f>
        <v>2448</v>
      </c>
    </row>
    <row r="230" s="10" customFormat="1" spans="1:14">
      <c r="A230" s="34">
        <v>45654</v>
      </c>
      <c r="B230" s="29">
        <v>93</v>
      </c>
      <c r="C230" s="17" t="s">
        <v>19</v>
      </c>
      <c r="D230" s="17"/>
      <c r="E230" s="17"/>
      <c r="F230" s="33" t="s">
        <v>20</v>
      </c>
      <c r="G230" s="17">
        <v>5</v>
      </c>
      <c r="H230" s="17">
        <v>10</v>
      </c>
      <c r="I230" s="17">
        <f t="shared" si="20"/>
        <v>50</v>
      </c>
      <c r="J230" s="43">
        <v>18</v>
      </c>
      <c r="K230" s="43">
        <f t="shared" si="21"/>
        <v>900</v>
      </c>
      <c r="L230" s="13"/>
      <c r="M230" s="17"/>
    </row>
    <row r="231" s="11" customFormat="1" spans="1:14">
      <c r="A231" s="24">
        <v>45656</v>
      </c>
      <c r="B231" s="25">
        <v>98</v>
      </c>
      <c r="C231" s="26">
        <v>9803</v>
      </c>
      <c r="D231" s="26"/>
      <c r="E231" s="26"/>
      <c r="F231" s="27" t="s">
        <v>13</v>
      </c>
      <c r="G231" s="26">
        <v>10</v>
      </c>
      <c r="H231" s="26">
        <v>28</v>
      </c>
      <c r="I231" s="26">
        <f t="shared" si="20"/>
        <v>280</v>
      </c>
      <c r="J231" s="41">
        <v>9</v>
      </c>
      <c r="K231" s="41">
        <f t="shared" si="21"/>
        <v>2520</v>
      </c>
      <c r="L231" s="39">
        <v>9804</v>
      </c>
      <c r="M231" s="26"/>
    </row>
    <row r="232" s="11" customFormat="1" spans="1:14">
      <c r="A232" s="24">
        <v>45656</v>
      </c>
      <c r="B232" s="25">
        <v>98</v>
      </c>
      <c r="C232" s="26" t="s">
        <v>149</v>
      </c>
      <c r="D232" s="26"/>
      <c r="E232" s="26"/>
      <c r="F232" s="27" t="s">
        <v>150</v>
      </c>
      <c r="G232" s="26">
        <v>1</v>
      </c>
      <c r="H232" s="26">
        <v>25</v>
      </c>
      <c r="I232" s="26">
        <f t="shared" si="20"/>
        <v>25</v>
      </c>
      <c r="J232" s="41">
        <v>18</v>
      </c>
      <c r="K232" s="41">
        <f t="shared" si="21"/>
        <v>450</v>
      </c>
      <c r="L232" s="12" t="s">
        <v>151</v>
      </c>
      <c r="M232" s="26"/>
    </row>
    <row r="233" s="11" customFormat="1" spans="1:14">
      <c r="A233" s="24">
        <v>45656</v>
      </c>
      <c r="B233" s="25">
        <v>98</v>
      </c>
      <c r="C233" s="26" t="s">
        <v>149</v>
      </c>
      <c r="D233" s="26"/>
      <c r="E233" s="26"/>
      <c r="F233" s="27" t="s">
        <v>150</v>
      </c>
      <c r="G233" s="26">
        <v>1</v>
      </c>
      <c r="H233" s="26">
        <v>2</v>
      </c>
      <c r="I233" s="26">
        <f t="shared" si="20"/>
        <v>2</v>
      </c>
      <c r="J233" s="41"/>
      <c r="K233" s="41"/>
      <c r="L233" s="12" t="s">
        <v>152</v>
      </c>
      <c r="M233" s="26"/>
    </row>
    <row r="234" s="15" customFormat="1" spans="1:14">
      <c r="A234" s="45">
        <v>45657</v>
      </c>
      <c r="B234" s="46">
        <v>102</v>
      </c>
      <c r="C234" s="45"/>
      <c r="D234" s="30"/>
      <c r="E234" s="30"/>
      <c r="F234" s="55" t="s">
        <v>126</v>
      </c>
      <c r="G234" s="30">
        <v>5</v>
      </c>
      <c r="H234" s="30">
        <v>18</v>
      </c>
      <c r="I234" s="30">
        <f t="shared" si="20"/>
        <v>90</v>
      </c>
      <c r="J234" s="48">
        <v>6</v>
      </c>
      <c r="K234" s="48">
        <f t="shared" ref="K234:K241" si="22">I234*J234</f>
        <v>540</v>
      </c>
      <c r="M234" s="57"/>
    </row>
    <row r="235" s="11" customFormat="1" spans="1:14">
      <c r="A235" s="24">
        <v>45664</v>
      </c>
      <c r="B235" s="25">
        <v>31</v>
      </c>
      <c r="C235" s="26" t="s">
        <v>153</v>
      </c>
      <c r="D235" s="26"/>
      <c r="E235" s="26"/>
      <c r="F235" s="27" t="s">
        <v>154</v>
      </c>
      <c r="G235" s="26">
        <v>1</v>
      </c>
      <c r="H235" s="26">
        <v>5</v>
      </c>
      <c r="I235" s="26">
        <f t="shared" si="20"/>
        <v>5</v>
      </c>
      <c r="J235" s="41">
        <v>18</v>
      </c>
      <c r="K235" s="41">
        <f t="shared" si="22"/>
        <v>90</v>
      </c>
      <c r="L235" s="12"/>
      <c r="M235" s="26"/>
    </row>
    <row r="236" s="10" customFormat="1" spans="1:14">
      <c r="A236" s="34">
        <v>45665</v>
      </c>
      <c r="B236" s="29">
        <v>34</v>
      </c>
      <c r="C236" s="17">
        <v>9803</v>
      </c>
      <c r="D236" s="17"/>
      <c r="E236" s="17"/>
      <c r="F236" s="33" t="s">
        <v>13</v>
      </c>
      <c r="G236" s="17">
        <v>10</v>
      </c>
      <c r="H236" s="17">
        <v>28</v>
      </c>
      <c r="I236" s="17">
        <f t="shared" si="20"/>
        <v>280</v>
      </c>
      <c r="J236" s="43">
        <v>9</v>
      </c>
      <c r="K236" s="43">
        <f t="shared" si="22"/>
        <v>2520</v>
      </c>
      <c r="L236" s="40">
        <v>9804</v>
      </c>
      <c r="M236" s="17"/>
    </row>
    <row r="237" s="13" customFormat="1" spans="1:14">
      <c r="A237" s="34">
        <v>45665</v>
      </c>
      <c r="B237" s="29">
        <v>34</v>
      </c>
      <c r="C237" s="34"/>
      <c r="D237" s="17"/>
      <c r="E237" s="17"/>
      <c r="F237" s="37" t="s">
        <v>126</v>
      </c>
      <c r="G237" s="17">
        <v>3</v>
      </c>
      <c r="H237" s="17">
        <v>18</v>
      </c>
      <c r="I237" s="17">
        <f t="shared" si="20"/>
        <v>54</v>
      </c>
      <c r="J237" s="43">
        <v>6</v>
      </c>
      <c r="K237" s="43">
        <f t="shared" si="22"/>
        <v>324</v>
      </c>
      <c r="M237" s="18"/>
    </row>
    <row r="238" s="11" customFormat="1" spans="1:14">
      <c r="A238" s="24">
        <v>45670</v>
      </c>
      <c r="B238" s="25">
        <v>45</v>
      </c>
      <c r="C238" s="26" t="s">
        <v>50</v>
      </c>
      <c r="D238" s="26"/>
      <c r="E238" s="26"/>
      <c r="F238" s="35" t="s">
        <v>51</v>
      </c>
      <c r="G238" s="26">
        <v>2</v>
      </c>
      <c r="H238" s="26">
        <v>25</v>
      </c>
      <c r="I238" s="26">
        <f t="shared" si="20"/>
        <v>50</v>
      </c>
      <c r="J238" s="41">
        <v>14</v>
      </c>
      <c r="K238" s="41">
        <f t="shared" si="22"/>
        <v>700</v>
      </c>
      <c r="L238" s="12"/>
      <c r="M238" s="26"/>
    </row>
    <row r="239" s="11" customFormat="1" spans="1:14">
      <c r="A239" s="24">
        <v>45670</v>
      </c>
      <c r="B239" s="25">
        <v>45</v>
      </c>
      <c r="C239" s="24"/>
      <c r="D239" s="26"/>
      <c r="E239" s="26"/>
      <c r="F239" s="35" t="s">
        <v>126</v>
      </c>
      <c r="G239" s="26">
        <v>1</v>
      </c>
      <c r="H239" s="26">
        <v>18</v>
      </c>
      <c r="I239" s="26">
        <f t="shared" si="20"/>
        <v>18</v>
      </c>
      <c r="J239" s="41">
        <v>6</v>
      </c>
      <c r="K239" s="41">
        <f t="shared" si="22"/>
        <v>108</v>
      </c>
      <c r="L239" s="12"/>
      <c r="M239" s="26"/>
    </row>
    <row r="240" s="10" customFormat="1" spans="1:14">
      <c r="A240" s="34">
        <v>45671</v>
      </c>
      <c r="B240" s="29">
        <v>47</v>
      </c>
      <c r="C240" s="17" t="s">
        <v>52</v>
      </c>
      <c r="D240" s="17"/>
      <c r="E240" s="17"/>
      <c r="F240" s="33" t="s">
        <v>12</v>
      </c>
      <c r="G240" s="17">
        <v>2</v>
      </c>
      <c r="H240" s="17">
        <v>18</v>
      </c>
      <c r="I240" s="17">
        <f t="shared" si="20"/>
        <v>36</v>
      </c>
      <c r="J240" s="43">
        <v>10.5</v>
      </c>
      <c r="K240" s="43">
        <f t="shared" si="22"/>
        <v>378</v>
      </c>
      <c r="L240" s="13"/>
      <c r="M240" s="17">
        <f>SUM(K238:K240)</f>
        <v>1186</v>
      </c>
    </row>
    <row r="241" s="12" customFormat="1" spans="1:13">
      <c r="A241" s="24">
        <v>45671</v>
      </c>
      <c r="B241" s="25">
        <v>49</v>
      </c>
      <c r="C241" s="26" t="s">
        <v>25</v>
      </c>
      <c r="D241" s="26"/>
      <c r="E241" s="26"/>
      <c r="F241" s="35" t="s">
        <v>26</v>
      </c>
      <c r="G241" s="26">
        <v>1</v>
      </c>
      <c r="H241" s="26">
        <v>22</v>
      </c>
      <c r="I241" s="26">
        <f t="shared" si="20"/>
        <v>22</v>
      </c>
      <c r="J241" s="41">
        <v>12</v>
      </c>
      <c r="K241" s="41">
        <f t="shared" si="22"/>
        <v>264</v>
      </c>
      <c r="M241" s="26"/>
    </row>
    <row r="242" s="9" customFormat="1" spans="1:13">
      <c r="A242" s="45">
        <v>45673</v>
      </c>
      <c r="B242" s="46">
        <v>61</v>
      </c>
      <c r="C242" s="30">
        <v>118</v>
      </c>
      <c r="D242" s="30"/>
      <c r="E242" s="30"/>
      <c r="F242" s="31" t="s">
        <v>155</v>
      </c>
      <c r="G242" s="30">
        <v>1</v>
      </c>
      <c r="H242" s="30">
        <v>0.8</v>
      </c>
      <c r="I242" s="30">
        <f t="shared" si="20"/>
        <v>0.8</v>
      </c>
      <c r="J242" s="48"/>
      <c r="K242" s="48"/>
      <c r="L242" s="15" t="s">
        <v>156</v>
      </c>
      <c r="M242" s="30"/>
    </row>
    <row r="243" s="10" customFormat="1" spans="1:13">
      <c r="A243" s="34">
        <v>45673</v>
      </c>
      <c r="B243" s="29">
        <v>61</v>
      </c>
      <c r="C243" s="17" t="s">
        <v>21</v>
      </c>
      <c r="D243" s="17"/>
      <c r="E243" s="17"/>
      <c r="F243" s="33" t="s">
        <v>22</v>
      </c>
      <c r="G243" s="17">
        <v>1</v>
      </c>
      <c r="H243" s="17">
        <v>20</v>
      </c>
      <c r="I243" s="17">
        <f t="shared" si="20"/>
        <v>20</v>
      </c>
      <c r="J243" s="43">
        <v>18</v>
      </c>
      <c r="K243" s="43">
        <f t="shared" ref="K243:K249" si="23">I243*J243</f>
        <v>360</v>
      </c>
      <c r="L243" s="13"/>
      <c r="M243" s="17"/>
    </row>
    <row r="244" s="10" customFormat="1" spans="1:13">
      <c r="A244" s="34">
        <v>45673</v>
      </c>
      <c r="B244" s="29">
        <v>61</v>
      </c>
      <c r="C244" s="17" t="s">
        <v>19</v>
      </c>
      <c r="D244" s="17"/>
      <c r="E244" s="17"/>
      <c r="F244" s="33" t="s">
        <v>20</v>
      </c>
      <c r="G244" s="17">
        <v>1</v>
      </c>
      <c r="H244" s="17">
        <v>10</v>
      </c>
      <c r="I244" s="17">
        <f t="shared" si="20"/>
        <v>10</v>
      </c>
      <c r="J244" s="43">
        <v>18</v>
      </c>
      <c r="K244" s="43">
        <f t="shared" si="23"/>
        <v>180</v>
      </c>
      <c r="L244" s="13"/>
      <c r="M244" s="17">
        <f>SUM(K241:K244)</f>
        <v>804</v>
      </c>
    </row>
    <row r="245" s="11" customFormat="1" spans="1:13">
      <c r="A245" s="24">
        <v>45673</v>
      </c>
      <c r="B245" s="25">
        <v>62</v>
      </c>
      <c r="C245" s="26"/>
      <c r="D245" s="26"/>
      <c r="E245" s="26"/>
      <c r="F245" s="27" t="s">
        <v>157</v>
      </c>
      <c r="G245" s="26">
        <v>1</v>
      </c>
      <c r="H245" s="26">
        <v>25</v>
      </c>
      <c r="I245" s="26">
        <f t="shared" si="20"/>
        <v>25</v>
      </c>
      <c r="J245" s="41">
        <v>18</v>
      </c>
      <c r="K245" s="41">
        <f t="shared" si="23"/>
        <v>450</v>
      </c>
      <c r="L245" s="12"/>
      <c r="M245" s="26"/>
    </row>
    <row r="246" s="11" customFormat="1" spans="1:13">
      <c r="A246" s="24">
        <v>45673</v>
      </c>
      <c r="B246" s="25">
        <v>62</v>
      </c>
      <c r="C246" s="26" t="s">
        <v>158</v>
      </c>
      <c r="D246" s="26"/>
      <c r="E246" s="26"/>
      <c r="F246" s="27" t="s">
        <v>159</v>
      </c>
      <c r="G246" s="26">
        <v>1</v>
      </c>
      <c r="H246" s="26">
        <v>2</v>
      </c>
      <c r="I246" s="26">
        <f t="shared" si="20"/>
        <v>2</v>
      </c>
      <c r="J246" s="41">
        <v>18</v>
      </c>
      <c r="K246" s="41">
        <f t="shared" si="23"/>
        <v>36</v>
      </c>
      <c r="L246" s="12"/>
      <c r="M246" s="26"/>
    </row>
    <row r="247" s="11" customFormat="1" spans="1:13">
      <c r="A247" s="24">
        <v>45673</v>
      </c>
      <c r="B247" s="25">
        <v>62</v>
      </c>
      <c r="C247" s="26" t="s">
        <v>160</v>
      </c>
      <c r="D247" s="26"/>
      <c r="E247" s="26"/>
      <c r="F247" s="27" t="s">
        <v>161</v>
      </c>
      <c r="G247" s="26">
        <v>1</v>
      </c>
      <c r="H247" s="26">
        <v>2</v>
      </c>
      <c r="I247" s="26">
        <f t="shared" si="20"/>
        <v>2</v>
      </c>
      <c r="J247" s="41">
        <v>18</v>
      </c>
      <c r="K247" s="41">
        <f t="shared" si="23"/>
        <v>36</v>
      </c>
      <c r="L247" s="12"/>
      <c r="M247" s="26"/>
    </row>
    <row r="248" s="11" customFormat="1" spans="1:13">
      <c r="A248" s="24">
        <v>45673</v>
      </c>
      <c r="B248" s="25">
        <v>62</v>
      </c>
      <c r="C248" s="26" t="s">
        <v>19</v>
      </c>
      <c r="D248" s="26"/>
      <c r="E248" s="26"/>
      <c r="F248" s="27" t="s">
        <v>20</v>
      </c>
      <c r="G248" s="26">
        <v>1</v>
      </c>
      <c r="H248" s="26">
        <v>10</v>
      </c>
      <c r="I248" s="26">
        <f t="shared" si="20"/>
        <v>10</v>
      </c>
      <c r="J248" s="41">
        <v>18</v>
      </c>
      <c r="K248" s="41">
        <f t="shared" si="23"/>
        <v>180</v>
      </c>
      <c r="L248" s="12"/>
      <c r="M248" s="26">
        <f>SUM(K245:K248)</f>
        <v>702</v>
      </c>
    </row>
    <row r="249" s="10" customFormat="1" spans="1:13">
      <c r="A249" s="34">
        <v>45729</v>
      </c>
      <c r="B249" s="29">
        <v>44</v>
      </c>
      <c r="C249" s="17">
        <v>9803</v>
      </c>
      <c r="D249" s="17"/>
      <c r="E249" s="17"/>
      <c r="F249" s="33" t="s">
        <v>13</v>
      </c>
      <c r="G249" s="17">
        <v>6</v>
      </c>
      <c r="H249" s="17">
        <v>28</v>
      </c>
      <c r="I249" s="17">
        <f t="shared" si="20"/>
        <v>168</v>
      </c>
      <c r="J249" s="43">
        <v>9</v>
      </c>
      <c r="K249" s="43">
        <f t="shared" si="23"/>
        <v>1512</v>
      </c>
      <c r="L249" s="40">
        <v>9804</v>
      </c>
      <c r="M249" s="17"/>
    </row>
    <row r="250" s="10" customFormat="1" spans="1:13">
      <c r="A250" s="34">
        <v>45729</v>
      </c>
      <c r="B250" s="29">
        <v>44</v>
      </c>
      <c r="C250" s="17"/>
      <c r="D250" s="17"/>
      <c r="E250" s="17"/>
      <c r="F250" s="33" t="s">
        <v>157</v>
      </c>
      <c r="G250" s="17">
        <v>5</v>
      </c>
      <c r="H250" s="17">
        <v>25</v>
      </c>
      <c r="I250" s="17">
        <f t="shared" ref="I250:I289" si="24">G250*H250</f>
        <v>125</v>
      </c>
      <c r="J250" s="43">
        <v>18</v>
      </c>
      <c r="K250" s="43">
        <f t="shared" ref="K250:K294" si="25">I250*J250</f>
        <v>2250</v>
      </c>
      <c r="L250" s="13"/>
      <c r="M250" s="17"/>
    </row>
    <row r="251" s="10" customFormat="1" spans="1:13">
      <c r="A251" s="34">
        <v>45729</v>
      </c>
      <c r="B251" s="29">
        <v>44</v>
      </c>
      <c r="C251" s="17" t="s">
        <v>19</v>
      </c>
      <c r="D251" s="17"/>
      <c r="E251" s="17"/>
      <c r="F251" s="33" t="s">
        <v>20</v>
      </c>
      <c r="G251" s="17">
        <v>6</v>
      </c>
      <c r="H251" s="17">
        <v>10</v>
      </c>
      <c r="I251" s="17">
        <f t="shared" si="24"/>
        <v>60</v>
      </c>
      <c r="J251" s="43">
        <v>18</v>
      </c>
      <c r="K251" s="43">
        <f t="shared" si="25"/>
        <v>1080</v>
      </c>
      <c r="L251" s="13"/>
      <c r="M251" s="17"/>
    </row>
    <row r="252" s="10" customFormat="1" spans="1:13">
      <c r="A252" s="34">
        <v>45729</v>
      </c>
      <c r="B252" s="29">
        <v>44</v>
      </c>
      <c r="C252" s="17" t="s">
        <v>52</v>
      </c>
      <c r="D252" s="17"/>
      <c r="E252" s="17"/>
      <c r="F252" s="33" t="s">
        <v>12</v>
      </c>
      <c r="G252" s="17">
        <v>1</v>
      </c>
      <c r="H252" s="17">
        <v>180</v>
      </c>
      <c r="I252" s="17">
        <f t="shared" si="24"/>
        <v>180</v>
      </c>
      <c r="J252" s="43">
        <v>10.5</v>
      </c>
      <c r="K252" s="43">
        <f t="shared" si="25"/>
        <v>1890</v>
      </c>
      <c r="L252" s="13"/>
      <c r="M252" s="17">
        <f>SUM(K249:K252)</f>
        <v>6732</v>
      </c>
    </row>
    <row r="253" s="11" customFormat="1" spans="1:13">
      <c r="A253" s="24">
        <v>45735</v>
      </c>
      <c r="B253" s="25">
        <v>69</v>
      </c>
      <c r="C253" s="26">
        <v>9803</v>
      </c>
      <c r="D253" s="26"/>
      <c r="E253" s="26"/>
      <c r="F253" s="27" t="s">
        <v>13</v>
      </c>
      <c r="G253" s="26">
        <v>10</v>
      </c>
      <c r="H253" s="26">
        <v>28</v>
      </c>
      <c r="I253" s="26">
        <f t="shared" si="24"/>
        <v>280</v>
      </c>
      <c r="J253" s="41">
        <v>9</v>
      </c>
      <c r="K253" s="41">
        <f t="shared" si="25"/>
        <v>2520</v>
      </c>
      <c r="L253" s="39">
        <v>9804</v>
      </c>
      <c r="M253" s="26"/>
    </row>
    <row r="254" s="10" customFormat="1" spans="1:13">
      <c r="A254" s="34">
        <v>45736</v>
      </c>
      <c r="B254" s="29">
        <v>74</v>
      </c>
      <c r="C254" s="17"/>
      <c r="D254" s="17"/>
      <c r="E254" s="17"/>
      <c r="F254" s="33" t="s">
        <v>157</v>
      </c>
      <c r="G254" s="17">
        <v>4</v>
      </c>
      <c r="H254" s="17">
        <v>25</v>
      </c>
      <c r="I254" s="17">
        <f t="shared" si="24"/>
        <v>100</v>
      </c>
      <c r="J254" s="43">
        <v>18</v>
      </c>
      <c r="K254" s="43">
        <f t="shared" si="25"/>
        <v>1800</v>
      </c>
      <c r="L254" s="13"/>
      <c r="M254" s="17"/>
    </row>
    <row r="255" s="10" customFormat="1" spans="1:13">
      <c r="A255" s="34">
        <v>45736</v>
      </c>
      <c r="B255" s="29">
        <v>74</v>
      </c>
      <c r="C255" s="17"/>
      <c r="D255" s="17"/>
      <c r="E255" s="17"/>
      <c r="F255" s="33" t="s">
        <v>157</v>
      </c>
      <c r="G255" s="17">
        <v>1</v>
      </c>
      <c r="H255" s="17">
        <v>24</v>
      </c>
      <c r="I255" s="17">
        <f t="shared" si="24"/>
        <v>24</v>
      </c>
      <c r="J255" s="43">
        <v>18</v>
      </c>
      <c r="K255" s="43">
        <f t="shared" si="25"/>
        <v>432</v>
      </c>
      <c r="L255" s="13"/>
      <c r="M255" s="17"/>
    </row>
    <row r="256" s="10" customFormat="1" spans="1:13">
      <c r="A256" s="34">
        <v>45736</v>
      </c>
      <c r="B256" s="29">
        <v>74</v>
      </c>
      <c r="C256" s="17" t="s">
        <v>19</v>
      </c>
      <c r="D256" s="17"/>
      <c r="E256" s="17"/>
      <c r="F256" s="33" t="s">
        <v>20</v>
      </c>
      <c r="G256" s="17">
        <v>6</v>
      </c>
      <c r="H256" s="17">
        <v>10</v>
      </c>
      <c r="I256" s="17">
        <f t="shared" si="24"/>
        <v>60</v>
      </c>
      <c r="J256" s="43">
        <v>18</v>
      </c>
      <c r="K256" s="43">
        <f t="shared" si="25"/>
        <v>1080</v>
      </c>
      <c r="L256" s="13"/>
      <c r="M256" s="17"/>
    </row>
    <row r="257" s="13" customFormat="1" spans="1:14">
      <c r="A257" s="34">
        <v>45736</v>
      </c>
      <c r="B257" s="29">
        <v>74</v>
      </c>
      <c r="C257" s="17" t="s">
        <v>25</v>
      </c>
      <c r="D257" s="17"/>
      <c r="E257" s="17"/>
      <c r="F257" s="37" t="s">
        <v>26</v>
      </c>
      <c r="G257" s="17">
        <v>2</v>
      </c>
      <c r="H257" s="17">
        <v>22</v>
      </c>
      <c r="I257" s="17">
        <f t="shared" si="24"/>
        <v>44</v>
      </c>
      <c r="J257" s="43">
        <v>12</v>
      </c>
      <c r="K257" s="43">
        <f t="shared" si="25"/>
        <v>528</v>
      </c>
      <c r="M257" s="17"/>
    </row>
    <row r="258" s="11" customFormat="1" spans="1:14">
      <c r="A258" s="24">
        <v>45742</v>
      </c>
      <c r="B258" s="25">
        <v>98</v>
      </c>
      <c r="C258" s="26" t="s">
        <v>50</v>
      </c>
      <c r="D258" s="26"/>
      <c r="E258" s="26"/>
      <c r="F258" s="35" t="s">
        <v>51</v>
      </c>
      <c r="G258" s="26">
        <v>5</v>
      </c>
      <c r="H258" s="26">
        <v>25</v>
      </c>
      <c r="I258" s="26">
        <f t="shared" si="24"/>
        <v>125</v>
      </c>
      <c r="J258" s="41">
        <v>14</v>
      </c>
      <c r="K258" s="41">
        <f t="shared" si="25"/>
        <v>1750</v>
      </c>
      <c r="L258" s="12"/>
      <c r="M258" s="26"/>
    </row>
    <row r="259" s="11" customFormat="1" spans="1:14">
      <c r="A259" s="24">
        <v>45742</v>
      </c>
      <c r="B259" s="25">
        <v>98</v>
      </c>
      <c r="C259" s="26" t="s">
        <v>21</v>
      </c>
      <c r="D259" s="26"/>
      <c r="E259" s="26"/>
      <c r="F259" s="27" t="s">
        <v>22</v>
      </c>
      <c r="G259" s="26">
        <v>2</v>
      </c>
      <c r="H259" s="26">
        <v>20</v>
      </c>
      <c r="I259" s="26">
        <f t="shared" si="24"/>
        <v>40</v>
      </c>
      <c r="J259" s="41">
        <v>18</v>
      </c>
      <c r="K259" s="41">
        <f t="shared" si="25"/>
        <v>720</v>
      </c>
      <c r="L259" s="12"/>
      <c r="M259" s="26"/>
    </row>
    <row r="260" s="11" customFormat="1" spans="1:14">
      <c r="A260" s="24">
        <v>45742</v>
      </c>
      <c r="B260" s="25">
        <v>98</v>
      </c>
      <c r="C260" s="26" t="s">
        <v>55</v>
      </c>
      <c r="D260" s="26"/>
      <c r="E260" s="26"/>
      <c r="F260" s="27" t="s">
        <v>56</v>
      </c>
      <c r="G260" s="26">
        <v>2</v>
      </c>
      <c r="H260" s="26">
        <v>26</v>
      </c>
      <c r="I260" s="26">
        <f t="shared" si="24"/>
        <v>52</v>
      </c>
      <c r="J260" s="41">
        <v>18</v>
      </c>
      <c r="K260" s="41">
        <f t="shared" si="25"/>
        <v>936</v>
      </c>
      <c r="L260" s="56" t="s">
        <v>136</v>
      </c>
      <c r="M260" s="56"/>
      <c r="N260" s="56"/>
    </row>
    <row r="261" s="11" customFormat="1" spans="1:14">
      <c r="A261" s="24">
        <v>45742</v>
      </c>
      <c r="B261" s="25">
        <v>98</v>
      </c>
      <c r="C261" s="26" t="s">
        <v>162</v>
      </c>
      <c r="D261" s="26"/>
      <c r="E261" s="26"/>
      <c r="F261" s="27" t="s">
        <v>28</v>
      </c>
      <c r="G261" s="26">
        <v>1</v>
      </c>
      <c r="H261" s="26">
        <v>16</v>
      </c>
      <c r="I261" s="26">
        <f t="shared" si="24"/>
        <v>16</v>
      </c>
      <c r="J261" s="41">
        <v>18</v>
      </c>
      <c r="K261" s="41">
        <f t="shared" si="25"/>
        <v>288</v>
      </c>
      <c r="L261" s="12"/>
      <c r="M261" s="26"/>
    </row>
    <row r="262" s="11" customFormat="1" spans="1:14">
      <c r="A262" s="24">
        <v>45742</v>
      </c>
      <c r="B262" s="25">
        <v>98</v>
      </c>
      <c r="C262" s="26" t="s">
        <v>19</v>
      </c>
      <c r="D262" s="26"/>
      <c r="E262" s="26"/>
      <c r="F262" s="27" t="s">
        <v>20</v>
      </c>
      <c r="G262" s="26">
        <v>5</v>
      </c>
      <c r="H262" s="26">
        <v>10</v>
      </c>
      <c r="I262" s="26">
        <f t="shared" si="24"/>
        <v>50</v>
      </c>
      <c r="J262" s="41">
        <v>18</v>
      </c>
      <c r="K262" s="41">
        <f t="shared" si="25"/>
        <v>900</v>
      </c>
      <c r="L262" s="12"/>
      <c r="M262" s="26">
        <f>SUM(K258:K262)</f>
        <v>4594</v>
      </c>
    </row>
    <row r="263" s="10" customFormat="1" spans="1:14">
      <c r="A263" s="34">
        <v>45754</v>
      </c>
      <c r="B263" s="29">
        <v>18</v>
      </c>
      <c r="C263" s="17">
        <v>9803</v>
      </c>
      <c r="D263" s="17"/>
      <c r="E263" s="17"/>
      <c r="F263" s="33" t="s">
        <v>13</v>
      </c>
      <c r="G263" s="17">
        <v>10</v>
      </c>
      <c r="H263" s="17">
        <v>28</v>
      </c>
      <c r="I263" s="17">
        <f t="shared" si="24"/>
        <v>280</v>
      </c>
      <c r="J263" s="43">
        <v>9</v>
      </c>
      <c r="K263" s="43">
        <f t="shared" si="25"/>
        <v>2520</v>
      </c>
      <c r="L263" s="40">
        <v>9804</v>
      </c>
      <c r="M263" s="17"/>
    </row>
    <row r="264" s="11" customFormat="1" spans="1:14">
      <c r="A264" s="24">
        <v>45755</v>
      </c>
      <c r="B264" s="25">
        <v>21</v>
      </c>
      <c r="C264" s="26" t="s">
        <v>163</v>
      </c>
      <c r="D264" s="26"/>
      <c r="E264" s="26"/>
      <c r="F264" s="27" t="s">
        <v>54</v>
      </c>
      <c r="G264" s="26">
        <v>1</v>
      </c>
      <c r="H264" s="26">
        <v>10</v>
      </c>
      <c r="I264" s="26">
        <f t="shared" si="24"/>
        <v>10</v>
      </c>
      <c r="J264" s="41">
        <v>22</v>
      </c>
      <c r="K264" s="41">
        <f t="shared" si="25"/>
        <v>220</v>
      </c>
      <c r="L264" s="26" t="s">
        <v>48</v>
      </c>
      <c r="M264" s="26"/>
      <c r="N264" s="26"/>
    </row>
    <row r="265" s="11" customFormat="1" spans="1:14">
      <c r="A265" s="24">
        <v>45755</v>
      </c>
      <c r="B265" s="25">
        <v>21</v>
      </c>
      <c r="C265" s="26" t="s">
        <v>55</v>
      </c>
      <c r="D265" s="26"/>
      <c r="E265" s="26"/>
      <c r="F265" s="27" t="s">
        <v>56</v>
      </c>
      <c r="G265" s="26">
        <v>2</v>
      </c>
      <c r="H265" s="26">
        <v>25</v>
      </c>
      <c r="I265" s="26">
        <f t="shared" si="24"/>
        <v>50</v>
      </c>
      <c r="J265" s="41">
        <v>18</v>
      </c>
      <c r="K265" s="41">
        <f t="shared" si="25"/>
        <v>900</v>
      </c>
      <c r="L265" s="12" t="s">
        <v>164</v>
      </c>
      <c r="M265" s="26"/>
    </row>
    <row r="266" s="11" customFormat="1" spans="1:14">
      <c r="A266" s="24">
        <v>45755</v>
      </c>
      <c r="B266" s="25">
        <v>21</v>
      </c>
      <c r="C266" s="26" t="s">
        <v>55</v>
      </c>
      <c r="D266" s="26"/>
      <c r="E266" s="26"/>
      <c r="F266" s="27" t="s">
        <v>56</v>
      </c>
      <c r="G266" s="26">
        <v>1</v>
      </c>
      <c r="H266" s="26">
        <v>26</v>
      </c>
      <c r="I266" s="26">
        <f t="shared" si="24"/>
        <v>26</v>
      </c>
      <c r="J266" s="41">
        <v>18</v>
      </c>
      <c r="K266" s="41">
        <f t="shared" si="25"/>
        <v>468</v>
      </c>
      <c r="L266" s="12" t="s">
        <v>164</v>
      </c>
      <c r="M266" s="26"/>
    </row>
    <row r="267" s="11" customFormat="1" spans="1:14">
      <c r="A267" s="24">
        <v>45755</v>
      </c>
      <c r="B267" s="25">
        <v>21</v>
      </c>
      <c r="C267" s="26" t="s">
        <v>39</v>
      </c>
      <c r="D267" s="26"/>
      <c r="E267" s="26"/>
      <c r="F267" s="27" t="s">
        <v>28</v>
      </c>
      <c r="G267" s="26">
        <v>1</v>
      </c>
      <c r="H267" s="26">
        <v>8</v>
      </c>
      <c r="I267" s="26">
        <f t="shared" si="24"/>
        <v>8</v>
      </c>
      <c r="J267" s="41">
        <v>18</v>
      </c>
      <c r="K267" s="41">
        <f t="shared" si="25"/>
        <v>144</v>
      </c>
      <c r="L267" s="12"/>
      <c r="M267" s="26"/>
    </row>
    <row r="268" s="12" customFormat="1" spans="1:14">
      <c r="A268" s="24">
        <v>45755</v>
      </c>
      <c r="B268" s="25">
        <v>21</v>
      </c>
      <c r="C268" s="26" t="s">
        <v>27</v>
      </c>
      <c r="D268" s="26"/>
      <c r="E268" s="26"/>
      <c r="F268" s="27" t="s">
        <v>28</v>
      </c>
      <c r="G268" s="26">
        <v>1</v>
      </c>
      <c r="H268" s="26">
        <v>8</v>
      </c>
      <c r="I268" s="26">
        <f t="shared" si="24"/>
        <v>8</v>
      </c>
      <c r="J268" s="41">
        <v>18</v>
      </c>
      <c r="K268" s="41">
        <f t="shared" si="25"/>
        <v>144</v>
      </c>
      <c r="L268" s="20"/>
      <c r="M268" s="26"/>
    </row>
    <row r="269" s="12" customFormat="1" spans="1:14">
      <c r="A269" s="24">
        <v>45755</v>
      </c>
      <c r="B269" s="25">
        <v>21</v>
      </c>
      <c r="C269" s="26">
        <v>709</v>
      </c>
      <c r="D269" s="26"/>
      <c r="E269" s="26"/>
      <c r="F269" s="27" t="s">
        <v>29</v>
      </c>
      <c r="G269" s="26">
        <v>1</v>
      </c>
      <c r="H269" s="26">
        <v>25</v>
      </c>
      <c r="I269" s="26">
        <f t="shared" si="24"/>
        <v>25</v>
      </c>
      <c r="J269" s="41">
        <v>18</v>
      </c>
      <c r="K269" s="41">
        <f t="shared" si="25"/>
        <v>450</v>
      </c>
      <c r="L269" s="20"/>
      <c r="M269" s="26"/>
    </row>
    <row r="270" s="11" customFormat="1" spans="1:14">
      <c r="A270" s="24">
        <v>45755</v>
      </c>
      <c r="B270" s="25">
        <v>21</v>
      </c>
      <c r="C270" s="26" t="s">
        <v>19</v>
      </c>
      <c r="D270" s="26"/>
      <c r="E270" s="26"/>
      <c r="F270" s="27" t="s">
        <v>20</v>
      </c>
      <c r="G270" s="26">
        <v>6</v>
      </c>
      <c r="H270" s="26">
        <v>10</v>
      </c>
      <c r="I270" s="26">
        <f t="shared" si="24"/>
        <v>60</v>
      </c>
      <c r="J270" s="41">
        <v>18</v>
      </c>
      <c r="K270" s="41">
        <f t="shared" si="25"/>
        <v>1080</v>
      </c>
      <c r="L270" s="12"/>
      <c r="M270" s="26">
        <f>SUM(K264:K270)</f>
        <v>3406</v>
      </c>
    </row>
    <row r="271" s="10" customFormat="1" spans="1:14">
      <c r="A271" s="34">
        <v>45768</v>
      </c>
      <c r="B271" s="29">
        <v>61</v>
      </c>
      <c r="C271" s="17">
        <v>9803</v>
      </c>
      <c r="D271" s="17"/>
      <c r="E271" s="17"/>
      <c r="F271" s="33" t="s">
        <v>13</v>
      </c>
      <c r="G271" s="17">
        <v>5</v>
      </c>
      <c r="H271" s="17">
        <v>28</v>
      </c>
      <c r="I271" s="17">
        <f t="shared" si="24"/>
        <v>140</v>
      </c>
      <c r="J271" s="43">
        <v>9</v>
      </c>
      <c r="K271" s="43">
        <f t="shared" si="25"/>
        <v>1260</v>
      </c>
      <c r="L271" s="40">
        <v>9804</v>
      </c>
      <c r="M271" s="17"/>
    </row>
    <row r="272" s="11" customFormat="1" spans="1:14">
      <c r="A272" s="24">
        <v>45773</v>
      </c>
      <c r="B272" s="25">
        <v>85</v>
      </c>
      <c r="C272" s="26" t="s">
        <v>23</v>
      </c>
      <c r="D272" s="26"/>
      <c r="E272" s="26"/>
      <c r="F272" s="27" t="s">
        <v>24</v>
      </c>
      <c r="G272" s="26">
        <v>1</v>
      </c>
      <c r="H272" s="26">
        <v>25</v>
      </c>
      <c r="I272" s="26">
        <f t="shared" si="24"/>
        <v>25</v>
      </c>
      <c r="J272" s="41">
        <v>18</v>
      </c>
      <c r="K272" s="41">
        <f t="shared" si="25"/>
        <v>450</v>
      </c>
      <c r="L272" s="12"/>
      <c r="M272" s="26"/>
    </row>
    <row r="273" s="11" customFormat="1" spans="1:14">
      <c r="A273" s="24">
        <v>45773</v>
      </c>
      <c r="B273" s="25">
        <v>85</v>
      </c>
      <c r="C273" s="26" t="s">
        <v>19</v>
      </c>
      <c r="D273" s="26"/>
      <c r="E273" s="26"/>
      <c r="F273" s="27" t="s">
        <v>20</v>
      </c>
      <c r="G273" s="26">
        <v>1</v>
      </c>
      <c r="H273" s="26">
        <v>10</v>
      </c>
      <c r="I273" s="26">
        <f t="shared" si="24"/>
        <v>10</v>
      </c>
      <c r="J273" s="41">
        <v>18</v>
      </c>
      <c r="K273" s="41">
        <f t="shared" si="25"/>
        <v>180</v>
      </c>
      <c r="L273" s="12"/>
      <c r="M273" s="26">
        <f>SUM(K272:K274)</f>
        <v>648</v>
      </c>
    </row>
    <row r="274" s="16" customFormat="1" spans="1:14">
      <c r="A274" s="24">
        <v>45773</v>
      </c>
      <c r="B274" s="25">
        <v>85</v>
      </c>
      <c r="C274" s="26" t="s">
        <v>165</v>
      </c>
      <c r="D274" s="26"/>
      <c r="E274" s="26"/>
      <c r="F274" s="27" t="s">
        <v>166</v>
      </c>
      <c r="G274" s="26">
        <v>1</v>
      </c>
      <c r="H274" s="26">
        <v>1</v>
      </c>
      <c r="I274" s="26">
        <f t="shared" si="24"/>
        <v>1</v>
      </c>
      <c r="J274" s="41">
        <v>18</v>
      </c>
      <c r="K274" s="41">
        <f t="shared" si="25"/>
        <v>18</v>
      </c>
      <c r="L274" s="58" t="s">
        <v>167</v>
      </c>
      <c r="N274" s="16" t="s">
        <v>168</v>
      </c>
    </row>
    <row r="275" s="10" customFormat="1" spans="1:14">
      <c r="A275" s="34">
        <v>45773</v>
      </c>
      <c r="B275" s="29">
        <v>89</v>
      </c>
      <c r="C275" s="17">
        <v>9803</v>
      </c>
      <c r="D275" s="17"/>
      <c r="E275" s="17"/>
      <c r="F275" s="33" t="s">
        <v>13</v>
      </c>
      <c r="G275" s="17">
        <v>5</v>
      </c>
      <c r="H275" s="17">
        <v>28</v>
      </c>
      <c r="I275" s="17">
        <f t="shared" si="24"/>
        <v>140</v>
      </c>
      <c r="J275" s="43">
        <v>9</v>
      </c>
      <c r="K275" s="43">
        <f t="shared" si="25"/>
        <v>1260</v>
      </c>
      <c r="L275" s="40">
        <v>9804</v>
      </c>
      <c r="M275" s="17"/>
    </row>
    <row r="276" s="11" customFormat="1" spans="1:14">
      <c r="A276" s="24">
        <v>45777</v>
      </c>
      <c r="B276" s="25">
        <v>98</v>
      </c>
      <c r="C276" s="26" t="s">
        <v>169</v>
      </c>
      <c r="D276" s="26"/>
      <c r="E276" s="26"/>
      <c r="F276" s="27" t="s">
        <v>150</v>
      </c>
      <c r="G276" s="26">
        <v>1</v>
      </c>
      <c r="H276" s="26">
        <v>26</v>
      </c>
      <c r="I276" s="26">
        <f t="shared" si="24"/>
        <v>26</v>
      </c>
      <c r="J276" s="41">
        <v>18</v>
      </c>
      <c r="K276" s="41">
        <f t="shared" si="25"/>
        <v>468</v>
      </c>
      <c r="L276" s="12" t="s">
        <v>170</v>
      </c>
      <c r="M276" s="26"/>
    </row>
    <row r="277" s="11" customFormat="1" spans="1:14">
      <c r="A277" s="24">
        <v>45777</v>
      </c>
      <c r="B277" s="25">
        <v>98</v>
      </c>
      <c r="C277" s="26" t="s">
        <v>143</v>
      </c>
      <c r="D277" s="26"/>
      <c r="E277" s="26"/>
      <c r="F277" s="27" t="s">
        <v>144</v>
      </c>
      <c r="G277" s="26">
        <v>1</v>
      </c>
      <c r="H277" s="26">
        <v>10</v>
      </c>
      <c r="I277" s="26">
        <f t="shared" si="24"/>
        <v>10</v>
      </c>
      <c r="J277" s="41">
        <v>18</v>
      </c>
      <c r="K277" s="41">
        <f t="shared" si="25"/>
        <v>180</v>
      </c>
      <c r="L277" s="27" t="s">
        <v>145</v>
      </c>
      <c r="M277" s="27"/>
      <c r="N277" s="27"/>
    </row>
    <row r="278" s="11" customFormat="1" spans="1:14">
      <c r="A278" s="24">
        <v>45777</v>
      </c>
      <c r="B278" s="25">
        <v>98</v>
      </c>
      <c r="C278" s="26" t="s">
        <v>19</v>
      </c>
      <c r="D278" s="26"/>
      <c r="E278" s="26"/>
      <c r="F278" s="27" t="s">
        <v>20</v>
      </c>
      <c r="G278" s="26">
        <v>1</v>
      </c>
      <c r="H278" s="26">
        <v>10</v>
      </c>
      <c r="I278" s="26">
        <f t="shared" si="24"/>
        <v>10</v>
      </c>
      <c r="J278" s="41">
        <v>18</v>
      </c>
      <c r="K278" s="41">
        <f t="shared" si="25"/>
        <v>180</v>
      </c>
      <c r="L278" s="12"/>
      <c r="M278" s="26">
        <f>SUM(K276:K278)</f>
        <v>828</v>
      </c>
    </row>
    <row r="279" s="10" customFormat="1" spans="1:14">
      <c r="A279" s="34">
        <v>45784</v>
      </c>
      <c r="B279" s="29">
        <v>8</v>
      </c>
      <c r="C279" s="17">
        <v>9803</v>
      </c>
      <c r="D279" s="17"/>
      <c r="E279" s="17"/>
      <c r="F279" s="33" t="s">
        <v>13</v>
      </c>
      <c r="G279" s="17">
        <v>10</v>
      </c>
      <c r="H279" s="17">
        <v>28</v>
      </c>
      <c r="I279" s="17">
        <f t="shared" si="24"/>
        <v>280</v>
      </c>
      <c r="J279" s="43">
        <v>9</v>
      </c>
      <c r="K279" s="43">
        <f t="shared" si="25"/>
        <v>2520</v>
      </c>
      <c r="L279" s="40">
        <v>9804</v>
      </c>
      <c r="M279" s="17"/>
    </row>
    <row r="280" s="11" customFormat="1" spans="1:14">
      <c r="A280" s="24">
        <v>45790</v>
      </c>
      <c r="B280" s="25">
        <v>24</v>
      </c>
      <c r="C280" s="17">
        <v>516</v>
      </c>
      <c r="D280" s="17"/>
      <c r="E280" s="17"/>
      <c r="F280" s="27" t="s">
        <v>157</v>
      </c>
      <c r="G280" s="26">
        <v>2</v>
      </c>
      <c r="H280" s="26">
        <v>25</v>
      </c>
      <c r="I280" s="26">
        <f t="shared" si="24"/>
        <v>50</v>
      </c>
      <c r="J280" s="41">
        <v>18</v>
      </c>
      <c r="K280" s="41">
        <f t="shared" si="25"/>
        <v>900</v>
      </c>
      <c r="L280" s="12"/>
      <c r="M280" s="26"/>
    </row>
    <row r="281" s="11" customFormat="1" spans="1:14">
      <c r="A281" s="24">
        <v>45790</v>
      </c>
      <c r="B281" s="25">
        <v>24</v>
      </c>
      <c r="C281" s="26" t="s">
        <v>19</v>
      </c>
      <c r="D281" s="26"/>
      <c r="E281" s="26"/>
      <c r="F281" s="27" t="s">
        <v>20</v>
      </c>
      <c r="G281" s="26">
        <v>3</v>
      </c>
      <c r="H281" s="26">
        <v>10</v>
      </c>
      <c r="I281" s="26">
        <f t="shared" si="24"/>
        <v>30</v>
      </c>
      <c r="J281" s="41">
        <v>18</v>
      </c>
      <c r="K281" s="41">
        <f t="shared" si="25"/>
        <v>540</v>
      </c>
      <c r="L281" s="12">
        <f>SUM(K280:K281)</f>
        <v>1440</v>
      </c>
      <c r="M281" s="26"/>
    </row>
    <row r="282" s="10" customFormat="1" spans="1:14">
      <c r="A282" s="34">
        <v>45796</v>
      </c>
      <c r="B282" s="29">
        <v>54</v>
      </c>
      <c r="C282" s="17">
        <v>709</v>
      </c>
      <c r="D282" s="17"/>
      <c r="E282" s="17"/>
      <c r="F282" s="33" t="s">
        <v>29</v>
      </c>
      <c r="G282" s="17">
        <v>1</v>
      </c>
      <c r="H282" s="17">
        <v>26</v>
      </c>
      <c r="I282" s="17">
        <f t="shared" si="24"/>
        <v>26</v>
      </c>
      <c r="J282" s="43">
        <v>18</v>
      </c>
      <c r="K282" s="43">
        <f t="shared" si="25"/>
        <v>468</v>
      </c>
      <c r="L282" s="13"/>
      <c r="M282" s="17"/>
    </row>
    <row r="283" s="10" customFormat="1" spans="1:14">
      <c r="A283" s="34">
        <v>45796</v>
      </c>
      <c r="B283" s="29">
        <v>54</v>
      </c>
      <c r="C283" s="17">
        <v>516</v>
      </c>
      <c r="D283" s="17"/>
      <c r="E283" s="17"/>
      <c r="F283" s="33" t="s">
        <v>157</v>
      </c>
      <c r="G283" s="17">
        <v>2</v>
      </c>
      <c r="H283" s="17">
        <v>25</v>
      </c>
      <c r="I283" s="17">
        <f t="shared" si="24"/>
        <v>50</v>
      </c>
      <c r="J283" s="43">
        <v>18</v>
      </c>
      <c r="K283" s="43">
        <f t="shared" si="25"/>
        <v>900</v>
      </c>
      <c r="L283" s="13" t="s">
        <v>171</v>
      </c>
      <c r="M283" s="17"/>
    </row>
    <row r="284" s="10" customFormat="1" spans="1:14">
      <c r="A284" s="34">
        <v>45796</v>
      </c>
      <c r="B284" s="29">
        <v>54</v>
      </c>
      <c r="C284" s="17" t="s">
        <v>19</v>
      </c>
      <c r="D284" s="17"/>
      <c r="E284" s="17"/>
      <c r="F284" s="33" t="s">
        <v>20</v>
      </c>
      <c r="G284" s="17">
        <v>3</v>
      </c>
      <c r="H284" s="17">
        <v>10</v>
      </c>
      <c r="I284" s="17">
        <f t="shared" si="24"/>
        <v>30</v>
      </c>
      <c r="J284" s="43">
        <v>18</v>
      </c>
      <c r="K284" s="43">
        <f t="shared" si="25"/>
        <v>540</v>
      </c>
      <c r="L284" s="13"/>
      <c r="M284" s="17">
        <f>SUM(K282:K284)</f>
        <v>1908</v>
      </c>
    </row>
    <row r="285" s="11" customFormat="1" spans="1:14">
      <c r="A285" s="24">
        <v>45803</v>
      </c>
      <c r="B285" s="25">
        <v>64</v>
      </c>
      <c r="C285" s="26" t="s">
        <v>103</v>
      </c>
      <c r="D285" s="26"/>
      <c r="E285" s="26"/>
      <c r="F285" s="27" t="s">
        <v>111</v>
      </c>
      <c r="G285" s="26">
        <v>1</v>
      </c>
      <c r="H285" s="26">
        <v>25</v>
      </c>
      <c r="I285" s="26">
        <f t="shared" si="24"/>
        <v>25</v>
      </c>
      <c r="J285" s="41">
        <v>18</v>
      </c>
      <c r="K285" s="41">
        <f t="shared" si="25"/>
        <v>450</v>
      </c>
      <c r="L285" s="12"/>
      <c r="M285" s="26"/>
    </row>
    <row r="286" s="11" customFormat="1" spans="1:14">
      <c r="A286" s="24">
        <v>45803</v>
      </c>
      <c r="B286" s="25">
        <v>64</v>
      </c>
      <c r="C286" s="26" t="s">
        <v>19</v>
      </c>
      <c r="D286" s="26"/>
      <c r="E286" s="26"/>
      <c r="F286" s="27" t="s">
        <v>20</v>
      </c>
      <c r="G286" s="26">
        <v>1</v>
      </c>
      <c r="H286" s="26">
        <v>10</v>
      </c>
      <c r="I286" s="26">
        <f t="shared" si="24"/>
        <v>10</v>
      </c>
      <c r="J286" s="41">
        <v>18</v>
      </c>
      <c r="K286" s="41">
        <f t="shared" si="25"/>
        <v>180</v>
      </c>
      <c r="L286" s="12"/>
      <c r="M286" s="26">
        <f>SUM(K284:K286)</f>
        <v>1170</v>
      </c>
    </row>
    <row r="287" s="10" customFormat="1" spans="1:14">
      <c r="A287" s="34">
        <v>45805</v>
      </c>
      <c r="B287" s="29">
        <v>68</v>
      </c>
      <c r="C287" s="17">
        <v>9803</v>
      </c>
      <c r="D287" s="17"/>
      <c r="E287" s="17"/>
      <c r="F287" s="33" t="s">
        <v>13</v>
      </c>
      <c r="G287" s="17">
        <v>5</v>
      </c>
      <c r="H287" s="17">
        <v>28</v>
      </c>
      <c r="I287" s="17">
        <f t="shared" si="24"/>
        <v>140</v>
      </c>
      <c r="J287" s="43">
        <v>9</v>
      </c>
      <c r="K287" s="43">
        <f t="shared" si="25"/>
        <v>1260</v>
      </c>
      <c r="L287" s="40">
        <v>9804</v>
      </c>
      <c r="M287" s="17"/>
    </row>
    <row r="288" s="10" customFormat="1" spans="1:14">
      <c r="A288" s="34">
        <v>45805</v>
      </c>
      <c r="B288" s="29">
        <v>68</v>
      </c>
      <c r="C288" s="17" t="s">
        <v>50</v>
      </c>
      <c r="D288" s="17"/>
      <c r="E288" s="17"/>
      <c r="F288" s="37" t="s">
        <v>51</v>
      </c>
      <c r="G288" s="17">
        <v>2</v>
      </c>
      <c r="H288" s="17">
        <v>25</v>
      </c>
      <c r="I288" s="17">
        <f t="shared" si="24"/>
        <v>50</v>
      </c>
      <c r="J288" s="43">
        <v>14</v>
      </c>
      <c r="K288" s="43">
        <f t="shared" si="25"/>
        <v>700</v>
      </c>
      <c r="L288" s="13"/>
      <c r="M288" s="17"/>
    </row>
    <row r="289" s="10" customFormat="1" spans="1:13">
      <c r="A289" s="34">
        <v>45805</v>
      </c>
      <c r="B289" s="29">
        <v>68</v>
      </c>
      <c r="C289" s="17" t="s">
        <v>172</v>
      </c>
      <c r="D289" s="17"/>
      <c r="E289" s="17"/>
      <c r="F289" s="33" t="s">
        <v>173</v>
      </c>
      <c r="G289" s="17">
        <v>1</v>
      </c>
      <c r="H289" s="17"/>
      <c r="I289" s="17"/>
      <c r="J289" s="43"/>
      <c r="K289" s="43"/>
      <c r="L289" s="13" t="s">
        <v>174</v>
      </c>
      <c r="M289" s="17"/>
    </row>
    <row r="290" s="10" customFormat="1" spans="1:13">
      <c r="A290" s="34">
        <v>45805</v>
      </c>
      <c r="B290" s="29">
        <v>68</v>
      </c>
      <c r="C290" s="17" t="s">
        <v>175</v>
      </c>
      <c r="D290" s="17"/>
      <c r="E290" s="17"/>
      <c r="F290" s="33" t="s">
        <v>176</v>
      </c>
      <c r="G290" s="17">
        <v>1</v>
      </c>
      <c r="H290" s="17"/>
      <c r="I290" s="17"/>
      <c r="J290" s="43"/>
      <c r="K290" s="43"/>
      <c r="L290" s="13" t="s">
        <v>174</v>
      </c>
      <c r="M290" s="17"/>
    </row>
    <row r="291" s="10" customFormat="1" spans="1:13">
      <c r="A291" s="34">
        <v>45805</v>
      </c>
      <c r="B291" s="29">
        <v>68</v>
      </c>
      <c r="C291" s="17">
        <v>566</v>
      </c>
      <c r="D291" s="17"/>
      <c r="E291" s="17"/>
      <c r="F291" s="33" t="s">
        <v>177</v>
      </c>
      <c r="G291" s="17">
        <v>1</v>
      </c>
      <c r="H291" s="17"/>
      <c r="I291" s="17"/>
      <c r="J291" s="43"/>
      <c r="K291" s="43"/>
      <c r="L291" s="13" t="s">
        <v>174</v>
      </c>
      <c r="M291" s="17"/>
    </row>
    <row r="292" s="12" customFormat="1" spans="1:13">
      <c r="A292" s="24">
        <v>45817</v>
      </c>
      <c r="B292" s="25">
        <v>28</v>
      </c>
      <c r="C292" s="59" t="s">
        <v>178</v>
      </c>
      <c r="D292" s="60"/>
      <c r="E292" s="60"/>
      <c r="F292" s="26" t="s">
        <v>179</v>
      </c>
      <c r="G292" s="26">
        <v>1</v>
      </c>
      <c r="H292" s="26">
        <v>12</v>
      </c>
      <c r="I292" s="26">
        <f t="shared" ref="I292:I309" si="26">G292*H292</f>
        <v>12</v>
      </c>
      <c r="J292" s="41">
        <v>18</v>
      </c>
      <c r="K292" s="41">
        <f t="shared" ref="K292:K309" si="27">I292*J292</f>
        <v>216</v>
      </c>
      <c r="M292" s="26"/>
    </row>
    <row r="293" s="12" customFormat="1" spans="1:13">
      <c r="A293" s="24">
        <v>45817</v>
      </c>
      <c r="B293" s="25">
        <v>28</v>
      </c>
      <c r="C293" s="59" t="s">
        <v>180</v>
      </c>
      <c r="D293" s="60"/>
      <c r="E293" s="60"/>
      <c r="F293" s="26" t="s">
        <v>16</v>
      </c>
      <c r="G293" s="26">
        <v>1</v>
      </c>
      <c r="H293" s="26">
        <v>5</v>
      </c>
      <c r="I293" s="26">
        <f t="shared" si="26"/>
        <v>5</v>
      </c>
      <c r="J293" s="41">
        <v>18</v>
      </c>
      <c r="K293" s="41">
        <f t="shared" si="27"/>
        <v>90</v>
      </c>
      <c r="M293" s="26"/>
    </row>
    <row r="294" s="11" customFormat="1" spans="1:13">
      <c r="A294" s="24">
        <v>45817</v>
      </c>
      <c r="B294" s="25">
        <v>28</v>
      </c>
      <c r="C294" s="26" t="s">
        <v>19</v>
      </c>
      <c r="D294" s="26"/>
      <c r="E294" s="26"/>
      <c r="F294" s="27" t="s">
        <v>20</v>
      </c>
      <c r="G294" s="26">
        <v>1</v>
      </c>
      <c r="H294" s="26">
        <v>10</v>
      </c>
      <c r="I294" s="26">
        <f t="shared" si="26"/>
        <v>10</v>
      </c>
      <c r="J294" s="41">
        <v>18</v>
      </c>
      <c r="K294" s="41">
        <f t="shared" si="27"/>
        <v>180</v>
      </c>
      <c r="L294" s="12"/>
      <c r="M294" s="26">
        <f>SUM(K292:K294)</f>
        <v>486</v>
      </c>
    </row>
    <row r="295" s="11" customFormat="1" spans="1:13">
      <c r="A295" s="24">
        <v>45817</v>
      </c>
      <c r="B295" s="25">
        <v>28</v>
      </c>
      <c r="C295" s="26" t="s">
        <v>52</v>
      </c>
      <c r="D295" s="26"/>
      <c r="E295" s="26"/>
      <c r="F295" s="27" t="s">
        <v>12</v>
      </c>
      <c r="G295" s="26">
        <v>1</v>
      </c>
      <c r="H295" s="26">
        <v>180</v>
      </c>
      <c r="I295" s="26">
        <f t="shared" si="26"/>
        <v>180</v>
      </c>
      <c r="J295" s="41">
        <v>10.5</v>
      </c>
      <c r="K295" s="41">
        <f t="shared" si="27"/>
        <v>1890</v>
      </c>
      <c r="L295" s="12"/>
      <c r="M295" s="26">
        <f>SUM(K292:K295)</f>
        <v>2376</v>
      </c>
    </row>
    <row r="296" s="17" customFormat="1" spans="1:13">
      <c r="A296" s="34">
        <v>45835</v>
      </c>
      <c r="B296" s="29">
        <v>44</v>
      </c>
      <c r="C296" s="61"/>
      <c r="D296" s="36"/>
      <c r="E296" s="36"/>
      <c r="F296" s="33" t="s">
        <v>181</v>
      </c>
      <c r="G296" s="17">
        <v>1</v>
      </c>
      <c r="H296" s="17">
        <v>2</v>
      </c>
      <c r="I296" s="17">
        <f t="shared" si="26"/>
        <v>2</v>
      </c>
      <c r="J296" s="43">
        <v>18</v>
      </c>
      <c r="K296" s="43">
        <f t="shared" si="27"/>
        <v>36</v>
      </c>
      <c r="L296" s="34">
        <v>45822</v>
      </c>
      <c r="M296" s="36"/>
    </row>
    <row r="297" s="18" customFormat="1" spans="1:13">
      <c r="A297" s="34">
        <v>45835</v>
      </c>
      <c r="B297" s="29">
        <v>44</v>
      </c>
      <c r="C297" s="62" t="s">
        <v>182</v>
      </c>
      <c r="D297" s="17"/>
      <c r="E297" s="17"/>
      <c r="F297" s="33" t="s">
        <v>183</v>
      </c>
      <c r="G297" s="17">
        <v>1</v>
      </c>
      <c r="H297" s="17">
        <v>2</v>
      </c>
      <c r="I297" s="17">
        <f t="shared" si="26"/>
        <v>2</v>
      </c>
      <c r="J297" s="43">
        <v>22</v>
      </c>
      <c r="K297" s="43">
        <f t="shared" si="27"/>
        <v>44</v>
      </c>
      <c r="L297" s="34">
        <v>45822</v>
      </c>
      <c r="M297" s="17">
        <f>SUM(K296:K297)</f>
        <v>80</v>
      </c>
    </row>
    <row r="298" s="18" customFormat="1" spans="1:13">
      <c r="A298" s="34">
        <v>45835</v>
      </c>
      <c r="B298" s="29">
        <v>44</v>
      </c>
      <c r="C298" s="17">
        <v>9803</v>
      </c>
      <c r="D298" s="17"/>
      <c r="E298" s="17"/>
      <c r="F298" s="33" t="s">
        <v>13</v>
      </c>
      <c r="G298" s="17">
        <v>10</v>
      </c>
      <c r="H298" s="17">
        <v>28</v>
      </c>
      <c r="I298" s="17">
        <f t="shared" si="26"/>
        <v>280</v>
      </c>
      <c r="J298" s="43">
        <v>9</v>
      </c>
      <c r="K298" s="43">
        <f t="shared" si="27"/>
        <v>2520</v>
      </c>
      <c r="L298" s="17">
        <v>9804</v>
      </c>
      <c r="M298" s="17"/>
    </row>
    <row r="299" s="11" customFormat="1" spans="1:13">
      <c r="A299" s="24">
        <v>45838</v>
      </c>
      <c r="B299" s="25">
        <v>99</v>
      </c>
      <c r="C299" s="26" t="s">
        <v>172</v>
      </c>
      <c r="D299" s="26"/>
      <c r="E299" s="26"/>
      <c r="F299" s="27" t="s">
        <v>173</v>
      </c>
      <c r="G299" s="26">
        <v>1</v>
      </c>
      <c r="H299" s="26">
        <v>11</v>
      </c>
      <c r="I299" s="26">
        <f t="shared" si="26"/>
        <v>11</v>
      </c>
      <c r="J299" s="41">
        <v>18</v>
      </c>
      <c r="K299" s="41">
        <f t="shared" si="27"/>
        <v>198</v>
      </c>
      <c r="L299" s="12"/>
      <c r="M299" s="26"/>
    </row>
    <row r="300" s="11" customFormat="1" spans="1:13">
      <c r="A300" s="24">
        <v>45838</v>
      </c>
      <c r="B300" s="25">
        <v>99</v>
      </c>
      <c r="C300" s="26">
        <v>2022</v>
      </c>
      <c r="D300" s="26"/>
      <c r="E300" s="26"/>
      <c r="F300" s="27" t="s">
        <v>184</v>
      </c>
      <c r="G300" s="26">
        <v>1</v>
      </c>
      <c r="H300" s="26">
        <v>11</v>
      </c>
      <c r="I300" s="26">
        <f t="shared" si="26"/>
        <v>11</v>
      </c>
      <c r="J300" s="41">
        <v>18</v>
      </c>
      <c r="K300" s="41">
        <f t="shared" si="27"/>
        <v>198</v>
      </c>
      <c r="L300" s="12"/>
      <c r="M300" s="26"/>
    </row>
    <row r="301" s="11" customFormat="1" spans="1:13">
      <c r="A301" s="24">
        <v>45838</v>
      </c>
      <c r="B301" s="25">
        <v>99</v>
      </c>
      <c r="C301" s="26">
        <v>516</v>
      </c>
      <c r="D301" s="26"/>
      <c r="E301" s="26"/>
      <c r="F301" s="27" t="s">
        <v>157</v>
      </c>
      <c r="G301" s="26">
        <v>2</v>
      </c>
      <c r="H301" s="26">
        <v>26</v>
      </c>
      <c r="I301" s="26">
        <f t="shared" si="26"/>
        <v>52</v>
      </c>
      <c r="J301" s="41">
        <v>18</v>
      </c>
      <c r="K301" s="41">
        <f t="shared" si="27"/>
        <v>936</v>
      </c>
      <c r="L301" s="12"/>
      <c r="M301" s="26"/>
    </row>
    <row r="302" s="11" customFormat="1" spans="1:13">
      <c r="A302" s="24">
        <v>45838</v>
      </c>
      <c r="B302" s="25">
        <v>99</v>
      </c>
      <c r="C302" s="26" t="s">
        <v>19</v>
      </c>
      <c r="D302" s="26"/>
      <c r="E302" s="26"/>
      <c r="F302" s="27" t="s">
        <v>20</v>
      </c>
      <c r="G302" s="26">
        <v>4</v>
      </c>
      <c r="H302" s="26">
        <v>10</v>
      </c>
      <c r="I302" s="26">
        <f t="shared" si="26"/>
        <v>40</v>
      </c>
      <c r="J302" s="41">
        <v>18</v>
      </c>
      <c r="K302" s="41">
        <f t="shared" si="27"/>
        <v>720</v>
      </c>
      <c r="L302" s="12">
        <f>SUM(K299:K302)</f>
        <v>2052</v>
      </c>
      <c r="M302" s="26"/>
    </row>
    <row r="303" s="10" customFormat="1" spans="1:13">
      <c r="A303" s="34">
        <v>45839</v>
      </c>
      <c r="B303" s="29">
        <v>1</v>
      </c>
      <c r="C303" s="17" t="s">
        <v>175</v>
      </c>
      <c r="D303" s="17"/>
      <c r="E303" s="17"/>
      <c r="F303" s="33" t="s">
        <v>185</v>
      </c>
      <c r="G303" s="17">
        <v>1</v>
      </c>
      <c r="H303" s="17">
        <v>11</v>
      </c>
      <c r="I303" s="17">
        <f t="shared" si="26"/>
        <v>11</v>
      </c>
      <c r="J303" s="43">
        <v>18</v>
      </c>
      <c r="K303" s="43">
        <f t="shared" si="27"/>
        <v>198</v>
      </c>
      <c r="L303" s="13"/>
      <c r="M303" s="17"/>
    </row>
    <row r="304" s="13" customFormat="1" spans="1:13">
      <c r="A304" s="34">
        <v>45839</v>
      </c>
      <c r="B304" s="29">
        <v>1</v>
      </c>
      <c r="C304" s="63">
        <v>711</v>
      </c>
      <c r="D304" s="64"/>
      <c r="E304" s="64"/>
      <c r="F304" s="37" t="s">
        <v>16</v>
      </c>
      <c r="G304" s="17">
        <v>1</v>
      </c>
      <c r="H304" s="17">
        <v>6</v>
      </c>
      <c r="I304" s="17">
        <f t="shared" si="26"/>
        <v>6</v>
      </c>
      <c r="J304" s="43">
        <v>18</v>
      </c>
      <c r="K304" s="43">
        <f t="shared" si="27"/>
        <v>108</v>
      </c>
      <c r="M304" s="17"/>
    </row>
    <row r="305" s="19" customFormat="1" ht="23" customHeight="1" spans="1:13">
      <c r="A305" s="24">
        <v>45843</v>
      </c>
      <c r="B305" s="25">
        <v>15</v>
      </c>
      <c r="C305" s="26">
        <v>9803</v>
      </c>
      <c r="D305" s="26"/>
      <c r="E305" s="26"/>
      <c r="F305" s="27" t="s">
        <v>13</v>
      </c>
      <c r="G305" s="26">
        <v>10</v>
      </c>
      <c r="H305" s="26">
        <v>28</v>
      </c>
      <c r="I305" s="26">
        <f t="shared" si="26"/>
        <v>280</v>
      </c>
      <c r="J305" s="41">
        <v>9</v>
      </c>
      <c r="K305" s="41">
        <f t="shared" si="27"/>
        <v>2520</v>
      </c>
      <c r="L305" s="26">
        <v>9804</v>
      </c>
      <c r="M305" s="26"/>
    </row>
    <row r="306" s="10" customFormat="1" spans="1:13">
      <c r="A306" s="34">
        <v>45846</v>
      </c>
      <c r="B306" s="29">
        <v>21</v>
      </c>
      <c r="C306" s="17">
        <v>516</v>
      </c>
      <c r="D306" s="17"/>
      <c r="E306" s="17"/>
      <c r="F306" s="33" t="s">
        <v>157</v>
      </c>
      <c r="G306" s="17">
        <v>1</v>
      </c>
      <c r="H306" s="17">
        <v>26</v>
      </c>
      <c r="I306" s="17">
        <f t="shared" si="26"/>
        <v>26</v>
      </c>
      <c r="J306" s="43">
        <v>18</v>
      </c>
      <c r="K306" s="43">
        <f t="shared" si="27"/>
        <v>468</v>
      </c>
      <c r="L306" s="13" t="s">
        <v>171</v>
      </c>
      <c r="M306" s="17"/>
    </row>
    <row r="307" s="10" customFormat="1" spans="1:13">
      <c r="A307" s="34">
        <v>45846</v>
      </c>
      <c r="B307" s="29">
        <v>21</v>
      </c>
      <c r="C307" s="17">
        <v>516</v>
      </c>
      <c r="D307" s="17"/>
      <c r="E307" s="17"/>
      <c r="F307" s="33" t="s">
        <v>157</v>
      </c>
      <c r="G307" s="17">
        <v>1</v>
      </c>
      <c r="H307" s="17">
        <v>25</v>
      </c>
      <c r="I307" s="17">
        <f t="shared" si="26"/>
        <v>25</v>
      </c>
      <c r="J307" s="43">
        <v>18</v>
      </c>
      <c r="K307" s="43">
        <f t="shared" si="27"/>
        <v>450</v>
      </c>
      <c r="L307" s="13" t="s">
        <v>171</v>
      </c>
      <c r="M307" s="17"/>
    </row>
    <row r="308" s="13" customFormat="1" spans="1:13">
      <c r="A308" s="34">
        <v>45846</v>
      </c>
      <c r="B308" s="29">
        <v>21</v>
      </c>
      <c r="C308" s="63" t="s">
        <v>178</v>
      </c>
      <c r="D308" s="64"/>
      <c r="E308" s="64"/>
      <c r="F308" s="33" t="s">
        <v>179</v>
      </c>
      <c r="G308" s="17">
        <v>1</v>
      </c>
      <c r="H308" s="17">
        <v>15</v>
      </c>
      <c r="I308" s="17">
        <f t="shared" ref="I308:I338" si="28">G308*H308</f>
        <v>15</v>
      </c>
      <c r="J308" s="43">
        <v>18</v>
      </c>
      <c r="K308" s="43">
        <f t="shared" ref="K308:K337" si="29">I308*J308</f>
        <v>270</v>
      </c>
      <c r="L308" s="36"/>
      <c r="M308" s="17"/>
    </row>
    <row r="309" s="10" customFormat="1" spans="1:13">
      <c r="A309" s="34">
        <v>45846</v>
      </c>
      <c r="B309" s="29">
        <v>21</v>
      </c>
      <c r="C309" s="17" t="s">
        <v>55</v>
      </c>
      <c r="D309" s="17"/>
      <c r="E309" s="17"/>
      <c r="F309" s="33" t="s">
        <v>56</v>
      </c>
      <c r="G309" s="17">
        <v>2</v>
      </c>
      <c r="H309" s="17">
        <v>26</v>
      </c>
      <c r="I309" s="17">
        <f t="shared" si="28"/>
        <v>52</v>
      </c>
      <c r="J309" s="43">
        <v>18</v>
      </c>
      <c r="K309" s="43">
        <f t="shared" si="29"/>
        <v>936</v>
      </c>
      <c r="L309" s="13" t="s">
        <v>164</v>
      </c>
      <c r="M309" s="17"/>
    </row>
    <row r="310" s="10" customFormat="1" spans="1:13">
      <c r="A310" s="34">
        <v>45846</v>
      </c>
      <c r="B310" s="29">
        <v>21</v>
      </c>
      <c r="C310" s="17" t="s">
        <v>55</v>
      </c>
      <c r="D310" s="17"/>
      <c r="E310" s="17"/>
      <c r="F310" s="33" t="s">
        <v>56</v>
      </c>
      <c r="G310" s="17">
        <v>1</v>
      </c>
      <c r="H310" s="17">
        <v>25</v>
      </c>
      <c r="I310" s="17">
        <f t="shared" si="28"/>
        <v>25</v>
      </c>
      <c r="J310" s="43">
        <v>18</v>
      </c>
      <c r="K310" s="43">
        <f t="shared" si="29"/>
        <v>450</v>
      </c>
      <c r="L310" s="13" t="s">
        <v>164</v>
      </c>
      <c r="M310" s="17"/>
    </row>
    <row r="311" s="10" customFormat="1" spans="1:13">
      <c r="A311" s="34">
        <v>45846</v>
      </c>
      <c r="B311" s="29">
        <v>21</v>
      </c>
      <c r="C311" s="17" t="s">
        <v>19</v>
      </c>
      <c r="D311" s="17"/>
      <c r="E311" s="17"/>
      <c r="F311" s="33" t="s">
        <v>20</v>
      </c>
      <c r="G311" s="17">
        <v>6</v>
      </c>
      <c r="H311" s="17">
        <v>10</v>
      </c>
      <c r="I311" s="17">
        <f t="shared" si="28"/>
        <v>60</v>
      </c>
      <c r="J311" s="43">
        <v>18</v>
      </c>
      <c r="K311" s="43">
        <f t="shared" si="29"/>
        <v>1080</v>
      </c>
      <c r="L311" s="13">
        <f>SUM(K306:K311)</f>
        <v>3654</v>
      </c>
      <c r="M311" s="17"/>
    </row>
    <row r="312" s="11" customFormat="1" spans="1:13">
      <c r="A312" s="24">
        <v>45852</v>
      </c>
      <c r="B312" s="25">
        <v>50</v>
      </c>
      <c r="C312" s="26" t="s">
        <v>55</v>
      </c>
      <c r="D312" s="26"/>
      <c r="E312" s="26"/>
      <c r="F312" s="27" t="s">
        <v>56</v>
      </c>
      <c r="G312" s="26">
        <v>3</v>
      </c>
      <c r="H312" s="26">
        <v>26</v>
      </c>
      <c r="I312" s="26">
        <f t="shared" si="28"/>
        <v>78</v>
      </c>
      <c r="J312" s="41">
        <v>18</v>
      </c>
      <c r="K312" s="41">
        <f t="shared" si="29"/>
        <v>1404</v>
      </c>
      <c r="L312" s="12" t="s">
        <v>164</v>
      </c>
      <c r="M312" s="26"/>
    </row>
    <row r="313" s="11" customFormat="1" spans="1:13">
      <c r="A313" s="24">
        <v>45852</v>
      </c>
      <c r="B313" s="25">
        <v>50</v>
      </c>
      <c r="C313" s="26" t="s">
        <v>19</v>
      </c>
      <c r="D313" s="26"/>
      <c r="E313" s="26"/>
      <c r="F313" s="27" t="s">
        <v>20</v>
      </c>
      <c r="G313" s="26">
        <v>3</v>
      </c>
      <c r="H313" s="26">
        <v>10</v>
      </c>
      <c r="I313" s="26">
        <f t="shared" si="28"/>
        <v>30</v>
      </c>
      <c r="J313" s="41">
        <v>18</v>
      </c>
      <c r="K313" s="41">
        <f t="shared" si="29"/>
        <v>540</v>
      </c>
      <c r="L313" s="12">
        <f>SUM(K308:K313)</f>
        <v>4680</v>
      </c>
      <c r="M313" s="26"/>
    </row>
    <row r="314" s="10" customFormat="1" spans="1:13">
      <c r="A314" s="34">
        <v>45857</v>
      </c>
      <c r="B314" s="29">
        <v>69</v>
      </c>
      <c r="C314" s="17" t="s">
        <v>50</v>
      </c>
      <c r="D314" s="17"/>
      <c r="E314" s="17"/>
      <c r="F314" s="37" t="s">
        <v>51</v>
      </c>
      <c r="G314" s="17">
        <v>4</v>
      </c>
      <c r="H314" s="17">
        <v>25</v>
      </c>
      <c r="I314" s="17">
        <f t="shared" si="28"/>
        <v>100</v>
      </c>
      <c r="J314" s="43">
        <v>14</v>
      </c>
      <c r="K314" s="43">
        <f t="shared" si="29"/>
        <v>1400</v>
      </c>
      <c r="L314" s="13"/>
      <c r="M314" s="17"/>
    </row>
    <row r="315" s="11" customFormat="1" spans="1:13">
      <c r="A315" s="24">
        <v>45860</v>
      </c>
      <c r="B315" s="25">
        <v>74</v>
      </c>
      <c r="C315" s="26" t="s">
        <v>50</v>
      </c>
      <c r="D315" s="26"/>
      <c r="E315" s="26"/>
      <c r="F315" s="35" t="s">
        <v>51</v>
      </c>
      <c r="G315" s="26">
        <v>2</v>
      </c>
      <c r="H315" s="26">
        <v>25</v>
      </c>
      <c r="I315" s="26">
        <f t="shared" si="28"/>
        <v>50</v>
      </c>
      <c r="J315" s="41">
        <v>14</v>
      </c>
      <c r="K315" s="41">
        <f t="shared" si="29"/>
        <v>700</v>
      </c>
      <c r="L315" s="12"/>
      <c r="M315" s="26"/>
    </row>
    <row r="316" s="11" customFormat="1" spans="1:13">
      <c r="A316" s="24">
        <v>45860</v>
      </c>
      <c r="B316" s="25">
        <v>74</v>
      </c>
      <c r="C316" s="26" t="s">
        <v>21</v>
      </c>
      <c r="D316" s="26"/>
      <c r="E316" s="26"/>
      <c r="F316" s="27" t="s">
        <v>22</v>
      </c>
      <c r="G316" s="26">
        <v>1</v>
      </c>
      <c r="H316" s="26">
        <v>20</v>
      </c>
      <c r="I316" s="26">
        <f t="shared" si="28"/>
        <v>20</v>
      </c>
      <c r="J316" s="41">
        <v>18</v>
      </c>
      <c r="K316" s="41">
        <f t="shared" si="29"/>
        <v>360</v>
      </c>
      <c r="L316" s="12"/>
      <c r="M316" s="26"/>
    </row>
    <row r="317" s="11" customFormat="1" spans="1:13">
      <c r="A317" s="24">
        <v>45860</v>
      </c>
      <c r="B317" s="25">
        <v>74</v>
      </c>
      <c r="C317" s="26" t="s">
        <v>19</v>
      </c>
      <c r="D317" s="26"/>
      <c r="E317" s="26"/>
      <c r="F317" s="27" t="s">
        <v>20</v>
      </c>
      <c r="G317" s="26">
        <v>1</v>
      </c>
      <c r="H317" s="26">
        <v>10</v>
      </c>
      <c r="I317" s="26">
        <f t="shared" si="28"/>
        <v>10</v>
      </c>
      <c r="J317" s="41">
        <v>18</v>
      </c>
      <c r="K317" s="41">
        <f t="shared" si="29"/>
        <v>180</v>
      </c>
      <c r="L317" s="12">
        <f>SUM(K312:K317)</f>
        <v>4584</v>
      </c>
      <c r="M317" s="26"/>
    </row>
    <row r="318" s="10" customFormat="1" spans="1:13">
      <c r="A318" s="34">
        <v>45860</v>
      </c>
      <c r="B318" s="29">
        <v>77</v>
      </c>
      <c r="C318" s="17" t="s">
        <v>21</v>
      </c>
      <c r="D318" s="17"/>
      <c r="E318" s="17"/>
      <c r="F318" s="33" t="s">
        <v>22</v>
      </c>
      <c r="G318" s="17">
        <v>1</v>
      </c>
      <c r="H318" s="17">
        <v>20</v>
      </c>
      <c r="I318" s="17">
        <f t="shared" si="28"/>
        <v>20</v>
      </c>
      <c r="J318" s="43">
        <v>18</v>
      </c>
      <c r="K318" s="43">
        <f t="shared" si="29"/>
        <v>360</v>
      </c>
      <c r="L318" s="13"/>
      <c r="M318" s="17"/>
    </row>
    <row r="319" s="10" customFormat="1" spans="1:13">
      <c r="A319" s="34">
        <v>45860</v>
      </c>
      <c r="B319" s="29">
        <v>77</v>
      </c>
      <c r="C319" s="17" t="s">
        <v>19</v>
      </c>
      <c r="D319" s="17"/>
      <c r="E319" s="17"/>
      <c r="F319" s="33" t="s">
        <v>20</v>
      </c>
      <c r="G319" s="17">
        <v>1</v>
      </c>
      <c r="H319" s="17">
        <v>10</v>
      </c>
      <c r="I319" s="17">
        <f t="shared" si="28"/>
        <v>10</v>
      </c>
      <c r="J319" s="43">
        <v>18</v>
      </c>
      <c r="K319" s="43">
        <f t="shared" si="29"/>
        <v>180</v>
      </c>
      <c r="L319" s="13">
        <f>SUM(K318:K319)</f>
        <v>540</v>
      </c>
      <c r="M319" s="17"/>
    </row>
    <row r="320" s="19" customFormat="1" ht="23" customHeight="1" spans="1:13">
      <c r="A320" s="24">
        <v>45867</v>
      </c>
      <c r="B320" s="25">
        <v>90</v>
      </c>
      <c r="C320" s="26">
        <v>9803</v>
      </c>
      <c r="D320" s="26"/>
      <c r="E320" s="26"/>
      <c r="F320" s="27" t="s">
        <v>13</v>
      </c>
      <c r="G320" s="26">
        <v>4</v>
      </c>
      <c r="H320" s="26">
        <v>28</v>
      </c>
      <c r="I320" s="26">
        <f t="shared" si="28"/>
        <v>112</v>
      </c>
      <c r="J320" s="41">
        <v>9</v>
      </c>
      <c r="K320" s="41">
        <f t="shared" si="29"/>
        <v>1008</v>
      </c>
      <c r="L320" s="26" t="s">
        <v>186</v>
      </c>
      <c r="M320" s="26"/>
    </row>
    <row r="321" s="19" customFormat="1" ht="23" customHeight="1" spans="1:15">
      <c r="A321" s="24">
        <v>45867</v>
      </c>
      <c r="B321" s="25">
        <v>90</v>
      </c>
      <c r="C321" s="26">
        <v>9803</v>
      </c>
      <c r="D321" s="26"/>
      <c r="E321" s="26"/>
      <c r="F321" s="27" t="s">
        <v>13</v>
      </c>
      <c r="G321" s="26">
        <v>6</v>
      </c>
      <c r="H321" s="26">
        <v>28</v>
      </c>
      <c r="I321" s="26">
        <f t="shared" si="28"/>
        <v>168</v>
      </c>
      <c r="J321" s="41">
        <v>9</v>
      </c>
      <c r="K321" s="41">
        <f t="shared" si="29"/>
        <v>1512</v>
      </c>
      <c r="L321" s="26">
        <v>9804</v>
      </c>
      <c r="M321" s="26"/>
    </row>
    <row r="322" s="10" customFormat="1" spans="1:15">
      <c r="A322" s="34">
        <v>45871</v>
      </c>
      <c r="B322" s="29">
        <v>1</v>
      </c>
      <c r="C322" s="17" t="s">
        <v>103</v>
      </c>
      <c r="D322" s="17"/>
      <c r="E322" s="17"/>
      <c r="F322" s="33" t="s">
        <v>111</v>
      </c>
      <c r="G322" s="17">
        <v>3</v>
      </c>
      <c r="H322" s="17">
        <v>25</v>
      </c>
      <c r="I322" s="17">
        <f t="shared" si="28"/>
        <v>75</v>
      </c>
      <c r="J322" s="43"/>
      <c r="K322" s="43">
        <f t="shared" si="29"/>
        <v>0</v>
      </c>
      <c r="L322" s="15" t="s">
        <v>187</v>
      </c>
      <c r="M322" s="30"/>
      <c r="N322" s="9"/>
      <c r="O322" s="9"/>
    </row>
    <row r="323" s="10" customFormat="1" spans="1:15">
      <c r="A323" s="34">
        <v>45871</v>
      </c>
      <c r="B323" s="29">
        <v>1</v>
      </c>
      <c r="C323" s="17" t="s">
        <v>19</v>
      </c>
      <c r="D323" s="17"/>
      <c r="E323" s="17"/>
      <c r="F323" s="33" t="s">
        <v>20</v>
      </c>
      <c r="G323" s="17">
        <v>4</v>
      </c>
      <c r="H323" s="17">
        <v>10</v>
      </c>
      <c r="I323" s="17">
        <f t="shared" si="28"/>
        <v>40</v>
      </c>
      <c r="J323" s="43">
        <v>18</v>
      </c>
      <c r="K323" s="43">
        <f t="shared" si="29"/>
        <v>720</v>
      </c>
      <c r="L323" s="13"/>
      <c r="M323" s="17">
        <f>SUM(K321:K323)</f>
        <v>2232</v>
      </c>
    </row>
    <row r="324" s="10" customFormat="1" spans="1:15">
      <c r="A324" s="34">
        <v>45871</v>
      </c>
      <c r="B324" s="29">
        <v>1</v>
      </c>
      <c r="C324" s="17" t="s">
        <v>52</v>
      </c>
      <c r="D324" s="17"/>
      <c r="E324" s="17"/>
      <c r="F324" s="33" t="s">
        <v>12</v>
      </c>
      <c r="G324" s="17">
        <v>1</v>
      </c>
      <c r="H324" s="17">
        <v>180</v>
      </c>
      <c r="I324" s="17">
        <f t="shared" si="28"/>
        <v>180</v>
      </c>
      <c r="J324" s="43">
        <v>10.5</v>
      </c>
      <c r="K324" s="43">
        <f t="shared" si="29"/>
        <v>1890</v>
      </c>
      <c r="L324" s="13"/>
      <c r="M324" s="17">
        <f>SUM(K321:K324)</f>
        <v>4122</v>
      </c>
    </row>
    <row r="325" s="19" customFormat="1" ht="23" customHeight="1" spans="1:15">
      <c r="A325" s="24">
        <v>45881</v>
      </c>
      <c r="B325" s="25">
        <v>21</v>
      </c>
      <c r="C325" s="26">
        <v>9803</v>
      </c>
      <c r="D325" s="26"/>
      <c r="E325" s="26"/>
      <c r="F325" s="27" t="s">
        <v>13</v>
      </c>
      <c r="G325" s="26">
        <v>5</v>
      </c>
      <c r="H325" s="26">
        <v>28</v>
      </c>
      <c r="I325" s="26">
        <f t="shared" si="28"/>
        <v>140</v>
      </c>
      <c r="J325" s="41">
        <v>9</v>
      </c>
      <c r="K325" s="41">
        <f t="shared" si="29"/>
        <v>1260</v>
      </c>
      <c r="L325" s="27">
        <v>9804</v>
      </c>
      <c r="M325" s="26" t="s">
        <v>188</v>
      </c>
    </row>
    <row r="326" s="11" customFormat="1" spans="1:15">
      <c r="A326" s="24">
        <v>45881</v>
      </c>
      <c r="B326" s="25">
        <v>21</v>
      </c>
      <c r="C326" s="26" t="s">
        <v>189</v>
      </c>
      <c r="D326" s="26"/>
      <c r="E326" s="26"/>
      <c r="F326" s="27" t="s">
        <v>111</v>
      </c>
      <c r="G326" s="26">
        <v>1</v>
      </c>
      <c r="H326" s="26">
        <v>25</v>
      </c>
      <c r="I326" s="26">
        <f t="shared" si="28"/>
        <v>25</v>
      </c>
      <c r="J326" s="41">
        <v>18</v>
      </c>
      <c r="K326" s="41">
        <f t="shared" si="29"/>
        <v>450</v>
      </c>
      <c r="L326" s="12" t="s">
        <v>190</v>
      </c>
      <c r="M326" s="26"/>
    </row>
    <row r="327" s="11" customFormat="1" spans="1:15">
      <c r="A327" s="24">
        <v>45881</v>
      </c>
      <c r="B327" s="25">
        <v>21</v>
      </c>
      <c r="C327" s="26" t="s">
        <v>191</v>
      </c>
      <c r="D327" s="26"/>
      <c r="E327" s="26"/>
      <c r="F327" s="27" t="s">
        <v>148</v>
      </c>
      <c r="G327" s="26">
        <v>1</v>
      </c>
      <c r="H327" s="26">
        <v>25</v>
      </c>
      <c r="I327" s="26">
        <f t="shared" si="28"/>
        <v>25</v>
      </c>
      <c r="J327" s="41">
        <v>18</v>
      </c>
      <c r="K327" s="41">
        <f t="shared" si="29"/>
        <v>450</v>
      </c>
      <c r="L327" s="12"/>
      <c r="M327" s="26"/>
    </row>
    <row r="328" s="11" customFormat="1" spans="1:15">
      <c r="A328" s="24">
        <v>45881</v>
      </c>
      <c r="B328" s="25">
        <v>21</v>
      </c>
      <c r="C328" s="26">
        <v>516</v>
      </c>
      <c r="D328" s="26"/>
      <c r="E328" s="26"/>
      <c r="F328" s="27" t="s">
        <v>157</v>
      </c>
      <c r="G328" s="26">
        <v>1</v>
      </c>
      <c r="H328" s="26">
        <v>13</v>
      </c>
      <c r="I328" s="26">
        <f t="shared" si="28"/>
        <v>13</v>
      </c>
      <c r="J328" s="41">
        <v>18</v>
      </c>
      <c r="K328" s="41">
        <f t="shared" si="29"/>
        <v>234</v>
      </c>
      <c r="L328" s="12"/>
      <c r="M328" s="26"/>
    </row>
    <row r="329" s="11" customFormat="1" spans="1:15">
      <c r="A329" s="24">
        <v>45881</v>
      </c>
      <c r="B329" s="25">
        <v>21</v>
      </c>
      <c r="C329" s="26" t="s">
        <v>19</v>
      </c>
      <c r="D329" s="26"/>
      <c r="E329" s="26"/>
      <c r="F329" s="27" t="s">
        <v>20</v>
      </c>
      <c r="G329" s="26">
        <v>4</v>
      </c>
      <c r="H329" s="26">
        <v>10</v>
      </c>
      <c r="I329" s="26">
        <f t="shared" si="28"/>
        <v>40</v>
      </c>
      <c r="J329" s="41">
        <v>18</v>
      </c>
      <c r="K329" s="41">
        <f t="shared" si="29"/>
        <v>720</v>
      </c>
      <c r="L329" s="12">
        <f>SUM(K325:K329)</f>
        <v>3114</v>
      </c>
      <c r="M329" s="26"/>
    </row>
    <row r="330" s="10" customFormat="1" spans="1:15">
      <c r="A330" s="34">
        <v>45882</v>
      </c>
      <c r="B330" s="29" t="s">
        <v>192</v>
      </c>
      <c r="C330" s="34">
        <v>45881</v>
      </c>
      <c r="D330" s="17"/>
      <c r="E330" s="17"/>
      <c r="F330" s="37" t="s">
        <v>126</v>
      </c>
      <c r="G330" s="17">
        <v>2</v>
      </c>
      <c r="H330" s="17">
        <v>18</v>
      </c>
      <c r="I330" s="17">
        <f t="shared" si="28"/>
        <v>36</v>
      </c>
      <c r="J330" s="43">
        <v>5.5</v>
      </c>
      <c r="K330" s="43">
        <f t="shared" si="29"/>
        <v>198</v>
      </c>
      <c r="L330" s="13"/>
      <c r="M330" s="17"/>
    </row>
    <row r="331" s="10" customFormat="1" spans="1:15">
      <c r="A331" s="34">
        <v>45882</v>
      </c>
      <c r="B331" s="29" t="s">
        <v>192</v>
      </c>
      <c r="C331" s="34">
        <v>45882</v>
      </c>
      <c r="D331" s="17"/>
      <c r="E331" s="17"/>
      <c r="F331" s="37" t="s">
        <v>126</v>
      </c>
      <c r="G331" s="17">
        <v>3</v>
      </c>
      <c r="H331" s="17">
        <v>18</v>
      </c>
      <c r="I331" s="17">
        <f t="shared" si="28"/>
        <v>54</v>
      </c>
      <c r="J331" s="43">
        <v>5.5</v>
      </c>
      <c r="K331" s="43">
        <f t="shared" si="29"/>
        <v>297</v>
      </c>
      <c r="L331" s="13">
        <f>SUM(K330:K331)</f>
        <v>495</v>
      </c>
      <c r="M331" s="17"/>
    </row>
    <row r="332" s="11" customFormat="1" spans="1:15">
      <c r="A332" s="24">
        <v>45882</v>
      </c>
      <c r="B332" s="25" t="s">
        <v>193</v>
      </c>
      <c r="C332" s="26">
        <v>9803</v>
      </c>
      <c r="D332" s="26"/>
      <c r="E332" s="26"/>
      <c r="F332" s="27" t="s">
        <v>13</v>
      </c>
      <c r="G332" s="26">
        <v>4</v>
      </c>
      <c r="H332" s="26">
        <v>28</v>
      </c>
      <c r="I332" s="26">
        <f t="shared" si="28"/>
        <v>112</v>
      </c>
      <c r="J332" s="41">
        <v>9</v>
      </c>
      <c r="K332" s="41">
        <f t="shared" si="29"/>
        <v>1008</v>
      </c>
      <c r="L332" s="12"/>
      <c r="M332" s="26"/>
    </row>
    <row r="333" s="10" customFormat="1" spans="1:15">
      <c r="A333" s="34">
        <v>45884</v>
      </c>
      <c r="B333" s="29">
        <v>36</v>
      </c>
      <c r="C333" s="17">
        <v>9803</v>
      </c>
      <c r="D333" s="17"/>
      <c r="E333" s="17"/>
      <c r="F333" s="33" t="s">
        <v>13</v>
      </c>
      <c r="G333" s="17">
        <v>2</v>
      </c>
      <c r="H333" s="17">
        <v>28</v>
      </c>
      <c r="I333" s="17">
        <f t="shared" si="28"/>
        <v>56</v>
      </c>
      <c r="J333" s="43">
        <v>9</v>
      </c>
      <c r="K333" s="43">
        <f t="shared" si="29"/>
        <v>504</v>
      </c>
      <c r="L333" s="13"/>
      <c r="M333" s="17"/>
    </row>
    <row r="334" s="11" customFormat="1" spans="1:15">
      <c r="A334" s="24">
        <v>45885</v>
      </c>
      <c r="B334" s="25">
        <v>40</v>
      </c>
      <c r="C334" s="26">
        <v>516</v>
      </c>
      <c r="D334" s="26"/>
      <c r="E334" s="26"/>
      <c r="F334" s="27" t="s">
        <v>157</v>
      </c>
      <c r="G334" s="26">
        <v>1</v>
      </c>
      <c r="H334" s="26">
        <v>10</v>
      </c>
      <c r="I334" s="26">
        <f t="shared" si="28"/>
        <v>10</v>
      </c>
      <c r="J334" s="41">
        <v>18</v>
      </c>
      <c r="K334" s="41">
        <f t="shared" si="29"/>
        <v>180</v>
      </c>
      <c r="L334" s="12"/>
      <c r="M334" s="26"/>
    </row>
    <row r="335" s="10" customFormat="1" spans="1:15">
      <c r="A335" s="34">
        <v>45887</v>
      </c>
      <c r="B335" s="29">
        <v>41</v>
      </c>
      <c r="C335" s="17" t="s">
        <v>19</v>
      </c>
      <c r="D335" s="17"/>
      <c r="E335" s="17"/>
      <c r="F335" s="33" t="s">
        <v>20</v>
      </c>
      <c r="G335" s="17">
        <v>1</v>
      </c>
      <c r="H335" s="17">
        <v>10</v>
      </c>
      <c r="I335" s="17">
        <f t="shared" si="28"/>
        <v>10</v>
      </c>
      <c r="J335" s="43">
        <v>18</v>
      </c>
      <c r="K335" s="43">
        <f t="shared" si="29"/>
        <v>180</v>
      </c>
      <c r="L335" s="13">
        <f>K335</f>
        <v>180</v>
      </c>
      <c r="M335" s="17"/>
    </row>
    <row r="336" s="11" customFormat="1" spans="1:15">
      <c r="A336" s="24">
        <v>45890</v>
      </c>
      <c r="B336" s="25" t="s">
        <v>194</v>
      </c>
      <c r="C336" s="26" t="s">
        <v>140</v>
      </c>
      <c r="D336" s="26"/>
      <c r="E336" s="26"/>
      <c r="F336" s="27" t="s">
        <v>144</v>
      </c>
      <c r="G336" s="26">
        <v>1</v>
      </c>
      <c r="H336" s="26">
        <v>1</v>
      </c>
      <c r="I336" s="26">
        <f t="shared" si="28"/>
        <v>1</v>
      </c>
      <c r="J336" s="41">
        <v>18</v>
      </c>
      <c r="K336" s="41">
        <f t="shared" si="29"/>
        <v>18</v>
      </c>
      <c r="L336" s="12" t="s">
        <v>195</v>
      </c>
      <c r="M336" s="26"/>
    </row>
    <row r="337" s="9" customFormat="1" spans="1:14">
      <c r="A337" s="45">
        <v>45891</v>
      </c>
      <c r="B337" s="46">
        <v>56</v>
      </c>
      <c r="C337" s="30" t="s">
        <v>127</v>
      </c>
      <c r="D337" s="30"/>
      <c r="E337" s="30"/>
      <c r="F337" s="47" t="s">
        <v>196</v>
      </c>
      <c r="G337" s="30">
        <v>-1</v>
      </c>
      <c r="H337" s="30">
        <v>25</v>
      </c>
      <c r="I337" s="30">
        <f t="shared" si="28"/>
        <v>-25</v>
      </c>
      <c r="J337" s="48">
        <v>18</v>
      </c>
      <c r="K337" s="48">
        <f t="shared" si="29"/>
        <v>-450</v>
      </c>
      <c r="L337" s="9" t="s">
        <v>197</v>
      </c>
      <c r="M337" s="30"/>
      <c r="N337" s="65" t="s">
        <v>198</v>
      </c>
    </row>
    <row r="338" s="9" customFormat="1" spans="1:14">
      <c r="A338" s="45">
        <v>45891</v>
      </c>
      <c r="B338" s="46">
        <v>56</v>
      </c>
      <c r="C338" s="30" t="s">
        <v>127</v>
      </c>
      <c r="D338" s="30"/>
      <c r="E338" s="30"/>
      <c r="F338" s="47" t="s">
        <v>199</v>
      </c>
      <c r="G338" s="30">
        <v>1</v>
      </c>
      <c r="H338" s="30">
        <v>8</v>
      </c>
      <c r="I338" s="30">
        <f t="shared" si="28"/>
        <v>8</v>
      </c>
      <c r="J338" s="48"/>
      <c r="K338" s="48"/>
      <c r="L338" s="9" t="s">
        <v>200</v>
      </c>
      <c r="M338" s="30"/>
      <c r="N338" s="65"/>
    </row>
    <row r="339" s="9" customFormat="1" spans="1:14">
      <c r="A339" s="45">
        <v>45891</v>
      </c>
      <c r="B339" s="46">
        <v>56</v>
      </c>
      <c r="C339" s="30" t="s">
        <v>127</v>
      </c>
      <c r="D339" s="30"/>
      <c r="E339" s="30"/>
      <c r="F339" s="55" t="s">
        <v>51</v>
      </c>
      <c r="G339" s="30">
        <v>-1</v>
      </c>
      <c r="H339" s="30">
        <v>25</v>
      </c>
      <c r="I339" s="30">
        <f t="shared" ref="I339:I348" si="30">G339*H339</f>
        <v>-25</v>
      </c>
      <c r="J339" s="48">
        <v>14</v>
      </c>
      <c r="K339" s="48">
        <f t="shared" ref="K339:K348" si="31">I339*J339</f>
        <v>-350</v>
      </c>
      <c r="L339" s="66">
        <v>45891</v>
      </c>
      <c r="M339" s="30"/>
      <c r="N339" s="65"/>
    </row>
    <row r="340" s="9" customFormat="1" spans="1:14">
      <c r="A340" s="45">
        <v>45891</v>
      </c>
      <c r="B340" s="46">
        <v>56</v>
      </c>
      <c r="C340" s="30" t="s">
        <v>127</v>
      </c>
      <c r="D340" s="30"/>
      <c r="E340" s="30"/>
      <c r="F340" s="31" t="s">
        <v>201</v>
      </c>
      <c r="G340" s="30">
        <v>-1</v>
      </c>
      <c r="H340" s="30">
        <v>101</v>
      </c>
      <c r="I340" s="30">
        <f t="shared" si="30"/>
        <v>-101</v>
      </c>
      <c r="J340" s="48">
        <v>18</v>
      </c>
      <c r="K340" s="48">
        <f t="shared" si="31"/>
        <v>-1818</v>
      </c>
      <c r="L340" s="66">
        <v>45891</v>
      </c>
      <c r="M340" s="30"/>
      <c r="N340" s="65"/>
    </row>
    <row r="341" s="9" customFormat="1" spans="1:14">
      <c r="A341" s="45">
        <v>45891</v>
      </c>
      <c r="B341" s="46">
        <v>56</v>
      </c>
      <c r="C341" s="30" t="s">
        <v>127</v>
      </c>
      <c r="D341" s="30"/>
      <c r="E341" s="30"/>
      <c r="F341" s="55" t="s">
        <v>126</v>
      </c>
      <c r="G341" s="30">
        <v>-2</v>
      </c>
      <c r="H341" s="30">
        <v>18</v>
      </c>
      <c r="I341" s="30">
        <f t="shared" si="30"/>
        <v>-36</v>
      </c>
      <c r="J341" s="48">
        <v>5.5</v>
      </c>
      <c r="K341" s="48">
        <f t="shared" si="31"/>
        <v>-198</v>
      </c>
      <c r="L341" s="66">
        <v>45891</v>
      </c>
      <c r="M341" s="30"/>
      <c r="N341" s="65"/>
    </row>
    <row r="342" s="9" customFormat="1" spans="1:14">
      <c r="A342" s="45">
        <v>45891</v>
      </c>
      <c r="B342" s="46">
        <v>56</v>
      </c>
      <c r="C342" s="30" t="s">
        <v>127</v>
      </c>
      <c r="D342" s="30"/>
      <c r="E342" s="30"/>
      <c r="F342" s="31" t="s">
        <v>12</v>
      </c>
      <c r="G342" s="30">
        <v>-1</v>
      </c>
      <c r="H342" s="30">
        <v>82</v>
      </c>
      <c r="I342" s="30">
        <f t="shared" si="30"/>
        <v>-82</v>
      </c>
      <c r="J342" s="48">
        <v>10.5</v>
      </c>
      <c r="K342" s="48">
        <f t="shared" si="31"/>
        <v>-861</v>
      </c>
      <c r="L342" s="66">
        <v>45891</v>
      </c>
      <c r="M342" s="30">
        <f>SUM(K337:K342)</f>
        <v>-3677</v>
      </c>
      <c r="N342" s="65"/>
    </row>
    <row r="343" s="11" customFormat="1" spans="1:14">
      <c r="A343" s="24">
        <v>45898</v>
      </c>
      <c r="B343" s="25">
        <v>78</v>
      </c>
      <c r="C343" s="26" t="s">
        <v>55</v>
      </c>
      <c r="D343" s="26"/>
      <c r="E343" s="26"/>
      <c r="F343" s="27" t="s">
        <v>56</v>
      </c>
      <c r="G343" s="26">
        <v>1</v>
      </c>
      <c r="H343" s="26">
        <v>10</v>
      </c>
      <c r="I343" s="26">
        <f t="shared" si="30"/>
        <v>10</v>
      </c>
      <c r="J343" s="41">
        <v>18</v>
      </c>
      <c r="K343" s="41">
        <f t="shared" si="31"/>
        <v>180</v>
      </c>
      <c r="L343" s="12" t="s">
        <v>202</v>
      </c>
      <c r="M343" s="26"/>
    </row>
    <row r="344" s="11" customFormat="1" spans="1:14">
      <c r="A344" s="24">
        <v>45898</v>
      </c>
      <c r="B344" s="25">
        <v>78</v>
      </c>
      <c r="C344" s="30">
        <v>709</v>
      </c>
      <c r="D344" s="30"/>
      <c r="E344" s="30"/>
      <c r="F344" s="27" t="s">
        <v>29</v>
      </c>
      <c r="G344" s="26">
        <v>1</v>
      </c>
      <c r="H344" s="26">
        <v>17</v>
      </c>
      <c r="I344" s="26">
        <f t="shared" ref="I344:I360" si="32">G344*H344</f>
        <v>17</v>
      </c>
      <c r="J344" s="41">
        <v>18</v>
      </c>
      <c r="K344" s="41">
        <f t="shared" ref="K344:K352" si="33">I344*J344</f>
        <v>306</v>
      </c>
      <c r="L344" s="15" t="s">
        <v>202</v>
      </c>
      <c r="M344" s="67" t="s">
        <v>203</v>
      </c>
      <c r="N344" s="10"/>
    </row>
    <row r="345" s="11" customFormat="1" spans="1:14">
      <c r="A345" s="24">
        <v>45898</v>
      </c>
      <c r="B345" s="25">
        <v>78</v>
      </c>
      <c r="C345" s="26" t="s">
        <v>172</v>
      </c>
      <c r="D345" s="26"/>
      <c r="E345" s="26"/>
      <c r="F345" s="27" t="s">
        <v>173</v>
      </c>
      <c r="G345" s="26">
        <v>1</v>
      </c>
      <c r="H345" s="26">
        <v>5</v>
      </c>
      <c r="I345" s="26">
        <f t="shared" si="32"/>
        <v>5</v>
      </c>
      <c r="J345" s="41">
        <v>18</v>
      </c>
      <c r="K345" s="41">
        <f t="shared" si="33"/>
        <v>90</v>
      </c>
      <c r="L345" s="12" t="s">
        <v>202</v>
      </c>
      <c r="M345" s="26"/>
    </row>
    <row r="346" s="11" customFormat="1" spans="1:14">
      <c r="A346" s="24">
        <v>45898</v>
      </c>
      <c r="B346" s="25">
        <v>78</v>
      </c>
      <c r="C346" s="26" t="s">
        <v>147</v>
      </c>
      <c r="D346" s="26"/>
      <c r="E346" s="26"/>
      <c r="F346" s="27" t="s">
        <v>148</v>
      </c>
      <c r="G346" s="26">
        <v>1</v>
      </c>
      <c r="H346" s="26">
        <v>12</v>
      </c>
      <c r="I346" s="26">
        <f t="shared" si="32"/>
        <v>12</v>
      </c>
      <c r="J346" s="41">
        <v>18</v>
      </c>
      <c r="K346" s="41">
        <f t="shared" si="33"/>
        <v>216</v>
      </c>
      <c r="L346" s="12" t="s">
        <v>202</v>
      </c>
      <c r="M346" s="26"/>
    </row>
    <row r="347" s="11" customFormat="1" spans="1:14">
      <c r="A347" s="24">
        <v>45898</v>
      </c>
      <c r="B347" s="25">
        <v>78</v>
      </c>
      <c r="C347" s="26">
        <v>516</v>
      </c>
      <c r="D347" s="26"/>
      <c r="E347" s="26"/>
      <c r="F347" s="27" t="s">
        <v>157</v>
      </c>
      <c r="G347" s="26">
        <v>1</v>
      </c>
      <c r="H347" s="26">
        <v>6.5</v>
      </c>
      <c r="I347" s="26">
        <f t="shared" si="32"/>
        <v>6.5</v>
      </c>
      <c r="J347" s="41">
        <v>18</v>
      </c>
      <c r="K347" s="41">
        <f t="shared" si="33"/>
        <v>117</v>
      </c>
      <c r="L347" s="12" t="s">
        <v>202</v>
      </c>
      <c r="M347" s="26"/>
    </row>
    <row r="348" s="10" customFormat="1" spans="1:14">
      <c r="A348" s="34">
        <v>45898</v>
      </c>
      <c r="B348" s="29">
        <v>83</v>
      </c>
      <c r="C348" s="17" t="s">
        <v>52</v>
      </c>
      <c r="D348" s="17"/>
      <c r="E348" s="17"/>
      <c r="F348" s="33" t="s">
        <v>12</v>
      </c>
      <c r="G348" s="17">
        <v>1</v>
      </c>
      <c r="H348" s="17">
        <v>18</v>
      </c>
      <c r="I348" s="17">
        <f t="shared" si="32"/>
        <v>18</v>
      </c>
      <c r="J348" s="43">
        <v>10.5</v>
      </c>
      <c r="K348" s="43">
        <f t="shared" si="33"/>
        <v>189</v>
      </c>
      <c r="L348" s="13"/>
      <c r="M348" s="17">
        <f>SUM(K348:K349)</f>
        <v>369</v>
      </c>
    </row>
    <row r="349" s="10" customFormat="1" spans="1:14">
      <c r="A349" s="34">
        <v>45898</v>
      </c>
      <c r="B349" s="29">
        <v>83</v>
      </c>
      <c r="C349" s="17" t="s">
        <v>19</v>
      </c>
      <c r="D349" s="17"/>
      <c r="E349" s="17"/>
      <c r="F349" s="33" t="s">
        <v>20</v>
      </c>
      <c r="G349" s="17">
        <v>1</v>
      </c>
      <c r="H349" s="17">
        <v>10</v>
      </c>
      <c r="I349" s="17">
        <f t="shared" si="32"/>
        <v>10</v>
      </c>
      <c r="J349" s="43">
        <v>18</v>
      </c>
      <c r="K349" s="43">
        <f t="shared" si="33"/>
        <v>180</v>
      </c>
      <c r="L349" s="13"/>
      <c r="M349" s="17"/>
    </row>
    <row r="350" s="12" customFormat="1" spans="1:14">
      <c r="A350" s="24">
        <v>45950</v>
      </c>
      <c r="B350" s="25">
        <v>55</v>
      </c>
      <c r="C350" s="26" t="s">
        <v>25</v>
      </c>
      <c r="D350" s="26"/>
      <c r="E350" s="26"/>
      <c r="F350" s="35" t="s">
        <v>26</v>
      </c>
      <c r="G350" s="26">
        <v>2</v>
      </c>
      <c r="H350" s="26">
        <v>25</v>
      </c>
      <c r="I350" s="26">
        <f t="shared" si="32"/>
        <v>50</v>
      </c>
      <c r="J350" s="41">
        <v>12</v>
      </c>
      <c r="K350" s="41">
        <f t="shared" si="33"/>
        <v>600</v>
      </c>
      <c r="L350" s="12" t="s">
        <v>204</v>
      </c>
      <c r="M350" s="26"/>
    </row>
    <row r="351" s="11" customFormat="1" spans="1:14">
      <c r="A351" s="24">
        <v>45950</v>
      </c>
      <c r="B351" s="25">
        <v>55</v>
      </c>
      <c r="C351" s="26"/>
      <c r="D351" s="26"/>
      <c r="E351" s="26"/>
      <c r="F351" s="35" t="s">
        <v>126</v>
      </c>
      <c r="G351" s="26">
        <v>2</v>
      </c>
      <c r="H351" s="26">
        <v>18</v>
      </c>
      <c r="I351" s="26">
        <f t="shared" si="32"/>
        <v>36</v>
      </c>
      <c r="J351" s="41">
        <v>5.5</v>
      </c>
      <c r="K351" s="41">
        <f t="shared" si="33"/>
        <v>198</v>
      </c>
      <c r="L351" s="13">
        <f>SUM(K350:K351)</f>
        <v>798</v>
      </c>
      <c r="M351" s="26"/>
      <c r="N351" s="68"/>
    </row>
    <row r="352" s="13" customFormat="1" spans="1:14">
      <c r="A352" s="34">
        <v>45951</v>
      </c>
      <c r="B352" s="29">
        <v>57</v>
      </c>
      <c r="C352" s="17" t="s">
        <v>25</v>
      </c>
      <c r="D352" s="17"/>
      <c r="E352" s="17"/>
      <c r="F352" s="37" t="s">
        <v>26</v>
      </c>
      <c r="G352" s="17">
        <v>1</v>
      </c>
      <c r="H352" s="17">
        <v>25</v>
      </c>
      <c r="I352" s="17">
        <f t="shared" si="32"/>
        <v>25</v>
      </c>
      <c r="J352" s="43">
        <v>12</v>
      </c>
      <c r="K352" s="43">
        <f t="shared" si="33"/>
        <v>300</v>
      </c>
      <c r="L352" s="36"/>
      <c r="M352" s="17"/>
    </row>
    <row r="353" s="13" customFormat="1" spans="1:14">
      <c r="A353" s="34">
        <v>45951</v>
      </c>
      <c r="B353" s="29">
        <v>57</v>
      </c>
      <c r="C353" s="17" t="s">
        <v>25</v>
      </c>
      <c r="D353" s="17"/>
      <c r="E353" s="17"/>
      <c r="F353" s="37" t="s">
        <v>26</v>
      </c>
      <c r="G353" s="17">
        <v>1</v>
      </c>
      <c r="H353" s="17">
        <v>25</v>
      </c>
      <c r="I353" s="17">
        <f t="shared" si="32"/>
        <v>25</v>
      </c>
      <c r="J353" s="43"/>
      <c r="K353" s="43"/>
      <c r="L353" s="13" t="s">
        <v>205</v>
      </c>
      <c r="M353" s="17"/>
    </row>
    <row r="354" s="10" customFormat="1" spans="1:14">
      <c r="A354" s="34">
        <v>45951</v>
      </c>
      <c r="B354" s="29">
        <v>57</v>
      </c>
      <c r="C354" s="17"/>
      <c r="D354" s="17"/>
      <c r="E354" s="17"/>
      <c r="F354" s="37" t="s">
        <v>126</v>
      </c>
      <c r="G354" s="17">
        <v>1</v>
      </c>
      <c r="H354" s="17">
        <v>90</v>
      </c>
      <c r="I354" s="17">
        <f t="shared" si="32"/>
        <v>90</v>
      </c>
      <c r="J354" s="43">
        <v>5.5</v>
      </c>
      <c r="K354" s="43">
        <f>I354*J354</f>
        <v>495</v>
      </c>
      <c r="L354" s="13">
        <f>SUM(K352:K354)</f>
        <v>795</v>
      </c>
      <c r="M354" s="17"/>
      <c r="N354" s="69"/>
    </row>
    <row r="355" s="11" customFormat="1" spans="1:14">
      <c r="A355" s="24">
        <v>45953</v>
      </c>
      <c r="B355" s="25">
        <v>64</v>
      </c>
      <c r="C355" s="26">
        <v>9803</v>
      </c>
      <c r="D355" s="26"/>
      <c r="E355" s="26"/>
      <c r="F355" s="27" t="s">
        <v>13</v>
      </c>
      <c r="G355" s="26">
        <v>4</v>
      </c>
      <c r="H355" s="26">
        <v>28</v>
      </c>
      <c r="I355" s="26">
        <f t="shared" si="32"/>
        <v>112</v>
      </c>
      <c r="J355" s="41">
        <v>9</v>
      </c>
      <c r="K355" s="41">
        <f>I355*J355</f>
        <v>1008</v>
      </c>
      <c r="L355" s="12"/>
      <c r="M355" s="26"/>
    </row>
    <row r="356" s="11" customFormat="1" spans="1:14">
      <c r="A356" s="24">
        <v>45953</v>
      </c>
      <c r="B356" s="25">
        <v>64</v>
      </c>
      <c r="C356" s="26" t="s">
        <v>50</v>
      </c>
      <c r="D356" s="26"/>
      <c r="E356" s="26"/>
      <c r="F356" s="35" t="s">
        <v>51</v>
      </c>
      <c r="G356" s="26">
        <v>2</v>
      </c>
      <c r="H356" s="26">
        <v>25</v>
      </c>
      <c r="I356" s="26">
        <f t="shared" si="32"/>
        <v>50</v>
      </c>
      <c r="J356" s="41">
        <v>14</v>
      </c>
      <c r="K356" s="41">
        <f>I356*J356</f>
        <v>700</v>
      </c>
      <c r="L356" s="12"/>
      <c r="M356" s="26"/>
    </row>
    <row r="357" s="10" customFormat="1" spans="1:14">
      <c r="A357" s="34">
        <v>45953</v>
      </c>
      <c r="B357" s="29">
        <v>66</v>
      </c>
      <c r="C357" s="17"/>
      <c r="D357" s="17"/>
      <c r="E357" s="17"/>
      <c r="F357" s="33" t="s">
        <v>206</v>
      </c>
      <c r="G357" s="17">
        <v>1</v>
      </c>
      <c r="H357" s="17">
        <v>20</v>
      </c>
      <c r="I357" s="17">
        <f t="shared" si="32"/>
        <v>20</v>
      </c>
      <c r="J357" s="17">
        <v>17</v>
      </c>
      <c r="K357" s="17">
        <f>I357*J357</f>
        <v>340</v>
      </c>
      <c r="L357" s="33" t="s">
        <v>123</v>
      </c>
      <c r="M357" s="17"/>
    </row>
    <row r="358" s="10" customFormat="1" spans="1:14">
      <c r="A358" s="34">
        <v>45953</v>
      </c>
      <c r="B358" s="29">
        <v>66</v>
      </c>
      <c r="C358" s="17"/>
      <c r="D358" s="17"/>
      <c r="E358" s="17"/>
      <c r="F358" s="33" t="s">
        <v>207</v>
      </c>
      <c r="G358" s="17">
        <v>1</v>
      </c>
      <c r="H358" s="17">
        <v>18</v>
      </c>
      <c r="I358" s="17">
        <f t="shared" si="32"/>
        <v>18</v>
      </c>
      <c r="J358" s="17">
        <v>8.5</v>
      </c>
      <c r="K358" s="17">
        <f>I358*J358</f>
        <v>153</v>
      </c>
      <c r="L358" s="33" t="s">
        <v>208</v>
      </c>
      <c r="M358" s="17"/>
    </row>
    <row r="359" s="11" customFormat="1" spans="1:14">
      <c r="A359" s="24">
        <v>45955</v>
      </c>
      <c r="B359" s="25">
        <v>72</v>
      </c>
      <c r="C359" s="26" t="s">
        <v>39</v>
      </c>
      <c r="D359" s="26"/>
      <c r="E359" s="26"/>
      <c r="F359" s="27" t="s">
        <v>40</v>
      </c>
      <c r="G359" s="26">
        <v>1</v>
      </c>
      <c r="H359" s="26">
        <v>26</v>
      </c>
      <c r="I359" s="26">
        <f t="shared" ref="I359:I371" si="34">G359*H359</f>
        <v>26</v>
      </c>
      <c r="J359" s="41">
        <v>18</v>
      </c>
      <c r="K359" s="26">
        <f t="shared" ref="K359:K371" si="35">I359*J359</f>
        <v>468</v>
      </c>
      <c r="L359" s="12"/>
      <c r="M359" s="26"/>
    </row>
    <row r="360" s="11" customFormat="1" spans="1:14">
      <c r="A360" s="24">
        <v>45955</v>
      </c>
      <c r="B360" s="25">
        <v>72</v>
      </c>
      <c r="C360" s="26">
        <v>516</v>
      </c>
      <c r="D360" s="26"/>
      <c r="E360" s="26"/>
      <c r="F360" s="27" t="s">
        <v>157</v>
      </c>
      <c r="G360" s="26">
        <v>1</v>
      </c>
      <c r="H360" s="26">
        <v>25</v>
      </c>
      <c r="I360" s="26">
        <f t="shared" si="34"/>
        <v>25</v>
      </c>
      <c r="J360" s="41">
        <v>18</v>
      </c>
      <c r="K360" s="41">
        <f t="shared" si="35"/>
        <v>450</v>
      </c>
      <c r="L360" s="12"/>
      <c r="M360" s="26"/>
    </row>
    <row r="361" s="10" customFormat="1" spans="1:14">
      <c r="A361" s="24">
        <v>45955</v>
      </c>
      <c r="B361" s="25">
        <v>72</v>
      </c>
      <c r="C361" s="26"/>
      <c r="D361" s="26"/>
      <c r="E361" s="26"/>
      <c r="F361" s="35" t="s">
        <v>126</v>
      </c>
      <c r="G361" s="26">
        <v>1</v>
      </c>
      <c r="H361" s="26">
        <v>180</v>
      </c>
      <c r="I361" s="26">
        <f t="shared" si="34"/>
        <v>180</v>
      </c>
      <c r="J361" s="41">
        <v>5.5</v>
      </c>
      <c r="K361" s="41">
        <f t="shared" si="35"/>
        <v>990</v>
      </c>
      <c r="L361" s="13">
        <f>SUM(K359:K361)</f>
        <v>1908</v>
      </c>
      <c r="M361" s="17"/>
      <c r="N361" s="69"/>
    </row>
    <row r="362" s="10" customFormat="1" spans="1:14">
      <c r="A362" s="24">
        <v>45955</v>
      </c>
      <c r="B362" s="25">
        <v>72</v>
      </c>
      <c r="C362" s="26" t="s">
        <v>19</v>
      </c>
      <c r="D362" s="26"/>
      <c r="E362" s="26"/>
      <c r="F362" s="27" t="s">
        <v>20</v>
      </c>
      <c r="G362" s="26">
        <v>2</v>
      </c>
      <c r="H362" s="26">
        <v>10</v>
      </c>
      <c r="I362" s="26">
        <f t="shared" si="34"/>
        <v>20</v>
      </c>
      <c r="J362" s="41">
        <v>18</v>
      </c>
      <c r="K362" s="41">
        <f t="shared" si="35"/>
        <v>360</v>
      </c>
      <c r="L362" s="13"/>
      <c r="M362" s="17"/>
    </row>
    <row r="363" s="10" customFormat="1" spans="1:14">
      <c r="A363" s="34">
        <v>45955</v>
      </c>
      <c r="B363" s="29">
        <v>77</v>
      </c>
      <c r="C363" s="17">
        <v>9803</v>
      </c>
      <c r="D363" s="17"/>
      <c r="E363" s="17"/>
      <c r="F363" s="33" t="s">
        <v>13</v>
      </c>
      <c r="G363" s="17">
        <v>5</v>
      </c>
      <c r="H363" s="17">
        <v>28</v>
      </c>
      <c r="I363" s="17">
        <f t="shared" si="34"/>
        <v>140</v>
      </c>
      <c r="J363" s="43">
        <v>9</v>
      </c>
      <c r="K363" s="43">
        <f t="shared" si="35"/>
        <v>1260</v>
      </c>
      <c r="L363" s="13"/>
      <c r="M363" s="17"/>
    </row>
    <row r="364" s="10" customFormat="1" spans="1:14">
      <c r="A364" s="34">
        <v>45955</v>
      </c>
      <c r="B364" s="29">
        <v>77</v>
      </c>
      <c r="C364" s="17" t="s">
        <v>209</v>
      </c>
      <c r="D364" s="17"/>
      <c r="E364" s="17"/>
      <c r="F364" s="33" t="s">
        <v>177</v>
      </c>
      <c r="G364" s="17">
        <v>1</v>
      </c>
      <c r="H364" s="17">
        <v>5</v>
      </c>
      <c r="I364" s="17">
        <f t="shared" si="34"/>
        <v>5</v>
      </c>
      <c r="J364" s="43">
        <v>18</v>
      </c>
      <c r="K364" s="43">
        <f t="shared" si="35"/>
        <v>90</v>
      </c>
      <c r="L364" s="13" t="s">
        <v>210</v>
      </c>
      <c r="M364" s="17"/>
    </row>
    <row r="365" s="11" customFormat="1" spans="1:14">
      <c r="A365" s="24">
        <v>45957</v>
      </c>
      <c r="B365" s="25">
        <v>83</v>
      </c>
      <c r="C365" s="26" t="s">
        <v>21</v>
      </c>
      <c r="D365" s="26"/>
      <c r="E365" s="26"/>
      <c r="F365" s="27" t="s">
        <v>22</v>
      </c>
      <c r="G365" s="26">
        <v>1</v>
      </c>
      <c r="H365" s="26">
        <v>20</v>
      </c>
      <c r="I365" s="26">
        <f t="shared" si="34"/>
        <v>20</v>
      </c>
      <c r="J365" s="41">
        <v>18</v>
      </c>
      <c r="K365" s="41">
        <f t="shared" si="35"/>
        <v>360</v>
      </c>
      <c r="L365" s="12"/>
      <c r="M365" s="26"/>
    </row>
    <row r="366" s="11" customFormat="1" spans="1:14">
      <c r="A366" s="24">
        <v>45957</v>
      </c>
      <c r="B366" s="25">
        <v>83</v>
      </c>
      <c r="C366" s="26" t="s">
        <v>19</v>
      </c>
      <c r="D366" s="26"/>
      <c r="E366" s="26"/>
      <c r="F366" s="27" t="s">
        <v>20</v>
      </c>
      <c r="G366" s="26">
        <v>2</v>
      </c>
      <c r="H366" s="26">
        <v>10</v>
      </c>
      <c r="I366" s="26">
        <f t="shared" si="34"/>
        <v>20</v>
      </c>
      <c r="J366" s="41">
        <v>18</v>
      </c>
      <c r="K366" s="41">
        <f t="shared" si="35"/>
        <v>360</v>
      </c>
      <c r="L366" s="12"/>
      <c r="M366" s="26"/>
    </row>
    <row r="367" s="11" customFormat="1" spans="1:14">
      <c r="A367" s="24">
        <v>45957</v>
      </c>
      <c r="B367" s="25">
        <v>83</v>
      </c>
      <c r="C367" s="26" t="s">
        <v>52</v>
      </c>
      <c r="D367" s="26"/>
      <c r="E367" s="26"/>
      <c r="F367" s="27" t="s">
        <v>12</v>
      </c>
      <c r="G367" s="26">
        <v>1</v>
      </c>
      <c r="H367" s="26">
        <v>180</v>
      </c>
      <c r="I367" s="26">
        <f t="shared" si="34"/>
        <v>180</v>
      </c>
      <c r="J367" s="41">
        <v>10.5</v>
      </c>
      <c r="K367" s="41">
        <f t="shared" si="35"/>
        <v>1890</v>
      </c>
      <c r="L367" s="12"/>
      <c r="M367" s="26">
        <f>SUM(K365:K367)</f>
        <v>2610</v>
      </c>
    </row>
    <row r="368" s="10" customFormat="1" spans="1:14">
      <c r="A368" s="34">
        <v>45958</v>
      </c>
      <c r="B368" s="29">
        <v>91</v>
      </c>
      <c r="C368" s="17">
        <v>516</v>
      </c>
      <c r="D368" s="17"/>
      <c r="E368" s="17"/>
      <c r="F368" s="33" t="s">
        <v>157</v>
      </c>
      <c r="G368" s="17">
        <v>1</v>
      </c>
      <c r="H368" s="17">
        <v>25</v>
      </c>
      <c r="I368" s="17">
        <f t="shared" si="34"/>
        <v>25</v>
      </c>
      <c r="J368" s="43">
        <v>18</v>
      </c>
      <c r="K368" s="43">
        <f t="shared" si="35"/>
        <v>450</v>
      </c>
      <c r="L368" s="13"/>
      <c r="M368" s="17"/>
    </row>
    <row r="369" s="11" customFormat="1" spans="1:14">
      <c r="A369" s="34">
        <v>45958</v>
      </c>
      <c r="B369" s="29">
        <v>91</v>
      </c>
      <c r="C369" s="17" t="s">
        <v>19</v>
      </c>
      <c r="D369" s="17"/>
      <c r="E369" s="17"/>
      <c r="F369" s="33" t="s">
        <v>20</v>
      </c>
      <c r="G369" s="17">
        <v>1</v>
      </c>
      <c r="H369" s="17">
        <v>10</v>
      </c>
      <c r="I369" s="17">
        <f t="shared" si="34"/>
        <v>10</v>
      </c>
      <c r="J369" s="43">
        <v>18</v>
      </c>
      <c r="K369" s="43">
        <f t="shared" si="35"/>
        <v>180</v>
      </c>
      <c r="L369" s="12">
        <f>SUM(K368:K369)</f>
        <v>630</v>
      </c>
      <c r="M369" s="26"/>
    </row>
    <row r="370" s="11" customFormat="1" spans="1:14">
      <c r="A370" s="24">
        <v>45961</v>
      </c>
      <c r="B370" s="25">
        <v>98</v>
      </c>
      <c r="C370" s="26" t="s">
        <v>209</v>
      </c>
      <c r="D370" s="26"/>
      <c r="E370" s="26"/>
      <c r="F370" s="27" t="s">
        <v>177</v>
      </c>
      <c r="G370" s="26">
        <v>1</v>
      </c>
      <c r="H370" s="26">
        <v>4</v>
      </c>
      <c r="I370" s="26">
        <f t="shared" si="34"/>
        <v>4</v>
      </c>
      <c r="J370" s="41">
        <v>18</v>
      </c>
      <c r="K370" s="41">
        <f t="shared" si="35"/>
        <v>72</v>
      </c>
      <c r="L370" s="12" t="s">
        <v>210</v>
      </c>
      <c r="M370" s="26"/>
    </row>
    <row r="371" s="11" customFormat="1" spans="1:14">
      <c r="A371" s="24">
        <v>45961</v>
      </c>
      <c r="B371" s="25">
        <v>98</v>
      </c>
      <c r="C371" s="26">
        <v>516</v>
      </c>
      <c r="D371" s="26"/>
      <c r="E371" s="26"/>
      <c r="F371" s="27" t="s">
        <v>157</v>
      </c>
      <c r="G371" s="26">
        <v>1</v>
      </c>
      <c r="H371" s="26">
        <v>27</v>
      </c>
      <c r="I371" s="26">
        <f t="shared" ref="I371:I389" si="36">G371*H371</f>
        <v>27</v>
      </c>
      <c r="J371" s="41">
        <v>18</v>
      </c>
      <c r="K371" s="41">
        <f t="shared" ref="K371:K389" si="37">I371*J371</f>
        <v>486</v>
      </c>
      <c r="L371" s="12"/>
      <c r="M371" s="26"/>
    </row>
    <row r="372" s="11" customFormat="1" spans="1:14">
      <c r="A372" s="24">
        <v>45961</v>
      </c>
      <c r="B372" s="25">
        <v>98</v>
      </c>
      <c r="C372" s="26" t="s">
        <v>19</v>
      </c>
      <c r="D372" s="26"/>
      <c r="E372" s="26"/>
      <c r="F372" s="27" t="s">
        <v>20</v>
      </c>
      <c r="G372" s="26">
        <v>1</v>
      </c>
      <c r="H372" s="26">
        <v>10</v>
      </c>
      <c r="I372" s="26">
        <f t="shared" si="36"/>
        <v>10</v>
      </c>
      <c r="J372" s="41">
        <v>18</v>
      </c>
      <c r="K372" s="41">
        <f t="shared" si="37"/>
        <v>180</v>
      </c>
      <c r="L372" s="12">
        <f>SUM(K371:K372)</f>
        <v>666</v>
      </c>
      <c r="M372" s="26"/>
    </row>
    <row r="373" s="11" customFormat="1" spans="1:14">
      <c r="A373" s="24">
        <v>45961</v>
      </c>
      <c r="B373" s="25">
        <v>98</v>
      </c>
      <c r="C373" s="26" t="s">
        <v>211</v>
      </c>
      <c r="D373" s="26"/>
      <c r="E373" s="26"/>
      <c r="F373" s="27" t="s">
        <v>29</v>
      </c>
      <c r="G373" s="26">
        <v>1</v>
      </c>
      <c r="H373" s="26">
        <v>7</v>
      </c>
      <c r="I373" s="26">
        <f t="shared" si="36"/>
        <v>7</v>
      </c>
      <c r="J373" s="41">
        <v>18</v>
      </c>
      <c r="K373" s="41">
        <f t="shared" si="37"/>
        <v>126</v>
      </c>
      <c r="L373" s="12" t="s">
        <v>202</v>
      </c>
      <c r="M373" s="58" t="s">
        <v>203</v>
      </c>
    </row>
    <row r="374" s="10" customFormat="1" spans="1:14">
      <c r="A374" s="34">
        <v>45971</v>
      </c>
      <c r="B374" s="29">
        <v>25</v>
      </c>
      <c r="C374" s="17" t="s">
        <v>50</v>
      </c>
      <c r="D374" s="17"/>
      <c r="E374" s="17"/>
      <c r="F374" s="37" t="s">
        <v>51</v>
      </c>
      <c r="G374" s="17">
        <v>2</v>
      </c>
      <c r="H374" s="17">
        <v>25</v>
      </c>
      <c r="I374" s="17">
        <f t="shared" si="36"/>
        <v>50</v>
      </c>
      <c r="J374" s="43">
        <v>14</v>
      </c>
      <c r="K374" s="43">
        <f t="shared" si="37"/>
        <v>700</v>
      </c>
      <c r="L374" s="13"/>
      <c r="M374" s="17"/>
    </row>
    <row r="375" s="11" customFormat="1" spans="1:14">
      <c r="A375" s="24">
        <v>45976</v>
      </c>
      <c r="B375" s="25">
        <v>42</v>
      </c>
      <c r="C375" s="26">
        <v>516</v>
      </c>
      <c r="D375" s="26"/>
      <c r="E375" s="26"/>
      <c r="F375" s="27" t="s">
        <v>157</v>
      </c>
      <c r="G375" s="26">
        <v>1</v>
      </c>
      <c r="H375" s="26">
        <v>26</v>
      </c>
      <c r="I375" s="26">
        <f t="shared" si="36"/>
        <v>26</v>
      </c>
      <c r="J375" s="41">
        <v>18</v>
      </c>
      <c r="K375" s="41">
        <f t="shared" si="37"/>
        <v>468</v>
      </c>
      <c r="L375" s="12"/>
      <c r="M375" s="26"/>
    </row>
    <row r="376" s="11" customFormat="1" spans="1:14">
      <c r="A376" s="24">
        <v>45976</v>
      </c>
      <c r="B376" s="25">
        <v>42</v>
      </c>
      <c r="C376" s="26" t="s">
        <v>19</v>
      </c>
      <c r="D376" s="26"/>
      <c r="E376" s="26"/>
      <c r="F376" s="27" t="s">
        <v>20</v>
      </c>
      <c r="G376" s="26">
        <v>1</v>
      </c>
      <c r="H376" s="26">
        <v>10</v>
      </c>
      <c r="I376" s="26">
        <f t="shared" si="36"/>
        <v>10</v>
      </c>
      <c r="J376" s="41">
        <v>18</v>
      </c>
      <c r="K376" s="41">
        <f t="shared" si="37"/>
        <v>180</v>
      </c>
      <c r="L376" s="12">
        <f t="shared" ref="L376:L379" si="38">SUM(K375:K376)</f>
        <v>648</v>
      </c>
      <c r="M376" s="26"/>
    </row>
    <row r="377" s="10" customFormat="1" spans="1:14">
      <c r="A377" s="34">
        <v>45978</v>
      </c>
      <c r="B377" s="29">
        <v>48</v>
      </c>
      <c r="C377" s="17">
        <v>9803</v>
      </c>
      <c r="D377" s="17"/>
      <c r="E377" s="17"/>
      <c r="F377" s="33" t="s">
        <v>13</v>
      </c>
      <c r="G377" s="17">
        <v>6</v>
      </c>
      <c r="H377" s="17">
        <v>28</v>
      </c>
      <c r="I377" s="17">
        <f t="shared" si="36"/>
        <v>168</v>
      </c>
      <c r="J377" s="43">
        <v>9</v>
      </c>
      <c r="K377" s="43">
        <f t="shared" si="37"/>
        <v>1512</v>
      </c>
      <c r="L377" s="13"/>
      <c r="M377" s="17"/>
    </row>
    <row r="378" s="10" customFormat="1" spans="1:14">
      <c r="A378" s="34">
        <v>45978</v>
      </c>
      <c r="B378" s="29">
        <v>48</v>
      </c>
      <c r="C378" s="17"/>
      <c r="D378" s="17"/>
      <c r="E378" s="17"/>
      <c r="F378" s="37" t="s">
        <v>126</v>
      </c>
      <c r="G378" s="17">
        <v>1</v>
      </c>
      <c r="H378" s="17">
        <v>180</v>
      </c>
      <c r="I378" s="17">
        <f t="shared" si="36"/>
        <v>180</v>
      </c>
      <c r="J378" s="43">
        <v>5.5</v>
      </c>
      <c r="K378" s="43">
        <f t="shared" si="37"/>
        <v>990</v>
      </c>
      <c r="L378" s="13">
        <f t="shared" si="38"/>
        <v>2502</v>
      </c>
      <c r="M378" s="17"/>
      <c r="N378" s="69"/>
    </row>
    <row r="379" s="11" customFormat="1" spans="1:14">
      <c r="A379" s="24">
        <v>45999</v>
      </c>
      <c r="B379" s="25">
        <v>16</v>
      </c>
      <c r="C379" s="26" t="s">
        <v>50</v>
      </c>
      <c r="D379" s="26"/>
      <c r="E379" s="26"/>
      <c r="F379" s="35" t="s">
        <v>51</v>
      </c>
      <c r="G379" s="26">
        <v>5</v>
      </c>
      <c r="H379" s="26">
        <v>25</v>
      </c>
      <c r="I379" s="26">
        <f t="shared" si="36"/>
        <v>125</v>
      </c>
      <c r="J379" s="41">
        <v>14</v>
      </c>
      <c r="K379" s="41">
        <f t="shared" si="37"/>
        <v>1750</v>
      </c>
      <c r="L379" s="12"/>
      <c r="M379" s="26"/>
    </row>
    <row r="380" s="11" customFormat="1" spans="1:14">
      <c r="A380" s="24">
        <v>45999</v>
      </c>
      <c r="B380" s="25">
        <v>16</v>
      </c>
      <c r="C380" s="26">
        <v>9803</v>
      </c>
      <c r="D380" s="26"/>
      <c r="E380" s="26"/>
      <c r="F380" s="27" t="s">
        <v>13</v>
      </c>
      <c r="G380" s="26">
        <v>6</v>
      </c>
      <c r="H380" s="26">
        <v>28</v>
      </c>
      <c r="I380" s="26">
        <f t="shared" si="36"/>
        <v>168</v>
      </c>
      <c r="J380" s="41">
        <v>9</v>
      </c>
      <c r="K380" s="41">
        <f t="shared" si="37"/>
        <v>1512</v>
      </c>
      <c r="L380" s="12"/>
      <c r="M380" s="26"/>
    </row>
    <row r="381" s="11" customFormat="1" spans="1:14">
      <c r="A381" s="24">
        <v>45999</v>
      </c>
      <c r="B381" s="25">
        <v>16</v>
      </c>
      <c r="C381" s="26"/>
      <c r="D381" s="26"/>
      <c r="E381" s="26"/>
      <c r="F381" s="35" t="s">
        <v>126</v>
      </c>
      <c r="G381" s="26">
        <v>1</v>
      </c>
      <c r="H381" s="26">
        <v>180</v>
      </c>
      <c r="I381" s="26">
        <f t="shared" si="36"/>
        <v>180</v>
      </c>
      <c r="J381" s="41">
        <v>5.5</v>
      </c>
      <c r="K381" s="41">
        <f t="shared" si="37"/>
        <v>990</v>
      </c>
      <c r="L381" s="12">
        <f>SUM(K379:K382)</f>
        <v>4036</v>
      </c>
      <c r="M381" s="26"/>
      <c r="N381" s="68"/>
    </row>
    <row r="382" s="11" customFormat="1" spans="1:14">
      <c r="A382" s="24">
        <v>45999</v>
      </c>
      <c r="B382" s="25">
        <v>16</v>
      </c>
      <c r="C382" s="26"/>
      <c r="D382" s="26"/>
      <c r="E382" s="26"/>
      <c r="F382" s="35" t="s">
        <v>212</v>
      </c>
      <c r="G382" s="26">
        <v>-1</v>
      </c>
      <c r="H382" s="26">
        <v>12</v>
      </c>
      <c r="I382" s="26">
        <f t="shared" si="36"/>
        <v>-12</v>
      </c>
      <c r="J382" s="41">
        <v>18</v>
      </c>
      <c r="K382" s="41">
        <f t="shared" si="37"/>
        <v>-216</v>
      </c>
      <c r="L382" s="12"/>
      <c r="M382" s="26"/>
      <c r="N382" s="68"/>
    </row>
    <row r="383" s="10" customFormat="1" spans="1:14">
      <c r="A383" s="34">
        <v>46001</v>
      </c>
      <c r="B383" s="29" t="s">
        <v>193</v>
      </c>
      <c r="C383" s="17">
        <v>9803</v>
      </c>
      <c r="D383" s="17"/>
      <c r="E383" s="17"/>
      <c r="F383" s="33" t="s">
        <v>13</v>
      </c>
      <c r="G383" s="17">
        <v>10</v>
      </c>
      <c r="H383" s="17">
        <v>28</v>
      </c>
      <c r="I383" s="17">
        <f t="shared" si="36"/>
        <v>280</v>
      </c>
      <c r="J383" s="43">
        <v>9</v>
      </c>
      <c r="K383" s="43">
        <f t="shared" si="37"/>
        <v>2520</v>
      </c>
      <c r="L383" s="13"/>
      <c r="M383" s="17"/>
    </row>
    <row r="384" s="10" customFormat="1" spans="1:14">
      <c r="A384" s="34">
        <v>46001</v>
      </c>
      <c r="B384" s="29" t="s">
        <v>193</v>
      </c>
      <c r="C384" s="17">
        <v>516</v>
      </c>
      <c r="D384" s="17"/>
      <c r="E384" s="17"/>
      <c r="F384" s="33" t="s">
        <v>157</v>
      </c>
      <c r="G384" s="17">
        <v>2</v>
      </c>
      <c r="H384" s="17">
        <v>25</v>
      </c>
      <c r="I384" s="17">
        <f t="shared" si="36"/>
        <v>50</v>
      </c>
      <c r="J384" s="43">
        <v>18</v>
      </c>
      <c r="K384" s="43">
        <f t="shared" si="37"/>
        <v>900</v>
      </c>
      <c r="L384" s="13"/>
      <c r="M384" s="17"/>
    </row>
    <row r="385" s="10" customFormat="1" spans="1:15">
      <c r="A385" s="34">
        <v>46001</v>
      </c>
      <c r="B385" s="29" t="s">
        <v>193</v>
      </c>
      <c r="C385" s="17" t="s">
        <v>19</v>
      </c>
      <c r="D385" s="17"/>
      <c r="E385" s="17"/>
      <c r="F385" s="33" t="s">
        <v>20</v>
      </c>
      <c r="G385" s="17">
        <v>3</v>
      </c>
      <c r="H385" s="17">
        <v>10</v>
      </c>
      <c r="I385" s="17">
        <f t="shared" si="36"/>
        <v>30</v>
      </c>
      <c r="J385" s="43">
        <v>18</v>
      </c>
      <c r="K385" s="43">
        <f t="shared" si="37"/>
        <v>540</v>
      </c>
      <c r="L385" s="13"/>
      <c r="M385" s="17"/>
    </row>
    <row r="386" s="10" customFormat="1" spans="1:15">
      <c r="A386" s="34">
        <v>46001</v>
      </c>
      <c r="B386" s="29" t="s">
        <v>193</v>
      </c>
      <c r="C386" s="17"/>
      <c r="D386" s="17"/>
      <c r="E386" s="17"/>
      <c r="F386" s="37" t="s">
        <v>126</v>
      </c>
      <c r="G386" s="17">
        <v>2</v>
      </c>
      <c r="H386" s="17">
        <v>180</v>
      </c>
      <c r="I386" s="17">
        <f t="shared" si="36"/>
        <v>360</v>
      </c>
      <c r="J386" s="43">
        <v>5.5</v>
      </c>
      <c r="K386" s="43">
        <f t="shared" si="37"/>
        <v>1980</v>
      </c>
      <c r="L386" s="13"/>
      <c r="M386" s="17"/>
      <c r="N386" s="69"/>
    </row>
    <row r="387" s="10" customFormat="1" spans="1:15">
      <c r="A387" s="34">
        <v>46001</v>
      </c>
      <c r="B387" s="29" t="s">
        <v>193</v>
      </c>
      <c r="C387" s="17" t="s">
        <v>52</v>
      </c>
      <c r="D387" s="17"/>
      <c r="E387" s="17"/>
      <c r="F387" s="33" t="s">
        <v>12</v>
      </c>
      <c r="G387" s="17">
        <v>1</v>
      </c>
      <c r="H387" s="17">
        <v>180</v>
      </c>
      <c r="I387" s="17">
        <f t="shared" si="36"/>
        <v>180</v>
      </c>
      <c r="J387" s="43">
        <v>10.5</v>
      </c>
      <c r="K387" s="43">
        <f t="shared" si="37"/>
        <v>1890</v>
      </c>
      <c r="L387" s="13"/>
      <c r="M387" s="17">
        <f>SUM(K383:K387)</f>
        <v>7830</v>
      </c>
    </row>
    <row r="388" s="11" customFormat="1" spans="1:15">
      <c r="A388" s="24">
        <v>46004</v>
      </c>
      <c r="B388" s="25">
        <v>34</v>
      </c>
      <c r="C388" s="26" t="s">
        <v>21</v>
      </c>
      <c r="D388" s="26"/>
      <c r="E388" s="26"/>
      <c r="F388" s="27" t="s">
        <v>22</v>
      </c>
      <c r="G388" s="26">
        <v>2</v>
      </c>
      <c r="H388" s="26">
        <v>20</v>
      </c>
      <c r="I388" s="26">
        <f t="shared" si="36"/>
        <v>40</v>
      </c>
      <c r="J388" s="41">
        <v>18</v>
      </c>
      <c r="K388" s="41">
        <f t="shared" si="37"/>
        <v>720</v>
      </c>
      <c r="L388" s="12"/>
      <c r="M388" s="26"/>
    </row>
    <row r="389" s="11" customFormat="1" spans="1:15">
      <c r="A389" s="24">
        <v>46004</v>
      </c>
      <c r="B389" s="25">
        <v>34</v>
      </c>
      <c r="C389" s="26" t="s">
        <v>19</v>
      </c>
      <c r="D389" s="26"/>
      <c r="E389" s="26"/>
      <c r="F389" s="27" t="s">
        <v>20</v>
      </c>
      <c r="G389" s="26">
        <v>2</v>
      </c>
      <c r="H389" s="26">
        <v>10</v>
      </c>
      <c r="I389" s="26">
        <f t="shared" si="36"/>
        <v>20</v>
      </c>
      <c r="J389" s="41">
        <v>18</v>
      </c>
      <c r="K389" s="41">
        <f t="shared" si="37"/>
        <v>360</v>
      </c>
      <c r="L389" s="12"/>
      <c r="M389" s="26"/>
    </row>
    <row r="390" s="10" customFormat="1" spans="1:15">
      <c r="A390" s="34">
        <v>46013</v>
      </c>
      <c r="B390" s="29">
        <v>51</v>
      </c>
      <c r="C390" s="17">
        <v>9803</v>
      </c>
      <c r="D390" s="17"/>
      <c r="E390" s="17"/>
      <c r="F390" s="33" t="s">
        <v>13</v>
      </c>
      <c r="G390" s="17">
        <v>10</v>
      </c>
      <c r="H390" s="17">
        <v>28</v>
      </c>
      <c r="I390" s="17">
        <f t="shared" ref="I390:I396" si="39">G390*H390</f>
        <v>280</v>
      </c>
      <c r="J390" s="43">
        <v>8.5</v>
      </c>
      <c r="K390" s="43">
        <f t="shared" ref="K390:K396" si="40">I390*J390</f>
        <v>2380</v>
      </c>
      <c r="L390" s="13"/>
      <c r="M390" s="17"/>
    </row>
    <row r="391" s="10" customFormat="1" spans="1:15">
      <c r="A391" s="34">
        <v>46013</v>
      </c>
      <c r="B391" s="29">
        <v>51</v>
      </c>
      <c r="C391" s="17">
        <v>516</v>
      </c>
      <c r="D391" s="17"/>
      <c r="E391" s="17"/>
      <c r="F391" s="33" t="s">
        <v>157</v>
      </c>
      <c r="G391" s="17">
        <v>4</v>
      </c>
      <c r="H391" s="17">
        <v>26</v>
      </c>
      <c r="I391" s="17">
        <f t="shared" si="39"/>
        <v>104</v>
      </c>
      <c r="J391" s="43">
        <v>17</v>
      </c>
      <c r="K391" s="43">
        <f t="shared" si="40"/>
        <v>1768</v>
      </c>
      <c r="L391" s="13"/>
      <c r="M391" s="17"/>
    </row>
    <row r="392" s="10" customFormat="1" spans="1:15">
      <c r="A392" s="34">
        <v>46013</v>
      </c>
      <c r="B392" s="29">
        <v>51</v>
      </c>
      <c r="C392" s="17" t="s">
        <v>19</v>
      </c>
      <c r="D392" s="17"/>
      <c r="E392" s="17"/>
      <c r="F392" s="33" t="s">
        <v>20</v>
      </c>
      <c r="G392" s="17">
        <v>5</v>
      </c>
      <c r="H392" s="17">
        <v>10</v>
      </c>
      <c r="I392" s="17">
        <f t="shared" si="39"/>
        <v>50</v>
      </c>
      <c r="J392" s="43">
        <v>17</v>
      </c>
      <c r="K392" s="43">
        <f t="shared" si="40"/>
        <v>850</v>
      </c>
      <c r="L392" s="13"/>
      <c r="M392" s="17"/>
    </row>
    <row r="393" s="10" customFormat="1" spans="1:15">
      <c r="A393" s="34">
        <v>46013</v>
      </c>
      <c r="B393" s="29">
        <v>51</v>
      </c>
      <c r="C393" s="17"/>
      <c r="D393" s="17"/>
      <c r="E393" s="17"/>
      <c r="F393" s="37" t="s">
        <v>126</v>
      </c>
      <c r="G393" s="17">
        <v>2</v>
      </c>
      <c r="H393" s="17">
        <v>180</v>
      </c>
      <c r="I393" s="17">
        <f t="shared" si="39"/>
        <v>360</v>
      </c>
      <c r="J393" s="43">
        <v>5.5</v>
      </c>
      <c r="K393" s="43">
        <f t="shared" si="40"/>
        <v>1980</v>
      </c>
      <c r="L393" s="13"/>
      <c r="M393" s="17">
        <f>SUM(K390:K393)</f>
        <v>6978</v>
      </c>
      <c r="N393" s="69"/>
    </row>
    <row r="394" s="11" customFormat="1" spans="1:15">
      <c r="A394" s="24">
        <v>46014</v>
      </c>
      <c r="B394" s="25">
        <v>53</v>
      </c>
      <c r="C394" s="26">
        <v>722</v>
      </c>
      <c r="D394" s="26"/>
      <c r="E394" s="26"/>
      <c r="F394" s="27" t="s">
        <v>173</v>
      </c>
      <c r="G394" s="26">
        <v>1</v>
      </c>
      <c r="H394" s="26">
        <v>5</v>
      </c>
      <c r="I394" s="26">
        <f t="shared" si="39"/>
        <v>5</v>
      </c>
      <c r="J394" s="41">
        <v>17</v>
      </c>
      <c r="K394" s="41">
        <f t="shared" si="40"/>
        <v>85</v>
      </c>
      <c r="L394" s="12"/>
      <c r="M394" s="26"/>
    </row>
    <row r="395" s="10" customFormat="1" spans="1:15">
      <c r="A395" s="34">
        <v>46016</v>
      </c>
      <c r="B395" s="29">
        <v>66</v>
      </c>
      <c r="C395" s="17" t="s">
        <v>21</v>
      </c>
      <c r="D395" s="17"/>
      <c r="E395" s="17"/>
      <c r="F395" s="33" t="s">
        <v>22</v>
      </c>
      <c r="G395" s="17">
        <v>2</v>
      </c>
      <c r="H395" s="17">
        <v>20</v>
      </c>
      <c r="I395" s="17">
        <f t="shared" si="39"/>
        <v>40</v>
      </c>
      <c r="J395" s="43">
        <v>18</v>
      </c>
      <c r="K395" s="43">
        <f t="shared" si="40"/>
        <v>720</v>
      </c>
      <c r="L395" s="13"/>
      <c r="M395" s="17"/>
    </row>
    <row r="396" s="10" customFormat="1" spans="1:15">
      <c r="A396" s="34">
        <v>46016</v>
      </c>
      <c r="B396" s="29">
        <v>66</v>
      </c>
      <c r="C396" s="17" t="s">
        <v>19</v>
      </c>
      <c r="D396" s="17"/>
      <c r="E396" s="17"/>
      <c r="F396" s="33" t="s">
        <v>20</v>
      </c>
      <c r="G396" s="17">
        <v>5</v>
      </c>
      <c r="H396" s="17">
        <v>10</v>
      </c>
      <c r="I396" s="17">
        <f t="shared" si="39"/>
        <v>50</v>
      </c>
      <c r="J396" s="43">
        <v>18</v>
      </c>
      <c r="K396" s="43">
        <f t="shared" si="40"/>
        <v>900</v>
      </c>
      <c r="L396" s="13"/>
      <c r="M396" s="17"/>
    </row>
    <row r="397" s="11" customFormat="1" spans="1:15">
      <c r="A397" s="24">
        <v>46017</v>
      </c>
      <c r="B397" s="25">
        <v>69</v>
      </c>
      <c r="C397" s="26" t="s">
        <v>50</v>
      </c>
      <c r="D397" s="26"/>
      <c r="E397" s="26"/>
      <c r="F397" s="35" t="s">
        <v>51</v>
      </c>
      <c r="G397" s="26">
        <v>3</v>
      </c>
      <c r="H397" s="26">
        <v>25</v>
      </c>
      <c r="I397" s="26">
        <f t="shared" ref="I397:I413" si="41">G397*H397</f>
        <v>75</v>
      </c>
      <c r="J397" s="41">
        <v>14</v>
      </c>
      <c r="K397" s="41">
        <f t="shared" ref="K397:K413" si="42">I397*J397</f>
        <v>1050</v>
      </c>
      <c r="L397" s="12"/>
      <c r="M397" s="26"/>
    </row>
    <row r="398" s="11" customFormat="1" spans="1:15">
      <c r="A398" s="24">
        <v>46017</v>
      </c>
      <c r="B398" s="25">
        <v>69</v>
      </c>
      <c r="C398" s="26">
        <v>516</v>
      </c>
      <c r="D398" s="26"/>
      <c r="E398" s="26"/>
      <c r="F398" s="27" t="s">
        <v>157</v>
      </c>
      <c r="G398" s="26">
        <v>2</v>
      </c>
      <c r="H398" s="26">
        <v>25</v>
      </c>
      <c r="I398" s="26">
        <f t="shared" si="41"/>
        <v>50</v>
      </c>
      <c r="J398" s="41">
        <v>17</v>
      </c>
      <c r="K398" s="41">
        <f t="shared" si="42"/>
        <v>850</v>
      </c>
      <c r="L398" s="12"/>
      <c r="M398" s="26"/>
    </row>
    <row r="399" s="11" customFormat="1" spans="1:15">
      <c r="A399" s="24">
        <v>46017</v>
      </c>
      <c r="B399" s="25">
        <v>69</v>
      </c>
      <c r="C399" s="26" t="s">
        <v>19</v>
      </c>
      <c r="D399" s="26"/>
      <c r="E399" s="26"/>
      <c r="F399" s="27" t="s">
        <v>20</v>
      </c>
      <c r="G399" s="26">
        <v>2</v>
      </c>
      <c r="H399" s="26">
        <v>10</v>
      </c>
      <c r="I399" s="26">
        <f t="shared" si="41"/>
        <v>20</v>
      </c>
      <c r="J399" s="41">
        <v>17</v>
      </c>
      <c r="K399" s="41">
        <f t="shared" si="42"/>
        <v>340</v>
      </c>
      <c r="L399" s="12">
        <f>SUM(K397:K399)</f>
        <v>2240</v>
      </c>
      <c r="M399" s="26"/>
    </row>
    <row r="400" s="10" customFormat="1" spans="1:15">
      <c r="A400" s="34">
        <v>46018</v>
      </c>
      <c r="B400" s="29" t="s">
        <v>213</v>
      </c>
      <c r="C400" s="17" t="s">
        <v>214</v>
      </c>
      <c r="D400" s="17"/>
      <c r="E400" s="17"/>
      <c r="F400" s="33" t="s">
        <v>111</v>
      </c>
      <c r="G400" s="17">
        <v>1</v>
      </c>
      <c r="H400" s="17">
        <v>5</v>
      </c>
      <c r="I400" s="17">
        <f t="shared" si="41"/>
        <v>5</v>
      </c>
      <c r="J400" s="43">
        <v>17</v>
      </c>
      <c r="K400" s="43">
        <f t="shared" si="42"/>
        <v>85</v>
      </c>
      <c r="L400" s="15" t="s">
        <v>215</v>
      </c>
      <c r="M400" s="30"/>
      <c r="N400" s="9"/>
      <c r="O400" s="9"/>
    </row>
    <row r="401" s="11" customFormat="1" spans="1:15">
      <c r="A401" s="24">
        <v>46021</v>
      </c>
      <c r="B401" s="25">
        <v>86</v>
      </c>
      <c r="C401" s="26" t="s">
        <v>169</v>
      </c>
      <c r="D401" s="26"/>
      <c r="E401" s="26"/>
      <c r="F401" s="27" t="s">
        <v>150</v>
      </c>
      <c r="G401" s="26">
        <v>1</v>
      </c>
      <c r="H401" s="26">
        <v>26</v>
      </c>
      <c r="I401" s="26">
        <f t="shared" si="41"/>
        <v>26</v>
      </c>
      <c r="J401" s="41">
        <v>18</v>
      </c>
      <c r="K401" s="41">
        <f t="shared" si="42"/>
        <v>468</v>
      </c>
      <c r="L401" s="12" t="s">
        <v>170</v>
      </c>
      <c r="M401" s="26"/>
    </row>
    <row r="402" s="11" customFormat="1" spans="1:15">
      <c r="A402" s="24">
        <v>46021</v>
      </c>
      <c r="B402" s="25">
        <v>86</v>
      </c>
      <c r="C402" s="26" t="s">
        <v>21</v>
      </c>
      <c r="D402" s="26"/>
      <c r="E402" s="26"/>
      <c r="F402" s="27" t="s">
        <v>22</v>
      </c>
      <c r="G402" s="26">
        <v>2</v>
      </c>
      <c r="H402" s="26">
        <v>20</v>
      </c>
      <c r="I402" s="26">
        <f t="shared" si="41"/>
        <v>40</v>
      </c>
      <c r="J402" s="41">
        <v>18</v>
      </c>
      <c r="K402" s="41">
        <f t="shared" si="42"/>
        <v>720</v>
      </c>
      <c r="L402" s="12"/>
      <c r="M402" s="26"/>
    </row>
    <row r="403" s="11" customFormat="1" spans="1:15">
      <c r="A403" s="24">
        <v>46021</v>
      </c>
      <c r="B403" s="25">
        <v>86</v>
      </c>
      <c r="C403" s="26" t="s">
        <v>153</v>
      </c>
      <c r="D403" s="26"/>
      <c r="E403" s="26"/>
      <c r="F403" s="27" t="s">
        <v>216</v>
      </c>
      <c r="G403" s="26">
        <v>1</v>
      </c>
      <c r="H403" s="26">
        <v>2.5</v>
      </c>
      <c r="I403" s="26">
        <f t="shared" si="41"/>
        <v>2.5</v>
      </c>
      <c r="J403" s="41">
        <v>18</v>
      </c>
      <c r="K403" s="41">
        <f t="shared" si="42"/>
        <v>45</v>
      </c>
      <c r="L403" s="12"/>
      <c r="M403" s="26"/>
    </row>
    <row r="404" s="11" customFormat="1" spans="1:15">
      <c r="A404" s="24">
        <v>46021</v>
      </c>
      <c r="B404" s="25">
        <v>86</v>
      </c>
      <c r="C404" s="26" t="s">
        <v>217</v>
      </c>
      <c r="D404" s="26"/>
      <c r="E404" s="26"/>
      <c r="F404" s="27" t="s">
        <v>218</v>
      </c>
      <c r="G404" s="26">
        <v>1</v>
      </c>
      <c r="H404" s="26">
        <v>25</v>
      </c>
      <c r="I404" s="26">
        <f t="shared" si="41"/>
        <v>25</v>
      </c>
      <c r="J404" s="41">
        <v>18</v>
      </c>
      <c r="K404" s="41">
        <f t="shared" si="42"/>
        <v>450</v>
      </c>
      <c r="L404" s="12"/>
      <c r="M404" s="26"/>
    </row>
    <row r="405" s="11" customFormat="1" spans="1:15">
      <c r="A405" s="24">
        <v>46021</v>
      </c>
      <c r="B405" s="25">
        <v>86</v>
      </c>
      <c r="C405" s="26" t="s">
        <v>143</v>
      </c>
      <c r="D405" s="26"/>
      <c r="E405" s="26"/>
      <c r="F405" s="27" t="s">
        <v>144</v>
      </c>
      <c r="G405" s="26">
        <v>1</v>
      </c>
      <c r="H405" s="26">
        <v>25</v>
      </c>
      <c r="I405" s="26">
        <f t="shared" si="41"/>
        <v>25</v>
      </c>
      <c r="J405" s="41">
        <v>18</v>
      </c>
      <c r="K405" s="41">
        <f t="shared" si="42"/>
        <v>450</v>
      </c>
      <c r="L405" s="27" t="s">
        <v>145</v>
      </c>
      <c r="M405" s="27"/>
      <c r="N405" s="27"/>
    </row>
    <row r="406" s="11" customFormat="1" spans="1:15">
      <c r="A406" s="24">
        <v>46021</v>
      </c>
      <c r="B406" s="25">
        <v>86</v>
      </c>
      <c r="C406" s="26" t="s">
        <v>19</v>
      </c>
      <c r="D406" s="26"/>
      <c r="E406" s="26"/>
      <c r="F406" s="27" t="s">
        <v>20</v>
      </c>
      <c r="G406" s="26">
        <v>5</v>
      </c>
      <c r="H406" s="26">
        <v>10</v>
      </c>
      <c r="I406" s="26">
        <f t="shared" si="41"/>
        <v>50</v>
      </c>
      <c r="J406" s="41">
        <v>18</v>
      </c>
      <c r="K406" s="41">
        <f t="shared" si="42"/>
        <v>900</v>
      </c>
      <c r="L406" s="12"/>
      <c r="M406" s="26">
        <f>SUM(K401:K406)</f>
        <v>3033</v>
      </c>
    </row>
    <row r="407" s="10" customFormat="1" spans="1:15">
      <c r="A407" s="34">
        <v>46027</v>
      </c>
      <c r="B407" s="29">
        <v>9</v>
      </c>
      <c r="C407" s="17">
        <v>9803</v>
      </c>
      <c r="D407" s="17"/>
      <c r="E407" s="17"/>
      <c r="F407" s="33" t="s">
        <v>13</v>
      </c>
      <c r="G407" s="17">
        <v>10</v>
      </c>
      <c r="H407" s="17">
        <v>28</v>
      </c>
      <c r="I407" s="17">
        <f t="shared" si="41"/>
        <v>280</v>
      </c>
      <c r="J407" s="43">
        <v>8.5</v>
      </c>
      <c r="K407" s="43">
        <f t="shared" si="42"/>
        <v>2380</v>
      </c>
      <c r="L407" s="13"/>
      <c r="M407" s="17"/>
    </row>
    <row r="408" s="11" customFormat="1" spans="1:15">
      <c r="A408" s="70">
        <v>46029</v>
      </c>
      <c r="B408" s="12" t="s">
        <v>219</v>
      </c>
      <c r="C408" s="26">
        <v>516</v>
      </c>
      <c r="D408" s="26"/>
      <c r="E408" s="26"/>
      <c r="F408" s="27" t="s">
        <v>157</v>
      </c>
      <c r="G408" s="26">
        <v>2</v>
      </c>
      <c r="H408" s="26">
        <v>25</v>
      </c>
      <c r="I408" s="26">
        <f t="shared" si="41"/>
        <v>50</v>
      </c>
      <c r="J408" s="41">
        <v>17</v>
      </c>
      <c r="K408" s="41">
        <f t="shared" si="42"/>
        <v>850</v>
      </c>
      <c r="L408" s="12"/>
      <c r="M408" s="12"/>
    </row>
    <row r="409" s="11" customFormat="1" spans="1:15">
      <c r="A409" s="70">
        <v>46029</v>
      </c>
      <c r="B409" s="12" t="s">
        <v>219</v>
      </c>
      <c r="C409" s="26">
        <v>722</v>
      </c>
      <c r="D409" s="26"/>
      <c r="E409" s="26"/>
      <c r="F409" s="27" t="s">
        <v>173</v>
      </c>
      <c r="G409" s="26">
        <v>1</v>
      </c>
      <c r="H409" s="26">
        <v>7</v>
      </c>
      <c r="I409" s="26">
        <f t="shared" si="41"/>
        <v>7</v>
      </c>
      <c r="J409" s="41">
        <v>17</v>
      </c>
      <c r="K409" s="41">
        <f t="shared" si="42"/>
        <v>119</v>
      </c>
      <c r="L409" s="12"/>
      <c r="M409" s="12"/>
    </row>
    <row r="410" s="11" customFormat="1" spans="1:15">
      <c r="A410" s="70">
        <v>46029</v>
      </c>
      <c r="B410" s="12" t="s">
        <v>219</v>
      </c>
      <c r="C410" s="26" t="s">
        <v>19</v>
      </c>
      <c r="D410" s="26"/>
      <c r="E410" s="26"/>
      <c r="F410" s="27" t="s">
        <v>20</v>
      </c>
      <c r="G410" s="26">
        <v>3</v>
      </c>
      <c r="H410" s="26">
        <v>10</v>
      </c>
      <c r="I410" s="26">
        <f t="shared" si="41"/>
        <v>30</v>
      </c>
      <c r="J410" s="41">
        <v>17</v>
      </c>
      <c r="K410" s="41">
        <f t="shared" si="42"/>
        <v>510</v>
      </c>
      <c r="L410" s="12">
        <f>SUM(K408:K410)</f>
        <v>1479</v>
      </c>
      <c r="M410" s="12"/>
    </row>
    <row r="411" s="10" customFormat="1" spans="1:15">
      <c r="A411" s="34">
        <v>46034</v>
      </c>
      <c r="B411" s="29" t="s">
        <v>220</v>
      </c>
      <c r="C411" s="17" t="s">
        <v>52</v>
      </c>
      <c r="D411" s="17"/>
      <c r="E411" s="17"/>
      <c r="F411" s="33" t="s">
        <v>12</v>
      </c>
      <c r="G411" s="17">
        <v>2</v>
      </c>
      <c r="H411" s="17">
        <v>18</v>
      </c>
      <c r="I411" s="17">
        <f t="shared" si="41"/>
        <v>36</v>
      </c>
      <c r="J411" s="43">
        <v>10.5</v>
      </c>
      <c r="K411" s="43">
        <f t="shared" si="42"/>
        <v>378</v>
      </c>
      <c r="L411" s="13" t="s">
        <v>221</v>
      </c>
      <c r="M411" s="17"/>
    </row>
    <row r="412" s="11" customFormat="1" spans="1:15">
      <c r="A412" s="24">
        <v>46042</v>
      </c>
      <c r="B412" s="25">
        <v>51</v>
      </c>
      <c r="C412" s="26" t="s">
        <v>149</v>
      </c>
      <c r="D412" s="26"/>
      <c r="E412" s="26"/>
      <c r="F412" s="27" t="s">
        <v>150</v>
      </c>
      <c r="G412" s="26">
        <v>1</v>
      </c>
      <c r="H412" s="26">
        <v>5</v>
      </c>
      <c r="I412" s="26">
        <f t="shared" si="41"/>
        <v>5</v>
      </c>
      <c r="J412" s="41">
        <v>17</v>
      </c>
      <c r="K412" s="41">
        <f t="shared" si="42"/>
        <v>85</v>
      </c>
      <c r="L412" s="12" t="s">
        <v>151</v>
      </c>
      <c r="M412" s="26"/>
    </row>
    <row r="413" s="10" customFormat="1" spans="1:15">
      <c r="A413" s="34">
        <v>46044</v>
      </c>
      <c r="B413" s="29">
        <v>63</v>
      </c>
      <c r="C413" s="17" t="s">
        <v>214</v>
      </c>
      <c r="D413" s="17"/>
      <c r="E413" s="17"/>
      <c r="F413" s="33" t="s">
        <v>111</v>
      </c>
      <c r="G413" s="17">
        <v>1</v>
      </c>
      <c r="H413" s="17">
        <v>4</v>
      </c>
      <c r="I413" s="17">
        <f t="shared" si="41"/>
        <v>4</v>
      </c>
      <c r="J413" s="43">
        <v>17</v>
      </c>
      <c r="K413" s="43">
        <f t="shared" si="42"/>
        <v>68</v>
      </c>
      <c r="L413" s="15" t="s">
        <v>215</v>
      </c>
      <c r="M413" s="30"/>
      <c r="N413" s="9"/>
      <c r="O413" s="9"/>
    </row>
    <row r="414" s="10" customFormat="1" spans="1:15">
      <c r="A414" s="34"/>
      <c r="B414" s="29"/>
      <c r="C414" s="17"/>
      <c r="D414" s="17"/>
      <c r="E414" s="17"/>
      <c r="F414" s="33"/>
      <c r="G414" s="17"/>
      <c r="H414" s="17"/>
      <c r="I414" s="17"/>
      <c r="J414" s="43"/>
      <c r="K414" s="43"/>
      <c r="L414" s="13"/>
      <c r="M414" s="17"/>
    </row>
    <row r="415" s="10" customFormat="1" spans="1:15">
      <c r="A415" s="34"/>
      <c r="B415" s="29"/>
      <c r="C415" s="17"/>
      <c r="D415" s="17"/>
      <c r="E415" s="17"/>
      <c r="F415" s="33"/>
      <c r="G415" s="17"/>
      <c r="H415" s="17"/>
      <c r="I415" s="17"/>
      <c r="J415" s="43"/>
      <c r="K415" s="43"/>
      <c r="L415" s="13"/>
      <c r="M415" s="17"/>
    </row>
    <row r="416" s="10" customFormat="1" spans="1:15">
      <c r="A416" s="34"/>
      <c r="B416" s="29"/>
      <c r="C416" s="17"/>
      <c r="D416" s="17"/>
      <c r="E416" s="17"/>
      <c r="F416" s="33"/>
      <c r="G416" s="17"/>
      <c r="H416" s="17"/>
      <c r="I416" s="17"/>
      <c r="J416" s="43"/>
      <c r="K416" s="43"/>
      <c r="L416" s="13"/>
      <c r="M416" s="17"/>
    </row>
    <row r="417" s="10" customFormat="1" spans="1:13">
      <c r="A417" s="34"/>
      <c r="B417" s="29"/>
      <c r="C417" s="17"/>
      <c r="D417" s="17"/>
      <c r="E417" s="17"/>
      <c r="F417" s="33"/>
      <c r="G417" s="17"/>
      <c r="H417" s="17"/>
      <c r="I417" s="17"/>
      <c r="J417" s="43"/>
      <c r="K417" s="43"/>
      <c r="L417" s="13"/>
      <c r="M417" s="17"/>
    </row>
    <row r="418" s="10" customFormat="1" spans="1:13">
      <c r="A418" s="34"/>
      <c r="B418" s="29"/>
      <c r="C418" s="17"/>
      <c r="D418" s="17"/>
      <c r="E418" s="17"/>
      <c r="F418" s="33"/>
      <c r="G418" s="17"/>
      <c r="H418" s="17"/>
      <c r="I418" s="17"/>
      <c r="J418" s="43"/>
      <c r="K418" s="43"/>
      <c r="L418" s="13"/>
      <c r="M418" s="17"/>
    </row>
    <row r="419" s="10" customFormat="1" spans="1:13">
      <c r="A419" s="34"/>
      <c r="B419" s="29"/>
      <c r="C419" s="17"/>
      <c r="D419" s="17"/>
      <c r="E419" s="17"/>
      <c r="F419" s="33"/>
      <c r="G419" s="17"/>
      <c r="H419" s="17"/>
      <c r="I419" s="17"/>
      <c r="J419" s="43"/>
      <c r="K419" s="43"/>
      <c r="L419" s="13"/>
      <c r="M419" s="17"/>
    </row>
    <row r="420" s="10" customFormat="1" spans="1:13">
      <c r="A420" s="34"/>
      <c r="B420" s="29"/>
      <c r="C420" s="17"/>
      <c r="D420" s="17"/>
      <c r="E420" s="17"/>
      <c r="F420" s="33"/>
      <c r="G420" s="17"/>
      <c r="H420" s="17"/>
      <c r="I420" s="17"/>
      <c r="J420" s="43"/>
      <c r="K420" s="43"/>
      <c r="L420" s="13"/>
      <c r="M420" s="17"/>
    </row>
    <row r="421" s="10" customFormat="1" spans="1:13">
      <c r="A421" s="34"/>
      <c r="B421" s="29"/>
      <c r="C421" s="17"/>
      <c r="D421" s="17"/>
      <c r="E421" s="17"/>
      <c r="F421" s="33"/>
      <c r="G421" s="17"/>
      <c r="H421" s="17"/>
      <c r="I421" s="17"/>
      <c r="J421" s="43"/>
      <c r="K421" s="43"/>
      <c r="L421" s="13"/>
      <c r="M421" s="17"/>
    </row>
    <row r="422" s="10" customFormat="1" spans="1:13">
      <c r="A422" s="34"/>
      <c r="B422" s="29"/>
      <c r="C422" s="17"/>
      <c r="D422" s="17"/>
      <c r="E422" s="17"/>
      <c r="F422" s="33"/>
      <c r="G422" s="17"/>
      <c r="H422" s="17"/>
      <c r="I422" s="17"/>
      <c r="J422" s="43"/>
      <c r="K422" s="43"/>
      <c r="L422" s="13"/>
      <c r="M422" s="17"/>
    </row>
    <row r="423" s="10" customFormat="1" spans="1:13">
      <c r="A423" s="34"/>
      <c r="B423" s="29"/>
      <c r="C423" s="17"/>
      <c r="D423" s="17"/>
      <c r="E423" s="17"/>
      <c r="F423" s="33"/>
      <c r="G423" s="17"/>
      <c r="H423" s="17"/>
      <c r="I423" s="17"/>
      <c r="J423" s="43"/>
      <c r="K423" s="43"/>
      <c r="L423" s="13"/>
      <c r="M423" s="17"/>
    </row>
    <row r="424" s="10" customFormat="1" spans="1:13">
      <c r="A424" s="34"/>
      <c r="B424" s="29"/>
      <c r="C424" s="17"/>
      <c r="D424" s="17"/>
      <c r="E424" s="17"/>
      <c r="F424" s="33"/>
      <c r="G424" s="17"/>
      <c r="H424" s="17"/>
      <c r="I424" s="17"/>
      <c r="J424" s="43"/>
      <c r="K424" s="43"/>
      <c r="L424" s="13"/>
      <c r="M424" s="17"/>
    </row>
    <row r="425" s="10" customFormat="1" spans="1:13">
      <c r="A425" s="34"/>
      <c r="B425" s="29"/>
      <c r="C425" s="17"/>
      <c r="D425" s="17"/>
      <c r="E425" s="17"/>
      <c r="F425" s="33"/>
      <c r="G425" s="17"/>
      <c r="H425" s="17"/>
      <c r="I425" s="17"/>
      <c r="J425" s="43"/>
      <c r="K425" s="43"/>
      <c r="L425" s="13"/>
      <c r="M425" s="17"/>
    </row>
    <row r="426" s="10" customFormat="1" spans="1:13">
      <c r="A426" s="34"/>
      <c r="B426" s="29"/>
      <c r="C426" s="17"/>
      <c r="D426" s="17"/>
      <c r="E426" s="17"/>
      <c r="F426" s="33"/>
      <c r="G426" s="17"/>
      <c r="H426" s="17"/>
      <c r="I426" s="17"/>
      <c r="J426" s="43"/>
      <c r="K426" s="43"/>
      <c r="L426" s="13"/>
      <c r="M426" s="17"/>
    </row>
    <row r="427" s="10" customFormat="1" spans="1:13">
      <c r="A427" s="34"/>
      <c r="B427" s="29"/>
      <c r="C427" s="17"/>
      <c r="D427" s="17"/>
      <c r="E427" s="17"/>
      <c r="F427" s="33"/>
      <c r="G427" s="17"/>
      <c r="H427" s="17"/>
      <c r="I427" s="17"/>
      <c r="J427" s="43"/>
      <c r="K427" s="43"/>
      <c r="L427" s="13"/>
      <c r="M427" s="17"/>
    </row>
    <row r="428" s="10" customFormat="1" spans="1:13">
      <c r="A428" s="34"/>
      <c r="B428" s="29"/>
      <c r="C428" s="17"/>
      <c r="D428" s="17"/>
      <c r="E428" s="17"/>
      <c r="F428" s="33"/>
      <c r="G428" s="17"/>
      <c r="H428" s="17"/>
      <c r="I428" s="17"/>
      <c r="J428" s="43"/>
      <c r="K428" s="43"/>
      <c r="L428" s="13"/>
      <c r="M428" s="17"/>
    </row>
    <row r="429" s="10" customFormat="1" spans="1:13">
      <c r="A429" s="34"/>
      <c r="B429" s="29"/>
      <c r="C429" s="17"/>
      <c r="D429" s="17"/>
      <c r="E429" s="17"/>
      <c r="F429" s="33"/>
      <c r="G429" s="17"/>
      <c r="H429" s="17"/>
      <c r="I429" s="17"/>
      <c r="J429" s="43"/>
      <c r="K429" s="43"/>
      <c r="L429" s="13"/>
      <c r="M429" s="17"/>
    </row>
    <row r="430" s="10" customFormat="1" spans="1:13">
      <c r="A430" s="34"/>
      <c r="B430" s="29"/>
      <c r="C430" s="17"/>
      <c r="D430" s="17"/>
      <c r="E430" s="17"/>
      <c r="F430" s="33"/>
      <c r="G430" s="17"/>
      <c r="H430" s="17"/>
      <c r="I430" s="17"/>
      <c r="J430" s="43"/>
      <c r="K430" s="43"/>
      <c r="L430" s="13"/>
      <c r="M430" s="17"/>
    </row>
    <row r="431" s="10" customFormat="1" spans="1:13">
      <c r="A431" s="34"/>
      <c r="B431" s="29"/>
      <c r="C431" s="17"/>
      <c r="D431" s="17"/>
      <c r="E431" s="17"/>
      <c r="F431" s="33"/>
      <c r="G431" s="17"/>
      <c r="H431" s="17"/>
      <c r="I431" s="17"/>
      <c r="J431" s="43"/>
      <c r="K431" s="43"/>
      <c r="L431" s="13"/>
      <c r="M431" s="17"/>
    </row>
  </sheetData>
  <mergeCells count="441">
    <mergeCell ref="C1:E1"/>
    <mergeCell ref="C2:E2"/>
    <mergeCell ref="C3:E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  <mergeCell ref="C73:E73"/>
    <mergeCell ref="C74:E74"/>
    <mergeCell ref="C76:E76"/>
    <mergeCell ref="C77:E77"/>
    <mergeCell ref="C78:E78"/>
    <mergeCell ref="C79:E79"/>
    <mergeCell ref="C80:E80"/>
    <mergeCell ref="C81:E81"/>
    <mergeCell ref="C82:E82"/>
    <mergeCell ref="C83:E83"/>
    <mergeCell ref="C84:E84"/>
    <mergeCell ref="C85:E85"/>
    <mergeCell ref="C86:E86"/>
    <mergeCell ref="C87:E87"/>
    <mergeCell ref="C88:E88"/>
    <mergeCell ref="C89:E89"/>
    <mergeCell ref="C90:E90"/>
    <mergeCell ref="C91:E91"/>
    <mergeCell ref="C92:E92"/>
    <mergeCell ref="C93:E93"/>
    <mergeCell ref="C94:E94"/>
    <mergeCell ref="C95:E95"/>
    <mergeCell ref="C96:E96"/>
    <mergeCell ref="C97:E97"/>
    <mergeCell ref="C98:E98"/>
    <mergeCell ref="C99:E99"/>
    <mergeCell ref="C100:E100"/>
    <mergeCell ref="C101:E101"/>
    <mergeCell ref="C102:E102"/>
    <mergeCell ref="C103:E103"/>
    <mergeCell ref="C104:E104"/>
    <mergeCell ref="C105:E105"/>
    <mergeCell ref="C106:E106"/>
    <mergeCell ref="C107:E107"/>
    <mergeCell ref="C108:E108"/>
    <mergeCell ref="C109:E109"/>
    <mergeCell ref="C110:E110"/>
    <mergeCell ref="C111:E111"/>
    <mergeCell ref="C112:E112"/>
    <mergeCell ref="C113:E113"/>
    <mergeCell ref="C114:E114"/>
    <mergeCell ref="C115:E115"/>
    <mergeCell ref="C116:E116"/>
    <mergeCell ref="C117:E117"/>
    <mergeCell ref="C118:E118"/>
    <mergeCell ref="C119:E119"/>
    <mergeCell ref="C120:E120"/>
    <mergeCell ref="C121:E121"/>
    <mergeCell ref="C122:E122"/>
    <mergeCell ref="C123:E123"/>
    <mergeCell ref="C124:E124"/>
    <mergeCell ref="C125:E125"/>
    <mergeCell ref="C126:E126"/>
    <mergeCell ref="C127:E127"/>
    <mergeCell ref="C128:E128"/>
    <mergeCell ref="C129:E129"/>
    <mergeCell ref="C130:E130"/>
    <mergeCell ref="C131:E131"/>
    <mergeCell ref="C132:E132"/>
    <mergeCell ref="C133:E133"/>
    <mergeCell ref="C134:E134"/>
    <mergeCell ref="C135:E135"/>
    <mergeCell ref="C136:E136"/>
    <mergeCell ref="C137:E137"/>
    <mergeCell ref="C138:E138"/>
    <mergeCell ref="C139:E139"/>
    <mergeCell ref="C140:E140"/>
    <mergeCell ref="C141:E141"/>
    <mergeCell ref="C142:E142"/>
    <mergeCell ref="C143:E143"/>
    <mergeCell ref="C144:E144"/>
    <mergeCell ref="C145:E145"/>
    <mergeCell ref="C146:E146"/>
    <mergeCell ref="C147:E147"/>
    <mergeCell ref="C148:E148"/>
    <mergeCell ref="C149:E149"/>
    <mergeCell ref="C150:E150"/>
    <mergeCell ref="C151:E151"/>
    <mergeCell ref="C152:E152"/>
    <mergeCell ref="C153:E153"/>
    <mergeCell ref="C154:E154"/>
    <mergeCell ref="C155:E155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C164:E164"/>
    <mergeCell ref="C165:E165"/>
    <mergeCell ref="C166:E166"/>
    <mergeCell ref="C167:E167"/>
    <mergeCell ref="C168:E168"/>
    <mergeCell ref="C169:E169"/>
    <mergeCell ref="C170:E170"/>
    <mergeCell ref="C171:E171"/>
    <mergeCell ref="C172:E172"/>
    <mergeCell ref="C173:E173"/>
    <mergeCell ref="C174:E174"/>
    <mergeCell ref="C175:E175"/>
    <mergeCell ref="C176:E176"/>
    <mergeCell ref="C177:E177"/>
    <mergeCell ref="C178:E178"/>
    <mergeCell ref="C179:E179"/>
    <mergeCell ref="C180:E180"/>
    <mergeCell ref="C181:E181"/>
    <mergeCell ref="C182:E182"/>
    <mergeCell ref="C183:E183"/>
    <mergeCell ref="C184:E184"/>
    <mergeCell ref="C185:E185"/>
    <mergeCell ref="C186:E186"/>
    <mergeCell ref="C187:E187"/>
    <mergeCell ref="C188:E188"/>
    <mergeCell ref="C189:E189"/>
    <mergeCell ref="C190:E190"/>
    <mergeCell ref="C191:E191"/>
    <mergeCell ref="C192:E192"/>
    <mergeCell ref="C193:E193"/>
    <mergeCell ref="C194:E194"/>
    <mergeCell ref="C195:E195"/>
    <mergeCell ref="C196:E196"/>
    <mergeCell ref="C197:E197"/>
    <mergeCell ref="C198:E198"/>
    <mergeCell ref="C199:E199"/>
    <mergeCell ref="C200:E200"/>
    <mergeCell ref="C201:E201"/>
    <mergeCell ref="C202:E202"/>
    <mergeCell ref="C203:E203"/>
    <mergeCell ref="C204:E204"/>
    <mergeCell ref="C205:E205"/>
    <mergeCell ref="C206:E206"/>
    <mergeCell ref="C207:E207"/>
    <mergeCell ref="C208:E208"/>
    <mergeCell ref="C209:E209"/>
    <mergeCell ref="C210:E210"/>
    <mergeCell ref="C211:E211"/>
    <mergeCell ref="C212:E212"/>
    <mergeCell ref="C213:E213"/>
    <mergeCell ref="C214:E214"/>
    <mergeCell ref="C215:E215"/>
    <mergeCell ref="C216:E216"/>
    <mergeCell ref="L216:N216"/>
    <mergeCell ref="C217:E217"/>
    <mergeCell ref="L217:N217"/>
    <mergeCell ref="C218:E218"/>
    <mergeCell ref="L218:N218"/>
    <mergeCell ref="C219:E219"/>
    <mergeCell ref="C220:E220"/>
    <mergeCell ref="C221:E221"/>
    <mergeCell ref="C222:E222"/>
    <mergeCell ref="L222:N222"/>
    <mergeCell ref="C223:E223"/>
    <mergeCell ref="C224:E224"/>
    <mergeCell ref="C225:E225"/>
    <mergeCell ref="C226:E226"/>
    <mergeCell ref="C227:E227"/>
    <mergeCell ref="L227:N227"/>
    <mergeCell ref="C228:E228"/>
    <mergeCell ref="L228:N228"/>
    <mergeCell ref="C229:E229"/>
    <mergeCell ref="C230:E230"/>
    <mergeCell ref="C231:E231"/>
    <mergeCell ref="C232:E232"/>
    <mergeCell ref="C233:E233"/>
    <mergeCell ref="C234:E234"/>
    <mergeCell ref="C235:E235"/>
    <mergeCell ref="C236:E236"/>
    <mergeCell ref="C237:E237"/>
    <mergeCell ref="C238:E238"/>
    <mergeCell ref="C239:E239"/>
    <mergeCell ref="C240:E240"/>
    <mergeCell ref="C241:E241"/>
    <mergeCell ref="C242:E242"/>
    <mergeCell ref="C243:E243"/>
    <mergeCell ref="C244:E244"/>
    <mergeCell ref="C245:E245"/>
    <mergeCell ref="C246:E246"/>
    <mergeCell ref="C247:E247"/>
    <mergeCell ref="C248:E248"/>
    <mergeCell ref="C249:E249"/>
    <mergeCell ref="C250:E250"/>
    <mergeCell ref="C251:E251"/>
    <mergeCell ref="C252:E252"/>
    <mergeCell ref="C253:E253"/>
    <mergeCell ref="C254:E254"/>
    <mergeCell ref="C255:E255"/>
    <mergeCell ref="C256:E256"/>
    <mergeCell ref="C257:E257"/>
    <mergeCell ref="C258:E258"/>
    <mergeCell ref="C259:E259"/>
    <mergeCell ref="C260:E260"/>
    <mergeCell ref="L260:N260"/>
    <mergeCell ref="C261:E261"/>
    <mergeCell ref="C262:E262"/>
    <mergeCell ref="C263:E263"/>
    <mergeCell ref="C264:E264"/>
    <mergeCell ref="L264:N264"/>
    <mergeCell ref="C265:E265"/>
    <mergeCell ref="C266:E266"/>
    <mergeCell ref="C267:E267"/>
    <mergeCell ref="C268:E268"/>
    <mergeCell ref="C269:E269"/>
    <mergeCell ref="C270:E270"/>
    <mergeCell ref="C271:E271"/>
    <mergeCell ref="C272:E272"/>
    <mergeCell ref="C273:E273"/>
    <mergeCell ref="C274:E274"/>
    <mergeCell ref="C275:E275"/>
    <mergeCell ref="C276:E276"/>
    <mergeCell ref="C277:E277"/>
    <mergeCell ref="L277:N277"/>
    <mergeCell ref="C278:E278"/>
    <mergeCell ref="C279:E279"/>
    <mergeCell ref="C280:E280"/>
    <mergeCell ref="C281:E281"/>
    <mergeCell ref="C282:E282"/>
    <mergeCell ref="C283:E283"/>
    <mergeCell ref="C284:E284"/>
    <mergeCell ref="C285:E285"/>
    <mergeCell ref="C286:E286"/>
    <mergeCell ref="C287:E287"/>
    <mergeCell ref="C288:E288"/>
    <mergeCell ref="C289:E289"/>
    <mergeCell ref="C290:E290"/>
    <mergeCell ref="C291:E291"/>
    <mergeCell ref="C292:E292"/>
    <mergeCell ref="C293:E293"/>
    <mergeCell ref="C294:E294"/>
    <mergeCell ref="C295:E295"/>
    <mergeCell ref="C296:E296"/>
    <mergeCell ref="C297:E297"/>
    <mergeCell ref="C298:E298"/>
    <mergeCell ref="C299:E299"/>
    <mergeCell ref="C300:E300"/>
    <mergeCell ref="C301:E301"/>
    <mergeCell ref="C302:E302"/>
    <mergeCell ref="C303:E303"/>
    <mergeCell ref="C304:E304"/>
    <mergeCell ref="C305:E305"/>
    <mergeCell ref="C306:E306"/>
    <mergeCell ref="C307:E307"/>
    <mergeCell ref="C308:E308"/>
    <mergeCell ref="C309:E309"/>
    <mergeCell ref="C310:E310"/>
    <mergeCell ref="C311:E311"/>
    <mergeCell ref="C312:E312"/>
    <mergeCell ref="C313:E313"/>
    <mergeCell ref="C314:E314"/>
    <mergeCell ref="C315:E315"/>
    <mergeCell ref="C316:E316"/>
    <mergeCell ref="C317:E317"/>
    <mergeCell ref="C318:E318"/>
    <mergeCell ref="C319:E319"/>
    <mergeCell ref="C320:E320"/>
    <mergeCell ref="C321:E321"/>
    <mergeCell ref="C322:E322"/>
    <mergeCell ref="C323:E323"/>
    <mergeCell ref="C324:E324"/>
    <mergeCell ref="C325:E325"/>
    <mergeCell ref="C326:E326"/>
    <mergeCell ref="C327:E327"/>
    <mergeCell ref="C328:E328"/>
    <mergeCell ref="C329:E329"/>
    <mergeCell ref="C330:E330"/>
    <mergeCell ref="C331:E331"/>
    <mergeCell ref="C332:E332"/>
    <mergeCell ref="C333:E333"/>
    <mergeCell ref="C334:E334"/>
    <mergeCell ref="C335:E335"/>
    <mergeCell ref="C336:E336"/>
    <mergeCell ref="C337:E337"/>
    <mergeCell ref="C338:E338"/>
    <mergeCell ref="C339:E339"/>
    <mergeCell ref="C340:E340"/>
    <mergeCell ref="C341:E341"/>
    <mergeCell ref="C342:E342"/>
    <mergeCell ref="C343:E343"/>
    <mergeCell ref="C344:E344"/>
    <mergeCell ref="C345:E345"/>
    <mergeCell ref="C346:E346"/>
    <mergeCell ref="C347:E347"/>
    <mergeCell ref="C348:E348"/>
    <mergeCell ref="C349:E349"/>
    <mergeCell ref="C350:E350"/>
    <mergeCell ref="C351:E351"/>
    <mergeCell ref="C352:E352"/>
    <mergeCell ref="C353:E353"/>
    <mergeCell ref="C354:E354"/>
    <mergeCell ref="C355:E355"/>
    <mergeCell ref="C356:E356"/>
    <mergeCell ref="C357:E357"/>
    <mergeCell ref="C358:E358"/>
    <mergeCell ref="C359:E359"/>
    <mergeCell ref="C360:E360"/>
    <mergeCell ref="C361:E361"/>
    <mergeCell ref="C362:E362"/>
    <mergeCell ref="C363:E363"/>
    <mergeCell ref="C364:E364"/>
    <mergeCell ref="C365:E365"/>
    <mergeCell ref="C366:E366"/>
    <mergeCell ref="C367:E367"/>
    <mergeCell ref="C368:E368"/>
    <mergeCell ref="C369:E369"/>
    <mergeCell ref="C370:E370"/>
    <mergeCell ref="C371:E371"/>
    <mergeCell ref="C372:E372"/>
    <mergeCell ref="C373:E373"/>
    <mergeCell ref="C374:E374"/>
    <mergeCell ref="C375:E375"/>
    <mergeCell ref="C376:E376"/>
    <mergeCell ref="C377:E377"/>
    <mergeCell ref="C378:E378"/>
    <mergeCell ref="C379:E379"/>
    <mergeCell ref="C380:E380"/>
    <mergeCell ref="C381:E381"/>
    <mergeCell ref="C382:E382"/>
    <mergeCell ref="C383:E383"/>
    <mergeCell ref="C384:E384"/>
    <mergeCell ref="C385:E385"/>
    <mergeCell ref="C386:E386"/>
    <mergeCell ref="C387:E387"/>
    <mergeCell ref="C388:E388"/>
    <mergeCell ref="C389:E389"/>
    <mergeCell ref="C390:E390"/>
    <mergeCell ref="C391:E391"/>
    <mergeCell ref="C392:E392"/>
    <mergeCell ref="C393:E393"/>
    <mergeCell ref="C394:E394"/>
    <mergeCell ref="C395:E395"/>
    <mergeCell ref="C396:E396"/>
    <mergeCell ref="C397:E397"/>
    <mergeCell ref="C398:E398"/>
    <mergeCell ref="C399:E399"/>
    <mergeCell ref="C400:E400"/>
    <mergeCell ref="C401:E401"/>
    <mergeCell ref="C402:E402"/>
    <mergeCell ref="C403:E403"/>
    <mergeCell ref="C404:E404"/>
    <mergeCell ref="C405:E405"/>
    <mergeCell ref="L405:N405"/>
    <mergeCell ref="C406:E406"/>
    <mergeCell ref="C407:E407"/>
    <mergeCell ref="C408:E408"/>
    <mergeCell ref="C409:E409"/>
    <mergeCell ref="C410:E410"/>
    <mergeCell ref="C411:E411"/>
    <mergeCell ref="C412:E412"/>
    <mergeCell ref="C413:E413"/>
    <mergeCell ref="C414:E414"/>
    <mergeCell ref="C415:E415"/>
    <mergeCell ref="C416:E416"/>
    <mergeCell ref="C417:E417"/>
    <mergeCell ref="C418:E418"/>
    <mergeCell ref="C419:E419"/>
    <mergeCell ref="C420:E420"/>
    <mergeCell ref="C421:E421"/>
    <mergeCell ref="C422:E422"/>
    <mergeCell ref="C423:E423"/>
    <mergeCell ref="C424:E424"/>
    <mergeCell ref="C425:E425"/>
    <mergeCell ref="C426:E426"/>
    <mergeCell ref="C427:E427"/>
    <mergeCell ref="C428:E428"/>
    <mergeCell ref="C429:E429"/>
    <mergeCell ref="C430:E430"/>
    <mergeCell ref="C431:E431"/>
    <mergeCell ref="N337:N342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I19" sqref="I19"/>
    </sheetView>
  </sheetViews>
  <sheetFormatPr defaultColWidth="9" defaultRowHeight="15.6" outlineLevelCol="5"/>
  <cols>
    <col min="1" max="1" width="13.5" customWidth="1"/>
    <col min="2" max="2" width="20.875" customWidth="1"/>
    <col min="5" max="5" width="9.125"/>
  </cols>
  <sheetData>
    <row r="1" ht="15.75" customHeight="1" spans="1:6">
      <c r="A1" s="1"/>
      <c r="B1" s="1"/>
      <c r="C1" s="1"/>
      <c r="D1" s="1"/>
      <c r="E1" s="1"/>
      <c r="F1" s="1"/>
    </row>
    <row r="2" ht="20.4" spans="1:6">
      <c r="A2" s="2" t="s">
        <v>222</v>
      </c>
      <c r="B2" s="2" t="s">
        <v>223</v>
      </c>
      <c r="C2" s="2" t="s">
        <v>224</v>
      </c>
      <c r="D2" s="2"/>
      <c r="E2" s="2" t="s">
        <v>225</v>
      </c>
      <c r="F2" s="2" t="s">
        <v>9</v>
      </c>
    </row>
    <row r="3" ht="17.4" spans="1:6">
      <c r="A3" s="3">
        <v>9803</v>
      </c>
      <c r="B3" s="3" t="s">
        <v>13</v>
      </c>
      <c r="C3" s="4">
        <v>28</v>
      </c>
      <c r="D3" s="4" t="s">
        <v>226</v>
      </c>
      <c r="E3" s="5">
        <v>9</v>
      </c>
      <c r="F3" s="3"/>
    </row>
    <row r="4" ht="17.4" spans="1:6">
      <c r="A4" s="3" t="s">
        <v>25</v>
      </c>
      <c r="B4" s="3" t="s">
        <v>26</v>
      </c>
      <c r="C4" s="4">
        <v>25</v>
      </c>
      <c r="D4" s="4" t="s">
        <v>226</v>
      </c>
      <c r="E4" s="5">
        <v>12</v>
      </c>
      <c r="F4" s="3"/>
    </row>
    <row r="5" ht="17.4" spans="1:6">
      <c r="A5" s="6" t="s">
        <v>32</v>
      </c>
      <c r="B5" s="6" t="s">
        <v>33</v>
      </c>
      <c r="C5" s="4">
        <v>20</v>
      </c>
      <c r="D5" s="4" t="s">
        <v>226</v>
      </c>
      <c r="E5" s="5">
        <v>12</v>
      </c>
      <c r="F5" s="3"/>
    </row>
    <row r="6" ht="17.4" spans="1:6">
      <c r="A6" s="3" t="s">
        <v>50</v>
      </c>
      <c r="B6" s="3" t="s">
        <v>51</v>
      </c>
      <c r="C6" s="4">
        <v>25</v>
      </c>
      <c r="D6" s="4" t="s">
        <v>226</v>
      </c>
      <c r="E6" s="5">
        <v>14</v>
      </c>
      <c r="F6" s="3"/>
    </row>
    <row r="7" ht="17.4" spans="1:6">
      <c r="A7" s="3"/>
      <c r="B7" s="3" t="s">
        <v>227</v>
      </c>
      <c r="C7" s="4">
        <v>25</v>
      </c>
      <c r="D7" s="4" t="s">
        <v>226</v>
      </c>
      <c r="E7" s="5">
        <v>18</v>
      </c>
      <c r="F7" s="3"/>
    </row>
    <row r="8" ht="17.4" spans="1:6">
      <c r="A8" s="3" t="s">
        <v>21</v>
      </c>
      <c r="B8" s="3" t="s">
        <v>228</v>
      </c>
      <c r="C8" s="4">
        <v>20</v>
      </c>
      <c r="D8" s="4" t="s">
        <v>226</v>
      </c>
      <c r="E8" s="5">
        <v>18</v>
      </c>
      <c r="F8" s="3"/>
    </row>
    <row r="9" ht="17.4" spans="1:6">
      <c r="A9" s="3"/>
      <c r="B9" s="3" t="s">
        <v>20</v>
      </c>
      <c r="C9" s="4">
        <v>20</v>
      </c>
      <c r="D9" s="4" t="s">
        <v>226</v>
      </c>
      <c r="E9" s="5">
        <v>18</v>
      </c>
      <c r="F9" s="3"/>
    </row>
    <row r="10" ht="17.4" spans="1:6">
      <c r="A10" s="3"/>
      <c r="B10" s="3" t="s">
        <v>229</v>
      </c>
      <c r="C10" s="4">
        <v>20</v>
      </c>
      <c r="D10" s="4" t="s">
        <v>226</v>
      </c>
      <c r="E10" s="5">
        <v>22</v>
      </c>
      <c r="F10" s="3"/>
    </row>
    <row r="11" ht="17.4" spans="1:6">
      <c r="A11" s="1"/>
      <c r="B11" s="1" t="s">
        <v>230</v>
      </c>
      <c r="C11" s="4">
        <v>180</v>
      </c>
      <c r="D11" s="4" t="s">
        <v>226</v>
      </c>
      <c r="E11" s="5">
        <v>10.5</v>
      </c>
      <c r="F11" s="1"/>
    </row>
    <row r="12" ht="17.4" spans="1:6">
      <c r="A12" s="1"/>
      <c r="B12" s="1" t="s">
        <v>73</v>
      </c>
      <c r="C12" s="4">
        <v>13</v>
      </c>
      <c r="D12" s="4" t="s">
        <v>226</v>
      </c>
      <c r="E12" s="5">
        <v>15.5</v>
      </c>
      <c r="F12" s="1"/>
    </row>
    <row r="13" ht="17.4" spans="1:6">
      <c r="A13" s="1" t="s">
        <v>231</v>
      </c>
      <c r="B13" s="1" t="s">
        <v>232</v>
      </c>
      <c r="C13" s="4">
        <v>21</v>
      </c>
      <c r="D13" s="4" t="s">
        <v>226</v>
      </c>
      <c r="E13" s="5">
        <v>18</v>
      </c>
      <c r="F13" s="1"/>
    </row>
    <row r="14" ht="20.4" spans="1:6">
      <c r="A14" s="1"/>
      <c r="B14" s="7" t="s">
        <v>67</v>
      </c>
      <c r="C14" s="1">
        <v>18</v>
      </c>
      <c r="D14" s="4" t="s">
        <v>226</v>
      </c>
      <c r="E14" s="5">
        <v>14.5</v>
      </c>
      <c r="F14" s="1"/>
    </row>
    <row r="15" ht="20.4" spans="1:6">
      <c r="A15" s="1"/>
      <c r="B15" s="7" t="s">
        <v>68</v>
      </c>
      <c r="C15" s="1">
        <v>20</v>
      </c>
      <c r="D15" s="4" t="s">
        <v>226</v>
      </c>
      <c r="E15" s="5">
        <v>18</v>
      </c>
      <c r="F15" s="1"/>
    </row>
  </sheetData>
  <mergeCells count="1">
    <mergeCell ref="C2:D2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25出货</vt:lpstr>
      <vt:lpstr>已调价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WPS_1695616602</cp:lastModifiedBy>
  <dcterms:created xsi:type="dcterms:W3CDTF">2013-02-26T11:10:00Z</dcterms:created>
  <cp:lastPrinted>2022-07-15T09:38:00Z</cp:lastPrinted>
  <dcterms:modified xsi:type="dcterms:W3CDTF">2026-01-30T11:20:10Z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6846A1B4621D47DE8ADFED850AFFFE70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