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15144" windowHeight="11220" firstSheet="1" activeTab="2"/>
  </bookViews>
  <sheets>
    <sheet name="出货" sheetId="10" state="hidden" r:id="rId1"/>
    <sheet name="尹" sheetId="9" r:id="rId2"/>
    <sheet name="Sheet2" sheetId="16" r:id="rId3"/>
    <sheet name="24回款" sheetId="11" state="hidden" r:id="rId4"/>
    <sheet name="嵩明报价" sheetId="14" state="hidden" r:id="rId5"/>
    <sheet name="回款明细" sheetId="7" state="hidden" r:id="rId6"/>
    <sheet name="净味系列报价" sheetId="5" state="hidden" r:id="rId7"/>
  </sheets>
  <definedNames>
    <definedName name="_xlnm._FilterDatabase" localSheetId="0" hidden="1">出货!$A$2:$R$527</definedName>
    <definedName name="_xlnm.Print_Area" localSheetId="1">尹!$A$1:$J$22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<sst xmlns="http://schemas.openxmlformats.org/spreadsheetml/2006/main" count="2573" uniqueCount="631">
  <si>
    <t>24出货</t>
  </si>
  <si>
    <t>吨位总计</t>
  </si>
  <si>
    <t>金额总计</t>
  </si>
  <si>
    <t>客户金额总计</t>
  </si>
  <si>
    <t>日期</t>
  </si>
  <si>
    <t>单号</t>
  </si>
  <si>
    <t>产品型号</t>
  </si>
  <si>
    <t>产品名称</t>
  </si>
  <si>
    <t>数量/件</t>
  </si>
  <si>
    <t>规格/KG</t>
  </si>
  <si>
    <t>数量/KG</t>
  </si>
  <si>
    <t>单价/元</t>
  </si>
  <si>
    <t>金额/元</t>
  </si>
  <si>
    <t>备注</t>
  </si>
  <si>
    <t>金额合计</t>
  </si>
  <si>
    <t>客户单价</t>
  </si>
  <si>
    <t>客户金额</t>
  </si>
  <si>
    <t>合计金额</t>
  </si>
  <si>
    <t>蕊芯</t>
  </si>
  <si>
    <t>10号</t>
  </si>
  <si>
    <t>RX001</t>
  </si>
  <si>
    <t>PU哑光菜花黄色漆</t>
  </si>
  <si>
    <t>PU净味哑光固化剂</t>
  </si>
  <si>
    <t>LF</t>
  </si>
  <si>
    <t>PU哑光白面漆</t>
  </si>
  <si>
    <t>3735C、369做加白浆2KG、0.1哑粉/桶</t>
  </si>
  <si>
    <t>PU金属拉丝漆</t>
  </si>
  <si>
    <t>商标按修边漆模板打的</t>
  </si>
  <si>
    <t>13号</t>
  </si>
  <si>
    <t>PE白底漆（定制）</t>
  </si>
  <si>
    <t>8305做的</t>
  </si>
  <si>
    <t>6824A</t>
  </si>
  <si>
    <t>PE封固底漆</t>
  </si>
  <si>
    <t>6827B</t>
  </si>
  <si>
    <t>9806A</t>
  </si>
  <si>
    <t>PE白底漆稀释剂</t>
  </si>
  <si>
    <t>OF-900A</t>
  </si>
  <si>
    <t>PU底漆稀释剂</t>
  </si>
  <si>
    <t>OF-901F</t>
  </si>
  <si>
    <t>PU净味面漆稀释剂</t>
  </si>
  <si>
    <t>OF-1871</t>
  </si>
  <si>
    <t>PU清底漆</t>
  </si>
  <si>
    <t>8305做的：内部下批上调0.5/KG</t>
  </si>
  <si>
    <t>RX0325</t>
  </si>
  <si>
    <t>PU哑光深蓝色漆</t>
  </si>
  <si>
    <t>单下错了已退回已改色编号为RX0828</t>
  </si>
  <si>
    <t>NC3712</t>
  </si>
  <si>
    <t>NC白底漆</t>
  </si>
  <si>
    <t>NC稀释剂</t>
  </si>
  <si>
    <t>PU哑光金色闪光漆</t>
  </si>
  <si>
    <t>18/4调过</t>
  </si>
  <si>
    <t>RX901F</t>
  </si>
  <si>
    <t>慢干水</t>
  </si>
  <si>
    <t>PU哑光黑面漆</t>
  </si>
  <si>
    <t>RX0828</t>
  </si>
  <si>
    <t>干板样：不开单抵23/8退回的RX0325深蓝:4kg</t>
  </si>
  <si>
    <t>未开单</t>
  </si>
  <si>
    <t>RX8-28</t>
  </si>
  <si>
    <t>PU哑光棕色修色油</t>
  </si>
  <si>
    <t>干板样：28/8送货于30/8打单</t>
  </si>
  <si>
    <t>47号</t>
  </si>
  <si>
    <t>已调价：上调1.0/KG,8305做的</t>
  </si>
  <si>
    <t>干板样：28/8送</t>
  </si>
  <si>
    <t>RX0830</t>
  </si>
  <si>
    <t>PU哑光桔黄色漆</t>
  </si>
  <si>
    <t>RX50/290</t>
  </si>
  <si>
    <t>PU哑光粉红色漆</t>
  </si>
  <si>
    <t>色卡样：未打印商标</t>
  </si>
  <si>
    <t>11号</t>
  </si>
  <si>
    <t>哑光色漆配比一样</t>
  </si>
  <si>
    <t>RX09-8</t>
  </si>
  <si>
    <t>PU哑光深灰色漆</t>
  </si>
  <si>
    <t>37号</t>
  </si>
  <si>
    <t>RX1872</t>
  </si>
  <si>
    <t>元:1870G(韩氏名家货）</t>
  </si>
  <si>
    <t>琥珀黄色精</t>
  </si>
  <si>
    <t>样品罐</t>
  </si>
  <si>
    <t>RX0925-1</t>
  </si>
  <si>
    <t>PU哑光翠绿色漆</t>
  </si>
  <si>
    <t>干板样</t>
  </si>
  <si>
    <t>RX0925-2</t>
  </si>
  <si>
    <t>PU哑光靛青色漆</t>
  </si>
  <si>
    <t>未开单:4kg</t>
  </si>
  <si>
    <t>83号</t>
  </si>
  <si>
    <t>侧视图1.5M</t>
  </si>
  <si>
    <t>PU哑光深绿色漆</t>
  </si>
  <si>
    <t>侧视图1.2M</t>
  </si>
  <si>
    <t>PU哑光浅绿色漆</t>
  </si>
  <si>
    <t>侧视图0.9M</t>
  </si>
  <si>
    <t>PU哑光淡绿色漆</t>
  </si>
  <si>
    <t>侧视图0.6M</t>
  </si>
  <si>
    <t>PU哑光淡黄色漆</t>
  </si>
  <si>
    <t>LF客户单的固化剂把规格和件数的数字搞颠倒了</t>
  </si>
  <si>
    <t>随园</t>
  </si>
  <si>
    <t>PE白底漆</t>
  </si>
  <si>
    <t>新厂试油</t>
  </si>
  <si>
    <t>6808A</t>
  </si>
  <si>
    <t>成鑫货不返点</t>
  </si>
  <si>
    <t>RX70F</t>
  </si>
  <si>
    <t>PU三分光清面漆</t>
  </si>
  <si>
    <t>元3735C-70F</t>
  </si>
  <si>
    <t>PU哑光鲜黄色漆</t>
  </si>
  <si>
    <t>原油</t>
  </si>
  <si>
    <t>9804：24/10做</t>
  </si>
  <si>
    <t>已调价</t>
  </si>
  <si>
    <t>PU哑光银珠砂面漆</t>
  </si>
  <si>
    <t>27/10：老尹送</t>
  </si>
  <si>
    <t>单未签回</t>
  </si>
  <si>
    <t>铝板拉丝漆</t>
  </si>
  <si>
    <t>PU哑光金色金属漆</t>
  </si>
  <si>
    <t>自提未交单</t>
  </si>
  <si>
    <t>5/11自提</t>
  </si>
  <si>
    <t>欧丰</t>
  </si>
  <si>
    <t>1号</t>
  </si>
  <si>
    <t>OF-6808A</t>
  </si>
  <si>
    <t>PE清底稀释剂</t>
  </si>
  <si>
    <t>欧丰家私：徐小平</t>
  </si>
  <si>
    <t>白色包装</t>
  </si>
  <si>
    <t>内部稀料12月已调价</t>
  </si>
  <si>
    <t>OF-6827</t>
  </si>
  <si>
    <t>PE水晶底漆</t>
  </si>
  <si>
    <t>6827A</t>
  </si>
  <si>
    <t>309AB</t>
  </si>
  <si>
    <t>PU底漆固化剂</t>
  </si>
  <si>
    <t>51号</t>
  </si>
  <si>
    <t>快干水</t>
  </si>
  <si>
    <t>外部未开单</t>
  </si>
  <si>
    <t>唐世轩</t>
  </si>
  <si>
    <t>7号</t>
  </si>
  <si>
    <t>1207#</t>
  </si>
  <si>
    <t>1208#</t>
  </si>
  <si>
    <t>PU哑光泥黄色漆</t>
  </si>
  <si>
    <t>1209#</t>
  </si>
  <si>
    <t>1210#</t>
  </si>
  <si>
    <t>PU哑光浅香槟色漆</t>
  </si>
  <si>
    <t>1211#</t>
  </si>
  <si>
    <t>PU哑光瓷白色漆</t>
  </si>
  <si>
    <t>1212#</t>
  </si>
  <si>
    <t>PU哑光米白色漆</t>
  </si>
  <si>
    <t>五分光</t>
  </si>
  <si>
    <t>TS535F</t>
  </si>
  <si>
    <t>PU哑光固化剂</t>
  </si>
  <si>
    <t>14号</t>
  </si>
  <si>
    <r>
      <rPr>
        <sz val="16"/>
        <color rgb="FF00B0F0"/>
        <rFont val="宋体"/>
        <charset val="134"/>
      </rPr>
      <t>1212#</t>
    </r>
    <r>
      <rPr>
        <sz val="9"/>
        <color rgb="FF00B0F0"/>
        <rFont val="宋体"/>
        <charset val="134"/>
      </rPr>
      <t>（收纳桌）</t>
    </r>
  </si>
  <si>
    <t>15号</t>
  </si>
  <si>
    <t>1213#</t>
  </si>
  <si>
    <t>PU金色金属漆</t>
  </si>
  <si>
    <t>24号</t>
  </si>
  <si>
    <t>35号</t>
  </si>
  <si>
    <r>
      <rPr>
        <sz val="16"/>
        <color rgb="FF00B0F0"/>
        <rFont val="宋体"/>
        <charset val="134"/>
      </rPr>
      <t>1201#</t>
    </r>
    <r>
      <rPr>
        <sz val="9"/>
        <color rgb="FF00B0F0"/>
        <rFont val="宋体"/>
        <charset val="134"/>
      </rPr>
      <t>（双抽皮椅）</t>
    </r>
  </si>
  <si>
    <r>
      <rPr>
        <sz val="16"/>
        <color rgb="FF00B0F0"/>
        <rFont val="宋体"/>
        <charset val="134"/>
      </rPr>
      <t>PU哑光浅灰色漆</t>
    </r>
    <r>
      <rPr>
        <sz val="9"/>
        <color rgb="FF00B0F0"/>
        <rFont val="宋体"/>
        <charset val="134"/>
      </rPr>
      <t>（皮椅背）</t>
    </r>
  </si>
  <si>
    <r>
      <rPr>
        <sz val="16"/>
        <color rgb="FF00B0F0"/>
        <rFont val="宋体"/>
        <charset val="134"/>
      </rPr>
      <t>1204#</t>
    </r>
    <r>
      <rPr>
        <sz val="9"/>
        <color rgb="FF00B0F0"/>
        <rFont val="宋体"/>
        <charset val="134"/>
      </rPr>
      <t>（双抽围边）</t>
    </r>
  </si>
  <si>
    <t>PU哑光红棕色漆</t>
  </si>
  <si>
    <t>换货</t>
  </si>
  <si>
    <t>75号</t>
  </si>
  <si>
    <r>
      <rPr>
        <sz val="16"/>
        <rFont val="宋体"/>
        <charset val="134"/>
      </rPr>
      <t>1201#</t>
    </r>
    <r>
      <rPr>
        <sz val="9"/>
        <rFont val="宋体"/>
        <charset val="134"/>
      </rPr>
      <t>（双抽皮椅）</t>
    </r>
  </si>
  <si>
    <r>
      <rPr>
        <sz val="16"/>
        <rFont val="宋体"/>
        <charset val="134"/>
      </rPr>
      <t>PU哑光浅灰色漆</t>
    </r>
    <r>
      <rPr>
        <sz val="9"/>
        <rFont val="宋体"/>
        <charset val="134"/>
      </rPr>
      <t>（皮椅背）</t>
    </r>
  </si>
  <si>
    <r>
      <rPr>
        <sz val="16"/>
        <rFont val="宋体"/>
        <charset val="134"/>
      </rPr>
      <t>1204#</t>
    </r>
    <r>
      <rPr>
        <sz val="9"/>
        <rFont val="宋体"/>
        <charset val="134"/>
      </rPr>
      <t>（双抽围边）</t>
    </r>
  </si>
  <si>
    <r>
      <rPr>
        <sz val="16"/>
        <rFont val="宋体"/>
        <charset val="134"/>
      </rPr>
      <t>1212#</t>
    </r>
    <r>
      <rPr>
        <sz val="9"/>
        <rFont val="宋体"/>
        <charset val="134"/>
      </rPr>
      <t>（收纳桌）</t>
    </r>
  </si>
  <si>
    <t>96号</t>
  </si>
  <si>
    <t>Y22-9</t>
  </si>
  <si>
    <t>PU五分光浅香槟色漆</t>
  </si>
  <si>
    <t>23-07*</t>
  </si>
  <si>
    <t>PU五分光金属漆</t>
  </si>
  <si>
    <t>RX-GAA</t>
  </si>
  <si>
    <t>PU亮光白面漆</t>
  </si>
  <si>
    <t>富锌底漆</t>
  </si>
  <si>
    <t>环氧固化剂</t>
  </si>
  <si>
    <t>环氧稀释剂</t>
  </si>
  <si>
    <t>804:1.6+802:2+0.4:808包装5.0</t>
  </si>
  <si>
    <t>PU净味高光固化剂</t>
  </si>
  <si>
    <t>PU哑光金黄闪光漆</t>
  </si>
  <si>
    <t>纸片样</t>
  </si>
  <si>
    <t>PU哑光金黄色漆</t>
  </si>
  <si>
    <t>308-2</t>
  </si>
  <si>
    <t>PU哑光苹果绿色漆</t>
  </si>
  <si>
    <t>微信图片样</t>
  </si>
  <si>
    <t>240318*</t>
  </si>
  <si>
    <t>PU哑光浅香槟银珠漆</t>
  </si>
  <si>
    <t>元:好货:3735C:70F(13KG)+7kg黑色浆（国圣的色浆只需5KG)</t>
  </si>
  <si>
    <t>NC三分光黑面漆</t>
  </si>
  <si>
    <t>1/4老板送</t>
  </si>
  <si>
    <t>七分光哑白面</t>
  </si>
  <si>
    <t>纯白面：不开单</t>
  </si>
  <si>
    <t>24-4-8*</t>
  </si>
  <si>
    <t>PU哑光浅灰银珠漆</t>
  </si>
  <si>
    <t>常用</t>
  </si>
  <si>
    <t>10/4起换货3735C、369做加白浆4KG、0.2哑粉/桶</t>
  </si>
  <si>
    <t>尹自提</t>
  </si>
  <si>
    <t>105号</t>
  </si>
  <si>
    <t>耐黄（惠林货：加白0.5KG/桶)</t>
  </si>
  <si>
    <t>OF535</t>
  </si>
  <si>
    <t>PU哑光白面固化剂</t>
  </si>
  <si>
    <t>24-505</t>
  </si>
  <si>
    <t>PU哑光桔红色漆</t>
  </si>
  <si>
    <t>4KG(804:1.6+802:2+0.4:808包装5.0)</t>
  </si>
  <si>
    <t>10/4起换货3735C、369做加白浆6KG、0.2哑粉/桶</t>
  </si>
  <si>
    <t>元:好货:3735C:70F(15.5KG)+4.5kg黑色浆</t>
  </si>
  <si>
    <t>21/5自提未留样未打印商标</t>
  </si>
  <si>
    <t>太稀须：换货</t>
  </si>
  <si>
    <t>元:基料已调:3735C:70F(15.5KG)+4.5kg黑色浆</t>
  </si>
  <si>
    <t>元::基料已调:3735C:70F(15.5KG)+4.5kg黑色</t>
  </si>
  <si>
    <t>第一次做</t>
  </si>
  <si>
    <t>PU哑光黑磨砂面漆</t>
  </si>
  <si>
    <t>378粉：1KG+4.5黑浆+14.5KG(三分光黑面基料：5/6做）</t>
  </si>
  <si>
    <t>8/6换货3735C、369做加白浆  KG、 哑粉/桶</t>
  </si>
  <si>
    <t>元:1176树脂做的</t>
  </si>
  <si>
    <t>黄色精小样</t>
  </si>
  <si>
    <t>27/154</t>
  </si>
  <si>
    <t>PU哑光粉绿色漆</t>
  </si>
  <si>
    <t>以12/257为样调的</t>
  </si>
  <si>
    <t>从19/6日起蕊芯封固底漆内部单价下调0.5元/KG</t>
  </si>
  <si>
    <t>此单30/6日送货</t>
  </si>
  <si>
    <t>冰（冷）灰7C</t>
  </si>
  <si>
    <t>PU哑光冰灰色漆</t>
  </si>
  <si>
    <t>样油冷灰：6/7自提</t>
  </si>
  <si>
    <t>LF：8/7自提未打印商标</t>
  </si>
  <si>
    <t>9/7做的有配方</t>
  </si>
  <si>
    <t>冰灰7C</t>
  </si>
  <si>
    <t>样油冷灰：自提</t>
  </si>
  <si>
    <t>09BB07/008</t>
  </si>
  <si>
    <t>哑光深灰色漆718:1#</t>
  </si>
  <si>
    <t>色卡样板</t>
  </si>
  <si>
    <t>30BB10/019</t>
  </si>
  <si>
    <t>哑光浅灰色漆718:2#</t>
  </si>
  <si>
    <t>718:3#样板</t>
  </si>
  <si>
    <t>哑光黑面漆718:3#</t>
  </si>
  <si>
    <t>240723*</t>
  </si>
  <si>
    <t>23/7调第一次</t>
  </si>
  <si>
    <r>
      <rPr>
        <sz val="10"/>
        <rFont val="宋体"/>
        <charset val="134"/>
      </rPr>
      <t>718-1#（09BB07/</t>
    </r>
    <r>
      <rPr>
        <b/>
        <sz val="10"/>
        <rFont val="宋体"/>
        <charset val="134"/>
      </rPr>
      <t>008B）</t>
    </r>
  </si>
  <si>
    <t>PU哑光浅灰色漆</t>
  </si>
  <si>
    <t>09BB07/008色卡样板</t>
  </si>
  <si>
    <t>293#</t>
  </si>
  <si>
    <t>哑光深灰色漆</t>
  </si>
  <si>
    <t>PU亮光深灰色漆</t>
  </si>
  <si>
    <t>以09BB 07/008为样调</t>
  </si>
  <si>
    <t>718:2#色卡样板</t>
  </si>
  <si>
    <t>杜克旗</t>
  </si>
  <si>
    <t>812-1#</t>
  </si>
  <si>
    <t>R0709(蕊芯货）</t>
  </si>
  <si>
    <t>R535</t>
  </si>
  <si>
    <t>812-2#</t>
  </si>
  <si>
    <t>餐椅哑白加白浆：2KG/桶</t>
  </si>
  <si>
    <t>杜克旗的不返点</t>
  </si>
  <si>
    <t>R303</t>
  </si>
  <si>
    <t>76-110</t>
  </si>
  <si>
    <t>PU哑光象牙黄色漆</t>
  </si>
  <si>
    <t>R900F</t>
  </si>
  <si>
    <t>PU面漆稀释剂</t>
  </si>
  <si>
    <t>小桶9/KG:大桶8.8/KG</t>
  </si>
  <si>
    <t>718-1#</t>
  </si>
  <si>
    <t>只能装16KG (18KG804:7.2+802:9+1.8:808包装)</t>
  </si>
  <si>
    <t>17/8已送2桶餐椅哑白加白浆：2KG/桶</t>
  </si>
  <si>
    <t>96YR 46/632</t>
  </si>
  <si>
    <t>PU哑光浅桔红色漆</t>
  </si>
  <si>
    <t>未签单</t>
  </si>
  <si>
    <t>4/9已打单</t>
  </si>
  <si>
    <t>PU半哑白面漆</t>
  </si>
  <si>
    <t>七分光哑白</t>
  </si>
  <si>
    <t>50F</t>
  </si>
  <si>
    <t>PU五分光清面漆</t>
  </si>
  <si>
    <t>紫色浆</t>
  </si>
  <si>
    <t>酞青蓝浆</t>
  </si>
  <si>
    <t>1；1（3705光油2KG+2KG：酞蓝浆）</t>
  </si>
  <si>
    <t>大红浆</t>
  </si>
  <si>
    <t>中黄浆</t>
  </si>
  <si>
    <t>23/8送</t>
  </si>
  <si>
    <t>26/8送</t>
  </si>
  <si>
    <t>R904</t>
  </si>
  <si>
    <t>GAA加白浆：2KG/桶</t>
  </si>
  <si>
    <t>R706</t>
  </si>
  <si>
    <t>PU亮光清面漆</t>
  </si>
  <si>
    <t>3706A</t>
  </si>
  <si>
    <t>R525</t>
  </si>
  <si>
    <t>PU亮光固化剂</t>
  </si>
  <si>
    <t>柠檬黄浆</t>
  </si>
  <si>
    <t>3;1</t>
  </si>
  <si>
    <r>
      <rPr>
        <sz val="12"/>
        <color rgb="FF00B0F0"/>
        <rFont val="宋体"/>
        <charset val="134"/>
      </rPr>
      <t>718-1#（09BB07/</t>
    </r>
    <r>
      <rPr>
        <b/>
        <sz val="12"/>
        <color rgb="FF00B0F0"/>
        <rFont val="宋体"/>
        <charset val="134"/>
      </rPr>
      <t>008）</t>
    </r>
  </si>
  <si>
    <t>96YR 46/065</t>
  </si>
  <si>
    <t>PU哑光奶咖色漆</t>
  </si>
  <si>
    <t>30GY 83/021</t>
  </si>
  <si>
    <t>PU哑光米灰色漆</t>
  </si>
  <si>
    <t>样油留的哑光米白</t>
  </si>
  <si>
    <t>50GY 70/192</t>
  </si>
  <si>
    <t>70F</t>
  </si>
  <si>
    <t>70FB</t>
  </si>
  <si>
    <t>7/9送</t>
  </si>
  <si>
    <t>定制;见生产单</t>
  </si>
  <si>
    <t>R1871</t>
  </si>
  <si>
    <t>1871M</t>
  </si>
  <si>
    <t>R309</t>
  </si>
  <si>
    <t>PU全哑清面漆</t>
  </si>
  <si>
    <t>70FB:19.4+0.6KG :100C（见生产单）</t>
  </si>
  <si>
    <t>PU全哑白面漆</t>
  </si>
  <si>
    <t>（有生产单）餐椅哑白：21.3+2KG(哑白浆)+0.7KG(100C)+1KG(807A)+20g：8333</t>
  </si>
  <si>
    <t>1；1（3705光油2.5KG+2.5KG：中黄浆）</t>
  </si>
  <si>
    <t>瓷砖颜色样：不需留样</t>
  </si>
  <si>
    <t>现金单</t>
  </si>
  <si>
    <t>常用：</t>
  </si>
  <si>
    <t>RX3712</t>
  </si>
  <si>
    <t>PU白底漆</t>
  </si>
  <si>
    <t>元:</t>
  </si>
  <si>
    <t>1:1*</t>
  </si>
  <si>
    <t>红色精</t>
  </si>
  <si>
    <t>进价不返点</t>
  </si>
  <si>
    <t>黑色精</t>
  </si>
  <si>
    <t>黄色精</t>
  </si>
  <si>
    <t>换货（实际换货8桶+1桶：（油工退回来：老板28/10已微转尹480）       定制;见生产单（8/10又加白浆2KG/桶）</t>
  </si>
  <si>
    <t>不开单</t>
  </si>
  <si>
    <t>见生产单（9804改的）</t>
  </si>
  <si>
    <t>R608A</t>
  </si>
  <si>
    <t>R1870</t>
  </si>
  <si>
    <t>PU封固底漆</t>
  </si>
  <si>
    <t>1871M加2KG:K600/桶</t>
  </si>
  <si>
    <t>303B加2KG：1451/桶</t>
  </si>
  <si>
    <t>1；1（3705光油11KG+11KG：中黄浆）</t>
  </si>
  <si>
    <t>2；1（3705光油7.1KG+14.9KG：柠檬黄浆）</t>
  </si>
  <si>
    <t>黑色浆</t>
  </si>
  <si>
    <t>黑浆13.5KG+6.5KG:6102树脂</t>
  </si>
  <si>
    <t>酞青绿浆</t>
  </si>
  <si>
    <r>
      <rPr>
        <sz val="10"/>
        <color rgb="FFFF0000"/>
        <rFont val="宋体"/>
        <charset val="134"/>
      </rPr>
      <t>8.6KG柠檬黄浆+</t>
    </r>
    <r>
      <rPr>
        <sz val="10"/>
        <color rgb="FF7030A0"/>
        <rFont val="宋体"/>
        <charset val="134"/>
      </rPr>
      <t>3705:7.9KG+3.5KG:酞蓝浆）</t>
    </r>
  </si>
  <si>
    <t>1；1（3705光油10KG+10KG：耐晒大红浆）</t>
  </si>
  <si>
    <t>张素祥</t>
  </si>
  <si>
    <t>49号</t>
  </si>
  <si>
    <t>871A</t>
  </si>
  <si>
    <t>309A</t>
  </si>
  <si>
    <t>900A</t>
  </si>
  <si>
    <t>PU哑光灰色银珠漆</t>
  </si>
  <si>
    <t>4L圆罐</t>
  </si>
  <si>
    <t>现金单（外单未交回）</t>
  </si>
  <si>
    <t>52号</t>
  </si>
  <si>
    <t>8/10图片样</t>
  </si>
  <si>
    <t>14/10元:1176树脂做的</t>
  </si>
  <si>
    <t>PU哑光铁红色漆</t>
  </si>
  <si>
    <t>14/10元：第一次调</t>
  </si>
  <si>
    <t>70FA</t>
  </si>
  <si>
    <t>PU三分光黑面漆</t>
  </si>
  <si>
    <t>现金单：25/11</t>
  </si>
  <si>
    <t>1；1（3705光油11KG+11KG：柠檬黄浆）</t>
  </si>
  <si>
    <t>R868GA</t>
  </si>
  <si>
    <t>PU高光白面漆</t>
  </si>
  <si>
    <r>
      <rPr>
        <sz val="10"/>
        <rFont val="宋体"/>
        <charset val="134"/>
      </rPr>
      <t>GAA加白浆：5KG/桶</t>
    </r>
    <r>
      <rPr>
        <sz val="9"/>
        <rFont val="宋体"/>
        <charset val="134"/>
      </rPr>
      <t>ben:13.5</t>
    </r>
  </si>
  <si>
    <t>R565GA</t>
  </si>
  <si>
    <t>PU高光白面固化剂</t>
  </si>
  <si>
    <t>525:17KG+1KG(50E)+1KG(90#:国圣）+1KG:807A（12/KG)</t>
  </si>
  <si>
    <t>环氧底漆</t>
  </si>
  <si>
    <t>不计价</t>
  </si>
  <si>
    <t>尹自提（GAA:1.6KG+0.4KG白浆）</t>
  </si>
  <si>
    <t>老板送（GAA:2.4KG+0.6KG白浆+流平剂）</t>
  </si>
  <si>
    <t>525老板送</t>
  </si>
  <si>
    <t>ben</t>
  </si>
  <si>
    <t>豫龙展示柜</t>
  </si>
  <si>
    <t>L812</t>
  </si>
  <si>
    <t>70FB：19.2KG+100C哑粉：0.8KG/桶</t>
  </si>
  <si>
    <t>L303</t>
  </si>
  <si>
    <t>L608A</t>
  </si>
  <si>
    <t>含包装费（0.7/kg）</t>
  </si>
  <si>
    <t>L900F</t>
  </si>
  <si>
    <t>1；1（3705光油2KG+2KG：中黄浆）</t>
  </si>
  <si>
    <t>2；1（3705光油1.3KG+2.7KG：柠檬黄浆）</t>
  </si>
  <si>
    <t>黑浆2.7KG+1.3KG:6102树脂</t>
  </si>
  <si>
    <t>1.72KG柠檬黄浆+3705:1.58KG+0.7KG:酞蓝浆）</t>
  </si>
  <si>
    <t>1；1（3705光油2KG+2KG：耐晒大红浆）</t>
  </si>
  <si>
    <t>RX1873</t>
  </si>
  <si>
    <t>PU高净味清底漆</t>
  </si>
  <si>
    <t>19/11做:3735-70C树脂做的</t>
  </si>
  <si>
    <t>900F</t>
  </si>
  <si>
    <t>25/11杜克旗货（含包装）</t>
  </si>
  <si>
    <t>现金</t>
  </si>
  <si>
    <t>ben:5.8</t>
  </si>
  <si>
    <t>PU哑光深灰色银珠漆</t>
  </si>
  <si>
    <t>110银粉：200克：留样没有编号（椅腿样）</t>
  </si>
  <si>
    <t>76号</t>
  </si>
  <si>
    <t>七彩乐园退货（22/11蕊芯备货+七彩乐园27/11的货少许）</t>
  </si>
  <si>
    <t>见生产单定制</t>
  </si>
  <si>
    <t>1；1（3705光油10KG+10KG：中黄浆）</t>
  </si>
  <si>
    <t>1；1（3705光油10KG+10KG：酞蓝浆）</t>
  </si>
  <si>
    <t>换货不开单</t>
  </si>
  <si>
    <t>9804货：（9806跑油）</t>
  </si>
  <si>
    <t>70FB：自提1桶</t>
  </si>
  <si>
    <t>303：自提1桶</t>
  </si>
  <si>
    <t>12-28*</t>
  </si>
  <si>
    <t>PU哑光粉色漆</t>
  </si>
  <si>
    <t>心相印餐纸包装样：不留样</t>
  </si>
  <si>
    <t>纸袋样：不留样</t>
  </si>
  <si>
    <t>A0061</t>
  </si>
  <si>
    <t>A1274</t>
  </si>
  <si>
    <t>豫龙货</t>
  </si>
  <si>
    <t>PU哑光银珠漆</t>
  </si>
  <si>
    <t>粗银粉（1140银粉：0.2+0.8:3705+1KG:70FA)</t>
  </si>
  <si>
    <t>41号</t>
  </si>
  <si>
    <t>L70F</t>
  </si>
  <si>
    <t>17/2起颜色加点黄（3735C、369做加白浆4KG、0.2哑粉/桶）</t>
  </si>
  <si>
    <t>70FB：</t>
  </si>
  <si>
    <t>退货</t>
  </si>
  <si>
    <t>老板经手的</t>
  </si>
  <si>
    <t>40号</t>
  </si>
  <si>
    <t>3735做</t>
  </si>
  <si>
    <t>尹自提（GAA:4KG+1KG白浆）</t>
  </si>
  <si>
    <t>42号</t>
  </si>
  <si>
    <t>不返点</t>
  </si>
  <si>
    <t>不返点（因已调价）</t>
  </si>
  <si>
    <t>OF-3712</t>
  </si>
  <si>
    <t>22-1*</t>
  </si>
  <si>
    <t>22-2*</t>
  </si>
  <si>
    <t>PU哑光大红色漆</t>
  </si>
  <si>
    <t>12GG 10/310</t>
  </si>
  <si>
    <t>62YR 13/127</t>
  </si>
  <si>
    <t>60YR 08/186</t>
  </si>
  <si>
    <t>14/8打样</t>
  </si>
  <si>
    <t>76YR 27/558</t>
  </si>
  <si>
    <t>多乐士色卡样</t>
  </si>
  <si>
    <t>哑光橙黄</t>
  </si>
  <si>
    <t>发快递：</t>
  </si>
  <si>
    <t>成都国圣工业有限公司（五星花）送货单</t>
  </si>
  <si>
    <t>购货单位：蕊芯 家私       联系人：郭总              2026年01月26日      订单编号：26-0100082A</t>
  </si>
  <si>
    <t xml:space="preserve"> 产 品 型 号</t>
  </si>
  <si>
    <t xml:space="preserve"> 产 品 名 称</t>
  </si>
  <si>
    <t>欧丰：徐总</t>
  </si>
  <si>
    <t>Y86-G14</t>
  </si>
  <si>
    <t>PU哑光密合色漆</t>
  </si>
  <si>
    <t>随园家私</t>
  </si>
  <si>
    <t>宝木缘：周总</t>
  </si>
  <si>
    <t>大 写 人 民 币</t>
  </si>
  <si>
    <t>销售协议</t>
  </si>
  <si>
    <t xml:space="preserve"> 1.甲方所供上列产品均属检验合格产品，乙方如有异议，应在收货七天内书面提出，逾期不提出视为质量合格。
3.送货单一式四联：白色联为存根联，粉红色为客户联，蓝色联为结款联，黄色联为会计联。</t>
  </si>
  <si>
    <t xml:space="preserve"> 2.乙方每次要认真核对产品的型号.名称.数量.规格.重量.单价.金额，经甲乙双方经手人（库管）签字后具有</t>
  </si>
  <si>
    <t>配蓝水：瓶</t>
  </si>
  <si>
    <t xml:space="preserve"> 法律效力，必须按期付清货款（月结三十天），如有争议和纠纷，由甲方所在地方人民法院受理起诉。</t>
  </si>
  <si>
    <t>配白水：KG</t>
  </si>
  <si>
    <t xml:space="preserve"> 3.本送货单一式四联，   白色联为存根联，   粉红色为客户联，    蓝色联为结款联，   黄色联为会计联。</t>
  </si>
  <si>
    <t>销售单位（甲方）：成都国圣工业有限公司 电话：028-85852618</t>
  </si>
  <si>
    <t>销售负责人：李秋林         销售送货人：       销售制单人：        购货单位经手人：</t>
  </si>
  <si>
    <t>购货单位；蕊心 家私1</t>
  </si>
  <si>
    <t>产品编号</t>
  </si>
  <si>
    <t>蕊心1 内</t>
  </si>
  <si>
    <t>2501225*</t>
  </si>
  <si>
    <t>PU哑光纯白面漆</t>
  </si>
  <si>
    <t>PU哑光高级灰色漆</t>
  </si>
  <si>
    <t>2507-1*</t>
  </si>
  <si>
    <t>2507-3*</t>
  </si>
  <si>
    <t>2507-4*</t>
  </si>
  <si>
    <t>PU亮光桔红色漆</t>
  </si>
  <si>
    <t>25-25</t>
  </si>
  <si>
    <t>PU哑光果绿色漆</t>
  </si>
  <si>
    <t>5020#</t>
  </si>
  <si>
    <t>818#</t>
  </si>
  <si>
    <t>PU亮光桔黄色漆</t>
  </si>
  <si>
    <t>NC5020本色</t>
  </si>
  <si>
    <t>硝基银珠漆</t>
  </si>
  <si>
    <t>ON0058-4</t>
  </si>
  <si>
    <t>PU哑光浅奶黄春雨色漆</t>
  </si>
  <si>
    <t>250108-1</t>
  </si>
  <si>
    <t>红棕色精</t>
  </si>
  <si>
    <t>250108-2</t>
  </si>
  <si>
    <t>修色水</t>
  </si>
  <si>
    <t>2501229-1</t>
  </si>
  <si>
    <t>2501229-2</t>
  </si>
  <si>
    <t>2501229-3</t>
  </si>
  <si>
    <r>
      <rPr>
        <b/>
        <sz val="10"/>
        <rFont val="宋体"/>
        <charset val="134"/>
      </rPr>
      <t>尹玉华</t>
    </r>
    <r>
      <rPr>
        <sz val="10"/>
        <rFont val="宋体"/>
        <charset val="134"/>
      </rPr>
      <t>24应收款（含往来账）：</t>
    </r>
  </si>
  <si>
    <t>销售金额</t>
  </si>
  <si>
    <t>24年往来账金额</t>
  </si>
  <si>
    <t>实收款</t>
  </si>
  <si>
    <t>24年下欠款金额</t>
  </si>
  <si>
    <t>家具厂金额</t>
  </si>
  <si>
    <t>实际销售金额</t>
  </si>
  <si>
    <t>试油=1693</t>
  </si>
  <si>
    <t>欧丰4483、双富2667、</t>
  </si>
  <si>
    <r>
      <rPr>
        <b/>
        <sz val="14"/>
        <rFont val="宋体"/>
        <charset val="134"/>
      </rPr>
      <t>张素祥、豫龙展示柜（4999:25.01月、</t>
    </r>
    <r>
      <rPr>
        <b/>
        <sz val="14"/>
        <color rgb="FFFF0000"/>
        <rFont val="宋体"/>
        <charset val="134"/>
      </rPr>
      <t>宝木缘：1693=1511+182新厂</t>
    </r>
  </si>
  <si>
    <r>
      <rPr>
        <b/>
        <sz val="14"/>
        <rFont val="宋体"/>
        <charset val="134"/>
      </rPr>
      <t>杜克旗、</t>
    </r>
    <r>
      <rPr>
        <b/>
        <sz val="10"/>
        <rFont val="宋体"/>
        <charset val="134"/>
      </rPr>
      <t>唐世轩12248（含上月193）</t>
    </r>
  </si>
  <si>
    <t>油漆厂期末应收款金额/元（含往来账但不含欠条金额）已扣点</t>
  </si>
  <si>
    <t>油漆厂期末应收款金额/元（含往来账但不含欠条金额）</t>
  </si>
  <si>
    <t>销售应收款（元）</t>
  </si>
  <si>
    <t>实收金额（元）</t>
  </si>
  <si>
    <t>下欠款合计</t>
  </si>
  <si>
    <t>购货款</t>
  </si>
  <si>
    <t>购货款合计</t>
  </si>
  <si>
    <t>往来账</t>
  </si>
  <si>
    <t>8/5日对公国圣12-2月</t>
  </si>
  <si>
    <t>往来账均已扣点</t>
  </si>
  <si>
    <t>家具厂</t>
  </si>
  <si>
    <t>往来账：欧丰和双富合计</t>
  </si>
  <si>
    <t>8/5蕊芯二月差价4550.8、25/9转2600</t>
  </si>
  <si>
    <t>宝木缘：1693=1511+182新厂、豫龙展柜</t>
  </si>
  <si>
    <t>往来账（唐不折点）</t>
  </si>
  <si>
    <t>已付往来账</t>
  </si>
  <si>
    <t>折要</t>
  </si>
  <si>
    <r>
      <rPr>
        <sz val="10"/>
        <rFont val="宋体"/>
        <charset val="134"/>
      </rPr>
      <t>应收款</t>
    </r>
    <r>
      <rPr>
        <sz val="10"/>
        <color rgb="FFFF0000"/>
        <rFont val="宋体"/>
        <charset val="134"/>
      </rPr>
      <t>已扣点</t>
    </r>
    <r>
      <rPr>
        <sz val="10"/>
        <rFont val="宋体"/>
        <charset val="134"/>
      </rPr>
      <t>（元）稀料不返点</t>
    </r>
  </si>
  <si>
    <t>下欠款（元）</t>
  </si>
  <si>
    <r>
      <rPr>
        <sz val="10"/>
        <rFont val="宋体"/>
        <charset val="134"/>
      </rPr>
      <t>购货款</t>
    </r>
    <r>
      <rPr>
        <b/>
        <sz val="14"/>
        <color rgb="FFFFFF00"/>
        <rFont val="宋体"/>
        <charset val="134"/>
      </rPr>
      <t>不返点</t>
    </r>
  </si>
  <si>
    <r>
      <rPr>
        <sz val="10"/>
        <rFont val="宋体"/>
        <charset val="134"/>
      </rPr>
      <t>购货款</t>
    </r>
    <r>
      <rPr>
        <sz val="10"/>
        <color rgb="FFFFFF00"/>
        <rFont val="宋体"/>
        <charset val="134"/>
      </rPr>
      <t>不返点</t>
    </r>
  </si>
  <si>
    <t>购货金额</t>
  </si>
  <si>
    <t>送货</t>
  </si>
  <si>
    <t>内部不返点</t>
  </si>
  <si>
    <t>对公国圣</t>
  </si>
  <si>
    <t>8/5对公国圣39800（12-2月）</t>
  </si>
  <si>
    <t>稀料</t>
  </si>
  <si>
    <t>尾数已抹账</t>
  </si>
  <si>
    <t>送货不返点</t>
  </si>
  <si>
    <t>扣税点</t>
  </si>
  <si>
    <t>蕊芯12-2月差价已抵欧丰货款</t>
  </si>
  <si>
    <t>71号</t>
  </si>
  <si>
    <t>微转李总</t>
  </si>
  <si>
    <t>送货稀料</t>
  </si>
  <si>
    <t>8月28</t>
  </si>
  <si>
    <t>尹微转</t>
  </si>
  <si>
    <t>减清面差价</t>
  </si>
  <si>
    <t>已提单对账</t>
  </si>
  <si>
    <t>对公国圣含税点</t>
  </si>
  <si>
    <t>25.8.25</t>
  </si>
  <si>
    <t>蕊芯25.4-5月差价5035-3595</t>
  </si>
  <si>
    <t>支付尹</t>
  </si>
  <si>
    <t>元月</t>
  </si>
  <si>
    <t>元月9日统计</t>
  </si>
  <si>
    <t>蕊芯8-10月差价</t>
  </si>
  <si>
    <t>25.01.13</t>
  </si>
  <si>
    <t>6月28</t>
  </si>
  <si>
    <t>43000含转李总10000</t>
  </si>
  <si>
    <t>提单</t>
  </si>
  <si>
    <t>李总支付尹</t>
  </si>
  <si>
    <t>色精进价</t>
  </si>
  <si>
    <t>11月</t>
  </si>
  <si>
    <t>蕊芯8-10月应付款：52524.75-51500对公新格峰=1024未付</t>
  </si>
  <si>
    <t>25.01.08</t>
  </si>
  <si>
    <t>对公新格峰</t>
  </si>
  <si>
    <t>支付豫龙11月货款</t>
  </si>
  <si>
    <t>支付尹业务费</t>
  </si>
  <si>
    <t>实付尹1458=658+800（补家具厂扣款）</t>
  </si>
  <si>
    <t xml:space="preserve">     </t>
  </si>
  <si>
    <t>8-11月外部</t>
  </si>
  <si>
    <t>郭微转李</t>
  </si>
  <si>
    <t>实木系列产品报价</t>
  </si>
  <si>
    <t>编号</t>
  </si>
  <si>
    <t>名称</t>
  </si>
  <si>
    <t>单价</t>
  </si>
  <si>
    <t>PU净味底得宝</t>
  </si>
  <si>
    <t>6501F</t>
  </si>
  <si>
    <t>PU半哑清面漆</t>
  </si>
  <si>
    <t>501F</t>
  </si>
  <si>
    <t>PU清底漆(净味）</t>
  </si>
  <si>
    <t>PU底漆固化剂(净味）</t>
  </si>
  <si>
    <t>6502FG</t>
  </si>
  <si>
    <t>PU半哑清面漆(净味）</t>
  </si>
  <si>
    <t>502FG</t>
  </si>
  <si>
    <t>PU哑光固化剂(净味）</t>
  </si>
  <si>
    <t>PU净味稀释剂</t>
  </si>
  <si>
    <t>小桶8.00/kg</t>
  </si>
  <si>
    <t>以上价格为含税的单价（备注：油漆价格随行就市）</t>
  </si>
  <si>
    <t>X1871G</t>
  </si>
  <si>
    <t>50%固化剂、60%稀料</t>
  </si>
  <si>
    <t>面漆一样</t>
  </si>
  <si>
    <t>303B</t>
  </si>
  <si>
    <t>535F:8+50B:2</t>
  </si>
  <si>
    <t>535F</t>
  </si>
  <si>
    <t>小桶8.00</t>
  </si>
  <si>
    <r>
      <rPr>
        <b/>
        <sz val="16"/>
        <rFont val="宋体"/>
        <charset val="134"/>
      </rPr>
      <t>尹玉华</t>
    </r>
    <r>
      <rPr>
        <sz val="12"/>
        <rFont val="宋体"/>
        <charset val="134"/>
      </rPr>
      <t>截止2023年度</t>
    </r>
    <r>
      <rPr>
        <sz val="12"/>
        <color rgb="FFFF0000"/>
        <rFont val="宋体"/>
        <charset val="134"/>
      </rPr>
      <t>总计应收款</t>
    </r>
    <r>
      <rPr>
        <sz val="10"/>
        <rFont val="宋体"/>
        <charset val="134"/>
      </rPr>
      <t>{往来账+23年各厂下欠款合计  （23年各厂销售额-已收款=下欠款合计）=应收款}：</t>
    </r>
    <r>
      <rPr>
        <b/>
        <sz val="10"/>
        <color rgb="FFFFFF00"/>
        <rFont val="宋体"/>
        <charset val="134"/>
      </rPr>
      <t>均已扣点</t>
    </r>
  </si>
  <si>
    <t>23年销售金额</t>
  </si>
  <si>
    <t>22年往来账金额</t>
  </si>
  <si>
    <t>23年实收款</t>
  </si>
  <si>
    <t>23年下欠款金额</t>
  </si>
  <si>
    <t>23年家具厂金额</t>
  </si>
  <si>
    <t>23年实际销售金额</t>
  </si>
  <si>
    <t>宝木缘9月：1511+182（21年7月28新厂试油=1693</t>
  </si>
  <si>
    <t>欧丰、双富</t>
  </si>
  <si>
    <t>唐世轩、随园、帝皇、宝木缘、新厂试油</t>
  </si>
  <si>
    <t>23年购货款合计</t>
  </si>
  <si>
    <t>往来账22年12月</t>
  </si>
  <si>
    <t>24/3已付往来账</t>
  </si>
  <si>
    <t>往来账余额</t>
  </si>
  <si>
    <t>业务费已付</t>
  </si>
  <si>
    <t>往来账22年12月止</t>
  </si>
  <si>
    <t>微转老板</t>
  </si>
  <si>
    <t>13/3已付往来账</t>
  </si>
  <si>
    <t>往来账21年7-22.9月</t>
  </si>
  <si>
    <t>23/12打样的8个色漆（即23/12的63号单320已作废因23年23/3的95号单已开</t>
  </si>
  <si>
    <r>
      <rPr>
        <b/>
        <sz val="10"/>
        <rFont val="宋体"/>
        <charset val="134"/>
      </rPr>
      <t>应收款</t>
    </r>
    <r>
      <rPr>
        <b/>
        <sz val="10"/>
        <color rgb="FFFF0000"/>
        <rFont val="宋体"/>
        <charset val="134"/>
      </rPr>
      <t>已扣点</t>
    </r>
    <r>
      <rPr>
        <b/>
        <sz val="10"/>
        <rFont val="宋体"/>
        <charset val="134"/>
      </rPr>
      <t>（元）稀料不返点</t>
    </r>
  </si>
  <si>
    <r>
      <rPr>
        <b/>
        <sz val="10"/>
        <rFont val="宋体"/>
        <charset val="134"/>
      </rPr>
      <t>购货款</t>
    </r>
    <r>
      <rPr>
        <b/>
        <sz val="10"/>
        <color rgb="FFFFFF00"/>
        <rFont val="宋体"/>
        <charset val="134"/>
      </rPr>
      <t>不返点</t>
    </r>
  </si>
  <si>
    <t>送货稀料不返点</t>
  </si>
  <si>
    <t>付款</t>
  </si>
  <si>
    <t>稀料不返点</t>
  </si>
  <si>
    <t>蕊芯2月差价2108-792（29/4已微转尹）</t>
  </si>
  <si>
    <t>蕊芯5月差价</t>
  </si>
  <si>
    <t>2KG自用于23/3已开单</t>
  </si>
  <si>
    <t>刷信用POS机</t>
  </si>
  <si>
    <t>业务费支付与否待核实</t>
  </si>
  <si>
    <t>帝皇门厂差价</t>
  </si>
  <si>
    <t>含试油打样的（内部23/12已开单即62号单320已支付</t>
  </si>
  <si>
    <t>慢干水不返点</t>
  </si>
  <si>
    <t>退货1462已减</t>
  </si>
  <si>
    <t>24.2.7</t>
  </si>
  <si>
    <t>24.1.28</t>
  </si>
  <si>
    <t>双富</t>
  </si>
  <si>
    <t>3.14已提单对账</t>
  </si>
  <si>
    <t>已提单</t>
  </si>
  <si>
    <t>4月份</t>
  </si>
  <si>
    <t>减稀料差价</t>
  </si>
  <si>
    <t>减封固底差价</t>
  </si>
  <si>
    <t>外部不变</t>
  </si>
  <si>
    <t>退货白底3桶</t>
  </si>
  <si>
    <t>已微转</t>
  </si>
  <si>
    <t>5月份</t>
  </si>
  <si>
    <t>支付尹业务费抵欧丰5月应付款</t>
  </si>
  <si>
    <t>6月起是按调价后的价格打单</t>
  </si>
  <si>
    <t>已支付业务费</t>
  </si>
  <si>
    <t>帝皇</t>
  </si>
  <si>
    <t>此单已计入4月32号单</t>
  </si>
  <si>
    <t>以抵消欧丰5月货款</t>
  </si>
  <si>
    <t>实际对公41400</t>
  </si>
  <si>
    <t>实际对公36100</t>
  </si>
  <si>
    <t>蕊芯报价</t>
  </si>
  <si>
    <t>2023.4月起</t>
  </si>
  <si>
    <t>PU净味油漆厂报价</t>
  </si>
  <si>
    <t>2021.7.7</t>
  </si>
  <si>
    <t>内单价/元</t>
  </si>
  <si>
    <t>外单价/元</t>
  </si>
  <si>
    <r>
      <rPr>
        <b/>
        <sz val="16"/>
        <rFont val="宋体"/>
        <charset val="134"/>
      </rPr>
      <t>规格/</t>
    </r>
    <r>
      <rPr>
        <b/>
        <sz val="16"/>
        <rFont val="宋体"/>
        <charset val="134"/>
      </rPr>
      <t>KG</t>
    </r>
  </si>
  <si>
    <t>油漆单价/元</t>
  </si>
  <si>
    <t>销售价</t>
  </si>
  <si>
    <t>PU净味白底漆</t>
  </si>
  <si>
    <t>kg/桶</t>
  </si>
  <si>
    <t>PU净味清底漆</t>
  </si>
  <si>
    <t>PU净味底漆固化剂</t>
  </si>
  <si>
    <t>PU净味哑光清面漆</t>
  </si>
  <si>
    <t>PU净味哑光清面固化剂</t>
  </si>
  <si>
    <t>PU净味哑光白面漆</t>
  </si>
  <si>
    <t>PU净味实色面漆</t>
  </si>
  <si>
    <t>PU实色漆</t>
  </si>
  <si>
    <t>PU净味面漆固化剂</t>
  </si>
  <si>
    <t>PU净味底漆稀释剂</t>
  </si>
  <si>
    <t>PU银珠漆</t>
  </si>
  <si>
    <t>面稀是5月调价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</si>
</sst>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20">
    <numFmt numFmtId="7" formatCode="&quot;￥&quot;#,##0.00;&quot;￥&quot;\-#,##0.00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_ \¥* #,##0.00_ ;_ \¥* \-#,##0.00_ ;_ \¥* &quot;-&quot;??_ ;_ @_ "/>
    <numFmt numFmtId="177" formatCode="General&quot;KG/桶&quot;"/>
    <numFmt numFmtId="178" formatCode="\¥#,##0.00;\¥\-#,##0.00"/>
    <numFmt numFmtId="179" formatCode="#,##0.0_ "/>
    <numFmt numFmtId="180" formatCode="0.00_ "/>
    <numFmt numFmtId="181" formatCode="0.0_ "/>
    <numFmt numFmtId="182" formatCode="0_ "/>
    <numFmt numFmtId="183" formatCode="0.0_);[Red]\(0.0\)"/>
    <numFmt numFmtId="184" formatCode="General&quot;号&quot;"/>
    <numFmt numFmtId="185" formatCode="&quot;￥&quot;#,##0.00_);\(&quot;￥&quot;#,##0.00\)"/>
    <numFmt numFmtId="186" formatCode="000000"/>
    <numFmt numFmtId="187" formatCode="[DBNum2][$RMB]General;[Red][DBNum2][$RMB]General"/>
    <numFmt numFmtId="188" formatCode="General&quot;个&quot;"/>
    <numFmt numFmtId="189" formatCode="General&quot;件&quot;"/>
    <numFmt numFmtId="190" formatCode="General&quot;元&quot;"/>
  </numFmts>
  <fonts count="93">
    <font>
      <sz val="12"/>
      <name val="宋体"/>
      <charset val="134"/>
    </font>
    <font>
      <b/>
      <sz val="20"/>
      <name val="宋体"/>
      <charset val="134"/>
    </font>
    <font>
      <sz val="14"/>
      <name val="宋体"/>
      <charset val="134"/>
    </font>
    <font>
      <sz val="16"/>
      <name val="宋体"/>
      <charset val="134"/>
    </font>
    <font>
      <b/>
      <sz val="16"/>
      <name val="宋体"/>
      <charset val="134"/>
    </font>
    <font>
      <b/>
      <sz val="12"/>
      <name val="宋体"/>
      <charset val="134"/>
    </font>
    <font>
      <sz val="14"/>
      <name val="宋体"/>
      <charset val="134"/>
      <scheme val="minor"/>
    </font>
    <font>
      <sz val="14"/>
      <color theme="1"/>
      <name val="宋体"/>
      <charset val="134"/>
      <scheme val="minor"/>
    </font>
    <font>
      <sz val="14"/>
      <color rgb="FFFF0000"/>
      <name val="宋体"/>
      <charset val="134"/>
      <scheme val="minor"/>
    </font>
    <font>
      <sz val="12"/>
      <color rgb="FFFF0000"/>
      <name val="宋体"/>
      <charset val="134"/>
      <scheme val="minor"/>
    </font>
    <font>
      <b/>
      <sz val="10"/>
      <color rgb="FF7030A0"/>
      <name val="宋体"/>
      <charset val="134"/>
    </font>
    <font>
      <b/>
      <sz val="12"/>
      <color rgb="FF7030A0"/>
      <name val="宋体"/>
      <charset val="134"/>
    </font>
    <font>
      <b/>
      <sz val="18"/>
      <color rgb="FF7030A0"/>
      <name val="宋体"/>
      <charset val="134"/>
    </font>
    <font>
      <b/>
      <sz val="12"/>
      <color rgb="FFFF0000"/>
      <name val="宋体"/>
      <charset val="134"/>
    </font>
    <font>
      <b/>
      <sz val="18"/>
      <name val="宋体"/>
      <charset val="134"/>
    </font>
    <font>
      <b/>
      <sz val="11"/>
      <color rgb="FFFFFF00"/>
      <name val="宋体"/>
      <charset val="134"/>
    </font>
    <font>
      <b/>
      <sz val="12"/>
      <color rgb="FFFFFF00"/>
      <name val="宋体"/>
      <charset val="134"/>
    </font>
    <font>
      <b/>
      <sz val="10"/>
      <name val="宋体"/>
      <charset val="134"/>
    </font>
    <font>
      <b/>
      <sz val="10"/>
      <color rgb="FFFFFF00"/>
      <name val="宋体"/>
      <charset val="134"/>
    </font>
    <font>
      <b/>
      <sz val="9"/>
      <name val="宋体"/>
      <charset val="134"/>
    </font>
    <font>
      <b/>
      <sz val="9"/>
      <color rgb="FFFF0000"/>
      <name val="宋体"/>
      <charset val="134"/>
    </font>
    <font>
      <sz val="12"/>
      <color rgb="FFFF0000"/>
      <name val="宋体"/>
      <charset val="134"/>
    </font>
    <font>
      <b/>
      <sz val="10"/>
      <color rgb="FFFF0000"/>
      <name val="宋体"/>
      <charset val="134"/>
    </font>
    <font>
      <b/>
      <sz val="9"/>
      <color rgb="FF00B0F0"/>
      <name val="宋体"/>
      <charset val="134"/>
    </font>
    <font>
      <b/>
      <sz val="12"/>
      <color rgb="FF00B0F0"/>
      <name val="宋体"/>
      <charset val="134"/>
    </font>
    <font>
      <b/>
      <sz val="10"/>
      <color rgb="FF00B0F0"/>
      <name val="宋体"/>
      <charset val="134"/>
    </font>
    <font>
      <sz val="12"/>
      <color rgb="FF00B0F0"/>
      <name val="宋体"/>
      <charset val="134"/>
    </font>
    <font>
      <sz val="11"/>
      <name val="宋体"/>
      <charset val="134"/>
    </font>
    <font>
      <sz val="9"/>
      <color rgb="FFFFFF00"/>
      <name val="宋体"/>
      <charset val="134"/>
    </font>
    <font>
      <sz val="11"/>
      <color rgb="FFFF0000"/>
      <name val="宋体"/>
      <charset val="134"/>
    </font>
    <font>
      <sz val="11"/>
      <color rgb="FFFFFF00"/>
      <name val="宋体"/>
      <charset val="134"/>
    </font>
    <font>
      <sz val="12"/>
      <color rgb="FFFFFF00"/>
      <name val="宋体"/>
      <charset val="134"/>
    </font>
    <font>
      <sz val="9"/>
      <color rgb="FFFF0000"/>
      <name val="宋体"/>
      <charset val="134"/>
    </font>
    <font>
      <sz val="11"/>
      <color rgb="FF00B0F0"/>
      <name val="宋体"/>
      <charset val="134"/>
    </font>
    <font>
      <sz val="10"/>
      <color rgb="FFFFFF00"/>
      <name val="宋体"/>
      <charset val="134"/>
    </font>
    <font>
      <b/>
      <sz val="11"/>
      <name val="宋体"/>
      <charset val="134"/>
    </font>
    <font>
      <b/>
      <sz val="11"/>
      <color rgb="FFFF0000"/>
      <name val="宋体"/>
      <charset val="134"/>
    </font>
    <font>
      <sz val="11"/>
      <color rgb="FF7030A0"/>
      <name val="宋体"/>
      <charset val="134"/>
    </font>
    <font>
      <b/>
      <sz val="11"/>
      <color rgb="FF7030A0"/>
      <name val="宋体"/>
      <charset val="134"/>
    </font>
    <font>
      <b/>
      <sz val="9"/>
      <color rgb="FF7030A0"/>
      <name val="宋体"/>
      <charset val="134"/>
    </font>
    <font>
      <sz val="8"/>
      <color rgb="FFFF0000"/>
      <name val="宋体"/>
      <charset val="134"/>
    </font>
    <font>
      <sz val="9"/>
      <name val="宋体"/>
      <charset val="134"/>
    </font>
    <font>
      <sz val="10"/>
      <name val="宋体"/>
      <charset val="134"/>
    </font>
    <font>
      <b/>
      <sz val="14"/>
      <name val="宋体"/>
      <charset val="134"/>
    </font>
    <font>
      <sz val="10"/>
      <color rgb="FF00B0F0"/>
      <name val="宋体"/>
      <charset val="134"/>
    </font>
    <font>
      <sz val="10"/>
      <color rgb="FFFF0000"/>
      <name val="宋体"/>
      <charset val="134"/>
    </font>
    <font>
      <sz val="8"/>
      <name val="宋体"/>
      <charset val="134"/>
    </font>
    <font>
      <sz val="11"/>
      <color theme="1"/>
      <name val="宋体"/>
      <charset val="134"/>
    </font>
    <font>
      <b/>
      <sz val="11"/>
      <color theme="1"/>
      <name val="宋体"/>
      <charset val="134"/>
    </font>
    <font>
      <b/>
      <sz val="12"/>
      <color theme="1"/>
      <name val="宋体"/>
      <charset val="134"/>
    </font>
    <font>
      <sz val="12"/>
      <color rgb="FF7030A0"/>
      <name val="宋体"/>
      <charset val="134"/>
    </font>
    <font>
      <sz val="16"/>
      <color rgb="FF00B0F0"/>
      <name val="宋体"/>
      <charset val="134"/>
    </font>
    <font>
      <sz val="20"/>
      <name val="宋体"/>
      <charset val="134"/>
    </font>
    <font>
      <sz val="24"/>
      <name val="宋体"/>
      <charset val="134"/>
    </font>
    <font>
      <sz val="16"/>
      <color rgb="FFFF0000"/>
      <name val="宋体"/>
      <charset val="134"/>
    </font>
    <font>
      <sz val="14"/>
      <color rgb="FFFF0000"/>
      <name val="宋体"/>
      <charset val="134"/>
    </font>
    <font>
      <sz val="14"/>
      <color rgb="FF00B0F0"/>
      <name val="宋体"/>
      <charset val="134"/>
    </font>
    <font>
      <sz val="16"/>
      <color theme="1"/>
      <name val="宋体"/>
      <charset val="134"/>
    </font>
    <font>
      <sz val="12"/>
      <color theme="1"/>
      <name val="宋体"/>
      <charset val="134"/>
    </font>
    <font>
      <sz val="16"/>
      <color rgb="FF7030A0"/>
      <name val="宋体"/>
      <charset val="134"/>
    </font>
    <font>
      <sz val="16"/>
      <color rgb="FFFFFF00"/>
      <name val="宋体"/>
      <charset val="134"/>
    </font>
    <font>
      <sz val="10"/>
      <color theme="1"/>
      <name val="宋体"/>
      <charset val="134"/>
    </font>
    <font>
      <sz val="9"/>
      <color rgb="FF00B0F0"/>
      <name val="宋体"/>
      <charset val="134"/>
    </font>
    <font>
      <b/>
      <sz val="16"/>
      <color rgb="FFFF0000"/>
      <name val="宋体"/>
      <charset val="134"/>
    </font>
    <font>
      <sz val="16"/>
      <color rgb="FF00B05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9C6500"/>
      <name val="宋体"/>
      <charset val="134"/>
      <scheme val="minor"/>
    </font>
    <font>
      <sz val="11"/>
      <color indexed="20"/>
      <name val="宋体"/>
      <charset val="134"/>
    </font>
    <font>
      <sz val="12"/>
      <name val="宋体"/>
      <charset val="134"/>
      <scheme val="minor"/>
    </font>
    <font>
      <sz val="11"/>
      <color indexed="17"/>
      <name val="宋体"/>
      <charset val="134"/>
    </font>
    <font>
      <sz val="11"/>
      <color indexed="8"/>
      <name val="宋体"/>
      <charset val="134"/>
    </font>
    <font>
      <b/>
      <sz val="14"/>
      <color rgb="FFFF0000"/>
      <name val="宋体"/>
      <charset val="134"/>
    </font>
    <font>
      <sz val="10"/>
      <color rgb="FF7030A0"/>
      <name val="宋体"/>
      <charset val="134"/>
    </font>
    <font>
      <b/>
      <sz val="14"/>
      <color rgb="FFFFFF00"/>
      <name val="宋体"/>
      <charset val="134"/>
    </font>
  </fonts>
  <fills count="4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</fills>
  <borders count="24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1">
    <xf numFmtId="0" fontId="0" fillId="0" borderId="0">
      <alignment vertical="center"/>
    </xf>
    <xf numFmtId="43" fontId="65" fillId="0" borderId="0" applyFont="0" applyFill="0" applyBorder="0" applyAlignment="0" applyProtection="0">
      <alignment vertical="center"/>
    </xf>
    <xf numFmtId="44" fontId="65" fillId="0" borderId="0" applyFont="0" applyFill="0" applyBorder="0" applyAlignment="0" applyProtection="0">
      <alignment vertical="center"/>
    </xf>
    <xf numFmtId="9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2" fontId="65" fillId="0" borderId="0" applyFon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5" fillId="9" borderId="16" applyNumberFormat="0" applyFont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1" fillId="0" borderId="17" applyNumberFormat="0" applyFill="0" applyAlignment="0" applyProtection="0">
      <alignment vertical="center"/>
    </xf>
    <xf numFmtId="0" fontId="72" fillId="0" borderId="17" applyNumberFormat="0" applyFill="0" applyAlignment="0" applyProtection="0">
      <alignment vertical="center"/>
    </xf>
    <xf numFmtId="0" fontId="73" fillId="0" borderId="18" applyNumberFormat="0" applyFill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4" fillId="10" borderId="19" applyNumberFormat="0" applyAlignment="0" applyProtection="0">
      <alignment vertical="center"/>
    </xf>
    <xf numFmtId="0" fontId="75" fillId="11" borderId="20" applyNumberFormat="0" applyAlignment="0" applyProtection="0">
      <alignment vertical="center"/>
    </xf>
    <xf numFmtId="0" fontId="76" fillId="11" borderId="19" applyNumberFormat="0" applyAlignment="0" applyProtection="0">
      <alignment vertical="center"/>
    </xf>
    <xf numFmtId="0" fontId="77" fillId="12" borderId="21" applyNumberFormat="0" applyAlignment="0" applyProtection="0">
      <alignment vertical="center"/>
    </xf>
    <xf numFmtId="0" fontId="78" fillId="0" borderId="22" applyNumberFormat="0" applyFill="0" applyAlignment="0" applyProtection="0">
      <alignment vertical="center"/>
    </xf>
    <xf numFmtId="0" fontId="79" fillId="0" borderId="23" applyNumberFormat="0" applyFill="0" applyAlignment="0" applyProtection="0">
      <alignment vertical="center"/>
    </xf>
    <xf numFmtId="0" fontId="80" fillId="13" borderId="0" applyNumberFormat="0" applyBorder="0" applyAlignment="0" applyProtection="0">
      <alignment vertical="center"/>
    </xf>
    <xf numFmtId="0" fontId="81" fillId="14" borderId="0" applyNumberFormat="0" applyBorder="0" applyAlignment="0" applyProtection="0">
      <alignment vertical="center"/>
    </xf>
    <xf numFmtId="0" fontId="82" fillId="15" borderId="0" applyNumberFormat="0" applyBorder="0" applyAlignment="0" applyProtection="0">
      <alignment vertical="center"/>
    </xf>
    <xf numFmtId="0" fontId="83" fillId="16" borderId="0" applyNumberFormat="0" applyBorder="0" applyAlignment="0" applyProtection="0">
      <alignment vertical="center"/>
    </xf>
    <xf numFmtId="0" fontId="84" fillId="17" borderId="0" applyNumberFormat="0" applyBorder="0" applyAlignment="0" applyProtection="0">
      <alignment vertical="center"/>
    </xf>
    <xf numFmtId="0" fontId="84" fillId="18" borderId="0" applyNumberFormat="0" applyBorder="0" applyAlignment="0" applyProtection="0">
      <alignment vertical="center"/>
    </xf>
    <xf numFmtId="0" fontId="83" fillId="19" borderId="0" applyNumberFormat="0" applyBorder="0" applyAlignment="0" applyProtection="0">
      <alignment vertical="center"/>
    </xf>
    <xf numFmtId="0" fontId="83" fillId="20" borderId="0" applyNumberFormat="0" applyBorder="0" applyAlignment="0" applyProtection="0">
      <alignment vertical="center"/>
    </xf>
    <xf numFmtId="0" fontId="84" fillId="21" borderId="0" applyNumberFormat="0" applyBorder="0" applyAlignment="0" applyProtection="0">
      <alignment vertical="center"/>
    </xf>
    <xf numFmtId="0" fontId="84" fillId="22" borderId="0" applyNumberFormat="0" applyBorder="0" applyAlignment="0" applyProtection="0">
      <alignment vertical="center"/>
    </xf>
    <xf numFmtId="0" fontId="83" fillId="6" borderId="0" applyNumberFormat="0" applyBorder="0" applyAlignment="0" applyProtection="0">
      <alignment vertical="center"/>
    </xf>
    <xf numFmtId="0" fontId="83" fillId="23" borderId="0" applyNumberFormat="0" applyBorder="0" applyAlignment="0" applyProtection="0">
      <alignment vertical="center"/>
    </xf>
    <xf numFmtId="0" fontId="84" fillId="24" borderId="0" applyNumberFormat="0" applyBorder="0" applyAlignment="0" applyProtection="0">
      <alignment vertical="center"/>
    </xf>
    <xf numFmtId="0" fontId="84" fillId="25" borderId="0" applyNumberFormat="0" applyBorder="0" applyAlignment="0" applyProtection="0">
      <alignment vertical="center"/>
    </xf>
    <xf numFmtId="0" fontId="83" fillId="26" borderId="0" applyNumberFormat="0" applyBorder="0" applyAlignment="0" applyProtection="0">
      <alignment vertical="center"/>
    </xf>
    <xf numFmtId="0" fontId="83" fillId="27" borderId="0" applyNumberFormat="0" applyBorder="0" applyAlignment="0" applyProtection="0">
      <alignment vertical="center"/>
    </xf>
    <xf numFmtId="0" fontId="84" fillId="28" borderId="0" applyNumberFormat="0" applyBorder="0" applyAlignment="0" applyProtection="0">
      <alignment vertical="center"/>
    </xf>
    <xf numFmtId="0" fontId="84" fillId="29" borderId="0" applyNumberFormat="0" applyBorder="0" applyAlignment="0" applyProtection="0">
      <alignment vertical="center"/>
    </xf>
    <xf numFmtId="0" fontId="83" fillId="30" borderId="0" applyNumberFormat="0" applyBorder="0" applyAlignment="0" applyProtection="0">
      <alignment vertical="center"/>
    </xf>
    <xf numFmtId="0" fontId="83" fillId="31" borderId="0" applyNumberFormat="0" applyBorder="0" applyAlignment="0" applyProtection="0">
      <alignment vertical="center"/>
    </xf>
    <xf numFmtId="0" fontId="84" fillId="32" borderId="0" applyNumberFormat="0" applyBorder="0" applyAlignment="0" applyProtection="0">
      <alignment vertical="center"/>
    </xf>
    <xf numFmtId="0" fontId="84" fillId="33" borderId="0" applyNumberFormat="0" applyBorder="0" applyAlignment="0" applyProtection="0">
      <alignment vertical="center"/>
    </xf>
    <xf numFmtId="0" fontId="83" fillId="34" borderId="0" applyNumberFormat="0" applyBorder="0" applyAlignment="0" applyProtection="0">
      <alignment vertical="center"/>
    </xf>
    <xf numFmtId="0" fontId="83" fillId="35" borderId="0" applyNumberFormat="0" applyBorder="0" applyAlignment="0" applyProtection="0">
      <alignment vertical="center"/>
    </xf>
    <xf numFmtId="0" fontId="84" fillId="36" borderId="0" applyNumberFormat="0" applyBorder="0" applyAlignment="0" applyProtection="0">
      <alignment vertical="center"/>
    </xf>
    <xf numFmtId="0" fontId="84" fillId="37" borderId="0" applyNumberFormat="0" applyBorder="0" applyAlignment="0" applyProtection="0">
      <alignment vertical="center"/>
    </xf>
    <xf numFmtId="0" fontId="83" fillId="38" borderId="0" applyNumberFormat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85" fillId="15" borderId="0" applyNumberFormat="0" applyBorder="0" applyAlignment="0" applyProtection="0">
      <alignment vertical="center"/>
    </xf>
    <xf numFmtId="0" fontId="86" fillId="39" borderId="0" applyNumberFormat="0" applyBorder="0" applyAlignment="0" applyProtection="0">
      <alignment vertical="center"/>
    </xf>
    <xf numFmtId="0" fontId="87" fillId="0" borderId="0">
      <alignment vertical="center"/>
    </xf>
    <xf numFmtId="0" fontId="0" fillId="0" borderId="0"/>
    <xf numFmtId="0" fontId="65" fillId="0" borderId="0"/>
    <xf numFmtId="0" fontId="88" fillId="40" borderId="0" applyNumberFormat="0" applyBorder="0" applyAlignment="0" applyProtection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/>
    <xf numFmtId="0" fontId="89" fillId="0" borderId="0"/>
    <xf numFmtId="0" fontId="89" fillId="0" borderId="0">
      <alignment vertical="center"/>
    </xf>
    <xf numFmtId="0" fontId="65" fillId="0" borderId="0">
      <alignment vertical="center"/>
    </xf>
  </cellStyleXfs>
  <cellXfs count="500">
    <xf numFmtId="0" fontId="0" fillId="0" borderId="0" xfId="0">
      <alignment vertical="center"/>
    </xf>
    <xf numFmtId="0" fontId="1" fillId="0" borderId="1" xfId="60" applyNumberFormat="1" applyFont="1" applyFill="1" applyBorder="1" applyAlignment="1" applyProtection="1">
      <alignment horizontal="center"/>
    </xf>
    <xf numFmtId="0" fontId="1" fillId="0" borderId="2" xfId="60" applyNumberFormat="1" applyFont="1" applyFill="1" applyBorder="1" applyAlignment="1" applyProtection="1">
      <alignment horizontal="center"/>
    </xf>
    <xf numFmtId="0" fontId="1" fillId="0" borderId="3" xfId="60" applyNumberFormat="1" applyFont="1" applyFill="1" applyBorder="1" applyAlignment="1" applyProtection="1">
      <alignment horizontal="center"/>
    </xf>
    <xf numFmtId="0" fontId="2" fillId="0" borderId="4" xfId="60" applyNumberFormat="1" applyFont="1" applyFill="1" applyBorder="1" applyAlignment="1" applyProtection="1"/>
    <xf numFmtId="0" fontId="3" fillId="0" borderId="4" xfId="60" applyNumberFormat="1" applyFont="1" applyFill="1" applyBorder="1" applyAlignment="1" applyProtection="1">
      <alignment horizontal="center" vertical="center"/>
    </xf>
    <xf numFmtId="0" fontId="3" fillId="0" borderId="1" xfId="60" applyNumberFormat="1" applyFont="1" applyFill="1" applyBorder="1" applyAlignment="1" applyProtection="1">
      <alignment vertical="center"/>
    </xf>
    <xf numFmtId="0" fontId="0" fillId="0" borderId="4" xfId="60" applyNumberFormat="1" applyFont="1" applyFill="1" applyBorder="1" applyAlignment="1" applyProtection="1">
      <alignment horizontal="center" vertical="center"/>
    </xf>
    <xf numFmtId="0" fontId="4" fillId="0" borderId="4" xfId="60" applyNumberFormat="1" applyFont="1" applyFill="1" applyBorder="1" applyAlignment="1" applyProtection="1">
      <alignment horizontal="center" vertical="center"/>
    </xf>
    <xf numFmtId="0" fontId="4" fillId="0" borderId="1" xfId="60" applyNumberFormat="1" applyFont="1" applyFill="1" applyBorder="1" applyAlignment="1" applyProtection="1">
      <alignment horizontal="center" vertical="center"/>
    </xf>
    <xf numFmtId="0" fontId="4" fillId="0" borderId="3" xfId="60" applyNumberFormat="1" applyFont="1" applyFill="1" applyBorder="1" applyAlignment="1" applyProtection="1">
      <alignment horizontal="center" vertical="center"/>
    </xf>
    <xf numFmtId="0" fontId="5" fillId="0" borderId="4" xfId="60" applyNumberFormat="1" applyFont="1" applyFill="1" applyBorder="1" applyAlignment="1" applyProtection="1">
      <alignment horizontal="center" vertical="center"/>
    </xf>
    <xf numFmtId="0" fontId="2" fillId="0" borderId="4" xfId="60" applyNumberFormat="1" applyFont="1" applyFill="1" applyBorder="1" applyAlignment="1" applyProtection="1">
      <alignment horizontal="left" vertical="center"/>
    </xf>
    <xf numFmtId="177" fontId="2" fillId="0" borderId="4" xfId="60" applyNumberFormat="1" applyFont="1" applyFill="1" applyBorder="1" applyAlignment="1" applyProtection="1">
      <alignment horizontal="center" vertical="center"/>
    </xf>
    <xf numFmtId="178" fontId="6" fillId="0" borderId="4" xfId="60" applyNumberFormat="1" applyFont="1" applyBorder="1" applyAlignment="1">
      <alignment horizontal="center" vertical="center"/>
    </xf>
    <xf numFmtId="0" fontId="6" fillId="0" borderId="4" xfId="60" applyFont="1" applyBorder="1" applyAlignment="1">
      <alignment horizontal="center" vertical="center"/>
    </xf>
    <xf numFmtId="0" fontId="2" fillId="0" borderId="4" xfId="60" applyNumberFormat="1" applyFont="1" applyFill="1" applyBorder="1" applyAlignment="1" applyProtection="1">
      <alignment horizontal="center" vertical="center"/>
    </xf>
    <xf numFmtId="178" fontId="7" fillId="0" borderId="4" xfId="60" applyNumberFormat="1" applyFont="1" applyBorder="1" applyAlignment="1">
      <alignment horizontal="center" vertical="center"/>
    </xf>
    <xf numFmtId="0" fontId="3" fillId="0" borderId="4" xfId="0" applyFont="1" applyBorder="1" applyAlignment="1">
      <alignment horizontal="left" vertical="center"/>
    </xf>
    <xf numFmtId="179" fontId="2" fillId="0" borderId="4" xfId="60" applyNumberFormat="1" applyFont="1" applyFill="1" applyBorder="1" applyAlignment="1" applyProtection="1">
      <alignment horizontal="center" vertical="center"/>
    </xf>
    <xf numFmtId="180" fontId="3" fillId="0" borderId="4" xfId="0" applyNumberFormat="1" applyFont="1" applyBorder="1" applyAlignment="1">
      <alignment horizontal="center" vertical="center"/>
    </xf>
    <xf numFmtId="180" fontId="3" fillId="0" borderId="4" xfId="0" applyNumberFormat="1" applyFont="1" applyFill="1" applyBorder="1" applyAlignment="1">
      <alignment horizontal="center" vertical="center"/>
    </xf>
    <xf numFmtId="178" fontId="8" fillId="0" borderId="4" xfId="60" applyNumberFormat="1" applyFont="1" applyBorder="1" applyAlignment="1">
      <alignment horizontal="center" vertical="center"/>
    </xf>
    <xf numFmtId="0" fontId="9" fillId="0" borderId="4" xfId="60" applyFont="1" applyBorder="1" applyAlignment="1">
      <alignment horizontal="center" vertical="center"/>
    </xf>
    <xf numFmtId="0" fontId="0" fillId="0" borderId="0" xfId="0" applyFont="1" applyAlignment="1">
      <alignment horizontal="center" vertical="center"/>
    </xf>
    <xf numFmtId="181" fontId="0" fillId="0" borderId="0" xfId="0" applyNumberFormat="1">
      <alignment vertical="center"/>
    </xf>
    <xf numFmtId="0" fontId="0" fillId="0" borderId="4" xfId="0" applyBorder="1" applyAlignment="1">
      <alignment horizontal="center" vertical="center"/>
    </xf>
    <xf numFmtId="0" fontId="0" fillId="2" borderId="4" xfId="0" applyFill="1" applyBorder="1">
      <alignment vertical="center"/>
    </xf>
    <xf numFmtId="0" fontId="0" fillId="0" borderId="4" xfId="0" applyBorder="1">
      <alignment vertical="center"/>
    </xf>
    <xf numFmtId="0" fontId="4" fillId="3" borderId="5" xfId="0" applyFont="1" applyFill="1" applyBorder="1" applyAlignment="1">
      <alignment horizontal="center" vertical="center" wrapText="1"/>
    </xf>
    <xf numFmtId="0" fontId="4" fillId="3" borderId="6" xfId="0" applyFont="1" applyFill="1" applyBorder="1" applyAlignment="1">
      <alignment horizontal="center" vertical="center" wrapText="1"/>
    </xf>
    <xf numFmtId="181" fontId="4" fillId="3" borderId="7" xfId="0" applyNumberFormat="1" applyFont="1" applyFill="1" applyBorder="1" applyAlignment="1">
      <alignment horizontal="center" vertical="center" wrapText="1"/>
    </xf>
    <xf numFmtId="0" fontId="0" fillId="3" borderId="8" xfId="0" applyFill="1" applyBorder="1" applyAlignment="1">
      <alignment horizontal="center" vertical="center"/>
    </xf>
    <xf numFmtId="181" fontId="0" fillId="3" borderId="8" xfId="0" applyNumberFormat="1" applyFont="1" applyFill="1" applyBorder="1" applyAlignment="1">
      <alignment horizontal="center" vertical="center"/>
    </xf>
    <xf numFmtId="0" fontId="10" fillId="3" borderId="8" xfId="0" applyFont="1" applyFill="1" applyBorder="1" applyAlignment="1">
      <alignment horizontal="center" vertical="center"/>
    </xf>
    <xf numFmtId="0" fontId="11" fillId="0" borderId="8" xfId="0" applyFont="1" applyFill="1" applyBorder="1" applyAlignment="1">
      <alignment horizontal="center" vertical="center"/>
    </xf>
    <xf numFmtId="0" fontId="11" fillId="0" borderId="8" xfId="0" applyFont="1" applyFill="1" applyBorder="1" applyAlignment="1">
      <alignment vertical="center"/>
    </xf>
    <xf numFmtId="0" fontId="12" fillId="0" borderId="9" xfId="0" applyFont="1" applyFill="1" applyBorder="1" applyAlignment="1">
      <alignment horizontal="center" vertical="center"/>
    </xf>
    <xf numFmtId="0" fontId="12" fillId="0" borderId="0" xfId="0" applyFont="1" applyFill="1" applyBorder="1" applyAlignment="1">
      <alignment horizontal="center" vertical="center"/>
    </xf>
    <xf numFmtId="0" fontId="12" fillId="0" borderId="10" xfId="0" applyFont="1" applyFill="1" applyBorder="1" applyAlignment="1">
      <alignment horizontal="center" vertical="center"/>
    </xf>
    <xf numFmtId="0" fontId="12" fillId="0" borderId="11" xfId="0" applyFont="1" applyFill="1" applyBorder="1" applyAlignment="1">
      <alignment vertical="center"/>
    </xf>
    <xf numFmtId="0" fontId="11" fillId="3" borderId="5" xfId="0" applyFont="1" applyFill="1" applyBorder="1" applyAlignment="1">
      <alignment horizontal="center" vertical="center"/>
    </xf>
    <xf numFmtId="0" fontId="11" fillId="3" borderId="6" xfId="0" applyFont="1" applyFill="1" applyBorder="1" applyAlignment="1">
      <alignment horizontal="center" vertical="center"/>
    </xf>
    <xf numFmtId="0" fontId="12" fillId="0" borderId="8" xfId="0" applyFont="1" applyFill="1" applyBorder="1" applyAlignment="1">
      <alignment vertical="center"/>
    </xf>
    <xf numFmtId="0" fontId="12" fillId="0" borderId="10" xfId="0" applyFont="1" applyFill="1" applyBorder="1" applyAlignment="1">
      <alignment vertical="center"/>
    </xf>
    <xf numFmtId="0" fontId="12" fillId="0" borderId="12" xfId="0" applyFont="1" applyFill="1" applyBorder="1" applyAlignment="1">
      <alignment vertical="center"/>
    </xf>
    <xf numFmtId="181" fontId="5" fillId="4" borderId="7" xfId="0" applyNumberFormat="1" applyFont="1" applyFill="1" applyBorder="1" applyAlignment="1">
      <alignment horizontal="center" vertical="center"/>
    </xf>
    <xf numFmtId="181" fontId="5" fillId="4" borderId="11" xfId="0" applyNumberFormat="1" applyFont="1" applyFill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13" fillId="2" borderId="11" xfId="0" applyFont="1" applyFill="1" applyBorder="1" applyAlignment="1">
      <alignment horizontal="center" vertical="center"/>
    </xf>
    <xf numFmtId="182" fontId="5" fillId="4" borderId="11" xfId="0" applyNumberFormat="1" applyFont="1" applyFill="1" applyBorder="1" applyAlignment="1">
      <alignment horizontal="center" vertical="center"/>
    </xf>
    <xf numFmtId="0" fontId="5" fillId="4" borderId="5" xfId="0" applyFont="1" applyFill="1" applyBorder="1" applyAlignment="1">
      <alignment horizontal="center" vertical="center"/>
    </xf>
    <xf numFmtId="0" fontId="5" fillId="4" borderId="6" xfId="0" applyFont="1" applyFill="1" applyBorder="1" applyAlignment="1">
      <alignment horizontal="center" vertical="center"/>
    </xf>
    <xf numFmtId="0" fontId="5" fillId="4" borderId="7" xfId="0" applyFont="1" applyFill="1" applyBorder="1" applyAlignment="1">
      <alignment horizontal="center" vertical="center"/>
    </xf>
    <xf numFmtId="0" fontId="13" fillId="2" borderId="11" xfId="0" applyFont="1" applyFill="1" applyBorder="1" applyAlignment="1">
      <alignment vertical="center"/>
    </xf>
    <xf numFmtId="0" fontId="13" fillId="2" borderId="6" xfId="0" applyFont="1" applyFill="1" applyBorder="1" applyAlignment="1">
      <alignment horizontal="center" vertical="center"/>
    </xf>
    <xf numFmtId="0" fontId="5" fillId="4" borderId="5" xfId="0" applyFont="1" applyFill="1" applyBorder="1" applyAlignment="1">
      <alignment horizontal="center" vertical="center" wrapText="1"/>
    </xf>
    <xf numFmtId="0" fontId="5" fillId="4" borderId="6" xfId="0" applyFont="1" applyFill="1" applyBorder="1" applyAlignment="1">
      <alignment horizontal="center" vertical="center" wrapText="1"/>
    </xf>
    <xf numFmtId="0" fontId="5" fillId="4" borderId="7" xfId="0" applyFont="1" applyFill="1" applyBorder="1" applyAlignment="1">
      <alignment horizontal="center" vertical="center" wrapText="1"/>
    </xf>
    <xf numFmtId="0" fontId="14" fillId="5" borderId="6" xfId="53" applyFont="1" applyFill="1" applyBorder="1" applyAlignment="1">
      <alignment horizontal="center"/>
    </xf>
    <xf numFmtId="181" fontId="14" fillId="5" borderId="6" xfId="53" applyNumberFormat="1" applyFont="1" applyFill="1" applyBorder="1" applyAlignment="1">
      <alignment horizontal="center"/>
    </xf>
    <xf numFmtId="0" fontId="14" fillId="2" borderId="4" xfId="53" applyFont="1" applyFill="1" applyBorder="1" applyAlignment="1">
      <alignment horizontal="center"/>
    </xf>
    <xf numFmtId="0" fontId="15" fillId="6" borderId="2" xfId="53" applyFont="1" applyFill="1" applyBorder="1" applyAlignment="1">
      <alignment horizontal="center"/>
    </xf>
    <xf numFmtId="181" fontId="15" fillId="6" borderId="2" xfId="53" applyNumberFormat="1" applyFont="1" applyFill="1" applyBorder="1" applyAlignment="1">
      <alignment horizontal="center"/>
    </xf>
    <xf numFmtId="0" fontId="15" fillId="6" borderId="3" xfId="53" applyFont="1" applyFill="1" applyBorder="1" applyAlignment="1">
      <alignment horizontal="center"/>
    </xf>
    <xf numFmtId="181" fontId="16" fillId="6" borderId="4" xfId="53" applyNumberFormat="1" applyFont="1" applyFill="1" applyBorder="1" applyAlignment="1"/>
    <xf numFmtId="0" fontId="0" fillId="0" borderId="8" xfId="0" applyBorder="1" applyAlignment="1">
      <alignment horizontal="center" vertical="center"/>
    </xf>
    <xf numFmtId="0" fontId="16" fillId="2" borderId="4" xfId="53" applyFont="1" applyFill="1" applyBorder="1" applyAlignment="1">
      <alignment horizontal="center"/>
    </xf>
    <xf numFmtId="0" fontId="17" fillId="6" borderId="2" xfId="53" applyFont="1" applyFill="1" applyBorder="1" applyAlignment="1">
      <alignment horizontal="center"/>
    </xf>
    <xf numFmtId="0" fontId="17" fillId="6" borderId="3" xfId="53" applyFont="1" applyFill="1" applyBorder="1" applyAlignment="1">
      <alignment horizontal="center"/>
    </xf>
    <xf numFmtId="181" fontId="17" fillId="6" borderId="4" xfId="53" applyNumberFormat="1" applyFont="1" applyFill="1" applyBorder="1" applyAlignment="1">
      <alignment vertical="center" wrapText="1"/>
    </xf>
    <xf numFmtId="183" fontId="17" fillId="6" borderId="3" xfId="53" applyNumberFormat="1" applyFont="1" applyFill="1" applyBorder="1" applyAlignment="1">
      <alignment horizontal="center"/>
    </xf>
    <xf numFmtId="0" fontId="0" fillId="0" borderId="11" xfId="0" applyBorder="1" applyAlignment="1">
      <alignment horizontal="center" vertical="center"/>
    </xf>
    <xf numFmtId="181" fontId="18" fillId="2" borderId="4" xfId="53" applyNumberFormat="1" applyFont="1" applyFill="1" applyBorder="1" applyAlignment="1">
      <alignment horizontal="center"/>
    </xf>
    <xf numFmtId="0" fontId="17" fillId="6" borderId="4" xfId="53" applyFont="1" applyFill="1" applyBorder="1" applyAlignment="1">
      <alignment vertical="center" wrapText="1"/>
    </xf>
    <xf numFmtId="0" fontId="17" fillId="6" borderId="4" xfId="53" applyFont="1" applyFill="1" applyBorder="1" applyAlignment="1">
      <alignment vertical="center"/>
    </xf>
    <xf numFmtId="0" fontId="5" fillId="6" borderId="2" xfId="53" applyFont="1" applyFill="1" applyBorder="1" applyAlignment="1">
      <alignment horizontal="center"/>
    </xf>
    <xf numFmtId="0" fontId="5" fillId="6" borderId="3" xfId="53" applyFont="1" applyFill="1" applyBorder="1" applyAlignment="1">
      <alignment horizontal="center"/>
    </xf>
    <xf numFmtId="181" fontId="17" fillId="6" borderId="4" xfId="53" applyNumberFormat="1" applyFont="1" applyFill="1" applyBorder="1" applyAlignment="1">
      <alignment horizontal="center" vertical="center" wrapText="1"/>
    </xf>
    <xf numFmtId="183" fontId="5" fillId="6" borderId="4" xfId="53" applyNumberFormat="1" applyFont="1" applyFill="1" applyBorder="1" applyAlignment="1">
      <alignment horizontal="center"/>
    </xf>
    <xf numFmtId="183" fontId="5" fillId="2" borderId="4" xfId="53" applyNumberFormat="1" applyFont="1" applyFill="1" applyBorder="1" applyAlignment="1">
      <alignment horizontal="center"/>
    </xf>
    <xf numFmtId="0" fontId="19" fillId="6" borderId="3" xfId="53" applyFont="1" applyFill="1" applyBorder="1" applyAlignment="1">
      <alignment horizontal="center"/>
    </xf>
    <xf numFmtId="0" fontId="17" fillId="6" borderId="4" xfId="53" applyFont="1" applyFill="1" applyBorder="1" applyAlignment="1">
      <alignment horizontal="center" vertical="center" wrapText="1"/>
    </xf>
    <xf numFmtId="0" fontId="5" fillId="7" borderId="13" xfId="53" applyFont="1" applyFill="1" applyBorder="1" applyAlignment="1">
      <alignment horizontal="center"/>
    </xf>
    <xf numFmtId="0" fontId="5" fillId="7" borderId="14" xfId="53" applyFont="1" applyFill="1" applyBorder="1" applyAlignment="1">
      <alignment horizontal="center"/>
    </xf>
    <xf numFmtId="0" fontId="5" fillId="7" borderId="3" xfId="53" applyFont="1" applyFill="1" applyBorder="1" applyAlignment="1">
      <alignment horizontal="center"/>
    </xf>
    <xf numFmtId="181" fontId="17" fillId="7" borderId="4" xfId="53" applyNumberFormat="1" applyFont="1" applyFill="1" applyBorder="1" applyAlignment="1">
      <alignment horizontal="center" vertical="center" wrapText="1"/>
    </xf>
    <xf numFmtId="183" fontId="5" fillId="7" borderId="4" xfId="53" applyNumberFormat="1" applyFont="1" applyFill="1" applyBorder="1" applyAlignment="1">
      <alignment horizontal="center"/>
    </xf>
    <xf numFmtId="0" fontId="0" fillId="7" borderId="4" xfId="0" applyFill="1" applyBorder="1" applyAlignment="1">
      <alignment horizontal="center" vertical="center"/>
    </xf>
    <xf numFmtId="0" fontId="17" fillId="7" borderId="4" xfId="53" applyFont="1" applyFill="1" applyBorder="1" applyAlignment="1">
      <alignment horizontal="center" vertical="center" wrapText="1"/>
    </xf>
    <xf numFmtId="0" fontId="20" fillId="2" borderId="13" xfId="53" applyFont="1" applyFill="1" applyBorder="1" applyAlignment="1">
      <alignment horizontal="center" vertical="center"/>
    </xf>
    <xf numFmtId="0" fontId="13" fillId="2" borderId="14" xfId="53" applyFont="1" applyFill="1" applyBorder="1" applyAlignment="1">
      <alignment horizontal="center" vertical="center"/>
    </xf>
    <xf numFmtId="0" fontId="21" fillId="2" borderId="4" xfId="0" applyFont="1" applyFill="1" applyBorder="1" applyAlignment="1">
      <alignment horizontal="center" vertical="center" wrapText="1"/>
    </xf>
    <xf numFmtId="181" fontId="22" fillId="2" borderId="4" xfId="53" applyNumberFormat="1" applyFont="1" applyFill="1" applyBorder="1" applyAlignment="1">
      <alignment horizontal="center" vertical="center" wrapText="1"/>
    </xf>
    <xf numFmtId="0" fontId="22" fillId="2" borderId="2" xfId="53" applyFont="1" applyFill="1" applyBorder="1" applyAlignment="1">
      <alignment horizontal="center"/>
    </xf>
    <xf numFmtId="0" fontId="21" fillId="2" borderId="4" xfId="0" applyFont="1" applyFill="1" applyBorder="1" applyAlignment="1">
      <alignment vertical="center" wrapText="1"/>
    </xf>
    <xf numFmtId="0" fontId="21" fillId="0" borderId="3" xfId="0" applyFont="1" applyBorder="1" applyAlignment="1">
      <alignment horizontal="center" vertical="center"/>
    </xf>
    <xf numFmtId="0" fontId="23" fillId="2" borderId="13" xfId="53" applyFont="1" applyFill="1" applyBorder="1" applyAlignment="1">
      <alignment horizontal="center" vertical="center"/>
    </xf>
    <xf numFmtId="0" fontId="24" fillId="2" borderId="14" xfId="53" applyFont="1" applyFill="1" applyBorder="1" applyAlignment="1">
      <alignment horizontal="left" vertical="center"/>
    </xf>
    <xf numFmtId="0" fontId="24" fillId="2" borderId="14" xfId="53" applyFont="1" applyFill="1" applyBorder="1" applyAlignment="1">
      <alignment horizontal="center" vertical="center"/>
    </xf>
    <xf numFmtId="0" fontId="22" fillId="2" borderId="4" xfId="53" applyFont="1" applyFill="1" applyBorder="1" applyAlignment="1">
      <alignment horizontal="center" vertical="center" wrapText="1"/>
    </xf>
    <xf numFmtId="0" fontId="25" fillId="2" borderId="2" xfId="53" applyFont="1" applyFill="1" applyBorder="1" applyAlignment="1">
      <alignment horizontal="center"/>
    </xf>
    <xf numFmtId="0" fontId="26" fillId="2" borderId="4" xfId="0" applyFont="1" applyFill="1" applyBorder="1" applyAlignment="1">
      <alignment horizontal="center" vertical="center" wrapText="1"/>
    </xf>
    <xf numFmtId="0" fontId="25" fillId="2" borderId="4" xfId="53" applyFont="1" applyFill="1" applyBorder="1" applyAlignment="1">
      <alignment horizontal="left"/>
    </xf>
    <xf numFmtId="0" fontId="20" fillId="2" borderId="6" xfId="53" applyFont="1" applyFill="1" applyBorder="1" applyAlignment="1">
      <alignment horizontal="center" vertical="center"/>
    </xf>
    <xf numFmtId="0" fontId="13" fillId="2" borderId="7" xfId="53" applyFont="1" applyFill="1" applyBorder="1" applyAlignment="1">
      <alignment horizontal="center" vertical="center"/>
    </xf>
    <xf numFmtId="181" fontId="13" fillId="2" borderId="4" xfId="53" applyNumberFormat="1" applyFont="1" applyFill="1" applyBorder="1" applyAlignment="1">
      <alignment horizontal="center" vertical="center" wrapText="1"/>
    </xf>
    <xf numFmtId="0" fontId="13" fillId="2" borderId="2" xfId="53" applyFont="1" applyFill="1" applyBorder="1" applyAlignment="1">
      <alignment horizontal="center"/>
    </xf>
    <xf numFmtId="181" fontId="5" fillId="2" borderId="4" xfId="53" applyNumberFormat="1" applyFont="1" applyFill="1" applyBorder="1" applyAlignment="1">
      <alignment horizontal="center"/>
    </xf>
    <xf numFmtId="0" fontId="23" fillId="2" borderId="6" xfId="53" applyFont="1" applyFill="1" applyBorder="1" applyAlignment="1">
      <alignment horizontal="center" vertical="center"/>
    </xf>
    <xf numFmtId="0" fontId="24" fillId="2" borderId="7" xfId="53" applyFont="1" applyFill="1" applyBorder="1" applyAlignment="1">
      <alignment horizontal="left" vertical="center"/>
    </xf>
    <xf numFmtId="0" fontId="24" fillId="2" borderId="7" xfId="53" applyFont="1" applyFill="1" applyBorder="1" applyAlignment="1">
      <alignment horizontal="center" vertical="center"/>
    </xf>
    <xf numFmtId="0" fontId="13" fillId="2" borderId="4" xfId="53" applyFont="1" applyFill="1" applyBorder="1" applyAlignment="1">
      <alignment horizontal="center" vertical="center" wrapText="1"/>
    </xf>
    <xf numFmtId="0" fontId="24" fillId="2" borderId="2" xfId="53" applyFont="1" applyFill="1" applyBorder="1" applyAlignment="1">
      <alignment horizontal="center"/>
    </xf>
    <xf numFmtId="0" fontId="21" fillId="0" borderId="0" xfId="0" applyFont="1">
      <alignment vertical="center"/>
    </xf>
    <xf numFmtId="0" fontId="17" fillId="6" borderId="14" xfId="0" applyFont="1" applyFill="1" applyBorder="1" applyAlignment="1">
      <alignment horizontal="left" vertical="center"/>
    </xf>
    <xf numFmtId="0" fontId="17" fillId="6" borderId="8" xfId="53" applyFont="1" applyFill="1" applyBorder="1" applyAlignment="1">
      <alignment horizontal="center" vertical="center" wrapText="1"/>
    </xf>
    <xf numFmtId="181" fontId="17" fillId="6" borderId="8" xfId="53" applyNumberFormat="1" applyFont="1" applyFill="1" applyBorder="1" applyAlignment="1">
      <alignment horizontal="center" vertical="center" wrapText="1"/>
    </xf>
    <xf numFmtId="183" fontId="17" fillId="6" borderId="8" xfId="53" applyNumberFormat="1" applyFont="1" applyFill="1" applyBorder="1" applyAlignment="1">
      <alignment horizontal="center" vertical="center" wrapText="1"/>
    </xf>
    <xf numFmtId="181" fontId="17" fillId="2" borderId="4" xfId="53" applyNumberFormat="1" applyFont="1" applyFill="1" applyBorder="1" applyAlignment="1">
      <alignment horizontal="center" vertical="center" wrapText="1"/>
    </xf>
    <xf numFmtId="0" fontId="17" fillId="6" borderId="7" xfId="0" applyFont="1" applyFill="1" applyBorder="1" applyAlignment="1">
      <alignment horizontal="left" vertical="center"/>
    </xf>
    <xf numFmtId="0" fontId="17" fillId="6" borderId="11" xfId="53" applyFont="1" applyFill="1" applyBorder="1" applyAlignment="1">
      <alignment horizontal="center" vertical="center" wrapText="1"/>
    </xf>
    <xf numFmtId="181" fontId="17" fillId="6" borderId="11" xfId="53" applyNumberFormat="1" applyFont="1" applyFill="1" applyBorder="1" applyAlignment="1">
      <alignment horizontal="center" vertical="center" wrapText="1"/>
    </xf>
    <xf numFmtId="183" fontId="17" fillId="6" borderId="11" xfId="53" applyNumberFormat="1" applyFont="1" applyFill="1" applyBorder="1" applyAlignment="1">
      <alignment horizontal="center" vertical="center" wrapText="1"/>
    </xf>
    <xf numFmtId="58" fontId="0" fillId="6" borderId="3" xfId="0" applyNumberFormat="1" applyFont="1" applyFill="1" applyBorder="1" applyAlignment="1">
      <alignment horizontal="center" vertical="center"/>
    </xf>
    <xf numFmtId="184" fontId="27" fillId="6" borderId="4" xfId="0" applyNumberFormat="1" applyFont="1" applyFill="1" applyBorder="1" applyAlignment="1">
      <alignment horizontal="center" vertical="center"/>
    </xf>
    <xf numFmtId="0" fontId="0" fillId="6" borderId="4" xfId="0" applyFont="1" applyFill="1" applyBorder="1" applyAlignment="1">
      <alignment horizontal="center" vertical="center"/>
    </xf>
    <xf numFmtId="181" fontId="0" fillId="6" borderId="4" xfId="0" applyNumberFormat="1" applyFont="1" applyFill="1" applyBorder="1" applyAlignment="1">
      <alignment horizontal="center" vertical="center"/>
    </xf>
    <xf numFmtId="181" fontId="27" fillId="6" borderId="4" xfId="0" applyNumberFormat="1" applyFont="1" applyFill="1" applyBorder="1" applyAlignment="1">
      <alignment horizontal="center" vertical="center"/>
    </xf>
    <xf numFmtId="0" fontId="0" fillId="0" borderId="4" xfId="0" applyFont="1" applyBorder="1" applyAlignment="1">
      <alignment horizontal="center" vertical="center"/>
    </xf>
    <xf numFmtId="181" fontId="27" fillId="2" borderId="4" xfId="0" applyNumberFormat="1" applyFont="1" applyFill="1" applyBorder="1" applyAlignment="1">
      <alignment horizontal="center" vertical="center"/>
    </xf>
    <xf numFmtId="0" fontId="28" fillId="6" borderId="4" xfId="0" applyFont="1" applyFill="1" applyBorder="1" applyAlignment="1">
      <alignment horizontal="left" vertical="center"/>
    </xf>
    <xf numFmtId="58" fontId="27" fillId="6" borderId="3" xfId="0" applyNumberFormat="1" applyFont="1" applyFill="1" applyBorder="1" applyAlignment="1">
      <alignment horizontal="center" vertical="center"/>
    </xf>
    <xf numFmtId="0" fontId="27" fillId="6" borderId="4" xfId="0" applyFont="1" applyFill="1" applyBorder="1" applyAlignment="1">
      <alignment horizontal="center" vertical="center"/>
    </xf>
    <xf numFmtId="182" fontId="27" fillId="6" borderId="4" xfId="0" applyNumberFormat="1" applyFont="1" applyFill="1" applyBorder="1" applyAlignment="1">
      <alignment horizontal="center" vertical="center"/>
    </xf>
    <xf numFmtId="58" fontId="29" fillId="6" borderId="3" xfId="0" applyNumberFormat="1" applyFont="1" applyFill="1" applyBorder="1" applyAlignment="1">
      <alignment horizontal="center" vertical="center"/>
    </xf>
    <xf numFmtId="0" fontId="29" fillId="6" borderId="4" xfId="0" applyFont="1" applyFill="1" applyBorder="1" applyAlignment="1">
      <alignment horizontal="center" vertical="center"/>
    </xf>
    <xf numFmtId="184" fontId="29" fillId="6" borderId="4" xfId="0" applyNumberFormat="1" applyFont="1" applyFill="1" applyBorder="1" applyAlignment="1">
      <alignment horizontal="center" vertical="center"/>
    </xf>
    <xf numFmtId="182" fontId="29" fillId="6" borderId="4" xfId="0" applyNumberFormat="1" applyFont="1" applyFill="1" applyBorder="1" applyAlignment="1">
      <alignment horizontal="center" vertical="center"/>
    </xf>
    <xf numFmtId="0" fontId="30" fillId="6" borderId="4" xfId="0" applyFont="1" applyFill="1" applyBorder="1" applyAlignment="1">
      <alignment horizontal="center" vertical="center"/>
    </xf>
    <xf numFmtId="0" fontId="31" fillId="6" borderId="4" xfId="0" applyFont="1" applyFill="1" applyBorder="1" applyAlignment="1">
      <alignment horizontal="center" vertical="center"/>
    </xf>
    <xf numFmtId="181" fontId="31" fillId="6" borderId="4" xfId="0" applyNumberFormat="1" applyFont="1" applyFill="1" applyBorder="1" applyAlignment="1">
      <alignment horizontal="center" vertical="center"/>
    </xf>
    <xf numFmtId="0" fontId="29" fillId="6" borderId="4" xfId="0" applyFont="1" applyFill="1" applyBorder="1" applyAlignment="1">
      <alignment vertical="center"/>
    </xf>
    <xf numFmtId="0" fontId="29" fillId="6" borderId="4" xfId="0" applyFont="1" applyFill="1" applyBorder="1" applyAlignment="1">
      <alignment horizontal="left" vertical="center"/>
    </xf>
    <xf numFmtId="181" fontId="29" fillId="6" borderId="4" xfId="0" applyNumberFormat="1" applyFont="1" applyFill="1" applyBorder="1" applyAlignment="1">
      <alignment horizontal="center" vertical="center"/>
    </xf>
    <xf numFmtId="181" fontId="29" fillId="2" borderId="4" xfId="0" applyNumberFormat="1" applyFont="1" applyFill="1" applyBorder="1" applyAlignment="1">
      <alignment horizontal="center" vertical="center"/>
    </xf>
    <xf numFmtId="0" fontId="21" fillId="0" borderId="4" xfId="0" applyFont="1" applyBorder="1" applyAlignment="1">
      <alignment horizontal="center" vertical="center"/>
    </xf>
    <xf numFmtId="0" fontId="21" fillId="0" borderId="0" xfId="0" applyFont="1" applyAlignment="1">
      <alignment horizontal="left" vertical="center"/>
    </xf>
    <xf numFmtId="0" fontId="21" fillId="6" borderId="4" xfId="0" applyFont="1" applyFill="1" applyBorder="1" applyAlignment="1">
      <alignment horizontal="center" vertical="center"/>
    </xf>
    <xf numFmtId="181" fontId="21" fillId="6" borderId="4" xfId="0" applyNumberFormat="1" applyFont="1" applyFill="1" applyBorder="1" applyAlignment="1">
      <alignment horizontal="center" vertical="center"/>
    </xf>
    <xf numFmtId="0" fontId="32" fillId="0" borderId="0" xfId="0" applyFont="1">
      <alignment vertical="center"/>
    </xf>
    <xf numFmtId="182" fontId="33" fillId="6" borderId="4" xfId="0" applyNumberFormat="1" applyFont="1" applyFill="1" applyBorder="1" applyAlignment="1">
      <alignment horizontal="center" vertical="center"/>
    </xf>
    <xf numFmtId="0" fontId="0" fillId="0" borderId="0" xfId="0" applyFont="1" applyAlignment="1">
      <alignment horizontal="left" vertical="center"/>
    </xf>
    <xf numFmtId="184" fontId="33" fillId="6" borderId="4" xfId="0" applyNumberFormat="1" applyFont="1" applyFill="1" applyBorder="1" applyAlignment="1">
      <alignment horizontal="center" vertical="center"/>
    </xf>
    <xf numFmtId="0" fontId="34" fillId="6" borderId="4" xfId="0" applyFont="1" applyFill="1" applyBorder="1" applyAlignment="1">
      <alignment horizontal="center" vertical="center"/>
    </xf>
    <xf numFmtId="58" fontId="27" fillId="6" borderId="3" xfId="0" applyNumberFormat="1" applyFont="1" applyFill="1" applyBorder="1" applyAlignment="1">
      <alignment horizontal="left" vertical="center"/>
    </xf>
    <xf numFmtId="184" fontId="35" fillId="6" borderId="4" xfId="0" applyNumberFormat="1" applyFont="1" applyFill="1" applyBorder="1" applyAlignment="1">
      <alignment horizontal="center" vertical="center"/>
    </xf>
    <xf numFmtId="0" fontId="5" fillId="6" borderId="4" xfId="0" applyFont="1" applyFill="1" applyBorder="1" applyAlignment="1">
      <alignment horizontal="center" vertical="center"/>
    </xf>
    <xf numFmtId="181" fontId="30" fillId="6" borderId="4" xfId="0" applyNumberFormat="1" applyFont="1" applyFill="1" applyBorder="1" applyAlignment="1">
      <alignment horizontal="center" vertical="center"/>
    </xf>
    <xf numFmtId="0" fontId="28" fillId="6" borderId="4" xfId="0" applyFont="1" applyFill="1" applyBorder="1" applyAlignment="1">
      <alignment horizontal="center" vertical="center"/>
    </xf>
    <xf numFmtId="58" fontId="29" fillId="6" borderId="3" xfId="0" applyNumberFormat="1" applyFont="1" applyFill="1" applyBorder="1" applyAlignment="1">
      <alignment horizontal="left" vertical="center"/>
    </xf>
    <xf numFmtId="184" fontId="36" fillId="6" borderId="4" xfId="0" applyNumberFormat="1" applyFont="1" applyFill="1" applyBorder="1" applyAlignment="1">
      <alignment horizontal="center" vertical="center"/>
    </xf>
    <xf numFmtId="0" fontId="13" fillId="6" borderId="4" xfId="0" applyFont="1" applyFill="1" applyBorder="1" applyAlignment="1">
      <alignment horizontal="center" vertical="center"/>
    </xf>
    <xf numFmtId="0" fontId="16" fillId="6" borderId="4" xfId="0" applyFont="1" applyFill="1" applyBorder="1" applyAlignment="1">
      <alignment horizontal="center" vertical="center"/>
    </xf>
    <xf numFmtId="58" fontId="37" fillId="6" borderId="3" xfId="0" applyNumberFormat="1" applyFont="1" applyFill="1" applyBorder="1" applyAlignment="1">
      <alignment horizontal="left" vertical="center"/>
    </xf>
    <xf numFmtId="184" fontId="38" fillId="6" borderId="4" xfId="0" applyNumberFormat="1" applyFont="1" applyFill="1" applyBorder="1" applyAlignment="1">
      <alignment horizontal="center" vertical="center"/>
    </xf>
    <xf numFmtId="0" fontId="37" fillId="6" borderId="4" xfId="0" applyFont="1" applyFill="1" applyBorder="1" applyAlignment="1">
      <alignment horizontal="center" vertical="center"/>
    </xf>
    <xf numFmtId="0" fontId="11" fillId="6" borderId="4" xfId="0" applyFont="1" applyFill="1" applyBorder="1" applyAlignment="1">
      <alignment horizontal="center" vertical="center"/>
    </xf>
    <xf numFmtId="181" fontId="37" fillId="6" borderId="4" xfId="0" applyNumberFormat="1" applyFont="1" applyFill="1" applyBorder="1" applyAlignment="1">
      <alignment horizontal="center" vertical="center"/>
    </xf>
    <xf numFmtId="181" fontId="37" fillId="2" borderId="4" xfId="0" applyNumberFormat="1" applyFont="1" applyFill="1" applyBorder="1" applyAlignment="1">
      <alignment horizontal="center" vertical="center"/>
    </xf>
    <xf numFmtId="181" fontId="27" fillId="2" borderId="4" xfId="0" applyNumberFormat="1" applyFont="1" applyFill="1" applyBorder="1" applyAlignment="1">
      <alignment horizontal="left" vertical="center"/>
    </xf>
    <xf numFmtId="58" fontId="35" fillId="6" borderId="3" xfId="0" applyNumberFormat="1" applyFont="1" applyFill="1" applyBorder="1" applyAlignment="1">
      <alignment horizontal="center" vertical="center"/>
    </xf>
    <xf numFmtId="58" fontId="0" fillId="6" borderId="3" xfId="0" applyNumberFormat="1" applyFont="1" applyFill="1" applyBorder="1" applyAlignment="1">
      <alignment horizontal="left" vertical="center"/>
    </xf>
    <xf numFmtId="58" fontId="30" fillId="6" borderId="3" xfId="0" applyNumberFormat="1" applyFont="1" applyFill="1" applyBorder="1" applyAlignment="1">
      <alignment horizontal="center" vertical="center"/>
    </xf>
    <xf numFmtId="184" fontId="30" fillId="6" borderId="4" xfId="0" applyNumberFormat="1" applyFont="1" applyFill="1" applyBorder="1" applyAlignment="1">
      <alignment horizontal="center" vertical="center"/>
    </xf>
    <xf numFmtId="58" fontId="38" fillId="6" borderId="3" xfId="0" applyNumberFormat="1" applyFont="1" applyFill="1" applyBorder="1" applyAlignment="1">
      <alignment horizontal="center" vertical="center"/>
    </xf>
    <xf numFmtId="0" fontId="39" fillId="6" borderId="4" xfId="0" applyFont="1" applyFill="1" applyBorder="1" applyAlignment="1">
      <alignment horizontal="center" vertical="center"/>
    </xf>
    <xf numFmtId="0" fontId="38" fillId="6" borderId="4" xfId="0" applyFont="1" applyFill="1" applyBorder="1" applyAlignment="1">
      <alignment horizontal="center" vertical="center"/>
    </xf>
    <xf numFmtId="181" fontId="11" fillId="6" borderId="4" xfId="0" applyNumberFormat="1" applyFont="1" applyFill="1" applyBorder="1" applyAlignment="1">
      <alignment horizontal="center" vertical="center"/>
    </xf>
    <xf numFmtId="58" fontId="36" fillId="6" borderId="3" xfId="0" applyNumberFormat="1" applyFont="1" applyFill="1" applyBorder="1" applyAlignment="1">
      <alignment horizontal="center" vertical="center"/>
    </xf>
    <xf numFmtId="0" fontId="36" fillId="6" borderId="4" xfId="0" applyFont="1" applyFill="1" applyBorder="1" applyAlignment="1">
      <alignment horizontal="center" vertical="center"/>
    </xf>
    <xf numFmtId="181" fontId="13" fillId="6" borderId="4" xfId="0" applyNumberFormat="1" applyFont="1" applyFill="1" applyBorder="1" applyAlignment="1">
      <alignment horizontal="center" vertical="center"/>
    </xf>
    <xf numFmtId="58" fontId="5" fillId="6" borderId="3" xfId="0" applyNumberFormat="1" applyFont="1" applyFill="1" applyBorder="1" applyAlignment="1">
      <alignment horizontal="center" vertical="center"/>
    </xf>
    <xf numFmtId="0" fontId="40" fillId="6" borderId="4" xfId="0" applyFont="1" applyFill="1" applyBorder="1" applyAlignment="1">
      <alignment horizontal="center" vertical="center"/>
    </xf>
    <xf numFmtId="181" fontId="27" fillId="2" borderId="8" xfId="0" applyNumberFormat="1" applyFont="1" applyFill="1" applyBorder="1" applyAlignment="1">
      <alignment horizontal="center" vertical="center" wrapText="1"/>
    </xf>
    <xf numFmtId="181" fontId="27" fillId="2" borderId="12" xfId="0" applyNumberFormat="1" applyFont="1" applyFill="1" applyBorder="1" applyAlignment="1">
      <alignment horizontal="center" vertical="center" wrapText="1"/>
    </xf>
    <xf numFmtId="181" fontId="27" fillId="2" borderId="11" xfId="0" applyNumberFormat="1" applyFont="1" applyFill="1" applyBorder="1" applyAlignment="1">
      <alignment horizontal="center" vertical="center" wrapText="1"/>
    </xf>
    <xf numFmtId="0" fontId="41" fillId="6" borderId="4" xfId="0" applyFont="1" applyFill="1" applyBorder="1" applyAlignment="1">
      <alignment horizontal="center" vertical="center"/>
    </xf>
    <xf numFmtId="58" fontId="21" fillId="6" borderId="3" xfId="0" applyNumberFormat="1" applyFont="1" applyFill="1" applyBorder="1" applyAlignment="1">
      <alignment horizontal="left" vertical="center"/>
    </xf>
    <xf numFmtId="58" fontId="13" fillId="6" borderId="3" xfId="0" applyNumberFormat="1" applyFont="1" applyFill="1" applyBorder="1" applyAlignment="1">
      <alignment horizontal="left" vertical="center"/>
    </xf>
    <xf numFmtId="181" fontId="36" fillId="6" borderId="4" xfId="0" applyNumberFormat="1" applyFont="1" applyFill="1" applyBorder="1" applyAlignment="1">
      <alignment horizontal="center" vertical="center"/>
    </xf>
    <xf numFmtId="181" fontId="35" fillId="6" borderId="4" xfId="0" applyNumberFormat="1" applyFont="1" applyFill="1" applyBorder="1" applyAlignment="1">
      <alignment horizontal="center" vertical="center"/>
    </xf>
    <xf numFmtId="0" fontId="0" fillId="6" borderId="4" xfId="0" applyFont="1" applyFill="1" applyBorder="1">
      <alignment vertical="center"/>
    </xf>
    <xf numFmtId="184" fontId="15" fillId="6" borderId="4" xfId="0" applyNumberFormat="1" applyFont="1" applyFill="1" applyBorder="1" applyAlignment="1">
      <alignment horizontal="center" vertical="center"/>
    </xf>
    <xf numFmtId="181" fontId="0" fillId="6" borderId="4" xfId="0" applyNumberFormat="1" applyFont="1" applyFill="1" applyBorder="1">
      <alignment vertical="center"/>
    </xf>
    <xf numFmtId="0" fontId="21" fillId="0" borderId="4" xfId="0" applyFont="1" applyBorder="1">
      <alignment vertical="center"/>
    </xf>
    <xf numFmtId="0" fontId="5" fillId="0" borderId="0" xfId="0" applyFont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4" xfId="0" applyFont="1" applyBorder="1" applyAlignment="1">
      <alignment horizontal="left" vertical="center"/>
    </xf>
    <xf numFmtId="185" fontId="5" fillId="0" borderId="4" xfId="0" applyNumberFormat="1" applyFont="1" applyBorder="1" applyAlignment="1">
      <alignment horizontal="center" vertical="center"/>
    </xf>
    <xf numFmtId="0" fontId="5" fillId="0" borderId="4" xfId="0" applyFont="1" applyBorder="1">
      <alignment vertical="center"/>
    </xf>
    <xf numFmtId="0" fontId="0" fillId="0" borderId="1" xfId="0" applyFont="1" applyBorder="1" applyAlignment="1">
      <alignment horizontal="center" vertical="center"/>
    </xf>
    <xf numFmtId="0" fontId="0" fillId="0" borderId="2" xfId="0" applyFont="1" applyBorder="1" applyAlignment="1">
      <alignment horizontal="center" vertical="center"/>
    </xf>
    <xf numFmtId="0" fontId="0" fillId="0" borderId="3" xfId="0" applyFont="1" applyBorder="1" applyAlignment="1">
      <alignment horizontal="center" vertical="center"/>
    </xf>
    <xf numFmtId="0" fontId="0" fillId="0" borderId="4" xfId="0" applyFont="1" applyBorder="1">
      <alignment vertical="center"/>
    </xf>
    <xf numFmtId="0" fontId="0" fillId="0" borderId="4" xfId="0" applyFont="1" applyBorder="1" applyAlignment="1">
      <alignment horizontal="left" vertical="center"/>
    </xf>
    <xf numFmtId="185" fontId="0" fillId="0" borderId="4" xfId="0" applyNumberFormat="1" applyFont="1" applyBorder="1" applyAlignment="1">
      <alignment horizontal="center" vertical="center"/>
    </xf>
    <xf numFmtId="0" fontId="21" fillId="0" borderId="4" xfId="0" applyFont="1" applyBorder="1" applyAlignment="1">
      <alignment horizontal="left" vertical="center"/>
    </xf>
    <xf numFmtId="0" fontId="42" fillId="0" borderId="0" xfId="0" applyFont="1">
      <alignment vertical="center"/>
    </xf>
    <xf numFmtId="0" fontId="17" fillId="3" borderId="5" xfId="0" applyFont="1" applyFill="1" applyBorder="1" applyAlignment="1">
      <alignment horizontal="center" vertical="center" wrapText="1"/>
    </xf>
    <xf numFmtId="0" fontId="17" fillId="3" borderId="6" xfId="0" applyFont="1" applyFill="1" applyBorder="1" applyAlignment="1">
      <alignment horizontal="center" vertical="center" wrapText="1"/>
    </xf>
    <xf numFmtId="181" fontId="17" fillId="3" borderId="7" xfId="0" applyNumberFormat="1" applyFont="1" applyFill="1" applyBorder="1" applyAlignment="1">
      <alignment horizontal="center" vertical="center" wrapText="1"/>
    </xf>
    <xf numFmtId="0" fontId="42" fillId="3" borderId="8" xfId="0" applyFont="1" applyFill="1" applyBorder="1" applyAlignment="1">
      <alignment horizontal="center" vertical="center"/>
    </xf>
    <xf numFmtId="181" fontId="42" fillId="3" borderId="8" xfId="0" applyNumberFormat="1" applyFont="1" applyFill="1" applyBorder="1" applyAlignment="1">
      <alignment horizontal="center" vertical="center" wrapText="1"/>
    </xf>
    <xf numFmtId="0" fontId="10" fillId="0" borderId="8" xfId="0" applyFont="1" applyFill="1" applyBorder="1" applyAlignment="1">
      <alignment horizontal="center" vertical="center"/>
    </xf>
    <xf numFmtId="0" fontId="10" fillId="0" borderId="8" xfId="0" applyFont="1" applyFill="1" applyBorder="1" applyAlignment="1">
      <alignment vertical="center"/>
    </xf>
    <xf numFmtId="0" fontId="10" fillId="0" borderId="9" xfId="0" applyFont="1" applyFill="1" applyBorder="1" applyAlignment="1">
      <alignment horizontal="center" vertical="center"/>
    </xf>
    <xf numFmtId="0" fontId="10" fillId="0" borderId="0" xfId="0" applyFont="1" applyFill="1" applyBorder="1" applyAlignment="1">
      <alignment horizontal="center" vertical="center"/>
    </xf>
    <xf numFmtId="0" fontId="10" fillId="0" borderId="10" xfId="0" applyFont="1" applyFill="1" applyBorder="1" applyAlignment="1">
      <alignment horizontal="center" vertical="center"/>
    </xf>
    <xf numFmtId="0" fontId="10" fillId="0" borderId="11" xfId="0" applyFont="1" applyFill="1" applyBorder="1" applyAlignment="1">
      <alignment vertical="center"/>
    </xf>
    <xf numFmtId="0" fontId="10" fillId="3" borderId="5" xfId="0" applyFont="1" applyFill="1" applyBorder="1" applyAlignment="1">
      <alignment horizontal="center" vertical="center"/>
    </xf>
    <xf numFmtId="0" fontId="10" fillId="3" borderId="6" xfId="0" applyFont="1" applyFill="1" applyBorder="1" applyAlignment="1">
      <alignment horizontal="center" vertical="center"/>
    </xf>
    <xf numFmtId="0" fontId="10" fillId="0" borderId="10" xfId="0" applyFont="1" applyFill="1" applyBorder="1" applyAlignment="1">
      <alignment vertical="center"/>
    </xf>
    <xf numFmtId="0" fontId="10" fillId="0" borderId="12" xfId="0" applyFont="1" applyFill="1" applyBorder="1" applyAlignment="1">
      <alignment vertical="center"/>
    </xf>
    <xf numFmtId="181" fontId="17" fillId="4" borderId="7" xfId="0" applyNumberFormat="1" applyFont="1" applyFill="1" applyBorder="1" applyAlignment="1">
      <alignment horizontal="center" vertical="center"/>
    </xf>
    <xf numFmtId="181" fontId="17" fillId="4" borderId="11" xfId="0" applyNumberFormat="1" applyFont="1" applyFill="1" applyBorder="1" applyAlignment="1">
      <alignment horizontal="center" vertical="center"/>
    </xf>
    <xf numFmtId="181" fontId="17" fillId="4" borderId="4" xfId="0" applyNumberFormat="1" applyFont="1" applyFill="1" applyBorder="1" applyAlignment="1">
      <alignment horizontal="center" vertical="center"/>
    </xf>
    <xf numFmtId="0" fontId="25" fillId="0" borderId="11" xfId="0" applyFont="1" applyBorder="1" applyAlignment="1">
      <alignment horizontal="center" vertical="center"/>
    </xf>
    <xf numFmtId="0" fontId="22" fillId="2" borderId="11" xfId="0" applyFont="1" applyFill="1" applyBorder="1" applyAlignment="1">
      <alignment horizontal="center" vertical="center"/>
    </xf>
    <xf numFmtId="182" fontId="17" fillId="4" borderId="11" xfId="0" applyNumberFormat="1" applyFont="1" applyFill="1" applyBorder="1" applyAlignment="1">
      <alignment horizontal="center" vertical="center"/>
    </xf>
    <xf numFmtId="0" fontId="17" fillId="4" borderId="5" xfId="0" applyFont="1" applyFill="1" applyBorder="1" applyAlignment="1">
      <alignment horizontal="center" vertical="center"/>
    </xf>
    <xf numFmtId="0" fontId="17" fillId="4" borderId="6" xfId="0" applyFont="1" applyFill="1" applyBorder="1" applyAlignment="1">
      <alignment horizontal="center" vertical="center"/>
    </xf>
    <xf numFmtId="0" fontId="17" fillId="4" borderId="7" xfId="0" applyFont="1" applyFill="1" applyBorder="1" applyAlignment="1">
      <alignment horizontal="center" vertical="center"/>
    </xf>
    <xf numFmtId="0" fontId="22" fillId="2" borderId="11" xfId="0" applyFont="1" applyFill="1" applyBorder="1" applyAlignment="1">
      <alignment vertical="center"/>
    </xf>
    <xf numFmtId="0" fontId="22" fillId="2" borderId="6" xfId="0" applyFont="1" applyFill="1" applyBorder="1" applyAlignment="1">
      <alignment horizontal="center" vertical="center"/>
    </xf>
    <xf numFmtId="0" fontId="22" fillId="4" borderId="5" xfId="0" applyFont="1" applyFill="1" applyBorder="1" applyAlignment="1">
      <alignment horizontal="center" vertical="center" wrapText="1"/>
    </xf>
    <xf numFmtId="0" fontId="22" fillId="4" borderId="6" xfId="0" applyFont="1" applyFill="1" applyBorder="1" applyAlignment="1">
      <alignment horizontal="center" vertical="center" wrapText="1"/>
    </xf>
    <xf numFmtId="0" fontId="22" fillId="4" borderId="7" xfId="0" applyFont="1" applyFill="1" applyBorder="1" applyAlignment="1">
      <alignment horizontal="center" vertical="center" wrapText="1"/>
    </xf>
    <xf numFmtId="0" fontId="17" fillId="5" borderId="6" xfId="53" applyFont="1" applyFill="1" applyBorder="1" applyAlignment="1">
      <alignment horizontal="center"/>
    </xf>
    <xf numFmtId="181" fontId="17" fillId="5" borderId="6" xfId="53" applyNumberFormat="1" applyFont="1" applyFill="1" applyBorder="1" applyAlignment="1">
      <alignment horizontal="center"/>
    </xf>
    <xf numFmtId="0" fontId="42" fillId="0" borderId="4" xfId="0" applyFont="1" applyBorder="1" applyAlignment="1">
      <alignment horizontal="center" vertical="center"/>
    </xf>
    <xf numFmtId="0" fontId="17" fillId="2" borderId="4" xfId="53" applyFont="1" applyFill="1" applyBorder="1" applyAlignment="1">
      <alignment horizontal="center"/>
    </xf>
    <xf numFmtId="0" fontId="42" fillId="0" borderId="4" xfId="0" applyFont="1" applyBorder="1">
      <alignment vertical="center"/>
    </xf>
    <xf numFmtId="0" fontId="43" fillId="5" borderId="6" xfId="53" applyFont="1" applyFill="1" applyBorder="1" applyAlignment="1">
      <alignment horizontal="center"/>
    </xf>
    <xf numFmtId="0" fontId="34" fillId="6" borderId="2" xfId="53" applyFont="1" applyFill="1" applyBorder="1" applyAlignment="1">
      <alignment horizontal="center"/>
    </xf>
    <xf numFmtId="181" fontId="34" fillId="6" borderId="2" xfId="53" applyNumberFormat="1" applyFont="1" applyFill="1" applyBorder="1" applyAlignment="1">
      <alignment horizontal="center"/>
    </xf>
    <xf numFmtId="0" fontId="34" fillId="6" borderId="3" xfId="53" applyFont="1" applyFill="1" applyBorder="1" applyAlignment="1">
      <alignment horizontal="center"/>
    </xf>
    <xf numFmtId="181" fontId="34" fillId="6" borderId="4" xfId="53" applyNumberFormat="1" applyFont="1" applyFill="1" applyBorder="1" applyAlignment="1"/>
    <xf numFmtId="0" fontId="42" fillId="0" borderId="8" xfId="0" applyFont="1" applyBorder="1" applyAlignment="1">
      <alignment horizontal="center" vertical="center"/>
    </xf>
    <xf numFmtId="0" fontId="34" fillId="2" borderId="4" xfId="53" applyFont="1" applyFill="1" applyBorder="1" applyAlignment="1">
      <alignment horizontal="center"/>
    </xf>
    <xf numFmtId="0" fontId="42" fillId="6" borderId="2" xfId="53" applyFont="1" applyFill="1" applyBorder="1" applyAlignment="1">
      <alignment horizontal="center"/>
    </xf>
    <xf numFmtId="0" fontId="42" fillId="6" borderId="3" xfId="53" applyFont="1" applyFill="1" applyBorder="1" applyAlignment="1">
      <alignment horizontal="center"/>
    </xf>
    <xf numFmtId="181" fontId="42" fillId="6" borderId="4" xfId="53" applyNumberFormat="1" applyFont="1" applyFill="1" applyBorder="1" applyAlignment="1">
      <alignment vertical="center" wrapText="1"/>
    </xf>
    <xf numFmtId="183" fontId="42" fillId="6" borderId="3" xfId="53" applyNumberFormat="1" applyFont="1" applyFill="1" applyBorder="1" applyAlignment="1">
      <alignment horizontal="center"/>
    </xf>
    <xf numFmtId="0" fontId="42" fillId="0" borderId="11" xfId="0" applyFont="1" applyBorder="1" applyAlignment="1">
      <alignment horizontal="center" vertical="center"/>
    </xf>
    <xf numFmtId="181" fontId="34" fillId="2" borderId="4" xfId="53" applyNumberFormat="1" applyFont="1" applyFill="1" applyBorder="1" applyAlignment="1">
      <alignment horizontal="center"/>
    </xf>
    <xf numFmtId="0" fontId="42" fillId="6" borderId="4" xfId="53" applyFont="1" applyFill="1" applyBorder="1" applyAlignment="1">
      <alignment vertical="center" wrapText="1"/>
    </xf>
    <xf numFmtId="0" fontId="42" fillId="6" borderId="4" xfId="53" applyFont="1" applyFill="1" applyBorder="1" applyAlignment="1">
      <alignment vertical="center"/>
    </xf>
    <xf numFmtId="181" fontId="42" fillId="6" borderId="4" xfId="53" applyNumberFormat="1" applyFont="1" applyFill="1" applyBorder="1" applyAlignment="1">
      <alignment horizontal="center" vertical="center" wrapText="1"/>
    </xf>
    <xf numFmtId="183" fontId="42" fillId="6" borderId="4" xfId="53" applyNumberFormat="1" applyFont="1" applyFill="1" applyBorder="1" applyAlignment="1">
      <alignment horizontal="center"/>
    </xf>
    <xf numFmtId="183" fontId="42" fillId="2" borderId="4" xfId="53" applyNumberFormat="1" applyFont="1" applyFill="1" applyBorder="1" applyAlignment="1">
      <alignment horizontal="center"/>
    </xf>
    <xf numFmtId="0" fontId="42" fillId="6" borderId="4" xfId="53" applyFont="1" applyFill="1" applyBorder="1" applyAlignment="1">
      <alignment horizontal="center" vertical="center" wrapText="1"/>
    </xf>
    <xf numFmtId="0" fontId="42" fillId="7" borderId="13" xfId="53" applyFont="1" applyFill="1" applyBorder="1" applyAlignment="1">
      <alignment horizontal="center"/>
    </xf>
    <xf numFmtId="0" fontId="42" fillId="7" borderId="14" xfId="53" applyFont="1" applyFill="1" applyBorder="1" applyAlignment="1">
      <alignment horizontal="center"/>
    </xf>
    <xf numFmtId="0" fontId="42" fillId="7" borderId="3" xfId="53" applyFont="1" applyFill="1" applyBorder="1" applyAlignment="1">
      <alignment horizontal="center"/>
    </xf>
    <xf numFmtId="181" fontId="42" fillId="7" borderId="4" xfId="53" applyNumberFormat="1" applyFont="1" applyFill="1" applyBorder="1" applyAlignment="1">
      <alignment horizontal="center" vertical="center" wrapText="1"/>
    </xf>
    <xf numFmtId="183" fontId="42" fillId="7" borderId="4" xfId="53" applyNumberFormat="1" applyFont="1" applyFill="1" applyBorder="1" applyAlignment="1">
      <alignment horizontal="center"/>
    </xf>
    <xf numFmtId="0" fontId="42" fillId="7" borderId="4" xfId="0" applyFont="1" applyFill="1" applyBorder="1" applyAlignment="1">
      <alignment horizontal="center" vertical="center"/>
    </xf>
    <xf numFmtId="0" fontId="42" fillId="7" borderId="4" xfId="53" applyFont="1" applyFill="1" applyBorder="1" applyAlignment="1">
      <alignment horizontal="center" vertical="center" wrapText="1"/>
    </xf>
    <xf numFmtId="0" fontId="44" fillId="2" borderId="13" xfId="53" applyFont="1" applyFill="1" applyBorder="1" applyAlignment="1">
      <alignment horizontal="center" vertical="center"/>
    </xf>
    <xf numFmtId="0" fontId="44" fillId="2" borderId="14" xfId="53" applyFont="1" applyFill="1" applyBorder="1" applyAlignment="1">
      <alignment horizontal="left" vertical="center"/>
    </xf>
    <xf numFmtId="58" fontId="45" fillId="2" borderId="4" xfId="0" applyNumberFormat="1" applyFont="1" applyFill="1" applyBorder="1" applyAlignment="1">
      <alignment horizontal="center" vertical="center" wrapText="1"/>
    </xf>
    <xf numFmtId="181" fontId="45" fillId="2" borderId="8" xfId="53" applyNumberFormat="1" applyFont="1" applyFill="1" applyBorder="1" applyAlignment="1">
      <alignment horizontal="center" vertical="center" wrapText="1"/>
    </xf>
    <xf numFmtId="0" fontId="45" fillId="2" borderId="13" xfId="53" applyFont="1" applyFill="1" applyBorder="1" applyAlignment="1">
      <alignment horizontal="center" vertical="center"/>
    </xf>
    <xf numFmtId="0" fontId="44" fillId="2" borderId="4" xfId="0" applyFont="1" applyFill="1" applyBorder="1" applyAlignment="1">
      <alignment horizontal="center" vertical="center" wrapText="1"/>
    </xf>
    <xf numFmtId="0" fontId="45" fillId="0" borderId="3" xfId="0" applyFont="1" applyBorder="1" applyAlignment="1">
      <alignment horizontal="center" vertical="center"/>
    </xf>
    <xf numFmtId="0" fontId="45" fillId="2" borderId="13" xfId="53" applyFont="1" applyFill="1" applyBorder="1" applyAlignment="1">
      <alignment horizontal="right" vertical="center"/>
    </xf>
    <xf numFmtId="0" fontId="32" fillId="2" borderId="14" xfId="53" applyFont="1" applyFill="1" applyBorder="1" applyAlignment="1">
      <alignment horizontal="center" vertical="center" wrapText="1"/>
    </xf>
    <xf numFmtId="0" fontId="45" fillId="2" borderId="8" xfId="53" applyFont="1" applyFill="1" applyBorder="1" applyAlignment="1">
      <alignment horizontal="center" vertical="center" wrapText="1"/>
    </xf>
    <xf numFmtId="0" fontId="22" fillId="2" borderId="13" xfId="53" applyFont="1" applyFill="1" applyBorder="1" applyAlignment="1">
      <alignment horizontal="center" vertical="center" wrapText="1"/>
    </xf>
    <xf numFmtId="0" fontId="22" fillId="2" borderId="14" xfId="53" applyFont="1" applyFill="1" applyBorder="1" applyAlignment="1">
      <alignment horizontal="center" vertical="center"/>
    </xf>
    <xf numFmtId="0" fontId="22" fillId="2" borderId="13" xfId="53" applyFont="1" applyFill="1" applyBorder="1" applyAlignment="1">
      <alignment horizontal="center" vertical="center"/>
    </xf>
    <xf numFmtId="0" fontId="44" fillId="2" borderId="6" xfId="53" applyFont="1" applyFill="1" applyBorder="1" applyAlignment="1">
      <alignment horizontal="center" vertical="center"/>
    </xf>
    <xf numFmtId="0" fontId="44" fillId="2" borderId="7" xfId="53" applyFont="1" applyFill="1" applyBorder="1" applyAlignment="1">
      <alignment horizontal="left" vertical="center"/>
    </xf>
    <xf numFmtId="0" fontId="45" fillId="2" borderId="4" xfId="0" applyFont="1" applyFill="1" applyBorder="1" applyAlignment="1">
      <alignment horizontal="center" vertical="center" wrapText="1"/>
    </xf>
    <xf numFmtId="181" fontId="45" fillId="2" borderId="11" xfId="53" applyNumberFormat="1" applyFont="1" applyFill="1" applyBorder="1" applyAlignment="1">
      <alignment horizontal="center" vertical="center" wrapText="1"/>
    </xf>
    <xf numFmtId="0" fontId="45" fillId="2" borderId="6" xfId="53" applyFont="1" applyFill="1" applyBorder="1" applyAlignment="1">
      <alignment horizontal="center" vertical="center"/>
    </xf>
    <xf numFmtId="181" fontId="42" fillId="2" borderId="4" xfId="53" applyNumberFormat="1" applyFont="1" applyFill="1" applyBorder="1" applyAlignment="1">
      <alignment horizontal="center"/>
    </xf>
    <xf numFmtId="0" fontId="45" fillId="2" borderId="6" xfId="53" applyFont="1" applyFill="1" applyBorder="1" applyAlignment="1">
      <alignment horizontal="right" vertical="center"/>
    </xf>
    <xf numFmtId="0" fontId="32" fillId="2" borderId="7" xfId="53" applyFont="1" applyFill="1" applyBorder="1" applyAlignment="1">
      <alignment horizontal="center" vertical="center" wrapText="1"/>
    </xf>
    <xf numFmtId="0" fontId="45" fillId="2" borderId="11" xfId="53" applyFont="1" applyFill="1" applyBorder="1" applyAlignment="1">
      <alignment horizontal="center" vertical="center" wrapText="1"/>
    </xf>
    <xf numFmtId="0" fontId="22" fillId="2" borderId="6" xfId="53" applyFont="1" applyFill="1" applyBorder="1" applyAlignment="1">
      <alignment horizontal="center" vertical="center" wrapText="1"/>
    </xf>
    <xf numFmtId="0" fontId="22" fillId="2" borderId="7" xfId="53" applyFont="1" applyFill="1" applyBorder="1" applyAlignment="1">
      <alignment horizontal="center" vertical="center"/>
    </xf>
    <xf numFmtId="0" fontId="22" fillId="2" borderId="6" xfId="53" applyFont="1" applyFill="1" applyBorder="1" applyAlignment="1">
      <alignment horizontal="center" vertical="center"/>
    </xf>
    <xf numFmtId="0" fontId="45" fillId="0" borderId="0" xfId="0" applyFont="1">
      <alignment vertical="center"/>
    </xf>
    <xf numFmtId="0" fontId="42" fillId="6" borderId="14" xfId="0" applyFont="1" applyFill="1" applyBorder="1" applyAlignment="1">
      <alignment horizontal="left" vertical="center"/>
    </xf>
    <xf numFmtId="0" fontId="42" fillId="6" borderId="8" xfId="53" applyFont="1" applyFill="1" applyBorder="1" applyAlignment="1">
      <alignment horizontal="center" vertical="center" wrapText="1"/>
    </xf>
    <xf numFmtId="181" fontId="42" fillId="6" borderId="8" xfId="53" applyNumberFormat="1" applyFont="1" applyFill="1" applyBorder="1" applyAlignment="1">
      <alignment horizontal="center" vertical="center" wrapText="1"/>
    </xf>
    <xf numFmtId="183" fontId="42" fillId="6" borderId="8" xfId="53" applyNumberFormat="1" applyFont="1" applyFill="1" applyBorder="1" applyAlignment="1">
      <alignment horizontal="center" vertical="center" wrapText="1"/>
    </xf>
    <xf numFmtId="181" fontId="42" fillId="2" borderId="4" xfId="53" applyNumberFormat="1" applyFont="1" applyFill="1" applyBorder="1" applyAlignment="1">
      <alignment horizontal="center" vertical="center" wrapText="1"/>
    </xf>
    <xf numFmtId="0" fontId="42" fillId="6" borderId="7" xfId="0" applyFont="1" applyFill="1" applyBorder="1" applyAlignment="1">
      <alignment horizontal="left" vertical="center"/>
    </xf>
    <xf numFmtId="0" fontId="42" fillId="6" borderId="11" xfId="53" applyFont="1" applyFill="1" applyBorder="1" applyAlignment="1">
      <alignment horizontal="center" vertical="center" wrapText="1"/>
    </xf>
    <xf numFmtId="181" fontId="42" fillId="6" borderId="11" xfId="53" applyNumberFormat="1" applyFont="1" applyFill="1" applyBorder="1" applyAlignment="1">
      <alignment horizontal="center" vertical="center" wrapText="1"/>
    </xf>
    <xf numFmtId="183" fontId="42" fillId="6" borderId="11" xfId="53" applyNumberFormat="1" applyFont="1" applyFill="1" applyBorder="1" applyAlignment="1">
      <alignment horizontal="center" vertical="center" wrapText="1"/>
    </xf>
    <xf numFmtId="181" fontId="27" fillId="2" borderId="4" xfId="0" applyNumberFormat="1" applyFont="1" applyFill="1" applyBorder="1" applyAlignment="1">
      <alignment vertical="center" wrapText="1"/>
    </xf>
    <xf numFmtId="184" fontId="21" fillId="6" borderId="4" xfId="0" applyNumberFormat="1" applyFont="1" applyFill="1" applyBorder="1" applyAlignment="1">
      <alignment horizontal="center" vertical="center"/>
    </xf>
    <xf numFmtId="184" fontId="21" fillId="6" borderId="4" xfId="0" applyNumberFormat="1" applyFont="1" applyFill="1" applyBorder="1" applyAlignment="1">
      <alignment vertical="center"/>
    </xf>
    <xf numFmtId="58" fontId="43" fillId="6" borderId="3" xfId="0" applyNumberFormat="1" applyFont="1" applyFill="1" applyBorder="1" applyAlignment="1">
      <alignment horizontal="left" vertical="center"/>
    </xf>
    <xf numFmtId="184" fontId="36" fillId="6" borderId="1" xfId="0" applyNumberFormat="1" applyFont="1" applyFill="1" applyBorder="1" applyAlignment="1">
      <alignment horizontal="center" vertical="center"/>
    </xf>
    <xf numFmtId="184" fontId="36" fillId="6" borderId="3" xfId="0" applyNumberFormat="1" applyFont="1" applyFill="1" applyBorder="1" applyAlignment="1">
      <alignment horizontal="center" vertical="center"/>
    </xf>
    <xf numFmtId="181" fontId="46" fillId="2" borderId="8" xfId="0" applyNumberFormat="1" applyFont="1" applyFill="1" applyBorder="1" applyAlignment="1">
      <alignment horizontal="center" vertical="center" wrapText="1"/>
    </xf>
    <xf numFmtId="58" fontId="35" fillId="6" borderId="3" xfId="0" applyNumberFormat="1" applyFont="1" applyFill="1" applyBorder="1" applyAlignment="1">
      <alignment horizontal="left" vertical="center"/>
    </xf>
    <xf numFmtId="58" fontId="41" fillId="6" borderId="3" xfId="0" applyNumberFormat="1" applyFont="1" applyFill="1" applyBorder="1" applyAlignment="1">
      <alignment horizontal="center" vertical="center"/>
    </xf>
    <xf numFmtId="184" fontId="41" fillId="6" borderId="4" xfId="0" applyNumberFormat="1" applyFont="1" applyFill="1" applyBorder="1" applyAlignment="1">
      <alignment horizontal="center" vertical="center"/>
    </xf>
    <xf numFmtId="0" fontId="41" fillId="6" borderId="4" xfId="0" applyFont="1" applyFill="1" applyBorder="1" applyAlignment="1">
      <alignment horizontal="left" vertical="center"/>
    </xf>
    <xf numFmtId="181" fontId="41" fillId="6" borderId="4" xfId="0" applyNumberFormat="1" applyFont="1" applyFill="1" applyBorder="1" applyAlignment="1">
      <alignment horizontal="center" vertical="center"/>
    </xf>
    <xf numFmtId="181" fontId="46" fillId="2" borderId="11" xfId="0" applyNumberFormat="1" applyFont="1" applyFill="1" applyBorder="1" applyAlignment="1">
      <alignment horizontal="center" vertical="center" wrapText="1"/>
    </xf>
    <xf numFmtId="0" fontId="42" fillId="6" borderId="4" xfId="0" applyFont="1" applyFill="1" applyBorder="1" applyAlignment="1">
      <alignment horizontal="left" vertical="center"/>
    </xf>
    <xf numFmtId="0" fontId="42" fillId="6" borderId="4" xfId="0" applyFont="1" applyFill="1" applyBorder="1" applyAlignment="1">
      <alignment horizontal="center" vertical="center"/>
    </xf>
    <xf numFmtId="181" fontId="42" fillId="6" borderId="4" xfId="0" applyNumberFormat="1" applyFont="1" applyFill="1" applyBorder="1" applyAlignment="1">
      <alignment horizontal="center" vertical="center"/>
    </xf>
    <xf numFmtId="58" fontId="21" fillId="6" borderId="3" xfId="0" applyNumberFormat="1" applyFont="1" applyFill="1" applyBorder="1" applyAlignment="1">
      <alignment horizontal="center" vertical="center"/>
    </xf>
    <xf numFmtId="0" fontId="32" fillId="6" borderId="4" xfId="0" applyFont="1" applyFill="1" applyBorder="1" applyAlignment="1">
      <alignment horizontal="left" vertical="center"/>
    </xf>
    <xf numFmtId="0" fontId="35" fillId="6" borderId="4" xfId="0" applyFont="1" applyFill="1" applyBorder="1" applyAlignment="1">
      <alignment horizontal="center" vertical="center"/>
    </xf>
    <xf numFmtId="181" fontId="35" fillId="2" borderId="4" xfId="0" applyNumberFormat="1" applyFont="1" applyFill="1" applyBorder="1" applyAlignment="1">
      <alignment horizontal="center" vertical="center"/>
    </xf>
    <xf numFmtId="58" fontId="47" fillId="6" borderId="3" xfId="0" applyNumberFormat="1" applyFont="1" applyFill="1" applyBorder="1" applyAlignment="1">
      <alignment horizontal="left" vertical="center"/>
    </xf>
    <xf numFmtId="184" fontId="48" fillId="6" borderId="4" xfId="0" applyNumberFormat="1" applyFont="1" applyFill="1" applyBorder="1" applyAlignment="1">
      <alignment horizontal="center" vertical="center"/>
    </xf>
    <xf numFmtId="0" fontId="49" fillId="6" borderId="4" xfId="0" applyFont="1" applyFill="1" applyBorder="1" applyAlignment="1">
      <alignment horizontal="center" vertical="center"/>
    </xf>
    <xf numFmtId="0" fontId="0" fillId="0" borderId="4" xfId="0" applyBorder="1" applyAlignment="1">
      <alignment vertical="center"/>
    </xf>
    <xf numFmtId="0" fontId="50" fillId="0" borderId="0" xfId="0" applyFont="1">
      <alignment vertical="center"/>
    </xf>
    <xf numFmtId="0" fontId="11" fillId="0" borderId="0" xfId="0" applyFont="1">
      <alignment vertical="center"/>
    </xf>
    <xf numFmtId="0" fontId="21" fillId="6" borderId="4" xfId="0" applyFont="1" applyFill="1" applyBorder="1" applyAlignment="1">
      <alignment horizontal="left" vertical="center"/>
    </xf>
    <xf numFmtId="181" fontId="16" fillId="6" borderId="4" xfId="0" applyNumberFormat="1" applyFont="1" applyFill="1" applyBorder="1" applyAlignment="1">
      <alignment horizontal="center" vertical="center"/>
    </xf>
    <xf numFmtId="0" fontId="3" fillId="0" borderId="0" xfId="0" applyFont="1">
      <alignment vertical="center"/>
    </xf>
    <xf numFmtId="0" fontId="0" fillId="0" borderId="0" xfId="0" applyFont="1" applyBorder="1">
      <alignment vertical="center"/>
    </xf>
    <xf numFmtId="0" fontId="51" fillId="0" borderId="0" xfId="0" applyFont="1">
      <alignment vertical="center"/>
    </xf>
    <xf numFmtId="0" fontId="13" fillId="0" borderId="0" xfId="0" applyFont="1">
      <alignment vertical="center"/>
    </xf>
    <xf numFmtId="0" fontId="3" fillId="0" borderId="0" xfId="0" applyFont="1" applyAlignment="1">
      <alignment horizontal="left" vertical="center"/>
    </xf>
    <xf numFmtId="0" fontId="3" fillId="0" borderId="0" xfId="0" applyFont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180" fontId="3" fillId="0" borderId="0" xfId="0" applyNumberFormat="1" applyFont="1" applyBorder="1" applyAlignment="1">
      <alignment horizontal="center" vertical="center"/>
    </xf>
    <xf numFmtId="180" fontId="3" fillId="0" borderId="0" xfId="0" applyNumberFormat="1" applyFont="1" applyFill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0" xfId="0" applyFont="1" applyBorder="1" applyAlignment="1">
      <alignment horizontal="center" vertical="center"/>
    </xf>
    <xf numFmtId="0" fontId="41" fillId="0" borderId="0" xfId="0" applyFont="1" applyAlignment="1">
      <alignment horizontal="left" vertical="center"/>
    </xf>
    <xf numFmtId="0" fontId="42" fillId="0" borderId="0" xfId="0" applyFont="1" applyAlignment="1">
      <alignment horizontal="left" vertical="center"/>
    </xf>
    <xf numFmtId="58" fontId="3" fillId="0" borderId="0" xfId="0" applyNumberFormat="1" applyFont="1" applyAlignment="1">
      <alignment horizontal="left" vertical="center"/>
    </xf>
    <xf numFmtId="0" fontId="3" fillId="0" borderId="0" xfId="0" applyFont="1" applyBorder="1">
      <alignment vertical="center"/>
    </xf>
    <xf numFmtId="0" fontId="51" fillId="0" borderId="0" xfId="0" applyFont="1" applyAlignment="1">
      <alignment horizontal="center" vertical="center"/>
    </xf>
    <xf numFmtId="0" fontId="51" fillId="0" borderId="0" xfId="0" applyFont="1" applyBorder="1" applyAlignment="1">
      <alignment horizontal="left" vertical="center"/>
    </xf>
    <xf numFmtId="180" fontId="51" fillId="0" borderId="0" xfId="0" applyNumberFormat="1" applyFont="1" applyBorder="1" applyAlignment="1">
      <alignment horizontal="center" vertical="center"/>
    </xf>
    <xf numFmtId="0" fontId="52" fillId="0" borderId="0" xfId="0" applyFont="1">
      <alignment vertical="center"/>
    </xf>
    <xf numFmtId="0" fontId="3" fillId="0" borderId="0" xfId="0" applyFont="1" applyAlignment="1"/>
    <xf numFmtId="0" fontId="3" fillId="0" borderId="0" xfId="0" applyFont="1" applyAlignment="1">
      <alignment horizontal="distributed" vertical="center"/>
    </xf>
    <xf numFmtId="0" fontId="2" fillId="0" borderId="0" xfId="0" applyFont="1">
      <alignment vertical="center"/>
    </xf>
    <xf numFmtId="0" fontId="53" fillId="0" borderId="0" xfId="0" applyFont="1" applyFill="1" applyBorder="1" applyAlignment="1">
      <alignment horizontal="center" vertical="center"/>
    </xf>
    <xf numFmtId="0" fontId="52" fillId="0" borderId="0" xfId="56" applyFont="1">
      <alignment vertical="center"/>
    </xf>
    <xf numFmtId="0" fontId="3" fillId="0" borderId="0" xfId="0" applyFont="1" applyFill="1" applyBorder="1" applyAlignment="1">
      <alignment horizontal="left"/>
    </xf>
    <xf numFmtId="0" fontId="3" fillId="0" borderId="0" xfId="56" applyFont="1" applyAlignment="1"/>
    <xf numFmtId="0" fontId="3" fillId="0" borderId="4" xfId="0" applyFont="1" applyFill="1" applyBorder="1" applyAlignment="1">
      <alignment horizontal="center" vertical="center"/>
    </xf>
    <xf numFmtId="0" fontId="3" fillId="0" borderId="4" xfId="0" applyFont="1" applyFill="1" applyBorder="1" applyAlignment="1">
      <alignment vertical="center"/>
    </xf>
    <xf numFmtId="0" fontId="3" fillId="0" borderId="0" xfId="56" applyFont="1" applyAlignment="1">
      <alignment horizontal="distributed" vertical="center"/>
    </xf>
    <xf numFmtId="0" fontId="54" fillId="0" borderId="4" xfId="0" applyFont="1" applyBorder="1" applyAlignment="1">
      <alignment horizontal="center" vertical="center"/>
    </xf>
    <xf numFmtId="0" fontId="54" fillId="0" borderId="4" xfId="0" applyFont="1" applyBorder="1" applyAlignment="1">
      <alignment horizontal="left" vertical="center"/>
    </xf>
    <xf numFmtId="180" fontId="54" fillId="0" borderId="4" xfId="0" applyNumberFormat="1" applyFont="1" applyBorder="1" applyAlignment="1">
      <alignment horizontal="center" vertical="center"/>
    </xf>
    <xf numFmtId="58" fontId="0" fillId="0" borderId="4" xfId="0" applyNumberFormat="1" applyFont="1" applyBorder="1" applyAlignment="1">
      <alignment horizontal="left" vertical="center"/>
    </xf>
    <xf numFmtId="0" fontId="3" fillId="0" borderId="0" xfId="56" applyFont="1" applyAlignment="1">
      <alignment vertical="center"/>
    </xf>
    <xf numFmtId="58" fontId="2" fillId="0" borderId="4" xfId="0" applyNumberFormat="1" applyFont="1" applyFill="1" applyBorder="1" applyAlignment="1">
      <alignment horizontal="left" vertical="center"/>
    </xf>
    <xf numFmtId="0" fontId="51" fillId="0" borderId="4" xfId="0" applyFont="1" applyBorder="1" applyAlignment="1">
      <alignment horizontal="center" vertical="center"/>
    </xf>
    <xf numFmtId="0" fontId="51" fillId="0" borderId="4" xfId="0" applyFont="1" applyBorder="1" applyAlignment="1">
      <alignment horizontal="left" vertical="center"/>
    </xf>
    <xf numFmtId="180" fontId="51" fillId="0" borderId="4" xfId="0" applyNumberFormat="1" applyFont="1" applyBorder="1" applyAlignment="1">
      <alignment horizontal="center" vertical="center"/>
    </xf>
    <xf numFmtId="58" fontId="2" fillId="0" borderId="4" xfId="0" applyNumberFormat="1" applyFont="1" applyFill="1" applyBorder="1" applyAlignment="1">
      <alignment horizontal="center" vertical="center"/>
    </xf>
    <xf numFmtId="17" fontId="51" fillId="0" borderId="4" xfId="0" applyNumberFormat="1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186" fontId="3" fillId="0" borderId="4" xfId="0" applyNumberFormat="1" applyFont="1" applyFill="1" applyBorder="1" applyAlignment="1">
      <alignment horizontal="left" vertical="center"/>
    </xf>
    <xf numFmtId="187" fontId="3" fillId="0" borderId="4" xfId="0" applyNumberFormat="1" applyFont="1" applyFill="1" applyBorder="1" applyAlignment="1">
      <alignment horizontal="left" vertical="center"/>
    </xf>
    <xf numFmtId="7" fontId="3" fillId="0" borderId="4" xfId="0" applyNumberFormat="1" applyFont="1" applyBorder="1" applyAlignment="1">
      <alignment horizontal="center" vertical="center"/>
    </xf>
    <xf numFmtId="0" fontId="2" fillId="0" borderId="0" xfId="56" applyFont="1" applyBorder="1" applyAlignment="1">
      <alignment horizontal="left" vertical="center"/>
    </xf>
    <xf numFmtId="0" fontId="2" fillId="0" borderId="0" xfId="56" applyFont="1" applyBorder="1" applyAlignment="1">
      <alignment horizontal="center" vertical="center"/>
    </xf>
    <xf numFmtId="0" fontId="2" fillId="0" borderId="15" xfId="0" applyFont="1" applyFill="1" applyBorder="1" applyAlignment="1">
      <alignment horizontal="left" vertical="center" textRotation="255"/>
    </xf>
    <xf numFmtId="0" fontId="2" fillId="0" borderId="13" xfId="0" applyFont="1" applyFill="1" applyBorder="1" applyAlignment="1">
      <alignment horizontal="left" vertical="center" wrapText="1" readingOrder="1"/>
    </xf>
    <xf numFmtId="0" fontId="2" fillId="0" borderId="10" xfId="0" applyFont="1" applyFill="1" applyBorder="1" applyAlignment="1">
      <alignment horizontal="left" vertical="center" wrapText="1" readingOrder="1"/>
    </xf>
    <xf numFmtId="0" fontId="2" fillId="0" borderId="9" xfId="0" applyFont="1" applyFill="1" applyBorder="1" applyAlignment="1">
      <alignment horizontal="left" vertical="center" textRotation="255"/>
    </xf>
    <xf numFmtId="0" fontId="2" fillId="0" borderId="0" xfId="0" applyFont="1" applyFill="1" applyBorder="1" applyAlignment="1">
      <alignment horizontal="left" vertical="center" wrapText="1" readingOrder="1"/>
    </xf>
    <xf numFmtId="0" fontId="2" fillId="0" borderId="5" xfId="0" applyFont="1" applyFill="1" applyBorder="1" applyAlignment="1">
      <alignment horizontal="left" vertical="center" textRotation="255"/>
    </xf>
    <xf numFmtId="0" fontId="2" fillId="0" borderId="6" xfId="0" applyFont="1" applyFill="1" applyBorder="1" applyAlignment="1">
      <alignment horizontal="left" vertical="center" wrapText="1" readingOrder="1"/>
    </xf>
    <xf numFmtId="0" fontId="2" fillId="0" borderId="7" xfId="0" applyFont="1" applyFill="1" applyBorder="1" applyAlignment="1">
      <alignment horizontal="left" vertical="center" wrapText="1" readingOrder="1"/>
    </xf>
    <xf numFmtId="0" fontId="2" fillId="0" borderId="0" xfId="0" applyFont="1" applyFill="1" applyBorder="1" applyAlignment="1">
      <alignment horizontal="left" vertical="center"/>
    </xf>
    <xf numFmtId="0" fontId="2" fillId="0" borderId="0" xfId="56" applyFont="1">
      <alignment vertical="center"/>
    </xf>
    <xf numFmtId="0" fontId="55" fillId="0" borderId="0" xfId="0" applyFont="1">
      <alignment vertical="center"/>
    </xf>
    <xf numFmtId="0" fontId="56" fillId="0" borderId="0" xfId="0" applyFont="1">
      <alignment vertical="center"/>
    </xf>
    <xf numFmtId="0" fontId="57" fillId="0" borderId="0" xfId="0" applyFont="1">
      <alignment vertical="center"/>
    </xf>
    <xf numFmtId="0" fontId="54" fillId="0" borderId="0" xfId="0" applyFont="1">
      <alignment vertical="center"/>
    </xf>
    <xf numFmtId="0" fontId="58" fillId="0" borderId="0" xfId="0" applyFont="1">
      <alignment vertical="center"/>
    </xf>
    <xf numFmtId="0" fontId="59" fillId="0" borderId="0" xfId="0" applyFont="1">
      <alignment vertical="center"/>
    </xf>
    <xf numFmtId="0" fontId="3" fillId="8" borderId="0" xfId="0" applyFont="1" applyFill="1" applyAlignment="1">
      <alignment horizontal="center" vertical="center"/>
    </xf>
    <xf numFmtId="180" fontId="3" fillId="0" borderId="0" xfId="0" applyNumberFormat="1" applyFont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0" borderId="4" xfId="0" applyFont="1" applyFill="1" applyBorder="1" applyAlignment="1">
      <alignment horizontal="left" vertical="center"/>
    </xf>
    <xf numFmtId="0" fontId="3" fillId="8" borderId="4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58" fontId="51" fillId="0" borderId="0" xfId="0" applyNumberFormat="1" applyFont="1">
      <alignment vertical="center"/>
    </xf>
    <xf numFmtId="184" fontId="51" fillId="0" borderId="0" xfId="0" applyNumberFormat="1" applyFont="1" applyBorder="1" applyAlignment="1">
      <alignment horizontal="center" vertical="center"/>
    </xf>
    <xf numFmtId="0" fontId="51" fillId="0" borderId="0" xfId="0" applyFont="1" applyBorder="1" applyAlignment="1">
      <alignment horizontal="center" vertical="center"/>
    </xf>
    <xf numFmtId="180" fontId="51" fillId="0" borderId="0" xfId="0" applyNumberFormat="1" applyFont="1" applyAlignment="1">
      <alignment horizontal="center" vertical="center"/>
    </xf>
    <xf numFmtId="0" fontId="51" fillId="8" borderId="0" xfId="0" applyFont="1" applyFill="1" applyAlignment="1">
      <alignment horizontal="center" vertical="center"/>
    </xf>
    <xf numFmtId="0" fontId="51" fillId="3" borderId="0" xfId="0" applyFont="1" applyFill="1" applyAlignment="1">
      <alignment horizontal="center" vertical="center"/>
    </xf>
    <xf numFmtId="0" fontId="34" fillId="0" borderId="0" xfId="0" applyFont="1" applyAlignment="1">
      <alignment horizontal="left" vertical="center"/>
    </xf>
    <xf numFmtId="0" fontId="60" fillId="8" borderId="0" xfId="0" applyFont="1" applyFill="1" applyAlignment="1">
      <alignment horizontal="center" vertical="center"/>
    </xf>
    <xf numFmtId="0" fontId="54" fillId="0" borderId="0" xfId="0" applyFont="1" applyBorder="1" applyAlignment="1">
      <alignment horizontal="left" vertical="center"/>
    </xf>
    <xf numFmtId="58" fontId="3" fillId="0" borderId="0" xfId="0" applyNumberFormat="1" applyFont="1">
      <alignment vertical="center"/>
    </xf>
    <xf numFmtId="184" fontId="3" fillId="0" borderId="0" xfId="0" applyNumberFormat="1" applyFont="1" applyBorder="1" applyAlignment="1">
      <alignment horizontal="center" vertical="center"/>
    </xf>
    <xf numFmtId="0" fontId="54" fillId="0" borderId="0" xfId="0" applyFont="1" applyAlignment="1">
      <alignment horizontal="left" vertical="center"/>
    </xf>
    <xf numFmtId="180" fontId="51" fillId="0" borderId="0" xfId="0" applyNumberFormat="1" applyFont="1" applyFill="1" applyBorder="1" applyAlignment="1">
      <alignment horizontal="center" vertical="center"/>
    </xf>
    <xf numFmtId="58" fontId="54" fillId="0" borderId="0" xfId="0" applyNumberFormat="1" applyFont="1">
      <alignment vertical="center"/>
    </xf>
    <xf numFmtId="184" fontId="54" fillId="0" borderId="0" xfId="0" applyNumberFormat="1" applyFont="1" applyBorder="1" applyAlignment="1">
      <alignment horizontal="center" vertical="center"/>
    </xf>
    <xf numFmtId="0" fontId="54" fillId="0" borderId="0" xfId="0" applyFont="1" applyAlignment="1">
      <alignment horizontal="center" vertical="center"/>
    </xf>
    <xf numFmtId="0" fontId="54" fillId="0" borderId="0" xfId="0" applyFont="1" applyBorder="1" applyAlignment="1">
      <alignment horizontal="center" vertical="center"/>
    </xf>
    <xf numFmtId="180" fontId="54" fillId="0" borderId="0" xfId="0" applyNumberFormat="1" applyFont="1" applyBorder="1" applyAlignment="1">
      <alignment horizontal="center" vertical="center"/>
    </xf>
    <xf numFmtId="180" fontId="54" fillId="0" borderId="0" xfId="0" applyNumberFormat="1" applyFont="1" applyAlignment="1">
      <alignment horizontal="center" vertical="center"/>
    </xf>
    <xf numFmtId="0" fontId="54" fillId="8" borderId="0" xfId="0" applyFont="1" applyFill="1" applyAlignment="1">
      <alignment horizontal="center" vertical="center"/>
    </xf>
    <xf numFmtId="0" fontId="54" fillId="3" borderId="0" xfId="0" applyFont="1" applyFill="1" applyAlignment="1">
      <alignment horizontal="center" vertical="center"/>
    </xf>
    <xf numFmtId="0" fontId="45" fillId="0" borderId="0" xfId="0" applyFont="1" applyAlignment="1">
      <alignment horizontal="left" vertical="center"/>
    </xf>
    <xf numFmtId="0" fontId="44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26" fillId="0" borderId="0" xfId="0" applyFont="1" applyAlignment="1">
      <alignment horizontal="left" vertical="center"/>
    </xf>
    <xf numFmtId="0" fontId="51" fillId="0" borderId="0" xfId="0" applyFont="1" applyAlignment="1">
      <alignment horizontal="left" vertical="center"/>
    </xf>
    <xf numFmtId="188" fontId="51" fillId="0" borderId="0" xfId="0" applyNumberFormat="1" applyFont="1" applyBorder="1" applyAlignment="1">
      <alignment horizontal="center" vertical="center"/>
    </xf>
    <xf numFmtId="58" fontId="57" fillId="0" borderId="0" xfId="0" applyNumberFormat="1" applyFont="1">
      <alignment vertical="center"/>
    </xf>
    <xf numFmtId="184" fontId="57" fillId="0" borderId="0" xfId="0" applyNumberFormat="1" applyFont="1" applyBorder="1" applyAlignment="1">
      <alignment horizontal="center" vertical="center"/>
    </xf>
    <xf numFmtId="0" fontId="57" fillId="0" borderId="0" xfId="0" applyFont="1" applyAlignment="1">
      <alignment horizontal="center" vertical="center"/>
    </xf>
    <xf numFmtId="0" fontId="57" fillId="0" borderId="0" xfId="0" applyFont="1" applyBorder="1" applyAlignment="1">
      <alignment horizontal="left" vertical="center"/>
    </xf>
    <xf numFmtId="0" fontId="57" fillId="0" borderId="0" xfId="0" applyFont="1" applyBorder="1" applyAlignment="1">
      <alignment horizontal="center" vertical="center"/>
    </xf>
    <xf numFmtId="180" fontId="57" fillId="0" borderId="0" xfId="0" applyNumberFormat="1" applyFont="1" applyBorder="1" applyAlignment="1">
      <alignment horizontal="center" vertical="center"/>
    </xf>
    <xf numFmtId="180" fontId="57" fillId="0" borderId="0" xfId="0" applyNumberFormat="1" applyFont="1" applyAlignment="1">
      <alignment horizontal="center" vertical="center"/>
    </xf>
    <xf numFmtId="0" fontId="58" fillId="0" borderId="0" xfId="0" applyFont="1" applyAlignment="1">
      <alignment horizontal="left" vertical="center"/>
    </xf>
    <xf numFmtId="0" fontId="57" fillId="8" borderId="0" xfId="0" applyFont="1" applyFill="1" applyAlignment="1">
      <alignment horizontal="center" vertical="center"/>
    </xf>
    <xf numFmtId="180" fontId="57" fillId="0" borderId="0" xfId="0" applyNumberFormat="1" applyFont="1" applyFill="1" applyBorder="1" applyAlignment="1">
      <alignment horizontal="center" vertical="center"/>
    </xf>
    <xf numFmtId="0" fontId="57" fillId="3" borderId="0" xfId="0" applyFont="1" applyFill="1" applyAlignment="1">
      <alignment horizontal="center" vertical="center"/>
    </xf>
    <xf numFmtId="0" fontId="61" fillId="0" borderId="0" xfId="0" applyFont="1" applyAlignment="1">
      <alignment horizontal="left" vertical="center"/>
    </xf>
    <xf numFmtId="0" fontId="56" fillId="0" borderId="0" xfId="0" applyFont="1" applyAlignment="1">
      <alignment horizontal="left" vertical="center"/>
    </xf>
    <xf numFmtId="189" fontId="4" fillId="0" borderId="0" xfId="0" applyNumberFormat="1" applyFont="1" applyAlignment="1">
      <alignment horizontal="center" vertical="center"/>
    </xf>
    <xf numFmtId="0" fontId="3" fillId="0" borderId="0" xfId="0" applyNumberFormat="1" applyFont="1" applyBorder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190" fontId="54" fillId="0" borderId="0" xfId="0" applyNumberFormat="1" applyFont="1" applyBorder="1" applyAlignment="1">
      <alignment horizontal="center" vertical="center"/>
    </xf>
    <xf numFmtId="189" fontId="4" fillId="0" borderId="0" xfId="0" applyNumberFormat="1" applyFont="1" applyAlignment="1">
      <alignment horizontal="left" vertical="center"/>
    </xf>
    <xf numFmtId="190" fontId="3" fillId="0" borderId="0" xfId="0" applyNumberFormat="1" applyFont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190" fontId="51" fillId="0" borderId="0" xfId="0" applyNumberFormat="1" applyFont="1" applyBorder="1" applyAlignment="1">
      <alignment horizontal="center" vertical="center"/>
    </xf>
    <xf numFmtId="0" fontId="51" fillId="0" borderId="0" xfId="0" applyFont="1" applyFill="1" applyBorder="1" applyAlignment="1">
      <alignment horizontal="center" vertical="center"/>
    </xf>
    <xf numFmtId="58" fontId="21" fillId="0" borderId="0" xfId="0" applyNumberFormat="1" applyFont="1" applyAlignment="1">
      <alignment horizontal="left" vertical="center"/>
    </xf>
    <xf numFmtId="0" fontId="54" fillId="0" borderId="0" xfId="0" applyFont="1" applyFill="1" applyBorder="1" applyAlignment="1">
      <alignment horizontal="center" vertical="center"/>
    </xf>
    <xf numFmtId="58" fontId="59" fillId="0" borderId="0" xfId="0" applyNumberFormat="1" applyFont="1">
      <alignment vertical="center"/>
    </xf>
    <xf numFmtId="184" fontId="59" fillId="0" borderId="0" xfId="0" applyNumberFormat="1" applyFont="1" applyBorder="1" applyAlignment="1">
      <alignment horizontal="center" vertical="center"/>
    </xf>
    <xf numFmtId="0" fontId="59" fillId="0" borderId="0" xfId="0" applyFont="1" applyAlignment="1">
      <alignment horizontal="center" vertical="center"/>
    </xf>
    <xf numFmtId="0" fontId="59" fillId="0" borderId="0" xfId="0" applyFont="1" applyBorder="1" applyAlignment="1">
      <alignment horizontal="left" vertical="center"/>
    </xf>
    <xf numFmtId="0" fontId="59" fillId="0" borderId="0" xfId="0" applyFont="1" applyBorder="1" applyAlignment="1">
      <alignment horizontal="center" vertical="center"/>
    </xf>
    <xf numFmtId="180" fontId="59" fillId="0" borderId="0" xfId="0" applyNumberFormat="1" applyFont="1" applyBorder="1" applyAlignment="1">
      <alignment horizontal="center" vertical="center"/>
    </xf>
    <xf numFmtId="180" fontId="59" fillId="0" borderId="0" xfId="0" applyNumberFormat="1" applyFont="1" applyAlignment="1">
      <alignment horizontal="center" vertical="center"/>
    </xf>
    <xf numFmtId="0" fontId="50" fillId="0" borderId="0" xfId="0" applyFont="1" applyAlignment="1">
      <alignment horizontal="left" vertical="center"/>
    </xf>
    <xf numFmtId="0" fontId="59" fillId="8" borderId="0" xfId="0" applyFont="1" applyFill="1" applyAlignment="1">
      <alignment horizontal="center" vertical="center"/>
    </xf>
    <xf numFmtId="180" fontId="59" fillId="0" borderId="0" xfId="0" applyNumberFormat="1" applyFont="1" applyFill="1" applyBorder="1" applyAlignment="1">
      <alignment horizontal="center" vertical="center"/>
    </xf>
    <xf numFmtId="0" fontId="59" fillId="3" borderId="0" xfId="0" applyFont="1" applyFill="1" applyAlignment="1">
      <alignment horizontal="center" vertical="center"/>
    </xf>
    <xf numFmtId="0" fontId="51" fillId="0" borderId="0" xfId="0" applyNumberFormat="1" applyFont="1" applyBorder="1" applyAlignment="1">
      <alignment horizontal="center" vertical="center"/>
    </xf>
    <xf numFmtId="0" fontId="51" fillId="0" borderId="0" xfId="0" applyFont="1" applyAlignment="1">
      <alignment vertical="center"/>
    </xf>
    <xf numFmtId="0" fontId="33" fillId="0" borderId="0" xfId="0" applyFont="1" applyBorder="1" applyAlignment="1">
      <alignment horizontal="left" vertical="center"/>
    </xf>
    <xf numFmtId="58" fontId="51" fillId="0" borderId="0" xfId="0" applyNumberFormat="1" applyFont="1" applyAlignment="1">
      <alignment horizontal="center" vertical="center"/>
    </xf>
    <xf numFmtId="0" fontId="46" fillId="0" borderId="0" xfId="0" applyFont="1" applyAlignment="1">
      <alignment horizontal="left" vertical="center"/>
    </xf>
    <xf numFmtId="0" fontId="27" fillId="0" borderId="0" xfId="0" applyFont="1" applyBorder="1" applyAlignment="1">
      <alignment horizontal="left" vertical="center"/>
    </xf>
    <xf numFmtId="0" fontId="51" fillId="0" borderId="0" xfId="0" applyFont="1" applyFill="1" applyAlignment="1">
      <alignment horizontal="center" vertical="center"/>
    </xf>
    <xf numFmtId="180" fontId="54" fillId="0" borderId="0" xfId="0" applyNumberFormat="1" applyFont="1" applyFill="1" applyBorder="1" applyAlignment="1">
      <alignment horizontal="center" vertical="center"/>
    </xf>
    <xf numFmtId="0" fontId="42" fillId="0" borderId="0" xfId="0" applyFont="1" applyAlignment="1">
      <alignment horizontal="center" vertical="center"/>
    </xf>
    <xf numFmtId="184" fontId="55" fillId="0" borderId="0" xfId="0" applyNumberFormat="1" applyFont="1" applyBorder="1" applyAlignment="1">
      <alignment horizontal="center" vertical="center"/>
    </xf>
    <xf numFmtId="20" fontId="45" fillId="0" borderId="0" xfId="0" applyNumberFormat="1" applyFont="1" applyAlignment="1">
      <alignment horizontal="left" vertical="center"/>
    </xf>
    <xf numFmtId="20" fontId="46" fillId="0" borderId="0" xfId="0" applyNumberFormat="1" applyFont="1" applyAlignment="1">
      <alignment horizontal="left" vertical="center"/>
    </xf>
    <xf numFmtId="0" fontId="26" fillId="0" borderId="0" xfId="0" applyFont="1" applyAlignment="1">
      <alignment horizontal="center" vertical="center"/>
    </xf>
    <xf numFmtId="0" fontId="59" fillId="0" borderId="0" xfId="0" applyFont="1" applyAlignment="1">
      <alignment horizontal="left" vertical="center"/>
    </xf>
    <xf numFmtId="20" fontId="62" fillId="0" borderId="0" xfId="0" applyNumberFormat="1" applyFont="1" applyAlignment="1">
      <alignment horizontal="left" vertical="center"/>
    </xf>
    <xf numFmtId="20" fontId="21" fillId="0" borderId="0" xfId="0" applyNumberFormat="1" applyFont="1" applyAlignment="1">
      <alignment horizontal="left" vertical="center"/>
    </xf>
    <xf numFmtId="58" fontId="3" fillId="0" borderId="0" xfId="0" applyNumberFormat="1" applyFont="1" applyAlignment="1">
      <alignment horizontal="center" vertical="center"/>
    </xf>
    <xf numFmtId="0" fontId="45" fillId="0" borderId="0" xfId="0" applyFont="1" applyAlignment="1">
      <alignment horizontal="center" vertical="center" wrapText="1"/>
    </xf>
    <xf numFmtId="0" fontId="45" fillId="0" borderId="0" xfId="0" applyFont="1" applyAlignment="1">
      <alignment horizontal="left" vertical="center" wrapText="1"/>
    </xf>
    <xf numFmtId="20" fontId="32" fillId="0" borderId="0" xfId="0" applyNumberFormat="1" applyFont="1" applyAlignment="1">
      <alignment horizontal="left" vertical="center"/>
    </xf>
    <xf numFmtId="0" fontId="54" fillId="0" borderId="0" xfId="0" applyNumberFormat="1" applyFont="1" applyBorder="1" applyAlignment="1">
      <alignment horizontal="center" vertical="center"/>
    </xf>
    <xf numFmtId="0" fontId="2" fillId="0" borderId="0" xfId="0" applyFont="1" applyBorder="1" applyAlignment="1">
      <alignment horizontal="left" vertical="center"/>
    </xf>
    <xf numFmtId="0" fontId="42" fillId="0" borderId="0" xfId="0" applyFont="1" applyAlignment="1">
      <alignment horizontal="center" vertical="center" wrapText="1"/>
    </xf>
    <xf numFmtId="20" fontId="42" fillId="0" borderId="0" xfId="0" applyNumberFormat="1" applyFont="1" applyAlignment="1">
      <alignment horizontal="left" vertical="center"/>
    </xf>
    <xf numFmtId="0" fontId="62" fillId="0" borderId="0" xfId="0" applyFont="1" applyAlignment="1">
      <alignment horizontal="left" vertical="center"/>
    </xf>
    <xf numFmtId="0" fontId="54" fillId="0" borderId="0" xfId="0" applyFont="1" applyAlignment="1">
      <alignment horizontal="right" vertical="center"/>
    </xf>
    <xf numFmtId="0" fontId="41" fillId="0" borderId="0" xfId="0" applyFont="1">
      <alignment vertical="center"/>
    </xf>
    <xf numFmtId="20" fontId="41" fillId="0" borderId="0" xfId="0" applyNumberFormat="1" applyFont="1" applyAlignment="1">
      <alignment horizontal="left" vertical="center"/>
    </xf>
    <xf numFmtId="190" fontId="54" fillId="0" borderId="0" xfId="0" applyNumberFormat="1" applyFont="1" applyBorder="1" applyAlignment="1">
      <alignment horizontal="left" vertical="center"/>
    </xf>
    <xf numFmtId="20" fontId="44" fillId="0" borderId="0" xfId="0" applyNumberFormat="1" applyFont="1" applyAlignment="1">
      <alignment horizontal="left" vertical="center"/>
    </xf>
    <xf numFmtId="0" fontId="62" fillId="0" borderId="0" xfId="0" applyFont="1">
      <alignment vertical="center"/>
    </xf>
    <xf numFmtId="184" fontId="45" fillId="0" borderId="0" xfId="0" applyNumberFormat="1" applyFont="1" applyBorder="1" applyAlignment="1">
      <alignment horizontal="center" vertical="center"/>
    </xf>
    <xf numFmtId="0" fontId="17" fillId="0" borderId="0" xfId="0" applyFont="1" applyAlignment="1">
      <alignment horizontal="left" vertical="center"/>
    </xf>
    <xf numFmtId="190" fontId="51" fillId="0" borderId="0" xfId="0" applyNumberFormat="1" applyFont="1" applyBorder="1" applyAlignment="1">
      <alignment horizontal="left" vertical="center"/>
    </xf>
    <xf numFmtId="189" fontId="63" fillId="0" borderId="0" xfId="0" applyNumberFormat="1" applyFont="1" applyAlignment="1">
      <alignment horizontal="left" vertical="center"/>
    </xf>
    <xf numFmtId="0" fontId="64" fillId="0" borderId="0" xfId="0" applyFont="1" applyAlignment="1">
      <alignment horizontal="center" vertical="center"/>
    </xf>
    <xf numFmtId="0" fontId="64" fillId="0" borderId="0" xfId="0" applyFont="1" applyBorder="1" applyAlignment="1">
      <alignment horizontal="left" vertical="center"/>
    </xf>
    <xf numFmtId="0" fontId="64" fillId="0" borderId="0" xfId="0" applyFont="1" applyAlignment="1">
      <alignment horizontal="left" vertical="center"/>
    </xf>
  </cellXfs>
  <cellStyles count="6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货币 3 2 7 3 2 4 3" xfId="49"/>
    <cellStyle name="适中 2 7 4 3" xfId="50"/>
    <cellStyle name="差_Sheet1" xfId="51"/>
    <cellStyle name="适中 2 13 4" xfId="52"/>
    <cellStyle name="常规 10 10 4" xfId="53"/>
    <cellStyle name="常规 33 2 2 2" xfId="54"/>
    <cellStyle name="好_Sheet1 2" xfId="55"/>
    <cellStyle name="常规 2" xfId="56"/>
    <cellStyle name="货币 11" xfId="57"/>
    <cellStyle name="常规 34_Sheet1" xfId="58"/>
    <cellStyle name="常规 44_Sheet1" xfId="59"/>
    <cellStyle name="常规 66" xfId="60"/>
  </cellStyles>
  <tableStyles count="1" defaultTableStyle="TableStyleMedium9" defaultPivotStyle="PivotStyleLight16">
    <tableStyle name="表样式 1" pivot="0" count="0" xr9:uid="{6F83B9A0-115E-47C7-BE44-5A5AE4F62804}"/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T537"/>
  <sheetViews>
    <sheetView topLeftCell="A45" workbookViewId="0">
      <selection activeCell="I532" sqref="I532"/>
    </sheetView>
  </sheetViews>
  <sheetFormatPr defaultColWidth="9" defaultRowHeight="20.4"/>
  <cols>
    <col min="1" max="1" width="15" customWidth="1"/>
    <col min="2" max="2" width="14" style="332"/>
    <col min="3" max="4" width="9" style="332"/>
    <col min="5" max="5" width="4" style="332" customWidth="1"/>
    <col min="6" max="6" width="5" style="332" customWidth="1"/>
    <col min="7" max="7" width="29.625" style="332" customWidth="1"/>
    <col min="8" max="8" width="9" style="338"/>
    <col min="9" max="9" width="9.875" style="338"/>
    <col min="10" max="10" width="11.125" style="338" customWidth="1"/>
    <col min="11" max="11" width="12.75" style="338"/>
    <col min="12" max="12" width="13.875" style="338" customWidth="1"/>
    <col min="13" max="13" width="32.625" style="338" customWidth="1"/>
    <col min="14" max="14" width="19.75" style="394" customWidth="1"/>
    <col min="15" max="15" width="11.625" style="395" customWidth="1"/>
    <col min="16" max="16" width="13" style="338" customWidth="1"/>
    <col min="17" max="17" width="11.375" style="396"/>
    <col min="19" max="20" width="9.875"/>
  </cols>
  <sheetData>
    <row r="1" ht="26" customHeight="1" spans="1:17">
      <c r="B1" s="338" t="s">
        <v>0</v>
      </c>
      <c r="C1" s="338"/>
      <c r="D1" s="338"/>
      <c r="E1" s="338"/>
      <c r="F1" s="338"/>
      <c r="G1" s="338"/>
      <c r="H1" s="338" t="s">
        <v>1</v>
      </c>
      <c r="J1" s="338">
        <f>SUM(J3:J90)/1000</f>
        <v>7.8895</v>
      </c>
      <c r="K1" s="338" t="s">
        <v>2</v>
      </c>
      <c r="L1" s="338">
        <f>SUM(L3:L136)</f>
        <v>130583.4</v>
      </c>
      <c r="O1" s="395" t="s">
        <v>3</v>
      </c>
      <c r="P1" s="338">
        <f>SUM(P3:P90)</f>
        <v>100212</v>
      </c>
    </row>
    <row r="2" s="28" customFormat="1" spans="1:17">
      <c r="B2" s="372" t="s">
        <v>4</v>
      </c>
      <c r="C2" s="372" t="s">
        <v>5</v>
      </c>
      <c r="D2" s="358" t="s">
        <v>6</v>
      </c>
      <c r="E2" s="358"/>
      <c r="F2" s="358"/>
      <c r="G2" s="397" t="s">
        <v>7</v>
      </c>
      <c r="H2" s="358" t="s">
        <v>8</v>
      </c>
      <c r="I2" s="358" t="s">
        <v>9</v>
      </c>
      <c r="J2" s="358" t="s">
        <v>10</v>
      </c>
      <c r="K2" s="358" t="s">
        <v>11</v>
      </c>
      <c r="L2" s="358" t="s">
        <v>12</v>
      </c>
      <c r="M2" s="358" t="s">
        <v>13</v>
      </c>
      <c r="N2" s="398" t="s">
        <v>14</v>
      </c>
      <c r="O2" s="20" t="s">
        <v>15</v>
      </c>
      <c r="P2" s="372" t="s">
        <v>16</v>
      </c>
      <c r="Q2" s="399" t="s">
        <v>17</v>
      </c>
    </row>
    <row r="3" s="334" customFormat="1" hidden="1" spans="1:17">
      <c r="A3" s="334" t="s">
        <v>18</v>
      </c>
      <c r="B3" s="400">
        <v>45154</v>
      </c>
      <c r="C3" s="401" t="s">
        <v>19</v>
      </c>
      <c r="D3" s="347" t="s">
        <v>20</v>
      </c>
      <c r="E3" s="347"/>
      <c r="F3" s="347"/>
      <c r="G3" s="348" t="s">
        <v>21</v>
      </c>
      <c r="H3" s="347">
        <v>1</v>
      </c>
      <c r="I3" s="347">
        <v>22</v>
      </c>
      <c r="J3" s="402">
        <f t="shared" ref="J3:J60" si="0">H3*I3</f>
        <v>22</v>
      </c>
      <c r="K3" s="349">
        <v>26</v>
      </c>
      <c r="L3" s="403">
        <f t="shared" ref="L3:L48" si="1">J3*K3</f>
        <v>572</v>
      </c>
      <c r="M3" s="347"/>
      <c r="N3" s="404"/>
      <c r="O3" s="349">
        <v>28</v>
      </c>
      <c r="P3" s="347">
        <f t="shared" ref="P3:P48" si="2">J3*O3</f>
        <v>616</v>
      </c>
      <c r="Q3" s="405"/>
    </row>
    <row r="4" s="334" customFormat="1" hidden="1" spans="1:17">
      <c r="A4" s="334" t="s">
        <v>18</v>
      </c>
      <c r="B4" s="400">
        <v>45154</v>
      </c>
      <c r="C4" s="401" t="s">
        <v>19</v>
      </c>
      <c r="D4" s="347" t="s">
        <v>20</v>
      </c>
      <c r="E4" s="347"/>
      <c r="F4" s="347"/>
      <c r="G4" s="348" t="s">
        <v>21</v>
      </c>
      <c r="H4" s="347">
        <v>1</v>
      </c>
      <c r="I4" s="347">
        <v>23</v>
      </c>
      <c r="J4" s="402">
        <f t="shared" si="0"/>
        <v>23</v>
      </c>
      <c r="K4" s="349">
        <v>26</v>
      </c>
      <c r="L4" s="403">
        <f t="shared" si="1"/>
        <v>598</v>
      </c>
      <c r="M4" s="347"/>
      <c r="N4" s="404"/>
      <c r="O4" s="349">
        <v>28</v>
      </c>
      <c r="P4" s="347">
        <f t="shared" si="2"/>
        <v>644</v>
      </c>
      <c r="Q4" s="405"/>
    </row>
    <row r="5" s="334" customFormat="1" hidden="1" spans="1:17">
      <c r="A5" s="334" t="s">
        <v>18</v>
      </c>
      <c r="B5" s="400">
        <v>45154</v>
      </c>
      <c r="C5" s="401" t="s">
        <v>19</v>
      </c>
      <c r="D5" s="347"/>
      <c r="E5" s="347"/>
      <c r="F5" s="347"/>
      <c r="G5" s="348" t="s">
        <v>22</v>
      </c>
      <c r="H5" s="347">
        <v>10</v>
      </c>
      <c r="I5" s="347">
        <v>10</v>
      </c>
      <c r="J5" s="402">
        <f t="shared" si="0"/>
        <v>100</v>
      </c>
      <c r="K5" s="349">
        <v>19</v>
      </c>
      <c r="L5" s="403">
        <f t="shared" si="1"/>
        <v>1900</v>
      </c>
      <c r="M5" s="347" t="s">
        <v>23</v>
      </c>
      <c r="N5" s="404"/>
      <c r="O5" s="349">
        <v>22.5</v>
      </c>
      <c r="P5" s="347">
        <f t="shared" si="2"/>
        <v>2250</v>
      </c>
      <c r="Q5" s="405"/>
    </row>
    <row r="6" s="334" customFormat="1" hidden="1" spans="1:17">
      <c r="A6" s="334" t="s">
        <v>18</v>
      </c>
      <c r="B6" s="400">
        <v>45154</v>
      </c>
      <c r="C6" s="401" t="s">
        <v>19</v>
      </c>
      <c r="D6" s="347"/>
      <c r="E6" s="347"/>
      <c r="F6" s="347"/>
      <c r="G6" s="348" t="s">
        <v>24</v>
      </c>
      <c r="H6" s="347">
        <v>5</v>
      </c>
      <c r="I6" s="347">
        <v>25</v>
      </c>
      <c r="J6" s="402">
        <f t="shared" si="0"/>
        <v>125</v>
      </c>
      <c r="K6" s="349">
        <v>19</v>
      </c>
      <c r="L6" s="403">
        <f t="shared" si="1"/>
        <v>2375</v>
      </c>
      <c r="M6" s="406" t="s">
        <v>25</v>
      </c>
      <c r="N6" s="407"/>
      <c r="O6" s="349">
        <v>22.5</v>
      </c>
      <c r="P6" s="347">
        <f t="shared" si="2"/>
        <v>2812.5</v>
      </c>
      <c r="Q6" s="405"/>
    </row>
    <row r="7" s="332" customFormat="1" hidden="1" spans="1:17">
      <c r="A7" s="334" t="s">
        <v>18</v>
      </c>
      <c r="B7" s="400">
        <v>45154</v>
      </c>
      <c r="C7" s="401" t="s">
        <v>19</v>
      </c>
      <c r="D7" s="347"/>
      <c r="E7" s="347"/>
      <c r="F7" s="347"/>
      <c r="G7" s="408" t="s">
        <v>26</v>
      </c>
      <c r="H7" s="338">
        <v>1</v>
      </c>
      <c r="I7" s="338">
        <v>2</v>
      </c>
      <c r="J7" s="402">
        <f t="shared" si="0"/>
        <v>2</v>
      </c>
      <c r="K7" s="349">
        <v>25</v>
      </c>
      <c r="L7" s="403">
        <f t="shared" si="1"/>
        <v>50</v>
      </c>
      <c r="M7" s="338" t="s">
        <v>27</v>
      </c>
      <c r="N7" s="394">
        <f>SUM(L3:L7)</f>
        <v>5495</v>
      </c>
      <c r="O7" s="349">
        <v>30</v>
      </c>
      <c r="P7" s="347">
        <f t="shared" si="2"/>
        <v>60</v>
      </c>
      <c r="Q7" s="396">
        <f>SUM(P3:P7)</f>
        <v>6382.5</v>
      </c>
    </row>
    <row r="8" s="332" customFormat="1" hidden="1" spans="1:17">
      <c r="A8" s="332" t="s">
        <v>18</v>
      </c>
      <c r="B8" s="409">
        <v>45154</v>
      </c>
      <c r="C8" s="410" t="s">
        <v>28</v>
      </c>
      <c r="D8" s="338">
        <v>9806</v>
      </c>
      <c r="E8" s="338"/>
      <c r="F8" s="338"/>
      <c r="G8" s="337" t="s">
        <v>29</v>
      </c>
      <c r="H8" s="338">
        <v>10</v>
      </c>
      <c r="I8" s="338">
        <v>28</v>
      </c>
      <c r="J8" s="342">
        <f t="shared" si="0"/>
        <v>280</v>
      </c>
      <c r="K8" s="339">
        <v>9.6</v>
      </c>
      <c r="L8" s="395">
        <f t="shared" si="1"/>
        <v>2688</v>
      </c>
      <c r="M8" s="338" t="s">
        <v>30</v>
      </c>
      <c r="N8" s="394">
        <f>L8</f>
        <v>2688</v>
      </c>
      <c r="O8" s="340">
        <v>10.5</v>
      </c>
      <c r="P8" s="338">
        <f t="shared" si="2"/>
        <v>2940</v>
      </c>
      <c r="Q8" s="396">
        <f>P8</f>
        <v>2940</v>
      </c>
    </row>
    <row r="9" s="334" customFormat="1" hidden="1" spans="1:17">
      <c r="A9" s="334" t="s">
        <v>18</v>
      </c>
      <c r="B9" s="400">
        <v>45156</v>
      </c>
      <c r="C9" s="401">
        <v>19</v>
      </c>
      <c r="D9" s="347" t="s">
        <v>31</v>
      </c>
      <c r="E9" s="347"/>
      <c r="F9" s="347"/>
      <c r="G9" s="348" t="s">
        <v>32</v>
      </c>
      <c r="H9" s="347">
        <v>5</v>
      </c>
      <c r="I9" s="347">
        <v>25</v>
      </c>
      <c r="J9" s="402">
        <f t="shared" si="0"/>
        <v>125</v>
      </c>
      <c r="K9" s="349">
        <v>13.5</v>
      </c>
      <c r="L9" s="403">
        <f t="shared" si="1"/>
        <v>1687.5</v>
      </c>
      <c r="M9" s="347" t="s">
        <v>33</v>
      </c>
      <c r="N9" s="404"/>
      <c r="O9" s="402">
        <v>14.5</v>
      </c>
      <c r="P9" s="347">
        <f t="shared" si="2"/>
        <v>1812.5</v>
      </c>
      <c r="Q9" s="405"/>
    </row>
    <row r="10" s="334" customFormat="1" hidden="1" spans="1:17">
      <c r="A10" s="334" t="s">
        <v>18</v>
      </c>
      <c r="B10" s="400">
        <v>45156</v>
      </c>
      <c r="C10" s="401">
        <v>19</v>
      </c>
      <c r="D10" s="347" t="s">
        <v>34</v>
      </c>
      <c r="E10" s="347"/>
      <c r="F10" s="347"/>
      <c r="G10" s="348" t="s">
        <v>35</v>
      </c>
      <c r="H10" s="347">
        <v>1</v>
      </c>
      <c r="I10" s="347">
        <v>180</v>
      </c>
      <c r="J10" s="402">
        <f t="shared" si="0"/>
        <v>180</v>
      </c>
      <c r="K10" s="349">
        <v>7</v>
      </c>
      <c r="L10" s="403">
        <f t="shared" si="1"/>
        <v>1260</v>
      </c>
      <c r="M10" s="347"/>
      <c r="N10" s="404">
        <f>SUM(L9:L10)</f>
        <v>2947.5</v>
      </c>
      <c r="O10" s="402">
        <v>7.5</v>
      </c>
      <c r="P10" s="347">
        <f t="shared" si="2"/>
        <v>1350</v>
      </c>
      <c r="Q10" s="405">
        <f>SUM(P9:P10)</f>
        <v>3162.5</v>
      </c>
    </row>
    <row r="11" s="332" customFormat="1" hidden="1" spans="1:17">
      <c r="A11" s="332" t="s">
        <v>18</v>
      </c>
      <c r="B11" s="409">
        <v>45157</v>
      </c>
      <c r="C11" s="410">
        <v>20</v>
      </c>
      <c r="D11" s="338" t="s">
        <v>36</v>
      </c>
      <c r="E11" s="338"/>
      <c r="F11" s="338"/>
      <c r="G11" s="337" t="s">
        <v>37</v>
      </c>
      <c r="H11" s="338">
        <v>1</v>
      </c>
      <c r="I11" s="338">
        <v>180</v>
      </c>
      <c r="J11" s="342">
        <f t="shared" si="0"/>
        <v>180</v>
      </c>
      <c r="K11" s="339">
        <v>8.5</v>
      </c>
      <c r="L11" s="395">
        <f t="shared" si="1"/>
        <v>1530</v>
      </c>
      <c r="M11" s="338"/>
      <c r="N11" s="394"/>
      <c r="O11" s="340">
        <v>10</v>
      </c>
      <c r="P11" s="338">
        <f t="shared" si="2"/>
        <v>1800</v>
      </c>
      <c r="Q11" s="396"/>
    </row>
    <row r="12" s="332" customFormat="1" hidden="1" spans="1:17">
      <c r="A12" s="332" t="s">
        <v>18</v>
      </c>
      <c r="B12" s="409">
        <v>45157</v>
      </c>
      <c r="C12" s="410">
        <v>20</v>
      </c>
      <c r="D12" s="338" t="s">
        <v>38</v>
      </c>
      <c r="E12" s="338"/>
      <c r="F12" s="338"/>
      <c r="G12" s="337" t="s">
        <v>39</v>
      </c>
      <c r="H12" s="338">
        <v>2</v>
      </c>
      <c r="I12" s="338">
        <v>180</v>
      </c>
      <c r="J12" s="342">
        <f t="shared" si="0"/>
        <v>360</v>
      </c>
      <c r="K12" s="339">
        <v>11.5</v>
      </c>
      <c r="L12" s="395">
        <f t="shared" si="1"/>
        <v>4140</v>
      </c>
      <c r="M12" s="338"/>
      <c r="N12" s="394"/>
      <c r="O12" s="340">
        <v>13.5</v>
      </c>
      <c r="P12" s="338">
        <f t="shared" si="2"/>
        <v>4860</v>
      </c>
      <c r="Q12" s="396"/>
    </row>
    <row r="13" s="332" customFormat="1" spans="1:17">
      <c r="A13" s="332" t="s">
        <v>18</v>
      </c>
      <c r="B13" s="409">
        <v>45157</v>
      </c>
      <c r="C13" s="410">
        <v>20</v>
      </c>
      <c r="D13" s="338" t="s">
        <v>40</v>
      </c>
      <c r="E13" s="338"/>
      <c r="F13" s="338"/>
      <c r="G13" s="337" t="s">
        <v>41</v>
      </c>
      <c r="H13" s="338">
        <v>15</v>
      </c>
      <c r="I13" s="338">
        <v>22</v>
      </c>
      <c r="J13" s="342">
        <f t="shared" si="0"/>
        <v>330</v>
      </c>
      <c r="K13" s="339">
        <v>13.5</v>
      </c>
      <c r="L13" s="395">
        <f t="shared" si="1"/>
        <v>4455</v>
      </c>
      <c r="M13" s="338"/>
      <c r="N13" s="394">
        <f>SUM(L11:L13)</f>
        <v>10125</v>
      </c>
      <c r="O13" s="340">
        <v>15.5</v>
      </c>
      <c r="P13" s="338">
        <f t="shared" si="2"/>
        <v>5115</v>
      </c>
      <c r="Q13" s="396">
        <f>SUM(P11:P13)</f>
        <v>11775</v>
      </c>
    </row>
    <row r="14" s="334" customFormat="1" hidden="1" spans="1:17">
      <c r="A14" s="334" t="s">
        <v>18</v>
      </c>
      <c r="B14" s="400">
        <v>45157</v>
      </c>
      <c r="C14" s="401">
        <v>23</v>
      </c>
      <c r="D14" s="347">
        <v>9806</v>
      </c>
      <c r="E14" s="347"/>
      <c r="F14" s="347"/>
      <c r="G14" s="348" t="s">
        <v>29</v>
      </c>
      <c r="H14" s="347">
        <v>10</v>
      </c>
      <c r="I14" s="347">
        <v>28</v>
      </c>
      <c r="J14" s="402">
        <f t="shared" si="0"/>
        <v>280</v>
      </c>
      <c r="K14" s="349">
        <v>9.6</v>
      </c>
      <c r="L14" s="403">
        <f t="shared" si="1"/>
        <v>2688</v>
      </c>
      <c r="M14" s="411" t="s">
        <v>42</v>
      </c>
      <c r="N14" s="404"/>
      <c r="O14" s="412">
        <v>10.5</v>
      </c>
      <c r="P14" s="347">
        <f t="shared" si="2"/>
        <v>2940</v>
      </c>
      <c r="Q14" s="405"/>
    </row>
    <row r="15" s="332" customFormat="1" hidden="1" spans="1:17">
      <c r="A15" s="332" t="s">
        <v>18</v>
      </c>
      <c r="B15" s="409">
        <v>45161</v>
      </c>
      <c r="C15" s="410">
        <v>27</v>
      </c>
      <c r="D15" s="338" t="s">
        <v>43</v>
      </c>
      <c r="E15" s="338"/>
      <c r="F15" s="338"/>
      <c r="G15" s="337" t="s">
        <v>44</v>
      </c>
      <c r="H15" s="338">
        <v>1</v>
      </c>
      <c r="I15" s="338">
        <v>4</v>
      </c>
      <c r="J15" s="342">
        <f t="shared" si="0"/>
        <v>4</v>
      </c>
      <c r="K15" s="339">
        <v>20</v>
      </c>
      <c r="L15" s="395">
        <f t="shared" si="1"/>
        <v>80</v>
      </c>
      <c r="M15" s="336" t="s">
        <v>45</v>
      </c>
      <c r="N15" s="394"/>
      <c r="O15" s="342">
        <v>22.5</v>
      </c>
      <c r="P15" s="338">
        <f t="shared" si="2"/>
        <v>90</v>
      </c>
      <c r="Q15" s="396"/>
    </row>
    <row r="16" s="332" customFormat="1" hidden="1" spans="1:17">
      <c r="A16" s="332" t="s">
        <v>18</v>
      </c>
      <c r="B16" s="409">
        <v>45161</v>
      </c>
      <c r="C16" s="410">
        <v>27</v>
      </c>
      <c r="D16" s="338" t="s">
        <v>46</v>
      </c>
      <c r="E16" s="338"/>
      <c r="F16" s="336"/>
      <c r="G16" s="337" t="s">
        <v>47</v>
      </c>
      <c r="H16" s="338">
        <v>2</v>
      </c>
      <c r="I16" s="338">
        <v>25</v>
      </c>
      <c r="J16" s="342">
        <f t="shared" si="0"/>
        <v>50</v>
      </c>
      <c r="K16" s="339">
        <v>13.5</v>
      </c>
      <c r="L16" s="395">
        <f t="shared" si="1"/>
        <v>675</v>
      </c>
      <c r="M16" s="338"/>
      <c r="N16" s="394"/>
      <c r="O16" s="342">
        <v>15.5</v>
      </c>
      <c r="P16" s="338">
        <f t="shared" si="2"/>
        <v>775</v>
      </c>
      <c r="Q16" s="396"/>
    </row>
    <row r="17" s="332" customFormat="1" hidden="1" spans="1:17">
      <c r="A17" s="332" t="s">
        <v>18</v>
      </c>
      <c r="B17" s="409">
        <v>45161</v>
      </c>
      <c r="C17" s="410">
        <v>27</v>
      </c>
      <c r="D17" s="338"/>
      <c r="E17" s="338"/>
      <c r="F17" s="336"/>
      <c r="G17" s="337" t="s">
        <v>48</v>
      </c>
      <c r="H17" s="338">
        <v>2</v>
      </c>
      <c r="I17" s="338">
        <v>18</v>
      </c>
      <c r="J17" s="342">
        <f t="shared" si="0"/>
        <v>36</v>
      </c>
      <c r="K17" s="339">
        <v>9.5</v>
      </c>
      <c r="L17" s="395">
        <f t="shared" si="1"/>
        <v>342</v>
      </c>
      <c r="M17" s="338"/>
      <c r="N17" s="394"/>
      <c r="O17" s="342">
        <v>10</v>
      </c>
      <c r="P17" s="338">
        <f t="shared" si="2"/>
        <v>360</v>
      </c>
      <c r="Q17" s="396"/>
    </row>
    <row r="18" s="332" customFormat="1" hidden="1" spans="1:17">
      <c r="A18" s="332" t="s">
        <v>18</v>
      </c>
      <c r="B18" s="409">
        <v>45161</v>
      </c>
      <c r="C18" s="410">
        <v>27</v>
      </c>
      <c r="D18" s="338"/>
      <c r="E18" s="338"/>
      <c r="F18" s="338"/>
      <c r="G18" s="337" t="s">
        <v>49</v>
      </c>
      <c r="H18" s="338">
        <v>1</v>
      </c>
      <c r="I18" s="338">
        <v>2</v>
      </c>
      <c r="J18" s="342">
        <f t="shared" si="0"/>
        <v>2</v>
      </c>
      <c r="K18" s="339">
        <v>26</v>
      </c>
      <c r="L18" s="395">
        <f t="shared" si="1"/>
        <v>52</v>
      </c>
      <c r="M18" s="338" t="s">
        <v>50</v>
      </c>
      <c r="N18" s="394"/>
      <c r="O18" s="349">
        <v>28</v>
      </c>
      <c r="P18" s="338">
        <f t="shared" si="2"/>
        <v>56</v>
      </c>
      <c r="Q18" s="396"/>
    </row>
    <row r="19" s="332" customFormat="1" hidden="1" spans="1:17">
      <c r="A19" s="332" t="s">
        <v>18</v>
      </c>
      <c r="B19" s="409">
        <v>45161</v>
      </c>
      <c r="C19" s="410">
        <v>27</v>
      </c>
      <c r="D19" s="338" t="s">
        <v>51</v>
      </c>
      <c r="E19" s="338"/>
      <c r="F19" s="338"/>
      <c r="G19" s="337" t="s">
        <v>39</v>
      </c>
      <c r="H19" s="338">
        <v>1</v>
      </c>
      <c r="I19" s="338">
        <v>180</v>
      </c>
      <c r="J19" s="342">
        <f t="shared" si="0"/>
        <v>180</v>
      </c>
      <c r="K19" s="339">
        <v>9.5</v>
      </c>
      <c r="L19" s="395">
        <f t="shared" si="1"/>
        <v>1710</v>
      </c>
      <c r="M19" s="338"/>
      <c r="N19" s="394"/>
      <c r="O19" s="349">
        <v>10.5</v>
      </c>
      <c r="P19" s="338">
        <f t="shared" si="2"/>
        <v>1890</v>
      </c>
      <c r="Q19" s="396"/>
    </row>
    <row r="20" s="353" customFormat="1" hidden="1" spans="1:17">
      <c r="A20" s="332" t="s">
        <v>18</v>
      </c>
      <c r="B20" s="409">
        <v>45161</v>
      </c>
      <c r="C20" s="410">
        <v>27</v>
      </c>
      <c r="D20" s="338"/>
      <c r="E20" s="338"/>
      <c r="F20" s="338"/>
      <c r="G20" s="337" t="s">
        <v>52</v>
      </c>
      <c r="H20" s="338">
        <v>1</v>
      </c>
      <c r="I20" s="338">
        <v>1</v>
      </c>
      <c r="J20" s="342">
        <f t="shared" si="0"/>
        <v>1</v>
      </c>
      <c r="K20" s="339">
        <v>0</v>
      </c>
      <c r="L20" s="395">
        <f t="shared" si="1"/>
        <v>0</v>
      </c>
      <c r="M20" s="338"/>
      <c r="N20" s="394">
        <f>SUM(L15:L20)</f>
        <v>2859</v>
      </c>
      <c r="O20" s="349">
        <v>0</v>
      </c>
      <c r="P20" s="338">
        <f t="shared" si="2"/>
        <v>0</v>
      </c>
      <c r="Q20" s="396">
        <f>SUM(P15:P20)</f>
        <v>3171</v>
      </c>
    </row>
    <row r="21" s="334" customFormat="1" hidden="1" spans="1:17">
      <c r="A21" s="334" t="s">
        <v>18</v>
      </c>
      <c r="B21" s="400">
        <v>45164</v>
      </c>
      <c r="C21" s="401">
        <v>35</v>
      </c>
      <c r="D21" s="347"/>
      <c r="E21" s="347"/>
      <c r="F21" s="347"/>
      <c r="G21" s="348" t="s">
        <v>53</v>
      </c>
      <c r="H21" s="347">
        <v>2</v>
      </c>
      <c r="I21" s="402">
        <v>20</v>
      </c>
      <c r="J21" s="402">
        <f t="shared" si="0"/>
        <v>40</v>
      </c>
      <c r="K21" s="402">
        <v>20</v>
      </c>
      <c r="L21" s="403">
        <f t="shared" si="1"/>
        <v>800</v>
      </c>
      <c r="M21" s="347"/>
      <c r="N21" s="404"/>
      <c r="O21" s="349">
        <v>22.5</v>
      </c>
      <c r="P21" s="347">
        <f t="shared" si="2"/>
        <v>900</v>
      </c>
      <c r="Q21" s="405"/>
    </row>
    <row r="22" s="334" customFormat="1" hidden="1" spans="1:17">
      <c r="A22" s="334" t="s">
        <v>18</v>
      </c>
      <c r="B22" s="400">
        <v>45164</v>
      </c>
      <c r="C22" s="401">
        <v>35</v>
      </c>
      <c r="D22" s="347"/>
      <c r="E22" s="347"/>
      <c r="F22" s="347"/>
      <c r="G22" s="348" t="s">
        <v>22</v>
      </c>
      <c r="H22" s="347">
        <v>3</v>
      </c>
      <c r="I22" s="402">
        <v>10</v>
      </c>
      <c r="J22" s="402">
        <f t="shared" si="0"/>
        <v>30</v>
      </c>
      <c r="K22" s="402">
        <v>19</v>
      </c>
      <c r="L22" s="403">
        <f t="shared" si="1"/>
        <v>570</v>
      </c>
      <c r="M22" s="347"/>
      <c r="N22" s="404">
        <f>SUM(L21:L22)</f>
        <v>1370</v>
      </c>
      <c r="O22" s="349">
        <v>22.5</v>
      </c>
      <c r="P22" s="347">
        <f t="shared" si="2"/>
        <v>675</v>
      </c>
      <c r="Q22" s="405">
        <f>SUM(P21:P22)</f>
        <v>1575</v>
      </c>
    </row>
    <row r="23" s="332" customFormat="1" hidden="1" spans="1:17">
      <c r="A23" s="332" t="s">
        <v>18</v>
      </c>
      <c r="B23" s="409">
        <v>45166</v>
      </c>
      <c r="C23" s="410"/>
      <c r="D23" s="338" t="s">
        <v>54</v>
      </c>
      <c r="E23" s="338"/>
      <c r="F23" s="338"/>
      <c r="G23" s="337" t="s">
        <v>44</v>
      </c>
      <c r="H23" s="338">
        <v>1</v>
      </c>
      <c r="I23" s="338">
        <v>4</v>
      </c>
      <c r="J23" s="342">
        <f t="shared" si="0"/>
        <v>4</v>
      </c>
      <c r="K23" s="339"/>
      <c r="L23" s="395">
        <f t="shared" si="1"/>
        <v>0</v>
      </c>
      <c r="M23" s="344" t="s">
        <v>55</v>
      </c>
      <c r="N23" s="394"/>
      <c r="O23" s="339">
        <v>22.5</v>
      </c>
      <c r="P23" s="338">
        <f t="shared" si="2"/>
        <v>90</v>
      </c>
      <c r="Q23" s="396"/>
    </row>
    <row r="24" s="388" customFormat="1" hidden="1" spans="1:17">
      <c r="A24" s="391" t="s">
        <v>18</v>
      </c>
      <c r="B24" s="413">
        <v>45166</v>
      </c>
      <c r="C24" s="414" t="s">
        <v>56</v>
      </c>
      <c r="D24" s="415" t="s">
        <v>57</v>
      </c>
      <c r="E24" s="415"/>
      <c r="F24" s="415"/>
      <c r="G24" s="408" t="s">
        <v>58</v>
      </c>
      <c r="H24" s="415">
        <v>1</v>
      </c>
      <c r="I24" s="415">
        <v>2</v>
      </c>
      <c r="J24" s="416">
        <f t="shared" si="0"/>
        <v>2</v>
      </c>
      <c r="K24" s="417">
        <v>20</v>
      </c>
      <c r="L24" s="418">
        <f t="shared" si="1"/>
        <v>40</v>
      </c>
      <c r="M24" s="147" t="s">
        <v>59</v>
      </c>
      <c r="N24" s="419"/>
      <c r="O24" s="349">
        <v>22.5</v>
      </c>
      <c r="P24" s="415">
        <f t="shared" si="2"/>
        <v>45</v>
      </c>
      <c r="Q24" s="420"/>
    </row>
    <row r="25" s="332" customFormat="1" hidden="1" spans="1:17">
      <c r="A25" s="332" t="s">
        <v>18</v>
      </c>
      <c r="B25" s="409">
        <v>45168</v>
      </c>
      <c r="C25" s="410" t="s">
        <v>60</v>
      </c>
      <c r="D25" s="338">
        <v>9806</v>
      </c>
      <c r="E25" s="338"/>
      <c r="F25" s="338"/>
      <c r="G25" s="337" t="s">
        <v>29</v>
      </c>
      <c r="H25" s="338">
        <v>10</v>
      </c>
      <c r="I25" s="338">
        <v>28</v>
      </c>
      <c r="J25" s="342">
        <f t="shared" si="0"/>
        <v>280</v>
      </c>
      <c r="K25" s="339">
        <v>10.1</v>
      </c>
      <c r="L25" s="395">
        <f t="shared" si="1"/>
        <v>2828</v>
      </c>
      <c r="M25" s="147" t="s">
        <v>61</v>
      </c>
      <c r="N25" s="394"/>
      <c r="O25" s="349">
        <v>11</v>
      </c>
      <c r="P25" s="338">
        <f t="shared" si="2"/>
        <v>3080</v>
      </c>
      <c r="Q25" s="396"/>
    </row>
    <row r="26" s="332" customFormat="1" hidden="1" spans="1:17">
      <c r="A26" s="332" t="s">
        <v>18</v>
      </c>
      <c r="B26" s="409">
        <v>45168</v>
      </c>
      <c r="C26" s="410" t="s">
        <v>60</v>
      </c>
      <c r="D26" s="338" t="s">
        <v>34</v>
      </c>
      <c r="E26" s="338"/>
      <c r="F26" s="338"/>
      <c r="G26" s="337" t="s">
        <v>35</v>
      </c>
      <c r="H26" s="338">
        <v>1</v>
      </c>
      <c r="I26" s="338">
        <v>180</v>
      </c>
      <c r="J26" s="342">
        <f t="shared" si="0"/>
        <v>180</v>
      </c>
      <c r="K26" s="339">
        <v>7</v>
      </c>
      <c r="L26" s="395">
        <f t="shared" si="1"/>
        <v>1260</v>
      </c>
      <c r="M26" s="338"/>
      <c r="N26" s="394"/>
      <c r="O26" s="349">
        <v>7.5</v>
      </c>
      <c r="P26" s="338">
        <f t="shared" si="2"/>
        <v>1350</v>
      </c>
      <c r="Q26" s="396"/>
    </row>
    <row r="27" s="388" customFormat="1" hidden="1" spans="1:17">
      <c r="A27" s="332" t="s">
        <v>18</v>
      </c>
      <c r="B27" s="409">
        <v>45168</v>
      </c>
      <c r="C27" s="410" t="s">
        <v>60</v>
      </c>
      <c r="D27" s="338" t="s">
        <v>57</v>
      </c>
      <c r="E27" s="338"/>
      <c r="F27" s="338"/>
      <c r="G27" s="337" t="s">
        <v>58</v>
      </c>
      <c r="H27" s="338">
        <v>1</v>
      </c>
      <c r="I27" s="338">
        <v>2</v>
      </c>
      <c r="J27" s="342">
        <f t="shared" si="0"/>
        <v>2</v>
      </c>
      <c r="K27" s="339">
        <v>20</v>
      </c>
      <c r="L27" s="395">
        <f t="shared" si="1"/>
        <v>40</v>
      </c>
      <c r="M27" s="421" t="s">
        <v>62</v>
      </c>
      <c r="N27" s="419"/>
      <c r="O27" s="349">
        <v>22.5</v>
      </c>
      <c r="P27" s="415">
        <f t="shared" si="2"/>
        <v>45</v>
      </c>
      <c r="Q27" s="420"/>
    </row>
    <row r="28" s="388" customFormat="1" hidden="1" spans="1:17">
      <c r="A28" s="332" t="s">
        <v>18</v>
      </c>
      <c r="B28" s="409">
        <v>45168</v>
      </c>
      <c r="C28" s="410" t="s">
        <v>60</v>
      </c>
      <c r="D28" s="338" t="s">
        <v>63</v>
      </c>
      <c r="E28" s="338"/>
      <c r="F28" s="338"/>
      <c r="G28" s="337" t="s">
        <v>64</v>
      </c>
      <c r="H28" s="338">
        <v>1</v>
      </c>
      <c r="I28" s="338">
        <v>3</v>
      </c>
      <c r="J28" s="342">
        <f t="shared" si="0"/>
        <v>3</v>
      </c>
      <c r="K28" s="339">
        <v>20</v>
      </c>
      <c r="L28" s="395">
        <f t="shared" si="1"/>
        <v>60</v>
      </c>
      <c r="M28" s="344" t="s">
        <v>62</v>
      </c>
      <c r="N28" s="394">
        <f>SUM(L25:L28)</f>
        <v>4188</v>
      </c>
      <c r="O28" s="349">
        <v>22.5</v>
      </c>
      <c r="P28" s="338">
        <f t="shared" si="2"/>
        <v>67.5</v>
      </c>
      <c r="Q28" s="420">
        <f>SUM(P25:P28)</f>
        <v>4542.5</v>
      </c>
    </row>
    <row r="29" s="389" customFormat="1" hidden="1" spans="1:17">
      <c r="A29" s="334" t="s">
        <v>18</v>
      </c>
      <c r="B29" s="400">
        <v>45170</v>
      </c>
      <c r="C29" s="401">
        <v>2</v>
      </c>
      <c r="D29" s="347" t="s">
        <v>65</v>
      </c>
      <c r="E29" s="347"/>
      <c r="F29" s="347"/>
      <c r="G29" s="348" t="s">
        <v>66</v>
      </c>
      <c r="H29" s="347">
        <v>1</v>
      </c>
      <c r="I29" s="347">
        <v>2</v>
      </c>
      <c r="J29" s="402">
        <f t="shared" si="0"/>
        <v>2</v>
      </c>
      <c r="K29" s="349">
        <v>20</v>
      </c>
      <c r="L29" s="403">
        <f t="shared" si="1"/>
        <v>40</v>
      </c>
      <c r="M29" s="422" t="s">
        <v>67</v>
      </c>
      <c r="N29" s="404">
        <f>L29</f>
        <v>40</v>
      </c>
      <c r="O29" s="349">
        <v>22.5</v>
      </c>
      <c r="P29" s="347">
        <f t="shared" si="2"/>
        <v>45</v>
      </c>
      <c r="Q29" s="405"/>
    </row>
    <row r="30" s="332" customFormat="1" hidden="1" spans="1:17">
      <c r="A30" s="332" t="s">
        <v>18</v>
      </c>
      <c r="B30" s="409">
        <v>45174</v>
      </c>
      <c r="C30" s="410" t="s">
        <v>68</v>
      </c>
      <c r="D30" s="338"/>
      <c r="E30" s="338"/>
      <c r="F30" s="338"/>
      <c r="G30" s="337" t="s">
        <v>26</v>
      </c>
      <c r="H30" s="338">
        <v>1</v>
      </c>
      <c r="I30" s="338">
        <v>21</v>
      </c>
      <c r="J30" s="342">
        <f t="shared" si="0"/>
        <v>21</v>
      </c>
      <c r="K30" s="339">
        <v>25</v>
      </c>
      <c r="L30" s="395">
        <f t="shared" si="1"/>
        <v>525</v>
      </c>
      <c r="M30" s="423" t="s">
        <v>69</v>
      </c>
      <c r="N30" s="394"/>
      <c r="O30" s="349">
        <v>30</v>
      </c>
      <c r="P30" s="338">
        <f t="shared" si="2"/>
        <v>630</v>
      </c>
      <c r="Q30" s="396"/>
    </row>
    <row r="31" s="332" customFormat="1" hidden="1" spans="1:17">
      <c r="A31" s="332" t="s">
        <v>18</v>
      </c>
      <c r="B31" s="409">
        <v>45174</v>
      </c>
      <c r="C31" s="410" t="s">
        <v>68</v>
      </c>
      <c r="D31" s="338"/>
      <c r="E31" s="338"/>
      <c r="F31" s="338"/>
      <c r="G31" s="337" t="s">
        <v>22</v>
      </c>
      <c r="H31" s="338">
        <v>4</v>
      </c>
      <c r="I31" s="342">
        <v>10</v>
      </c>
      <c r="J31" s="342">
        <f t="shared" si="0"/>
        <v>40</v>
      </c>
      <c r="K31" s="339">
        <v>19</v>
      </c>
      <c r="L31" s="395">
        <f t="shared" si="1"/>
        <v>760</v>
      </c>
      <c r="M31" s="338"/>
      <c r="N31" s="394">
        <f>SUM(L30:L31)</f>
        <v>1285</v>
      </c>
      <c r="O31" s="349">
        <v>22.5</v>
      </c>
      <c r="P31" s="338">
        <f t="shared" si="2"/>
        <v>900</v>
      </c>
      <c r="Q31" s="396">
        <f>SUM(P30:P31)</f>
        <v>1530</v>
      </c>
    </row>
    <row r="32" s="334" customFormat="1" hidden="1" spans="1:17">
      <c r="A32" s="334" t="s">
        <v>18</v>
      </c>
      <c r="B32" s="400">
        <v>45175</v>
      </c>
      <c r="C32" s="401">
        <v>14</v>
      </c>
      <c r="D32" s="347">
        <v>9806</v>
      </c>
      <c r="E32" s="347"/>
      <c r="F32" s="347"/>
      <c r="G32" s="348" t="s">
        <v>29</v>
      </c>
      <c r="H32" s="347">
        <v>10</v>
      </c>
      <c r="I32" s="347">
        <v>28</v>
      </c>
      <c r="J32" s="402">
        <f t="shared" si="0"/>
        <v>280</v>
      </c>
      <c r="K32" s="349">
        <v>10.1</v>
      </c>
      <c r="L32" s="403">
        <f t="shared" si="1"/>
        <v>2828</v>
      </c>
      <c r="M32" s="424" t="s">
        <v>61</v>
      </c>
      <c r="N32" s="404"/>
      <c r="O32" s="349">
        <v>11</v>
      </c>
      <c r="P32" s="412">
        <f t="shared" si="2"/>
        <v>3080</v>
      </c>
      <c r="Q32" s="405"/>
    </row>
    <row r="33" s="334" customFormat="1" hidden="1" spans="1:17">
      <c r="A33" s="334" t="s">
        <v>18</v>
      </c>
      <c r="B33" s="400">
        <v>45175</v>
      </c>
      <c r="C33" s="401">
        <v>14</v>
      </c>
      <c r="D33" s="347"/>
      <c r="E33" s="347"/>
      <c r="F33" s="347"/>
      <c r="G33" s="348" t="s">
        <v>24</v>
      </c>
      <c r="H33" s="347">
        <v>4</v>
      </c>
      <c r="I33" s="347">
        <v>25</v>
      </c>
      <c r="J33" s="402">
        <f t="shared" si="0"/>
        <v>100</v>
      </c>
      <c r="K33" s="349">
        <v>19</v>
      </c>
      <c r="L33" s="403">
        <f t="shared" si="1"/>
        <v>1900</v>
      </c>
      <c r="M33" s="422" t="s">
        <v>25</v>
      </c>
      <c r="N33" s="404"/>
      <c r="O33" s="349">
        <v>22.5</v>
      </c>
      <c r="P33" s="412">
        <f t="shared" si="2"/>
        <v>2250</v>
      </c>
      <c r="Q33" s="405"/>
    </row>
    <row r="34" s="334" customFormat="1" hidden="1" spans="1:17">
      <c r="A34" s="334" t="s">
        <v>18</v>
      </c>
      <c r="B34" s="400">
        <v>45175</v>
      </c>
      <c r="C34" s="401">
        <v>14</v>
      </c>
      <c r="D34" s="347"/>
      <c r="E34" s="347"/>
      <c r="F34" s="347"/>
      <c r="G34" s="348" t="s">
        <v>24</v>
      </c>
      <c r="H34" s="347">
        <v>1</v>
      </c>
      <c r="I34" s="347">
        <v>26</v>
      </c>
      <c r="J34" s="402">
        <f t="shared" si="0"/>
        <v>26</v>
      </c>
      <c r="K34" s="349">
        <v>19</v>
      </c>
      <c r="L34" s="403">
        <f t="shared" si="1"/>
        <v>494</v>
      </c>
      <c r="M34" s="422" t="s">
        <v>25</v>
      </c>
      <c r="N34" s="404"/>
      <c r="O34" s="349">
        <v>22.5</v>
      </c>
      <c r="P34" s="412">
        <f t="shared" si="2"/>
        <v>585</v>
      </c>
      <c r="Q34" s="405"/>
    </row>
    <row r="35" s="334" customFormat="1" hidden="1" spans="1:17">
      <c r="A35" s="334" t="s">
        <v>18</v>
      </c>
      <c r="B35" s="400">
        <v>45175</v>
      </c>
      <c r="C35" s="401">
        <v>14</v>
      </c>
      <c r="D35" s="347"/>
      <c r="E35" s="347"/>
      <c r="F35" s="347"/>
      <c r="G35" s="348" t="s">
        <v>22</v>
      </c>
      <c r="H35" s="347">
        <v>3</v>
      </c>
      <c r="I35" s="402">
        <v>10</v>
      </c>
      <c r="J35" s="402">
        <f t="shared" si="0"/>
        <v>30</v>
      </c>
      <c r="K35" s="349">
        <v>19</v>
      </c>
      <c r="L35" s="403">
        <f t="shared" si="1"/>
        <v>570</v>
      </c>
      <c r="M35" s="425" t="s">
        <v>23</v>
      </c>
      <c r="N35" s="404">
        <f>SUM(L32:L35)</f>
        <v>5792</v>
      </c>
      <c r="O35" s="349">
        <v>22.5</v>
      </c>
      <c r="P35" s="412">
        <f t="shared" si="2"/>
        <v>675</v>
      </c>
      <c r="Q35" s="405">
        <f>SUM(P32:P678)</f>
        <v>537406.2</v>
      </c>
    </row>
    <row r="36" s="353" customFormat="1" hidden="1" spans="1:17">
      <c r="A36" s="332" t="s">
        <v>18</v>
      </c>
      <c r="B36" s="409">
        <v>45177</v>
      </c>
      <c r="C36" s="410">
        <v>27</v>
      </c>
      <c r="D36" s="338" t="s">
        <v>70</v>
      </c>
      <c r="E36" s="338"/>
      <c r="F36" s="338"/>
      <c r="G36" s="337" t="s">
        <v>71</v>
      </c>
      <c r="H36" s="338">
        <v>1</v>
      </c>
      <c r="I36" s="338">
        <v>24</v>
      </c>
      <c r="J36" s="342">
        <f t="shared" si="0"/>
        <v>24</v>
      </c>
      <c r="K36" s="339">
        <v>20</v>
      </c>
      <c r="L36" s="395">
        <f t="shared" si="1"/>
        <v>480</v>
      </c>
      <c r="M36" s="344" t="s">
        <v>67</v>
      </c>
      <c r="N36" s="394"/>
      <c r="O36" s="349">
        <v>22.5</v>
      </c>
      <c r="P36" s="338">
        <f t="shared" si="2"/>
        <v>540</v>
      </c>
      <c r="Q36" s="396"/>
    </row>
    <row r="37" s="332" customFormat="1" hidden="1" spans="1:17">
      <c r="A37" s="332" t="s">
        <v>18</v>
      </c>
      <c r="B37" s="409">
        <v>45177</v>
      </c>
      <c r="C37" s="410">
        <v>27</v>
      </c>
      <c r="D37" s="338"/>
      <c r="E37" s="338"/>
      <c r="F37" s="338"/>
      <c r="G37" s="337" t="s">
        <v>22</v>
      </c>
      <c r="H37" s="338">
        <v>1</v>
      </c>
      <c r="I37" s="342">
        <v>10</v>
      </c>
      <c r="J37" s="342">
        <f t="shared" si="0"/>
        <v>10</v>
      </c>
      <c r="K37" s="339">
        <v>19</v>
      </c>
      <c r="L37" s="395">
        <f t="shared" si="1"/>
        <v>190</v>
      </c>
      <c r="M37" s="338"/>
      <c r="N37" s="394">
        <f>SUM(L36:L37)</f>
        <v>670</v>
      </c>
      <c r="O37" s="349">
        <v>22.5</v>
      </c>
      <c r="P37" s="340">
        <f t="shared" si="2"/>
        <v>225</v>
      </c>
      <c r="Q37" s="396">
        <f>SUM(P36:P37)</f>
        <v>765</v>
      </c>
    </row>
    <row r="38" s="334" customFormat="1" hidden="1" spans="1:17">
      <c r="A38" s="334" t="s">
        <v>18</v>
      </c>
      <c r="B38" s="400">
        <v>45181</v>
      </c>
      <c r="C38" s="401" t="s">
        <v>72</v>
      </c>
      <c r="D38" s="347" t="s">
        <v>34</v>
      </c>
      <c r="E38" s="347"/>
      <c r="F38" s="347"/>
      <c r="G38" s="348" t="s">
        <v>35</v>
      </c>
      <c r="H38" s="347">
        <v>1</v>
      </c>
      <c r="I38" s="347">
        <v>180</v>
      </c>
      <c r="J38" s="402">
        <f t="shared" si="0"/>
        <v>180</v>
      </c>
      <c r="K38" s="349">
        <v>7</v>
      </c>
      <c r="L38" s="403">
        <f t="shared" si="1"/>
        <v>1260</v>
      </c>
      <c r="M38" s="347"/>
      <c r="N38" s="404"/>
      <c r="O38" s="349">
        <v>7.5</v>
      </c>
      <c r="P38" s="347">
        <f t="shared" si="2"/>
        <v>1350</v>
      </c>
      <c r="Q38" s="405"/>
    </row>
    <row r="39" s="334" customFormat="1" hidden="1" spans="1:17">
      <c r="A39" s="334" t="s">
        <v>18</v>
      </c>
      <c r="B39" s="400">
        <v>45181</v>
      </c>
      <c r="C39" s="401" t="s">
        <v>72</v>
      </c>
      <c r="D39" s="347" t="s">
        <v>51</v>
      </c>
      <c r="E39" s="347"/>
      <c r="F39" s="347"/>
      <c r="G39" s="348" t="s">
        <v>39</v>
      </c>
      <c r="H39" s="347">
        <v>1</v>
      </c>
      <c r="I39" s="347">
        <v>180</v>
      </c>
      <c r="J39" s="402">
        <f t="shared" si="0"/>
        <v>180</v>
      </c>
      <c r="K39" s="349">
        <v>9.5</v>
      </c>
      <c r="L39" s="403">
        <f t="shared" si="1"/>
        <v>1710</v>
      </c>
      <c r="M39" s="347"/>
      <c r="N39" s="404"/>
      <c r="O39" s="349">
        <v>10.5</v>
      </c>
      <c r="P39" s="347">
        <f t="shared" si="2"/>
        <v>1890</v>
      </c>
      <c r="Q39" s="405"/>
    </row>
    <row r="40" s="334" customFormat="1" hidden="1" spans="1:17">
      <c r="A40" s="334" t="s">
        <v>18</v>
      </c>
      <c r="B40" s="400">
        <v>45181</v>
      </c>
      <c r="C40" s="401" t="s">
        <v>72</v>
      </c>
      <c r="D40" s="347" t="s">
        <v>31</v>
      </c>
      <c r="E40" s="347"/>
      <c r="F40" s="347"/>
      <c r="G40" s="348" t="s">
        <v>32</v>
      </c>
      <c r="H40" s="347">
        <v>5</v>
      </c>
      <c r="I40" s="347">
        <v>25</v>
      </c>
      <c r="J40" s="402">
        <f t="shared" si="0"/>
        <v>125</v>
      </c>
      <c r="K40" s="349">
        <v>13.5</v>
      </c>
      <c r="L40" s="403">
        <f t="shared" si="1"/>
        <v>1687.5</v>
      </c>
      <c r="M40" s="347" t="s">
        <v>33</v>
      </c>
      <c r="N40" s="404"/>
      <c r="O40" s="349">
        <v>14.5</v>
      </c>
      <c r="P40" s="347">
        <f t="shared" si="2"/>
        <v>1812.5</v>
      </c>
      <c r="Q40" s="405"/>
    </row>
    <row r="41" s="389" customFormat="1" hidden="1" spans="1:17">
      <c r="A41" s="334" t="s">
        <v>18</v>
      </c>
      <c r="B41" s="400">
        <v>45181</v>
      </c>
      <c r="C41" s="401" t="s">
        <v>72</v>
      </c>
      <c r="D41" s="347"/>
      <c r="E41" s="347"/>
      <c r="F41" s="347"/>
      <c r="G41" s="348" t="s">
        <v>52</v>
      </c>
      <c r="H41" s="347">
        <v>1</v>
      </c>
      <c r="I41" s="347">
        <v>2</v>
      </c>
      <c r="J41" s="402">
        <f t="shared" si="0"/>
        <v>2</v>
      </c>
      <c r="K41" s="349">
        <v>10</v>
      </c>
      <c r="L41" s="403">
        <f t="shared" si="1"/>
        <v>20</v>
      </c>
      <c r="M41" s="422"/>
      <c r="N41" s="404">
        <f>SUM(L38:L41)</f>
        <v>4677.5</v>
      </c>
      <c r="O41" s="349">
        <v>0</v>
      </c>
      <c r="P41" s="347">
        <f t="shared" si="2"/>
        <v>0</v>
      </c>
      <c r="Q41" s="405">
        <f>SUM(P38:P41)</f>
        <v>5052.5</v>
      </c>
    </row>
    <row r="42" s="332" customFormat="1" hidden="1" spans="1:17">
      <c r="A42" s="332" t="s">
        <v>18</v>
      </c>
      <c r="B42" s="409">
        <v>45185</v>
      </c>
      <c r="C42" s="410">
        <v>52</v>
      </c>
      <c r="D42" s="338">
        <v>9806</v>
      </c>
      <c r="E42" s="338"/>
      <c r="F42" s="338"/>
      <c r="G42" s="337" t="s">
        <v>29</v>
      </c>
      <c r="H42" s="338">
        <v>10</v>
      </c>
      <c r="I42" s="338">
        <v>28</v>
      </c>
      <c r="J42" s="342">
        <f t="shared" si="0"/>
        <v>280</v>
      </c>
      <c r="K42" s="339">
        <v>10.1</v>
      </c>
      <c r="L42" s="395">
        <f t="shared" si="1"/>
        <v>2828</v>
      </c>
      <c r="M42" s="152" t="s">
        <v>61</v>
      </c>
      <c r="N42" s="394"/>
      <c r="O42" s="349">
        <v>11</v>
      </c>
      <c r="P42" s="340">
        <f t="shared" si="2"/>
        <v>3080</v>
      </c>
      <c r="Q42" s="396"/>
    </row>
    <row r="43" s="332" customFormat="1" hidden="1" spans="1:17">
      <c r="A43" s="332" t="s">
        <v>18</v>
      </c>
      <c r="B43" s="409">
        <v>45185</v>
      </c>
      <c r="C43" s="410">
        <v>52</v>
      </c>
      <c r="D43" s="338"/>
      <c r="E43" s="338"/>
      <c r="F43" s="338"/>
      <c r="G43" s="337" t="s">
        <v>26</v>
      </c>
      <c r="H43" s="338">
        <v>1</v>
      </c>
      <c r="I43" s="338">
        <v>4</v>
      </c>
      <c r="J43" s="342">
        <f t="shared" si="0"/>
        <v>4</v>
      </c>
      <c r="K43" s="339">
        <v>25</v>
      </c>
      <c r="L43" s="395">
        <f t="shared" si="1"/>
        <v>100</v>
      </c>
      <c r="M43" s="423" t="s">
        <v>69</v>
      </c>
      <c r="N43" s="394"/>
      <c r="O43" s="349">
        <v>30</v>
      </c>
      <c r="P43" s="338">
        <f t="shared" si="2"/>
        <v>120</v>
      </c>
      <c r="Q43" s="396"/>
    </row>
    <row r="44" s="389" customFormat="1" hidden="1" spans="1:17">
      <c r="A44" s="334" t="s">
        <v>18</v>
      </c>
      <c r="B44" s="400">
        <v>45188</v>
      </c>
      <c r="C44" s="401">
        <v>56</v>
      </c>
      <c r="D44" s="347" t="s">
        <v>70</v>
      </c>
      <c r="E44" s="347"/>
      <c r="F44" s="347"/>
      <c r="G44" s="348" t="s">
        <v>71</v>
      </c>
      <c r="H44" s="347">
        <v>1</v>
      </c>
      <c r="I44" s="347">
        <v>3</v>
      </c>
      <c r="J44" s="402">
        <f t="shared" si="0"/>
        <v>3</v>
      </c>
      <c r="K44" s="349">
        <v>20</v>
      </c>
      <c r="L44" s="403">
        <f t="shared" si="1"/>
        <v>60</v>
      </c>
      <c r="M44" s="422"/>
      <c r="N44" s="404"/>
      <c r="O44" s="349">
        <v>22.5</v>
      </c>
      <c r="P44" s="347">
        <f t="shared" si="2"/>
        <v>67.5</v>
      </c>
      <c r="Q44" s="405"/>
    </row>
    <row r="45" s="334" customFormat="1" spans="1:17">
      <c r="A45" s="334" t="s">
        <v>18</v>
      </c>
      <c r="B45" s="400">
        <v>45188</v>
      </c>
      <c r="C45" s="401">
        <v>56</v>
      </c>
      <c r="D45" s="347" t="s">
        <v>73</v>
      </c>
      <c r="E45" s="347"/>
      <c r="F45" s="347"/>
      <c r="G45" s="348" t="s">
        <v>41</v>
      </c>
      <c r="H45" s="402">
        <v>1</v>
      </c>
      <c r="I45" s="347">
        <v>22</v>
      </c>
      <c r="J45" s="402">
        <f t="shared" si="0"/>
        <v>22</v>
      </c>
      <c r="K45" s="349">
        <v>14.5</v>
      </c>
      <c r="L45" s="403">
        <f t="shared" si="1"/>
        <v>319</v>
      </c>
      <c r="M45" s="348" t="s">
        <v>74</v>
      </c>
      <c r="N45" s="404"/>
      <c r="O45" s="349">
        <v>17</v>
      </c>
      <c r="P45" s="347">
        <f t="shared" si="2"/>
        <v>374</v>
      </c>
      <c r="Q45" s="405"/>
    </row>
    <row r="46" s="334" customFormat="1" hidden="1" spans="1:17">
      <c r="A46" s="334" t="s">
        <v>18</v>
      </c>
      <c r="B46" s="400">
        <v>45188</v>
      </c>
      <c r="C46" s="401">
        <v>56</v>
      </c>
      <c r="D46" s="347"/>
      <c r="E46" s="347"/>
      <c r="F46" s="347"/>
      <c r="G46" s="348" t="s">
        <v>24</v>
      </c>
      <c r="H46" s="347">
        <v>10</v>
      </c>
      <c r="I46" s="347">
        <v>25</v>
      </c>
      <c r="J46" s="402">
        <f t="shared" si="0"/>
        <v>250</v>
      </c>
      <c r="K46" s="349">
        <v>19</v>
      </c>
      <c r="L46" s="403">
        <f t="shared" si="1"/>
        <v>4750</v>
      </c>
      <c r="M46" s="422" t="s">
        <v>25</v>
      </c>
      <c r="N46" s="404"/>
      <c r="O46" s="349">
        <v>22.5</v>
      </c>
      <c r="P46" s="412">
        <f t="shared" si="2"/>
        <v>5625</v>
      </c>
      <c r="Q46" s="405"/>
    </row>
    <row r="47" s="334" customFormat="1" hidden="1" spans="1:17">
      <c r="A47" s="334" t="s">
        <v>18</v>
      </c>
      <c r="B47" s="400">
        <v>45188</v>
      </c>
      <c r="C47" s="401">
        <v>56</v>
      </c>
      <c r="D47" s="347"/>
      <c r="E47" s="347"/>
      <c r="F47" s="347"/>
      <c r="G47" s="348" t="s">
        <v>22</v>
      </c>
      <c r="H47" s="347">
        <v>14</v>
      </c>
      <c r="I47" s="402">
        <v>10</v>
      </c>
      <c r="J47" s="402">
        <f t="shared" si="0"/>
        <v>140</v>
      </c>
      <c r="K47" s="349">
        <v>19</v>
      </c>
      <c r="L47" s="403">
        <f t="shared" si="1"/>
        <v>2660</v>
      </c>
      <c r="M47" s="425" t="s">
        <v>23</v>
      </c>
      <c r="N47" s="404"/>
      <c r="O47" s="349">
        <v>22.5</v>
      </c>
      <c r="P47" s="412">
        <f t="shared" si="2"/>
        <v>3150</v>
      </c>
      <c r="Q47" s="405"/>
    </row>
    <row r="48" s="334" customFormat="1" hidden="1" spans="1:17">
      <c r="A48" s="334" t="s">
        <v>18</v>
      </c>
      <c r="B48" s="400">
        <v>45188</v>
      </c>
      <c r="C48" s="401">
        <v>56</v>
      </c>
      <c r="D48" s="347"/>
      <c r="E48" s="347"/>
      <c r="F48" s="347"/>
      <c r="G48" s="348" t="s">
        <v>75</v>
      </c>
      <c r="H48" s="347">
        <v>1</v>
      </c>
      <c r="I48" s="402">
        <v>2.5</v>
      </c>
      <c r="J48" s="402">
        <f t="shared" si="0"/>
        <v>2.5</v>
      </c>
      <c r="K48" s="349">
        <v>45</v>
      </c>
      <c r="L48" s="403">
        <f t="shared" si="1"/>
        <v>112.5</v>
      </c>
      <c r="M48" s="425"/>
      <c r="N48" s="404">
        <f>SUM(L44:L49)</f>
        <v>7901.5</v>
      </c>
      <c r="O48" s="349">
        <v>60</v>
      </c>
      <c r="P48" s="412">
        <f t="shared" si="2"/>
        <v>150</v>
      </c>
      <c r="Q48" s="405">
        <f>SUM(P44:P48)</f>
        <v>9366.5</v>
      </c>
    </row>
    <row r="49" s="334" customFormat="1" hidden="1" spans="1:17">
      <c r="A49" s="334" t="s">
        <v>18</v>
      </c>
      <c r="B49" s="400">
        <v>45188</v>
      </c>
      <c r="C49" s="401">
        <v>56</v>
      </c>
      <c r="D49" s="347"/>
      <c r="E49" s="347"/>
      <c r="F49" s="347"/>
      <c r="G49" s="348" t="s">
        <v>76</v>
      </c>
      <c r="H49" s="347">
        <v>1</v>
      </c>
      <c r="I49" s="426">
        <v>19</v>
      </c>
      <c r="J49" s="426">
        <f t="shared" si="0"/>
        <v>19</v>
      </c>
      <c r="K49" s="349"/>
      <c r="L49" s="403"/>
      <c r="M49" s="425"/>
      <c r="N49" s="404"/>
      <c r="O49" s="349"/>
      <c r="P49" s="412"/>
      <c r="Q49" s="405"/>
    </row>
    <row r="50" s="390" customFormat="1" hidden="1" spans="1:17">
      <c r="A50" s="332" t="s">
        <v>18</v>
      </c>
      <c r="B50" s="427">
        <v>45192</v>
      </c>
      <c r="C50" s="428">
        <v>70</v>
      </c>
      <c r="D50" s="429">
        <v>9806</v>
      </c>
      <c r="E50" s="429"/>
      <c r="F50" s="429"/>
      <c r="G50" s="430" t="s">
        <v>29</v>
      </c>
      <c r="H50" s="429">
        <v>5</v>
      </c>
      <c r="I50" s="429">
        <v>28</v>
      </c>
      <c r="J50" s="431">
        <f t="shared" si="0"/>
        <v>140</v>
      </c>
      <c r="K50" s="432">
        <v>10.1</v>
      </c>
      <c r="L50" s="433">
        <f t="shared" ref="L50:L60" si="3">J50*K50</f>
        <v>1414</v>
      </c>
      <c r="M50" s="434" t="s">
        <v>61</v>
      </c>
      <c r="N50" s="435"/>
      <c r="O50" s="349">
        <v>11</v>
      </c>
      <c r="P50" s="436">
        <f t="shared" ref="P50:P60" si="4">J50*O50</f>
        <v>1540</v>
      </c>
      <c r="Q50" s="437"/>
    </row>
    <row r="51" s="390" customFormat="1" hidden="1" spans="1:17">
      <c r="A51" s="332" t="s">
        <v>18</v>
      </c>
      <c r="B51" s="427">
        <v>45192</v>
      </c>
      <c r="C51" s="428">
        <v>70</v>
      </c>
      <c r="D51" s="429" t="s">
        <v>34</v>
      </c>
      <c r="E51" s="429"/>
      <c r="F51" s="429"/>
      <c r="G51" s="430" t="s">
        <v>35</v>
      </c>
      <c r="H51" s="429">
        <v>1</v>
      </c>
      <c r="I51" s="429">
        <v>180</v>
      </c>
      <c r="J51" s="431">
        <f t="shared" si="0"/>
        <v>180</v>
      </c>
      <c r="K51" s="432">
        <v>7</v>
      </c>
      <c r="L51" s="433">
        <f t="shared" si="3"/>
        <v>1260</v>
      </c>
      <c r="M51" s="429"/>
      <c r="N51" s="435"/>
      <c r="O51" s="349">
        <v>7.5</v>
      </c>
      <c r="P51" s="429">
        <f t="shared" si="4"/>
        <v>1350</v>
      </c>
      <c r="Q51" s="437"/>
    </row>
    <row r="52" s="390" customFormat="1" hidden="1" spans="1:17">
      <c r="A52" s="332" t="s">
        <v>18</v>
      </c>
      <c r="B52" s="427">
        <v>45192</v>
      </c>
      <c r="C52" s="428">
        <v>70</v>
      </c>
      <c r="D52" s="429" t="s">
        <v>51</v>
      </c>
      <c r="E52" s="429"/>
      <c r="F52" s="429"/>
      <c r="G52" s="430" t="s">
        <v>39</v>
      </c>
      <c r="H52" s="429">
        <v>1</v>
      </c>
      <c r="I52" s="429">
        <v>180</v>
      </c>
      <c r="J52" s="431">
        <f t="shared" si="0"/>
        <v>180</v>
      </c>
      <c r="K52" s="432">
        <v>9.5</v>
      </c>
      <c r="L52" s="433">
        <f t="shared" si="3"/>
        <v>1710</v>
      </c>
      <c r="M52" s="429"/>
      <c r="N52" s="435"/>
      <c r="O52" s="349">
        <v>10.5</v>
      </c>
      <c r="P52" s="429">
        <f t="shared" si="4"/>
        <v>1890</v>
      </c>
      <c r="Q52" s="437">
        <f>SUM(P50:P52)</f>
        <v>4780</v>
      </c>
    </row>
    <row r="53" s="389" customFormat="1" hidden="1" spans="1:17">
      <c r="A53" s="334" t="s">
        <v>18</v>
      </c>
      <c r="B53" s="400">
        <v>45194</v>
      </c>
      <c r="C53" s="401">
        <v>73</v>
      </c>
      <c r="D53" s="347" t="s">
        <v>77</v>
      </c>
      <c r="E53" s="347"/>
      <c r="F53" s="347"/>
      <c r="G53" s="348" t="s">
        <v>78</v>
      </c>
      <c r="H53" s="347">
        <v>1</v>
      </c>
      <c r="I53" s="347">
        <v>23</v>
      </c>
      <c r="J53" s="402">
        <f t="shared" si="0"/>
        <v>23</v>
      </c>
      <c r="K53" s="349">
        <v>20</v>
      </c>
      <c r="L53" s="403">
        <f t="shared" si="3"/>
        <v>460</v>
      </c>
      <c r="M53" s="422" t="s">
        <v>79</v>
      </c>
      <c r="N53" s="404"/>
      <c r="O53" s="349">
        <v>22.5</v>
      </c>
      <c r="P53" s="347">
        <f t="shared" si="4"/>
        <v>517.5</v>
      </c>
      <c r="Q53" s="405"/>
    </row>
    <row r="54" s="389" customFormat="1" hidden="1" spans="1:17">
      <c r="A54" s="334" t="s">
        <v>18</v>
      </c>
      <c r="B54" s="400">
        <v>45194</v>
      </c>
      <c r="C54" s="401">
        <v>73</v>
      </c>
      <c r="D54" s="347" t="s">
        <v>80</v>
      </c>
      <c r="E54" s="347"/>
      <c r="F54" s="347"/>
      <c r="G54" s="348" t="s">
        <v>81</v>
      </c>
      <c r="H54" s="347">
        <v>1</v>
      </c>
      <c r="I54" s="347">
        <v>22</v>
      </c>
      <c r="J54" s="402">
        <f t="shared" si="0"/>
        <v>22</v>
      </c>
      <c r="K54" s="349">
        <v>20</v>
      </c>
      <c r="L54" s="403">
        <f t="shared" si="3"/>
        <v>440</v>
      </c>
      <c r="M54" s="422" t="s">
        <v>79</v>
      </c>
      <c r="N54" s="404"/>
      <c r="O54" s="349">
        <v>22.5</v>
      </c>
      <c r="P54" s="347">
        <f t="shared" si="4"/>
        <v>495</v>
      </c>
      <c r="Q54" s="405"/>
    </row>
    <row r="55" s="334" customFormat="1" hidden="1" spans="1:17">
      <c r="A55" s="334" t="s">
        <v>18</v>
      </c>
      <c r="B55" s="400">
        <v>45194</v>
      </c>
      <c r="C55" s="401">
        <v>73</v>
      </c>
      <c r="D55" s="347"/>
      <c r="E55" s="347"/>
      <c r="F55" s="347"/>
      <c r="G55" s="348" t="s">
        <v>22</v>
      </c>
      <c r="H55" s="347">
        <v>2</v>
      </c>
      <c r="I55" s="402">
        <v>10</v>
      </c>
      <c r="J55" s="402">
        <f t="shared" si="0"/>
        <v>20</v>
      </c>
      <c r="K55" s="349">
        <v>19</v>
      </c>
      <c r="L55" s="403">
        <f t="shared" si="3"/>
        <v>380</v>
      </c>
      <c r="M55" s="347"/>
      <c r="N55" s="404">
        <f>SUM(L53:L55)</f>
        <v>1280</v>
      </c>
      <c r="O55" s="349">
        <v>22.5</v>
      </c>
      <c r="P55" s="412">
        <f t="shared" si="4"/>
        <v>450</v>
      </c>
      <c r="Q55" s="405">
        <f>SUM(P53:P55)</f>
        <v>1462.5</v>
      </c>
    </row>
    <row r="56" s="332" customFormat="1" hidden="1" spans="1:17">
      <c r="A56" s="332" t="s">
        <v>18</v>
      </c>
      <c r="B56" s="409">
        <v>45196</v>
      </c>
      <c r="C56" s="410">
        <v>78</v>
      </c>
      <c r="D56" s="338" t="s">
        <v>54</v>
      </c>
      <c r="E56" s="338"/>
      <c r="F56" s="338"/>
      <c r="G56" s="337" t="s">
        <v>44</v>
      </c>
      <c r="H56" s="338">
        <v>1</v>
      </c>
      <c r="I56" s="338">
        <v>4</v>
      </c>
      <c r="J56" s="342">
        <f t="shared" si="0"/>
        <v>4</v>
      </c>
      <c r="K56" s="339">
        <v>20</v>
      </c>
      <c r="L56" s="395">
        <f t="shared" si="3"/>
        <v>80</v>
      </c>
      <c r="M56" s="344" t="s">
        <v>82</v>
      </c>
      <c r="N56" s="394"/>
      <c r="O56" s="349">
        <v>22.5</v>
      </c>
      <c r="P56" s="338">
        <f t="shared" si="4"/>
        <v>90</v>
      </c>
      <c r="Q56" s="396"/>
    </row>
    <row r="57" s="332" customFormat="1" hidden="1" spans="1:17">
      <c r="A57" s="332" t="s">
        <v>18</v>
      </c>
      <c r="B57" s="409">
        <v>45196</v>
      </c>
      <c r="C57" s="410">
        <v>78</v>
      </c>
      <c r="D57" s="338">
        <v>9806</v>
      </c>
      <c r="E57" s="338"/>
      <c r="F57" s="338"/>
      <c r="G57" s="337" t="s">
        <v>29</v>
      </c>
      <c r="H57" s="338">
        <v>10</v>
      </c>
      <c r="I57" s="338">
        <v>28</v>
      </c>
      <c r="J57" s="342">
        <f t="shared" si="0"/>
        <v>280</v>
      </c>
      <c r="K57" s="339">
        <v>10.1</v>
      </c>
      <c r="L57" s="395">
        <f t="shared" si="3"/>
        <v>2828</v>
      </c>
      <c r="M57" s="152" t="s">
        <v>61</v>
      </c>
      <c r="N57" s="394"/>
      <c r="O57" s="349">
        <v>11</v>
      </c>
      <c r="P57" s="340">
        <f t="shared" si="4"/>
        <v>3080</v>
      </c>
      <c r="Q57" s="396"/>
    </row>
    <row r="58" s="332" customFormat="1" hidden="1" spans="1:17">
      <c r="A58" s="332" t="s">
        <v>18</v>
      </c>
      <c r="B58" s="409">
        <v>45196</v>
      </c>
      <c r="C58" s="410">
        <v>78</v>
      </c>
      <c r="D58" s="338" t="s">
        <v>31</v>
      </c>
      <c r="E58" s="338"/>
      <c r="F58" s="338"/>
      <c r="G58" s="337" t="s">
        <v>32</v>
      </c>
      <c r="H58" s="338">
        <v>5</v>
      </c>
      <c r="I58" s="338">
        <v>25</v>
      </c>
      <c r="J58" s="342">
        <f t="shared" si="0"/>
        <v>125</v>
      </c>
      <c r="K58" s="339">
        <v>13.5</v>
      </c>
      <c r="L58" s="395">
        <f t="shared" si="3"/>
        <v>1687.5</v>
      </c>
      <c r="M58" s="338" t="s">
        <v>33</v>
      </c>
      <c r="N58" s="394">
        <f>SUM(L56:L58)</f>
        <v>4595.5</v>
      </c>
      <c r="O58" s="349">
        <v>14.5</v>
      </c>
      <c r="P58" s="338">
        <f t="shared" si="4"/>
        <v>1812.5</v>
      </c>
      <c r="Q58" s="396">
        <f>SUM(P56:P58)</f>
        <v>4982.5</v>
      </c>
    </row>
    <row r="59" s="334" customFormat="1" hidden="1" spans="1:17">
      <c r="A59" s="334" t="s">
        <v>18</v>
      </c>
      <c r="B59" s="400">
        <v>45197</v>
      </c>
      <c r="C59" s="401" t="s">
        <v>83</v>
      </c>
      <c r="D59" s="347" t="s">
        <v>20</v>
      </c>
      <c r="E59" s="347"/>
      <c r="F59" s="347"/>
      <c r="G59" s="348" t="s">
        <v>21</v>
      </c>
      <c r="H59" s="347">
        <v>1</v>
      </c>
      <c r="I59" s="347">
        <v>23</v>
      </c>
      <c r="J59" s="402">
        <f t="shared" si="0"/>
        <v>23</v>
      </c>
      <c r="K59" s="349">
        <v>26</v>
      </c>
      <c r="L59" s="403">
        <f t="shared" si="3"/>
        <v>598</v>
      </c>
      <c r="M59" s="347"/>
      <c r="N59" s="404"/>
      <c r="O59" s="349">
        <v>28</v>
      </c>
      <c r="P59" s="347">
        <f t="shared" si="4"/>
        <v>644</v>
      </c>
      <c r="Q59" s="405"/>
    </row>
    <row r="60" s="334" customFormat="1" hidden="1" spans="1:17">
      <c r="A60" s="334" t="s">
        <v>18</v>
      </c>
      <c r="B60" s="400">
        <v>45197</v>
      </c>
      <c r="C60" s="401" t="s">
        <v>83</v>
      </c>
      <c r="D60" s="347" t="s">
        <v>84</v>
      </c>
      <c r="E60" s="347"/>
      <c r="F60" s="347"/>
      <c r="G60" s="348" t="s">
        <v>85</v>
      </c>
      <c r="H60" s="347">
        <v>1</v>
      </c>
      <c r="I60" s="347">
        <v>4</v>
      </c>
      <c r="J60" s="402">
        <f t="shared" ref="J60:J93" si="5">H60*I60</f>
        <v>4</v>
      </c>
      <c r="K60" s="349">
        <v>20</v>
      </c>
      <c r="L60" s="403">
        <f t="shared" ref="L60:L93" si="6">J60*K60</f>
        <v>80</v>
      </c>
      <c r="M60" s="347" t="s">
        <v>79</v>
      </c>
      <c r="N60" s="404"/>
      <c r="O60" s="349">
        <v>22.5</v>
      </c>
      <c r="P60" s="347">
        <f t="shared" ref="P60:P67" si="7">J60*O60</f>
        <v>90</v>
      </c>
      <c r="Q60" s="405"/>
    </row>
    <row r="61" s="334" customFormat="1" hidden="1" spans="1:17">
      <c r="A61" s="334" t="s">
        <v>18</v>
      </c>
      <c r="B61" s="400">
        <v>45197</v>
      </c>
      <c r="C61" s="401" t="s">
        <v>83</v>
      </c>
      <c r="D61" s="347" t="s">
        <v>86</v>
      </c>
      <c r="E61" s="347"/>
      <c r="F61" s="347"/>
      <c r="G61" s="348" t="s">
        <v>87</v>
      </c>
      <c r="H61" s="347">
        <v>1</v>
      </c>
      <c r="I61" s="347">
        <v>4</v>
      </c>
      <c r="J61" s="402">
        <f t="shared" si="5"/>
        <v>4</v>
      </c>
      <c r="K61" s="349">
        <v>20</v>
      </c>
      <c r="L61" s="403">
        <f t="shared" si="6"/>
        <v>80</v>
      </c>
      <c r="M61" s="347" t="s">
        <v>79</v>
      </c>
      <c r="N61" s="404"/>
      <c r="O61" s="349">
        <v>22.5</v>
      </c>
      <c r="P61" s="347">
        <f t="shared" si="7"/>
        <v>90</v>
      </c>
      <c r="Q61" s="405"/>
    </row>
    <row r="62" s="334" customFormat="1" hidden="1" spans="1:17">
      <c r="A62" s="334" t="s">
        <v>18</v>
      </c>
      <c r="B62" s="400">
        <v>45197</v>
      </c>
      <c r="C62" s="401" t="s">
        <v>83</v>
      </c>
      <c r="D62" s="347" t="s">
        <v>88</v>
      </c>
      <c r="E62" s="347"/>
      <c r="F62" s="347"/>
      <c r="G62" s="348" t="s">
        <v>89</v>
      </c>
      <c r="H62" s="347">
        <v>1</v>
      </c>
      <c r="I62" s="347">
        <v>4</v>
      </c>
      <c r="J62" s="402">
        <f t="shared" si="5"/>
        <v>4</v>
      </c>
      <c r="K62" s="349">
        <v>20</v>
      </c>
      <c r="L62" s="403">
        <f t="shared" si="6"/>
        <v>80</v>
      </c>
      <c r="M62" s="347" t="s">
        <v>79</v>
      </c>
      <c r="N62" s="404"/>
      <c r="O62" s="349">
        <v>22.5</v>
      </c>
      <c r="P62" s="347">
        <f t="shared" si="7"/>
        <v>90</v>
      </c>
      <c r="Q62" s="405"/>
    </row>
    <row r="63" s="334" customFormat="1" hidden="1" spans="1:17">
      <c r="A63" s="334" t="s">
        <v>18</v>
      </c>
      <c r="B63" s="400">
        <v>45197</v>
      </c>
      <c r="C63" s="401" t="s">
        <v>83</v>
      </c>
      <c r="D63" s="347" t="s">
        <v>90</v>
      </c>
      <c r="E63" s="347"/>
      <c r="F63" s="347"/>
      <c r="G63" s="348" t="s">
        <v>91</v>
      </c>
      <c r="H63" s="347">
        <v>1</v>
      </c>
      <c r="I63" s="347">
        <v>4</v>
      </c>
      <c r="J63" s="402">
        <f t="shared" si="5"/>
        <v>4</v>
      </c>
      <c r="K63" s="349">
        <v>20</v>
      </c>
      <c r="L63" s="403">
        <f t="shared" si="6"/>
        <v>80</v>
      </c>
      <c r="M63" s="347" t="s">
        <v>79</v>
      </c>
      <c r="N63" s="404"/>
      <c r="O63" s="349">
        <v>22.5</v>
      </c>
      <c r="P63" s="347">
        <f t="shared" si="7"/>
        <v>90</v>
      </c>
      <c r="Q63" s="405"/>
    </row>
    <row r="64" s="334" customFormat="1" hidden="1" spans="1:17">
      <c r="A64" s="334" t="s">
        <v>18</v>
      </c>
      <c r="B64" s="400">
        <v>45197</v>
      </c>
      <c r="C64" s="401" t="s">
        <v>83</v>
      </c>
      <c r="D64" s="347"/>
      <c r="E64" s="347"/>
      <c r="F64" s="347"/>
      <c r="G64" s="348" t="s">
        <v>22</v>
      </c>
      <c r="H64" s="347">
        <v>2</v>
      </c>
      <c r="I64" s="347">
        <v>10</v>
      </c>
      <c r="J64" s="402">
        <f t="shared" si="5"/>
        <v>20</v>
      </c>
      <c r="K64" s="349">
        <v>19</v>
      </c>
      <c r="L64" s="403">
        <f t="shared" si="6"/>
        <v>380</v>
      </c>
      <c r="M64" s="425" t="s">
        <v>92</v>
      </c>
      <c r="N64" s="404"/>
      <c r="O64" s="349">
        <v>22.5</v>
      </c>
      <c r="P64" s="347">
        <f t="shared" si="7"/>
        <v>450</v>
      </c>
      <c r="Q64" s="405"/>
    </row>
    <row r="65" s="390" customFormat="1" hidden="1" spans="1:18">
      <c r="A65" s="334" t="s">
        <v>18</v>
      </c>
      <c r="B65" s="400">
        <v>45197</v>
      </c>
      <c r="C65" s="401" t="s">
        <v>83</v>
      </c>
      <c r="D65" s="347" t="s">
        <v>34</v>
      </c>
      <c r="E65" s="347"/>
      <c r="F65" s="347"/>
      <c r="G65" s="348" t="s">
        <v>35</v>
      </c>
      <c r="H65" s="347">
        <v>1</v>
      </c>
      <c r="I65" s="347">
        <v>180</v>
      </c>
      <c r="J65" s="402">
        <f t="shared" si="5"/>
        <v>180</v>
      </c>
      <c r="K65" s="349">
        <v>7</v>
      </c>
      <c r="L65" s="403">
        <f t="shared" si="6"/>
        <v>1260</v>
      </c>
      <c r="M65" s="347"/>
      <c r="N65" s="435">
        <f>SUM(L59:L65)</f>
        <v>2558</v>
      </c>
      <c r="O65" s="349">
        <v>7.5</v>
      </c>
      <c r="P65" s="347">
        <f t="shared" si="7"/>
        <v>1350</v>
      </c>
      <c r="Q65" s="437">
        <f>SUM(P59:P65)</f>
        <v>2804</v>
      </c>
    </row>
    <row r="66" s="390" customFormat="1" hidden="1" spans="1:18">
      <c r="A66" s="332" t="s">
        <v>93</v>
      </c>
      <c r="B66" s="427">
        <v>45211</v>
      </c>
      <c r="C66" s="428">
        <v>26</v>
      </c>
      <c r="D66" s="429">
        <v>9804</v>
      </c>
      <c r="E66" s="429"/>
      <c r="F66" s="429"/>
      <c r="G66" s="430" t="s">
        <v>94</v>
      </c>
      <c r="H66" s="429">
        <v>3</v>
      </c>
      <c r="I66" s="429">
        <v>28</v>
      </c>
      <c r="J66" s="431">
        <f t="shared" si="5"/>
        <v>84</v>
      </c>
      <c r="K66" s="432">
        <v>9.5</v>
      </c>
      <c r="L66" s="433">
        <f t="shared" si="6"/>
        <v>798</v>
      </c>
      <c r="M66" s="434">
        <v>9804</v>
      </c>
      <c r="N66" s="435"/>
      <c r="O66" s="349">
        <v>10.5</v>
      </c>
      <c r="P66" s="436">
        <f t="shared" ref="P66:P98" si="8">J66*O66</f>
        <v>882</v>
      </c>
      <c r="Q66" s="437"/>
      <c r="R66" s="390" t="s">
        <v>95</v>
      </c>
    </row>
    <row r="67" s="390" customFormat="1" hidden="1" spans="1:18">
      <c r="A67" s="332" t="s">
        <v>93</v>
      </c>
      <c r="B67" s="427">
        <v>45211</v>
      </c>
      <c r="C67" s="428">
        <v>26</v>
      </c>
      <c r="D67" s="429" t="s">
        <v>96</v>
      </c>
      <c r="E67" s="429"/>
      <c r="F67" s="429"/>
      <c r="G67" s="430" t="s">
        <v>35</v>
      </c>
      <c r="H67" s="429">
        <v>3</v>
      </c>
      <c r="I67" s="429">
        <v>18</v>
      </c>
      <c r="J67" s="431">
        <f t="shared" si="5"/>
        <v>54</v>
      </c>
      <c r="K67" s="432">
        <v>6.5</v>
      </c>
      <c r="L67" s="433">
        <f t="shared" si="6"/>
        <v>351</v>
      </c>
      <c r="M67" s="438" t="s">
        <v>97</v>
      </c>
      <c r="N67" s="435">
        <f>SUM(L66:L67)</f>
        <v>1149</v>
      </c>
      <c r="O67" s="349">
        <v>7</v>
      </c>
      <c r="P67" s="429">
        <f t="shared" si="8"/>
        <v>378</v>
      </c>
      <c r="Q67" s="437">
        <f>SUM(P66:P67)</f>
        <v>1260</v>
      </c>
      <c r="R67" s="390" t="s">
        <v>95</v>
      </c>
    </row>
    <row r="68" s="334" customFormat="1" hidden="1" spans="1:18">
      <c r="A68" s="334" t="s">
        <v>18</v>
      </c>
      <c r="B68" s="400">
        <v>45211</v>
      </c>
      <c r="C68" s="401">
        <v>27</v>
      </c>
      <c r="D68" s="347">
        <v>9806</v>
      </c>
      <c r="E68" s="347"/>
      <c r="F68" s="347"/>
      <c r="G68" s="348" t="s">
        <v>29</v>
      </c>
      <c r="H68" s="347">
        <v>10</v>
      </c>
      <c r="I68" s="347">
        <v>28</v>
      </c>
      <c r="J68" s="402">
        <f t="shared" si="5"/>
        <v>280</v>
      </c>
      <c r="K68" s="349">
        <v>10.1</v>
      </c>
      <c r="L68" s="403">
        <f t="shared" si="6"/>
        <v>2828</v>
      </c>
      <c r="M68" s="424" t="s">
        <v>61</v>
      </c>
      <c r="N68" s="404"/>
      <c r="O68" s="349">
        <v>11</v>
      </c>
      <c r="P68" s="412">
        <f t="shared" si="8"/>
        <v>3080</v>
      </c>
      <c r="Q68" s="405"/>
    </row>
    <row r="69" s="332" customFormat="1" hidden="1" spans="1:18">
      <c r="A69" s="332" t="s">
        <v>18</v>
      </c>
      <c r="B69" s="409">
        <v>45216</v>
      </c>
      <c r="C69" s="410">
        <v>36</v>
      </c>
      <c r="D69" s="338" t="s">
        <v>34</v>
      </c>
      <c r="E69" s="338"/>
      <c r="F69" s="338"/>
      <c r="G69" s="337" t="s">
        <v>35</v>
      </c>
      <c r="H69" s="338">
        <v>1</v>
      </c>
      <c r="I69" s="338">
        <v>180</v>
      </c>
      <c r="J69" s="342">
        <f t="shared" si="5"/>
        <v>180</v>
      </c>
      <c r="K69" s="339">
        <v>7</v>
      </c>
      <c r="L69" s="395">
        <f t="shared" si="6"/>
        <v>1260</v>
      </c>
      <c r="M69" s="338"/>
      <c r="N69" s="394"/>
      <c r="O69" s="349">
        <v>7.5</v>
      </c>
      <c r="P69" s="338">
        <f t="shared" si="8"/>
        <v>1350</v>
      </c>
      <c r="Q69" s="396"/>
    </row>
    <row r="70" s="332" customFormat="1" spans="1:18">
      <c r="A70" s="332" t="s">
        <v>18</v>
      </c>
      <c r="B70" s="409">
        <v>45216</v>
      </c>
      <c r="C70" s="410">
        <v>36</v>
      </c>
      <c r="D70" s="338" t="s">
        <v>73</v>
      </c>
      <c r="E70" s="338"/>
      <c r="F70" s="338"/>
      <c r="G70" s="337" t="s">
        <v>41</v>
      </c>
      <c r="H70" s="342">
        <v>1</v>
      </c>
      <c r="I70" s="338">
        <v>22</v>
      </c>
      <c r="J70" s="342">
        <f t="shared" si="5"/>
        <v>22</v>
      </c>
      <c r="K70" s="339">
        <v>14.5</v>
      </c>
      <c r="L70" s="395">
        <f t="shared" si="6"/>
        <v>319</v>
      </c>
      <c r="M70" s="337" t="s">
        <v>74</v>
      </c>
      <c r="N70" s="394"/>
      <c r="O70" s="349">
        <v>17</v>
      </c>
      <c r="P70" s="338">
        <f t="shared" si="8"/>
        <v>374</v>
      </c>
      <c r="Q70" s="396"/>
    </row>
    <row r="71" s="332" customFormat="1" hidden="1" spans="1:18">
      <c r="A71" s="332" t="s">
        <v>18</v>
      </c>
      <c r="B71" s="409">
        <v>45216</v>
      </c>
      <c r="C71" s="410">
        <v>36</v>
      </c>
      <c r="D71" s="338" t="s">
        <v>98</v>
      </c>
      <c r="E71" s="338"/>
      <c r="F71" s="338"/>
      <c r="G71" s="337" t="s">
        <v>99</v>
      </c>
      <c r="H71" s="338">
        <v>1</v>
      </c>
      <c r="I71" s="338">
        <v>20</v>
      </c>
      <c r="J71" s="342">
        <f t="shared" si="5"/>
        <v>20</v>
      </c>
      <c r="K71" s="339">
        <v>18</v>
      </c>
      <c r="L71" s="395">
        <f t="shared" si="6"/>
        <v>360</v>
      </c>
      <c r="M71" s="337" t="s">
        <v>100</v>
      </c>
      <c r="N71" s="394"/>
      <c r="O71" s="349">
        <v>22.5</v>
      </c>
      <c r="P71" s="338">
        <f t="shared" si="8"/>
        <v>450</v>
      </c>
      <c r="Q71" s="396"/>
    </row>
    <row r="72" s="332" customFormat="1" hidden="1" spans="1:18">
      <c r="A72" s="332" t="s">
        <v>18</v>
      </c>
      <c r="B72" s="409">
        <v>45216</v>
      </c>
      <c r="C72" s="410">
        <v>36</v>
      </c>
      <c r="D72" s="338"/>
      <c r="E72" s="338"/>
      <c r="F72" s="338"/>
      <c r="G72" s="337" t="s">
        <v>22</v>
      </c>
      <c r="H72" s="338">
        <v>1</v>
      </c>
      <c r="I72" s="342">
        <v>10</v>
      </c>
      <c r="J72" s="342">
        <f t="shared" si="5"/>
        <v>10</v>
      </c>
      <c r="K72" s="339">
        <v>19</v>
      </c>
      <c r="L72" s="395">
        <f t="shared" si="6"/>
        <v>190</v>
      </c>
      <c r="M72" s="336" t="s">
        <v>23</v>
      </c>
      <c r="N72" s="394">
        <f>SUM(L69:L72)</f>
        <v>2129</v>
      </c>
      <c r="O72" s="349">
        <v>22.5</v>
      </c>
      <c r="P72" s="338">
        <f t="shared" si="8"/>
        <v>225</v>
      </c>
      <c r="Q72" s="396">
        <f>SUM(P69:P72)</f>
        <v>2399</v>
      </c>
    </row>
    <row r="73" s="334" customFormat="1" hidden="1" spans="1:18">
      <c r="A73" s="334" t="s">
        <v>18</v>
      </c>
      <c r="B73" s="400">
        <v>45219</v>
      </c>
      <c r="C73" s="401">
        <v>42</v>
      </c>
      <c r="D73" s="347">
        <v>9806</v>
      </c>
      <c r="E73" s="347"/>
      <c r="F73" s="347"/>
      <c r="G73" s="348" t="s">
        <v>29</v>
      </c>
      <c r="H73" s="347">
        <v>10</v>
      </c>
      <c r="I73" s="347">
        <v>28</v>
      </c>
      <c r="J73" s="402">
        <f t="shared" si="5"/>
        <v>280</v>
      </c>
      <c r="K73" s="349">
        <v>10.1</v>
      </c>
      <c r="L73" s="403">
        <f t="shared" si="6"/>
        <v>2828</v>
      </c>
      <c r="M73" s="424" t="s">
        <v>61</v>
      </c>
      <c r="N73" s="404"/>
      <c r="O73" s="349">
        <v>11</v>
      </c>
      <c r="P73" s="412">
        <f t="shared" si="8"/>
        <v>3080</v>
      </c>
      <c r="Q73" s="405"/>
    </row>
    <row r="74" s="332" customFormat="1" hidden="1" spans="1:18">
      <c r="A74" s="332" t="s">
        <v>18</v>
      </c>
      <c r="B74" s="409">
        <v>45220</v>
      </c>
      <c r="C74" s="410">
        <v>46</v>
      </c>
      <c r="D74" s="338" t="s">
        <v>43</v>
      </c>
      <c r="E74" s="338"/>
      <c r="F74" s="338"/>
      <c r="G74" s="337" t="s">
        <v>44</v>
      </c>
      <c r="H74" s="338">
        <v>1</v>
      </c>
      <c r="I74" s="338">
        <v>2</v>
      </c>
      <c r="J74" s="342">
        <f t="shared" si="5"/>
        <v>2</v>
      </c>
      <c r="K74" s="339">
        <v>20</v>
      </c>
      <c r="L74" s="395">
        <f t="shared" si="6"/>
        <v>40</v>
      </c>
      <c r="M74" s="336"/>
      <c r="N74" s="394"/>
      <c r="O74" s="349">
        <v>22.5</v>
      </c>
      <c r="P74" s="338">
        <f t="shared" si="8"/>
        <v>45</v>
      </c>
      <c r="Q74" s="396"/>
    </row>
    <row r="75" s="388" customFormat="1" hidden="1" spans="1:18">
      <c r="A75" s="332" t="s">
        <v>18</v>
      </c>
      <c r="B75" s="409">
        <v>45220</v>
      </c>
      <c r="C75" s="410">
        <v>46</v>
      </c>
      <c r="D75" s="338" t="s">
        <v>63</v>
      </c>
      <c r="E75" s="338"/>
      <c r="F75" s="338"/>
      <c r="G75" s="337" t="s">
        <v>64</v>
      </c>
      <c r="H75" s="338">
        <v>1</v>
      </c>
      <c r="I75" s="338">
        <v>3</v>
      </c>
      <c r="J75" s="342">
        <f t="shared" si="5"/>
        <v>3</v>
      </c>
      <c r="K75" s="339">
        <v>20</v>
      </c>
      <c r="L75" s="395">
        <f t="shared" si="6"/>
        <v>60</v>
      </c>
      <c r="M75" s="344"/>
      <c r="N75" s="394">
        <f>SUM(L74:L75)</f>
        <v>100</v>
      </c>
      <c r="O75" s="349">
        <v>22.5</v>
      </c>
      <c r="P75" s="338">
        <f t="shared" si="8"/>
        <v>67.5</v>
      </c>
      <c r="Q75" s="420"/>
    </row>
    <row r="76" s="334" customFormat="1" hidden="1" spans="1:18">
      <c r="A76" s="334" t="s">
        <v>18</v>
      </c>
      <c r="B76" s="400">
        <v>45223</v>
      </c>
      <c r="C76" s="401">
        <v>55</v>
      </c>
      <c r="D76" s="347" t="s">
        <v>51</v>
      </c>
      <c r="E76" s="347"/>
      <c r="F76" s="347"/>
      <c r="G76" s="348" t="s">
        <v>39</v>
      </c>
      <c r="H76" s="347">
        <v>1</v>
      </c>
      <c r="I76" s="347">
        <v>180</v>
      </c>
      <c r="J76" s="402">
        <f t="shared" si="5"/>
        <v>180</v>
      </c>
      <c r="K76" s="349">
        <v>9.5</v>
      </c>
      <c r="L76" s="403">
        <f t="shared" si="6"/>
        <v>1710</v>
      </c>
      <c r="M76" s="347"/>
      <c r="N76" s="404"/>
      <c r="O76" s="349">
        <v>10.5</v>
      </c>
      <c r="P76" s="347">
        <f t="shared" si="8"/>
        <v>1890</v>
      </c>
      <c r="Q76" s="405"/>
    </row>
    <row r="77" s="334" customFormat="1" hidden="1" spans="1:18">
      <c r="A77" s="334" t="s">
        <v>18</v>
      </c>
      <c r="B77" s="400">
        <v>45223</v>
      </c>
      <c r="C77" s="401">
        <v>55</v>
      </c>
      <c r="D77" s="347"/>
      <c r="E77" s="347"/>
      <c r="F77" s="347"/>
      <c r="G77" s="348" t="s">
        <v>101</v>
      </c>
      <c r="H77" s="347">
        <v>1</v>
      </c>
      <c r="I77" s="347">
        <v>23</v>
      </c>
      <c r="J77" s="402">
        <f t="shared" si="5"/>
        <v>23</v>
      </c>
      <c r="K77" s="349">
        <v>20</v>
      </c>
      <c r="L77" s="403">
        <f t="shared" si="6"/>
        <v>460</v>
      </c>
      <c r="M77" s="347"/>
      <c r="N77" s="404"/>
      <c r="O77" s="349">
        <v>22.5</v>
      </c>
      <c r="P77" s="347">
        <f t="shared" si="8"/>
        <v>517.5</v>
      </c>
      <c r="Q77" s="405"/>
    </row>
    <row r="78" s="334" customFormat="1" hidden="1" spans="1:18">
      <c r="A78" s="334" t="s">
        <v>18</v>
      </c>
      <c r="B78" s="400">
        <v>45223</v>
      </c>
      <c r="C78" s="401">
        <v>55</v>
      </c>
      <c r="D78" s="347"/>
      <c r="E78" s="347"/>
      <c r="F78" s="347"/>
      <c r="G78" s="348" t="s">
        <v>101</v>
      </c>
      <c r="H78" s="347">
        <v>1</v>
      </c>
      <c r="I78" s="347">
        <v>2</v>
      </c>
      <c r="J78" s="402">
        <f t="shared" si="5"/>
        <v>2</v>
      </c>
      <c r="K78" s="349"/>
      <c r="L78" s="403">
        <f t="shared" si="6"/>
        <v>0</v>
      </c>
      <c r="M78" s="425" t="s">
        <v>102</v>
      </c>
      <c r="N78" s="404"/>
      <c r="O78" s="349"/>
      <c r="P78" s="347">
        <f t="shared" si="8"/>
        <v>0</v>
      </c>
      <c r="Q78" s="405"/>
    </row>
    <row r="79" s="334" customFormat="1" hidden="1" spans="1:18">
      <c r="A79" s="334" t="s">
        <v>18</v>
      </c>
      <c r="B79" s="400">
        <v>45223</v>
      </c>
      <c r="C79" s="401">
        <v>55</v>
      </c>
      <c r="D79" s="347"/>
      <c r="E79" s="347"/>
      <c r="F79" s="347"/>
      <c r="G79" s="348" t="s">
        <v>22</v>
      </c>
      <c r="H79" s="347">
        <v>1</v>
      </c>
      <c r="I79" s="402">
        <v>10</v>
      </c>
      <c r="J79" s="402">
        <f t="shared" si="5"/>
        <v>10</v>
      </c>
      <c r="K79" s="349">
        <v>19</v>
      </c>
      <c r="L79" s="403">
        <f t="shared" si="6"/>
        <v>190</v>
      </c>
      <c r="M79" s="425" t="s">
        <v>23</v>
      </c>
      <c r="N79" s="404">
        <f>SUM(L76:L79)</f>
        <v>2360</v>
      </c>
      <c r="O79" s="349">
        <v>22.5</v>
      </c>
      <c r="P79" s="347">
        <f t="shared" si="8"/>
        <v>225</v>
      </c>
      <c r="Q79" s="404">
        <f>SUM(P76:P79)</f>
        <v>2632.5</v>
      </c>
    </row>
    <row r="80" s="390" customFormat="1" hidden="1" spans="1:18">
      <c r="A80" s="332" t="s">
        <v>93</v>
      </c>
      <c r="B80" s="427">
        <v>45223</v>
      </c>
      <c r="C80" s="428">
        <v>57</v>
      </c>
      <c r="D80" s="429">
        <v>9804</v>
      </c>
      <c r="E80" s="429"/>
      <c r="F80" s="429"/>
      <c r="G80" s="430" t="s">
        <v>94</v>
      </c>
      <c r="H80" s="429">
        <v>5</v>
      </c>
      <c r="I80" s="429">
        <v>28</v>
      </c>
      <c r="J80" s="431">
        <f t="shared" si="5"/>
        <v>140</v>
      </c>
      <c r="K80" s="432">
        <v>9.5</v>
      </c>
      <c r="L80" s="433">
        <f t="shared" si="6"/>
        <v>1330</v>
      </c>
      <c r="M80" s="434" t="s">
        <v>103</v>
      </c>
      <c r="N80" s="435"/>
      <c r="O80" s="349">
        <v>10.5</v>
      </c>
      <c r="P80" s="436">
        <f t="shared" si="8"/>
        <v>1470</v>
      </c>
      <c r="Q80" s="437"/>
      <c r="R80" s="390" t="s">
        <v>95</v>
      </c>
    </row>
    <row r="81" s="390" customFormat="1" hidden="1" spans="1:19">
      <c r="A81" s="332" t="s">
        <v>93</v>
      </c>
      <c r="B81" s="427">
        <v>45223</v>
      </c>
      <c r="C81" s="428">
        <v>57</v>
      </c>
      <c r="D81" s="429" t="s">
        <v>96</v>
      </c>
      <c r="E81" s="429"/>
      <c r="F81" s="429"/>
      <c r="G81" s="430" t="s">
        <v>35</v>
      </c>
      <c r="H81" s="429">
        <v>1</v>
      </c>
      <c r="I81" s="429">
        <v>180</v>
      </c>
      <c r="J81" s="431">
        <f t="shared" si="5"/>
        <v>180</v>
      </c>
      <c r="K81" s="432">
        <v>6</v>
      </c>
      <c r="L81" s="433">
        <f t="shared" si="6"/>
        <v>1080</v>
      </c>
      <c r="M81" s="438" t="s">
        <v>97</v>
      </c>
      <c r="N81" s="435">
        <f>SUM(L80:L81)</f>
        <v>2410</v>
      </c>
      <c r="O81" s="349">
        <v>6.5</v>
      </c>
      <c r="P81" s="429">
        <f t="shared" si="8"/>
        <v>1170</v>
      </c>
      <c r="Q81" s="437">
        <f>SUM(P80:P81)</f>
        <v>2640</v>
      </c>
      <c r="R81" s="390" t="s">
        <v>104</v>
      </c>
    </row>
    <row r="82" s="334" customFormat="1" hidden="1" spans="1:19">
      <c r="A82" s="334" t="s">
        <v>18</v>
      </c>
      <c r="B82" s="400">
        <v>45225</v>
      </c>
      <c r="C82" s="401">
        <v>59</v>
      </c>
      <c r="D82" s="347"/>
      <c r="E82" s="347"/>
      <c r="F82" s="347"/>
      <c r="G82" s="348" t="s">
        <v>26</v>
      </c>
      <c r="H82" s="347">
        <v>1</v>
      </c>
      <c r="I82" s="347">
        <v>20</v>
      </c>
      <c r="J82" s="402">
        <f t="shared" si="5"/>
        <v>20</v>
      </c>
      <c r="K82" s="349">
        <v>25</v>
      </c>
      <c r="L82" s="403">
        <f t="shared" si="6"/>
        <v>500</v>
      </c>
      <c r="M82" s="439" t="s">
        <v>69</v>
      </c>
      <c r="N82" s="404"/>
      <c r="O82" s="349">
        <v>30</v>
      </c>
      <c r="P82" s="347">
        <f t="shared" si="8"/>
        <v>600</v>
      </c>
      <c r="Q82" s="405"/>
    </row>
    <row r="83" s="334" customFormat="1" hidden="1" spans="1:19">
      <c r="A83" s="334" t="s">
        <v>18</v>
      </c>
      <c r="B83" s="400">
        <v>45225</v>
      </c>
      <c r="C83" s="401">
        <v>59</v>
      </c>
      <c r="D83" s="347"/>
      <c r="E83" s="347"/>
      <c r="F83" s="347"/>
      <c r="G83" s="348" t="s">
        <v>22</v>
      </c>
      <c r="H83" s="347">
        <v>1</v>
      </c>
      <c r="I83" s="402">
        <v>10</v>
      </c>
      <c r="J83" s="402">
        <f t="shared" si="5"/>
        <v>10</v>
      </c>
      <c r="K83" s="349">
        <v>19</v>
      </c>
      <c r="L83" s="403">
        <f t="shared" si="6"/>
        <v>190</v>
      </c>
      <c r="M83" s="425" t="s">
        <v>23</v>
      </c>
      <c r="N83" s="404">
        <f t="shared" ref="N83:N87" si="9">SUM(L82:L83)</f>
        <v>690</v>
      </c>
      <c r="O83" s="349">
        <v>22.5</v>
      </c>
      <c r="P83" s="347">
        <f t="shared" si="8"/>
        <v>225</v>
      </c>
      <c r="Q83" s="405">
        <f t="shared" ref="Q83:Q87" si="10">SUM(P82:P83)</f>
        <v>825</v>
      </c>
    </row>
    <row r="84" s="332" customFormat="1" hidden="1" spans="1:19">
      <c r="A84" s="332" t="s">
        <v>18</v>
      </c>
      <c r="B84" s="409">
        <v>45225</v>
      </c>
      <c r="C84" s="410">
        <v>60</v>
      </c>
      <c r="D84" s="338" t="s">
        <v>31</v>
      </c>
      <c r="E84" s="338"/>
      <c r="F84" s="338"/>
      <c r="G84" s="337" t="s">
        <v>32</v>
      </c>
      <c r="H84" s="338">
        <v>5</v>
      </c>
      <c r="I84" s="338">
        <v>25</v>
      </c>
      <c r="J84" s="342">
        <f t="shared" si="5"/>
        <v>125</v>
      </c>
      <c r="K84" s="339">
        <v>13.5</v>
      </c>
      <c r="L84" s="395">
        <f t="shared" si="6"/>
        <v>1687.5</v>
      </c>
      <c r="M84" s="338" t="s">
        <v>33</v>
      </c>
      <c r="N84" s="394"/>
      <c r="O84" s="349">
        <v>14.5</v>
      </c>
      <c r="P84" s="338">
        <f t="shared" si="8"/>
        <v>1812.5</v>
      </c>
      <c r="Q84" s="396"/>
    </row>
    <row r="85" s="332" customFormat="1" hidden="1" spans="1:19">
      <c r="A85" s="332" t="s">
        <v>18</v>
      </c>
      <c r="B85" s="409">
        <v>45225</v>
      </c>
      <c r="C85" s="410">
        <v>60</v>
      </c>
      <c r="D85" s="338">
        <v>9806</v>
      </c>
      <c r="E85" s="338"/>
      <c r="F85" s="338"/>
      <c r="G85" s="337" t="s">
        <v>29</v>
      </c>
      <c r="H85" s="338">
        <v>10</v>
      </c>
      <c r="I85" s="338">
        <v>28</v>
      </c>
      <c r="J85" s="342">
        <f t="shared" si="5"/>
        <v>280</v>
      </c>
      <c r="K85" s="339">
        <v>10.1</v>
      </c>
      <c r="L85" s="395">
        <f t="shared" si="6"/>
        <v>2828</v>
      </c>
      <c r="M85" s="152" t="s">
        <v>61</v>
      </c>
      <c r="N85" s="394">
        <f t="shared" si="9"/>
        <v>4515.5</v>
      </c>
      <c r="O85" s="349">
        <v>11</v>
      </c>
      <c r="P85" s="340">
        <f t="shared" si="8"/>
        <v>3080</v>
      </c>
      <c r="Q85" s="396">
        <f t="shared" si="10"/>
        <v>4892.5</v>
      </c>
    </row>
    <row r="86" s="334" customFormat="1" hidden="1" spans="1:19">
      <c r="A86" s="334" t="s">
        <v>18</v>
      </c>
      <c r="B86" s="400">
        <v>45227</v>
      </c>
      <c r="C86" s="401">
        <v>69</v>
      </c>
      <c r="D86" s="347"/>
      <c r="E86" s="347"/>
      <c r="F86" s="347"/>
      <c r="G86" s="348" t="s">
        <v>105</v>
      </c>
      <c r="H86" s="347">
        <v>1</v>
      </c>
      <c r="I86" s="347">
        <v>4</v>
      </c>
      <c r="J86" s="402">
        <f t="shared" si="5"/>
        <v>4</v>
      </c>
      <c r="K86" s="402">
        <v>25</v>
      </c>
      <c r="L86" s="403">
        <f t="shared" si="6"/>
        <v>100</v>
      </c>
      <c r="M86" s="425" t="s">
        <v>106</v>
      </c>
      <c r="N86" s="404"/>
      <c r="O86" s="349">
        <v>31</v>
      </c>
      <c r="P86" s="347">
        <f t="shared" si="8"/>
        <v>124</v>
      </c>
      <c r="Q86" s="405"/>
    </row>
    <row r="87" s="334" customFormat="1" hidden="1" spans="1:19">
      <c r="A87" s="334" t="s">
        <v>18</v>
      </c>
      <c r="B87" s="400">
        <v>45227</v>
      </c>
      <c r="C87" s="401">
        <v>69</v>
      </c>
      <c r="D87" s="347" t="s">
        <v>34</v>
      </c>
      <c r="E87" s="347"/>
      <c r="F87" s="347"/>
      <c r="G87" s="348" t="s">
        <v>35</v>
      </c>
      <c r="H87" s="347">
        <v>1</v>
      </c>
      <c r="I87" s="347">
        <v>180</v>
      </c>
      <c r="J87" s="402">
        <f t="shared" si="5"/>
        <v>180</v>
      </c>
      <c r="K87" s="349">
        <v>7</v>
      </c>
      <c r="L87" s="403">
        <f t="shared" si="6"/>
        <v>1260</v>
      </c>
      <c r="M87" s="347"/>
      <c r="N87" s="404"/>
      <c r="O87" s="349">
        <v>7.5</v>
      </c>
      <c r="P87" s="347">
        <f t="shared" si="8"/>
        <v>1350</v>
      </c>
      <c r="Q87" s="405"/>
      <c r="R87" s="334" t="s">
        <v>107</v>
      </c>
    </row>
    <row r="88" s="334" customFormat="1" hidden="1" spans="1:19">
      <c r="A88" s="334" t="s">
        <v>18</v>
      </c>
      <c r="B88" s="400">
        <v>45227</v>
      </c>
      <c r="C88" s="401">
        <v>69</v>
      </c>
      <c r="D88" s="347"/>
      <c r="E88" s="347"/>
      <c r="F88" s="347"/>
      <c r="G88" s="348" t="s">
        <v>53</v>
      </c>
      <c r="H88" s="347">
        <v>1</v>
      </c>
      <c r="I88" s="402">
        <v>20</v>
      </c>
      <c r="J88" s="402">
        <f t="shared" si="5"/>
        <v>20</v>
      </c>
      <c r="K88" s="402">
        <v>20</v>
      </c>
      <c r="L88" s="403">
        <f t="shared" si="6"/>
        <v>400</v>
      </c>
      <c r="M88" s="347"/>
      <c r="N88" s="404">
        <f>SUM(L86:L88)</f>
        <v>1760</v>
      </c>
      <c r="O88" s="349">
        <v>22.5</v>
      </c>
      <c r="P88" s="347">
        <f t="shared" si="8"/>
        <v>450</v>
      </c>
      <c r="Q88" s="405">
        <f>SUM(P86:P88)</f>
        <v>1924</v>
      </c>
    </row>
    <row r="89" s="332" customFormat="1" hidden="1" spans="1:19">
      <c r="A89" s="332" t="s">
        <v>18</v>
      </c>
      <c r="B89" s="409">
        <v>45233</v>
      </c>
      <c r="C89" s="410">
        <v>3</v>
      </c>
      <c r="D89" s="338" t="s">
        <v>108</v>
      </c>
      <c r="E89" s="338"/>
      <c r="F89" s="338"/>
      <c r="G89" s="337" t="s">
        <v>109</v>
      </c>
      <c r="H89" s="338">
        <v>1</v>
      </c>
      <c r="I89" s="342">
        <v>4</v>
      </c>
      <c r="J89" s="342">
        <f t="shared" si="5"/>
        <v>4</v>
      </c>
      <c r="K89" s="342">
        <v>25</v>
      </c>
      <c r="L89" s="395">
        <f t="shared" si="6"/>
        <v>100</v>
      </c>
      <c r="M89" s="338" t="s">
        <v>110</v>
      </c>
      <c r="N89" s="394"/>
      <c r="O89" s="349">
        <v>30</v>
      </c>
      <c r="P89" s="338">
        <f t="shared" si="8"/>
        <v>120</v>
      </c>
      <c r="Q89" s="396"/>
    </row>
    <row r="90" s="332" customFormat="1" hidden="1" spans="1:19">
      <c r="A90" s="332" t="s">
        <v>18</v>
      </c>
      <c r="B90" s="409">
        <v>45233</v>
      </c>
      <c r="C90" s="410">
        <v>3</v>
      </c>
      <c r="D90" s="338" t="s">
        <v>77</v>
      </c>
      <c r="E90" s="338"/>
      <c r="F90" s="338"/>
      <c r="G90" s="337" t="s">
        <v>78</v>
      </c>
      <c r="H90" s="338">
        <v>1</v>
      </c>
      <c r="I90" s="342">
        <v>2</v>
      </c>
      <c r="J90" s="342">
        <f t="shared" si="5"/>
        <v>2</v>
      </c>
      <c r="K90" s="342">
        <v>20</v>
      </c>
      <c r="L90" s="395">
        <f t="shared" si="6"/>
        <v>40</v>
      </c>
      <c r="M90" s="338" t="s">
        <v>79</v>
      </c>
      <c r="N90" s="394">
        <f>SUM(L89:L90)</f>
        <v>140</v>
      </c>
      <c r="O90" s="349">
        <v>22.5</v>
      </c>
      <c r="P90" s="338">
        <f t="shared" si="8"/>
        <v>45</v>
      </c>
      <c r="Q90" s="396">
        <f>SUM(P89:P90)</f>
        <v>165</v>
      </c>
    </row>
    <row r="91" s="334" customFormat="1" hidden="1" spans="1:19">
      <c r="A91" s="334" t="s">
        <v>18</v>
      </c>
      <c r="B91" s="400">
        <v>45236</v>
      </c>
      <c r="C91" s="401">
        <v>11</v>
      </c>
      <c r="D91" s="347" t="s">
        <v>108</v>
      </c>
      <c r="E91" s="347"/>
      <c r="F91" s="347"/>
      <c r="G91" s="348" t="s">
        <v>109</v>
      </c>
      <c r="H91" s="347">
        <v>1</v>
      </c>
      <c r="I91" s="402">
        <v>4</v>
      </c>
      <c r="J91" s="402">
        <f t="shared" si="5"/>
        <v>4</v>
      </c>
      <c r="K91" s="402">
        <v>25</v>
      </c>
      <c r="L91" s="403">
        <f t="shared" si="6"/>
        <v>100</v>
      </c>
      <c r="M91" s="425" t="s">
        <v>111</v>
      </c>
      <c r="N91" s="404"/>
      <c r="O91" s="349">
        <v>30</v>
      </c>
      <c r="P91" s="347">
        <f t="shared" si="8"/>
        <v>120</v>
      </c>
      <c r="Q91" s="405"/>
    </row>
    <row r="92" s="334" customFormat="1" hidden="1" spans="1:19">
      <c r="A92" s="334" t="s">
        <v>18</v>
      </c>
      <c r="B92" s="400">
        <v>45236</v>
      </c>
      <c r="C92" s="401">
        <v>11</v>
      </c>
      <c r="D92" s="347">
        <v>9806</v>
      </c>
      <c r="E92" s="347"/>
      <c r="F92" s="347"/>
      <c r="G92" s="348" t="s">
        <v>29</v>
      </c>
      <c r="H92" s="347">
        <v>11</v>
      </c>
      <c r="I92" s="347">
        <v>28</v>
      </c>
      <c r="J92" s="402">
        <f t="shared" si="5"/>
        <v>308</v>
      </c>
      <c r="K92" s="349">
        <v>10.1</v>
      </c>
      <c r="L92" s="403">
        <f t="shared" si="6"/>
        <v>3110.8</v>
      </c>
      <c r="M92" s="424" t="s">
        <v>61</v>
      </c>
      <c r="N92" s="404"/>
      <c r="O92" s="349">
        <v>11</v>
      </c>
      <c r="P92" s="412">
        <f t="shared" si="8"/>
        <v>3388</v>
      </c>
      <c r="Q92" s="405"/>
    </row>
    <row r="93" s="334" customFormat="1" hidden="1" spans="1:19">
      <c r="A93" s="334" t="s">
        <v>18</v>
      </c>
      <c r="B93" s="400">
        <v>45236</v>
      </c>
      <c r="C93" s="401">
        <v>11</v>
      </c>
      <c r="D93" s="347" t="s">
        <v>34</v>
      </c>
      <c r="E93" s="347"/>
      <c r="F93" s="347"/>
      <c r="G93" s="348" t="s">
        <v>35</v>
      </c>
      <c r="H93" s="347">
        <v>1</v>
      </c>
      <c r="I93" s="347">
        <v>180</v>
      </c>
      <c r="J93" s="402">
        <f t="shared" si="5"/>
        <v>180</v>
      </c>
      <c r="K93" s="349">
        <v>7</v>
      </c>
      <c r="L93" s="403">
        <f t="shared" si="6"/>
        <v>1260</v>
      </c>
      <c r="M93" s="347"/>
      <c r="N93" s="404">
        <f>SUM(L91:L93)</f>
        <v>4470.8</v>
      </c>
      <c r="O93" s="349">
        <v>7.5</v>
      </c>
      <c r="P93" s="347">
        <f t="shared" si="8"/>
        <v>1350</v>
      </c>
      <c r="Q93" s="405">
        <f>SUM(P91:P93)</f>
        <v>4858</v>
      </c>
    </row>
    <row r="94" s="332" customFormat="1" hidden="1" spans="1:19">
      <c r="A94" s="409" t="s">
        <v>112</v>
      </c>
      <c r="B94" s="409">
        <v>45628</v>
      </c>
      <c r="C94" s="332" t="s">
        <v>113</v>
      </c>
      <c r="D94" s="338" t="s">
        <v>114</v>
      </c>
      <c r="E94" s="338"/>
      <c r="F94" s="338"/>
      <c r="G94" s="337" t="s">
        <v>115</v>
      </c>
      <c r="H94" s="342">
        <v>1</v>
      </c>
      <c r="I94" s="342">
        <v>180</v>
      </c>
      <c r="J94" s="342">
        <f t="shared" ref="J94:J99" si="11">H94*I94</f>
        <v>180</v>
      </c>
      <c r="K94" s="342">
        <v>7.5</v>
      </c>
      <c r="L94" s="395">
        <f t="shared" ref="L94:L99" si="12">J94*K94</f>
        <v>1350</v>
      </c>
      <c r="M94" s="440"/>
      <c r="N94" s="337"/>
      <c r="O94" s="342">
        <v>9.5</v>
      </c>
      <c r="P94" s="337">
        <f t="shared" si="8"/>
        <v>1710</v>
      </c>
      <c r="Q94" s="337"/>
      <c r="R94" s="332" t="s">
        <v>116</v>
      </c>
      <c r="S94" s="332" t="s">
        <v>117</v>
      </c>
    </row>
    <row r="95" s="332" customFormat="1" hidden="1" spans="1:19">
      <c r="A95" s="409" t="s">
        <v>112</v>
      </c>
      <c r="B95" s="409">
        <v>45628</v>
      </c>
      <c r="C95" s="332" t="s">
        <v>113</v>
      </c>
      <c r="D95" s="338" t="s">
        <v>36</v>
      </c>
      <c r="E95" s="338"/>
      <c r="F95" s="338"/>
      <c r="G95" s="337" t="s">
        <v>37</v>
      </c>
      <c r="H95" s="342">
        <v>1</v>
      </c>
      <c r="I95" s="342">
        <v>180</v>
      </c>
      <c r="J95" s="342">
        <f t="shared" si="11"/>
        <v>180</v>
      </c>
      <c r="K95" s="342">
        <v>8</v>
      </c>
      <c r="L95" s="395">
        <f t="shared" si="12"/>
        <v>1440</v>
      </c>
      <c r="M95" s="338"/>
      <c r="N95" s="441"/>
      <c r="O95" s="342">
        <v>10</v>
      </c>
      <c r="P95" s="337">
        <f t="shared" si="8"/>
        <v>1800</v>
      </c>
      <c r="Q95" s="337"/>
      <c r="R95" s="332" t="s">
        <v>116</v>
      </c>
      <c r="S95" s="332" t="s">
        <v>117</v>
      </c>
    </row>
    <row r="96" s="332" customFormat="1" hidden="1" spans="1:19">
      <c r="A96" s="409" t="s">
        <v>112</v>
      </c>
      <c r="B96" s="409">
        <v>45628</v>
      </c>
      <c r="C96" s="332" t="s">
        <v>113</v>
      </c>
      <c r="D96" s="442" t="s">
        <v>38</v>
      </c>
      <c r="E96" s="442"/>
      <c r="F96" s="442"/>
      <c r="G96" s="337" t="s">
        <v>39</v>
      </c>
      <c r="H96" s="342">
        <v>1</v>
      </c>
      <c r="I96" s="342">
        <v>180</v>
      </c>
      <c r="J96" s="342">
        <f t="shared" si="11"/>
        <v>180</v>
      </c>
      <c r="K96" s="342">
        <v>11</v>
      </c>
      <c r="L96" s="395">
        <f t="shared" si="12"/>
        <v>1980</v>
      </c>
      <c r="M96" s="443" t="s">
        <v>118</v>
      </c>
      <c r="N96" s="441"/>
      <c r="O96" s="342">
        <v>13.5</v>
      </c>
      <c r="P96" s="337">
        <f t="shared" si="8"/>
        <v>2430</v>
      </c>
      <c r="Q96" s="337"/>
      <c r="R96" s="332" t="s">
        <v>116</v>
      </c>
      <c r="S96" s="332" t="s">
        <v>117</v>
      </c>
    </row>
    <row r="97" s="332" customFormat="1" hidden="1" spans="1:19">
      <c r="A97" s="409" t="s">
        <v>112</v>
      </c>
      <c r="B97" s="409">
        <v>45628</v>
      </c>
      <c r="C97" s="332" t="s">
        <v>113</v>
      </c>
      <c r="D97" s="338" t="s">
        <v>119</v>
      </c>
      <c r="E97" s="338"/>
      <c r="F97" s="338"/>
      <c r="G97" s="337" t="s">
        <v>120</v>
      </c>
      <c r="H97" s="342">
        <v>5</v>
      </c>
      <c r="I97" s="342">
        <v>25</v>
      </c>
      <c r="J97" s="342">
        <f t="shared" si="11"/>
        <v>125</v>
      </c>
      <c r="K97" s="342">
        <v>13.5</v>
      </c>
      <c r="L97" s="395">
        <f t="shared" si="12"/>
        <v>1687.5</v>
      </c>
      <c r="M97" s="444" t="s">
        <v>121</v>
      </c>
      <c r="N97" s="441"/>
      <c r="O97" s="342">
        <v>15.5</v>
      </c>
      <c r="P97" s="337">
        <f t="shared" si="8"/>
        <v>1937.5</v>
      </c>
      <c r="Q97" s="337"/>
      <c r="R97" s="332" t="s">
        <v>116</v>
      </c>
      <c r="S97" s="332" t="s">
        <v>117</v>
      </c>
    </row>
    <row r="98" s="332" customFormat="1" hidden="1" spans="1:19">
      <c r="A98" s="409" t="s">
        <v>112</v>
      </c>
      <c r="B98" s="409">
        <v>45628</v>
      </c>
      <c r="C98" s="332" t="s">
        <v>113</v>
      </c>
      <c r="D98" s="338" t="s">
        <v>122</v>
      </c>
      <c r="E98" s="338"/>
      <c r="F98" s="338"/>
      <c r="G98" s="337" t="s">
        <v>123</v>
      </c>
      <c r="H98" s="342">
        <v>10</v>
      </c>
      <c r="I98" s="342">
        <v>20</v>
      </c>
      <c r="J98" s="342">
        <f t="shared" si="11"/>
        <v>200</v>
      </c>
      <c r="K98" s="342">
        <v>17.5</v>
      </c>
      <c r="L98" s="395">
        <f t="shared" si="12"/>
        <v>3500</v>
      </c>
      <c r="M98" s="445"/>
      <c r="N98" s="394">
        <f>SUM(L94:L98)</f>
        <v>9957.5</v>
      </c>
      <c r="O98" s="446">
        <v>20</v>
      </c>
      <c r="P98" s="337">
        <f t="shared" si="8"/>
        <v>4000</v>
      </c>
      <c r="Q98" s="337">
        <f>SUM(P94:P98)</f>
        <v>11877.5</v>
      </c>
      <c r="R98" s="332" t="s">
        <v>116</v>
      </c>
      <c r="S98" s="332" t="s">
        <v>117</v>
      </c>
    </row>
    <row r="99" s="334" customFormat="1" hidden="1" spans="1:19">
      <c r="A99" s="400" t="s">
        <v>112</v>
      </c>
      <c r="B99" s="400">
        <v>45644</v>
      </c>
      <c r="C99" s="334" t="s">
        <v>124</v>
      </c>
      <c r="D99" s="347"/>
      <c r="E99" s="347"/>
      <c r="F99" s="347"/>
      <c r="G99" s="348" t="s">
        <v>125</v>
      </c>
      <c r="H99" s="402">
        <v>1</v>
      </c>
      <c r="I99" s="402">
        <v>3.5</v>
      </c>
      <c r="J99" s="402">
        <f t="shared" si="11"/>
        <v>3.5</v>
      </c>
      <c r="K99" s="402">
        <v>20</v>
      </c>
      <c r="L99" s="403">
        <f t="shared" si="12"/>
        <v>70</v>
      </c>
      <c r="M99" s="447"/>
      <c r="N99" s="404" t="s">
        <v>126</v>
      </c>
      <c r="O99" s="448"/>
      <c r="P99" s="348"/>
      <c r="Q99" s="348"/>
    </row>
    <row r="100" s="391" customFormat="1" hidden="1" spans="1:19">
      <c r="A100" s="449" t="s">
        <v>0</v>
      </c>
      <c r="B100" s="449"/>
      <c r="C100" s="449"/>
      <c r="D100" s="449"/>
      <c r="E100" s="449"/>
      <c r="F100" s="449"/>
      <c r="G100" s="408"/>
      <c r="H100" s="416"/>
      <c r="I100" s="415"/>
      <c r="J100" s="416"/>
      <c r="K100" s="416"/>
      <c r="L100" s="418"/>
      <c r="M100" s="443"/>
      <c r="N100" s="419"/>
      <c r="O100" s="450"/>
      <c r="P100" s="411"/>
      <c r="Q100" s="411"/>
    </row>
    <row r="101" s="334" customFormat="1" spans="1:19">
      <c r="A101" s="334" t="s">
        <v>18</v>
      </c>
      <c r="B101" s="400">
        <v>45293</v>
      </c>
      <c r="C101" s="401">
        <v>3</v>
      </c>
      <c r="D101" s="347" t="s">
        <v>73</v>
      </c>
      <c r="E101" s="347"/>
      <c r="F101" s="347"/>
      <c r="G101" s="348" t="s">
        <v>41</v>
      </c>
      <c r="H101" s="402">
        <v>1</v>
      </c>
      <c r="I101" s="347">
        <v>22</v>
      </c>
      <c r="J101" s="402">
        <v>22</v>
      </c>
      <c r="K101" s="349">
        <v>14.5</v>
      </c>
      <c r="L101" s="403">
        <v>319</v>
      </c>
      <c r="M101" s="348" t="s">
        <v>74</v>
      </c>
      <c r="N101" s="404"/>
      <c r="O101" s="349">
        <v>17</v>
      </c>
      <c r="P101" s="347">
        <v>374</v>
      </c>
      <c r="Q101" s="405"/>
    </row>
    <row r="102" s="334" customFormat="1" hidden="1" spans="1:19">
      <c r="A102" s="334" t="s">
        <v>18</v>
      </c>
      <c r="B102" s="400">
        <v>45293</v>
      </c>
      <c r="C102" s="401">
        <v>3</v>
      </c>
      <c r="D102" s="347">
        <v>9806</v>
      </c>
      <c r="E102" s="347"/>
      <c r="F102" s="347"/>
      <c r="G102" s="348" t="s">
        <v>29</v>
      </c>
      <c r="H102" s="347">
        <v>10</v>
      </c>
      <c r="I102" s="347">
        <v>28</v>
      </c>
      <c r="J102" s="402">
        <v>280</v>
      </c>
      <c r="K102" s="349">
        <v>10.1</v>
      </c>
      <c r="L102" s="403">
        <v>2828</v>
      </c>
      <c r="M102" s="424"/>
      <c r="N102" s="404">
        <v>3147</v>
      </c>
      <c r="O102" s="412">
        <v>11</v>
      </c>
      <c r="P102" s="347">
        <v>3080</v>
      </c>
      <c r="Q102" s="405">
        <v>3454</v>
      </c>
    </row>
    <row r="103" s="392" customFormat="1" hidden="1" spans="1:19">
      <c r="A103" s="390" t="s">
        <v>127</v>
      </c>
      <c r="B103" s="427">
        <v>45294</v>
      </c>
      <c r="C103" s="390" t="s">
        <v>128</v>
      </c>
      <c r="D103" s="429" t="s">
        <v>129</v>
      </c>
      <c r="E103" s="429"/>
      <c r="F103" s="429"/>
      <c r="G103" s="390" t="s">
        <v>64</v>
      </c>
      <c r="H103" s="429">
        <v>1</v>
      </c>
      <c r="I103" s="429">
        <v>10</v>
      </c>
      <c r="J103" s="431">
        <v>10</v>
      </c>
      <c r="K103" s="432">
        <v>18</v>
      </c>
      <c r="L103" s="433">
        <v>180</v>
      </c>
      <c r="M103" s="429"/>
      <c r="N103" s="435"/>
      <c r="O103" s="433">
        <v>20</v>
      </c>
      <c r="P103" s="429">
        <v>200</v>
      </c>
      <c r="Q103" s="437"/>
    </row>
    <row r="104" s="390" customFormat="1" hidden="1" spans="1:19">
      <c r="A104" s="390" t="s">
        <v>127</v>
      </c>
      <c r="B104" s="427">
        <v>45294</v>
      </c>
      <c r="C104" s="390" t="s">
        <v>128</v>
      </c>
      <c r="D104" s="429" t="s">
        <v>130</v>
      </c>
      <c r="E104" s="429"/>
      <c r="F104" s="429"/>
      <c r="G104" s="430" t="s">
        <v>131</v>
      </c>
      <c r="H104" s="429">
        <v>1</v>
      </c>
      <c r="I104" s="429">
        <v>26</v>
      </c>
      <c r="J104" s="431">
        <v>26</v>
      </c>
      <c r="K104" s="432">
        <v>18</v>
      </c>
      <c r="L104" s="433">
        <v>468</v>
      </c>
      <c r="M104" s="429"/>
      <c r="N104" s="435"/>
      <c r="O104" s="433">
        <v>20</v>
      </c>
      <c r="P104" s="429">
        <v>520</v>
      </c>
      <c r="Q104" s="437"/>
    </row>
    <row r="105" s="390" customFormat="1" hidden="1" spans="1:19">
      <c r="A105" s="390" t="s">
        <v>127</v>
      </c>
      <c r="B105" s="427">
        <v>45294</v>
      </c>
      <c r="C105" s="390" t="s">
        <v>128</v>
      </c>
      <c r="D105" s="429" t="s">
        <v>132</v>
      </c>
      <c r="E105" s="429"/>
      <c r="F105" s="429"/>
      <c r="G105" s="430" t="s">
        <v>71</v>
      </c>
      <c r="H105" s="429">
        <v>1</v>
      </c>
      <c r="I105" s="429">
        <v>25</v>
      </c>
      <c r="J105" s="431">
        <v>25</v>
      </c>
      <c r="K105" s="432">
        <v>18</v>
      </c>
      <c r="L105" s="433">
        <v>450</v>
      </c>
      <c r="M105" s="429"/>
      <c r="N105" s="435"/>
      <c r="O105" s="433">
        <v>20</v>
      </c>
      <c r="P105" s="429">
        <v>500</v>
      </c>
      <c r="Q105" s="437"/>
    </row>
    <row r="106" s="390" customFormat="1" hidden="1" spans="1:19">
      <c r="A106" s="390" t="s">
        <v>127</v>
      </c>
      <c r="B106" s="427">
        <v>45294</v>
      </c>
      <c r="C106" s="390" t="s">
        <v>128</v>
      </c>
      <c r="D106" s="429" t="s">
        <v>133</v>
      </c>
      <c r="E106" s="429"/>
      <c r="F106" s="429"/>
      <c r="G106" s="430" t="s">
        <v>134</v>
      </c>
      <c r="H106" s="429">
        <v>1</v>
      </c>
      <c r="I106" s="429">
        <v>25</v>
      </c>
      <c r="J106" s="431">
        <v>25</v>
      </c>
      <c r="K106" s="432">
        <v>18</v>
      </c>
      <c r="L106" s="433">
        <v>450</v>
      </c>
      <c r="M106" s="429"/>
      <c r="N106" s="435"/>
      <c r="O106" s="433">
        <v>20</v>
      </c>
      <c r="P106" s="429">
        <v>500</v>
      </c>
      <c r="Q106" s="437"/>
    </row>
    <row r="107" s="390" customFormat="1" hidden="1" spans="1:19">
      <c r="A107" s="390" t="s">
        <v>127</v>
      </c>
      <c r="B107" s="427">
        <v>45294</v>
      </c>
      <c r="C107" s="390" t="s">
        <v>128</v>
      </c>
      <c r="D107" s="429" t="s">
        <v>135</v>
      </c>
      <c r="E107" s="429"/>
      <c r="F107" s="429"/>
      <c r="G107" s="430" t="s">
        <v>136</v>
      </c>
      <c r="H107" s="429">
        <v>1</v>
      </c>
      <c r="I107" s="429">
        <v>15</v>
      </c>
      <c r="J107" s="431">
        <v>15</v>
      </c>
      <c r="K107" s="432">
        <v>18</v>
      </c>
      <c r="L107" s="433">
        <v>270</v>
      </c>
      <c r="M107" s="429"/>
      <c r="N107" s="435"/>
      <c r="O107" s="433">
        <v>20</v>
      </c>
      <c r="P107" s="429">
        <v>300</v>
      </c>
      <c r="Q107" s="437"/>
    </row>
    <row r="108" s="390" customFormat="1" hidden="1" spans="1:19">
      <c r="A108" s="390" t="s">
        <v>127</v>
      </c>
      <c r="B108" s="427">
        <v>45294</v>
      </c>
      <c r="C108" s="390" t="s">
        <v>128</v>
      </c>
      <c r="D108" s="429" t="s">
        <v>137</v>
      </c>
      <c r="E108" s="429"/>
      <c r="F108" s="429"/>
      <c r="G108" s="430" t="s">
        <v>138</v>
      </c>
      <c r="H108" s="429">
        <v>2</v>
      </c>
      <c r="I108" s="429">
        <v>25</v>
      </c>
      <c r="J108" s="431">
        <v>50</v>
      </c>
      <c r="K108" s="432">
        <v>18</v>
      </c>
      <c r="L108" s="433">
        <v>900</v>
      </c>
      <c r="M108" s="429"/>
      <c r="N108" s="435"/>
      <c r="O108" s="433">
        <v>20</v>
      </c>
      <c r="P108" s="429">
        <v>1000</v>
      </c>
      <c r="Q108" s="437"/>
    </row>
    <row r="109" s="390" customFormat="1" hidden="1" spans="1:19">
      <c r="A109" s="390" t="s">
        <v>127</v>
      </c>
      <c r="B109" s="427">
        <v>45294</v>
      </c>
      <c r="C109" s="390" t="s">
        <v>128</v>
      </c>
      <c r="D109" s="429" t="s">
        <v>139</v>
      </c>
      <c r="E109" s="429"/>
      <c r="F109" s="429"/>
      <c r="G109" s="430" t="s">
        <v>53</v>
      </c>
      <c r="H109" s="429">
        <v>1</v>
      </c>
      <c r="I109" s="429">
        <v>20</v>
      </c>
      <c r="J109" s="431">
        <v>20</v>
      </c>
      <c r="K109" s="432">
        <v>18</v>
      </c>
      <c r="L109" s="433">
        <v>360</v>
      </c>
      <c r="M109" s="429"/>
      <c r="N109" s="435"/>
      <c r="O109" s="433">
        <v>20</v>
      </c>
      <c r="P109" s="429">
        <v>400</v>
      </c>
      <c r="Q109" s="437"/>
    </row>
    <row r="110" s="390" customFormat="1" hidden="1" spans="1:19">
      <c r="A110" s="390" t="s">
        <v>127</v>
      </c>
      <c r="B110" s="427">
        <v>45294</v>
      </c>
      <c r="C110" s="390" t="s">
        <v>128</v>
      </c>
      <c r="D110" s="429" t="s">
        <v>140</v>
      </c>
      <c r="E110" s="429"/>
      <c r="F110" s="429"/>
      <c r="G110" s="430" t="s">
        <v>141</v>
      </c>
      <c r="H110" s="429">
        <v>8</v>
      </c>
      <c r="I110" s="429">
        <v>10</v>
      </c>
      <c r="J110" s="431">
        <v>80</v>
      </c>
      <c r="K110" s="432">
        <v>18</v>
      </c>
      <c r="L110" s="433">
        <v>1440</v>
      </c>
      <c r="M110" s="429"/>
      <c r="N110" s="435">
        <v>4518</v>
      </c>
      <c r="O110" s="433">
        <v>20</v>
      </c>
      <c r="P110" s="429">
        <v>1600</v>
      </c>
      <c r="Q110" s="437">
        <v>5020</v>
      </c>
    </row>
    <row r="111" s="334" customFormat="1" hidden="1" spans="1:19">
      <c r="A111" s="334" t="s">
        <v>127</v>
      </c>
      <c r="B111" s="400">
        <v>45298</v>
      </c>
      <c r="C111" s="334" t="s">
        <v>142</v>
      </c>
      <c r="D111" s="347" t="s">
        <v>143</v>
      </c>
      <c r="E111" s="347"/>
      <c r="F111" s="347"/>
      <c r="G111" s="348" t="s">
        <v>138</v>
      </c>
      <c r="H111" s="347">
        <v>3</v>
      </c>
      <c r="I111" s="347">
        <v>25</v>
      </c>
      <c r="J111" s="402">
        <v>75</v>
      </c>
      <c r="K111" s="349">
        <v>18</v>
      </c>
      <c r="L111" s="403">
        <v>1350</v>
      </c>
      <c r="M111" s="347"/>
      <c r="N111" s="404">
        <v>1350</v>
      </c>
      <c r="O111" s="403">
        <v>20</v>
      </c>
      <c r="P111" s="347">
        <v>1500</v>
      </c>
      <c r="Q111" s="405"/>
    </row>
    <row r="112" s="390" customFormat="1" hidden="1" spans="1:19">
      <c r="A112" s="390" t="s">
        <v>127</v>
      </c>
      <c r="B112" s="427">
        <v>45300</v>
      </c>
      <c r="C112" s="390" t="s">
        <v>144</v>
      </c>
      <c r="D112" s="429" t="s">
        <v>132</v>
      </c>
      <c r="E112" s="429"/>
      <c r="F112" s="429"/>
      <c r="G112" s="430" t="s">
        <v>71</v>
      </c>
      <c r="H112" s="429">
        <v>1</v>
      </c>
      <c r="I112" s="429">
        <v>23</v>
      </c>
      <c r="J112" s="431">
        <v>23</v>
      </c>
      <c r="K112" s="432">
        <v>18</v>
      </c>
      <c r="L112" s="433">
        <v>414</v>
      </c>
      <c r="M112" s="429"/>
      <c r="N112" s="435"/>
      <c r="O112" s="433">
        <v>20</v>
      </c>
      <c r="P112" s="429">
        <v>460</v>
      </c>
      <c r="Q112" s="437"/>
    </row>
    <row r="113" s="390" customFormat="1" hidden="1" spans="1:17">
      <c r="A113" s="390" t="s">
        <v>127</v>
      </c>
      <c r="B113" s="427">
        <v>45300</v>
      </c>
      <c r="C113" s="390" t="s">
        <v>144</v>
      </c>
      <c r="D113" s="429" t="s">
        <v>132</v>
      </c>
      <c r="E113" s="429"/>
      <c r="F113" s="429"/>
      <c r="G113" s="430" t="s">
        <v>71</v>
      </c>
      <c r="H113" s="429">
        <v>2</v>
      </c>
      <c r="I113" s="429">
        <v>24</v>
      </c>
      <c r="J113" s="431">
        <v>48</v>
      </c>
      <c r="K113" s="432">
        <v>18</v>
      </c>
      <c r="L113" s="433">
        <v>864</v>
      </c>
      <c r="M113" s="429"/>
      <c r="N113" s="435"/>
      <c r="O113" s="433">
        <v>20</v>
      </c>
      <c r="P113" s="429">
        <v>960</v>
      </c>
      <c r="Q113" s="437"/>
    </row>
    <row r="114" s="390" customFormat="1" hidden="1" spans="1:17">
      <c r="A114" s="390" t="s">
        <v>127</v>
      </c>
      <c r="B114" s="427">
        <v>45300</v>
      </c>
      <c r="C114" s="390" t="s">
        <v>144</v>
      </c>
      <c r="D114" s="429" t="s">
        <v>145</v>
      </c>
      <c r="E114" s="429"/>
      <c r="F114" s="429"/>
      <c r="G114" s="430" t="s">
        <v>146</v>
      </c>
      <c r="H114" s="429">
        <v>1</v>
      </c>
      <c r="I114" s="429">
        <v>10</v>
      </c>
      <c r="J114" s="431">
        <v>10</v>
      </c>
      <c r="K114" s="432">
        <v>25</v>
      </c>
      <c r="L114" s="433">
        <v>250</v>
      </c>
      <c r="M114" s="429"/>
      <c r="N114" s="435"/>
      <c r="O114" s="433">
        <v>30</v>
      </c>
      <c r="P114" s="429">
        <v>300</v>
      </c>
      <c r="Q114" s="437"/>
    </row>
    <row r="115" s="390" customFormat="1" hidden="1" spans="1:17">
      <c r="A115" s="390" t="s">
        <v>127</v>
      </c>
      <c r="B115" s="427">
        <v>45300</v>
      </c>
      <c r="C115" s="390" t="s">
        <v>144</v>
      </c>
      <c r="D115" s="429" t="s">
        <v>140</v>
      </c>
      <c r="E115" s="429"/>
      <c r="F115" s="429"/>
      <c r="G115" s="430" t="s">
        <v>141</v>
      </c>
      <c r="H115" s="429">
        <v>3</v>
      </c>
      <c r="I115" s="429">
        <v>10</v>
      </c>
      <c r="J115" s="431">
        <v>30</v>
      </c>
      <c r="K115" s="432">
        <v>18</v>
      </c>
      <c r="L115" s="433">
        <v>540</v>
      </c>
      <c r="M115" s="429"/>
      <c r="N115" s="435">
        <v>2068</v>
      </c>
      <c r="O115" s="433">
        <v>20</v>
      </c>
      <c r="P115" s="429">
        <v>600</v>
      </c>
      <c r="Q115" s="437">
        <v>2320</v>
      </c>
    </row>
    <row r="116" s="334" customFormat="1" hidden="1" spans="1:17">
      <c r="A116" s="334" t="s">
        <v>18</v>
      </c>
      <c r="B116" s="400">
        <v>45300</v>
      </c>
      <c r="C116" s="401">
        <v>19</v>
      </c>
      <c r="D116" s="347" t="s">
        <v>34</v>
      </c>
      <c r="E116" s="347"/>
      <c r="F116" s="347"/>
      <c r="G116" s="348" t="s">
        <v>35</v>
      </c>
      <c r="H116" s="347">
        <v>1</v>
      </c>
      <c r="I116" s="347">
        <v>180</v>
      </c>
      <c r="J116" s="402">
        <v>180</v>
      </c>
      <c r="K116" s="349">
        <v>7</v>
      </c>
      <c r="L116" s="403">
        <v>1260</v>
      </c>
      <c r="M116" s="347"/>
      <c r="N116" s="404">
        <v>1260</v>
      </c>
      <c r="O116" s="412">
        <v>7.5</v>
      </c>
      <c r="P116" s="347">
        <v>1350</v>
      </c>
      <c r="Q116" s="405">
        <v>1350</v>
      </c>
    </row>
    <row r="117" s="332" customFormat="1" hidden="1" spans="1:17">
      <c r="A117" s="332" t="s">
        <v>18</v>
      </c>
      <c r="B117" s="409">
        <v>45302</v>
      </c>
      <c r="C117" s="410" t="s">
        <v>147</v>
      </c>
      <c r="D117" s="338" t="s">
        <v>20</v>
      </c>
      <c r="E117" s="338"/>
      <c r="F117" s="338"/>
      <c r="G117" s="337" t="s">
        <v>21</v>
      </c>
      <c r="H117" s="338">
        <v>1</v>
      </c>
      <c r="I117" s="338">
        <v>23</v>
      </c>
      <c r="J117" s="342">
        <v>23</v>
      </c>
      <c r="K117" s="339">
        <v>26</v>
      </c>
      <c r="L117" s="395">
        <v>598</v>
      </c>
      <c r="M117" s="338"/>
      <c r="N117" s="394"/>
      <c r="O117" s="339">
        <v>28</v>
      </c>
      <c r="P117" s="338">
        <v>644</v>
      </c>
      <c r="Q117" s="396"/>
    </row>
    <row r="118" s="332" customFormat="1" hidden="1" spans="1:17">
      <c r="A118" s="332" t="s">
        <v>18</v>
      </c>
      <c r="B118" s="409">
        <v>45302</v>
      </c>
      <c r="C118" s="410" t="s">
        <v>147</v>
      </c>
      <c r="D118" s="338"/>
      <c r="E118" s="338"/>
      <c r="F118" s="338"/>
      <c r="G118" s="337" t="s">
        <v>22</v>
      </c>
      <c r="H118" s="338">
        <v>10</v>
      </c>
      <c r="I118" s="338">
        <v>10</v>
      </c>
      <c r="J118" s="342">
        <v>100</v>
      </c>
      <c r="K118" s="339">
        <v>19</v>
      </c>
      <c r="L118" s="395">
        <v>1900</v>
      </c>
      <c r="M118" s="338" t="s">
        <v>23</v>
      </c>
      <c r="N118" s="394"/>
      <c r="O118" s="339">
        <v>22.5</v>
      </c>
      <c r="P118" s="338">
        <v>2250</v>
      </c>
      <c r="Q118" s="396"/>
    </row>
    <row r="119" s="332" customFormat="1" hidden="1" spans="1:17">
      <c r="A119" s="332" t="s">
        <v>18</v>
      </c>
      <c r="B119" s="409">
        <v>45302</v>
      </c>
      <c r="C119" s="410" t="s">
        <v>147</v>
      </c>
      <c r="D119" s="338"/>
      <c r="E119" s="338"/>
      <c r="F119" s="338"/>
      <c r="G119" s="337" t="s">
        <v>53</v>
      </c>
      <c r="H119" s="338">
        <v>1</v>
      </c>
      <c r="I119" s="342">
        <v>20</v>
      </c>
      <c r="J119" s="342">
        <v>20</v>
      </c>
      <c r="K119" s="342">
        <v>20</v>
      </c>
      <c r="L119" s="395">
        <v>400</v>
      </c>
      <c r="M119" s="338"/>
      <c r="N119" s="394">
        <v>2898</v>
      </c>
      <c r="O119" s="441">
        <v>22.5</v>
      </c>
      <c r="P119" s="338">
        <v>450</v>
      </c>
      <c r="Q119" s="396">
        <v>3344</v>
      </c>
    </row>
    <row r="120" s="334" customFormat="1" hidden="1" spans="1:17">
      <c r="A120" s="334" t="s">
        <v>127</v>
      </c>
      <c r="B120" s="400">
        <v>45306</v>
      </c>
      <c r="C120" s="334" t="s">
        <v>148</v>
      </c>
      <c r="D120" s="347" t="s">
        <v>149</v>
      </c>
      <c r="E120" s="347"/>
      <c r="F120" s="347"/>
      <c r="G120" s="348" t="s">
        <v>150</v>
      </c>
      <c r="H120" s="347">
        <v>1</v>
      </c>
      <c r="I120" s="347">
        <v>15</v>
      </c>
      <c r="J120" s="402">
        <v>15</v>
      </c>
      <c r="K120" s="349">
        <v>18</v>
      </c>
      <c r="L120" s="403">
        <v>270</v>
      </c>
      <c r="M120" s="347"/>
      <c r="N120" s="404"/>
      <c r="O120" s="403">
        <v>20</v>
      </c>
      <c r="P120" s="347">
        <v>300</v>
      </c>
      <c r="Q120" s="405"/>
    </row>
    <row r="121" s="334" customFormat="1" hidden="1" spans="1:17">
      <c r="A121" s="334" t="s">
        <v>127</v>
      </c>
      <c r="B121" s="400">
        <v>45306</v>
      </c>
      <c r="C121" s="334" t="s">
        <v>148</v>
      </c>
      <c r="D121" s="347" t="s">
        <v>151</v>
      </c>
      <c r="E121" s="347"/>
      <c r="F121" s="347"/>
      <c r="G121" s="348" t="s">
        <v>152</v>
      </c>
      <c r="H121" s="347">
        <v>1</v>
      </c>
      <c r="I121" s="347">
        <v>6</v>
      </c>
      <c r="J121" s="402">
        <v>6</v>
      </c>
      <c r="K121" s="349">
        <v>18</v>
      </c>
      <c r="L121" s="403">
        <v>108</v>
      </c>
      <c r="M121" s="347"/>
      <c r="N121" s="404"/>
      <c r="O121" s="403">
        <v>20</v>
      </c>
      <c r="P121" s="347">
        <v>120</v>
      </c>
      <c r="Q121" s="405"/>
    </row>
    <row r="122" s="334" customFormat="1" hidden="1" spans="1:17">
      <c r="A122" s="334" t="s">
        <v>127</v>
      </c>
      <c r="B122" s="400">
        <v>45306</v>
      </c>
      <c r="C122" s="334" t="s">
        <v>148</v>
      </c>
      <c r="D122" s="347" t="s">
        <v>140</v>
      </c>
      <c r="E122" s="347"/>
      <c r="F122" s="347"/>
      <c r="G122" s="348" t="s">
        <v>141</v>
      </c>
      <c r="H122" s="347">
        <v>10</v>
      </c>
      <c r="I122" s="347">
        <v>10</v>
      </c>
      <c r="J122" s="402">
        <v>100</v>
      </c>
      <c r="K122" s="349"/>
      <c r="L122" s="403">
        <v>0</v>
      </c>
      <c r="M122" s="425" t="s">
        <v>153</v>
      </c>
      <c r="N122" s="404">
        <v>378</v>
      </c>
      <c r="O122" s="403"/>
      <c r="P122" s="347">
        <v>0</v>
      </c>
      <c r="Q122" s="405">
        <v>420</v>
      </c>
    </row>
    <row r="123" s="332" customFormat="1" hidden="1" spans="1:17">
      <c r="A123" s="332" t="s">
        <v>127</v>
      </c>
      <c r="B123" s="409">
        <v>45311</v>
      </c>
      <c r="C123" s="332" t="s">
        <v>154</v>
      </c>
      <c r="D123" s="338" t="s">
        <v>155</v>
      </c>
      <c r="E123" s="338"/>
      <c r="F123" s="338"/>
      <c r="G123" s="337" t="s">
        <v>156</v>
      </c>
      <c r="H123" s="338">
        <v>2</v>
      </c>
      <c r="I123" s="338">
        <v>26</v>
      </c>
      <c r="J123" s="342">
        <v>52</v>
      </c>
      <c r="K123" s="339">
        <v>18</v>
      </c>
      <c r="L123" s="395">
        <v>936</v>
      </c>
      <c r="M123" s="338"/>
      <c r="N123" s="394"/>
      <c r="O123" s="395">
        <v>20</v>
      </c>
      <c r="P123" s="338">
        <v>1040</v>
      </c>
      <c r="Q123" s="396"/>
    </row>
    <row r="124" s="332" customFormat="1" hidden="1" spans="1:17">
      <c r="A124" s="332" t="s">
        <v>127</v>
      </c>
      <c r="B124" s="409">
        <v>45311</v>
      </c>
      <c r="C124" s="332" t="s">
        <v>154</v>
      </c>
      <c r="D124" s="338" t="s">
        <v>157</v>
      </c>
      <c r="E124" s="338"/>
      <c r="F124" s="338"/>
      <c r="G124" s="337" t="s">
        <v>152</v>
      </c>
      <c r="H124" s="338">
        <v>1</v>
      </c>
      <c r="I124" s="338">
        <v>20</v>
      </c>
      <c r="J124" s="342">
        <v>20</v>
      </c>
      <c r="K124" s="339">
        <v>18</v>
      </c>
      <c r="L124" s="395">
        <v>360</v>
      </c>
      <c r="M124" s="338"/>
      <c r="N124" s="394"/>
      <c r="O124" s="395">
        <v>20</v>
      </c>
      <c r="P124" s="338">
        <v>400</v>
      </c>
      <c r="Q124" s="396"/>
    </row>
    <row r="125" s="332" customFormat="1" hidden="1" spans="1:17">
      <c r="A125" s="332" t="s">
        <v>127</v>
      </c>
      <c r="B125" s="409">
        <v>45311</v>
      </c>
      <c r="C125" s="332" t="s">
        <v>154</v>
      </c>
      <c r="D125" s="338" t="s">
        <v>158</v>
      </c>
      <c r="E125" s="338"/>
      <c r="F125" s="338"/>
      <c r="G125" s="337" t="s">
        <v>138</v>
      </c>
      <c r="H125" s="338">
        <v>4</v>
      </c>
      <c r="I125" s="338">
        <v>25</v>
      </c>
      <c r="J125" s="342">
        <v>100</v>
      </c>
      <c r="K125" s="339">
        <v>18</v>
      </c>
      <c r="L125" s="395">
        <v>1800</v>
      </c>
      <c r="M125" s="338"/>
      <c r="N125" s="394">
        <v>3096</v>
      </c>
      <c r="O125" s="395">
        <v>20</v>
      </c>
      <c r="P125" s="338">
        <v>2000</v>
      </c>
      <c r="Q125" s="396">
        <v>3440</v>
      </c>
    </row>
    <row r="126" s="334" customFormat="1" hidden="1" spans="1:17">
      <c r="A126" s="334" t="s">
        <v>18</v>
      </c>
      <c r="B126" s="400">
        <v>45312</v>
      </c>
      <c r="C126" s="401">
        <v>77</v>
      </c>
      <c r="D126" s="347">
        <v>9806</v>
      </c>
      <c r="E126" s="347"/>
      <c r="F126" s="347"/>
      <c r="G126" s="348" t="s">
        <v>29</v>
      </c>
      <c r="H126" s="347">
        <v>2</v>
      </c>
      <c r="I126" s="347">
        <v>28</v>
      </c>
      <c r="J126" s="402">
        <v>56</v>
      </c>
      <c r="K126" s="349">
        <v>10.1</v>
      </c>
      <c r="L126" s="403">
        <v>565.6</v>
      </c>
      <c r="M126" s="424"/>
      <c r="N126" s="404"/>
      <c r="O126" s="412">
        <v>11</v>
      </c>
      <c r="P126" s="347">
        <v>616</v>
      </c>
      <c r="Q126" s="405"/>
    </row>
    <row r="127" s="334" customFormat="1" hidden="1" spans="1:17">
      <c r="A127" s="334" t="s">
        <v>18</v>
      </c>
      <c r="B127" s="400">
        <v>45312</v>
      </c>
      <c r="C127" s="401">
        <v>77</v>
      </c>
      <c r="D127" s="347" t="s">
        <v>98</v>
      </c>
      <c r="E127" s="347"/>
      <c r="F127" s="347"/>
      <c r="G127" s="348" t="s">
        <v>99</v>
      </c>
      <c r="H127" s="347">
        <v>1</v>
      </c>
      <c r="I127" s="347">
        <v>20</v>
      </c>
      <c r="J127" s="402">
        <v>20</v>
      </c>
      <c r="K127" s="349">
        <v>18</v>
      </c>
      <c r="L127" s="403">
        <v>360</v>
      </c>
      <c r="M127" s="424"/>
      <c r="N127" s="404"/>
      <c r="O127" s="412">
        <v>22.5</v>
      </c>
      <c r="P127" s="347">
        <v>450</v>
      </c>
      <c r="Q127" s="405"/>
    </row>
    <row r="128" s="334" customFormat="1" hidden="1" spans="1:17">
      <c r="A128" s="334" t="s">
        <v>18</v>
      </c>
      <c r="B128" s="400">
        <v>45312</v>
      </c>
      <c r="C128" s="401">
        <v>77</v>
      </c>
      <c r="D128" s="347" t="s">
        <v>34</v>
      </c>
      <c r="E128" s="347"/>
      <c r="F128" s="347"/>
      <c r="G128" s="348" t="s">
        <v>35</v>
      </c>
      <c r="H128" s="347">
        <v>1</v>
      </c>
      <c r="I128" s="347">
        <v>180</v>
      </c>
      <c r="J128" s="402">
        <v>180</v>
      </c>
      <c r="K128" s="349">
        <v>7</v>
      </c>
      <c r="L128" s="403">
        <v>1260</v>
      </c>
      <c r="M128" s="347"/>
      <c r="N128" s="404"/>
      <c r="O128" s="412">
        <v>7.5</v>
      </c>
      <c r="P128" s="347">
        <v>1350</v>
      </c>
      <c r="Q128" s="405"/>
    </row>
    <row r="129" s="334" customFormat="1" hidden="1" spans="1:17">
      <c r="A129" s="334" t="s">
        <v>18</v>
      </c>
      <c r="B129" s="400">
        <v>45312</v>
      </c>
      <c r="C129" s="401">
        <v>77</v>
      </c>
      <c r="D129" s="347" t="s">
        <v>51</v>
      </c>
      <c r="E129" s="347"/>
      <c r="F129" s="347"/>
      <c r="G129" s="348" t="s">
        <v>39</v>
      </c>
      <c r="H129" s="347">
        <v>1</v>
      </c>
      <c r="I129" s="347">
        <v>180</v>
      </c>
      <c r="J129" s="402">
        <v>180</v>
      </c>
      <c r="K129" s="349">
        <v>9.5</v>
      </c>
      <c r="L129" s="403">
        <v>1710</v>
      </c>
      <c r="M129" s="347"/>
      <c r="N129" s="404">
        <v>3895.6</v>
      </c>
      <c r="O129" s="412">
        <v>10.5</v>
      </c>
      <c r="P129" s="347">
        <v>1890</v>
      </c>
      <c r="Q129" s="405">
        <v>4306</v>
      </c>
    </row>
    <row r="130" s="332" customFormat="1" hidden="1" spans="1:17">
      <c r="A130" s="332" t="s">
        <v>127</v>
      </c>
      <c r="B130" s="409">
        <v>45315</v>
      </c>
      <c r="C130" s="332" t="s">
        <v>159</v>
      </c>
      <c r="D130" s="338" t="s">
        <v>160</v>
      </c>
      <c r="E130" s="338"/>
      <c r="F130" s="338"/>
      <c r="G130" s="337" t="s">
        <v>161</v>
      </c>
      <c r="H130" s="338">
        <v>1</v>
      </c>
      <c r="I130" s="338">
        <v>5</v>
      </c>
      <c r="J130" s="342">
        <v>5</v>
      </c>
      <c r="K130" s="339">
        <v>18</v>
      </c>
      <c r="L130" s="395">
        <v>90</v>
      </c>
      <c r="M130" s="338"/>
      <c r="N130" s="394"/>
      <c r="O130" s="395">
        <v>20</v>
      </c>
      <c r="P130" s="338">
        <v>100</v>
      </c>
      <c r="Q130" s="396"/>
    </row>
    <row r="131" s="332" customFormat="1" hidden="1" spans="1:17">
      <c r="A131" s="332" t="s">
        <v>127</v>
      </c>
      <c r="B131" s="409">
        <v>45315</v>
      </c>
      <c r="C131" s="332" t="s">
        <v>159</v>
      </c>
      <c r="D131" s="338" t="s">
        <v>162</v>
      </c>
      <c r="E131" s="338"/>
      <c r="F131" s="338"/>
      <c r="G131" s="337" t="s">
        <v>163</v>
      </c>
      <c r="H131" s="338">
        <v>1</v>
      </c>
      <c r="I131" s="338">
        <v>15</v>
      </c>
      <c r="J131" s="342">
        <v>15</v>
      </c>
      <c r="K131" s="339">
        <v>25</v>
      </c>
      <c r="L131" s="395">
        <v>375</v>
      </c>
      <c r="M131" s="338"/>
      <c r="N131" s="394"/>
      <c r="O131" s="395">
        <v>30</v>
      </c>
      <c r="P131" s="338">
        <v>450</v>
      </c>
      <c r="Q131" s="396"/>
    </row>
    <row r="132" s="332" customFormat="1" hidden="1" spans="1:17">
      <c r="A132" s="332" t="s">
        <v>127</v>
      </c>
      <c r="B132" s="409">
        <v>45315</v>
      </c>
      <c r="C132" s="332" t="s">
        <v>159</v>
      </c>
      <c r="D132" s="338" t="s">
        <v>140</v>
      </c>
      <c r="E132" s="338"/>
      <c r="F132" s="338"/>
      <c r="G132" s="337" t="s">
        <v>141</v>
      </c>
      <c r="H132" s="338">
        <v>1</v>
      </c>
      <c r="I132" s="338">
        <v>10</v>
      </c>
      <c r="J132" s="342">
        <v>10</v>
      </c>
      <c r="K132" s="339">
        <v>18</v>
      </c>
      <c r="L132" s="395">
        <v>180</v>
      </c>
      <c r="M132" s="336" t="s">
        <v>153</v>
      </c>
      <c r="N132" s="394">
        <v>645</v>
      </c>
      <c r="O132" s="395">
        <v>20</v>
      </c>
      <c r="P132" s="338">
        <v>200</v>
      </c>
      <c r="Q132" s="396">
        <v>750</v>
      </c>
    </row>
    <row r="133" s="393" customFormat="1" hidden="1" spans="1:17">
      <c r="A133" s="393" t="s">
        <v>18</v>
      </c>
      <c r="B133" s="451">
        <v>45351</v>
      </c>
      <c r="C133" s="452">
        <v>11</v>
      </c>
      <c r="D133" s="453">
        <v>9806</v>
      </c>
      <c r="E133" s="453"/>
      <c r="F133" s="453"/>
      <c r="G133" s="454" t="s">
        <v>29</v>
      </c>
      <c r="H133" s="453">
        <v>10</v>
      </c>
      <c r="I133" s="453">
        <v>28</v>
      </c>
      <c r="J133" s="455">
        <v>280</v>
      </c>
      <c r="K133" s="456">
        <v>10.1</v>
      </c>
      <c r="L133" s="457">
        <f>J133*K133</f>
        <v>2828</v>
      </c>
      <c r="M133" s="458"/>
      <c r="N133" s="459"/>
      <c r="O133" s="460">
        <v>11</v>
      </c>
      <c r="P133" s="460">
        <f>J133*O133</f>
        <v>3080</v>
      </c>
      <c r="Q133" s="461"/>
    </row>
    <row r="134" s="393" customFormat="1" hidden="1" spans="1:17">
      <c r="A134" s="393" t="s">
        <v>18</v>
      </c>
      <c r="B134" s="451">
        <v>45351</v>
      </c>
      <c r="C134" s="452">
        <v>11</v>
      </c>
      <c r="D134" s="453" t="s">
        <v>164</v>
      </c>
      <c r="E134" s="453"/>
      <c r="F134" s="453"/>
      <c r="G134" s="454" t="s">
        <v>165</v>
      </c>
      <c r="H134" s="453">
        <v>1</v>
      </c>
      <c r="I134" s="453">
        <v>25</v>
      </c>
      <c r="J134" s="455">
        <v>25</v>
      </c>
      <c r="K134" s="456">
        <v>20</v>
      </c>
      <c r="L134" s="457">
        <f t="shared" ref="L134:L160" si="13">J134*K134</f>
        <v>500</v>
      </c>
      <c r="M134" s="458"/>
      <c r="N134" s="459">
        <v>3328</v>
      </c>
      <c r="O134" s="460">
        <v>22.5</v>
      </c>
      <c r="P134" s="460">
        <f t="shared" ref="P134:P157" si="14">J134*O134</f>
        <v>562.5</v>
      </c>
      <c r="Q134" s="461">
        <v>3642.5</v>
      </c>
    </row>
    <row r="135" s="334" customFormat="1" hidden="1" spans="1:17">
      <c r="A135" s="334" t="s">
        <v>18</v>
      </c>
      <c r="B135" s="400">
        <v>45356</v>
      </c>
      <c r="C135" s="401">
        <v>9</v>
      </c>
      <c r="D135" s="347"/>
      <c r="E135" s="347"/>
      <c r="F135" s="347"/>
      <c r="G135" s="348" t="s">
        <v>166</v>
      </c>
      <c r="H135" s="347">
        <v>1</v>
      </c>
      <c r="I135" s="347">
        <v>4</v>
      </c>
      <c r="J135" s="402">
        <v>4</v>
      </c>
      <c r="K135" s="349">
        <v>18</v>
      </c>
      <c r="L135" s="403">
        <f t="shared" si="13"/>
        <v>72</v>
      </c>
      <c r="M135" s="347"/>
      <c r="N135" s="404"/>
      <c r="O135" s="412">
        <v>20</v>
      </c>
      <c r="P135" s="412">
        <f t="shared" si="14"/>
        <v>80</v>
      </c>
      <c r="Q135" s="405"/>
    </row>
    <row r="136" s="334" customFormat="1" hidden="1" spans="1:17">
      <c r="A136" s="334" t="s">
        <v>18</v>
      </c>
      <c r="B136" s="400">
        <v>45356</v>
      </c>
      <c r="C136" s="401">
        <v>9</v>
      </c>
      <c r="D136" s="347"/>
      <c r="E136" s="347"/>
      <c r="F136" s="347"/>
      <c r="G136" s="348" t="s">
        <v>167</v>
      </c>
      <c r="H136" s="347">
        <v>1</v>
      </c>
      <c r="I136" s="347">
        <v>0.4</v>
      </c>
      <c r="J136" s="402">
        <v>0.4</v>
      </c>
      <c r="K136" s="349">
        <v>20</v>
      </c>
      <c r="L136" s="403">
        <f t="shared" si="13"/>
        <v>8</v>
      </c>
      <c r="M136" s="347"/>
      <c r="N136" s="404"/>
      <c r="O136" s="412">
        <v>22</v>
      </c>
      <c r="P136" s="412">
        <f t="shared" si="14"/>
        <v>8.8</v>
      </c>
      <c r="Q136" s="405"/>
    </row>
    <row r="137" s="334" customFormat="1" hidden="1" spans="1:17">
      <c r="A137" s="334" t="s">
        <v>18</v>
      </c>
      <c r="B137" s="400">
        <v>45356</v>
      </c>
      <c r="C137" s="401">
        <v>9</v>
      </c>
      <c r="D137" s="347"/>
      <c r="E137" s="347"/>
      <c r="F137" s="347"/>
      <c r="G137" s="348" t="s">
        <v>168</v>
      </c>
      <c r="H137" s="347">
        <v>1</v>
      </c>
      <c r="I137" s="347">
        <v>4</v>
      </c>
      <c r="J137" s="402">
        <v>4</v>
      </c>
      <c r="K137" s="349">
        <v>9.5</v>
      </c>
      <c r="L137" s="403">
        <f t="shared" si="13"/>
        <v>38</v>
      </c>
      <c r="M137" s="422" t="s">
        <v>169</v>
      </c>
      <c r="N137" s="404"/>
      <c r="O137" s="412">
        <v>11</v>
      </c>
      <c r="P137" s="412">
        <f t="shared" si="14"/>
        <v>44</v>
      </c>
      <c r="Q137" s="405"/>
    </row>
    <row r="138" s="334" customFormat="1" hidden="1" spans="1:17">
      <c r="A138" s="334" t="s">
        <v>18</v>
      </c>
      <c r="B138" s="400">
        <v>45356</v>
      </c>
      <c r="C138" s="401">
        <v>9</v>
      </c>
      <c r="D138" s="347"/>
      <c r="E138" s="347"/>
      <c r="F138" s="347"/>
      <c r="G138" s="348" t="s">
        <v>170</v>
      </c>
      <c r="H138" s="347">
        <v>1</v>
      </c>
      <c r="I138" s="347">
        <v>20</v>
      </c>
      <c r="J138" s="402">
        <v>20</v>
      </c>
      <c r="K138" s="349">
        <v>19</v>
      </c>
      <c r="L138" s="403">
        <f t="shared" si="13"/>
        <v>380</v>
      </c>
      <c r="M138" s="347"/>
      <c r="N138" s="404">
        <v>498</v>
      </c>
      <c r="O138" s="412">
        <v>22.5</v>
      </c>
      <c r="P138" s="412">
        <f t="shared" si="14"/>
        <v>450</v>
      </c>
      <c r="Q138" s="405">
        <v>582.8</v>
      </c>
    </row>
    <row r="139" s="332" customFormat="1" hidden="1" spans="1:17">
      <c r="A139" s="332" t="s">
        <v>18</v>
      </c>
      <c r="B139" s="409">
        <v>45358</v>
      </c>
      <c r="C139" s="410">
        <v>17</v>
      </c>
      <c r="D139" s="338" t="s">
        <v>31</v>
      </c>
      <c r="E139" s="338"/>
      <c r="F139" s="338"/>
      <c r="G139" s="337" t="s">
        <v>32</v>
      </c>
      <c r="H139" s="338">
        <v>5</v>
      </c>
      <c r="I139" s="338">
        <v>25</v>
      </c>
      <c r="J139" s="342">
        <v>125</v>
      </c>
      <c r="K139" s="339">
        <v>13.5</v>
      </c>
      <c r="L139" s="395">
        <f t="shared" si="13"/>
        <v>1687.5</v>
      </c>
      <c r="M139" s="338" t="s">
        <v>33</v>
      </c>
      <c r="N139" s="394"/>
      <c r="O139" s="340">
        <v>14.5</v>
      </c>
      <c r="P139" s="340">
        <f t="shared" si="14"/>
        <v>1812.5</v>
      </c>
      <c r="Q139" s="396"/>
    </row>
    <row r="140" s="332" customFormat="1" hidden="1" spans="1:17">
      <c r="A140" s="332" t="s">
        <v>18</v>
      </c>
      <c r="B140" s="409">
        <v>45358</v>
      </c>
      <c r="C140" s="410">
        <v>17</v>
      </c>
      <c r="D140" s="338" t="s">
        <v>34</v>
      </c>
      <c r="E140" s="338"/>
      <c r="F140" s="338"/>
      <c r="G140" s="337" t="s">
        <v>35</v>
      </c>
      <c r="H140" s="338">
        <v>1</v>
      </c>
      <c r="I140" s="338">
        <v>180</v>
      </c>
      <c r="J140" s="342">
        <v>180</v>
      </c>
      <c r="K140" s="339">
        <v>7</v>
      </c>
      <c r="L140" s="395">
        <f t="shared" si="13"/>
        <v>1260</v>
      </c>
      <c r="M140" s="338"/>
      <c r="N140" s="394"/>
      <c r="O140" s="340">
        <v>7.5</v>
      </c>
      <c r="P140" s="340">
        <f t="shared" si="14"/>
        <v>1350</v>
      </c>
      <c r="Q140" s="396"/>
    </row>
    <row r="141" s="332" customFormat="1" hidden="1" spans="1:17">
      <c r="A141" s="332" t="s">
        <v>18</v>
      </c>
      <c r="B141" s="409">
        <v>45358</v>
      </c>
      <c r="C141" s="410">
        <v>17</v>
      </c>
      <c r="D141" s="338" t="s">
        <v>164</v>
      </c>
      <c r="E141" s="338"/>
      <c r="F141" s="338"/>
      <c r="G141" s="337" t="s">
        <v>165</v>
      </c>
      <c r="H141" s="338">
        <v>1</v>
      </c>
      <c r="I141" s="338">
        <v>5</v>
      </c>
      <c r="J141" s="342">
        <v>5</v>
      </c>
      <c r="K141" s="339">
        <v>20</v>
      </c>
      <c r="L141" s="395">
        <f t="shared" si="13"/>
        <v>100</v>
      </c>
      <c r="M141" s="152"/>
      <c r="N141" s="394">
        <v>3047.5</v>
      </c>
      <c r="O141" s="340">
        <v>22.5</v>
      </c>
      <c r="P141" s="340">
        <f t="shared" si="14"/>
        <v>112.5</v>
      </c>
      <c r="Q141" s="396">
        <v>3275</v>
      </c>
    </row>
    <row r="142" s="334" customFormat="1" hidden="1" spans="1:17">
      <c r="A142" s="334" t="s">
        <v>18</v>
      </c>
      <c r="B142" s="400">
        <v>45360</v>
      </c>
      <c r="C142" s="401">
        <v>19</v>
      </c>
      <c r="D142" s="347">
        <v>801</v>
      </c>
      <c r="E142" s="347"/>
      <c r="F142" s="347"/>
      <c r="G142" s="348" t="s">
        <v>171</v>
      </c>
      <c r="H142" s="347">
        <v>1</v>
      </c>
      <c r="I142" s="347">
        <v>20</v>
      </c>
      <c r="J142" s="402">
        <v>20</v>
      </c>
      <c r="K142" s="349">
        <v>25</v>
      </c>
      <c r="L142" s="403">
        <f t="shared" si="13"/>
        <v>500</v>
      </c>
      <c r="M142" s="425" t="s">
        <v>172</v>
      </c>
      <c r="N142" s="404"/>
      <c r="O142" s="412">
        <v>30</v>
      </c>
      <c r="P142" s="412">
        <f t="shared" si="14"/>
        <v>600</v>
      </c>
      <c r="Q142" s="405"/>
    </row>
    <row r="143" s="334" customFormat="1" hidden="1" spans="1:17">
      <c r="A143" s="334" t="s">
        <v>18</v>
      </c>
      <c r="B143" s="400">
        <v>45360</v>
      </c>
      <c r="C143" s="401">
        <v>19</v>
      </c>
      <c r="D143" s="347">
        <v>803</v>
      </c>
      <c r="E143" s="347"/>
      <c r="F143" s="347"/>
      <c r="G143" s="348" t="s">
        <v>173</v>
      </c>
      <c r="H143" s="347">
        <v>1</v>
      </c>
      <c r="I143" s="347">
        <v>24</v>
      </c>
      <c r="J143" s="402">
        <v>24</v>
      </c>
      <c r="K143" s="349">
        <v>20</v>
      </c>
      <c r="L143" s="403">
        <f t="shared" si="13"/>
        <v>480</v>
      </c>
      <c r="M143" s="425" t="s">
        <v>172</v>
      </c>
      <c r="N143" s="404"/>
      <c r="O143" s="412">
        <v>22.5</v>
      </c>
      <c r="P143" s="412">
        <f t="shared" si="14"/>
        <v>540</v>
      </c>
      <c r="Q143" s="405"/>
    </row>
    <row r="144" s="334" customFormat="1" hidden="1" spans="1:17">
      <c r="A144" s="334" t="s">
        <v>18</v>
      </c>
      <c r="B144" s="400">
        <v>45360</v>
      </c>
      <c r="C144" s="401">
        <v>19</v>
      </c>
      <c r="D144" s="347" t="s">
        <v>174</v>
      </c>
      <c r="E144" s="347"/>
      <c r="F144" s="347"/>
      <c r="G144" s="348" t="s">
        <v>175</v>
      </c>
      <c r="H144" s="347">
        <v>1</v>
      </c>
      <c r="I144" s="347">
        <v>4</v>
      </c>
      <c r="J144" s="402">
        <v>4</v>
      </c>
      <c r="K144" s="349">
        <v>20</v>
      </c>
      <c r="L144" s="403">
        <f t="shared" si="13"/>
        <v>80</v>
      </c>
      <c r="M144" s="425" t="s">
        <v>176</v>
      </c>
      <c r="N144" s="404"/>
      <c r="O144" s="412">
        <v>22.5</v>
      </c>
      <c r="P144" s="412">
        <f t="shared" si="14"/>
        <v>90</v>
      </c>
      <c r="Q144" s="405"/>
    </row>
    <row r="145" s="334" customFormat="1" hidden="1" spans="1:17">
      <c r="A145" s="334" t="s">
        <v>18</v>
      </c>
      <c r="B145" s="400">
        <v>45360</v>
      </c>
      <c r="C145" s="401">
        <v>19</v>
      </c>
      <c r="D145" s="347"/>
      <c r="E145" s="347"/>
      <c r="F145" s="347"/>
      <c r="G145" s="348" t="s">
        <v>22</v>
      </c>
      <c r="H145" s="347">
        <v>1</v>
      </c>
      <c r="I145" s="347">
        <v>2</v>
      </c>
      <c r="J145" s="402">
        <v>2</v>
      </c>
      <c r="K145" s="349"/>
      <c r="L145" s="403"/>
      <c r="M145" s="347"/>
      <c r="N145" s="404">
        <v>1060</v>
      </c>
      <c r="O145" s="412"/>
      <c r="P145" s="412">
        <f t="shared" si="14"/>
        <v>0</v>
      </c>
      <c r="Q145" s="405">
        <v>1230</v>
      </c>
    </row>
    <row r="146" s="332" customFormat="1" hidden="1" spans="1:17">
      <c r="A146" s="332" t="s">
        <v>18</v>
      </c>
      <c r="B146" s="409">
        <v>45367</v>
      </c>
      <c r="C146" s="410">
        <v>47</v>
      </c>
      <c r="D146" s="338"/>
      <c r="E146" s="338"/>
      <c r="F146" s="338"/>
      <c r="G146" s="337" t="s">
        <v>22</v>
      </c>
      <c r="H146" s="338">
        <v>5</v>
      </c>
      <c r="I146" s="342">
        <v>10</v>
      </c>
      <c r="J146" s="342">
        <v>50</v>
      </c>
      <c r="K146" s="339">
        <v>19</v>
      </c>
      <c r="L146" s="395">
        <f t="shared" si="13"/>
        <v>950</v>
      </c>
      <c r="M146" s="336" t="s">
        <v>23</v>
      </c>
      <c r="N146" s="394"/>
      <c r="O146" s="339">
        <v>22.5</v>
      </c>
      <c r="P146" s="340">
        <f t="shared" si="14"/>
        <v>1125</v>
      </c>
      <c r="Q146" s="396"/>
    </row>
    <row r="147" s="332" customFormat="1" hidden="1" spans="1:17">
      <c r="A147" s="332" t="s">
        <v>18</v>
      </c>
      <c r="B147" s="409">
        <v>45367</v>
      </c>
      <c r="C147" s="410">
        <v>47</v>
      </c>
      <c r="D147" s="338" t="s">
        <v>51</v>
      </c>
      <c r="E147" s="338"/>
      <c r="F147" s="338"/>
      <c r="G147" s="337" t="s">
        <v>39</v>
      </c>
      <c r="H147" s="338">
        <v>1</v>
      </c>
      <c r="I147" s="338">
        <v>180</v>
      </c>
      <c r="J147" s="342">
        <v>180</v>
      </c>
      <c r="K147" s="339">
        <v>9.5</v>
      </c>
      <c r="L147" s="395">
        <f t="shared" si="13"/>
        <v>1710</v>
      </c>
      <c r="M147" s="338"/>
      <c r="N147" s="394"/>
      <c r="O147" s="340">
        <v>10.5</v>
      </c>
      <c r="P147" s="340">
        <f t="shared" si="14"/>
        <v>1890</v>
      </c>
      <c r="Q147" s="396"/>
    </row>
    <row r="148" s="332" customFormat="1" hidden="1" spans="1:17">
      <c r="A148" s="332" t="s">
        <v>18</v>
      </c>
      <c r="B148" s="409">
        <v>45367</v>
      </c>
      <c r="C148" s="410">
        <v>47</v>
      </c>
      <c r="D148" s="338" t="s">
        <v>34</v>
      </c>
      <c r="E148" s="338"/>
      <c r="F148" s="338"/>
      <c r="G148" s="337" t="s">
        <v>35</v>
      </c>
      <c r="H148" s="338">
        <v>1</v>
      </c>
      <c r="I148" s="338">
        <v>180</v>
      </c>
      <c r="J148" s="342">
        <v>180</v>
      </c>
      <c r="K148" s="339">
        <v>7</v>
      </c>
      <c r="L148" s="395">
        <f t="shared" si="13"/>
        <v>1260</v>
      </c>
      <c r="M148" s="338"/>
      <c r="N148" s="394">
        <v>3920</v>
      </c>
      <c r="O148" s="340">
        <v>7.5</v>
      </c>
      <c r="P148" s="340">
        <f t="shared" si="14"/>
        <v>1350</v>
      </c>
      <c r="Q148" s="396">
        <v>4365</v>
      </c>
    </row>
    <row r="149" s="389" customFormat="1" hidden="1" spans="1:17">
      <c r="A149" s="334" t="s">
        <v>18</v>
      </c>
      <c r="B149" s="400">
        <v>45370</v>
      </c>
      <c r="C149" s="401">
        <v>51</v>
      </c>
      <c r="D149" s="347" t="s">
        <v>80</v>
      </c>
      <c r="E149" s="347"/>
      <c r="F149" s="347"/>
      <c r="G149" s="348" t="s">
        <v>81</v>
      </c>
      <c r="H149" s="347">
        <v>1</v>
      </c>
      <c r="I149" s="347">
        <v>13</v>
      </c>
      <c r="J149" s="402">
        <v>13</v>
      </c>
      <c r="K149" s="349">
        <v>20</v>
      </c>
      <c r="L149" s="403">
        <f t="shared" si="13"/>
        <v>260</v>
      </c>
      <c r="M149" s="422"/>
      <c r="N149" s="404"/>
      <c r="O149" s="349">
        <v>22.5</v>
      </c>
      <c r="P149" s="412">
        <f t="shared" si="14"/>
        <v>292.5</v>
      </c>
      <c r="Q149" s="405"/>
    </row>
    <row r="150" s="334" customFormat="1" hidden="1" spans="1:17">
      <c r="A150" s="334" t="s">
        <v>18</v>
      </c>
      <c r="B150" s="400">
        <v>45370</v>
      </c>
      <c r="C150" s="401">
        <v>51</v>
      </c>
      <c r="D150" s="347" t="s">
        <v>77</v>
      </c>
      <c r="E150" s="347"/>
      <c r="F150" s="347"/>
      <c r="G150" s="348" t="s">
        <v>78</v>
      </c>
      <c r="H150" s="347">
        <v>1</v>
      </c>
      <c r="I150" s="402">
        <v>11</v>
      </c>
      <c r="J150" s="402">
        <v>11</v>
      </c>
      <c r="K150" s="349">
        <v>20</v>
      </c>
      <c r="L150" s="403">
        <f t="shared" si="13"/>
        <v>220</v>
      </c>
      <c r="M150" s="425"/>
      <c r="N150" s="404"/>
      <c r="O150" s="462">
        <v>22.5</v>
      </c>
      <c r="P150" s="412">
        <f t="shared" si="14"/>
        <v>247.5</v>
      </c>
      <c r="Q150" s="405"/>
    </row>
    <row r="151" s="389" customFormat="1" hidden="1" spans="1:17">
      <c r="A151" s="334" t="s">
        <v>18</v>
      </c>
      <c r="B151" s="400">
        <v>45370</v>
      </c>
      <c r="C151" s="401">
        <v>51</v>
      </c>
      <c r="D151" s="347" t="s">
        <v>177</v>
      </c>
      <c r="E151" s="347"/>
      <c r="F151" s="347"/>
      <c r="G151" s="348" t="s">
        <v>178</v>
      </c>
      <c r="H151" s="347">
        <v>1</v>
      </c>
      <c r="I151" s="347">
        <v>10</v>
      </c>
      <c r="J151" s="402">
        <v>10</v>
      </c>
      <c r="K151" s="349">
        <v>24</v>
      </c>
      <c r="L151" s="403">
        <f t="shared" si="13"/>
        <v>240</v>
      </c>
      <c r="M151" s="422" t="s">
        <v>176</v>
      </c>
      <c r="N151" s="404">
        <v>720</v>
      </c>
      <c r="O151" s="349">
        <v>28</v>
      </c>
      <c r="P151" s="412">
        <f t="shared" si="14"/>
        <v>280</v>
      </c>
      <c r="Q151" s="405">
        <v>820</v>
      </c>
    </row>
    <row r="152" s="332" customFormat="1" spans="1:17">
      <c r="A152" s="332" t="s">
        <v>112</v>
      </c>
      <c r="B152" s="409">
        <v>45371</v>
      </c>
      <c r="C152" s="410">
        <v>56</v>
      </c>
      <c r="D152" s="338" t="s">
        <v>40</v>
      </c>
      <c r="E152" s="338"/>
      <c r="F152" s="338"/>
      <c r="G152" s="337" t="s">
        <v>41</v>
      </c>
      <c r="H152" s="338">
        <v>10</v>
      </c>
      <c r="I152" s="338">
        <v>22</v>
      </c>
      <c r="J152" s="342">
        <v>220</v>
      </c>
      <c r="K152" s="339">
        <v>13.5</v>
      </c>
      <c r="L152" s="395">
        <f t="shared" si="13"/>
        <v>2970</v>
      </c>
      <c r="M152" s="338"/>
      <c r="N152" s="394"/>
      <c r="O152" s="340">
        <v>15.5</v>
      </c>
      <c r="P152" s="340">
        <f t="shared" si="14"/>
        <v>3410</v>
      </c>
      <c r="Q152" s="396"/>
    </row>
    <row r="153" s="334" customFormat="1" hidden="1" spans="1:17">
      <c r="A153" s="334" t="s">
        <v>18</v>
      </c>
      <c r="B153" s="400">
        <v>45374</v>
      </c>
      <c r="C153" s="401">
        <v>63</v>
      </c>
      <c r="D153" s="347">
        <v>9806</v>
      </c>
      <c r="E153" s="347"/>
      <c r="F153" s="347"/>
      <c r="G153" s="348" t="s">
        <v>29</v>
      </c>
      <c r="H153" s="347">
        <v>10</v>
      </c>
      <c r="I153" s="347">
        <v>28</v>
      </c>
      <c r="J153" s="402">
        <v>280</v>
      </c>
      <c r="K153" s="349">
        <v>10.1</v>
      </c>
      <c r="L153" s="403">
        <f t="shared" si="13"/>
        <v>2828</v>
      </c>
      <c r="M153" s="424"/>
      <c r="N153" s="404"/>
      <c r="O153" s="412">
        <v>11</v>
      </c>
      <c r="P153" s="412">
        <f t="shared" si="14"/>
        <v>3080</v>
      </c>
      <c r="Q153" s="405"/>
    </row>
    <row r="154" s="334" customFormat="1" hidden="1" spans="1:17">
      <c r="A154" s="334" t="s">
        <v>18</v>
      </c>
      <c r="B154" s="400">
        <v>45374</v>
      </c>
      <c r="C154" s="401">
        <v>63</v>
      </c>
      <c r="D154" s="347" t="s">
        <v>31</v>
      </c>
      <c r="E154" s="347"/>
      <c r="F154" s="347"/>
      <c r="G154" s="348" t="s">
        <v>32</v>
      </c>
      <c r="H154" s="347">
        <v>5</v>
      </c>
      <c r="I154" s="347">
        <v>25</v>
      </c>
      <c r="J154" s="402">
        <v>125</v>
      </c>
      <c r="K154" s="349">
        <v>13.5</v>
      </c>
      <c r="L154" s="403">
        <f t="shared" si="13"/>
        <v>1687.5</v>
      </c>
      <c r="M154" s="463" t="s">
        <v>33</v>
      </c>
      <c r="N154" s="404"/>
      <c r="O154" s="412">
        <v>14.5</v>
      </c>
      <c r="P154" s="412">
        <f t="shared" si="14"/>
        <v>1812.5</v>
      </c>
      <c r="Q154" s="405"/>
    </row>
    <row r="155" s="334" customFormat="1" hidden="1" spans="1:17">
      <c r="A155" s="334" t="s">
        <v>18</v>
      </c>
      <c r="B155" s="400">
        <v>45374</v>
      </c>
      <c r="C155" s="401">
        <v>63</v>
      </c>
      <c r="D155" s="347" t="s">
        <v>34</v>
      </c>
      <c r="E155" s="347"/>
      <c r="F155" s="347"/>
      <c r="G155" s="348" t="s">
        <v>35</v>
      </c>
      <c r="H155" s="347">
        <v>1</v>
      </c>
      <c r="I155" s="347">
        <v>180</v>
      </c>
      <c r="J155" s="402">
        <v>180</v>
      </c>
      <c r="K155" s="349">
        <v>7</v>
      </c>
      <c r="L155" s="403">
        <f t="shared" si="13"/>
        <v>1260</v>
      </c>
      <c r="M155" s="347"/>
      <c r="N155" s="404">
        <f>SUM(L153:L155)</f>
        <v>5775.5</v>
      </c>
      <c r="O155" s="412">
        <v>7.5</v>
      </c>
      <c r="P155" s="412">
        <f t="shared" si="14"/>
        <v>1350</v>
      </c>
      <c r="Q155" s="405">
        <f>SUM(P153:P155)</f>
        <v>6242.5</v>
      </c>
    </row>
    <row r="156" s="332" customFormat="1" hidden="1" spans="1:17">
      <c r="A156" s="332" t="s">
        <v>18</v>
      </c>
      <c r="B156" s="409">
        <v>45379</v>
      </c>
      <c r="C156" s="410">
        <v>78</v>
      </c>
      <c r="D156" s="338"/>
      <c r="E156" s="338"/>
      <c r="F156" s="338"/>
      <c r="G156" s="337" t="s">
        <v>24</v>
      </c>
      <c r="H156" s="338">
        <v>5</v>
      </c>
      <c r="I156" s="338">
        <v>25</v>
      </c>
      <c r="J156" s="342">
        <f t="shared" ref="J156:J161" si="15">H156*I156</f>
        <v>125</v>
      </c>
      <c r="K156" s="339">
        <v>19</v>
      </c>
      <c r="L156" s="395">
        <f t="shared" si="13"/>
        <v>2375</v>
      </c>
      <c r="M156" s="344" t="s">
        <v>25</v>
      </c>
      <c r="N156" s="394"/>
      <c r="O156" s="339">
        <v>22.5</v>
      </c>
      <c r="P156" s="340">
        <f t="shared" si="14"/>
        <v>2812.5</v>
      </c>
      <c r="Q156" s="396"/>
    </row>
    <row r="157" s="332" customFormat="1" hidden="1" spans="1:17">
      <c r="A157" s="332" t="s">
        <v>18</v>
      </c>
      <c r="B157" s="409">
        <v>45379</v>
      </c>
      <c r="C157" s="410">
        <v>78</v>
      </c>
      <c r="D157" s="338"/>
      <c r="E157" s="338"/>
      <c r="F157" s="338"/>
      <c r="G157" s="337" t="s">
        <v>22</v>
      </c>
      <c r="H157" s="338">
        <v>9</v>
      </c>
      <c r="I157" s="342">
        <v>10</v>
      </c>
      <c r="J157" s="342">
        <f t="shared" si="15"/>
        <v>90</v>
      </c>
      <c r="K157" s="339">
        <v>19</v>
      </c>
      <c r="L157" s="395">
        <f t="shared" si="13"/>
        <v>1710</v>
      </c>
      <c r="M157" s="336" t="s">
        <v>23</v>
      </c>
      <c r="N157" s="394"/>
      <c r="O157" s="339">
        <v>22.5</v>
      </c>
      <c r="P157" s="340">
        <f t="shared" si="14"/>
        <v>2025</v>
      </c>
      <c r="Q157" s="396"/>
    </row>
    <row r="158" s="332" customFormat="1" hidden="1" spans="1:17">
      <c r="A158" s="332" t="s">
        <v>18</v>
      </c>
      <c r="B158" s="409">
        <v>45379</v>
      </c>
      <c r="C158" s="410">
        <v>78</v>
      </c>
      <c r="D158" s="338"/>
      <c r="E158" s="338"/>
      <c r="F158" s="338"/>
      <c r="G158" s="337" t="s">
        <v>53</v>
      </c>
      <c r="H158" s="338">
        <v>1</v>
      </c>
      <c r="I158" s="342">
        <v>20</v>
      </c>
      <c r="J158" s="342">
        <v>20</v>
      </c>
      <c r="K158" s="342">
        <v>20</v>
      </c>
      <c r="L158" s="395">
        <f t="shared" si="13"/>
        <v>400</v>
      </c>
      <c r="M158" s="464" t="s">
        <v>179</v>
      </c>
      <c r="N158" s="394">
        <f>SUM(L156:L158)</f>
        <v>4485</v>
      </c>
      <c r="O158" s="339">
        <v>22.5</v>
      </c>
      <c r="P158" s="338">
        <v>450</v>
      </c>
      <c r="Q158" s="396">
        <f>SUM(P156:P158)</f>
        <v>5287.5</v>
      </c>
    </row>
    <row r="159" s="391" customFormat="1" hidden="1" spans="1:17">
      <c r="A159" s="334" t="s">
        <v>18</v>
      </c>
      <c r="B159" s="400">
        <v>45388</v>
      </c>
      <c r="C159" s="401">
        <v>13</v>
      </c>
      <c r="D159" s="465">
        <v>45383</v>
      </c>
      <c r="E159" s="347"/>
      <c r="F159" s="425"/>
      <c r="G159" s="348" t="s">
        <v>180</v>
      </c>
      <c r="H159" s="347">
        <v>1</v>
      </c>
      <c r="I159" s="347">
        <v>4</v>
      </c>
      <c r="J159" s="402">
        <f t="shared" si="15"/>
        <v>4</v>
      </c>
      <c r="K159" s="349">
        <v>20</v>
      </c>
      <c r="L159" s="403">
        <f t="shared" si="13"/>
        <v>80</v>
      </c>
      <c r="M159" s="411" t="s">
        <v>181</v>
      </c>
      <c r="N159" s="419"/>
      <c r="O159" s="402">
        <v>22.5</v>
      </c>
      <c r="P159" s="347">
        <f t="shared" ref="P159:P165" si="16">J159*O159</f>
        <v>90</v>
      </c>
      <c r="Q159" s="420"/>
    </row>
    <row r="160" s="391" customFormat="1" hidden="1" spans="1:17">
      <c r="A160" s="334" t="s">
        <v>18</v>
      </c>
      <c r="B160" s="400">
        <v>45388</v>
      </c>
      <c r="C160" s="401">
        <v>13</v>
      </c>
      <c r="D160" s="465">
        <v>45383</v>
      </c>
      <c r="E160" s="347"/>
      <c r="F160" s="425"/>
      <c r="G160" s="348" t="s">
        <v>48</v>
      </c>
      <c r="H160" s="347">
        <v>1</v>
      </c>
      <c r="I160" s="347">
        <v>4</v>
      </c>
      <c r="J160" s="402">
        <f t="shared" si="15"/>
        <v>4</v>
      </c>
      <c r="K160" s="349">
        <v>9.5</v>
      </c>
      <c r="L160" s="403">
        <f t="shared" si="13"/>
        <v>38</v>
      </c>
      <c r="M160" s="411" t="s">
        <v>181</v>
      </c>
      <c r="N160" s="419"/>
      <c r="O160" s="402">
        <v>10</v>
      </c>
      <c r="P160" s="347">
        <f t="shared" si="16"/>
        <v>40</v>
      </c>
      <c r="Q160" s="420"/>
    </row>
    <row r="161" s="334" customFormat="1" hidden="1" spans="1:19">
      <c r="A161" s="334" t="s">
        <v>18</v>
      </c>
      <c r="B161" s="400">
        <v>45388</v>
      </c>
      <c r="C161" s="401">
        <v>13</v>
      </c>
      <c r="D161" s="465">
        <v>45387</v>
      </c>
      <c r="E161" s="347"/>
      <c r="F161" s="347"/>
      <c r="G161" s="348" t="s">
        <v>182</v>
      </c>
      <c r="H161" s="347">
        <v>1</v>
      </c>
      <c r="I161" s="402">
        <v>2</v>
      </c>
      <c r="J161" s="402">
        <f t="shared" ref="J161:J186" si="17">H161*I161</f>
        <v>2</v>
      </c>
      <c r="K161" s="402"/>
      <c r="L161" s="403"/>
      <c r="M161" s="425" t="s">
        <v>183</v>
      </c>
      <c r="N161" s="404"/>
      <c r="O161" s="462"/>
      <c r="P161" s="347"/>
      <c r="Q161" s="405"/>
    </row>
    <row r="162" s="334" customFormat="1" hidden="1" spans="1:19">
      <c r="A162" s="334" t="s">
        <v>18</v>
      </c>
      <c r="B162" s="400">
        <v>45388</v>
      </c>
      <c r="C162" s="401">
        <v>13</v>
      </c>
      <c r="D162" s="347" t="s">
        <v>34</v>
      </c>
      <c r="E162" s="347"/>
      <c r="F162" s="347"/>
      <c r="G162" s="348" t="s">
        <v>35</v>
      </c>
      <c r="H162" s="347">
        <v>1</v>
      </c>
      <c r="I162" s="347">
        <v>180</v>
      </c>
      <c r="J162" s="402">
        <f t="shared" si="17"/>
        <v>180</v>
      </c>
      <c r="K162" s="349">
        <v>7</v>
      </c>
      <c r="L162" s="403">
        <f t="shared" ref="L162:L165" si="18">J162*K162</f>
        <v>1260</v>
      </c>
      <c r="M162" s="347"/>
      <c r="N162" s="404">
        <f>SUM(L159:L162)</f>
        <v>1378</v>
      </c>
      <c r="O162" s="412">
        <v>7.5</v>
      </c>
      <c r="P162" s="412">
        <f t="shared" si="16"/>
        <v>1350</v>
      </c>
      <c r="Q162" s="405">
        <f>SUM(P159:P162)</f>
        <v>1480</v>
      </c>
    </row>
    <row r="163" s="353" customFormat="1" hidden="1" spans="1:19">
      <c r="A163" s="332" t="s">
        <v>18</v>
      </c>
      <c r="B163" s="409">
        <v>45391</v>
      </c>
      <c r="C163" s="410">
        <v>25</v>
      </c>
      <c r="D163" s="338" t="s">
        <v>184</v>
      </c>
      <c r="E163" s="338"/>
      <c r="F163" s="338"/>
      <c r="G163" s="337" t="s">
        <v>185</v>
      </c>
      <c r="H163" s="338">
        <v>1</v>
      </c>
      <c r="I163" s="338">
        <v>20</v>
      </c>
      <c r="J163" s="342">
        <f t="shared" si="17"/>
        <v>20</v>
      </c>
      <c r="K163" s="339">
        <v>24</v>
      </c>
      <c r="L163" s="395">
        <f t="shared" si="18"/>
        <v>480</v>
      </c>
      <c r="M163" s="344" t="s">
        <v>186</v>
      </c>
      <c r="N163" s="394"/>
      <c r="O163" s="339">
        <v>28</v>
      </c>
      <c r="P163" s="340">
        <f t="shared" si="16"/>
        <v>560</v>
      </c>
      <c r="Q163" s="396">
        <v>820</v>
      </c>
    </row>
    <row r="164" s="332" customFormat="1" hidden="1" spans="1:19">
      <c r="A164" s="332" t="s">
        <v>18</v>
      </c>
      <c r="B164" s="409">
        <v>45391</v>
      </c>
      <c r="C164" s="410">
        <v>25</v>
      </c>
      <c r="D164" s="338"/>
      <c r="E164" s="338"/>
      <c r="F164" s="338"/>
      <c r="G164" s="337" t="s">
        <v>22</v>
      </c>
      <c r="H164" s="338">
        <v>1</v>
      </c>
      <c r="I164" s="342">
        <v>10</v>
      </c>
      <c r="J164" s="342">
        <f t="shared" si="17"/>
        <v>10</v>
      </c>
      <c r="K164" s="339">
        <v>19</v>
      </c>
      <c r="L164" s="395">
        <f t="shared" si="18"/>
        <v>190</v>
      </c>
      <c r="M164" s="336" t="s">
        <v>23</v>
      </c>
      <c r="N164" s="394">
        <f>SUM(L163:L164)</f>
        <v>670</v>
      </c>
      <c r="O164" s="339">
        <v>22.5</v>
      </c>
      <c r="P164" s="340">
        <f t="shared" si="16"/>
        <v>225</v>
      </c>
      <c r="Q164" s="396"/>
    </row>
    <row r="165" s="334" customFormat="1" hidden="1" spans="1:19">
      <c r="A165" s="334" t="s">
        <v>18</v>
      </c>
      <c r="B165" s="400">
        <v>45392</v>
      </c>
      <c r="C165" s="401">
        <v>31</v>
      </c>
      <c r="D165" s="347">
        <v>9806</v>
      </c>
      <c r="E165" s="347"/>
      <c r="F165" s="347"/>
      <c r="G165" s="348" t="s">
        <v>29</v>
      </c>
      <c r="H165" s="347">
        <v>11</v>
      </c>
      <c r="I165" s="347">
        <v>28</v>
      </c>
      <c r="J165" s="402">
        <f t="shared" si="17"/>
        <v>308</v>
      </c>
      <c r="K165" s="349">
        <v>10.1</v>
      </c>
      <c r="L165" s="403">
        <f t="shared" si="18"/>
        <v>3110.8</v>
      </c>
      <c r="M165" s="424"/>
      <c r="N165" s="404"/>
      <c r="O165" s="412">
        <v>11</v>
      </c>
      <c r="P165" s="412">
        <f t="shared" si="16"/>
        <v>3388</v>
      </c>
      <c r="Q165" s="405"/>
    </row>
    <row r="166" s="334" customFormat="1" spans="1:19">
      <c r="A166" s="334" t="s">
        <v>18</v>
      </c>
      <c r="B166" s="400">
        <v>45392</v>
      </c>
      <c r="C166" s="401">
        <v>31</v>
      </c>
      <c r="D166" s="347" t="s">
        <v>73</v>
      </c>
      <c r="E166" s="347"/>
      <c r="F166" s="347"/>
      <c r="G166" s="348" t="s">
        <v>41</v>
      </c>
      <c r="H166" s="402">
        <v>1</v>
      </c>
      <c r="I166" s="347">
        <v>22</v>
      </c>
      <c r="J166" s="402">
        <f t="shared" si="17"/>
        <v>22</v>
      </c>
      <c r="K166" s="349">
        <v>14.5</v>
      </c>
      <c r="L166" s="403">
        <v>319</v>
      </c>
      <c r="M166" s="348" t="s">
        <v>74</v>
      </c>
      <c r="N166" s="404"/>
      <c r="O166" s="349">
        <v>17</v>
      </c>
      <c r="P166" s="347">
        <v>374</v>
      </c>
      <c r="Q166" s="405"/>
    </row>
    <row r="167" s="334" customFormat="1" hidden="1" spans="1:19">
      <c r="A167" s="334" t="s">
        <v>18</v>
      </c>
      <c r="B167" s="400">
        <v>45392</v>
      </c>
      <c r="C167" s="401">
        <v>31</v>
      </c>
      <c r="D167" s="347"/>
      <c r="E167" s="347"/>
      <c r="F167" s="347"/>
      <c r="G167" s="348" t="s">
        <v>24</v>
      </c>
      <c r="H167" s="347">
        <v>4</v>
      </c>
      <c r="I167" s="347">
        <v>25</v>
      </c>
      <c r="J167" s="402">
        <f t="shared" si="17"/>
        <v>100</v>
      </c>
      <c r="K167" s="349"/>
      <c r="L167" s="403">
        <f t="shared" ref="L167:L212" si="19">J167*K167</f>
        <v>0</v>
      </c>
      <c r="M167" s="421" t="s">
        <v>187</v>
      </c>
      <c r="N167" s="404"/>
      <c r="O167" s="349"/>
      <c r="P167" s="412">
        <f t="shared" ref="P167:P212" si="20">J167*O167</f>
        <v>0</v>
      </c>
      <c r="Q167" s="405"/>
    </row>
    <row r="168" s="334" customFormat="1" hidden="1" spans="1:19">
      <c r="A168" s="334" t="s">
        <v>18</v>
      </c>
      <c r="B168" s="400">
        <v>45392</v>
      </c>
      <c r="C168" s="401">
        <v>31</v>
      </c>
      <c r="D168" s="347" t="s">
        <v>51</v>
      </c>
      <c r="E168" s="347"/>
      <c r="F168" s="347"/>
      <c r="G168" s="348" t="s">
        <v>39</v>
      </c>
      <c r="H168" s="347">
        <v>1</v>
      </c>
      <c r="I168" s="347">
        <v>180</v>
      </c>
      <c r="J168" s="402">
        <f t="shared" si="17"/>
        <v>180</v>
      </c>
      <c r="K168" s="349">
        <v>9.5</v>
      </c>
      <c r="L168" s="403">
        <f t="shared" si="19"/>
        <v>1710</v>
      </c>
      <c r="M168" s="347"/>
      <c r="N168" s="404">
        <f>SUM(L165:L168)</f>
        <v>5139.8</v>
      </c>
      <c r="O168" s="412">
        <v>10.5</v>
      </c>
      <c r="P168" s="412">
        <f t="shared" si="20"/>
        <v>1890</v>
      </c>
      <c r="Q168" s="405">
        <f>SUM(P165:P168)</f>
        <v>5652</v>
      </c>
    </row>
    <row r="169" s="332" customFormat="1" hidden="1" spans="1:19">
      <c r="A169" s="332" t="s">
        <v>18</v>
      </c>
      <c r="B169" s="409">
        <v>45404</v>
      </c>
      <c r="C169" s="410">
        <v>74</v>
      </c>
      <c r="D169" s="338" t="s">
        <v>63</v>
      </c>
      <c r="E169" s="338"/>
      <c r="F169" s="338"/>
      <c r="G169" s="337" t="s">
        <v>64</v>
      </c>
      <c r="H169" s="338">
        <v>1</v>
      </c>
      <c r="I169" s="338">
        <v>4</v>
      </c>
      <c r="J169" s="342">
        <f t="shared" si="17"/>
        <v>4</v>
      </c>
      <c r="K169" s="339">
        <v>20</v>
      </c>
      <c r="L169" s="395">
        <f t="shared" si="19"/>
        <v>80</v>
      </c>
      <c r="M169" s="336" t="s">
        <v>188</v>
      </c>
      <c r="N169" s="394"/>
      <c r="O169" s="339">
        <v>22.5</v>
      </c>
      <c r="P169" s="338">
        <f t="shared" si="20"/>
        <v>90</v>
      </c>
      <c r="Q169" s="396"/>
    </row>
    <row r="170" s="332" customFormat="1" hidden="1" spans="1:19">
      <c r="A170" s="332" t="s">
        <v>18</v>
      </c>
      <c r="B170" s="409">
        <v>45404</v>
      </c>
      <c r="C170" s="410">
        <v>74</v>
      </c>
      <c r="D170" s="338"/>
      <c r="E170" s="338"/>
      <c r="F170" s="338"/>
      <c r="G170" s="337" t="s">
        <v>52</v>
      </c>
      <c r="H170" s="338">
        <v>1</v>
      </c>
      <c r="I170" s="342">
        <v>2</v>
      </c>
      <c r="J170" s="342">
        <f t="shared" si="17"/>
        <v>2</v>
      </c>
      <c r="K170" s="342"/>
      <c r="L170" s="395">
        <f t="shared" si="19"/>
        <v>0</v>
      </c>
      <c r="M170" s="338"/>
      <c r="N170" s="394"/>
      <c r="O170" s="441"/>
      <c r="P170" s="338">
        <f t="shared" si="20"/>
        <v>0</v>
      </c>
      <c r="Q170" s="396"/>
    </row>
    <row r="171" s="332" customFormat="1" hidden="1" spans="1:19">
      <c r="A171" s="332" t="s">
        <v>18</v>
      </c>
      <c r="B171" s="409">
        <v>45404</v>
      </c>
      <c r="C171" s="410">
        <v>74</v>
      </c>
      <c r="D171" s="338" t="s">
        <v>34</v>
      </c>
      <c r="E171" s="338"/>
      <c r="F171" s="338"/>
      <c r="G171" s="337" t="s">
        <v>35</v>
      </c>
      <c r="H171" s="338">
        <v>1</v>
      </c>
      <c r="I171" s="338">
        <v>180</v>
      </c>
      <c r="J171" s="342">
        <f t="shared" si="17"/>
        <v>180</v>
      </c>
      <c r="K171" s="339">
        <v>7</v>
      </c>
      <c r="L171" s="395">
        <f t="shared" si="19"/>
        <v>1260</v>
      </c>
      <c r="M171" s="338"/>
      <c r="N171" s="394">
        <f>SUM(L169:L171)</f>
        <v>1340</v>
      </c>
      <c r="O171" s="340">
        <v>7.5</v>
      </c>
      <c r="P171" s="340">
        <f t="shared" si="20"/>
        <v>1350</v>
      </c>
      <c r="Q171" s="396">
        <f>SUM(P169:P17452)</f>
        <v>395980.9</v>
      </c>
    </row>
    <row r="172" s="334" customFormat="1" hidden="1" spans="1:19">
      <c r="A172" s="334" t="s">
        <v>18</v>
      </c>
      <c r="B172" s="400">
        <v>45409</v>
      </c>
      <c r="C172" s="401">
        <v>94</v>
      </c>
      <c r="D172" s="347">
        <v>9806</v>
      </c>
      <c r="E172" s="347"/>
      <c r="F172" s="347"/>
      <c r="G172" s="348" t="s">
        <v>29</v>
      </c>
      <c r="H172" s="347">
        <v>10</v>
      </c>
      <c r="I172" s="347">
        <v>28</v>
      </c>
      <c r="J172" s="402">
        <f t="shared" si="17"/>
        <v>280</v>
      </c>
      <c r="K172" s="349">
        <v>10.1</v>
      </c>
      <c r="L172" s="403">
        <f t="shared" si="19"/>
        <v>2828</v>
      </c>
      <c r="M172" s="424"/>
      <c r="N172" s="404"/>
      <c r="O172" s="412">
        <v>11</v>
      </c>
      <c r="P172" s="412">
        <f t="shared" si="20"/>
        <v>3080</v>
      </c>
      <c r="Q172" s="405"/>
    </row>
    <row r="173" s="334" customFormat="1" hidden="1" spans="1:19">
      <c r="A173" s="334" t="s">
        <v>18</v>
      </c>
      <c r="B173" s="400">
        <v>45409</v>
      </c>
      <c r="C173" s="401">
        <v>94</v>
      </c>
      <c r="D173" s="347"/>
      <c r="E173" s="347"/>
      <c r="F173" s="347"/>
      <c r="G173" s="348" t="s">
        <v>24</v>
      </c>
      <c r="H173" s="347">
        <v>5</v>
      </c>
      <c r="I173" s="347">
        <v>25</v>
      </c>
      <c r="J173" s="402">
        <f t="shared" si="17"/>
        <v>125</v>
      </c>
      <c r="K173" s="349">
        <v>19</v>
      </c>
      <c r="L173" s="403">
        <f t="shared" si="19"/>
        <v>2375</v>
      </c>
      <c r="M173" s="422" t="s">
        <v>187</v>
      </c>
      <c r="N173" s="404"/>
      <c r="O173" s="349">
        <v>22.5</v>
      </c>
      <c r="P173" s="412">
        <f t="shared" si="20"/>
        <v>2812.5</v>
      </c>
      <c r="Q173" s="405"/>
    </row>
    <row r="174" s="334" customFormat="1" hidden="1" spans="1:19">
      <c r="A174" s="334" t="s">
        <v>18</v>
      </c>
      <c r="B174" s="400">
        <v>45409</v>
      </c>
      <c r="C174" s="401">
        <v>94</v>
      </c>
      <c r="D174" s="347"/>
      <c r="E174" s="347"/>
      <c r="F174" s="347"/>
      <c r="G174" s="348" t="s">
        <v>22</v>
      </c>
      <c r="H174" s="347">
        <v>8</v>
      </c>
      <c r="I174" s="402">
        <v>10</v>
      </c>
      <c r="J174" s="402">
        <f t="shared" si="17"/>
        <v>80</v>
      </c>
      <c r="K174" s="349">
        <v>20</v>
      </c>
      <c r="L174" s="403">
        <f t="shared" si="19"/>
        <v>1600</v>
      </c>
      <c r="M174" s="425" t="s">
        <v>23</v>
      </c>
      <c r="N174" s="404"/>
      <c r="O174" s="349">
        <v>22.5</v>
      </c>
      <c r="P174" s="412">
        <f t="shared" si="20"/>
        <v>1800</v>
      </c>
      <c r="Q174" s="405"/>
    </row>
    <row r="175" s="334" customFormat="1" hidden="1" spans="1:19">
      <c r="A175" s="334" t="s">
        <v>18</v>
      </c>
      <c r="B175" s="400">
        <v>45409</v>
      </c>
      <c r="C175" s="401">
        <v>94</v>
      </c>
      <c r="D175" s="347"/>
      <c r="E175" s="347"/>
      <c r="F175" s="347"/>
      <c r="G175" s="348" t="s">
        <v>53</v>
      </c>
      <c r="H175" s="347">
        <v>2</v>
      </c>
      <c r="I175" s="402">
        <v>20</v>
      </c>
      <c r="J175" s="402">
        <f t="shared" si="17"/>
        <v>40</v>
      </c>
      <c r="K175" s="349">
        <v>20</v>
      </c>
      <c r="L175" s="403">
        <f t="shared" si="19"/>
        <v>800</v>
      </c>
      <c r="M175" s="464" t="s">
        <v>179</v>
      </c>
      <c r="N175" s="404">
        <f>SUM(L172:L175)</f>
        <v>7603</v>
      </c>
      <c r="O175" s="349">
        <v>22.5</v>
      </c>
      <c r="P175" s="412">
        <f t="shared" si="20"/>
        <v>900</v>
      </c>
      <c r="Q175" s="405">
        <f>SUM(P172:P175)</f>
        <v>8592.5</v>
      </c>
    </row>
    <row r="176" s="332" customFormat="1" hidden="1" spans="1:19">
      <c r="A176" s="409" t="s">
        <v>112</v>
      </c>
      <c r="B176" s="409">
        <v>45412</v>
      </c>
      <c r="C176" s="332" t="s">
        <v>189</v>
      </c>
      <c r="D176" s="442" t="s">
        <v>38</v>
      </c>
      <c r="E176" s="442"/>
      <c r="F176" s="442"/>
      <c r="G176" s="337" t="s">
        <v>39</v>
      </c>
      <c r="H176" s="342">
        <v>1</v>
      </c>
      <c r="I176" s="342">
        <v>180</v>
      </c>
      <c r="J176" s="342">
        <f t="shared" si="17"/>
        <v>180</v>
      </c>
      <c r="K176" s="339">
        <v>11</v>
      </c>
      <c r="L176" s="395">
        <f t="shared" si="19"/>
        <v>1980</v>
      </c>
      <c r="M176" s="445" t="s">
        <v>118</v>
      </c>
      <c r="N176" s="441"/>
      <c r="O176" s="342">
        <v>13.5</v>
      </c>
      <c r="P176" s="337">
        <f t="shared" si="20"/>
        <v>2430</v>
      </c>
      <c r="Q176" s="337"/>
      <c r="R176" s="332" t="s">
        <v>116</v>
      </c>
      <c r="S176" s="332" t="s">
        <v>117</v>
      </c>
    </row>
    <row r="177" s="332" customFormat="1" hidden="1" spans="1:19">
      <c r="A177" s="409" t="s">
        <v>112</v>
      </c>
      <c r="B177" s="409">
        <v>45412</v>
      </c>
      <c r="C177" s="332" t="s">
        <v>189</v>
      </c>
      <c r="D177" s="338" t="s">
        <v>119</v>
      </c>
      <c r="E177" s="338"/>
      <c r="F177" s="338"/>
      <c r="G177" s="337" t="s">
        <v>120</v>
      </c>
      <c r="H177" s="342">
        <v>20</v>
      </c>
      <c r="I177" s="342">
        <v>25</v>
      </c>
      <c r="J177" s="342">
        <f t="shared" si="17"/>
        <v>500</v>
      </c>
      <c r="K177" s="339">
        <v>13.5</v>
      </c>
      <c r="L177" s="395">
        <f t="shared" si="19"/>
        <v>6750</v>
      </c>
      <c r="M177" s="444" t="s">
        <v>121</v>
      </c>
      <c r="N177" s="441"/>
      <c r="O177" s="342">
        <v>15.5</v>
      </c>
      <c r="P177" s="337">
        <f t="shared" si="20"/>
        <v>7750</v>
      </c>
      <c r="Q177" s="337"/>
      <c r="R177" s="332" t="s">
        <v>116</v>
      </c>
      <c r="S177" s="332" t="s">
        <v>117</v>
      </c>
    </row>
    <row r="178" s="332" customFormat="1" hidden="1" spans="1:19">
      <c r="A178" s="409" t="s">
        <v>112</v>
      </c>
      <c r="B178" s="409">
        <v>45412</v>
      </c>
      <c r="C178" s="332" t="s">
        <v>189</v>
      </c>
      <c r="D178" s="338"/>
      <c r="E178" s="338"/>
      <c r="F178" s="338"/>
      <c r="G178" s="337" t="s">
        <v>24</v>
      </c>
      <c r="H178" s="338">
        <v>2</v>
      </c>
      <c r="I178" s="342">
        <v>25</v>
      </c>
      <c r="J178" s="342">
        <f t="shared" si="17"/>
        <v>50</v>
      </c>
      <c r="K178" s="339">
        <v>22</v>
      </c>
      <c r="L178" s="395">
        <f t="shared" si="19"/>
        <v>1100</v>
      </c>
      <c r="M178" s="336" t="s">
        <v>190</v>
      </c>
      <c r="N178" s="394"/>
      <c r="O178" s="441">
        <v>25</v>
      </c>
      <c r="P178" s="337">
        <f t="shared" si="20"/>
        <v>1250</v>
      </c>
      <c r="Q178" s="396"/>
    </row>
    <row r="179" s="332" customFormat="1" hidden="1" spans="1:19">
      <c r="A179" s="409" t="s">
        <v>112</v>
      </c>
      <c r="B179" s="409">
        <v>45412</v>
      </c>
      <c r="C179" s="332" t="s">
        <v>189</v>
      </c>
      <c r="D179" s="338" t="s">
        <v>191</v>
      </c>
      <c r="E179" s="338"/>
      <c r="F179" s="338"/>
      <c r="G179" s="337" t="s">
        <v>192</v>
      </c>
      <c r="H179" s="338">
        <v>2</v>
      </c>
      <c r="I179" s="342">
        <v>10</v>
      </c>
      <c r="J179" s="342">
        <f t="shared" si="17"/>
        <v>20</v>
      </c>
      <c r="K179" s="339">
        <v>22</v>
      </c>
      <c r="L179" s="395">
        <f t="shared" si="19"/>
        <v>440</v>
      </c>
      <c r="M179" s="466" t="s">
        <v>23</v>
      </c>
      <c r="N179" s="394">
        <f>SUM(L176:L179)</f>
        <v>10270</v>
      </c>
      <c r="O179" s="441">
        <v>26</v>
      </c>
      <c r="P179" s="337">
        <f t="shared" si="20"/>
        <v>520</v>
      </c>
      <c r="Q179" s="396">
        <f>SUM(P176:P179)</f>
        <v>11950</v>
      </c>
    </row>
    <row r="180" s="334" customFormat="1" hidden="1" spans="1:19">
      <c r="A180" s="334" t="s">
        <v>18</v>
      </c>
      <c r="B180" s="400">
        <v>45417</v>
      </c>
      <c r="C180" s="401">
        <v>1</v>
      </c>
      <c r="D180" s="347" t="s">
        <v>193</v>
      </c>
      <c r="E180" s="347"/>
      <c r="F180" s="347"/>
      <c r="G180" s="348" t="s">
        <v>194</v>
      </c>
      <c r="H180" s="347">
        <v>1</v>
      </c>
      <c r="I180" s="347">
        <v>4</v>
      </c>
      <c r="J180" s="402">
        <f t="shared" si="17"/>
        <v>4</v>
      </c>
      <c r="K180" s="349">
        <v>20</v>
      </c>
      <c r="L180" s="403">
        <f t="shared" si="19"/>
        <v>80</v>
      </c>
      <c r="M180" s="425"/>
      <c r="N180" s="404"/>
      <c r="O180" s="349">
        <v>22.5</v>
      </c>
      <c r="P180" s="347">
        <f t="shared" si="20"/>
        <v>90</v>
      </c>
      <c r="Q180" s="405"/>
    </row>
    <row r="181" s="334" customFormat="1" hidden="1" spans="1:19">
      <c r="A181" s="334" t="s">
        <v>18</v>
      </c>
      <c r="B181" s="400">
        <v>45417</v>
      </c>
      <c r="C181" s="401">
        <v>1</v>
      </c>
      <c r="D181" s="347"/>
      <c r="E181" s="347"/>
      <c r="F181" s="347"/>
      <c r="G181" s="348" t="s">
        <v>166</v>
      </c>
      <c r="H181" s="347">
        <v>1</v>
      </c>
      <c r="I181" s="347">
        <v>4</v>
      </c>
      <c r="J181" s="402">
        <f t="shared" si="17"/>
        <v>4</v>
      </c>
      <c r="K181" s="349">
        <v>18</v>
      </c>
      <c r="L181" s="403">
        <f t="shared" si="19"/>
        <v>72</v>
      </c>
      <c r="M181" s="347"/>
      <c r="N181" s="404"/>
      <c r="O181" s="412">
        <v>20</v>
      </c>
      <c r="P181" s="412">
        <f t="shared" si="20"/>
        <v>80</v>
      </c>
      <c r="Q181" s="405"/>
    </row>
    <row r="182" s="334" customFormat="1" hidden="1" spans="1:19">
      <c r="A182" s="334" t="s">
        <v>18</v>
      </c>
      <c r="B182" s="400">
        <v>45417</v>
      </c>
      <c r="C182" s="401">
        <v>1</v>
      </c>
      <c r="D182" s="347"/>
      <c r="E182" s="347"/>
      <c r="F182" s="347"/>
      <c r="G182" s="348" t="s">
        <v>167</v>
      </c>
      <c r="H182" s="347">
        <v>1</v>
      </c>
      <c r="I182" s="347">
        <v>0.4</v>
      </c>
      <c r="J182" s="402">
        <f t="shared" si="17"/>
        <v>0.4</v>
      </c>
      <c r="K182" s="349">
        <v>20</v>
      </c>
      <c r="L182" s="403">
        <f t="shared" si="19"/>
        <v>8</v>
      </c>
      <c r="M182" s="347"/>
      <c r="N182" s="404"/>
      <c r="O182" s="412">
        <v>22</v>
      </c>
      <c r="P182" s="412">
        <f t="shared" si="20"/>
        <v>8.8</v>
      </c>
      <c r="Q182" s="405"/>
    </row>
    <row r="183" s="334" customFormat="1" hidden="1" spans="1:19">
      <c r="A183" s="334" t="s">
        <v>18</v>
      </c>
      <c r="B183" s="400">
        <v>45417</v>
      </c>
      <c r="C183" s="401">
        <v>1</v>
      </c>
      <c r="D183" s="347"/>
      <c r="E183" s="347"/>
      <c r="F183" s="347"/>
      <c r="G183" s="348" t="s">
        <v>168</v>
      </c>
      <c r="H183" s="347">
        <v>1</v>
      </c>
      <c r="I183" s="347">
        <v>2</v>
      </c>
      <c r="J183" s="402">
        <f t="shared" si="17"/>
        <v>2</v>
      </c>
      <c r="K183" s="349">
        <v>9.5</v>
      </c>
      <c r="L183" s="403">
        <f t="shared" si="19"/>
        <v>19</v>
      </c>
      <c r="M183" s="422" t="s">
        <v>195</v>
      </c>
      <c r="N183" s="404">
        <f>SUM(L180:L183)</f>
        <v>179</v>
      </c>
      <c r="O183" s="412">
        <v>11</v>
      </c>
      <c r="P183" s="412">
        <f t="shared" si="20"/>
        <v>22</v>
      </c>
      <c r="Q183" s="405">
        <f>SUM(P180:P183)</f>
        <v>200.8</v>
      </c>
    </row>
    <row r="184" s="332" customFormat="1" hidden="1" spans="1:19">
      <c r="A184" s="332" t="s">
        <v>18</v>
      </c>
      <c r="B184" s="409">
        <v>45420</v>
      </c>
      <c r="C184" s="410">
        <v>11</v>
      </c>
      <c r="D184" s="338">
        <v>9806</v>
      </c>
      <c r="E184" s="338"/>
      <c r="F184" s="338"/>
      <c r="G184" s="337" t="s">
        <v>29</v>
      </c>
      <c r="H184" s="338">
        <v>10</v>
      </c>
      <c r="I184" s="338">
        <v>28</v>
      </c>
      <c r="J184" s="342">
        <f t="shared" si="17"/>
        <v>280</v>
      </c>
      <c r="K184" s="339">
        <v>10.1</v>
      </c>
      <c r="L184" s="395">
        <f t="shared" si="19"/>
        <v>2828</v>
      </c>
      <c r="M184" s="152"/>
      <c r="N184" s="394"/>
      <c r="O184" s="340">
        <v>11</v>
      </c>
      <c r="P184" s="340">
        <f t="shared" si="20"/>
        <v>3080</v>
      </c>
      <c r="Q184" s="396"/>
    </row>
    <row r="185" s="332" customFormat="1" hidden="1" spans="1:19">
      <c r="A185" s="332" t="s">
        <v>18</v>
      </c>
      <c r="B185" s="409">
        <v>45420</v>
      </c>
      <c r="C185" s="410">
        <v>11</v>
      </c>
      <c r="D185" s="338"/>
      <c r="E185" s="338"/>
      <c r="F185" s="338"/>
      <c r="G185" s="337" t="s">
        <v>22</v>
      </c>
      <c r="H185" s="338">
        <v>1</v>
      </c>
      <c r="I185" s="342">
        <v>10</v>
      </c>
      <c r="J185" s="342">
        <f t="shared" si="17"/>
        <v>10</v>
      </c>
      <c r="K185" s="339">
        <v>20</v>
      </c>
      <c r="L185" s="395">
        <f t="shared" si="19"/>
        <v>200</v>
      </c>
      <c r="M185" s="336" t="s">
        <v>23</v>
      </c>
      <c r="N185" s="394"/>
      <c r="O185" s="339">
        <v>22.5</v>
      </c>
      <c r="P185" s="340">
        <f t="shared" si="20"/>
        <v>225</v>
      </c>
      <c r="Q185" s="396"/>
    </row>
    <row r="186" s="332" customFormat="1" hidden="1" spans="1:19">
      <c r="A186" s="332" t="s">
        <v>18</v>
      </c>
      <c r="B186" s="409">
        <v>45420</v>
      </c>
      <c r="C186" s="410">
        <v>11</v>
      </c>
      <c r="D186" s="338"/>
      <c r="E186" s="338"/>
      <c r="F186" s="338"/>
      <c r="G186" s="337" t="s">
        <v>53</v>
      </c>
      <c r="H186" s="338">
        <v>1</v>
      </c>
      <c r="I186" s="342">
        <v>20</v>
      </c>
      <c r="J186" s="342">
        <f t="shared" si="17"/>
        <v>20</v>
      </c>
      <c r="K186" s="339">
        <v>20</v>
      </c>
      <c r="L186" s="395">
        <f t="shared" si="19"/>
        <v>400</v>
      </c>
      <c r="M186" s="467" t="s">
        <v>179</v>
      </c>
      <c r="N186" s="394">
        <f>SUM(L184:L186)</f>
        <v>3428</v>
      </c>
      <c r="O186" s="339">
        <v>22.5</v>
      </c>
      <c r="P186" s="340">
        <f t="shared" si="20"/>
        <v>450</v>
      </c>
      <c r="Q186" s="396">
        <f>SUM(P184:P186)</f>
        <v>3755</v>
      </c>
    </row>
    <row r="187" s="334" customFormat="1" hidden="1" spans="1:19">
      <c r="A187" s="334" t="s">
        <v>18</v>
      </c>
      <c r="B187" s="400">
        <v>45421</v>
      </c>
      <c r="C187" s="401">
        <v>13</v>
      </c>
      <c r="D187" s="347" t="s">
        <v>31</v>
      </c>
      <c r="E187" s="347"/>
      <c r="F187" s="347"/>
      <c r="G187" s="348" t="s">
        <v>32</v>
      </c>
      <c r="H187" s="347">
        <v>5</v>
      </c>
      <c r="I187" s="347">
        <v>25</v>
      </c>
      <c r="J187" s="402">
        <v>125</v>
      </c>
      <c r="K187" s="349">
        <v>13.5</v>
      </c>
      <c r="L187" s="403">
        <f t="shared" si="19"/>
        <v>1687.5</v>
      </c>
      <c r="M187" s="463" t="s">
        <v>33</v>
      </c>
      <c r="N187" s="404"/>
      <c r="O187" s="412">
        <v>14.5</v>
      </c>
      <c r="P187" s="412">
        <f t="shared" si="20"/>
        <v>1812.5</v>
      </c>
      <c r="Q187" s="405"/>
    </row>
    <row r="188" s="332" customFormat="1" hidden="1" spans="1:19">
      <c r="A188" s="332" t="s">
        <v>18</v>
      </c>
      <c r="B188" s="409">
        <v>45428</v>
      </c>
      <c r="C188" s="410">
        <v>43</v>
      </c>
      <c r="D188" s="338"/>
      <c r="E188" s="338"/>
      <c r="F188" s="338"/>
      <c r="G188" s="337" t="s">
        <v>24</v>
      </c>
      <c r="H188" s="338">
        <v>10</v>
      </c>
      <c r="I188" s="338">
        <v>25</v>
      </c>
      <c r="J188" s="342">
        <f>H188*I188</f>
        <v>250</v>
      </c>
      <c r="K188" s="339">
        <v>19</v>
      </c>
      <c r="L188" s="395">
        <f t="shared" si="19"/>
        <v>4750</v>
      </c>
      <c r="M188" s="344" t="s">
        <v>196</v>
      </c>
      <c r="N188" s="394"/>
      <c r="O188" s="339">
        <v>22.5</v>
      </c>
      <c r="P188" s="340">
        <f t="shared" si="20"/>
        <v>5625</v>
      </c>
      <c r="Q188" s="396"/>
    </row>
    <row r="189" s="332" customFormat="1" hidden="1" spans="1:19">
      <c r="A189" s="332" t="s">
        <v>18</v>
      </c>
      <c r="B189" s="409">
        <v>45428</v>
      </c>
      <c r="C189" s="410">
        <v>43</v>
      </c>
      <c r="D189" s="338"/>
      <c r="E189" s="338"/>
      <c r="F189" s="338"/>
      <c r="G189" s="337" t="s">
        <v>22</v>
      </c>
      <c r="H189" s="338">
        <v>10</v>
      </c>
      <c r="I189" s="342">
        <v>10</v>
      </c>
      <c r="J189" s="342">
        <f>H189*I189</f>
        <v>100</v>
      </c>
      <c r="K189" s="339">
        <v>20</v>
      </c>
      <c r="L189" s="395">
        <f t="shared" si="19"/>
        <v>2000</v>
      </c>
      <c r="M189" s="336" t="s">
        <v>23</v>
      </c>
      <c r="N189" s="394">
        <f>SUM(L188:L189)</f>
        <v>6750</v>
      </c>
      <c r="O189" s="339">
        <v>22.5</v>
      </c>
      <c r="P189" s="340">
        <f t="shared" si="20"/>
        <v>2250</v>
      </c>
      <c r="Q189" s="396"/>
    </row>
    <row r="190" s="334" customFormat="1" spans="1:19">
      <c r="A190" s="334" t="s">
        <v>112</v>
      </c>
      <c r="B190" s="400">
        <v>45440</v>
      </c>
      <c r="C190" s="401">
        <v>77</v>
      </c>
      <c r="D190" s="347" t="s">
        <v>40</v>
      </c>
      <c r="E190" s="347"/>
      <c r="F190" s="347"/>
      <c r="G190" s="348" t="s">
        <v>41</v>
      </c>
      <c r="H190" s="347">
        <v>10</v>
      </c>
      <c r="I190" s="347">
        <v>25</v>
      </c>
      <c r="J190" s="402">
        <f t="shared" ref="J190:J199" si="21">H190*I190</f>
        <v>250</v>
      </c>
      <c r="K190" s="349">
        <v>13.5</v>
      </c>
      <c r="L190" s="403">
        <f t="shared" si="19"/>
        <v>3375</v>
      </c>
      <c r="M190" s="347"/>
      <c r="N190" s="404"/>
      <c r="O190" s="412">
        <v>15.5</v>
      </c>
      <c r="P190" s="412">
        <f t="shared" si="20"/>
        <v>3875</v>
      </c>
      <c r="Q190" s="405"/>
    </row>
    <row r="191" s="334" customFormat="1" hidden="1" spans="1:19">
      <c r="A191" s="400" t="s">
        <v>112</v>
      </c>
      <c r="B191" s="400">
        <v>45440</v>
      </c>
      <c r="C191" s="401">
        <v>77</v>
      </c>
      <c r="D191" s="347" t="s">
        <v>122</v>
      </c>
      <c r="E191" s="347"/>
      <c r="F191" s="347"/>
      <c r="G191" s="348" t="s">
        <v>123</v>
      </c>
      <c r="H191" s="402">
        <v>8</v>
      </c>
      <c r="I191" s="402">
        <v>20</v>
      </c>
      <c r="J191" s="402">
        <f t="shared" si="21"/>
        <v>160</v>
      </c>
      <c r="K191" s="402">
        <v>17.5</v>
      </c>
      <c r="L191" s="403">
        <f t="shared" si="19"/>
        <v>2800</v>
      </c>
      <c r="M191" s="447"/>
      <c r="N191" s="404"/>
      <c r="O191" s="448">
        <v>20</v>
      </c>
      <c r="P191" s="348">
        <f t="shared" si="20"/>
        <v>3200</v>
      </c>
      <c r="Q191" s="348"/>
      <c r="R191" s="334" t="s">
        <v>116</v>
      </c>
      <c r="S191" s="334" t="s">
        <v>117</v>
      </c>
    </row>
    <row r="192" s="334" customFormat="1" hidden="1" spans="1:19">
      <c r="A192" s="400" t="s">
        <v>112</v>
      </c>
      <c r="B192" s="400">
        <v>45440</v>
      </c>
      <c r="C192" s="401">
        <v>77</v>
      </c>
      <c r="D192" s="468" t="s">
        <v>38</v>
      </c>
      <c r="E192" s="468"/>
      <c r="F192" s="468"/>
      <c r="G192" s="348" t="s">
        <v>39</v>
      </c>
      <c r="H192" s="402">
        <v>1</v>
      </c>
      <c r="I192" s="402">
        <v>180</v>
      </c>
      <c r="J192" s="402">
        <f t="shared" si="21"/>
        <v>180</v>
      </c>
      <c r="K192" s="349">
        <v>11</v>
      </c>
      <c r="L192" s="403">
        <f t="shared" si="19"/>
        <v>1980</v>
      </c>
      <c r="M192" s="447"/>
      <c r="N192" s="462"/>
      <c r="O192" s="402">
        <v>13.5</v>
      </c>
      <c r="P192" s="348">
        <f t="shared" si="20"/>
        <v>2430</v>
      </c>
      <c r="Q192" s="348"/>
      <c r="R192" s="334" t="s">
        <v>116</v>
      </c>
      <c r="S192" s="334" t="s">
        <v>117</v>
      </c>
    </row>
    <row r="193" s="334" customFormat="1" hidden="1" spans="1:19">
      <c r="A193" s="400" t="s">
        <v>112</v>
      </c>
      <c r="B193" s="400">
        <v>45440</v>
      </c>
      <c r="C193" s="401">
        <v>77</v>
      </c>
      <c r="D193" s="347" t="s">
        <v>36</v>
      </c>
      <c r="E193" s="347"/>
      <c r="F193" s="347"/>
      <c r="G193" s="348" t="s">
        <v>37</v>
      </c>
      <c r="H193" s="402">
        <v>1</v>
      </c>
      <c r="I193" s="402">
        <v>180</v>
      </c>
      <c r="J193" s="402">
        <f t="shared" si="21"/>
        <v>180</v>
      </c>
      <c r="K193" s="402">
        <v>8</v>
      </c>
      <c r="L193" s="403">
        <f t="shared" si="19"/>
        <v>1440</v>
      </c>
      <c r="M193" s="447"/>
      <c r="N193" s="462">
        <f>SUM(L190:L193)</f>
        <v>9595</v>
      </c>
      <c r="O193" s="402">
        <v>10</v>
      </c>
      <c r="P193" s="348">
        <f t="shared" si="20"/>
        <v>1800</v>
      </c>
      <c r="Q193" s="348">
        <f>SUM(P190:P193)</f>
        <v>11305</v>
      </c>
      <c r="R193" s="334" t="s">
        <v>116</v>
      </c>
      <c r="S193" s="334" t="s">
        <v>117</v>
      </c>
    </row>
    <row r="194" s="332" customFormat="1" hidden="1" spans="1:19">
      <c r="A194" s="332" t="s">
        <v>18</v>
      </c>
      <c r="B194" s="409">
        <v>45440</v>
      </c>
      <c r="C194" s="410">
        <v>80</v>
      </c>
      <c r="D194" s="338"/>
      <c r="E194" s="338"/>
      <c r="F194" s="338"/>
      <c r="G194" s="337" t="s">
        <v>22</v>
      </c>
      <c r="H194" s="338">
        <v>2</v>
      </c>
      <c r="I194" s="342">
        <v>10</v>
      </c>
      <c r="J194" s="342">
        <f t="shared" si="21"/>
        <v>20</v>
      </c>
      <c r="K194" s="339">
        <v>20</v>
      </c>
      <c r="L194" s="395">
        <f t="shared" si="19"/>
        <v>400</v>
      </c>
      <c r="M194" s="336" t="s">
        <v>23</v>
      </c>
      <c r="N194" s="394"/>
      <c r="O194" s="339">
        <v>22.5</v>
      </c>
      <c r="P194" s="340">
        <f t="shared" si="20"/>
        <v>450</v>
      </c>
      <c r="Q194" s="396"/>
    </row>
    <row r="195" s="332" customFormat="1" hidden="1" spans="1:19">
      <c r="A195" s="332" t="s">
        <v>18</v>
      </c>
      <c r="B195" s="409">
        <v>45440</v>
      </c>
      <c r="C195" s="410">
        <v>80</v>
      </c>
      <c r="D195" s="338"/>
      <c r="E195" s="338"/>
      <c r="F195" s="338"/>
      <c r="G195" s="337" t="s">
        <v>53</v>
      </c>
      <c r="H195" s="338">
        <v>2</v>
      </c>
      <c r="I195" s="342">
        <v>20</v>
      </c>
      <c r="J195" s="342">
        <f t="shared" si="21"/>
        <v>40</v>
      </c>
      <c r="K195" s="339">
        <v>20</v>
      </c>
      <c r="L195" s="395">
        <f t="shared" si="19"/>
        <v>800</v>
      </c>
      <c r="M195" s="467" t="s">
        <v>197</v>
      </c>
      <c r="N195" s="394"/>
      <c r="O195" s="339">
        <v>22.5</v>
      </c>
      <c r="P195" s="340">
        <f t="shared" si="20"/>
        <v>900</v>
      </c>
      <c r="Q195" s="396"/>
    </row>
    <row r="196" s="332" customFormat="1" hidden="1" spans="1:19">
      <c r="A196" s="332" t="s">
        <v>18</v>
      </c>
      <c r="B196" s="409">
        <v>45440</v>
      </c>
      <c r="C196" s="410">
        <v>80</v>
      </c>
      <c r="D196" s="338"/>
      <c r="E196" s="338"/>
      <c r="F196" s="338"/>
      <c r="G196" s="337" t="s">
        <v>166</v>
      </c>
      <c r="H196" s="338">
        <v>1</v>
      </c>
      <c r="I196" s="338">
        <v>5</v>
      </c>
      <c r="J196" s="342">
        <f t="shared" si="21"/>
        <v>5</v>
      </c>
      <c r="K196" s="339">
        <v>18</v>
      </c>
      <c r="L196" s="395">
        <f t="shared" si="19"/>
        <v>90</v>
      </c>
      <c r="M196" s="338"/>
      <c r="N196" s="394"/>
      <c r="O196" s="340">
        <v>20</v>
      </c>
      <c r="P196" s="340">
        <f t="shared" si="20"/>
        <v>100</v>
      </c>
      <c r="Q196" s="396"/>
    </row>
    <row r="197" s="332" customFormat="1" hidden="1" spans="1:19">
      <c r="A197" s="332" t="s">
        <v>18</v>
      </c>
      <c r="B197" s="409">
        <v>45440</v>
      </c>
      <c r="C197" s="410">
        <v>80</v>
      </c>
      <c r="D197" s="338"/>
      <c r="E197" s="338"/>
      <c r="F197" s="338"/>
      <c r="G197" s="337" t="s">
        <v>167</v>
      </c>
      <c r="H197" s="338">
        <v>1</v>
      </c>
      <c r="I197" s="338">
        <v>0.5</v>
      </c>
      <c r="J197" s="342">
        <f t="shared" si="21"/>
        <v>0.5</v>
      </c>
      <c r="K197" s="339">
        <v>20</v>
      </c>
      <c r="L197" s="395">
        <f t="shared" si="19"/>
        <v>10</v>
      </c>
      <c r="M197" s="338"/>
      <c r="N197" s="394"/>
      <c r="O197" s="340">
        <v>22</v>
      </c>
      <c r="P197" s="340">
        <f t="shared" si="20"/>
        <v>11</v>
      </c>
      <c r="Q197" s="396"/>
    </row>
    <row r="198" s="332" customFormat="1" hidden="1" spans="1:19">
      <c r="A198" s="332" t="s">
        <v>18</v>
      </c>
      <c r="B198" s="409">
        <v>45440</v>
      </c>
      <c r="C198" s="410">
        <v>80</v>
      </c>
      <c r="D198" s="338"/>
      <c r="E198" s="338"/>
      <c r="F198" s="338"/>
      <c r="G198" s="337" t="s">
        <v>168</v>
      </c>
      <c r="H198" s="338">
        <v>1</v>
      </c>
      <c r="I198" s="338">
        <v>4</v>
      </c>
      <c r="J198" s="342">
        <f t="shared" si="21"/>
        <v>4</v>
      </c>
      <c r="K198" s="339">
        <v>9.5</v>
      </c>
      <c r="L198" s="395">
        <f t="shared" si="19"/>
        <v>38</v>
      </c>
      <c r="M198" s="344" t="s">
        <v>195</v>
      </c>
      <c r="N198" s="394">
        <f>SUM(L194:L198)</f>
        <v>1338</v>
      </c>
      <c r="O198" s="340">
        <v>11</v>
      </c>
      <c r="P198" s="340">
        <f t="shared" si="20"/>
        <v>44</v>
      </c>
      <c r="Q198" s="396">
        <f>SUM(P194:P198)</f>
        <v>1505</v>
      </c>
    </row>
    <row r="199" s="334" customFormat="1" hidden="1" spans="1:19">
      <c r="A199" s="334" t="s">
        <v>18</v>
      </c>
      <c r="B199" s="400">
        <v>45446</v>
      </c>
      <c r="C199" s="401">
        <v>5</v>
      </c>
      <c r="D199" s="347" t="s">
        <v>79</v>
      </c>
      <c r="E199" s="347"/>
      <c r="F199" s="347"/>
      <c r="G199" s="348" t="s">
        <v>44</v>
      </c>
      <c r="H199" s="347">
        <v>1</v>
      </c>
      <c r="I199" s="347">
        <v>4</v>
      </c>
      <c r="J199" s="402">
        <f t="shared" si="21"/>
        <v>4</v>
      </c>
      <c r="K199" s="349">
        <v>20</v>
      </c>
      <c r="L199" s="403">
        <f t="shared" si="19"/>
        <v>80</v>
      </c>
      <c r="M199" s="425" t="s">
        <v>198</v>
      </c>
      <c r="N199" s="404"/>
      <c r="O199" s="349">
        <v>22.5</v>
      </c>
      <c r="P199" s="347">
        <f t="shared" si="20"/>
        <v>90</v>
      </c>
      <c r="Q199" s="405"/>
    </row>
    <row r="200" s="334" customFormat="1" hidden="1" spans="1:19">
      <c r="A200" s="334" t="s">
        <v>18</v>
      </c>
      <c r="B200" s="400">
        <v>45446</v>
      </c>
      <c r="C200" s="401">
        <v>5</v>
      </c>
      <c r="D200" s="347">
        <v>9806</v>
      </c>
      <c r="E200" s="347"/>
      <c r="F200" s="347"/>
      <c r="G200" s="348" t="s">
        <v>29</v>
      </c>
      <c r="H200" s="347">
        <v>10</v>
      </c>
      <c r="I200" s="347">
        <v>28</v>
      </c>
      <c r="J200" s="402">
        <v>280</v>
      </c>
      <c r="K200" s="349">
        <v>10.1</v>
      </c>
      <c r="L200" s="403">
        <f t="shared" si="19"/>
        <v>2828</v>
      </c>
      <c r="M200" s="424"/>
      <c r="N200" s="404"/>
      <c r="O200" s="412">
        <v>11</v>
      </c>
      <c r="P200" s="412">
        <f t="shared" si="20"/>
        <v>3080</v>
      </c>
      <c r="Q200" s="405"/>
    </row>
    <row r="201" s="334" customFormat="1" hidden="1" spans="1:19">
      <c r="A201" s="334" t="s">
        <v>18</v>
      </c>
      <c r="B201" s="400">
        <v>45446</v>
      </c>
      <c r="C201" s="401">
        <v>5</v>
      </c>
      <c r="D201" s="347" t="s">
        <v>34</v>
      </c>
      <c r="E201" s="347"/>
      <c r="F201" s="347"/>
      <c r="G201" s="348" t="s">
        <v>35</v>
      </c>
      <c r="H201" s="347">
        <v>1</v>
      </c>
      <c r="I201" s="347">
        <v>180</v>
      </c>
      <c r="J201" s="402">
        <v>180</v>
      </c>
      <c r="K201" s="349">
        <v>7</v>
      </c>
      <c r="L201" s="403">
        <f t="shared" si="19"/>
        <v>1260</v>
      </c>
      <c r="M201" s="347"/>
      <c r="N201" s="404">
        <f>SUM(L199:L201)</f>
        <v>4168</v>
      </c>
      <c r="O201" s="412">
        <v>7.5</v>
      </c>
      <c r="P201" s="412">
        <f t="shared" si="20"/>
        <v>1350</v>
      </c>
      <c r="Q201" s="405">
        <f>SUM(P200:P201)</f>
        <v>4430</v>
      </c>
    </row>
    <row r="202" s="332" customFormat="1" hidden="1" spans="1:19">
      <c r="A202" s="332" t="s">
        <v>18</v>
      </c>
      <c r="B202" s="409">
        <v>45447</v>
      </c>
      <c r="C202" s="410">
        <v>8</v>
      </c>
      <c r="D202" s="338" t="s">
        <v>31</v>
      </c>
      <c r="E202" s="338"/>
      <c r="F202" s="338"/>
      <c r="G202" s="337" t="s">
        <v>32</v>
      </c>
      <c r="H202" s="338">
        <v>5</v>
      </c>
      <c r="I202" s="338">
        <v>25</v>
      </c>
      <c r="J202" s="342">
        <v>125</v>
      </c>
      <c r="K202" s="339">
        <v>13.5</v>
      </c>
      <c r="L202" s="395">
        <f t="shared" si="19"/>
        <v>1687.5</v>
      </c>
      <c r="M202" s="341" t="s">
        <v>33</v>
      </c>
      <c r="N202" s="394"/>
      <c r="O202" s="340">
        <v>14.5</v>
      </c>
      <c r="P202" s="340">
        <f t="shared" si="20"/>
        <v>1812.5</v>
      </c>
      <c r="Q202" s="396"/>
    </row>
    <row r="203" s="332" customFormat="1" hidden="1" spans="1:19">
      <c r="A203" s="334" t="s">
        <v>18</v>
      </c>
      <c r="B203" s="400">
        <v>45448</v>
      </c>
      <c r="C203" s="401" t="s">
        <v>142</v>
      </c>
      <c r="D203" s="347" t="s">
        <v>199</v>
      </c>
      <c r="E203" s="347"/>
      <c r="F203" s="347"/>
      <c r="G203" s="348" t="s">
        <v>53</v>
      </c>
      <c r="H203" s="347">
        <v>1</v>
      </c>
      <c r="I203" s="402">
        <v>20</v>
      </c>
      <c r="J203" s="402">
        <f t="shared" ref="J203:J212" si="22">H203*I203</f>
        <v>20</v>
      </c>
      <c r="K203" s="349">
        <v>20</v>
      </c>
      <c r="L203" s="403"/>
      <c r="M203" s="467" t="s">
        <v>200</v>
      </c>
      <c r="N203" s="394"/>
      <c r="O203" s="339">
        <v>22.5</v>
      </c>
      <c r="P203" s="340">
        <f t="shared" si="20"/>
        <v>450</v>
      </c>
      <c r="Q203" s="396"/>
    </row>
    <row r="204" s="332" customFormat="1" hidden="1" spans="1:19">
      <c r="A204" s="334" t="s">
        <v>18</v>
      </c>
      <c r="B204" s="400">
        <v>45448</v>
      </c>
      <c r="C204" s="401" t="s">
        <v>142</v>
      </c>
      <c r="D204" s="347" t="s">
        <v>199</v>
      </c>
      <c r="E204" s="347"/>
      <c r="F204" s="347"/>
      <c r="G204" s="348" t="s">
        <v>53</v>
      </c>
      <c r="H204" s="347">
        <v>1</v>
      </c>
      <c r="I204" s="402">
        <v>17</v>
      </c>
      <c r="J204" s="402">
        <f t="shared" si="22"/>
        <v>17</v>
      </c>
      <c r="K204" s="349">
        <v>20</v>
      </c>
      <c r="L204" s="403"/>
      <c r="M204" s="467" t="s">
        <v>201</v>
      </c>
      <c r="N204" s="394"/>
      <c r="O204" s="339">
        <v>22.5</v>
      </c>
      <c r="P204" s="340">
        <f t="shared" si="20"/>
        <v>382.5</v>
      </c>
      <c r="Q204" s="396"/>
    </row>
    <row r="205" s="332" customFormat="1" hidden="1" spans="1:19">
      <c r="A205" s="334" t="s">
        <v>18</v>
      </c>
      <c r="B205" s="400">
        <v>45448</v>
      </c>
      <c r="C205" s="401" t="s">
        <v>142</v>
      </c>
      <c r="D205" s="347" t="s">
        <v>98</v>
      </c>
      <c r="E205" s="347"/>
      <c r="F205" s="347"/>
      <c r="G205" s="348" t="s">
        <v>99</v>
      </c>
      <c r="H205" s="347">
        <v>1</v>
      </c>
      <c r="I205" s="347">
        <v>20</v>
      </c>
      <c r="J205" s="402">
        <f t="shared" si="22"/>
        <v>20</v>
      </c>
      <c r="K205" s="349">
        <v>18</v>
      </c>
      <c r="L205" s="403">
        <f t="shared" si="19"/>
        <v>360</v>
      </c>
      <c r="M205" s="337" t="s">
        <v>100</v>
      </c>
      <c r="N205" s="394"/>
      <c r="O205" s="349">
        <v>22.5</v>
      </c>
      <c r="P205" s="338">
        <f t="shared" si="20"/>
        <v>450</v>
      </c>
      <c r="Q205" s="396"/>
    </row>
    <row r="206" s="353" customFormat="1" hidden="1" spans="1:19">
      <c r="A206" s="334" t="s">
        <v>18</v>
      </c>
      <c r="B206" s="400">
        <v>45448</v>
      </c>
      <c r="C206" s="401" t="s">
        <v>142</v>
      </c>
      <c r="D206" s="347" t="s">
        <v>202</v>
      </c>
      <c r="E206" s="347"/>
      <c r="F206" s="347"/>
      <c r="G206" s="348" t="s">
        <v>203</v>
      </c>
      <c r="H206" s="347">
        <v>1</v>
      </c>
      <c r="I206" s="347">
        <v>20</v>
      </c>
      <c r="J206" s="402">
        <f t="shared" si="22"/>
        <v>20</v>
      </c>
      <c r="K206" s="349">
        <v>24</v>
      </c>
      <c r="L206" s="403">
        <f t="shared" si="19"/>
        <v>480</v>
      </c>
      <c r="M206" s="421" t="s">
        <v>204</v>
      </c>
      <c r="N206" s="394"/>
      <c r="O206" s="339">
        <v>28</v>
      </c>
      <c r="P206" s="340">
        <f t="shared" si="20"/>
        <v>560</v>
      </c>
      <c r="Q206" s="396">
        <v>820</v>
      </c>
    </row>
    <row r="207" s="332" customFormat="1" hidden="1" spans="1:19">
      <c r="A207" s="334" t="s">
        <v>18</v>
      </c>
      <c r="B207" s="400">
        <v>45448</v>
      </c>
      <c r="C207" s="401" t="s">
        <v>142</v>
      </c>
      <c r="D207" s="347"/>
      <c r="E207" s="347"/>
      <c r="F207" s="347"/>
      <c r="G207" s="348" t="s">
        <v>22</v>
      </c>
      <c r="H207" s="347">
        <v>2</v>
      </c>
      <c r="I207" s="402">
        <v>10</v>
      </c>
      <c r="J207" s="402">
        <f t="shared" si="22"/>
        <v>20</v>
      </c>
      <c r="K207" s="349">
        <v>20</v>
      </c>
      <c r="L207" s="403">
        <f t="shared" si="19"/>
        <v>400</v>
      </c>
      <c r="M207" s="336" t="s">
        <v>23</v>
      </c>
      <c r="N207" s="394">
        <f>SUM(L203:L207)</f>
        <v>1240</v>
      </c>
      <c r="O207" s="339">
        <v>22.5</v>
      </c>
      <c r="P207" s="340">
        <f t="shared" si="20"/>
        <v>450</v>
      </c>
      <c r="Q207" s="396"/>
    </row>
    <row r="208" s="391" customFormat="1" hidden="1" spans="1:19">
      <c r="A208" s="391" t="s">
        <v>18</v>
      </c>
      <c r="B208" s="413">
        <v>45450</v>
      </c>
      <c r="C208" s="414"/>
      <c r="D208" s="415"/>
      <c r="E208" s="415"/>
      <c r="F208" s="415"/>
      <c r="G208" s="408" t="s">
        <v>24</v>
      </c>
      <c r="H208" s="415">
        <v>6</v>
      </c>
      <c r="I208" s="415">
        <v>25</v>
      </c>
      <c r="J208" s="416">
        <f t="shared" si="22"/>
        <v>150</v>
      </c>
      <c r="K208" s="417"/>
      <c r="L208" s="418">
        <f t="shared" si="19"/>
        <v>0</v>
      </c>
      <c r="M208" s="421" t="s">
        <v>205</v>
      </c>
      <c r="N208" s="419"/>
      <c r="O208" s="417">
        <v>22.5</v>
      </c>
      <c r="P208" s="469">
        <f t="shared" si="20"/>
        <v>3375</v>
      </c>
      <c r="Q208" s="420"/>
    </row>
    <row r="209" s="334" customFormat="1" hidden="1" spans="1:17">
      <c r="A209" s="334" t="s">
        <v>18</v>
      </c>
      <c r="B209" s="400">
        <v>45457</v>
      </c>
      <c r="C209" s="401">
        <v>35</v>
      </c>
      <c r="D209" s="347">
        <v>9806</v>
      </c>
      <c r="E209" s="347"/>
      <c r="F209" s="347"/>
      <c r="G209" s="348" t="s">
        <v>29</v>
      </c>
      <c r="H209" s="347">
        <v>10</v>
      </c>
      <c r="I209" s="347">
        <v>28</v>
      </c>
      <c r="J209" s="402">
        <f t="shared" si="22"/>
        <v>280</v>
      </c>
      <c r="K209" s="349">
        <v>10.1</v>
      </c>
      <c r="L209" s="403">
        <f t="shared" si="19"/>
        <v>2828</v>
      </c>
      <c r="M209" s="424"/>
      <c r="N209" s="404"/>
      <c r="O209" s="412">
        <v>11</v>
      </c>
      <c r="P209" s="412">
        <f t="shared" si="20"/>
        <v>3080</v>
      </c>
      <c r="Q209" s="405"/>
    </row>
    <row r="210" s="334" customFormat="1" hidden="1" spans="1:17">
      <c r="A210" s="334" t="s">
        <v>18</v>
      </c>
      <c r="B210" s="400">
        <v>45457</v>
      </c>
      <c r="C210" s="401">
        <v>35</v>
      </c>
      <c r="D210" s="347" t="s">
        <v>34</v>
      </c>
      <c r="E210" s="347"/>
      <c r="F210" s="347"/>
      <c r="G210" s="348" t="s">
        <v>35</v>
      </c>
      <c r="H210" s="347">
        <v>1</v>
      </c>
      <c r="I210" s="347">
        <v>180</v>
      </c>
      <c r="J210" s="402">
        <f t="shared" si="22"/>
        <v>180</v>
      </c>
      <c r="K210" s="349">
        <v>7</v>
      </c>
      <c r="L210" s="403">
        <f t="shared" si="19"/>
        <v>1260</v>
      </c>
      <c r="M210" s="347"/>
      <c r="N210" s="404">
        <f>SUM(L209:L210)</f>
        <v>4088</v>
      </c>
      <c r="O210" s="412">
        <v>7.5</v>
      </c>
      <c r="P210" s="412">
        <f t="shared" si="20"/>
        <v>1350</v>
      </c>
      <c r="Q210" s="405">
        <f>SUM(P209:P210)</f>
        <v>4430</v>
      </c>
    </row>
    <row r="211" s="353" customFormat="1" hidden="1" spans="1:17">
      <c r="A211" s="332" t="s">
        <v>18</v>
      </c>
      <c r="B211" s="409">
        <v>45458</v>
      </c>
      <c r="C211" s="410">
        <v>39</v>
      </c>
      <c r="D211" s="338" t="s">
        <v>184</v>
      </c>
      <c r="E211" s="338"/>
      <c r="F211" s="338"/>
      <c r="G211" s="337" t="s">
        <v>185</v>
      </c>
      <c r="H211" s="338">
        <v>1</v>
      </c>
      <c r="I211" s="338">
        <v>20</v>
      </c>
      <c r="J211" s="342">
        <f t="shared" si="22"/>
        <v>20</v>
      </c>
      <c r="K211" s="339">
        <v>24</v>
      </c>
      <c r="L211" s="395">
        <f t="shared" si="19"/>
        <v>480</v>
      </c>
      <c r="M211" s="344" t="s">
        <v>186</v>
      </c>
      <c r="N211" s="394"/>
      <c r="O211" s="339">
        <v>28</v>
      </c>
      <c r="P211" s="340">
        <f t="shared" si="20"/>
        <v>560</v>
      </c>
      <c r="Q211" s="396"/>
    </row>
    <row r="212" s="334" customFormat="1" spans="1:17">
      <c r="A212" s="334" t="s">
        <v>18</v>
      </c>
      <c r="B212" s="400">
        <v>45462</v>
      </c>
      <c r="C212" s="401">
        <v>52</v>
      </c>
      <c r="D212" s="347" t="s">
        <v>73</v>
      </c>
      <c r="E212" s="347"/>
      <c r="F212" s="347"/>
      <c r="G212" s="348" t="s">
        <v>41</v>
      </c>
      <c r="H212" s="402">
        <v>1</v>
      </c>
      <c r="I212" s="347">
        <v>25</v>
      </c>
      <c r="J212" s="402">
        <f t="shared" si="22"/>
        <v>25</v>
      </c>
      <c r="K212" s="349">
        <v>14.5</v>
      </c>
      <c r="L212" s="403">
        <f t="shared" si="19"/>
        <v>362.5</v>
      </c>
      <c r="M212" s="337" t="s">
        <v>206</v>
      </c>
      <c r="N212" s="404"/>
      <c r="O212" s="349">
        <v>17</v>
      </c>
      <c r="P212" s="412">
        <f t="shared" si="20"/>
        <v>425</v>
      </c>
      <c r="Q212" s="405"/>
    </row>
    <row r="213" s="334" customFormat="1" hidden="1" spans="1:17">
      <c r="A213" s="334" t="s">
        <v>18</v>
      </c>
      <c r="B213" s="400">
        <v>45462</v>
      </c>
      <c r="C213" s="401">
        <v>52</v>
      </c>
      <c r="D213" s="347"/>
      <c r="E213" s="347"/>
      <c r="F213" s="347"/>
      <c r="G213" s="348" t="s">
        <v>207</v>
      </c>
      <c r="H213" s="402"/>
      <c r="I213" s="347"/>
      <c r="J213" s="402"/>
      <c r="K213" s="349"/>
      <c r="L213" s="403"/>
      <c r="M213" s="348"/>
      <c r="N213" s="404"/>
      <c r="O213" s="349"/>
      <c r="P213" s="347"/>
      <c r="Q213" s="405"/>
    </row>
    <row r="214" s="332" customFormat="1" hidden="1" spans="1:17">
      <c r="A214" s="332" t="s">
        <v>18</v>
      </c>
      <c r="B214" s="409">
        <v>45470</v>
      </c>
      <c r="C214" s="410">
        <v>71</v>
      </c>
      <c r="D214" s="338"/>
      <c r="E214" s="338"/>
      <c r="F214" s="338"/>
      <c r="G214" s="337" t="s">
        <v>166</v>
      </c>
      <c r="H214" s="338">
        <v>1</v>
      </c>
      <c r="I214" s="338">
        <v>5</v>
      </c>
      <c r="J214" s="342">
        <f t="shared" ref="J214:J218" si="23">H214*I214</f>
        <v>5</v>
      </c>
      <c r="K214" s="339">
        <v>18</v>
      </c>
      <c r="L214" s="395">
        <f t="shared" ref="L214:L218" si="24">J214*K214</f>
        <v>90</v>
      </c>
      <c r="M214" s="338"/>
      <c r="N214" s="394"/>
      <c r="O214" s="340">
        <v>20</v>
      </c>
      <c r="P214" s="340">
        <f t="shared" ref="P214:P218" si="25">J214*O214</f>
        <v>100</v>
      </c>
      <c r="Q214" s="396"/>
    </row>
    <row r="215" s="332" customFormat="1" hidden="1" spans="1:17">
      <c r="A215" s="332" t="s">
        <v>18</v>
      </c>
      <c r="B215" s="409">
        <v>45470</v>
      </c>
      <c r="C215" s="410">
        <v>71</v>
      </c>
      <c r="D215" s="338"/>
      <c r="E215" s="338"/>
      <c r="F215" s="338"/>
      <c r="G215" s="337" t="s">
        <v>167</v>
      </c>
      <c r="H215" s="338">
        <v>1</v>
      </c>
      <c r="I215" s="338">
        <v>0.5</v>
      </c>
      <c r="J215" s="342">
        <f t="shared" si="23"/>
        <v>0.5</v>
      </c>
      <c r="K215" s="339">
        <v>20</v>
      </c>
      <c r="L215" s="395">
        <f t="shared" si="24"/>
        <v>10</v>
      </c>
      <c r="M215" s="338"/>
      <c r="N215" s="394"/>
      <c r="O215" s="340">
        <v>22</v>
      </c>
      <c r="P215" s="340">
        <f t="shared" si="25"/>
        <v>11</v>
      </c>
      <c r="Q215" s="396"/>
    </row>
    <row r="216" s="332" customFormat="1" hidden="1" spans="1:17">
      <c r="A216" s="332" t="s">
        <v>18</v>
      </c>
      <c r="B216" s="409">
        <v>45470</v>
      </c>
      <c r="C216" s="410">
        <v>71</v>
      </c>
      <c r="D216" s="338"/>
      <c r="E216" s="338"/>
      <c r="F216" s="338"/>
      <c r="G216" s="337" t="s">
        <v>168</v>
      </c>
      <c r="H216" s="338">
        <v>1</v>
      </c>
      <c r="I216" s="338">
        <v>4</v>
      </c>
      <c r="J216" s="342">
        <f t="shared" si="23"/>
        <v>4</v>
      </c>
      <c r="K216" s="339">
        <v>9.5</v>
      </c>
      <c r="L216" s="395">
        <f t="shared" si="24"/>
        <v>38</v>
      </c>
      <c r="M216" s="344" t="s">
        <v>195</v>
      </c>
      <c r="N216" s="394">
        <f>SUM(L213:L216)</f>
        <v>138</v>
      </c>
      <c r="O216" s="340">
        <v>11</v>
      </c>
      <c r="P216" s="340">
        <f t="shared" si="25"/>
        <v>44</v>
      </c>
      <c r="Q216" s="396">
        <f>SUM(P213:P216)</f>
        <v>155</v>
      </c>
    </row>
    <row r="217" s="334" customFormat="1" hidden="1" spans="1:17">
      <c r="A217" s="334" t="s">
        <v>18</v>
      </c>
      <c r="B217" s="400">
        <v>45471</v>
      </c>
      <c r="C217" s="401">
        <v>87</v>
      </c>
      <c r="D217" s="347" t="s">
        <v>208</v>
      </c>
      <c r="E217" s="347"/>
      <c r="F217" s="347"/>
      <c r="G217" s="348" t="s">
        <v>209</v>
      </c>
      <c r="H217" s="347">
        <v>1</v>
      </c>
      <c r="I217" s="347">
        <v>24</v>
      </c>
      <c r="J217" s="402">
        <f t="shared" si="23"/>
        <v>24</v>
      </c>
      <c r="K217" s="349">
        <v>20</v>
      </c>
      <c r="L217" s="403">
        <f t="shared" si="24"/>
        <v>480</v>
      </c>
      <c r="M217" s="425" t="s">
        <v>210</v>
      </c>
      <c r="N217" s="404"/>
      <c r="O217" s="349">
        <v>22.5</v>
      </c>
      <c r="P217" s="347">
        <f t="shared" si="25"/>
        <v>540</v>
      </c>
      <c r="Q217" s="405"/>
    </row>
    <row r="218" s="332" customFormat="1" hidden="1" spans="1:17">
      <c r="A218" s="334" t="s">
        <v>18</v>
      </c>
      <c r="B218" s="400">
        <v>45471</v>
      </c>
      <c r="C218" s="401">
        <v>87</v>
      </c>
      <c r="D218" s="347"/>
      <c r="E218" s="347"/>
      <c r="F218" s="347"/>
      <c r="G218" s="348" t="s">
        <v>22</v>
      </c>
      <c r="H218" s="347">
        <v>1</v>
      </c>
      <c r="I218" s="402">
        <v>10</v>
      </c>
      <c r="J218" s="402">
        <f t="shared" si="23"/>
        <v>10</v>
      </c>
      <c r="K218" s="349">
        <v>20</v>
      </c>
      <c r="L218" s="403">
        <f t="shared" si="24"/>
        <v>200</v>
      </c>
      <c r="M218" s="336" t="s">
        <v>23</v>
      </c>
      <c r="N218" s="394">
        <f>SUM(L215:L218)</f>
        <v>728</v>
      </c>
      <c r="O218" s="339">
        <v>22.5</v>
      </c>
      <c r="P218" s="340">
        <f t="shared" si="25"/>
        <v>225</v>
      </c>
      <c r="Q218" s="396"/>
    </row>
    <row r="219" s="332" customFormat="1" hidden="1" spans="1:17">
      <c r="B219" s="409"/>
      <c r="C219" s="410"/>
      <c r="D219" s="338"/>
      <c r="E219" s="338"/>
      <c r="F219" s="338"/>
      <c r="G219" s="408" t="s">
        <v>211</v>
      </c>
      <c r="H219" s="338"/>
      <c r="I219" s="342"/>
      <c r="J219" s="342"/>
      <c r="K219" s="339"/>
      <c r="L219" s="395"/>
      <c r="M219" s="336"/>
      <c r="N219" s="394"/>
      <c r="O219" s="339"/>
      <c r="P219" s="340"/>
      <c r="Q219" s="396"/>
    </row>
    <row r="220" s="332" customFormat="1" hidden="1" spans="1:17">
      <c r="A220" s="332" t="s">
        <v>18</v>
      </c>
      <c r="B220" s="409">
        <v>45474</v>
      </c>
      <c r="C220" s="410" t="s">
        <v>113</v>
      </c>
      <c r="D220" s="338">
        <v>9806</v>
      </c>
      <c r="E220" s="338"/>
      <c r="F220" s="338"/>
      <c r="G220" s="337" t="s">
        <v>29</v>
      </c>
      <c r="H220" s="338">
        <v>10</v>
      </c>
      <c r="I220" s="338">
        <v>28</v>
      </c>
      <c r="J220" s="342">
        <f t="shared" ref="J220:J233" si="26">H220*I220</f>
        <v>280</v>
      </c>
      <c r="K220" s="339">
        <v>10.1</v>
      </c>
      <c r="L220" s="395">
        <f t="shared" ref="L220:L233" si="27">J220*K220</f>
        <v>2828</v>
      </c>
      <c r="M220" s="152"/>
      <c r="N220" s="394"/>
      <c r="O220" s="340">
        <v>11</v>
      </c>
      <c r="P220" s="340">
        <f t="shared" ref="P220:P271" si="28">J220*O220</f>
        <v>3080</v>
      </c>
      <c r="Q220" s="396"/>
    </row>
    <row r="221" s="332" customFormat="1" hidden="1" spans="1:17">
      <c r="A221" s="332" t="s">
        <v>18</v>
      </c>
      <c r="B221" s="409">
        <v>45474</v>
      </c>
      <c r="C221" s="410" t="s">
        <v>113</v>
      </c>
      <c r="D221" s="338" t="s">
        <v>31</v>
      </c>
      <c r="E221" s="338"/>
      <c r="F221" s="338"/>
      <c r="G221" s="337" t="s">
        <v>32</v>
      </c>
      <c r="H221" s="338">
        <v>5</v>
      </c>
      <c r="I221" s="338">
        <v>25</v>
      </c>
      <c r="J221" s="342">
        <v>125</v>
      </c>
      <c r="K221" s="417">
        <v>13</v>
      </c>
      <c r="L221" s="395">
        <f t="shared" si="27"/>
        <v>1625</v>
      </c>
      <c r="M221" s="341" t="s">
        <v>33</v>
      </c>
      <c r="N221" s="394"/>
      <c r="O221" s="340">
        <v>14.5</v>
      </c>
      <c r="P221" s="340">
        <f t="shared" si="28"/>
        <v>1812.5</v>
      </c>
      <c r="Q221" s="396"/>
    </row>
    <row r="222" s="332" customFormat="1" hidden="1" spans="1:17">
      <c r="A222" s="332" t="s">
        <v>18</v>
      </c>
      <c r="B222" s="409">
        <v>45474</v>
      </c>
      <c r="C222" s="410" t="s">
        <v>113</v>
      </c>
      <c r="D222" s="338" t="s">
        <v>34</v>
      </c>
      <c r="E222" s="338"/>
      <c r="F222" s="338"/>
      <c r="G222" s="337" t="s">
        <v>35</v>
      </c>
      <c r="H222" s="338">
        <v>1</v>
      </c>
      <c r="I222" s="338">
        <v>180</v>
      </c>
      <c r="J222" s="342">
        <f t="shared" si="26"/>
        <v>180</v>
      </c>
      <c r="K222" s="339">
        <v>7</v>
      </c>
      <c r="L222" s="395">
        <f t="shared" si="27"/>
        <v>1260</v>
      </c>
      <c r="M222" s="338" t="s">
        <v>212</v>
      </c>
      <c r="N222" s="394">
        <f>SUM(L221:L222)</f>
        <v>2885</v>
      </c>
      <c r="O222" s="340">
        <v>7.5</v>
      </c>
      <c r="P222" s="340">
        <f t="shared" si="28"/>
        <v>1350</v>
      </c>
      <c r="Q222" s="396"/>
    </row>
    <row r="223" s="332" customFormat="1" hidden="1" spans="1:17">
      <c r="A223" s="332" t="s">
        <v>18</v>
      </c>
      <c r="B223" s="409">
        <v>45474</v>
      </c>
      <c r="C223" s="410" t="s">
        <v>113</v>
      </c>
      <c r="D223" s="338" t="s">
        <v>51</v>
      </c>
      <c r="E223" s="338"/>
      <c r="F223" s="338"/>
      <c r="G223" s="337" t="s">
        <v>39</v>
      </c>
      <c r="H223" s="338">
        <v>1</v>
      </c>
      <c r="I223" s="338">
        <v>180</v>
      </c>
      <c r="J223" s="342">
        <f t="shared" si="26"/>
        <v>180</v>
      </c>
      <c r="K223" s="339">
        <v>9.5</v>
      </c>
      <c r="L223" s="395">
        <f t="shared" si="27"/>
        <v>1710</v>
      </c>
      <c r="M223" s="338">
        <f>SUM(L220:L223)</f>
        <v>7423</v>
      </c>
      <c r="N223" s="394">
        <f>SUM(L220:L223)</f>
        <v>7423</v>
      </c>
      <c r="O223" s="340">
        <v>10.5</v>
      </c>
      <c r="P223" s="340">
        <f t="shared" si="28"/>
        <v>1890</v>
      </c>
      <c r="Q223" s="396">
        <f>SUM(P220:P223)</f>
        <v>8132.5</v>
      </c>
    </row>
    <row r="224" s="334" customFormat="1" hidden="1" spans="1:17">
      <c r="A224" s="334" t="s">
        <v>18</v>
      </c>
      <c r="B224" s="400">
        <v>45482</v>
      </c>
      <c r="C224" s="401">
        <v>29</v>
      </c>
      <c r="D224" s="347" t="s">
        <v>213</v>
      </c>
      <c r="E224" s="347"/>
      <c r="F224" s="347"/>
      <c r="G224" s="348" t="s">
        <v>214</v>
      </c>
      <c r="H224" s="347">
        <v>1</v>
      </c>
      <c r="I224" s="347">
        <v>23</v>
      </c>
      <c r="J224" s="402">
        <f t="shared" si="26"/>
        <v>23</v>
      </c>
      <c r="K224" s="349">
        <v>20</v>
      </c>
      <c r="L224" s="403">
        <f t="shared" si="27"/>
        <v>460</v>
      </c>
      <c r="M224" s="425" t="s">
        <v>215</v>
      </c>
      <c r="N224" s="404"/>
      <c r="O224" s="349">
        <v>22.5</v>
      </c>
      <c r="P224" s="347">
        <f t="shared" si="28"/>
        <v>517.5</v>
      </c>
      <c r="Q224" s="405"/>
    </row>
    <row r="225" s="334" customFormat="1" hidden="1" spans="1:17">
      <c r="A225" s="334" t="s">
        <v>18</v>
      </c>
      <c r="B225" s="400">
        <v>45482</v>
      </c>
      <c r="C225" s="401">
        <v>29</v>
      </c>
      <c r="D225" s="347"/>
      <c r="E225" s="347"/>
      <c r="F225" s="347"/>
      <c r="G225" s="348" t="s">
        <v>22</v>
      </c>
      <c r="H225" s="347">
        <v>3</v>
      </c>
      <c r="I225" s="402">
        <v>10</v>
      </c>
      <c r="J225" s="402">
        <f t="shared" si="26"/>
        <v>30</v>
      </c>
      <c r="K225" s="349">
        <v>20</v>
      </c>
      <c r="L225" s="403">
        <f t="shared" si="27"/>
        <v>600</v>
      </c>
      <c r="M225" s="425" t="s">
        <v>216</v>
      </c>
      <c r="N225" s="404">
        <f>SUM(L221:L225)</f>
        <v>5655</v>
      </c>
      <c r="O225" s="349">
        <v>22.5</v>
      </c>
      <c r="P225" s="412">
        <f t="shared" si="28"/>
        <v>675</v>
      </c>
      <c r="Q225" s="405"/>
    </row>
    <row r="226" s="334" customFormat="1" hidden="1" spans="1:17">
      <c r="A226" s="334" t="s">
        <v>18</v>
      </c>
      <c r="B226" s="400">
        <v>45482</v>
      </c>
      <c r="C226" s="401">
        <v>29</v>
      </c>
      <c r="D226" s="347"/>
      <c r="E226" s="347"/>
      <c r="F226" s="347"/>
      <c r="G226" s="408" t="s">
        <v>24</v>
      </c>
      <c r="H226" s="347">
        <v>5</v>
      </c>
      <c r="I226" s="347">
        <v>25</v>
      </c>
      <c r="J226" s="402">
        <f t="shared" si="26"/>
        <v>125</v>
      </c>
      <c r="K226" s="349">
        <v>19</v>
      </c>
      <c r="L226" s="403">
        <f t="shared" si="27"/>
        <v>2375</v>
      </c>
      <c r="M226" s="421" t="s">
        <v>217</v>
      </c>
      <c r="N226" s="404"/>
      <c r="O226" s="349">
        <v>22.5</v>
      </c>
      <c r="P226" s="412">
        <f t="shared" si="28"/>
        <v>2812.5</v>
      </c>
      <c r="Q226" s="405"/>
    </row>
    <row r="227" s="334" customFormat="1" hidden="1" spans="1:17">
      <c r="A227" s="334" t="s">
        <v>18</v>
      </c>
      <c r="B227" s="400">
        <v>45482</v>
      </c>
      <c r="C227" s="401">
        <v>29</v>
      </c>
      <c r="D227" s="347"/>
      <c r="E227" s="347"/>
      <c r="F227" s="347"/>
      <c r="G227" s="348" t="s">
        <v>22</v>
      </c>
      <c r="H227" s="347">
        <v>10</v>
      </c>
      <c r="I227" s="402">
        <v>10</v>
      </c>
      <c r="J227" s="402">
        <f t="shared" si="26"/>
        <v>100</v>
      </c>
      <c r="K227" s="349">
        <v>20</v>
      </c>
      <c r="L227" s="403">
        <f t="shared" si="27"/>
        <v>2000</v>
      </c>
      <c r="M227" s="425" t="s">
        <v>23</v>
      </c>
      <c r="N227" s="404">
        <f>SUM(L224:L227)</f>
        <v>5435</v>
      </c>
      <c r="O227" s="349">
        <v>22.5</v>
      </c>
      <c r="P227" s="412">
        <f t="shared" si="28"/>
        <v>2250</v>
      </c>
      <c r="Q227" s="405"/>
    </row>
    <row r="228" s="332" customFormat="1" hidden="1" spans="1:17">
      <c r="A228" s="332" t="s">
        <v>18</v>
      </c>
      <c r="B228" s="409">
        <v>45486</v>
      </c>
      <c r="C228" s="410">
        <v>47</v>
      </c>
      <c r="D228" s="338" t="s">
        <v>218</v>
      </c>
      <c r="E228" s="338"/>
      <c r="F228" s="338"/>
      <c r="G228" s="337" t="s">
        <v>214</v>
      </c>
      <c r="H228" s="338">
        <v>1</v>
      </c>
      <c r="I228" s="338">
        <v>11</v>
      </c>
      <c r="J228" s="342">
        <f t="shared" si="26"/>
        <v>11</v>
      </c>
      <c r="K228" s="339">
        <v>20</v>
      </c>
      <c r="L228" s="395">
        <f t="shared" si="27"/>
        <v>220</v>
      </c>
      <c r="M228" s="336" t="s">
        <v>219</v>
      </c>
      <c r="N228" s="394"/>
      <c r="O228" s="339">
        <v>22.5</v>
      </c>
      <c r="P228" s="338">
        <f t="shared" si="28"/>
        <v>247.5</v>
      </c>
      <c r="Q228" s="396"/>
    </row>
    <row r="229" s="332" customFormat="1" hidden="1" spans="1:17">
      <c r="A229" s="332" t="s">
        <v>18</v>
      </c>
      <c r="B229" s="409">
        <v>45486</v>
      </c>
      <c r="C229" s="410">
        <v>47</v>
      </c>
      <c r="D229" s="338">
        <v>9806</v>
      </c>
      <c r="E229" s="338"/>
      <c r="F229" s="338"/>
      <c r="G229" s="337" t="s">
        <v>29</v>
      </c>
      <c r="H229" s="338">
        <v>10</v>
      </c>
      <c r="I229" s="338">
        <v>28</v>
      </c>
      <c r="J229" s="342">
        <f t="shared" si="26"/>
        <v>280</v>
      </c>
      <c r="K229" s="339">
        <v>10.1</v>
      </c>
      <c r="L229" s="395">
        <f t="shared" si="27"/>
        <v>2828</v>
      </c>
      <c r="M229" s="152"/>
      <c r="N229" s="394"/>
      <c r="O229" s="340">
        <v>11</v>
      </c>
      <c r="P229" s="340">
        <f t="shared" si="28"/>
        <v>3080</v>
      </c>
      <c r="Q229" s="396"/>
    </row>
    <row r="230" s="332" customFormat="1" hidden="1" spans="1:17">
      <c r="A230" s="332" t="s">
        <v>18</v>
      </c>
      <c r="B230" s="409">
        <v>45486</v>
      </c>
      <c r="C230" s="410">
        <v>47</v>
      </c>
      <c r="D230" s="338" t="s">
        <v>34</v>
      </c>
      <c r="E230" s="338"/>
      <c r="F230" s="338"/>
      <c r="G230" s="337" t="s">
        <v>35</v>
      </c>
      <c r="H230" s="338">
        <v>1</v>
      </c>
      <c r="I230" s="338">
        <v>180</v>
      </c>
      <c r="J230" s="342">
        <f t="shared" si="26"/>
        <v>180</v>
      </c>
      <c r="K230" s="339">
        <v>7</v>
      </c>
      <c r="L230" s="395">
        <f t="shared" si="27"/>
        <v>1260</v>
      </c>
      <c r="M230" s="338"/>
      <c r="N230" s="394">
        <f>SUM(L228:L230)</f>
        <v>4308</v>
      </c>
      <c r="O230" s="340">
        <v>7.5</v>
      </c>
      <c r="P230" s="340">
        <f t="shared" si="28"/>
        <v>1350</v>
      </c>
      <c r="Q230" s="396"/>
    </row>
    <row r="231" s="389" customFormat="1" hidden="1" spans="1:17">
      <c r="A231" s="334" t="s">
        <v>18</v>
      </c>
      <c r="B231" s="400">
        <v>45493</v>
      </c>
      <c r="C231" s="401">
        <v>69</v>
      </c>
      <c r="D231" s="347" t="s">
        <v>184</v>
      </c>
      <c r="E231" s="347"/>
      <c r="F231" s="347"/>
      <c r="G231" s="348" t="s">
        <v>185</v>
      </c>
      <c r="H231" s="347">
        <v>1</v>
      </c>
      <c r="I231" s="347">
        <v>22</v>
      </c>
      <c r="J231" s="402">
        <f t="shared" si="26"/>
        <v>22</v>
      </c>
      <c r="K231" s="349">
        <v>24</v>
      </c>
      <c r="L231" s="403">
        <f t="shared" si="27"/>
        <v>528</v>
      </c>
      <c r="M231" s="422" t="s">
        <v>186</v>
      </c>
      <c r="N231" s="404"/>
      <c r="O231" s="349">
        <v>28</v>
      </c>
      <c r="P231" s="412">
        <f t="shared" si="28"/>
        <v>616</v>
      </c>
      <c r="Q231" s="405">
        <v>820</v>
      </c>
    </row>
    <row r="232" s="334" customFormat="1" hidden="1" spans="1:17">
      <c r="A232" s="334" t="s">
        <v>18</v>
      </c>
      <c r="B232" s="400">
        <v>45493</v>
      </c>
      <c r="C232" s="401">
        <v>69</v>
      </c>
      <c r="D232" s="347"/>
      <c r="E232" s="347"/>
      <c r="F232" s="347"/>
      <c r="G232" s="348" t="s">
        <v>22</v>
      </c>
      <c r="H232" s="347">
        <v>1</v>
      </c>
      <c r="I232" s="402">
        <v>10</v>
      </c>
      <c r="J232" s="402">
        <f t="shared" si="26"/>
        <v>10</v>
      </c>
      <c r="K232" s="349">
        <v>20</v>
      </c>
      <c r="L232" s="403">
        <f t="shared" si="27"/>
        <v>200</v>
      </c>
      <c r="M232" s="425" t="s">
        <v>23</v>
      </c>
      <c r="N232" s="404">
        <f>SUM(L231:L232)</f>
        <v>728</v>
      </c>
      <c r="O232" s="349">
        <v>22.5</v>
      </c>
      <c r="P232" s="412">
        <f t="shared" si="28"/>
        <v>225</v>
      </c>
      <c r="Q232" s="405"/>
    </row>
    <row r="233" s="391" customFormat="1" hidden="1" spans="1:17">
      <c r="A233" s="391" t="s">
        <v>18</v>
      </c>
      <c r="B233" s="413">
        <v>45491</v>
      </c>
      <c r="C233" s="414"/>
      <c r="D233" s="415" t="s">
        <v>220</v>
      </c>
      <c r="E233" s="415"/>
      <c r="F233" s="415"/>
      <c r="G233" s="408" t="s">
        <v>221</v>
      </c>
      <c r="H233" s="415"/>
      <c r="I233" s="415"/>
      <c r="J233" s="416"/>
      <c r="K233" s="417"/>
      <c r="L233" s="418"/>
      <c r="M233" s="411" t="s">
        <v>222</v>
      </c>
      <c r="N233" s="419">
        <f>SUM(L229:L233)</f>
        <v>4816</v>
      </c>
      <c r="O233" s="469">
        <v>7.5</v>
      </c>
      <c r="P233" s="469">
        <f t="shared" si="28"/>
        <v>0</v>
      </c>
      <c r="Q233" s="420"/>
    </row>
    <row r="234" s="391" customFormat="1" hidden="1" spans="1:17">
      <c r="A234" s="391" t="s">
        <v>18</v>
      </c>
      <c r="B234" s="413">
        <v>45491</v>
      </c>
      <c r="C234" s="414"/>
      <c r="D234" s="415" t="s">
        <v>223</v>
      </c>
      <c r="E234" s="415"/>
      <c r="F234" s="415"/>
      <c r="G234" s="408" t="s">
        <v>224</v>
      </c>
      <c r="H234" s="415"/>
      <c r="I234" s="415"/>
      <c r="J234" s="416"/>
      <c r="K234" s="417"/>
      <c r="L234" s="418"/>
      <c r="M234" s="411" t="s">
        <v>222</v>
      </c>
      <c r="N234" s="419">
        <f>SUM(L230:L234)</f>
        <v>1988</v>
      </c>
      <c r="O234" s="469">
        <v>7.5</v>
      </c>
      <c r="P234" s="469">
        <f t="shared" si="28"/>
        <v>0</v>
      </c>
      <c r="Q234" s="420"/>
    </row>
    <row r="235" s="391" customFormat="1" hidden="1" spans="1:17">
      <c r="A235" s="391" t="s">
        <v>18</v>
      </c>
      <c r="B235" s="413">
        <v>45491</v>
      </c>
      <c r="C235" s="414"/>
      <c r="D235" s="415" t="s">
        <v>225</v>
      </c>
      <c r="E235" s="415"/>
      <c r="F235" s="415"/>
      <c r="G235" s="408" t="s">
        <v>226</v>
      </c>
      <c r="H235" s="415"/>
      <c r="I235" s="415"/>
      <c r="J235" s="416"/>
      <c r="K235" s="417"/>
      <c r="L235" s="418"/>
      <c r="M235" s="411" t="s">
        <v>222</v>
      </c>
      <c r="N235" s="419">
        <f>SUM(L233:L235)</f>
        <v>0</v>
      </c>
      <c r="O235" s="469">
        <v>7.5</v>
      </c>
      <c r="P235" s="469">
        <f t="shared" si="28"/>
        <v>0</v>
      </c>
      <c r="Q235" s="420"/>
    </row>
    <row r="236" s="334" customFormat="1" hidden="1" spans="1:17">
      <c r="A236" s="334" t="s">
        <v>18</v>
      </c>
      <c r="B236" s="400">
        <v>45496</v>
      </c>
      <c r="C236" s="401">
        <v>74</v>
      </c>
      <c r="D236" s="347" t="s">
        <v>227</v>
      </c>
      <c r="E236" s="347"/>
      <c r="F236" s="347"/>
      <c r="G236" s="348" t="s">
        <v>44</v>
      </c>
      <c r="H236" s="347">
        <v>1</v>
      </c>
      <c r="I236" s="347">
        <v>5</v>
      </c>
      <c r="J236" s="402">
        <f t="shared" ref="J236:J246" si="29">H236*I236</f>
        <v>5</v>
      </c>
      <c r="K236" s="349">
        <v>20</v>
      </c>
      <c r="L236" s="403">
        <f t="shared" ref="L236:L243" si="30">J236*K236</f>
        <v>100</v>
      </c>
      <c r="M236" s="425" t="s">
        <v>228</v>
      </c>
      <c r="N236" s="404"/>
      <c r="O236" s="349">
        <v>22.5</v>
      </c>
      <c r="P236" s="347">
        <f t="shared" si="28"/>
        <v>112.5</v>
      </c>
      <c r="Q236" s="405"/>
    </row>
    <row r="237" s="334" customFormat="1" hidden="1" spans="1:17">
      <c r="A237" s="334" t="s">
        <v>18</v>
      </c>
      <c r="B237" s="400">
        <v>45496</v>
      </c>
      <c r="C237" s="401">
        <v>74</v>
      </c>
      <c r="D237" s="347" t="s">
        <v>34</v>
      </c>
      <c r="E237" s="347"/>
      <c r="F237" s="347"/>
      <c r="G237" s="348" t="s">
        <v>35</v>
      </c>
      <c r="H237" s="347">
        <v>1</v>
      </c>
      <c r="I237" s="347">
        <v>180</v>
      </c>
      <c r="J237" s="402">
        <f t="shared" si="29"/>
        <v>180</v>
      </c>
      <c r="K237" s="349">
        <v>7</v>
      </c>
      <c r="L237" s="403">
        <f t="shared" si="30"/>
        <v>1260</v>
      </c>
      <c r="M237" s="347"/>
      <c r="N237" s="404">
        <f>SUM(L236:L237)</f>
        <v>1360</v>
      </c>
      <c r="O237" s="412">
        <v>7.5</v>
      </c>
      <c r="P237" s="412">
        <f t="shared" si="28"/>
        <v>1350</v>
      </c>
      <c r="Q237" s="405"/>
    </row>
    <row r="238" s="334" customFormat="1" hidden="1" spans="1:17">
      <c r="A238" s="334" t="s">
        <v>18</v>
      </c>
      <c r="B238" s="400">
        <v>45496</v>
      </c>
      <c r="C238" s="401">
        <v>74</v>
      </c>
      <c r="D238" s="347" t="s">
        <v>98</v>
      </c>
      <c r="E238" s="347"/>
      <c r="F238" s="347"/>
      <c r="G238" s="348" t="s">
        <v>99</v>
      </c>
      <c r="H238" s="347">
        <v>1</v>
      </c>
      <c r="I238" s="347">
        <v>20</v>
      </c>
      <c r="J238" s="402">
        <f t="shared" si="29"/>
        <v>20</v>
      </c>
      <c r="K238" s="349">
        <v>18</v>
      </c>
      <c r="L238" s="403">
        <f t="shared" si="30"/>
        <v>360</v>
      </c>
      <c r="M238" s="348" t="s">
        <v>100</v>
      </c>
      <c r="N238" s="404"/>
      <c r="O238" s="349">
        <v>22.5</v>
      </c>
      <c r="P238" s="347">
        <f t="shared" si="28"/>
        <v>450</v>
      </c>
      <c r="Q238" s="405"/>
    </row>
    <row r="239" s="334" customFormat="1" hidden="1" spans="1:17">
      <c r="A239" s="334" t="s">
        <v>18</v>
      </c>
      <c r="B239" s="400">
        <v>45496</v>
      </c>
      <c r="C239" s="401">
        <v>74</v>
      </c>
      <c r="D239" s="347"/>
      <c r="E239" s="347"/>
      <c r="F239" s="347"/>
      <c r="G239" s="348" t="s">
        <v>53</v>
      </c>
      <c r="H239" s="347">
        <v>1</v>
      </c>
      <c r="I239" s="402">
        <v>20</v>
      </c>
      <c r="J239" s="402">
        <f t="shared" si="29"/>
        <v>20</v>
      </c>
      <c r="K239" s="349">
        <v>20</v>
      </c>
      <c r="L239" s="403">
        <f t="shared" si="30"/>
        <v>400</v>
      </c>
      <c r="M239" s="464" t="s">
        <v>201</v>
      </c>
      <c r="N239" s="404"/>
      <c r="O239" s="349">
        <v>22.5</v>
      </c>
      <c r="P239" s="412">
        <f t="shared" si="28"/>
        <v>450</v>
      </c>
      <c r="Q239" s="405"/>
    </row>
    <row r="240" s="334" customFormat="1" hidden="1" spans="1:17">
      <c r="A240" s="334" t="s">
        <v>18</v>
      </c>
      <c r="B240" s="400">
        <v>45496</v>
      </c>
      <c r="C240" s="401">
        <v>74</v>
      </c>
      <c r="D240" s="347"/>
      <c r="E240" s="347"/>
      <c r="F240" s="347"/>
      <c r="G240" s="348" t="s">
        <v>22</v>
      </c>
      <c r="H240" s="347">
        <v>2</v>
      </c>
      <c r="I240" s="402">
        <v>10</v>
      </c>
      <c r="J240" s="402">
        <f t="shared" si="29"/>
        <v>20</v>
      </c>
      <c r="K240" s="349">
        <v>20</v>
      </c>
      <c r="L240" s="403">
        <f t="shared" si="30"/>
        <v>400</v>
      </c>
      <c r="M240" s="425" t="s">
        <v>23</v>
      </c>
      <c r="N240" s="404">
        <f>SUM(L236:L240)</f>
        <v>2520</v>
      </c>
      <c r="O240" s="349">
        <v>22.5</v>
      </c>
      <c r="P240" s="412">
        <f t="shared" si="28"/>
        <v>450</v>
      </c>
      <c r="Q240" s="405">
        <f>SUM(P236:P240)</f>
        <v>2812.5</v>
      </c>
    </row>
    <row r="241" s="332" customFormat="1" hidden="1" spans="1:17">
      <c r="A241" s="332" t="s">
        <v>18</v>
      </c>
      <c r="B241" s="409">
        <v>45495</v>
      </c>
      <c r="C241" s="410">
        <v>75</v>
      </c>
      <c r="D241" s="470" t="s">
        <v>229</v>
      </c>
      <c r="E241" s="470"/>
      <c r="F241" s="470"/>
      <c r="G241" s="337" t="s">
        <v>230</v>
      </c>
      <c r="H241" s="338">
        <v>1</v>
      </c>
      <c r="I241" s="338">
        <v>23</v>
      </c>
      <c r="J241" s="342">
        <f t="shared" si="29"/>
        <v>23</v>
      </c>
      <c r="K241" s="339">
        <v>20</v>
      </c>
      <c r="L241" s="395">
        <f t="shared" si="30"/>
        <v>460</v>
      </c>
      <c r="M241" s="336" t="s">
        <v>231</v>
      </c>
      <c r="N241" s="394"/>
      <c r="O241" s="336">
        <v>22.5</v>
      </c>
      <c r="P241" s="340">
        <f t="shared" si="28"/>
        <v>517.5</v>
      </c>
      <c r="Q241" s="396"/>
    </row>
    <row r="242" s="332" customFormat="1" hidden="1" spans="1:17">
      <c r="A242" s="332" t="s">
        <v>18</v>
      </c>
      <c r="B242" s="409">
        <v>45495</v>
      </c>
      <c r="C242" s="410">
        <v>75</v>
      </c>
      <c r="D242" s="338" t="s">
        <v>232</v>
      </c>
      <c r="E242" s="338"/>
      <c r="F242" s="338"/>
      <c r="G242" s="337" t="s">
        <v>138</v>
      </c>
      <c r="H242" s="338">
        <v>1</v>
      </c>
      <c r="I242" s="338">
        <v>25</v>
      </c>
      <c r="J242" s="342">
        <f t="shared" si="29"/>
        <v>25</v>
      </c>
      <c r="K242" s="339">
        <v>20</v>
      </c>
      <c r="L242" s="395">
        <f t="shared" si="30"/>
        <v>500</v>
      </c>
      <c r="M242" s="336" t="s">
        <v>222</v>
      </c>
      <c r="N242" s="394"/>
      <c r="O242" s="340">
        <v>22.5</v>
      </c>
      <c r="P242" s="340">
        <f t="shared" si="28"/>
        <v>562.5</v>
      </c>
      <c r="Q242" s="396"/>
    </row>
    <row r="243" s="332" customFormat="1" hidden="1" spans="1:17">
      <c r="A243" s="332" t="s">
        <v>18</v>
      </c>
      <c r="B243" s="409">
        <v>45495</v>
      </c>
      <c r="C243" s="410">
        <v>75</v>
      </c>
      <c r="D243" s="338"/>
      <c r="E243" s="338"/>
      <c r="F243" s="338"/>
      <c r="G243" s="337" t="s">
        <v>22</v>
      </c>
      <c r="H243" s="338">
        <v>2</v>
      </c>
      <c r="I243" s="342">
        <v>10</v>
      </c>
      <c r="J243" s="342">
        <f t="shared" si="29"/>
        <v>20</v>
      </c>
      <c r="K243" s="339">
        <v>20</v>
      </c>
      <c r="L243" s="395">
        <f t="shared" si="30"/>
        <v>400</v>
      </c>
      <c r="M243" s="336" t="s">
        <v>23</v>
      </c>
      <c r="N243" s="394">
        <f>SUM(L241:L243)</f>
        <v>1360</v>
      </c>
      <c r="O243" s="339">
        <v>22.5</v>
      </c>
      <c r="P243" s="340">
        <f t="shared" si="28"/>
        <v>450</v>
      </c>
      <c r="Q243" s="396"/>
    </row>
    <row r="244" s="334" customFormat="1" hidden="1" spans="1:17">
      <c r="A244" s="334" t="s">
        <v>18</v>
      </c>
      <c r="B244" s="400">
        <v>45498</v>
      </c>
      <c r="C244" s="401">
        <v>80</v>
      </c>
      <c r="D244" s="470" t="s">
        <v>229</v>
      </c>
      <c r="E244" s="470"/>
      <c r="F244" s="470"/>
      <c r="G244" s="348" t="s">
        <v>233</v>
      </c>
      <c r="H244" s="347">
        <v>1</v>
      </c>
      <c r="I244" s="347">
        <v>23</v>
      </c>
      <c r="J244" s="402">
        <f t="shared" si="29"/>
        <v>23</v>
      </c>
      <c r="K244" s="349">
        <v>20</v>
      </c>
      <c r="L244" s="403">
        <f t="shared" ref="L236:L271" si="31">J244*K244</f>
        <v>460</v>
      </c>
      <c r="M244" s="425" t="s">
        <v>231</v>
      </c>
      <c r="N244" s="404"/>
      <c r="O244" s="425">
        <v>22.5</v>
      </c>
      <c r="P244" s="412">
        <f t="shared" si="28"/>
        <v>517.5</v>
      </c>
      <c r="Q244" s="405"/>
    </row>
    <row r="245" s="334" customFormat="1" hidden="1" spans="1:17">
      <c r="A245" s="334" t="s">
        <v>18</v>
      </c>
      <c r="B245" s="400">
        <v>45498</v>
      </c>
      <c r="C245" s="401">
        <v>80</v>
      </c>
      <c r="D245" s="347" t="s">
        <v>232</v>
      </c>
      <c r="E245" s="347"/>
      <c r="F245" s="347"/>
      <c r="G245" s="348" t="s">
        <v>138</v>
      </c>
      <c r="H245" s="347">
        <v>1</v>
      </c>
      <c r="I245" s="347">
        <v>25</v>
      </c>
      <c r="J245" s="402">
        <f t="shared" si="29"/>
        <v>25</v>
      </c>
      <c r="K245" s="349">
        <v>20</v>
      </c>
      <c r="L245" s="403">
        <f t="shared" si="31"/>
        <v>500</v>
      </c>
      <c r="M245" s="425" t="s">
        <v>222</v>
      </c>
      <c r="N245" s="404"/>
      <c r="O245" s="412">
        <v>22.5</v>
      </c>
      <c r="P245" s="412">
        <f t="shared" si="28"/>
        <v>562.5</v>
      </c>
      <c r="Q245" s="405"/>
    </row>
    <row r="246" s="332" customFormat="1" hidden="1" spans="1:17">
      <c r="A246" s="332" t="s">
        <v>18</v>
      </c>
      <c r="B246" s="409">
        <v>45500</v>
      </c>
      <c r="C246" s="410">
        <v>85</v>
      </c>
      <c r="D246" s="470" t="s">
        <v>229</v>
      </c>
      <c r="E246" s="470"/>
      <c r="F246" s="470"/>
      <c r="G246" s="337" t="s">
        <v>234</v>
      </c>
      <c r="H246" s="338">
        <v>1</v>
      </c>
      <c r="I246" s="338">
        <v>5</v>
      </c>
      <c r="J246" s="342">
        <f t="shared" si="29"/>
        <v>5</v>
      </c>
      <c r="K246" s="339">
        <v>20</v>
      </c>
      <c r="L246" s="395">
        <f t="shared" si="31"/>
        <v>100</v>
      </c>
      <c r="M246" s="336" t="s">
        <v>235</v>
      </c>
      <c r="N246" s="394"/>
      <c r="O246" s="336">
        <v>22.5</v>
      </c>
      <c r="P246" s="340">
        <f t="shared" si="28"/>
        <v>112.5</v>
      </c>
      <c r="Q246" s="396"/>
    </row>
    <row r="247" s="334" customFormat="1" hidden="1" spans="1:17">
      <c r="A247" s="334" t="s">
        <v>18</v>
      </c>
      <c r="B247" s="400">
        <v>45503</v>
      </c>
      <c r="C247" s="401">
        <v>89</v>
      </c>
      <c r="D247" s="347" t="s">
        <v>31</v>
      </c>
      <c r="E247" s="347"/>
      <c r="F247" s="347"/>
      <c r="G247" s="348" t="s">
        <v>32</v>
      </c>
      <c r="H247" s="347">
        <v>5</v>
      </c>
      <c r="I247" s="347">
        <v>25</v>
      </c>
      <c r="J247" s="402">
        <v>125</v>
      </c>
      <c r="K247" s="349">
        <v>13</v>
      </c>
      <c r="L247" s="403">
        <f t="shared" si="31"/>
        <v>1625</v>
      </c>
      <c r="M247" s="463" t="s">
        <v>33</v>
      </c>
      <c r="N247" s="404"/>
      <c r="O247" s="412">
        <v>14.5</v>
      </c>
      <c r="P247" s="412">
        <f t="shared" si="28"/>
        <v>1812.5</v>
      </c>
      <c r="Q247" s="405"/>
    </row>
    <row r="248" s="334" customFormat="1" hidden="1" spans="1:17">
      <c r="A248" s="334" t="s">
        <v>18</v>
      </c>
      <c r="B248" s="400">
        <v>45503</v>
      </c>
      <c r="C248" s="401">
        <v>89</v>
      </c>
      <c r="D248" s="347">
        <v>9806</v>
      </c>
      <c r="E248" s="347"/>
      <c r="F248" s="347"/>
      <c r="G248" s="348" t="s">
        <v>29</v>
      </c>
      <c r="H248" s="347">
        <v>10</v>
      </c>
      <c r="I248" s="347">
        <v>28</v>
      </c>
      <c r="J248" s="402">
        <f t="shared" ref="J248:J271" si="32">H248*I248</f>
        <v>280</v>
      </c>
      <c r="K248" s="349">
        <v>10.1</v>
      </c>
      <c r="L248" s="403">
        <f t="shared" si="31"/>
        <v>2828</v>
      </c>
      <c r="M248" s="424"/>
      <c r="N248" s="404"/>
      <c r="O248" s="412">
        <v>11</v>
      </c>
      <c r="P248" s="412">
        <f t="shared" si="28"/>
        <v>3080</v>
      </c>
      <c r="Q248" s="405"/>
    </row>
    <row r="249" s="334" customFormat="1" hidden="1" spans="1:17">
      <c r="A249" s="334" t="s">
        <v>18</v>
      </c>
      <c r="B249" s="400">
        <v>45503</v>
      </c>
      <c r="C249" s="401">
        <v>89</v>
      </c>
      <c r="D249" s="347" t="s">
        <v>51</v>
      </c>
      <c r="E249" s="347"/>
      <c r="F249" s="347"/>
      <c r="G249" s="348" t="s">
        <v>39</v>
      </c>
      <c r="H249" s="347">
        <v>1</v>
      </c>
      <c r="I249" s="347">
        <v>180</v>
      </c>
      <c r="J249" s="402">
        <f t="shared" si="32"/>
        <v>180</v>
      </c>
      <c r="K249" s="349">
        <v>9.5</v>
      </c>
      <c r="L249" s="403">
        <f t="shared" si="31"/>
        <v>1710</v>
      </c>
      <c r="M249" s="347">
        <f>SUM(L247:L249)</f>
        <v>6163</v>
      </c>
      <c r="N249" s="404">
        <f>SUM(L246:L249)</f>
        <v>6263</v>
      </c>
      <c r="O249" s="412">
        <v>10.5</v>
      </c>
      <c r="P249" s="412">
        <f t="shared" si="28"/>
        <v>1890</v>
      </c>
      <c r="Q249" s="405">
        <f>SUM(P247:P249)</f>
        <v>6782.5</v>
      </c>
    </row>
    <row r="250" s="332" customFormat="1" hidden="1" spans="1:17">
      <c r="A250" s="332" t="s">
        <v>18</v>
      </c>
      <c r="B250" s="409">
        <v>45510</v>
      </c>
      <c r="C250" s="410">
        <v>8</v>
      </c>
      <c r="D250" s="338" t="s">
        <v>223</v>
      </c>
      <c r="E250" s="338"/>
      <c r="F250" s="338"/>
      <c r="G250" s="337" t="s">
        <v>230</v>
      </c>
      <c r="H250" s="338">
        <v>1</v>
      </c>
      <c r="I250" s="338">
        <v>5</v>
      </c>
      <c r="J250" s="342">
        <f t="shared" si="32"/>
        <v>5</v>
      </c>
      <c r="K250" s="339">
        <v>20</v>
      </c>
      <c r="L250" s="395">
        <f t="shared" si="31"/>
        <v>100</v>
      </c>
      <c r="M250" s="336" t="s">
        <v>236</v>
      </c>
      <c r="N250" s="394"/>
      <c r="O250" s="340">
        <v>22.5</v>
      </c>
      <c r="P250" s="340">
        <f t="shared" si="28"/>
        <v>112.5</v>
      </c>
      <c r="Q250" s="396"/>
    </row>
    <row r="251" s="332" customFormat="1" hidden="1" spans="1:17">
      <c r="A251" s="332" t="s">
        <v>18</v>
      </c>
      <c r="B251" s="409">
        <v>45510</v>
      </c>
      <c r="C251" s="410">
        <v>8</v>
      </c>
      <c r="D251" s="338" t="s">
        <v>34</v>
      </c>
      <c r="E251" s="338"/>
      <c r="F251" s="338"/>
      <c r="G251" s="337" t="s">
        <v>35</v>
      </c>
      <c r="H251" s="338">
        <v>1</v>
      </c>
      <c r="I251" s="338">
        <v>180</v>
      </c>
      <c r="J251" s="342">
        <f t="shared" si="32"/>
        <v>180</v>
      </c>
      <c r="K251" s="339">
        <v>7</v>
      </c>
      <c r="L251" s="395">
        <f t="shared" si="31"/>
        <v>1260</v>
      </c>
      <c r="M251" s="338"/>
      <c r="N251" s="394">
        <f>SUM(L250:L251)</f>
        <v>1360</v>
      </c>
      <c r="O251" s="340">
        <v>7.5</v>
      </c>
      <c r="P251" s="340">
        <f t="shared" si="28"/>
        <v>1350</v>
      </c>
      <c r="Q251" s="396"/>
    </row>
    <row r="252" s="334" customFormat="1" hidden="1" spans="1:17">
      <c r="A252" s="334" t="s">
        <v>18</v>
      </c>
      <c r="B252" s="400">
        <v>45511</v>
      </c>
      <c r="C252" s="401">
        <v>11</v>
      </c>
      <c r="D252" s="347"/>
      <c r="E252" s="347"/>
      <c r="F252" s="347"/>
      <c r="G252" s="348" t="s">
        <v>166</v>
      </c>
      <c r="H252" s="347">
        <v>1</v>
      </c>
      <c r="I252" s="347">
        <v>5</v>
      </c>
      <c r="J252" s="402">
        <f t="shared" si="32"/>
        <v>5</v>
      </c>
      <c r="K252" s="349">
        <v>18</v>
      </c>
      <c r="L252" s="403">
        <f t="shared" si="31"/>
        <v>90</v>
      </c>
      <c r="M252" s="347"/>
      <c r="N252" s="404"/>
      <c r="O252" s="412">
        <v>20</v>
      </c>
      <c r="P252" s="412">
        <f t="shared" si="28"/>
        <v>100</v>
      </c>
      <c r="Q252" s="405"/>
    </row>
    <row r="253" s="334" customFormat="1" hidden="1" spans="1:17">
      <c r="A253" s="334" t="s">
        <v>18</v>
      </c>
      <c r="B253" s="400">
        <v>45511</v>
      </c>
      <c r="C253" s="401">
        <v>11</v>
      </c>
      <c r="D253" s="347"/>
      <c r="E253" s="347"/>
      <c r="F253" s="347"/>
      <c r="G253" s="348" t="s">
        <v>167</v>
      </c>
      <c r="H253" s="347">
        <v>1</v>
      </c>
      <c r="I253" s="347">
        <v>0.5</v>
      </c>
      <c r="J253" s="402">
        <f t="shared" si="32"/>
        <v>0.5</v>
      </c>
      <c r="K253" s="349">
        <v>20</v>
      </c>
      <c r="L253" s="403">
        <f t="shared" si="31"/>
        <v>10</v>
      </c>
      <c r="M253" s="347"/>
      <c r="N253" s="404">
        <f>SUM(L252:L253)</f>
        <v>100</v>
      </c>
      <c r="O253" s="412">
        <v>22</v>
      </c>
      <c r="P253" s="412">
        <f t="shared" si="28"/>
        <v>11</v>
      </c>
      <c r="Q253" s="405"/>
    </row>
    <row r="254" s="332" customFormat="1" hidden="1" spans="1:17">
      <c r="A254" s="332" t="s">
        <v>18</v>
      </c>
      <c r="B254" s="409">
        <v>45516</v>
      </c>
      <c r="C254" s="410">
        <v>30</v>
      </c>
      <c r="D254" s="338">
        <v>9806</v>
      </c>
      <c r="E254" s="338"/>
      <c r="F254" s="338"/>
      <c r="G254" s="337" t="s">
        <v>29</v>
      </c>
      <c r="H254" s="338">
        <v>10</v>
      </c>
      <c r="I254" s="338">
        <v>28</v>
      </c>
      <c r="J254" s="342">
        <f t="shared" si="32"/>
        <v>280</v>
      </c>
      <c r="K254" s="339">
        <v>10.1</v>
      </c>
      <c r="L254" s="395">
        <f t="shared" si="31"/>
        <v>2828</v>
      </c>
      <c r="M254" s="152"/>
      <c r="N254" s="394"/>
      <c r="O254" s="340">
        <v>11</v>
      </c>
      <c r="P254" s="340">
        <f t="shared" si="28"/>
        <v>3080</v>
      </c>
      <c r="Q254" s="396"/>
    </row>
    <row r="255" s="332" customFormat="1" spans="1:17">
      <c r="A255" s="332" t="s">
        <v>18</v>
      </c>
      <c r="B255" s="409">
        <v>45516</v>
      </c>
      <c r="C255" s="410">
        <v>30</v>
      </c>
      <c r="D255" s="338" t="s">
        <v>73</v>
      </c>
      <c r="E255" s="338"/>
      <c r="F255" s="338"/>
      <c r="G255" s="337" t="s">
        <v>41</v>
      </c>
      <c r="H255" s="342">
        <v>1</v>
      </c>
      <c r="I255" s="338">
        <v>25</v>
      </c>
      <c r="J255" s="342">
        <f t="shared" si="32"/>
        <v>25</v>
      </c>
      <c r="K255" s="339">
        <v>14.5</v>
      </c>
      <c r="L255" s="395">
        <f t="shared" si="31"/>
        <v>362.5</v>
      </c>
      <c r="M255" s="337" t="s">
        <v>206</v>
      </c>
      <c r="N255" s="394"/>
      <c r="O255" s="339">
        <v>17</v>
      </c>
      <c r="P255" s="340">
        <f t="shared" si="28"/>
        <v>425</v>
      </c>
      <c r="Q255" s="396"/>
    </row>
    <row r="256" s="332" customFormat="1" hidden="1" spans="1:17">
      <c r="A256" s="332" t="s">
        <v>18</v>
      </c>
      <c r="B256" s="409">
        <v>45516</v>
      </c>
      <c r="C256" s="410">
        <v>30</v>
      </c>
      <c r="D256" s="338" t="s">
        <v>98</v>
      </c>
      <c r="E256" s="338"/>
      <c r="F256" s="338"/>
      <c r="G256" s="337" t="s">
        <v>99</v>
      </c>
      <c r="H256" s="338">
        <v>1</v>
      </c>
      <c r="I256" s="338">
        <v>20</v>
      </c>
      <c r="J256" s="342">
        <f t="shared" si="32"/>
        <v>20</v>
      </c>
      <c r="K256" s="339">
        <v>18</v>
      </c>
      <c r="L256" s="395">
        <f t="shared" si="31"/>
        <v>360</v>
      </c>
      <c r="M256" s="337" t="s">
        <v>100</v>
      </c>
      <c r="N256" s="394"/>
      <c r="O256" s="339">
        <v>22.5</v>
      </c>
      <c r="P256" s="340">
        <f t="shared" si="28"/>
        <v>450</v>
      </c>
      <c r="Q256" s="396"/>
    </row>
    <row r="257" s="332" customFormat="1" hidden="1" spans="1:17">
      <c r="A257" s="332" t="s">
        <v>18</v>
      </c>
      <c r="B257" s="409">
        <v>45516</v>
      </c>
      <c r="C257" s="410">
        <v>30</v>
      </c>
      <c r="D257" s="338"/>
      <c r="E257" s="338"/>
      <c r="F257" s="338"/>
      <c r="G257" s="337" t="s">
        <v>22</v>
      </c>
      <c r="H257" s="338">
        <v>1</v>
      </c>
      <c r="I257" s="342">
        <v>10</v>
      </c>
      <c r="J257" s="342">
        <f t="shared" si="32"/>
        <v>10</v>
      </c>
      <c r="K257" s="339">
        <v>20</v>
      </c>
      <c r="L257" s="395">
        <f t="shared" si="31"/>
        <v>200</v>
      </c>
      <c r="M257" s="336" t="s">
        <v>23</v>
      </c>
      <c r="N257" s="394">
        <f>SUM(L254:L257)</f>
        <v>3750.5</v>
      </c>
      <c r="O257" s="339">
        <v>22.5</v>
      </c>
      <c r="P257" s="340">
        <f t="shared" si="28"/>
        <v>225</v>
      </c>
      <c r="Q257" s="396">
        <f>SUM(P254:P257)</f>
        <v>4180</v>
      </c>
    </row>
    <row r="258" s="334" customFormat="1" hidden="1" spans="1:17">
      <c r="A258" s="334" t="s">
        <v>237</v>
      </c>
      <c r="B258" s="400">
        <v>45516</v>
      </c>
      <c r="C258" s="401">
        <v>31</v>
      </c>
      <c r="D258" s="347" t="s">
        <v>238</v>
      </c>
      <c r="E258" s="347"/>
      <c r="F258" s="347"/>
      <c r="G258" s="348" t="s">
        <v>24</v>
      </c>
      <c r="H258" s="347">
        <v>1</v>
      </c>
      <c r="I258" s="347">
        <v>25</v>
      </c>
      <c r="J258" s="402">
        <f t="shared" si="32"/>
        <v>25</v>
      </c>
      <c r="K258" s="349">
        <v>18.5</v>
      </c>
      <c r="L258" s="403">
        <f t="shared" si="31"/>
        <v>462.5</v>
      </c>
      <c r="M258" s="422" t="s">
        <v>239</v>
      </c>
      <c r="N258" s="404"/>
      <c r="O258" s="349">
        <v>22</v>
      </c>
      <c r="P258" s="412">
        <f t="shared" si="28"/>
        <v>550</v>
      </c>
      <c r="Q258" s="405"/>
    </row>
    <row r="259" s="334" customFormat="1" hidden="1" spans="1:17">
      <c r="A259" s="334" t="s">
        <v>237</v>
      </c>
      <c r="B259" s="400">
        <v>45516</v>
      </c>
      <c r="C259" s="401">
        <v>31</v>
      </c>
      <c r="D259" s="347" t="s">
        <v>240</v>
      </c>
      <c r="E259" s="347"/>
      <c r="F259" s="347"/>
      <c r="G259" s="348" t="s">
        <v>141</v>
      </c>
      <c r="H259" s="347">
        <v>1</v>
      </c>
      <c r="I259" s="402">
        <v>10</v>
      </c>
      <c r="J259" s="402">
        <f t="shared" si="32"/>
        <v>10</v>
      </c>
      <c r="K259" s="349">
        <v>19.5</v>
      </c>
      <c r="L259" s="403">
        <f t="shared" si="31"/>
        <v>195</v>
      </c>
      <c r="M259" s="425" t="s">
        <v>23</v>
      </c>
      <c r="N259" s="404"/>
      <c r="O259" s="349">
        <v>22</v>
      </c>
      <c r="P259" s="412">
        <f t="shared" si="28"/>
        <v>220</v>
      </c>
      <c r="Q259" s="405"/>
    </row>
    <row r="260" s="334" customFormat="1" hidden="1" spans="1:17">
      <c r="A260" s="334" t="s">
        <v>237</v>
      </c>
      <c r="B260" s="400">
        <v>45516</v>
      </c>
      <c r="C260" s="401">
        <v>31</v>
      </c>
      <c r="D260" s="347" t="s">
        <v>241</v>
      </c>
      <c r="E260" s="347"/>
      <c r="F260" s="347"/>
      <c r="G260" s="348" t="s">
        <v>24</v>
      </c>
      <c r="H260" s="347">
        <v>1</v>
      </c>
      <c r="I260" s="347">
        <v>25</v>
      </c>
      <c r="J260" s="402">
        <f t="shared" si="32"/>
        <v>25</v>
      </c>
      <c r="K260" s="349">
        <v>15.5</v>
      </c>
      <c r="L260" s="403">
        <f t="shared" si="31"/>
        <v>387.5</v>
      </c>
      <c r="M260" s="422" t="s">
        <v>242</v>
      </c>
      <c r="N260" s="404" t="s">
        <v>243</v>
      </c>
      <c r="O260" s="349">
        <v>17</v>
      </c>
      <c r="P260" s="412">
        <f t="shared" si="28"/>
        <v>425</v>
      </c>
      <c r="Q260" s="405"/>
    </row>
    <row r="261" s="334" customFormat="1" hidden="1" spans="1:17">
      <c r="A261" s="334" t="s">
        <v>237</v>
      </c>
      <c r="B261" s="400">
        <v>45516</v>
      </c>
      <c r="C261" s="401">
        <v>31</v>
      </c>
      <c r="D261" s="347" t="s">
        <v>244</v>
      </c>
      <c r="E261" s="347"/>
      <c r="F261" s="347"/>
      <c r="G261" s="348" t="s">
        <v>141</v>
      </c>
      <c r="H261" s="347">
        <v>1</v>
      </c>
      <c r="I261" s="402">
        <v>10</v>
      </c>
      <c r="J261" s="402">
        <f t="shared" si="32"/>
        <v>10</v>
      </c>
      <c r="K261" s="349">
        <v>15.5</v>
      </c>
      <c r="L261" s="403">
        <f t="shared" si="31"/>
        <v>155</v>
      </c>
      <c r="M261" s="425">
        <v>303</v>
      </c>
      <c r="N261" s="404">
        <f>SUM(L258:L261)</f>
        <v>1200</v>
      </c>
      <c r="O261" s="349">
        <v>17</v>
      </c>
      <c r="P261" s="412">
        <f t="shared" si="28"/>
        <v>170</v>
      </c>
      <c r="Q261" s="405">
        <f>SUM(P258:P261)</f>
        <v>1365</v>
      </c>
    </row>
    <row r="262" s="332" customFormat="1" hidden="1" spans="1:17">
      <c r="A262" s="332" t="s">
        <v>18</v>
      </c>
      <c r="B262" s="409">
        <v>45517</v>
      </c>
      <c r="C262" s="410">
        <v>35</v>
      </c>
      <c r="D262" s="338" t="s">
        <v>245</v>
      </c>
      <c r="E262" s="338"/>
      <c r="F262" s="338"/>
      <c r="G262" s="337" t="s">
        <v>246</v>
      </c>
      <c r="H262" s="338">
        <v>1</v>
      </c>
      <c r="I262" s="338">
        <v>25</v>
      </c>
      <c r="J262" s="342">
        <f t="shared" si="32"/>
        <v>25</v>
      </c>
      <c r="K262" s="339">
        <v>20</v>
      </c>
      <c r="L262" s="395">
        <f t="shared" si="31"/>
        <v>500</v>
      </c>
      <c r="M262" s="336"/>
      <c r="N262" s="394"/>
      <c r="O262" s="340">
        <v>22.5</v>
      </c>
      <c r="P262" s="340">
        <f t="shared" si="28"/>
        <v>562.5</v>
      </c>
      <c r="Q262" s="396"/>
    </row>
    <row r="263" s="334" customFormat="1" hidden="1" spans="1:17">
      <c r="A263" s="334" t="s">
        <v>237</v>
      </c>
      <c r="B263" s="400">
        <v>45517</v>
      </c>
      <c r="C263" s="401">
        <v>40</v>
      </c>
      <c r="D263" s="347" t="s">
        <v>247</v>
      </c>
      <c r="E263" s="347"/>
      <c r="F263" s="347"/>
      <c r="G263" s="348" t="s">
        <v>248</v>
      </c>
      <c r="H263" s="347">
        <v>2</v>
      </c>
      <c r="I263" s="347">
        <v>18</v>
      </c>
      <c r="J263" s="402">
        <f t="shared" si="32"/>
        <v>36</v>
      </c>
      <c r="K263" s="349">
        <v>9</v>
      </c>
      <c r="L263" s="403">
        <f t="shared" si="31"/>
        <v>324</v>
      </c>
      <c r="M263" s="422" t="s">
        <v>249</v>
      </c>
      <c r="N263" s="404" t="s">
        <v>243</v>
      </c>
      <c r="O263" s="349">
        <v>10</v>
      </c>
      <c r="P263" s="412">
        <f t="shared" si="28"/>
        <v>360</v>
      </c>
      <c r="Q263" s="405"/>
    </row>
    <row r="264" s="332" customFormat="1" hidden="1" spans="1:17">
      <c r="A264" s="332" t="s">
        <v>18</v>
      </c>
      <c r="B264" s="409">
        <v>45520</v>
      </c>
      <c r="C264" s="410">
        <v>45</v>
      </c>
      <c r="D264" s="338" t="s">
        <v>218</v>
      </c>
      <c r="E264" s="338"/>
      <c r="F264" s="338"/>
      <c r="G264" s="337" t="s">
        <v>214</v>
      </c>
      <c r="H264" s="338">
        <v>1</v>
      </c>
      <c r="I264" s="338">
        <v>2</v>
      </c>
      <c r="J264" s="342">
        <f t="shared" si="32"/>
        <v>2</v>
      </c>
      <c r="K264" s="339">
        <v>20</v>
      </c>
      <c r="L264" s="395">
        <f t="shared" si="31"/>
        <v>40</v>
      </c>
      <c r="M264" s="336" t="s">
        <v>219</v>
      </c>
      <c r="N264" s="394"/>
      <c r="O264" s="339">
        <v>22.5</v>
      </c>
      <c r="P264" s="338">
        <f t="shared" si="28"/>
        <v>45</v>
      </c>
      <c r="Q264" s="396"/>
    </row>
    <row r="265" s="332" customFormat="1" hidden="1" spans="1:17">
      <c r="A265" s="332" t="s">
        <v>18</v>
      </c>
      <c r="B265" s="409">
        <v>45520</v>
      </c>
      <c r="C265" s="410">
        <v>45</v>
      </c>
      <c r="D265" s="338" t="s">
        <v>34</v>
      </c>
      <c r="E265" s="338"/>
      <c r="F265" s="338"/>
      <c r="G265" s="337" t="s">
        <v>35</v>
      </c>
      <c r="H265" s="338">
        <v>1</v>
      </c>
      <c r="I265" s="338">
        <v>180</v>
      </c>
      <c r="J265" s="342">
        <f t="shared" si="32"/>
        <v>180</v>
      </c>
      <c r="K265" s="339">
        <v>7</v>
      </c>
      <c r="L265" s="395">
        <f t="shared" si="31"/>
        <v>1260</v>
      </c>
      <c r="M265" s="338"/>
      <c r="N265" s="394">
        <f>SUM(L264:L265)</f>
        <v>1300</v>
      </c>
      <c r="O265" s="340">
        <v>7.5</v>
      </c>
      <c r="P265" s="340">
        <f t="shared" si="28"/>
        <v>1350</v>
      </c>
      <c r="Q265" s="396"/>
    </row>
    <row r="266" s="334" customFormat="1" hidden="1" spans="1:17">
      <c r="A266" s="334" t="s">
        <v>18</v>
      </c>
      <c r="B266" s="400">
        <v>45521</v>
      </c>
      <c r="C266" s="401">
        <v>60</v>
      </c>
      <c r="D266" s="347" t="s">
        <v>250</v>
      </c>
      <c r="E266" s="347"/>
      <c r="F266" s="347"/>
      <c r="G266" s="348" t="s">
        <v>233</v>
      </c>
      <c r="H266" s="347">
        <v>1</v>
      </c>
      <c r="I266" s="347">
        <v>15</v>
      </c>
      <c r="J266" s="402">
        <f t="shared" si="32"/>
        <v>15</v>
      </c>
      <c r="K266" s="349">
        <v>20</v>
      </c>
      <c r="L266" s="403">
        <f t="shared" si="31"/>
        <v>300</v>
      </c>
      <c r="M266" s="425" t="s">
        <v>231</v>
      </c>
      <c r="N266" s="404"/>
      <c r="O266" s="425">
        <v>22.5</v>
      </c>
      <c r="P266" s="412">
        <f t="shared" si="28"/>
        <v>337.5</v>
      </c>
      <c r="Q266" s="405"/>
    </row>
    <row r="267" s="334" customFormat="1" hidden="1" spans="1:17">
      <c r="A267" s="334" t="s">
        <v>18</v>
      </c>
      <c r="B267" s="400">
        <v>45521</v>
      </c>
      <c r="C267" s="401">
        <v>60</v>
      </c>
      <c r="D267" s="347" t="s">
        <v>51</v>
      </c>
      <c r="E267" s="347"/>
      <c r="F267" s="347"/>
      <c r="G267" s="348" t="s">
        <v>39</v>
      </c>
      <c r="H267" s="347">
        <v>1</v>
      </c>
      <c r="I267" s="347">
        <v>180</v>
      </c>
      <c r="J267" s="402">
        <f t="shared" ref="J267:J284" si="33">H267*I267</f>
        <v>180</v>
      </c>
      <c r="K267" s="349">
        <v>9.5</v>
      </c>
      <c r="L267" s="403">
        <f t="shared" ref="L267:L292" si="34">J267*K267</f>
        <v>1710</v>
      </c>
      <c r="M267" s="347">
        <f>SUM(L266:L267)</f>
        <v>2010</v>
      </c>
      <c r="N267" s="404"/>
      <c r="O267" s="412">
        <v>10.5</v>
      </c>
      <c r="P267" s="412">
        <f t="shared" ref="P267:P292" si="35">J267*O267</f>
        <v>1890</v>
      </c>
      <c r="Q267" s="405"/>
    </row>
    <row r="268" s="334" customFormat="1" hidden="1" spans="1:17">
      <c r="A268" s="334" t="s">
        <v>18</v>
      </c>
      <c r="B268" s="400">
        <v>45521</v>
      </c>
      <c r="C268" s="401">
        <v>60</v>
      </c>
      <c r="D268" s="347"/>
      <c r="E268" s="347"/>
      <c r="F268" s="347"/>
      <c r="G268" s="348" t="s">
        <v>166</v>
      </c>
      <c r="H268" s="347">
        <v>1</v>
      </c>
      <c r="I268" s="347">
        <v>20</v>
      </c>
      <c r="J268" s="402">
        <f t="shared" si="33"/>
        <v>20</v>
      </c>
      <c r="K268" s="349">
        <v>18</v>
      </c>
      <c r="L268" s="403">
        <f t="shared" si="34"/>
        <v>360</v>
      </c>
      <c r="M268" s="347"/>
      <c r="N268" s="404"/>
      <c r="O268" s="412">
        <v>20</v>
      </c>
      <c r="P268" s="412">
        <f t="shared" si="35"/>
        <v>400</v>
      </c>
      <c r="Q268" s="405"/>
    </row>
    <row r="269" s="334" customFormat="1" hidden="1" spans="1:17">
      <c r="A269" s="334" t="s">
        <v>18</v>
      </c>
      <c r="B269" s="400">
        <v>45521</v>
      </c>
      <c r="C269" s="401">
        <v>60</v>
      </c>
      <c r="D269" s="347"/>
      <c r="E269" s="347"/>
      <c r="F269" s="347"/>
      <c r="G269" s="348" t="s">
        <v>167</v>
      </c>
      <c r="H269" s="347">
        <v>1</v>
      </c>
      <c r="I269" s="347">
        <v>2</v>
      </c>
      <c r="J269" s="402">
        <f t="shared" si="33"/>
        <v>2</v>
      </c>
      <c r="K269" s="349">
        <v>20</v>
      </c>
      <c r="L269" s="403">
        <f t="shared" si="34"/>
        <v>40</v>
      </c>
      <c r="M269" s="347"/>
      <c r="N269" s="404"/>
      <c r="O269" s="412">
        <v>22</v>
      </c>
      <c r="P269" s="412">
        <f t="shared" si="35"/>
        <v>44</v>
      </c>
      <c r="Q269" s="405"/>
    </row>
    <row r="270" s="334" customFormat="1" hidden="1" spans="1:17">
      <c r="A270" s="334" t="s">
        <v>18</v>
      </c>
      <c r="B270" s="400">
        <v>45521</v>
      </c>
      <c r="C270" s="401">
        <v>60</v>
      </c>
      <c r="D270" s="347"/>
      <c r="E270" s="347"/>
      <c r="F270" s="347"/>
      <c r="G270" s="348" t="s">
        <v>168</v>
      </c>
      <c r="H270" s="347">
        <v>1</v>
      </c>
      <c r="I270" s="347">
        <v>16</v>
      </c>
      <c r="J270" s="402">
        <f t="shared" si="33"/>
        <v>16</v>
      </c>
      <c r="K270" s="349">
        <v>9.5</v>
      </c>
      <c r="L270" s="403">
        <f t="shared" si="34"/>
        <v>152</v>
      </c>
      <c r="M270" s="422" t="s">
        <v>251</v>
      </c>
      <c r="N270" s="404">
        <f>SUM(L266:L270)</f>
        <v>2562</v>
      </c>
      <c r="O270" s="412">
        <v>11</v>
      </c>
      <c r="P270" s="412">
        <f t="shared" si="35"/>
        <v>176</v>
      </c>
      <c r="Q270" s="405">
        <f>SUM(P266:P270)</f>
        <v>2847.5</v>
      </c>
    </row>
    <row r="271" s="332" customFormat="1" hidden="1" spans="1:17">
      <c r="A271" s="332" t="s">
        <v>237</v>
      </c>
      <c r="B271" s="409">
        <v>45523</v>
      </c>
      <c r="C271" s="410">
        <v>61</v>
      </c>
      <c r="D271" s="338" t="s">
        <v>241</v>
      </c>
      <c r="E271" s="338"/>
      <c r="F271" s="338"/>
      <c r="G271" s="337" t="s">
        <v>24</v>
      </c>
      <c r="H271" s="338">
        <v>10</v>
      </c>
      <c r="I271" s="338">
        <v>25</v>
      </c>
      <c r="J271" s="342">
        <f t="shared" si="33"/>
        <v>250</v>
      </c>
      <c r="K271" s="339">
        <v>15.5</v>
      </c>
      <c r="L271" s="395">
        <f t="shared" si="34"/>
        <v>3875</v>
      </c>
      <c r="M271" s="344" t="s">
        <v>252</v>
      </c>
      <c r="N271" s="394" t="s">
        <v>243</v>
      </c>
      <c r="O271" s="339">
        <v>17</v>
      </c>
      <c r="P271" s="340">
        <f t="shared" si="35"/>
        <v>4250</v>
      </c>
      <c r="Q271" s="396"/>
    </row>
    <row r="272" s="334" customFormat="1" hidden="1" spans="1:17">
      <c r="A272" s="334" t="s">
        <v>18</v>
      </c>
      <c r="B272" s="400">
        <v>45523</v>
      </c>
      <c r="C272" s="401">
        <v>65</v>
      </c>
      <c r="D272" s="347" t="s">
        <v>253</v>
      </c>
      <c r="E272" s="347"/>
      <c r="F272" s="347"/>
      <c r="G272" s="348" t="s">
        <v>254</v>
      </c>
      <c r="H272" s="347">
        <v>1</v>
      </c>
      <c r="I272" s="347">
        <v>15.5</v>
      </c>
      <c r="J272" s="402">
        <f t="shared" si="33"/>
        <v>15.5</v>
      </c>
      <c r="K272" s="349">
        <v>20</v>
      </c>
      <c r="L272" s="403">
        <f t="shared" si="34"/>
        <v>310</v>
      </c>
      <c r="M272" s="347"/>
      <c r="N272" s="404"/>
      <c r="O272" s="412">
        <v>22.5</v>
      </c>
      <c r="P272" s="412">
        <f t="shared" si="35"/>
        <v>348.75</v>
      </c>
      <c r="Q272" s="405">
        <f>SUM(P272:P272)</f>
        <v>348.75</v>
      </c>
    </row>
    <row r="273" s="334" customFormat="1" hidden="1" spans="1:17">
      <c r="A273" s="334" t="s">
        <v>18</v>
      </c>
      <c r="B273" s="400">
        <v>45523</v>
      </c>
      <c r="C273" s="401">
        <v>65</v>
      </c>
      <c r="D273" s="347"/>
      <c r="E273" s="347"/>
      <c r="F273" s="347"/>
      <c r="G273" s="348" t="s">
        <v>22</v>
      </c>
      <c r="H273" s="347">
        <v>4</v>
      </c>
      <c r="I273" s="402">
        <v>10</v>
      </c>
      <c r="J273" s="402">
        <f t="shared" si="33"/>
        <v>40</v>
      </c>
      <c r="K273" s="349">
        <v>20</v>
      </c>
      <c r="L273" s="403">
        <f t="shared" si="34"/>
        <v>800</v>
      </c>
      <c r="M273" s="425" t="s">
        <v>23</v>
      </c>
      <c r="N273" s="404">
        <f t="shared" ref="N273:N276" si="36">SUM(L272:L273)</f>
        <v>1110</v>
      </c>
      <c r="O273" s="349">
        <v>22.5</v>
      </c>
      <c r="P273" s="412">
        <f t="shared" si="35"/>
        <v>900</v>
      </c>
      <c r="Q273" s="405">
        <f>SUM(P270:P273)</f>
        <v>5674.75</v>
      </c>
    </row>
    <row r="274" s="391" customFormat="1" hidden="1" spans="1:17">
      <c r="A274" s="391" t="s">
        <v>18</v>
      </c>
      <c r="B274" s="413">
        <v>45527</v>
      </c>
      <c r="C274" s="471" t="s">
        <v>255</v>
      </c>
      <c r="D274" s="415" t="s">
        <v>245</v>
      </c>
      <c r="E274" s="415"/>
      <c r="F274" s="415"/>
      <c r="G274" s="408" t="s">
        <v>246</v>
      </c>
      <c r="H274" s="415">
        <v>1</v>
      </c>
      <c r="I274" s="415">
        <v>6</v>
      </c>
      <c r="J274" s="416">
        <f t="shared" si="33"/>
        <v>6</v>
      </c>
      <c r="K274" s="417">
        <v>20</v>
      </c>
      <c r="L274" s="418">
        <f t="shared" si="34"/>
        <v>120</v>
      </c>
      <c r="M274" s="411" t="s">
        <v>256</v>
      </c>
      <c r="N274" s="419"/>
      <c r="O274" s="417">
        <v>22.5</v>
      </c>
      <c r="P274" s="469">
        <f t="shared" si="35"/>
        <v>135</v>
      </c>
      <c r="Q274" s="420"/>
    </row>
    <row r="275" s="388" customFormat="1" hidden="1" spans="1:17">
      <c r="A275" s="391" t="s">
        <v>18</v>
      </c>
      <c r="B275" s="413">
        <v>45527</v>
      </c>
      <c r="C275" s="471" t="s">
        <v>255</v>
      </c>
      <c r="D275" s="415" t="s">
        <v>177</v>
      </c>
      <c r="E275" s="415"/>
      <c r="F275" s="415"/>
      <c r="G275" s="408" t="s">
        <v>178</v>
      </c>
      <c r="H275" s="415">
        <v>1</v>
      </c>
      <c r="I275" s="415">
        <v>5</v>
      </c>
      <c r="J275" s="416">
        <f t="shared" si="33"/>
        <v>5</v>
      </c>
      <c r="K275" s="417">
        <v>24</v>
      </c>
      <c r="L275" s="418">
        <f t="shared" si="34"/>
        <v>120</v>
      </c>
      <c r="M275" s="411" t="s">
        <v>256</v>
      </c>
      <c r="N275" s="419">
        <f t="shared" si="36"/>
        <v>240</v>
      </c>
      <c r="O275" s="417">
        <v>28</v>
      </c>
      <c r="P275" s="469">
        <f t="shared" si="35"/>
        <v>140</v>
      </c>
      <c r="Q275" s="420">
        <v>820</v>
      </c>
    </row>
    <row r="276" s="388" customFormat="1" hidden="1" spans="1:17">
      <c r="A276" s="391" t="s">
        <v>18</v>
      </c>
      <c r="B276" s="413">
        <v>45530</v>
      </c>
      <c r="C276" s="471" t="s">
        <v>255</v>
      </c>
      <c r="D276" s="415" t="s">
        <v>177</v>
      </c>
      <c r="E276" s="415"/>
      <c r="F276" s="415"/>
      <c r="G276" s="408" t="s">
        <v>178</v>
      </c>
      <c r="H276" s="415">
        <v>1</v>
      </c>
      <c r="I276" s="415">
        <v>5</v>
      </c>
      <c r="J276" s="416">
        <f t="shared" si="33"/>
        <v>5</v>
      </c>
      <c r="K276" s="417">
        <v>24</v>
      </c>
      <c r="L276" s="418">
        <f t="shared" si="34"/>
        <v>120</v>
      </c>
      <c r="M276" s="411" t="s">
        <v>256</v>
      </c>
      <c r="N276" s="419">
        <f t="shared" si="36"/>
        <v>240</v>
      </c>
      <c r="O276" s="417">
        <v>28</v>
      </c>
      <c r="P276" s="469">
        <f t="shared" si="35"/>
        <v>140</v>
      </c>
      <c r="Q276" s="420">
        <v>820</v>
      </c>
    </row>
    <row r="277" s="332" customFormat="1" hidden="1" spans="1:17">
      <c r="A277" s="332" t="s">
        <v>237</v>
      </c>
      <c r="B277" s="409">
        <v>45530</v>
      </c>
      <c r="C277" s="410">
        <v>82</v>
      </c>
      <c r="D277" s="338" t="s">
        <v>241</v>
      </c>
      <c r="E277" s="338"/>
      <c r="F277" s="338"/>
      <c r="G277" s="337" t="s">
        <v>24</v>
      </c>
      <c r="H277" s="338">
        <v>10</v>
      </c>
      <c r="I277" s="338">
        <v>25</v>
      </c>
      <c r="J277" s="342">
        <f t="shared" si="33"/>
        <v>250</v>
      </c>
      <c r="K277" s="339">
        <v>15.5</v>
      </c>
      <c r="L277" s="395">
        <f t="shared" si="34"/>
        <v>3875</v>
      </c>
      <c r="M277" s="344" t="s">
        <v>242</v>
      </c>
      <c r="N277" s="394"/>
      <c r="O277" s="339">
        <v>17</v>
      </c>
      <c r="P277" s="340">
        <f t="shared" si="35"/>
        <v>4250</v>
      </c>
      <c r="Q277" s="396"/>
    </row>
    <row r="278" s="332" customFormat="1" hidden="1" spans="1:17">
      <c r="A278" s="332" t="s">
        <v>237</v>
      </c>
      <c r="B278" s="409">
        <v>45530</v>
      </c>
      <c r="C278" s="410">
        <v>82</v>
      </c>
      <c r="D278" s="338"/>
      <c r="E278" s="338"/>
      <c r="F278" s="338"/>
      <c r="G278" s="337" t="s">
        <v>257</v>
      </c>
      <c r="H278" s="338">
        <v>1</v>
      </c>
      <c r="I278" s="338">
        <v>25</v>
      </c>
      <c r="J278" s="342">
        <f t="shared" si="33"/>
        <v>25</v>
      </c>
      <c r="K278" s="339">
        <v>15.5</v>
      </c>
      <c r="L278" s="395">
        <f t="shared" si="34"/>
        <v>387.5</v>
      </c>
      <c r="M278" s="344" t="s">
        <v>258</v>
      </c>
      <c r="N278" s="394"/>
      <c r="O278" s="339">
        <v>17</v>
      </c>
      <c r="P278" s="340">
        <f t="shared" si="35"/>
        <v>425</v>
      </c>
      <c r="Q278" s="396"/>
    </row>
    <row r="279" s="332" customFormat="1" hidden="1" spans="1:17">
      <c r="A279" s="332" t="s">
        <v>237</v>
      </c>
      <c r="B279" s="409">
        <v>45530</v>
      </c>
      <c r="C279" s="410">
        <v>82</v>
      </c>
      <c r="D279" s="338" t="s">
        <v>259</v>
      </c>
      <c r="E279" s="338"/>
      <c r="F279" s="338"/>
      <c r="G279" s="337" t="s">
        <v>260</v>
      </c>
      <c r="H279" s="338">
        <v>1</v>
      </c>
      <c r="I279" s="338">
        <v>20</v>
      </c>
      <c r="J279" s="342">
        <f t="shared" si="33"/>
        <v>20</v>
      </c>
      <c r="K279" s="339">
        <v>15.5</v>
      </c>
      <c r="L279" s="395">
        <f t="shared" si="34"/>
        <v>310</v>
      </c>
      <c r="M279" s="344"/>
      <c r="N279" s="394"/>
      <c r="O279" s="339">
        <v>17</v>
      </c>
      <c r="P279" s="340">
        <f t="shared" si="35"/>
        <v>340</v>
      </c>
      <c r="Q279" s="396"/>
    </row>
    <row r="280" s="332" customFormat="1" hidden="1" spans="1:17">
      <c r="A280" s="332" t="s">
        <v>237</v>
      </c>
      <c r="B280" s="409">
        <v>45530</v>
      </c>
      <c r="C280" s="410">
        <v>82</v>
      </c>
      <c r="D280" s="338"/>
      <c r="E280" s="338"/>
      <c r="F280" s="338"/>
      <c r="G280" s="337" t="s">
        <v>261</v>
      </c>
      <c r="H280" s="338">
        <v>1</v>
      </c>
      <c r="I280" s="338">
        <v>4</v>
      </c>
      <c r="J280" s="342">
        <f t="shared" si="33"/>
        <v>4</v>
      </c>
      <c r="K280" s="339">
        <v>35</v>
      </c>
      <c r="L280" s="395">
        <f t="shared" si="34"/>
        <v>140</v>
      </c>
      <c r="M280" s="344"/>
      <c r="N280" s="394" t="s">
        <v>243</v>
      </c>
      <c r="O280" s="339">
        <v>40</v>
      </c>
      <c r="P280" s="340">
        <f t="shared" si="35"/>
        <v>160</v>
      </c>
      <c r="Q280" s="396"/>
    </row>
    <row r="281" s="332" customFormat="1" hidden="1" spans="1:17">
      <c r="A281" s="332" t="s">
        <v>237</v>
      </c>
      <c r="B281" s="409">
        <v>45530</v>
      </c>
      <c r="C281" s="410">
        <v>82</v>
      </c>
      <c r="D281" s="338"/>
      <c r="E281" s="338"/>
      <c r="F281" s="338"/>
      <c r="G281" s="337" t="s">
        <v>262</v>
      </c>
      <c r="H281" s="338">
        <v>1</v>
      </c>
      <c r="I281" s="342">
        <v>4</v>
      </c>
      <c r="J281" s="342">
        <f t="shared" si="33"/>
        <v>4</v>
      </c>
      <c r="K281" s="339">
        <v>25</v>
      </c>
      <c r="L281" s="395">
        <f t="shared" si="34"/>
        <v>100</v>
      </c>
      <c r="M281" s="472" t="s">
        <v>263</v>
      </c>
      <c r="N281" s="394">
        <f>SUM(L277:L283)</f>
        <v>4992.5</v>
      </c>
      <c r="O281" s="339">
        <v>30</v>
      </c>
      <c r="P281" s="340">
        <f t="shared" si="35"/>
        <v>120</v>
      </c>
      <c r="Q281" s="396">
        <f>SUM(P277:P281)</f>
        <v>5295</v>
      </c>
    </row>
    <row r="282" s="353" customFormat="1" hidden="1" spans="1:17">
      <c r="A282" s="332" t="s">
        <v>237</v>
      </c>
      <c r="B282" s="409">
        <v>45530</v>
      </c>
      <c r="C282" s="410">
        <v>82</v>
      </c>
      <c r="D282" s="338"/>
      <c r="E282" s="338"/>
      <c r="F282" s="338"/>
      <c r="G282" s="337" t="s">
        <v>264</v>
      </c>
      <c r="H282" s="338">
        <v>1</v>
      </c>
      <c r="I282" s="338">
        <v>4</v>
      </c>
      <c r="J282" s="342">
        <f t="shared" si="33"/>
        <v>4</v>
      </c>
      <c r="K282" s="339">
        <v>25</v>
      </c>
      <c r="L282" s="395">
        <f t="shared" si="34"/>
        <v>100</v>
      </c>
      <c r="M282" s="344"/>
      <c r="N282" s="394"/>
      <c r="O282" s="339">
        <v>30</v>
      </c>
      <c r="P282" s="340">
        <f t="shared" si="35"/>
        <v>120</v>
      </c>
      <c r="Q282" s="396"/>
    </row>
    <row r="283" s="353" customFormat="1" ht="19" hidden="1" customHeight="1" spans="1:17">
      <c r="A283" s="332" t="s">
        <v>237</v>
      </c>
      <c r="B283" s="409">
        <v>45530</v>
      </c>
      <c r="C283" s="410">
        <v>82</v>
      </c>
      <c r="D283" s="338"/>
      <c r="E283" s="338"/>
      <c r="F283" s="338"/>
      <c r="G283" s="337" t="s">
        <v>265</v>
      </c>
      <c r="H283" s="338">
        <v>1</v>
      </c>
      <c r="I283" s="338">
        <v>4</v>
      </c>
      <c r="J283" s="342">
        <f t="shared" si="33"/>
        <v>4</v>
      </c>
      <c r="K283" s="339">
        <v>20</v>
      </c>
      <c r="L283" s="395">
        <f t="shared" si="34"/>
        <v>80</v>
      </c>
      <c r="M283" s="344"/>
      <c r="N283" s="394"/>
      <c r="O283" s="339">
        <v>25</v>
      </c>
      <c r="P283" s="340">
        <f t="shared" si="35"/>
        <v>100</v>
      </c>
      <c r="Q283" s="396"/>
    </row>
    <row r="284" s="334" customFormat="1" hidden="1" spans="1:17">
      <c r="A284" s="334" t="s">
        <v>18</v>
      </c>
      <c r="B284" s="400">
        <v>45539</v>
      </c>
      <c r="C284" s="401">
        <v>7</v>
      </c>
      <c r="D284" s="347" t="s">
        <v>31</v>
      </c>
      <c r="E284" s="347"/>
      <c r="F284" s="347"/>
      <c r="G284" s="348" t="s">
        <v>32</v>
      </c>
      <c r="H284" s="347">
        <v>5</v>
      </c>
      <c r="I284" s="347">
        <v>25</v>
      </c>
      <c r="J284" s="402">
        <v>125</v>
      </c>
      <c r="K284" s="349">
        <v>13</v>
      </c>
      <c r="L284" s="403">
        <f t="shared" si="34"/>
        <v>1625</v>
      </c>
      <c r="M284" s="463" t="s">
        <v>33</v>
      </c>
      <c r="N284" s="404"/>
      <c r="O284" s="412">
        <v>14.5</v>
      </c>
      <c r="P284" s="412">
        <f t="shared" si="35"/>
        <v>1812.5</v>
      </c>
      <c r="Q284" s="405"/>
    </row>
    <row r="285" s="334" customFormat="1" hidden="1" spans="1:17">
      <c r="A285" s="334" t="s">
        <v>18</v>
      </c>
      <c r="B285" s="400">
        <v>45539</v>
      </c>
      <c r="C285" s="401">
        <v>7</v>
      </c>
      <c r="D285" s="347">
        <v>9806</v>
      </c>
      <c r="E285" s="347"/>
      <c r="F285" s="347"/>
      <c r="G285" s="348" t="s">
        <v>29</v>
      </c>
      <c r="H285" s="347">
        <v>4</v>
      </c>
      <c r="I285" s="347">
        <v>28</v>
      </c>
      <c r="J285" s="402">
        <f t="shared" ref="J285:J314" si="37">H285*I285</f>
        <v>112</v>
      </c>
      <c r="K285" s="349">
        <v>10.1</v>
      </c>
      <c r="L285" s="403">
        <f t="shared" si="34"/>
        <v>1131.2</v>
      </c>
      <c r="M285" s="424"/>
      <c r="N285" s="404"/>
      <c r="O285" s="412">
        <v>11</v>
      </c>
      <c r="P285" s="412">
        <f t="shared" si="35"/>
        <v>1232</v>
      </c>
      <c r="Q285" s="405"/>
    </row>
    <row r="286" s="334" customFormat="1" hidden="1" spans="1:17">
      <c r="A286" s="334" t="s">
        <v>18</v>
      </c>
      <c r="B286" s="400">
        <v>45539</v>
      </c>
      <c r="C286" s="401">
        <v>7</v>
      </c>
      <c r="D286" s="347" t="s">
        <v>34</v>
      </c>
      <c r="E286" s="347"/>
      <c r="F286" s="347"/>
      <c r="G286" s="348" t="s">
        <v>35</v>
      </c>
      <c r="H286" s="347">
        <v>1</v>
      </c>
      <c r="I286" s="347">
        <v>180</v>
      </c>
      <c r="J286" s="402">
        <f t="shared" si="37"/>
        <v>180</v>
      </c>
      <c r="K286" s="349">
        <v>7</v>
      </c>
      <c r="L286" s="403">
        <f t="shared" si="34"/>
        <v>1260</v>
      </c>
      <c r="M286" s="347"/>
      <c r="N286" s="404"/>
      <c r="O286" s="412">
        <v>7.5</v>
      </c>
      <c r="P286" s="412">
        <f t="shared" si="35"/>
        <v>1350</v>
      </c>
      <c r="Q286" s="405"/>
    </row>
    <row r="287" s="334" customFormat="1" hidden="1" spans="1:17">
      <c r="A287" s="334" t="s">
        <v>18</v>
      </c>
      <c r="B287" s="400">
        <v>45539</v>
      </c>
      <c r="C287" s="401">
        <v>7</v>
      </c>
      <c r="D287" s="347" t="s">
        <v>245</v>
      </c>
      <c r="E287" s="347"/>
      <c r="F287" s="347"/>
      <c r="G287" s="348" t="s">
        <v>246</v>
      </c>
      <c r="H287" s="347">
        <v>1</v>
      </c>
      <c r="I287" s="347">
        <v>6</v>
      </c>
      <c r="J287" s="402">
        <f t="shared" si="37"/>
        <v>6</v>
      </c>
      <c r="K287" s="349">
        <v>20</v>
      </c>
      <c r="L287" s="403">
        <f t="shared" si="34"/>
        <v>120</v>
      </c>
      <c r="M287" s="425" t="s">
        <v>266</v>
      </c>
      <c r="N287" s="404"/>
      <c r="O287" s="349">
        <v>22.5</v>
      </c>
      <c r="P287" s="412">
        <f t="shared" si="35"/>
        <v>135</v>
      </c>
      <c r="Q287" s="405"/>
    </row>
    <row r="288" s="389" customFormat="1" hidden="1" spans="1:17">
      <c r="A288" s="334" t="s">
        <v>18</v>
      </c>
      <c r="B288" s="400">
        <v>45539</v>
      </c>
      <c r="C288" s="401">
        <v>7</v>
      </c>
      <c r="D288" s="347" t="s">
        <v>177</v>
      </c>
      <c r="E288" s="347"/>
      <c r="F288" s="347"/>
      <c r="G288" s="348" t="s">
        <v>178</v>
      </c>
      <c r="H288" s="347">
        <v>1</v>
      </c>
      <c r="I288" s="347">
        <v>5</v>
      </c>
      <c r="J288" s="402">
        <f t="shared" si="37"/>
        <v>5</v>
      </c>
      <c r="K288" s="349">
        <v>24</v>
      </c>
      <c r="L288" s="403">
        <f t="shared" si="34"/>
        <v>120</v>
      </c>
      <c r="M288" s="425" t="s">
        <v>266</v>
      </c>
      <c r="N288" s="404"/>
      <c r="O288" s="349">
        <v>28</v>
      </c>
      <c r="P288" s="412">
        <f t="shared" si="35"/>
        <v>140</v>
      </c>
      <c r="Q288" s="405"/>
    </row>
    <row r="289" s="389" customFormat="1" hidden="1" spans="1:17">
      <c r="A289" s="334" t="s">
        <v>18</v>
      </c>
      <c r="B289" s="400">
        <v>45539</v>
      </c>
      <c r="C289" s="401">
        <v>7</v>
      </c>
      <c r="D289" s="347" t="s">
        <v>177</v>
      </c>
      <c r="E289" s="347"/>
      <c r="F289" s="347"/>
      <c r="G289" s="348" t="s">
        <v>178</v>
      </c>
      <c r="H289" s="347">
        <v>1</v>
      </c>
      <c r="I289" s="347">
        <v>5</v>
      </c>
      <c r="J289" s="402">
        <f t="shared" si="37"/>
        <v>5</v>
      </c>
      <c r="K289" s="349">
        <v>24</v>
      </c>
      <c r="L289" s="403">
        <f t="shared" si="34"/>
        <v>120</v>
      </c>
      <c r="M289" s="425" t="s">
        <v>267</v>
      </c>
      <c r="N289" s="404">
        <f>SUM(L284:L289)</f>
        <v>4376.2</v>
      </c>
      <c r="O289" s="349">
        <v>28</v>
      </c>
      <c r="P289" s="412">
        <f t="shared" si="35"/>
        <v>140</v>
      </c>
      <c r="Q289" s="405">
        <f>SUM(P284:P289)</f>
        <v>4809.5</v>
      </c>
    </row>
    <row r="290" s="332" customFormat="1" hidden="1" spans="1:17">
      <c r="A290" s="332" t="s">
        <v>237</v>
      </c>
      <c r="B290" s="409">
        <v>45540</v>
      </c>
      <c r="C290" s="410">
        <v>8</v>
      </c>
      <c r="D290" s="342" t="s">
        <v>241</v>
      </c>
      <c r="E290" s="342"/>
      <c r="F290" s="342"/>
      <c r="G290" s="337" t="s">
        <v>24</v>
      </c>
      <c r="H290" s="342">
        <v>5</v>
      </c>
      <c r="I290" s="342">
        <v>25</v>
      </c>
      <c r="J290" s="342">
        <f t="shared" si="37"/>
        <v>125</v>
      </c>
      <c r="K290" s="339">
        <v>15.5</v>
      </c>
      <c r="L290" s="395">
        <f t="shared" si="34"/>
        <v>1937.5</v>
      </c>
      <c r="M290" s="344" t="s">
        <v>242</v>
      </c>
      <c r="N290" s="394"/>
      <c r="O290" s="339">
        <v>17</v>
      </c>
      <c r="P290" s="340">
        <f t="shared" si="35"/>
        <v>2125</v>
      </c>
      <c r="Q290" s="396"/>
    </row>
    <row r="291" s="332" customFormat="1" hidden="1" spans="1:17">
      <c r="A291" s="332" t="s">
        <v>237</v>
      </c>
      <c r="B291" s="409">
        <v>45540</v>
      </c>
      <c r="C291" s="410">
        <v>8</v>
      </c>
      <c r="D291" s="342" t="s">
        <v>259</v>
      </c>
      <c r="E291" s="342"/>
      <c r="F291" s="342"/>
      <c r="G291" s="337" t="s">
        <v>260</v>
      </c>
      <c r="H291" s="342">
        <v>3</v>
      </c>
      <c r="I291" s="342">
        <v>20</v>
      </c>
      <c r="J291" s="342">
        <f t="shared" si="37"/>
        <v>60</v>
      </c>
      <c r="K291" s="339">
        <v>15.5</v>
      </c>
      <c r="L291" s="395">
        <f t="shared" si="34"/>
        <v>930</v>
      </c>
      <c r="M291" s="344"/>
      <c r="N291" s="394"/>
      <c r="O291" s="339">
        <v>17</v>
      </c>
      <c r="P291" s="340">
        <f t="shared" si="35"/>
        <v>1020</v>
      </c>
      <c r="Q291" s="396"/>
    </row>
    <row r="292" s="332" customFormat="1" hidden="1" spans="1:17">
      <c r="A292" s="332" t="s">
        <v>237</v>
      </c>
      <c r="B292" s="409">
        <v>45540</v>
      </c>
      <c r="C292" s="410">
        <v>8</v>
      </c>
      <c r="D292" s="342" t="s">
        <v>268</v>
      </c>
      <c r="E292" s="342"/>
      <c r="F292" s="342"/>
      <c r="G292" s="337" t="s">
        <v>165</v>
      </c>
      <c r="H292" s="342">
        <v>1</v>
      </c>
      <c r="I292" s="342">
        <v>25</v>
      </c>
      <c r="J292" s="342">
        <f t="shared" si="37"/>
        <v>25</v>
      </c>
      <c r="K292" s="339">
        <v>16</v>
      </c>
      <c r="L292" s="395">
        <f t="shared" ref="L292:L314" si="38">J292*K292</f>
        <v>400</v>
      </c>
      <c r="M292" s="344" t="s">
        <v>269</v>
      </c>
      <c r="N292" s="394" t="s">
        <v>243</v>
      </c>
      <c r="O292" s="339">
        <v>17.5</v>
      </c>
      <c r="P292" s="340">
        <f t="shared" ref="P292:P314" si="39">J292*O292</f>
        <v>437.5</v>
      </c>
      <c r="Q292" s="396"/>
    </row>
    <row r="293" s="332" customFormat="1" hidden="1" spans="1:17">
      <c r="A293" s="332" t="s">
        <v>237</v>
      </c>
      <c r="B293" s="409">
        <v>45540</v>
      </c>
      <c r="C293" s="410">
        <v>8</v>
      </c>
      <c r="D293" s="342" t="s">
        <v>270</v>
      </c>
      <c r="E293" s="342"/>
      <c r="F293" s="342"/>
      <c r="G293" s="337" t="s">
        <v>271</v>
      </c>
      <c r="H293" s="342">
        <v>1</v>
      </c>
      <c r="I293" s="342">
        <v>20</v>
      </c>
      <c r="J293" s="342">
        <f t="shared" si="37"/>
        <v>20</v>
      </c>
      <c r="K293" s="339">
        <v>15.5</v>
      </c>
      <c r="L293" s="395">
        <f t="shared" si="38"/>
        <v>310</v>
      </c>
      <c r="M293" s="344" t="s">
        <v>272</v>
      </c>
      <c r="N293" s="394" t="s">
        <v>243</v>
      </c>
      <c r="O293" s="339">
        <v>17</v>
      </c>
      <c r="P293" s="340">
        <f t="shared" si="39"/>
        <v>340</v>
      </c>
      <c r="Q293" s="396"/>
    </row>
    <row r="294" s="332" customFormat="1" hidden="1" spans="1:17">
      <c r="A294" s="332" t="s">
        <v>237</v>
      </c>
      <c r="B294" s="409">
        <v>45540</v>
      </c>
      <c r="C294" s="410">
        <v>8</v>
      </c>
      <c r="D294" s="342" t="s">
        <v>273</v>
      </c>
      <c r="E294" s="342"/>
      <c r="F294" s="342"/>
      <c r="G294" s="337" t="s">
        <v>274</v>
      </c>
      <c r="H294" s="342">
        <v>1</v>
      </c>
      <c r="I294" s="342">
        <v>20</v>
      </c>
      <c r="J294" s="342">
        <f t="shared" si="37"/>
        <v>20</v>
      </c>
      <c r="K294" s="339">
        <v>15.5</v>
      </c>
      <c r="L294" s="395">
        <f t="shared" si="38"/>
        <v>310</v>
      </c>
      <c r="M294" s="336">
        <v>525</v>
      </c>
      <c r="N294" s="394"/>
      <c r="O294" s="339">
        <v>17</v>
      </c>
      <c r="P294" s="340">
        <f t="shared" si="39"/>
        <v>340</v>
      </c>
      <c r="Q294" s="396"/>
    </row>
    <row r="295" s="332" customFormat="1" hidden="1" spans="1:17">
      <c r="A295" s="332" t="s">
        <v>237</v>
      </c>
      <c r="B295" s="409">
        <v>45540</v>
      </c>
      <c r="C295" s="410">
        <v>8</v>
      </c>
      <c r="D295" s="342"/>
      <c r="E295" s="342"/>
      <c r="F295" s="342"/>
      <c r="G295" s="337" t="s">
        <v>262</v>
      </c>
      <c r="H295" s="342">
        <v>1</v>
      </c>
      <c r="I295" s="342">
        <v>4</v>
      </c>
      <c r="J295" s="342">
        <f t="shared" si="37"/>
        <v>4</v>
      </c>
      <c r="K295" s="339">
        <v>25</v>
      </c>
      <c r="L295" s="395">
        <f t="shared" si="38"/>
        <v>100</v>
      </c>
      <c r="M295" s="472" t="s">
        <v>263</v>
      </c>
      <c r="N295" s="394"/>
      <c r="O295" s="339">
        <v>30</v>
      </c>
      <c r="P295" s="340">
        <f t="shared" si="39"/>
        <v>120</v>
      </c>
      <c r="Q295" s="396"/>
    </row>
    <row r="296" s="353" customFormat="1" ht="19" hidden="1" customHeight="1" spans="1:17">
      <c r="A296" s="332" t="s">
        <v>237</v>
      </c>
      <c r="B296" s="409">
        <v>45540</v>
      </c>
      <c r="C296" s="410">
        <v>8</v>
      </c>
      <c r="D296" s="342"/>
      <c r="E296" s="342"/>
      <c r="F296" s="342"/>
      <c r="G296" s="337" t="s">
        <v>275</v>
      </c>
      <c r="H296" s="342">
        <v>1</v>
      </c>
      <c r="I296" s="342">
        <v>4</v>
      </c>
      <c r="J296" s="342">
        <f t="shared" si="37"/>
        <v>4</v>
      </c>
      <c r="K296" s="339">
        <v>20</v>
      </c>
      <c r="L296" s="395">
        <f t="shared" si="38"/>
        <v>80</v>
      </c>
      <c r="M296" s="473" t="s">
        <v>276</v>
      </c>
      <c r="N296" s="394">
        <f>SUM(L290:L296)</f>
        <v>4067.5</v>
      </c>
      <c r="O296" s="339">
        <v>25</v>
      </c>
      <c r="P296" s="340">
        <f t="shared" si="39"/>
        <v>100</v>
      </c>
      <c r="Q296" s="396">
        <f>SUM(P290:P296)</f>
        <v>4482.5</v>
      </c>
    </row>
    <row r="297" s="334" customFormat="1" hidden="1" spans="1:17">
      <c r="A297" s="334" t="s">
        <v>18</v>
      </c>
      <c r="B297" s="400">
        <v>45541</v>
      </c>
      <c r="C297" s="401">
        <v>15</v>
      </c>
      <c r="D297" s="474" t="s">
        <v>277</v>
      </c>
      <c r="E297" s="474"/>
      <c r="F297" s="474"/>
      <c r="G297" s="348" t="s">
        <v>71</v>
      </c>
      <c r="H297" s="347">
        <v>1</v>
      </c>
      <c r="I297" s="347">
        <v>10</v>
      </c>
      <c r="J297" s="402">
        <f t="shared" si="37"/>
        <v>10</v>
      </c>
      <c r="K297" s="349">
        <v>20</v>
      </c>
      <c r="L297" s="403">
        <f t="shared" si="38"/>
        <v>200</v>
      </c>
      <c r="M297" s="425" t="s">
        <v>235</v>
      </c>
      <c r="N297" s="404"/>
      <c r="O297" s="412">
        <v>22.5</v>
      </c>
      <c r="P297" s="412">
        <f t="shared" si="39"/>
        <v>225</v>
      </c>
      <c r="Q297" s="405"/>
    </row>
    <row r="298" s="334" customFormat="1" hidden="1" spans="1:17">
      <c r="A298" s="334" t="s">
        <v>18</v>
      </c>
      <c r="B298" s="400">
        <v>45541</v>
      </c>
      <c r="C298" s="401">
        <v>15</v>
      </c>
      <c r="D298" s="347" t="s">
        <v>232</v>
      </c>
      <c r="E298" s="347"/>
      <c r="F298" s="347"/>
      <c r="G298" s="348" t="s">
        <v>138</v>
      </c>
      <c r="H298" s="347">
        <v>1</v>
      </c>
      <c r="I298" s="347">
        <v>26</v>
      </c>
      <c r="J298" s="402">
        <f t="shared" si="37"/>
        <v>26</v>
      </c>
      <c r="K298" s="349">
        <v>20</v>
      </c>
      <c r="L298" s="403">
        <f t="shared" si="38"/>
        <v>520</v>
      </c>
      <c r="M298" s="425" t="s">
        <v>222</v>
      </c>
      <c r="N298" s="404"/>
      <c r="O298" s="412">
        <v>22.5</v>
      </c>
      <c r="P298" s="412">
        <f t="shared" si="39"/>
        <v>585</v>
      </c>
      <c r="Q298" s="405"/>
    </row>
    <row r="299" s="334" customFormat="1" hidden="1" spans="1:17">
      <c r="A299" s="334" t="s">
        <v>18</v>
      </c>
      <c r="B299" s="400">
        <v>45541</v>
      </c>
      <c r="C299" s="401">
        <v>15</v>
      </c>
      <c r="D299" s="347" t="s">
        <v>278</v>
      </c>
      <c r="E299" s="347"/>
      <c r="F299" s="347"/>
      <c r="G299" s="348" t="s">
        <v>279</v>
      </c>
      <c r="H299" s="347">
        <v>1</v>
      </c>
      <c r="I299" s="347">
        <v>4</v>
      </c>
      <c r="J299" s="402">
        <f t="shared" si="37"/>
        <v>4</v>
      </c>
      <c r="K299" s="349">
        <v>20</v>
      </c>
      <c r="L299" s="403">
        <f t="shared" si="38"/>
        <v>80</v>
      </c>
      <c r="M299" s="425"/>
      <c r="N299" s="404"/>
      <c r="O299" s="412">
        <v>22.5</v>
      </c>
      <c r="P299" s="412">
        <f t="shared" si="39"/>
        <v>90</v>
      </c>
      <c r="Q299" s="405"/>
    </row>
    <row r="300" s="334" customFormat="1" hidden="1" spans="1:17">
      <c r="A300" s="334" t="s">
        <v>18</v>
      </c>
      <c r="B300" s="400">
        <v>45541</v>
      </c>
      <c r="C300" s="401">
        <v>15</v>
      </c>
      <c r="D300" s="415" t="s">
        <v>280</v>
      </c>
      <c r="E300" s="415"/>
      <c r="F300" s="415"/>
      <c r="G300" s="348" t="s">
        <v>281</v>
      </c>
      <c r="H300" s="347">
        <v>1</v>
      </c>
      <c r="I300" s="347">
        <v>2</v>
      </c>
      <c r="J300" s="402">
        <f t="shared" si="37"/>
        <v>2</v>
      </c>
      <c r="K300" s="349">
        <v>20</v>
      </c>
      <c r="L300" s="403">
        <f t="shared" si="38"/>
        <v>40</v>
      </c>
      <c r="M300" s="411" t="s">
        <v>282</v>
      </c>
      <c r="N300" s="404"/>
      <c r="O300" s="412">
        <v>22.5</v>
      </c>
      <c r="P300" s="412">
        <f t="shared" si="39"/>
        <v>45</v>
      </c>
      <c r="Q300" s="405"/>
    </row>
    <row r="301" s="334" customFormat="1" hidden="1" spans="1:17">
      <c r="A301" s="334" t="s">
        <v>18</v>
      </c>
      <c r="B301" s="400">
        <v>45541</v>
      </c>
      <c r="C301" s="401">
        <v>15</v>
      </c>
      <c r="D301" s="347" t="s">
        <v>283</v>
      </c>
      <c r="E301" s="347"/>
      <c r="F301" s="347"/>
      <c r="G301" s="348" t="s">
        <v>209</v>
      </c>
      <c r="H301" s="347">
        <v>1</v>
      </c>
      <c r="I301" s="347">
        <v>10</v>
      </c>
      <c r="J301" s="402">
        <f t="shared" si="37"/>
        <v>10</v>
      </c>
      <c r="K301" s="349">
        <v>20</v>
      </c>
      <c r="L301" s="403">
        <f t="shared" si="38"/>
        <v>200</v>
      </c>
      <c r="M301" s="425"/>
      <c r="N301" s="404"/>
      <c r="O301" s="412">
        <v>22.5</v>
      </c>
      <c r="P301" s="412">
        <f t="shared" si="39"/>
        <v>225</v>
      </c>
      <c r="Q301" s="405"/>
    </row>
    <row r="302" s="334" customFormat="1" hidden="1" spans="1:17">
      <c r="A302" s="334" t="s">
        <v>18</v>
      </c>
      <c r="B302" s="400">
        <v>45541</v>
      </c>
      <c r="C302" s="401">
        <v>15</v>
      </c>
      <c r="D302" s="347">
        <v>9806</v>
      </c>
      <c r="E302" s="347"/>
      <c r="F302" s="347"/>
      <c r="G302" s="348" t="s">
        <v>29</v>
      </c>
      <c r="H302" s="347">
        <v>10</v>
      </c>
      <c r="I302" s="347">
        <v>28</v>
      </c>
      <c r="J302" s="402">
        <f t="shared" si="37"/>
        <v>280</v>
      </c>
      <c r="K302" s="349">
        <v>10.1</v>
      </c>
      <c r="L302" s="403">
        <f t="shared" si="38"/>
        <v>2828</v>
      </c>
      <c r="M302" s="424"/>
      <c r="N302" s="404"/>
      <c r="O302" s="412">
        <v>11</v>
      </c>
      <c r="P302" s="412">
        <f t="shared" si="39"/>
        <v>3080</v>
      </c>
      <c r="Q302" s="405"/>
    </row>
    <row r="303" s="334" customFormat="1" hidden="1" spans="1:17">
      <c r="A303" s="334" t="s">
        <v>18</v>
      </c>
      <c r="B303" s="400">
        <v>45541</v>
      </c>
      <c r="C303" s="401">
        <v>15</v>
      </c>
      <c r="D303" s="347"/>
      <c r="E303" s="347"/>
      <c r="F303" s="347"/>
      <c r="G303" s="348" t="s">
        <v>22</v>
      </c>
      <c r="H303" s="347">
        <v>10</v>
      </c>
      <c r="I303" s="402">
        <v>10</v>
      </c>
      <c r="J303" s="402">
        <f t="shared" si="37"/>
        <v>100</v>
      </c>
      <c r="K303" s="349">
        <v>20</v>
      </c>
      <c r="L303" s="403">
        <f t="shared" si="38"/>
        <v>2000</v>
      </c>
      <c r="M303" s="425" t="s">
        <v>23</v>
      </c>
      <c r="N303" s="404">
        <f>SUM(L297:L303)</f>
        <v>5868</v>
      </c>
      <c r="O303" s="349">
        <v>22.5</v>
      </c>
      <c r="P303" s="412">
        <f t="shared" si="39"/>
        <v>2250</v>
      </c>
      <c r="Q303" s="405">
        <f>SUM(P299:P303)</f>
        <v>5690</v>
      </c>
    </row>
    <row r="304" s="332" customFormat="1" hidden="1" spans="1:17">
      <c r="A304" s="332" t="s">
        <v>237</v>
      </c>
      <c r="B304" s="409">
        <v>45541</v>
      </c>
      <c r="C304" s="410">
        <v>19</v>
      </c>
      <c r="D304" s="342" t="s">
        <v>284</v>
      </c>
      <c r="E304" s="342"/>
      <c r="F304" s="342"/>
      <c r="G304" s="337" t="s">
        <v>99</v>
      </c>
      <c r="H304" s="342">
        <v>1</v>
      </c>
      <c r="I304" s="342">
        <v>20</v>
      </c>
      <c r="J304" s="342">
        <f t="shared" si="37"/>
        <v>20</v>
      </c>
      <c r="K304" s="339">
        <v>15.5</v>
      </c>
      <c r="L304" s="395">
        <f t="shared" si="38"/>
        <v>310</v>
      </c>
      <c r="M304" s="344" t="s">
        <v>285</v>
      </c>
      <c r="N304" s="394"/>
      <c r="O304" s="339">
        <v>17</v>
      </c>
      <c r="P304" s="340">
        <f t="shared" si="39"/>
        <v>340</v>
      </c>
      <c r="Q304" s="396"/>
    </row>
    <row r="305" s="334" customFormat="1" hidden="1" spans="1:17">
      <c r="A305" s="334" t="s">
        <v>237</v>
      </c>
      <c r="B305" s="400">
        <v>45542</v>
      </c>
      <c r="C305" s="401">
        <v>20</v>
      </c>
      <c r="D305" s="402" t="s">
        <v>284</v>
      </c>
      <c r="E305" s="402"/>
      <c r="F305" s="402"/>
      <c r="G305" s="348" t="s">
        <v>99</v>
      </c>
      <c r="H305" s="402">
        <v>2</v>
      </c>
      <c r="I305" s="402">
        <v>20</v>
      </c>
      <c r="J305" s="402">
        <f t="shared" si="37"/>
        <v>40</v>
      </c>
      <c r="K305" s="349">
        <v>15.5</v>
      </c>
      <c r="L305" s="403">
        <f t="shared" si="38"/>
        <v>620</v>
      </c>
      <c r="M305" s="422" t="s">
        <v>285</v>
      </c>
      <c r="N305" s="404"/>
      <c r="O305" s="349">
        <v>17</v>
      </c>
      <c r="P305" s="412">
        <f t="shared" si="39"/>
        <v>680</v>
      </c>
      <c r="Q305" s="405"/>
    </row>
    <row r="306" s="334" customFormat="1" hidden="1" spans="1:17">
      <c r="A306" s="334" t="s">
        <v>237</v>
      </c>
      <c r="B306" s="400">
        <v>45542</v>
      </c>
      <c r="C306" s="401">
        <v>20</v>
      </c>
      <c r="D306" s="347" t="s">
        <v>247</v>
      </c>
      <c r="E306" s="347"/>
      <c r="F306" s="347"/>
      <c r="G306" s="348" t="s">
        <v>248</v>
      </c>
      <c r="H306" s="347">
        <v>1</v>
      </c>
      <c r="I306" s="347">
        <v>180</v>
      </c>
      <c r="J306" s="402">
        <f t="shared" si="37"/>
        <v>180</v>
      </c>
      <c r="K306" s="349">
        <v>8.5</v>
      </c>
      <c r="L306" s="403">
        <f t="shared" si="38"/>
        <v>1530</v>
      </c>
      <c r="M306" s="425"/>
      <c r="N306" s="404"/>
      <c r="O306" s="412">
        <v>9</v>
      </c>
      <c r="P306" s="412">
        <f t="shared" si="39"/>
        <v>1620</v>
      </c>
      <c r="Q306" s="405"/>
    </row>
    <row r="307" s="334" customFormat="1" hidden="1" spans="1:17">
      <c r="A307" s="334" t="s">
        <v>237</v>
      </c>
      <c r="B307" s="400">
        <v>45542</v>
      </c>
      <c r="C307" s="401">
        <v>20</v>
      </c>
      <c r="D307" s="402" t="s">
        <v>259</v>
      </c>
      <c r="E307" s="402"/>
      <c r="F307" s="402"/>
      <c r="G307" s="348" t="s">
        <v>260</v>
      </c>
      <c r="H307" s="402">
        <v>-1</v>
      </c>
      <c r="I307" s="402">
        <v>20</v>
      </c>
      <c r="J307" s="402">
        <f t="shared" si="37"/>
        <v>-20</v>
      </c>
      <c r="K307" s="349">
        <v>15.5</v>
      </c>
      <c r="L307" s="403">
        <f t="shared" si="38"/>
        <v>-310</v>
      </c>
      <c r="M307" s="422">
        <f>SUM(L305:L307)</f>
        <v>1840</v>
      </c>
      <c r="N307" s="404">
        <f>SUM(L305:L307)</f>
        <v>1840</v>
      </c>
      <c r="O307" s="349">
        <v>17</v>
      </c>
      <c r="P307" s="412">
        <f t="shared" si="39"/>
        <v>-340</v>
      </c>
      <c r="Q307" s="405">
        <f>SUM(P305:P307)</f>
        <v>1960</v>
      </c>
    </row>
    <row r="308" s="353" customFormat="1" hidden="1" spans="1:17">
      <c r="A308" s="332" t="s">
        <v>18</v>
      </c>
      <c r="B308" s="409">
        <v>45548</v>
      </c>
      <c r="C308" s="410">
        <v>25</v>
      </c>
      <c r="D308" s="338">
        <v>240907</v>
      </c>
      <c r="E308" s="338"/>
      <c r="F308" s="338"/>
      <c r="G308" s="337" t="s">
        <v>138</v>
      </c>
      <c r="H308" s="338">
        <v>1</v>
      </c>
      <c r="I308" s="338">
        <v>2</v>
      </c>
      <c r="J308" s="342">
        <f t="shared" si="37"/>
        <v>2</v>
      </c>
      <c r="K308" s="339">
        <v>20</v>
      </c>
      <c r="L308" s="395">
        <f t="shared" si="38"/>
        <v>40</v>
      </c>
      <c r="M308" s="336" t="s">
        <v>286</v>
      </c>
      <c r="N308" s="394"/>
      <c r="O308" s="339">
        <v>22.5</v>
      </c>
      <c r="P308" s="340">
        <f t="shared" si="39"/>
        <v>45</v>
      </c>
      <c r="Q308" s="396"/>
    </row>
    <row r="309" s="332" customFormat="1" hidden="1" spans="1:17">
      <c r="A309" s="332" t="s">
        <v>18</v>
      </c>
      <c r="B309" s="409">
        <v>45548</v>
      </c>
      <c r="C309" s="410">
        <v>25</v>
      </c>
      <c r="D309" s="338" t="s">
        <v>232</v>
      </c>
      <c r="E309" s="338"/>
      <c r="F309" s="338"/>
      <c r="G309" s="337" t="s">
        <v>138</v>
      </c>
      <c r="H309" s="338">
        <v>1</v>
      </c>
      <c r="I309" s="338">
        <v>10</v>
      </c>
      <c r="J309" s="342">
        <f t="shared" si="37"/>
        <v>10</v>
      </c>
      <c r="K309" s="339">
        <v>20</v>
      </c>
      <c r="L309" s="395">
        <f t="shared" si="38"/>
        <v>200</v>
      </c>
      <c r="M309" s="336" t="s">
        <v>286</v>
      </c>
      <c r="N309" s="394">
        <f>SUM(L308:L309)</f>
        <v>240</v>
      </c>
      <c r="O309" s="340">
        <v>22.5</v>
      </c>
      <c r="P309" s="340">
        <f t="shared" si="39"/>
        <v>225</v>
      </c>
      <c r="Q309" s="396">
        <f>SUM(P308:P309)</f>
        <v>270</v>
      </c>
    </row>
    <row r="310" s="332" customFormat="1" hidden="1" spans="1:17">
      <c r="A310" s="332" t="s">
        <v>18</v>
      </c>
      <c r="B310" s="409">
        <v>45548</v>
      </c>
      <c r="C310" s="410">
        <v>25</v>
      </c>
      <c r="D310" s="338"/>
      <c r="E310" s="338"/>
      <c r="F310" s="338"/>
      <c r="G310" s="337" t="s">
        <v>24</v>
      </c>
      <c r="H310" s="338">
        <v>10</v>
      </c>
      <c r="I310" s="338">
        <v>25</v>
      </c>
      <c r="J310" s="342">
        <f t="shared" si="37"/>
        <v>250</v>
      </c>
      <c r="K310" s="339">
        <v>19</v>
      </c>
      <c r="L310" s="395">
        <f t="shared" si="38"/>
        <v>4750</v>
      </c>
      <c r="M310" s="344" t="s">
        <v>287</v>
      </c>
      <c r="N310" s="394"/>
      <c r="O310" s="339">
        <v>22.5</v>
      </c>
      <c r="P310" s="340">
        <f t="shared" si="39"/>
        <v>5625</v>
      </c>
      <c r="Q310" s="396"/>
    </row>
    <row r="311" s="332" customFormat="1" hidden="1" spans="1:17">
      <c r="A311" s="332" t="s">
        <v>18</v>
      </c>
      <c r="B311" s="409">
        <v>45548</v>
      </c>
      <c r="C311" s="410">
        <v>25</v>
      </c>
      <c r="D311" s="338" t="s">
        <v>34</v>
      </c>
      <c r="E311" s="338"/>
      <c r="F311" s="338"/>
      <c r="G311" s="337" t="s">
        <v>35</v>
      </c>
      <c r="H311" s="338">
        <v>1</v>
      </c>
      <c r="I311" s="338">
        <v>180</v>
      </c>
      <c r="J311" s="342">
        <f t="shared" ref="J311:J317" si="40">H311*I311</f>
        <v>180</v>
      </c>
      <c r="K311" s="339">
        <v>7</v>
      </c>
      <c r="L311" s="395">
        <f t="shared" ref="L311:L317" si="41">J311*K311</f>
        <v>1260</v>
      </c>
      <c r="M311" s="338"/>
      <c r="N311" s="394"/>
      <c r="O311" s="340">
        <v>7.5</v>
      </c>
      <c r="P311" s="340">
        <f t="shared" ref="P311:P317" si="42">J311*O311</f>
        <v>1350</v>
      </c>
      <c r="Q311" s="396"/>
    </row>
    <row r="312" s="332" customFormat="1" hidden="1" spans="1:17">
      <c r="A312" s="332" t="s">
        <v>18</v>
      </c>
      <c r="B312" s="409">
        <v>45548</v>
      </c>
      <c r="C312" s="410">
        <v>25</v>
      </c>
      <c r="D312" s="338" t="s">
        <v>51</v>
      </c>
      <c r="E312" s="338"/>
      <c r="F312" s="338"/>
      <c r="G312" s="337" t="s">
        <v>39</v>
      </c>
      <c r="H312" s="338">
        <v>1</v>
      </c>
      <c r="I312" s="338">
        <v>180</v>
      </c>
      <c r="J312" s="342">
        <f t="shared" si="40"/>
        <v>180</v>
      </c>
      <c r="K312" s="339">
        <v>9.5</v>
      </c>
      <c r="L312" s="395">
        <f t="shared" si="41"/>
        <v>1710</v>
      </c>
      <c r="M312" s="338">
        <f>SUM(L308:L313)</f>
        <v>8760</v>
      </c>
      <c r="N312" s="394"/>
      <c r="O312" s="340">
        <v>10.5</v>
      </c>
      <c r="P312" s="340">
        <f t="shared" si="42"/>
        <v>1890</v>
      </c>
      <c r="Q312" s="396"/>
    </row>
    <row r="313" s="332" customFormat="1" hidden="1" spans="1:17">
      <c r="A313" s="332" t="s">
        <v>18</v>
      </c>
      <c r="B313" s="409">
        <v>45548</v>
      </c>
      <c r="C313" s="410">
        <v>25</v>
      </c>
      <c r="D313" s="338"/>
      <c r="E313" s="338"/>
      <c r="F313" s="338"/>
      <c r="G313" s="337" t="s">
        <v>22</v>
      </c>
      <c r="H313" s="338">
        <v>4</v>
      </c>
      <c r="I313" s="342">
        <v>10</v>
      </c>
      <c r="J313" s="342">
        <f t="shared" si="40"/>
        <v>40</v>
      </c>
      <c r="K313" s="339">
        <v>20</v>
      </c>
      <c r="L313" s="395">
        <f t="shared" si="41"/>
        <v>800</v>
      </c>
      <c r="M313" s="336" t="s">
        <v>23</v>
      </c>
      <c r="N313" s="394">
        <f>SUM(L308:L313)</f>
        <v>8760</v>
      </c>
      <c r="O313" s="339">
        <v>22.5</v>
      </c>
      <c r="P313" s="340">
        <f t="shared" si="42"/>
        <v>900</v>
      </c>
      <c r="Q313" s="396">
        <f>SUM(P310:P313)</f>
        <v>9765</v>
      </c>
    </row>
    <row r="314" s="393" customFormat="1" hidden="1" spans="1:17">
      <c r="A314" s="393" t="s">
        <v>237</v>
      </c>
      <c r="B314" s="451">
        <v>45544</v>
      </c>
      <c r="C314" s="452">
        <v>26</v>
      </c>
      <c r="D314" s="455" t="s">
        <v>244</v>
      </c>
      <c r="E314" s="455"/>
      <c r="F314" s="455"/>
      <c r="G314" s="454" t="s">
        <v>141</v>
      </c>
      <c r="H314" s="455">
        <v>1</v>
      </c>
      <c r="I314" s="455">
        <v>10</v>
      </c>
      <c r="J314" s="455">
        <f t="shared" si="40"/>
        <v>10</v>
      </c>
      <c r="K314" s="456">
        <v>15.5</v>
      </c>
      <c r="L314" s="457">
        <f t="shared" si="41"/>
        <v>155</v>
      </c>
      <c r="M314" s="475">
        <v>303</v>
      </c>
      <c r="N314" s="459"/>
      <c r="O314" s="456">
        <v>17</v>
      </c>
      <c r="P314" s="460">
        <f t="shared" si="42"/>
        <v>170</v>
      </c>
      <c r="Q314" s="461"/>
    </row>
    <row r="315" s="332" customFormat="1" hidden="1" spans="1:17">
      <c r="A315" s="332" t="s">
        <v>237</v>
      </c>
      <c r="B315" s="409">
        <v>45547</v>
      </c>
      <c r="C315" s="410">
        <v>42</v>
      </c>
      <c r="D315" s="342" t="s">
        <v>244</v>
      </c>
      <c r="E315" s="342"/>
      <c r="F315" s="342"/>
      <c r="G315" s="337" t="s">
        <v>141</v>
      </c>
      <c r="H315" s="342">
        <v>4</v>
      </c>
      <c r="I315" s="342">
        <v>20</v>
      </c>
      <c r="J315" s="342">
        <f t="shared" si="40"/>
        <v>80</v>
      </c>
      <c r="K315" s="339">
        <v>15.5</v>
      </c>
      <c r="L315" s="395">
        <f t="shared" si="41"/>
        <v>1240</v>
      </c>
      <c r="M315" s="336">
        <v>303</v>
      </c>
      <c r="N315" s="394"/>
      <c r="O315" s="339">
        <v>17</v>
      </c>
      <c r="P315" s="340">
        <f t="shared" si="42"/>
        <v>1360</v>
      </c>
      <c r="Q315" s="396"/>
    </row>
    <row r="316" s="334" customFormat="1" hidden="1" spans="1:17">
      <c r="A316" s="334" t="s">
        <v>18</v>
      </c>
      <c r="B316" s="400">
        <v>45548</v>
      </c>
      <c r="C316" s="401">
        <v>45</v>
      </c>
      <c r="D316" s="347" t="s">
        <v>245</v>
      </c>
      <c r="E316" s="347"/>
      <c r="F316" s="347"/>
      <c r="G316" s="348" t="s">
        <v>246</v>
      </c>
      <c r="H316" s="347">
        <v>1</v>
      </c>
      <c r="I316" s="347">
        <v>5</v>
      </c>
      <c r="J316" s="402">
        <f t="shared" si="40"/>
        <v>5</v>
      </c>
      <c r="K316" s="349">
        <v>20</v>
      </c>
      <c r="L316" s="403">
        <f t="shared" si="41"/>
        <v>100</v>
      </c>
      <c r="M316" s="425"/>
      <c r="N316" s="404"/>
      <c r="O316" s="412">
        <v>22.5</v>
      </c>
      <c r="P316" s="412">
        <f t="shared" si="42"/>
        <v>112.5</v>
      </c>
      <c r="Q316" s="405"/>
    </row>
    <row r="317" s="332" customFormat="1" hidden="1" spans="1:17">
      <c r="A317" s="332" t="s">
        <v>18</v>
      </c>
      <c r="B317" s="409">
        <v>45549</v>
      </c>
      <c r="C317" s="410">
        <v>46</v>
      </c>
      <c r="D317" s="338" t="s">
        <v>232</v>
      </c>
      <c r="E317" s="338"/>
      <c r="F317" s="338"/>
      <c r="G317" s="337" t="s">
        <v>138</v>
      </c>
      <c r="H317" s="338">
        <v>1</v>
      </c>
      <c r="I317" s="338">
        <v>5</v>
      </c>
      <c r="J317" s="342">
        <f t="shared" si="40"/>
        <v>5</v>
      </c>
      <c r="K317" s="339">
        <v>20</v>
      </c>
      <c r="L317" s="395">
        <f t="shared" si="41"/>
        <v>100</v>
      </c>
      <c r="M317" s="336"/>
      <c r="N317" s="394">
        <f>SUM(L316:L317)</f>
        <v>200</v>
      </c>
      <c r="O317" s="340">
        <v>22.5</v>
      </c>
      <c r="P317" s="340">
        <f t="shared" si="42"/>
        <v>112.5</v>
      </c>
      <c r="Q317" s="396">
        <f>SUM(P316:P317)</f>
        <v>225</v>
      </c>
    </row>
    <row r="318" s="334" customFormat="1" hidden="1" spans="1:17">
      <c r="A318" s="334" t="s">
        <v>237</v>
      </c>
      <c r="B318" s="400">
        <v>45550</v>
      </c>
      <c r="C318" s="401">
        <v>53</v>
      </c>
      <c r="D318" s="402" t="s">
        <v>284</v>
      </c>
      <c r="E318" s="402"/>
      <c r="F318" s="402"/>
      <c r="G318" s="348" t="s">
        <v>99</v>
      </c>
      <c r="H318" s="402">
        <v>3</v>
      </c>
      <c r="I318" s="402">
        <v>20</v>
      </c>
      <c r="J318" s="402">
        <f t="shared" ref="J318:J328" si="43">H318*I318</f>
        <v>60</v>
      </c>
      <c r="K318" s="349">
        <v>15.5</v>
      </c>
      <c r="L318" s="403">
        <f t="shared" ref="L318:L333" si="44">J318*K318</f>
        <v>930</v>
      </c>
      <c r="M318" s="422" t="s">
        <v>285</v>
      </c>
      <c r="N318" s="404"/>
      <c r="O318" s="349">
        <v>17</v>
      </c>
      <c r="P318" s="412">
        <f t="shared" ref="P318:P322" si="45">J318*O318</f>
        <v>1020</v>
      </c>
      <c r="Q318" s="405"/>
    </row>
    <row r="319" s="334" customFormat="1" hidden="1" spans="1:17">
      <c r="A319" s="334" t="s">
        <v>237</v>
      </c>
      <c r="B319" s="400">
        <v>45550</v>
      </c>
      <c r="C319" s="401">
        <v>53</v>
      </c>
      <c r="D319" s="402" t="s">
        <v>244</v>
      </c>
      <c r="E319" s="402"/>
      <c r="F319" s="402"/>
      <c r="G319" s="348" t="s">
        <v>141</v>
      </c>
      <c r="H319" s="402">
        <v>2</v>
      </c>
      <c r="I319" s="402">
        <v>20</v>
      </c>
      <c r="J319" s="402">
        <f t="shared" si="43"/>
        <v>40</v>
      </c>
      <c r="K319" s="349">
        <v>15.5</v>
      </c>
      <c r="L319" s="403">
        <f t="shared" si="44"/>
        <v>620</v>
      </c>
      <c r="M319" s="425">
        <v>303</v>
      </c>
      <c r="N319" s="404"/>
      <c r="O319" s="349">
        <v>17</v>
      </c>
      <c r="P319" s="412">
        <f t="shared" si="45"/>
        <v>680</v>
      </c>
      <c r="Q319" s="405"/>
    </row>
    <row r="320" s="334" customFormat="1" spans="1:17">
      <c r="A320" s="334" t="s">
        <v>237</v>
      </c>
      <c r="B320" s="400">
        <v>45550</v>
      </c>
      <c r="C320" s="401">
        <v>53</v>
      </c>
      <c r="D320" s="402" t="s">
        <v>288</v>
      </c>
      <c r="E320" s="402"/>
      <c r="F320" s="402"/>
      <c r="G320" s="348" t="s">
        <v>41</v>
      </c>
      <c r="H320" s="402">
        <v>1</v>
      </c>
      <c r="I320" s="402">
        <v>25</v>
      </c>
      <c r="J320" s="402">
        <f t="shared" si="43"/>
        <v>25</v>
      </c>
      <c r="K320" s="349">
        <v>13</v>
      </c>
      <c r="L320" s="403">
        <f t="shared" si="44"/>
        <v>325</v>
      </c>
      <c r="M320" s="422" t="s">
        <v>289</v>
      </c>
      <c r="N320" s="404"/>
      <c r="O320" s="349">
        <v>14.5</v>
      </c>
      <c r="P320" s="412">
        <f t="shared" si="45"/>
        <v>362.5</v>
      </c>
      <c r="Q320" s="405"/>
    </row>
    <row r="321" s="334" customFormat="1" hidden="1" spans="1:17">
      <c r="A321" s="334" t="s">
        <v>237</v>
      </c>
      <c r="B321" s="400">
        <v>45550</v>
      </c>
      <c r="C321" s="401">
        <v>53</v>
      </c>
      <c r="D321" s="402" t="s">
        <v>290</v>
      </c>
      <c r="E321" s="402"/>
      <c r="F321" s="402"/>
      <c r="G321" s="348" t="s">
        <v>123</v>
      </c>
      <c r="H321" s="402">
        <v>1</v>
      </c>
      <c r="I321" s="402">
        <v>20</v>
      </c>
      <c r="J321" s="402">
        <f t="shared" si="43"/>
        <v>20</v>
      </c>
      <c r="K321" s="349">
        <v>15.5</v>
      </c>
      <c r="L321" s="403">
        <f t="shared" si="44"/>
        <v>310</v>
      </c>
      <c r="M321" s="425">
        <v>303</v>
      </c>
      <c r="N321" s="404"/>
      <c r="O321" s="349">
        <v>17</v>
      </c>
      <c r="P321" s="412">
        <f t="shared" si="45"/>
        <v>340</v>
      </c>
      <c r="Q321" s="405"/>
    </row>
    <row r="322" s="389" customFormat="1" ht="19" hidden="1" customHeight="1" spans="1:17">
      <c r="A322" s="334" t="s">
        <v>237</v>
      </c>
      <c r="B322" s="400">
        <v>45550</v>
      </c>
      <c r="C322" s="401">
        <v>53</v>
      </c>
      <c r="D322" s="402"/>
      <c r="E322" s="402"/>
      <c r="F322" s="402"/>
      <c r="G322" s="348" t="s">
        <v>275</v>
      </c>
      <c r="H322" s="402">
        <v>1</v>
      </c>
      <c r="I322" s="402">
        <v>4</v>
      </c>
      <c r="J322" s="402">
        <f t="shared" si="43"/>
        <v>4</v>
      </c>
      <c r="K322" s="349">
        <v>20</v>
      </c>
      <c r="L322" s="403">
        <f t="shared" si="44"/>
        <v>80</v>
      </c>
      <c r="M322" s="476" t="s">
        <v>276</v>
      </c>
      <c r="N322" s="404">
        <f>SUM(L318:L322)</f>
        <v>2265</v>
      </c>
      <c r="O322" s="349">
        <v>25</v>
      </c>
      <c r="P322" s="412">
        <f t="shared" si="45"/>
        <v>100</v>
      </c>
      <c r="Q322" s="405">
        <f>SUM(P318:P322)</f>
        <v>2502.5</v>
      </c>
    </row>
    <row r="323" s="388" customFormat="1" ht="19" hidden="1" customHeight="1" spans="1:17">
      <c r="A323" s="391" t="s">
        <v>237</v>
      </c>
      <c r="B323" s="413">
        <v>45553</v>
      </c>
      <c r="C323" s="414">
        <v>56</v>
      </c>
      <c r="D323" s="416"/>
      <c r="E323" s="416"/>
      <c r="F323" s="416"/>
      <c r="G323" s="408" t="s">
        <v>291</v>
      </c>
      <c r="H323" s="416">
        <v>1</v>
      </c>
      <c r="I323" s="416">
        <v>20</v>
      </c>
      <c r="J323" s="416">
        <f t="shared" si="43"/>
        <v>20</v>
      </c>
      <c r="K323" s="417">
        <v>15.5</v>
      </c>
      <c r="L323" s="418">
        <f t="shared" si="44"/>
        <v>310</v>
      </c>
      <c r="M323" s="477" t="s">
        <v>292</v>
      </c>
      <c r="N323" s="419"/>
      <c r="O323" s="417">
        <v>17</v>
      </c>
      <c r="P323" s="469">
        <v>680</v>
      </c>
      <c r="Q323" s="420"/>
    </row>
    <row r="324" s="388" customFormat="1" ht="19" hidden="1" customHeight="1" spans="1:17">
      <c r="A324" s="391" t="s">
        <v>237</v>
      </c>
      <c r="B324" s="413">
        <v>45553</v>
      </c>
      <c r="C324" s="414">
        <v>56</v>
      </c>
      <c r="D324" s="416"/>
      <c r="E324" s="416"/>
      <c r="F324" s="416"/>
      <c r="G324" s="408" t="s">
        <v>293</v>
      </c>
      <c r="H324" s="416">
        <v>1</v>
      </c>
      <c r="I324" s="416">
        <v>25</v>
      </c>
      <c r="J324" s="416">
        <f t="shared" si="43"/>
        <v>25</v>
      </c>
      <c r="K324" s="417">
        <v>15.5</v>
      </c>
      <c r="L324" s="418">
        <f t="shared" si="44"/>
        <v>387.5</v>
      </c>
      <c r="M324" s="477" t="s">
        <v>294</v>
      </c>
      <c r="N324" s="419"/>
      <c r="O324" s="417">
        <v>17</v>
      </c>
      <c r="P324" s="469">
        <v>1620</v>
      </c>
      <c r="Q324" s="420"/>
    </row>
    <row r="325" s="391" customFormat="1" hidden="1" spans="1:17">
      <c r="A325" s="391" t="s">
        <v>237</v>
      </c>
      <c r="B325" s="413">
        <v>45553</v>
      </c>
      <c r="C325" s="414">
        <v>56</v>
      </c>
      <c r="D325" s="416" t="s">
        <v>244</v>
      </c>
      <c r="E325" s="416"/>
      <c r="F325" s="416"/>
      <c r="G325" s="408" t="s">
        <v>141</v>
      </c>
      <c r="H325" s="416">
        <v>1</v>
      </c>
      <c r="I325" s="416">
        <v>20</v>
      </c>
      <c r="J325" s="416">
        <f t="shared" si="43"/>
        <v>20</v>
      </c>
      <c r="K325" s="417">
        <v>15.5</v>
      </c>
      <c r="L325" s="418">
        <f t="shared" si="44"/>
        <v>310</v>
      </c>
      <c r="M325" s="411">
        <v>303</v>
      </c>
      <c r="N325" s="419"/>
      <c r="O325" s="417">
        <v>17</v>
      </c>
      <c r="P325" s="469">
        <f>J325*O325</f>
        <v>340</v>
      </c>
      <c r="Q325" s="420"/>
    </row>
    <row r="326" s="388" customFormat="1" ht="19" hidden="1" customHeight="1" spans="1:17">
      <c r="A326" s="391" t="s">
        <v>237</v>
      </c>
      <c r="B326" s="413">
        <v>45553</v>
      </c>
      <c r="C326" s="414">
        <v>56</v>
      </c>
      <c r="D326" s="415"/>
      <c r="E326" s="415"/>
      <c r="F326" s="415"/>
      <c r="G326" s="408" t="s">
        <v>265</v>
      </c>
      <c r="H326" s="415">
        <v>1</v>
      </c>
      <c r="I326" s="415">
        <v>5</v>
      </c>
      <c r="J326" s="416">
        <f t="shared" si="43"/>
        <v>5</v>
      </c>
      <c r="K326" s="417">
        <v>20</v>
      </c>
      <c r="L326" s="418">
        <f t="shared" si="44"/>
        <v>100</v>
      </c>
      <c r="M326" s="472" t="s">
        <v>295</v>
      </c>
      <c r="N326" s="419">
        <f>SUBTOTAL(9,L323:L326)</f>
        <v>0</v>
      </c>
      <c r="O326" s="417">
        <v>25</v>
      </c>
      <c r="P326" s="469">
        <f>J326*O326</f>
        <v>125</v>
      </c>
      <c r="Q326" s="420">
        <f>SUBTOTAL(9,P323:P326)</f>
        <v>0</v>
      </c>
    </row>
    <row r="327" s="332" customFormat="1" hidden="1" spans="1:17">
      <c r="A327" s="332" t="s">
        <v>18</v>
      </c>
      <c r="B327" s="409">
        <v>45554</v>
      </c>
      <c r="C327" s="410">
        <v>59</v>
      </c>
      <c r="D327" s="338"/>
      <c r="E327" s="338"/>
      <c r="F327" s="338"/>
      <c r="G327" s="337" t="s">
        <v>281</v>
      </c>
      <c r="H327" s="338">
        <v>1</v>
      </c>
      <c r="I327" s="338">
        <v>5</v>
      </c>
      <c r="J327" s="342">
        <f t="shared" si="43"/>
        <v>5</v>
      </c>
      <c r="K327" s="339">
        <v>20</v>
      </c>
      <c r="L327" s="395">
        <f t="shared" si="44"/>
        <v>100</v>
      </c>
      <c r="M327" s="336" t="s">
        <v>296</v>
      </c>
      <c r="N327" s="394">
        <f>L327</f>
        <v>100</v>
      </c>
      <c r="O327" s="340">
        <v>22.5</v>
      </c>
      <c r="P327" s="340">
        <f>J327*O327</f>
        <v>112.5</v>
      </c>
      <c r="Q327" s="396">
        <f>SUM(P326:P327)</f>
        <v>237.5</v>
      </c>
    </row>
    <row r="328" s="389" customFormat="1" hidden="1" spans="1:17">
      <c r="A328" s="334" t="s">
        <v>18</v>
      </c>
      <c r="B328" s="400">
        <v>45556</v>
      </c>
      <c r="C328" s="401" t="s">
        <v>297</v>
      </c>
      <c r="D328" s="347" t="s">
        <v>184</v>
      </c>
      <c r="E328" s="347"/>
      <c r="F328" s="347"/>
      <c r="G328" s="348" t="s">
        <v>185</v>
      </c>
      <c r="H328" s="347">
        <v>1</v>
      </c>
      <c r="I328" s="347">
        <v>5</v>
      </c>
      <c r="J328" s="402">
        <f t="shared" si="43"/>
        <v>5</v>
      </c>
      <c r="K328" s="349">
        <v>28</v>
      </c>
      <c r="L328" s="403">
        <f t="shared" si="44"/>
        <v>140</v>
      </c>
      <c r="M328" s="422" t="s">
        <v>298</v>
      </c>
      <c r="N328" s="404"/>
      <c r="O328" s="349">
        <v>28</v>
      </c>
      <c r="P328" s="412">
        <f>J328*O328</f>
        <v>140</v>
      </c>
      <c r="Q328" s="405">
        <v>820</v>
      </c>
    </row>
    <row r="329" s="334" customFormat="1" hidden="1" spans="1:17">
      <c r="A329" s="334" t="s">
        <v>18</v>
      </c>
      <c r="B329" s="400">
        <v>45556</v>
      </c>
      <c r="C329" s="401" t="s">
        <v>297</v>
      </c>
      <c r="D329" s="347" t="s">
        <v>51</v>
      </c>
      <c r="E329" s="347"/>
      <c r="F329" s="347"/>
      <c r="G329" s="348" t="s">
        <v>39</v>
      </c>
      <c r="H329" s="347">
        <v>1</v>
      </c>
      <c r="I329" s="347">
        <v>10</v>
      </c>
      <c r="J329" s="402">
        <f t="shared" ref="J329:J373" si="46">H329*I329</f>
        <v>10</v>
      </c>
      <c r="K329" s="349">
        <v>10.5</v>
      </c>
      <c r="L329" s="403">
        <f t="shared" ref="L329:L347" si="47">J329*K329</f>
        <v>105</v>
      </c>
      <c r="M329" s="347"/>
      <c r="N329" s="404"/>
      <c r="O329" s="412">
        <v>10.5</v>
      </c>
      <c r="P329" s="412">
        <f t="shared" ref="P329:P358" si="48">J329*O329</f>
        <v>105</v>
      </c>
      <c r="Q329" s="405"/>
    </row>
    <row r="330" s="334" customFormat="1" hidden="1" spans="1:17">
      <c r="A330" s="334" t="s">
        <v>18</v>
      </c>
      <c r="B330" s="400">
        <v>45556</v>
      </c>
      <c r="C330" s="401" t="s">
        <v>297</v>
      </c>
      <c r="D330" s="347"/>
      <c r="E330" s="347"/>
      <c r="F330" s="347"/>
      <c r="G330" s="348" t="s">
        <v>22</v>
      </c>
      <c r="H330" s="347">
        <v>1</v>
      </c>
      <c r="I330" s="402">
        <v>10</v>
      </c>
      <c r="J330" s="402">
        <f t="shared" si="46"/>
        <v>10</v>
      </c>
      <c r="K330" s="349">
        <v>22.5</v>
      </c>
      <c r="L330" s="403">
        <f t="shared" si="47"/>
        <v>225</v>
      </c>
      <c r="M330" s="425" t="s">
        <v>23</v>
      </c>
      <c r="N330" s="404"/>
      <c r="O330" s="349">
        <v>22.5</v>
      </c>
      <c r="P330" s="412">
        <f t="shared" si="48"/>
        <v>225</v>
      </c>
      <c r="Q330" s="405">
        <f>SUM(P328:P330)</f>
        <v>470</v>
      </c>
    </row>
    <row r="331" s="334" customFormat="1" hidden="1" spans="1:17">
      <c r="A331" s="334" t="s">
        <v>18</v>
      </c>
      <c r="B331" s="400">
        <v>45556</v>
      </c>
      <c r="C331" s="401" t="s">
        <v>297</v>
      </c>
      <c r="D331" s="347" t="s">
        <v>299</v>
      </c>
      <c r="E331" s="347"/>
      <c r="F331" s="347"/>
      <c r="G331" s="348" t="s">
        <v>300</v>
      </c>
      <c r="H331" s="402">
        <v>1</v>
      </c>
      <c r="I331" s="347">
        <v>10</v>
      </c>
      <c r="J331" s="402">
        <f t="shared" si="46"/>
        <v>10</v>
      </c>
      <c r="K331" s="349">
        <v>16</v>
      </c>
      <c r="L331" s="403">
        <f t="shared" si="47"/>
        <v>160</v>
      </c>
      <c r="M331" s="348" t="s">
        <v>301</v>
      </c>
      <c r="N331" s="404"/>
      <c r="O331" s="349">
        <v>16</v>
      </c>
      <c r="P331" s="412">
        <f t="shared" si="48"/>
        <v>160</v>
      </c>
      <c r="Q331" s="405"/>
    </row>
    <row r="332" s="332" customFormat="1" spans="1:17">
      <c r="A332" s="332" t="s">
        <v>18</v>
      </c>
      <c r="B332" s="409">
        <v>45556</v>
      </c>
      <c r="C332" s="410">
        <v>66</v>
      </c>
      <c r="D332" s="338" t="s">
        <v>73</v>
      </c>
      <c r="E332" s="338"/>
      <c r="F332" s="338"/>
      <c r="G332" s="337" t="s">
        <v>41</v>
      </c>
      <c r="H332" s="342">
        <v>1</v>
      </c>
      <c r="I332" s="338">
        <v>25</v>
      </c>
      <c r="J332" s="342">
        <f t="shared" si="46"/>
        <v>25</v>
      </c>
      <c r="K332" s="339">
        <v>14.5</v>
      </c>
      <c r="L332" s="395">
        <f t="shared" si="47"/>
        <v>362.5</v>
      </c>
      <c r="M332" s="337" t="s">
        <v>206</v>
      </c>
      <c r="N332" s="394"/>
      <c r="O332" s="339">
        <v>17</v>
      </c>
      <c r="P332" s="340">
        <f t="shared" si="48"/>
        <v>425</v>
      </c>
      <c r="Q332" s="396"/>
    </row>
    <row r="333" s="332" customFormat="1" hidden="1" spans="1:17">
      <c r="A333" s="332" t="s">
        <v>18</v>
      </c>
      <c r="B333" s="409">
        <v>45556</v>
      </c>
      <c r="C333" s="410">
        <v>66</v>
      </c>
      <c r="D333" s="338"/>
      <c r="E333" s="338"/>
      <c r="F333" s="338"/>
      <c r="G333" s="337" t="s">
        <v>53</v>
      </c>
      <c r="H333" s="338">
        <v>1</v>
      </c>
      <c r="I333" s="342">
        <v>20</v>
      </c>
      <c r="J333" s="342">
        <f t="shared" si="46"/>
        <v>20</v>
      </c>
      <c r="K333" s="339">
        <v>20</v>
      </c>
      <c r="L333" s="395">
        <f t="shared" si="47"/>
        <v>400</v>
      </c>
      <c r="M333" s="467" t="s">
        <v>201</v>
      </c>
      <c r="N333" s="394"/>
      <c r="O333" s="339">
        <v>22.5</v>
      </c>
      <c r="P333" s="340">
        <f t="shared" si="48"/>
        <v>450</v>
      </c>
      <c r="Q333" s="396"/>
    </row>
    <row r="334" s="332" customFormat="1" hidden="1" spans="1:17">
      <c r="A334" s="332" t="s">
        <v>18</v>
      </c>
      <c r="B334" s="409">
        <v>45556</v>
      </c>
      <c r="C334" s="410">
        <v>66</v>
      </c>
      <c r="D334" s="338"/>
      <c r="E334" s="338"/>
      <c r="F334" s="338"/>
      <c r="G334" s="337" t="s">
        <v>22</v>
      </c>
      <c r="H334" s="338">
        <v>2</v>
      </c>
      <c r="I334" s="342">
        <v>10</v>
      </c>
      <c r="J334" s="342">
        <f t="shared" si="46"/>
        <v>20</v>
      </c>
      <c r="K334" s="339">
        <v>20</v>
      </c>
      <c r="L334" s="395">
        <f t="shared" si="47"/>
        <v>400</v>
      </c>
      <c r="M334" s="336" t="s">
        <v>23</v>
      </c>
      <c r="N334" s="394">
        <f>SUM(L332:L334)</f>
        <v>1162.5</v>
      </c>
      <c r="O334" s="339">
        <v>22.5</v>
      </c>
      <c r="P334" s="340">
        <f t="shared" si="48"/>
        <v>450</v>
      </c>
      <c r="Q334" s="396">
        <f>SUM(P332:P334)</f>
        <v>1325</v>
      </c>
    </row>
    <row r="335" s="334" customFormat="1" hidden="1" spans="1:17">
      <c r="A335" s="334" t="s">
        <v>237</v>
      </c>
      <c r="B335" s="400">
        <v>45556</v>
      </c>
      <c r="C335" s="401">
        <v>67</v>
      </c>
      <c r="D335" s="402" t="s">
        <v>241</v>
      </c>
      <c r="E335" s="402"/>
      <c r="F335" s="402"/>
      <c r="G335" s="348" t="s">
        <v>24</v>
      </c>
      <c r="H335" s="402">
        <v>10</v>
      </c>
      <c r="I335" s="402">
        <v>25</v>
      </c>
      <c r="J335" s="402">
        <f t="shared" si="46"/>
        <v>250</v>
      </c>
      <c r="K335" s="349">
        <v>15.5</v>
      </c>
      <c r="L335" s="403">
        <f t="shared" si="47"/>
        <v>3875</v>
      </c>
      <c r="M335" s="422" t="s">
        <v>242</v>
      </c>
      <c r="N335" s="404"/>
      <c r="O335" s="349">
        <v>17</v>
      </c>
      <c r="P335" s="412">
        <f t="shared" si="48"/>
        <v>4250</v>
      </c>
      <c r="Q335" s="405"/>
    </row>
    <row r="336" s="334" customFormat="1" hidden="1" spans="1:17">
      <c r="A336" s="334" t="s">
        <v>237</v>
      </c>
      <c r="B336" s="400">
        <v>45556</v>
      </c>
      <c r="C336" s="401">
        <v>67</v>
      </c>
      <c r="D336" s="402" t="s">
        <v>284</v>
      </c>
      <c r="E336" s="402"/>
      <c r="F336" s="402"/>
      <c r="G336" s="348" t="s">
        <v>99</v>
      </c>
      <c r="H336" s="402">
        <v>4</v>
      </c>
      <c r="I336" s="402">
        <v>20</v>
      </c>
      <c r="J336" s="402">
        <f t="shared" si="46"/>
        <v>80</v>
      </c>
      <c r="K336" s="349">
        <v>15.5</v>
      </c>
      <c r="L336" s="403">
        <f t="shared" si="47"/>
        <v>1240</v>
      </c>
      <c r="M336" s="422" t="s">
        <v>285</v>
      </c>
      <c r="N336" s="404"/>
      <c r="O336" s="349">
        <v>17</v>
      </c>
      <c r="P336" s="412">
        <f t="shared" si="48"/>
        <v>1360</v>
      </c>
      <c r="Q336" s="405"/>
    </row>
    <row r="337" s="334" customFormat="1" hidden="1" spans="1:17">
      <c r="A337" s="334" t="s">
        <v>237</v>
      </c>
      <c r="B337" s="400">
        <v>45556</v>
      </c>
      <c r="C337" s="401">
        <v>67</v>
      </c>
      <c r="D337" s="402" t="s">
        <v>244</v>
      </c>
      <c r="E337" s="402"/>
      <c r="F337" s="402"/>
      <c r="G337" s="348" t="s">
        <v>141</v>
      </c>
      <c r="H337" s="402">
        <v>7</v>
      </c>
      <c r="I337" s="402">
        <v>20</v>
      </c>
      <c r="J337" s="402">
        <f t="shared" si="46"/>
        <v>140</v>
      </c>
      <c r="K337" s="349">
        <v>15.5</v>
      </c>
      <c r="L337" s="403">
        <f t="shared" si="47"/>
        <v>2170</v>
      </c>
      <c r="M337" s="425">
        <v>303</v>
      </c>
      <c r="N337" s="404"/>
      <c r="O337" s="349">
        <v>17</v>
      </c>
      <c r="P337" s="412">
        <f t="shared" si="48"/>
        <v>2380</v>
      </c>
      <c r="Q337" s="405"/>
    </row>
    <row r="338" s="389" customFormat="1" ht="19" hidden="1" customHeight="1" spans="1:17">
      <c r="A338" s="334" t="s">
        <v>237</v>
      </c>
      <c r="B338" s="400">
        <v>45556</v>
      </c>
      <c r="C338" s="401">
        <v>67</v>
      </c>
      <c r="D338" s="347"/>
      <c r="E338" s="347"/>
      <c r="F338" s="347"/>
      <c r="G338" s="348" t="s">
        <v>265</v>
      </c>
      <c r="H338" s="347">
        <v>1</v>
      </c>
      <c r="I338" s="347">
        <v>6</v>
      </c>
      <c r="J338" s="402">
        <f t="shared" si="46"/>
        <v>6</v>
      </c>
      <c r="K338" s="349">
        <v>20</v>
      </c>
      <c r="L338" s="403">
        <f t="shared" si="47"/>
        <v>120</v>
      </c>
      <c r="M338" s="476" t="s">
        <v>302</v>
      </c>
      <c r="N338" s="404">
        <f>SUBTOTAL(9,L335:L338)</f>
        <v>0</v>
      </c>
      <c r="O338" s="349">
        <v>25</v>
      </c>
      <c r="P338" s="412">
        <f t="shared" si="48"/>
        <v>150</v>
      </c>
      <c r="Q338" s="405">
        <f>SUBTOTAL(9,P335:P338)</f>
        <v>0</v>
      </c>
    </row>
    <row r="339" s="332" customFormat="1" hidden="1" spans="1:17">
      <c r="A339" s="332" t="s">
        <v>237</v>
      </c>
      <c r="B339" s="409">
        <v>45558</v>
      </c>
      <c r="C339" s="410">
        <v>74</v>
      </c>
      <c r="D339" s="338"/>
      <c r="E339" s="338"/>
      <c r="F339" s="338"/>
      <c r="G339" s="337" t="s">
        <v>257</v>
      </c>
      <c r="H339" s="338">
        <v>1</v>
      </c>
      <c r="I339" s="338">
        <v>25</v>
      </c>
      <c r="J339" s="342">
        <f t="shared" si="46"/>
        <v>25</v>
      </c>
      <c r="K339" s="339">
        <v>15.5</v>
      </c>
      <c r="L339" s="395">
        <f t="shared" si="47"/>
        <v>387.5</v>
      </c>
      <c r="M339" s="344" t="s">
        <v>258</v>
      </c>
      <c r="N339" s="394"/>
      <c r="O339" s="339">
        <v>17</v>
      </c>
      <c r="P339" s="340">
        <f t="shared" si="48"/>
        <v>425</v>
      </c>
      <c r="Q339" s="396"/>
    </row>
    <row r="340" s="334" customFormat="1" hidden="1" spans="1:17">
      <c r="A340" s="334" t="s">
        <v>237</v>
      </c>
      <c r="B340" s="400">
        <v>45559</v>
      </c>
      <c r="C340" s="401">
        <v>80</v>
      </c>
      <c r="D340" s="347" t="s">
        <v>247</v>
      </c>
      <c r="E340" s="347"/>
      <c r="F340" s="347"/>
      <c r="G340" s="348" t="s">
        <v>248</v>
      </c>
      <c r="H340" s="347">
        <v>3</v>
      </c>
      <c r="I340" s="347">
        <v>180</v>
      </c>
      <c r="J340" s="402">
        <f t="shared" si="46"/>
        <v>540</v>
      </c>
      <c r="K340" s="349">
        <v>8</v>
      </c>
      <c r="L340" s="403">
        <f t="shared" si="47"/>
        <v>4320</v>
      </c>
      <c r="M340" s="425"/>
      <c r="N340" s="404"/>
      <c r="O340" s="412">
        <v>8.5</v>
      </c>
      <c r="P340" s="412">
        <f t="shared" si="48"/>
        <v>4590</v>
      </c>
      <c r="Q340" s="405"/>
    </row>
    <row r="341" s="332" customFormat="1" hidden="1" spans="1:17">
      <c r="A341" s="332" t="s">
        <v>18</v>
      </c>
      <c r="B341" s="409">
        <v>45563</v>
      </c>
      <c r="C341" s="410">
        <v>97</v>
      </c>
      <c r="D341" s="478">
        <v>45562</v>
      </c>
      <c r="E341" s="338"/>
      <c r="F341" s="338"/>
      <c r="G341" s="337" t="s">
        <v>303</v>
      </c>
      <c r="H341" s="338">
        <v>1</v>
      </c>
      <c r="I341" s="338">
        <v>0.5</v>
      </c>
      <c r="J341" s="342">
        <f t="shared" si="46"/>
        <v>0.5</v>
      </c>
      <c r="K341" s="339">
        <v>48</v>
      </c>
      <c r="L341" s="395">
        <f t="shared" si="47"/>
        <v>24</v>
      </c>
      <c r="M341" s="411" t="s">
        <v>304</v>
      </c>
      <c r="N341" s="394"/>
      <c r="O341" s="339">
        <v>48</v>
      </c>
      <c r="P341" s="340">
        <f t="shared" si="48"/>
        <v>24</v>
      </c>
      <c r="Q341" s="396"/>
    </row>
    <row r="342" s="332" customFormat="1" hidden="1" spans="1:17">
      <c r="A342" s="332" t="s">
        <v>18</v>
      </c>
      <c r="B342" s="409">
        <v>45563</v>
      </c>
      <c r="C342" s="410">
        <v>97</v>
      </c>
      <c r="D342" s="478">
        <v>45562</v>
      </c>
      <c r="E342" s="338"/>
      <c r="F342" s="338"/>
      <c r="G342" s="337" t="s">
        <v>305</v>
      </c>
      <c r="H342" s="338">
        <v>1</v>
      </c>
      <c r="I342" s="338">
        <v>0.5</v>
      </c>
      <c r="J342" s="342">
        <f t="shared" si="46"/>
        <v>0.5</v>
      </c>
      <c r="K342" s="339">
        <v>48</v>
      </c>
      <c r="L342" s="395">
        <f t="shared" ref="L342:L349" si="49">J342*K342</f>
        <v>24</v>
      </c>
      <c r="M342" s="411" t="s">
        <v>304</v>
      </c>
      <c r="N342" s="394"/>
      <c r="O342" s="339">
        <v>48</v>
      </c>
      <c r="P342" s="340">
        <f t="shared" si="48"/>
        <v>24</v>
      </c>
      <c r="Q342" s="396"/>
    </row>
    <row r="343" s="332" customFormat="1" hidden="1" spans="1:17">
      <c r="A343" s="332" t="s">
        <v>18</v>
      </c>
      <c r="B343" s="409">
        <v>45563</v>
      </c>
      <c r="C343" s="410">
        <v>97</v>
      </c>
      <c r="D343" s="478">
        <v>45562</v>
      </c>
      <c r="E343" s="338"/>
      <c r="F343" s="338"/>
      <c r="G343" s="337" t="s">
        <v>306</v>
      </c>
      <c r="H343" s="338">
        <v>1</v>
      </c>
      <c r="I343" s="338">
        <v>0.5</v>
      </c>
      <c r="J343" s="342">
        <f t="shared" si="46"/>
        <v>0.5</v>
      </c>
      <c r="K343" s="339">
        <v>40</v>
      </c>
      <c r="L343" s="395">
        <f t="shared" si="49"/>
        <v>20</v>
      </c>
      <c r="M343" s="411" t="s">
        <v>304</v>
      </c>
      <c r="N343" s="394"/>
      <c r="O343" s="339">
        <v>40</v>
      </c>
      <c r="P343" s="340">
        <f t="shared" si="48"/>
        <v>20</v>
      </c>
      <c r="Q343" s="396"/>
    </row>
    <row r="344" s="332" customFormat="1" hidden="1" spans="1:17">
      <c r="A344" s="332" t="s">
        <v>18</v>
      </c>
      <c r="B344" s="409">
        <v>45563</v>
      </c>
      <c r="C344" s="410">
        <v>97</v>
      </c>
      <c r="D344" s="338" t="s">
        <v>98</v>
      </c>
      <c r="E344" s="338"/>
      <c r="F344" s="338"/>
      <c r="G344" s="337" t="s">
        <v>99</v>
      </c>
      <c r="H344" s="338">
        <v>1</v>
      </c>
      <c r="I344" s="338">
        <v>20</v>
      </c>
      <c r="J344" s="342">
        <f t="shared" si="46"/>
        <v>20</v>
      </c>
      <c r="K344" s="339">
        <v>18</v>
      </c>
      <c r="L344" s="395">
        <f t="shared" si="49"/>
        <v>360</v>
      </c>
      <c r="M344" s="337" t="s">
        <v>100</v>
      </c>
      <c r="N344" s="394"/>
      <c r="O344" s="339">
        <v>22.5</v>
      </c>
      <c r="P344" s="340">
        <f t="shared" si="48"/>
        <v>450</v>
      </c>
      <c r="Q344" s="396"/>
    </row>
    <row r="345" s="332" customFormat="1" hidden="1" spans="1:17">
      <c r="A345" s="332" t="s">
        <v>18</v>
      </c>
      <c r="B345" s="409">
        <v>45563</v>
      </c>
      <c r="C345" s="410">
        <v>97</v>
      </c>
      <c r="D345" s="338"/>
      <c r="E345" s="338"/>
      <c r="F345" s="338"/>
      <c r="G345" s="337" t="s">
        <v>22</v>
      </c>
      <c r="H345" s="338">
        <v>1</v>
      </c>
      <c r="I345" s="342">
        <v>10</v>
      </c>
      <c r="J345" s="342">
        <f t="shared" si="46"/>
        <v>10</v>
      </c>
      <c r="K345" s="339">
        <v>20</v>
      </c>
      <c r="L345" s="395">
        <f t="shared" si="49"/>
        <v>200</v>
      </c>
      <c r="M345" s="336" t="s">
        <v>23</v>
      </c>
      <c r="N345" s="394"/>
      <c r="O345" s="339">
        <v>22.5</v>
      </c>
      <c r="P345" s="340">
        <f t="shared" si="48"/>
        <v>225</v>
      </c>
      <c r="Q345" s="396"/>
    </row>
    <row r="346" s="332" customFormat="1" hidden="1" spans="1:17">
      <c r="A346" s="332" t="s">
        <v>18</v>
      </c>
      <c r="B346" s="409">
        <v>45563</v>
      </c>
      <c r="C346" s="410">
        <v>97</v>
      </c>
      <c r="D346" s="338">
        <v>9806</v>
      </c>
      <c r="E346" s="338"/>
      <c r="F346" s="338"/>
      <c r="G346" s="337" t="s">
        <v>29</v>
      </c>
      <c r="H346" s="338">
        <v>10</v>
      </c>
      <c r="I346" s="338">
        <v>28</v>
      </c>
      <c r="J346" s="342">
        <f t="shared" si="46"/>
        <v>280</v>
      </c>
      <c r="K346" s="339">
        <v>10.1</v>
      </c>
      <c r="L346" s="395">
        <f t="shared" si="49"/>
        <v>2828</v>
      </c>
      <c r="M346" s="152"/>
      <c r="N346" s="394"/>
      <c r="O346" s="340">
        <v>11</v>
      </c>
      <c r="P346" s="340">
        <f t="shared" si="48"/>
        <v>3080</v>
      </c>
      <c r="Q346" s="396"/>
    </row>
    <row r="347" s="332" customFormat="1" hidden="1" spans="1:17">
      <c r="A347" s="332" t="s">
        <v>18</v>
      </c>
      <c r="B347" s="409">
        <v>45563</v>
      </c>
      <c r="C347" s="410">
        <v>97</v>
      </c>
      <c r="D347" s="338" t="s">
        <v>34</v>
      </c>
      <c r="E347" s="338"/>
      <c r="F347" s="338"/>
      <c r="G347" s="337" t="s">
        <v>35</v>
      </c>
      <c r="H347" s="338">
        <v>1</v>
      </c>
      <c r="I347" s="338">
        <v>180</v>
      </c>
      <c r="J347" s="342">
        <f t="shared" si="46"/>
        <v>180</v>
      </c>
      <c r="K347" s="339">
        <v>7</v>
      </c>
      <c r="L347" s="395">
        <f t="shared" si="49"/>
        <v>1260</v>
      </c>
      <c r="M347" s="479" t="s">
        <v>307</v>
      </c>
      <c r="N347" s="394">
        <f>SUM(L341:L347)</f>
        <v>4716</v>
      </c>
      <c r="O347" s="340">
        <v>7.5</v>
      </c>
      <c r="P347" s="340">
        <f t="shared" si="48"/>
        <v>1350</v>
      </c>
      <c r="Q347" s="396">
        <f>SUM(P341:P347)</f>
        <v>5173</v>
      </c>
    </row>
    <row r="348" s="334" customFormat="1" hidden="1" spans="1:17">
      <c r="A348" s="391" t="s">
        <v>18</v>
      </c>
      <c r="B348" s="413">
        <v>45573</v>
      </c>
      <c r="C348" s="414"/>
      <c r="D348" s="415" t="s">
        <v>308</v>
      </c>
      <c r="E348" s="415"/>
      <c r="F348" s="415"/>
      <c r="G348" s="408" t="s">
        <v>24</v>
      </c>
      <c r="H348" s="415">
        <v>9</v>
      </c>
      <c r="I348" s="415">
        <v>25</v>
      </c>
      <c r="J348" s="416">
        <f t="shared" si="46"/>
        <v>225</v>
      </c>
      <c r="K348" s="417"/>
      <c r="L348" s="418"/>
      <c r="M348" s="480"/>
      <c r="N348" s="404"/>
      <c r="O348" s="349"/>
      <c r="P348" s="412"/>
      <c r="Q348" s="405"/>
    </row>
    <row r="349" s="334" customFormat="1" hidden="1" spans="1:17">
      <c r="A349" s="334" t="s">
        <v>237</v>
      </c>
      <c r="B349" s="400">
        <v>45575</v>
      </c>
      <c r="C349" s="401">
        <v>19</v>
      </c>
      <c r="D349" s="347">
        <v>6832</v>
      </c>
      <c r="E349" s="347"/>
      <c r="F349" s="347"/>
      <c r="G349" s="348" t="s">
        <v>94</v>
      </c>
      <c r="H349" s="347">
        <v>10</v>
      </c>
      <c r="I349" s="347">
        <v>30</v>
      </c>
      <c r="J349" s="402">
        <f t="shared" si="46"/>
        <v>300</v>
      </c>
      <c r="K349" s="349">
        <v>7.2</v>
      </c>
      <c r="L349" s="403">
        <f>J349*K349</f>
        <v>2160</v>
      </c>
      <c r="M349" s="424" t="s">
        <v>309</v>
      </c>
      <c r="N349" s="404"/>
      <c r="O349" s="412">
        <v>7.5</v>
      </c>
      <c r="P349" s="412">
        <f>J349*O349</f>
        <v>2250</v>
      </c>
      <c r="Q349" s="405"/>
    </row>
    <row r="350" s="334" customFormat="1" hidden="1" spans="1:17">
      <c r="A350" s="334" t="s">
        <v>237</v>
      </c>
      <c r="B350" s="400">
        <v>45575</v>
      </c>
      <c r="C350" s="401">
        <v>19</v>
      </c>
      <c r="D350" s="347" t="s">
        <v>310</v>
      </c>
      <c r="E350" s="347"/>
      <c r="F350" s="347"/>
      <c r="G350" s="348" t="s">
        <v>35</v>
      </c>
      <c r="H350" s="347">
        <v>2</v>
      </c>
      <c r="I350" s="347">
        <v>180</v>
      </c>
      <c r="J350" s="402">
        <f t="shared" si="46"/>
        <v>360</v>
      </c>
      <c r="K350" s="349">
        <v>5.5</v>
      </c>
      <c r="L350" s="403">
        <f t="shared" ref="L350:L391" si="50">J350*K350</f>
        <v>1980</v>
      </c>
      <c r="M350" s="347"/>
      <c r="N350" s="404"/>
      <c r="O350" s="412">
        <v>6</v>
      </c>
      <c r="P350" s="412">
        <f t="shared" ref="P350:P360" si="51">J350*O350</f>
        <v>2160</v>
      </c>
      <c r="Q350" s="405"/>
    </row>
    <row r="351" s="334" customFormat="1" hidden="1" spans="1:17">
      <c r="A351" s="334" t="s">
        <v>237</v>
      </c>
      <c r="B351" s="400">
        <v>45575</v>
      </c>
      <c r="C351" s="401">
        <v>19</v>
      </c>
      <c r="D351" s="347" t="s">
        <v>311</v>
      </c>
      <c r="E351" s="347"/>
      <c r="F351" s="347"/>
      <c r="G351" s="348" t="s">
        <v>312</v>
      </c>
      <c r="H351" s="347">
        <v>3</v>
      </c>
      <c r="I351" s="347">
        <v>25</v>
      </c>
      <c r="J351" s="402">
        <f t="shared" si="46"/>
        <v>75</v>
      </c>
      <c r="K351" s="349">
        <v>8.5</v>
      </c>
      <c r="L351" s="403">
        <f t="shared" si="50"/>
        <v>637.5</v>
      </c>
      <c r="M351" s="147" t="s">
        <v>313</v>
      </c>
      <c r="N351" s="404"/>
      <c r="O351" s="412">
        <v>9</v>
      </c>
      <c r="P351" s="412">
        <f t="shared" si="51"/>
        <v>675</v>
      </c>
      <c r="Q351" s="405"/>
    </row>
    <row r="352" s="334" customFormat="1" hidden="1" spans="1:17">
      <c r="A352" s="334" t="s">
        <v>237</v>
      </c>
      <c r="B352" s="400">
        <v>45575</v>
      </c>
      <c r="C352" s="401">
        <v>19</v>
      </c>
      <c r="D352" s="347" t="s">
        <v>290</v>
      </c>
      <c r="E352" s="347"/>
      <c r="F352" s="347"/>
      <c r="G352" s="348" t="s">
        <v>123</v>
      </c>
      <c r="H352" s="347">
        <v>3</v>
      </c>
      <c r="I352" s="347">
        <v>20</v>
      </c>
      <c r="J352" s="402">
        <f t="shared" si="46"/>
        <v>60</v>
      </c>
      <c r="K352" s="349">
        <v>15.5</v>
      </c>
      <c r="L352" s="403">
        <f t="shared" si="50"/>
        <v>930</v>
      </c>
      <c r="M352" s="411" t="s">
        <v>314</v>
      </c>
      <c r="N352" s="404"/>
      <c r="O352" s="412">
        <v>17</v>
      </c>
      <c r="P352" s="412">
        <f t="shared" si="51"/>
        <v>1020</v>
      </c>
      <c r="Q352" s="405"/>
    </row>
    <row r="353" s="334" customFormat="1" hidden="1" spans="1:19">
      <c r="A353" s="334" t="s">
        <v>237</v>
      </c>
      <c r="B353" s="400">
        <v>45575</v>
      </c>
      <c r="C353" s="401">
        <v>19</v>
      </c>
      <c r="D353" s="402" t="s">
        <v>241</v>
      </c>
      <c r="E353" s="402"/>
      <c r="F353" s="402"/>
      <c r="G353" s="348" t="s">
        <v>24</v>
      </c>
      <c r="H353" s="402">
        <v>10</v>
      </c>
      <c r="I353" s="402">
        <v>25</v>
      </c>
      <c r="J353" s="402">
        <f t="shared" si="46"/>
        <v>250</v>
      </c>
      <c r="K353" s="349">
        <v>15.5</v>
      </c>
      <c r="L353" s="403">
        <f t="shared" si="50"/>
        <v>3875</v>
      </c>
      <c r="M353" s="421" t="s">
        <v>242</v>
      </c>
      <c r="N353" s="404"/>
      <c r="O353" s="349">
        <v>17</v>
      </c>
      <c r="P353" s="412">
        <f t="shared" si="51"/>
        <v>4250</v>
      </c>
      <c r="Q353" s="405"/>
    </row>
    <row r="354" s="334" customFormat="1" hidden="1" spans="1:19">
      <c r="A354" s="334" t="s">
        <v>237</v>
      </c>
      <c r="B354" s="400">
        <v>45575</v>
      </c>
      <c r="C354" s="401">
        <v>19</v>
      </c>
      <c r="D354" s="402" t="s">
        <v>284</v>
      </c>
      <c r="E354" s="402"/>
      <c r="F354" s="402"/>
      <c r="G354" s="348" t="s">
        <v>99</v>
      </c>
      <c r="H354" s="402">
        <v>10</v>
      </c>
      <c r="I354" s="402">
        <v>20</v>
      </c>
      <c r="J354" s="402">
        <f t="shared" si="46"/>
        <v>200</v>
      </c>
      <c r="K354" s="349">
        <v>15.5</v>
      </c>
      <c r="L354" s="403">
        <f t="shared" si="50"/>
        <v>3100</v>
      </c>
      <c r="M354" s="421" t="s">
        <v>285</v>
      </c>
      <c r="N354" s="404"/>
      <c r="O354" s="349">
        <v>17</v>
      </c>
      <c r="P354" s="412">
        <f t="shared" si="51"/>
        <v>3400</v>
      </c>
      <c r="Q354" s="405"/>
    </row>
    <row r="355" s="334" customFormat="1" hidden="1" spans="1:19">
      <c r="A355" s="334" t="s">
        <v>237</v>
      </c>
      <c r="B355" s="400">
        <v>45575</v>
      </c>
      <c r="C355" s="401">
        <v>19</v>
      </c>
      <c r="D355" s="402" t="s">
        <v>244</v>
      </c>
      <c r="E355" s="402"/>
      <c r="F355" s="402"/>
      <c r="G355" s="348" t="s">
        <v>141</v>
      </c>
      <c r="H355" s="402">
        <v>10</v>
      </c>
      <c r="I355" s="402">
        <v>20</v>
      </c>
      <c r="J355" s="402">
        <f t="shared" si="46"/>
        <v>200</v>
      </c>
      <c r="K355" s="349">
        <v>15.5</v>
      </c>
      <c r="L355" s="403">
        <f t="shared" si="50"/>
        <v>3100</v>
      </c>
      <c r="M355" s="411">
        <v>303</v>
      </c>
      <c r="N355" s="404"/>
      <c r="O355" s="349">
        <v>17</v>
      </c>
      <c r="P355" s="412">
        <f t="shared" si="51"/>
        <v>3400</v>
      </c>
      <c r="Q355" s="405"/>
    </row>
    <row r="356" s="389" customFormat="1" ht="19" hidden="1" customHeight="1" spans="1:19">
      <c r="A356" s="334" t="s">
        <v>237</v>
      </c>
      <c r="B356" s="400">
        <v>45575</v>
      </c>
      <c r="C356" s="401">
        <v>19</v>
      </c>
      <c r="D356" s="347"/>
      <c r="E356" s="347"/>
      <c r="F356" s="347"/>
      <c r="G356" s="348" t="s">
        <v>265</v>
      </c>
      <c r="H356" s="347">
        <v>1</v>
      </c>
      <c r="I356" s="347">
        <v>22</v>
      </c>
      <c r="J356" s="402">
        <f t="shared" si="46"/>
        <v>22</v>
      </c>
      <c r="K356" s="349">
        <v>20</v>
      </c>
      <c r="L356" s="403">
        <f t="shared" si="50"/>
        <v>440</v>
      </c>
      <c r="M356" s="472" t="s">
        <v>315</v>
      </c>
      <c r="N356" s="404"/>
      <c r="O356" s="349">
        <v>25</v>
      </c>
      <c r="P356" s="412">
        <f t="shared" si="51"/>
        <v>550</v>
      </c>
      <c r="Q356" s="405"/>
    </row>
    <row r="357" s="389" customFormat="1" ht="19" hidden="1" customHeight="1" spans="1:19">
      <c r="A357" s="334" t="s">
        <v>237</v>
      </c>
      <c r="B357" s="400">
        <v>45575</v>
      </c>
      <c r="C357" s="401">
        <v>19</v>
      </c>
      <c r="D357" s="402"/>
      <c r="E357" s="402"/>
      <c r="F357" s="402"/>
      <c r="G357" s="348" t="s">
        <v>275</v>
      </c>
      <c r="H357" s="402">
        <v>1</v>
      </c>
      <c r="I357" s="402">
        <v>22</v>
      </c>
      <c r="J357" s="402">
        <f t="shared" si="46"/>
        <v>22</v>
      </c>
      <c r="K357" s="349">
        <v>20</v>
      </c>
      <c r="L357" s="403">
        <f t="shared" si="50"/>
        <v>440</v>
      </c>
      <c r="M357" s="472" t="s">
        <v>316</v>
      </c>
      <c r="N357" s="404"/>
      <c r="O357" s="349">
        <v>25</v>
      </c>
      <c r="P357" s="412">
        <f t="shared" si="51"/>
        <v>550</v>
      </c>
      <c r="Q357" s="405"/>
    </row>
    <row r="358" s="389" customFormat="1" ht="19" hidden="1" customHeight="1" spans="1:19">
      <c r="A358" s="334" t="s">
        <v>237</v>
      </c>
      <c r="B358" s="400">
        <v>45575</v>
      </c>
      <c r="C358" s="401">
        <v>19</v>
      </c>
      <c r="D358" s="402"/>
      <c r="E358" s="402"/>
      <c r="F358" s="402"/>
      <c r="G358" s="348" t="s">
        <v>317</v>
      </c>
      <c r="H358" s="402">
        <v>1</v>
      </c>
      <c r="I358" s="402">
        <v>20</v>
      </c>
      <c r="J358" s="402">
        <f t="shared" si="46"/>
        <v>20</v>
      </c>
      <c r="K358" s="349">
        <v>20</v>
      </c>
      <c r="L358" s="403">
        <f t="shared" si="50"/>
        <v>400</v>
      </c>
      <c r="M358" s="481" t="s">
        <v>318</v>
      </c>
      <c r="N358" s="404"/>
      <c r="O358" s="349">
        <v>25</v>
      </c>
      <c r="P358" s="412">
        <f t="shared" si="51"/>
        <v>500</v>
      </c>
      <c r="Q358" s="405"/>
    </row>
    <row r="359" s="334" customFormat="1" hidden="1" spans="1:19">
      <c r="A359" s="334" t="s">
        <v>237</v>
      </c>
      <c r="B359" s="400">
        <v>45575</v>
      </c>
      <c r="C359" s="401">
        <v>19</v>
      </c>
      <c r="D359" s="347"/>
      <c r="E359" s="347"/>
      <c r="F359" s="347"/>
      <c r="G359" s="348" t="s">
        <v>319</v>
      </c>
      <c r="H359" s="347">
        <v>1</v>
      </c>
      <c r="I359" s="402">
        <v>20</v>
      </c>
      <c r="J359" s="402">
        <f t="shared" si="46"/>
        <v>20</v>
      </c>
      <c r="K359" s="349">
        <v>25</v>
      </c>
      <c r="L359" s="403">
        <f t="shared" si="50"/>
        <v>500</v>
      </c>
      <c r="M359" s="421" t="s">
        <v>320</v>
      </c>
      <c r="N359" s="404"/>
      <c r="O359" s="349">
        <v>30</v>
      </c>
      <c r="P359" s="412">
        <f t="shared" si="51"/>
        <v>600</v>
      </c>
      <c r="Q359" s="405"/>
    </row>
    <row r="360" s="389" customFormat="1" hidden="1" spans="1:19">
      <c r="A360" s="334" t="s">
        <v>237</v>
      </c>
      <c r="B360" s="400">
        <v>45575</v>
      </c>
      <c r="C360" s="401">
        <v>19</v>
      </c>
      <c r="D360" s="347"/>
      <c r="E360" s="347"/>
      <c r="F360" s="347"/>
      <c r="G360" s="348" t="s">
        <v>264</v>
      </c>
      <c r="H360" s="347">
        <v>1</v>
      </c>
      <c r="I360" s="347">
        <v>20</v>
      </c>
      <c r="J360" s="402">
        <f t="shared" si="46"/>
        <v>20</v>
      </c>
      <c r="K360" s="349">
        <v>25</v>
      </c>
      <c r="L360" s="403">
        <f t="shared" si="50"/>
        <v>500</v>
      </c>
      <c r="M360" s="472" t="s">
        <v>321</v>
      </c>
      <c r="N360" s="404">
        <f>SUM(L349:L360)</f>
        <v>18062.5</v>
      </c>
      <c r="O360" s="349">
        <v>30</v>
      </c>
      <c r="P360" s="412">
        <f t="shared" si="51"/>
        <v>600</v>
      </c>
      <c r="Q360" s="405">
        <f>SUM(P349:P360)</f>
        <v>19955</v>
      </c>
    </row>
    <row r="361" s="353" customFormat="1" hidden="1" spans="1:19">
      <c r="A361" s="332" t="s">
        <v>18</v>
      </c>
      <c r="B361" s="409">
        <v>45577</v>
      </c>
      <c r="C361" s="410"/>
      <c r="D361" s="338" t="s">
        <v>184</v>
      </c>
      <c r="E361" s="338"/>
      <c r="F361" s="338"/>
      <c r="G361" s="337" t="s">
        <v>185</v>
      </c>
      <c r="H361" s="338">
        <v>1</v>
      </c>
      <c r="I361" s="338">
        <v>4</v>
      </c>
      <c r="J361" s="342">
        <f t="shared" si="46"/>
        <v>4</v>
      </c>
      <c r="K361" s="339">
        <v>24</v>
      </c>
      <c r="L361" s="395">
        <f t="shared" si="50"/>
        <v>96</v>
      </c>
      <c r="M361" s="344" t="s">
        <v>298</v>
      </c>
      <c r="N361" s="394"/>
      <c r="O361" s="339">
        <v>28</v>
      </c>
      <c r="P361" s="340">
        <f t="shared" ref="P349:P391" si="52">J361*O361</f>
        <v>112</v>
      </c>
      <c r="Q361" s="396">
        <v>820</v>
      </c>
    </row>
    <row r="362" s="391" customFormat="1" spans="1:19">
      <c r="A362" s="391" t="s">
        <v>322</v>
      </c>
      <c r="B362" s="413">
        <v>45582</v>
      </c>
      <c r="C362" s="391" t="s">
        <v>323</v>
      </c>
      <c r="D362" s="416" t="s">
        <v>324</v>
      </c>
      <c r="E362" s="416"/>
      <c r="F362" s="416"/>
      <c r="G362" s="408" t="s">
        <v>41</v>
      </c>
      <c r="H362" s="416">
        <v>1</v>
      </c>
      <c r="I362" s="416">
        <v>25</v>
      </c>
      <c r="J362" s="416">
        <f t="shared" si="46"/>
        <v>25</v>
      </c>
      <c r="K362" s="417">
        <v>12</v>
      </c>
      <c r="L362" s="418">
        <f t="shared" si="50"/>
        <v>300</v>
      </c>
      <c r="M362" s="408" t="s">
        <v>206</v>
      </c>
      <c r="N362" s="419"/>
      <c r="O362" s="417">
        <v>15</v>
      </c>
      <c r="P362" s="469">
        <f t="shared" si="52"/>
        <v>375</v>
      </c>
      <c r="Q362" s="420"/>
    </row>
    <row r="363" s="391" customFormat="1" hidden="1" spans="1:19">
      <c r="A363" s="391" t="s">
        <v>322</v>
      </c>
      <c r="B363" s="413">
        <v>45582</v>
      </c>
      <c r="C363" s="391" t="s">
        <v>323</v>
      </c>
      <c r="D363" s="416" t="s">
        <v>325</v>
      </c>
      <c r="E363" s="416"/>
      <c r="F363" s="416"/>
      <c r="G363" s="408" t="s">
        <v>123</v>
      </c>
      <c r="H363" s="416">
        <v>1</v>
      </c>
      <c r="I363" s="416">
        <v>20</v>
      </c>
      <c r="J363" s="416">
        <f t="shared" si="46"/>
        <v>20</v>
      </c>
      <c r="K363" s="417">
        <v>14</v>
      </c>
      <c r="L363" s="418">
        <f t="shared" si="50"/>
        <v>280</v>
      </c>
      <c r="M363" s="411">
        <v>303</v>
      </c>
      <c r="N363" s="419"/>
      <c r="O363" s="417">
        <v>17</v>
      </c>
      <c r="P363" s="469">
        <f t="shared" si="52"/>
        <v>340</v>
      </c>
      <c r="Q363" s="420"/>
    </row>
    <row r="364" s="391" customFormat="1" hidden="1" spans="1:19">
      <c r="A364" s="391" t="s">
        <v>322</v>
      </c>
      <c r="B364" s="413">
        <v>45582</v>
      </c>
      <c r="C364" s="391" t="s">
        <v>323</v>
      </c>
      <c r="D364" s="415" t="s">
        <v>326</v>
      </c>
      <c r="E364" s="415"/>
      <c r="F364" s="415"/>
      <c r="G364" s="408" t="s">
        <v>37</v>
      </c>
      <c r="H364" s="416">
        <v>1</v>
      </c>
      <c r="I364" s="416">
        <v>18</v>
      </c>
      <c r="J364" s="416">
        <f t="shared" si="46"/>
        <v>18</v>
      </c>
      <c r="K364" s="417">
        <v>7</v>
      </c>
      <c r="L364" s="418">
        <f t="shared" si="50"/>
        <v>126</v>
      </c>
      <c r="M364" s="443"/>
      <c r="N364" s="482"/>
      <c r="O364" s="417">
        <v>8.5</v>
      </c>
      <c r="P364" s="469">
        <f t="shared" si="52"/>
        <v>153</v>
      </c>
      <c r="Q364" s="408"/>
      <c r="R364" s="391" t="s">
        <v>116</v>
      </c>
      <c r="S364" s="391" t="s">
        <v>117</v>
      </c>
    </row>
    <row r="365" s="391" customFormat="1" hidden="1" spans="1:19">
      <c r="A365" s="391" t="s">
        <v>322</v>
      </c>
      <c r="B365" s="413">
        <v>45582</v>
      </c>
      <c r="C365" s="391" t="s">
        <v>323</v>
      </c>
      <c r="D365" s="415"/>
      <c r="E365" s="415"/>
      <c r="F365" s="415"/>
      <c r="G365" s="408" t="s">
        <v>327</v>
      </c>
      <c r="H365" s="416">
        <v>1</v>
      </c>
      <c r="I365" s="416">
        <v>5</v>
      </c>
      <c r="J365" s="416">
        <f t="shared" si="46"/>
        <v>5</v>
      </c>
      <c r="K365" s="417">
        <v>24</v>
      </c>
      <c r="L365" s="418">
        <f t="shared" si="50"/>
        <v>120</v>
      </c>
      <c r="M365" s="443"/>
      <c r="N365" s="482"/>
      <c r="O365" s="417">
        <v>28</v>
      </c>
      <c r="P365" s="469">
        <f t="shared" si="52"/>
        <v>140</v>
      </c>
      <c r="Q365" s="408">
        <f>SUM(P362:P366)</f>
        <v>1038</v>
      </c>
    </row>
    <row r="366" s="391" customFormat="1" hidden="1" spans="1:19">
      <c r="A366" s="391" t="s">
        <v>322</v>
      </c>
      <c r="B366" s="413">
        <v>45582</v>
      </c>
      <c r="C366" s="391" t="s">
        <v>323</v>
      </c>
      <c r="D366" s="415"/>
      <c r="E366" s="415"/>
      <c r="F366" s="415"/>
      <c r="G366" s="408" t="s">
        <v>328</v>
      </c>
      <c r="H366" s="416">
        <v>5</v>
      </c>
      <c r="I366" s="416">
        <v>1</v>
      </c>
      <c r="J366" s="416">
        <f t="shared" si="46"/>
        <v>5</v>
      </c>
      <c r="K366" s="417">
        <v>6</v>
      </c>
      <c r="L366" s="418">
        <f t="shared" si="50"/>
        <v>30</v>
      </c>
      <c r="M366" s="443" t="s">
        <v>329</v>
      </c>
      <c r="N366" s="482">
        <f>SUM(L362:L366)</f>
        <v>856</v>
      </c>
      <c r="O366" s="417">
        <v>6</v>
      </c>
      <c r="P366" s="469">
        <f t="shared" si="52"/>
        <v>30</v>
      </c>
      <c r="Q366" s="408"/>
    </row>
    <row r="367" s="332" customFormat="1" hidden="1" spans="1:19">
      <c r="A367" s="332" t="s">
        <v>18</v>
      </c>
      <c r="B367" s="409">
        <v>45582</v>
      </c>
      <c r="C367" s="332" t="s">
        <v>330</v>
      </c>
      <c r="D367" s="342"/>
      <c r="E367" s="342"/>
      <c r="F367" s="342"/>
      <c r="G367" s="337" t="s">
        <v>64</v>
      </c>
      <c r="H367" s="338">
        <v>1</v>
      </c>
      <c r="I367" s="342">
        <v>4</v>
      </c>
      <c r="J367" s="342">
        <f t="shared" si="46"/>
        <v>4</v>
      </c>
      <c r="K367" s="339">
        <v>20</v>
      </c>
      <c r="L367" s="395">
        <f t="shared" si="50"/>
        <v>80</v>
      </c>
      <c r="M367" s="336" t="s">
        <v>331</v>
      </c>
      <c r="N367" s="394"/>
      <c r="O367" s="339">
        <v>22.5</v>
      </c>
      <c r="P367" s="340">
        <f t="shared" si="52"/>
        <v>90</v>
      </c>
      <c r="Q367" s="396"/>
    </row>
    <row r="368" s="332" customFormat="1" spans="1:19">
      <c r="A368" s="332" t="s">
        <v>18</v>
      </c>
      <c r="B368" s="409">
        <v>45582</v>
      </c>
      <c r="C368" s="332" t="s">
        <v>330</v>
      </c>
      <c r="D368" s="342" t="s">
        <v>73</v>
      </c>
      <c r="E368" s="342"/>
      <c r="F368" s="342"/>
      <c r="G368" s="337" t="s">
        <v>41</v>
      </c>
      <c r="H368" s="342">
        <v>1</v>
      </c>
      <c r="I368" s="342">
        <v>25</v>
      </c>
      <c r="J368" s="342">
        <f t="shared" si="46"/>
        <v>25</v>
      </c>
      <c r="K368" s="339">
        <v>14.5</v>
      </c>
      <c r="L368" s="395">
        <f t="shared" si="50"/>
        <v>362.5</v>
      </c>
      <c r="M368" s="337" t="s">
        <v>332</v>
      </c>
      <c r="N368" s="394"/>
      <c r="O368" s="339">
        <v>17</v>
      </c>
      <c r="P368" s="340">
        <f t="shared" si="52"/>
        <v>425</v>
      </c>
      <c r="Q368" s="396"/>
    </row>
    <row r="369" s="332" customFormat="1" hidden="1" spans="1:17">
      <c r="A369" s="332" t="s">
        <v>18</v>
      </c>
      <c r="B369" s="409">
        <v>45582</v>
      </c>
      <c r="C369" s="332" t="s">
        <v>330</v>
      </c>
      <c r="D369" s="342">
        <v>1013</v>
      </c>
      <c r="E369" s="342"/>
      <c r="F369" s="342"/>
      <c r="G369" s="337" t="s">
        <v>333</v>
      </c>
      <c r="H369" s="342">
        <v>1</v>
      </c>
      <c r="I369" s="342">
        <v>21</v>
      </c>
      <c r="J369" s="342">
        <f t="shared" si="46"/>
        <v>21</v>
      </c>
      <c r="K369" s="339">
        <v>20</v>
      </c>
      <c r="L369" s="395">
        <f t="shared" si="50"/>
        <v>420</v>
      </c>
      <c r="M369" s="483" t="s">
        <v>334</v>
      </c>
      <c r="N369" s="394"/>
      <c r="O369" s="339">
        <v>22.5</v>
      </c>
      <c r="P369" s="340">
        <f t="shared" si="52"/>
        <v>472.5</v>
      </c>
      <c r="Q369" s="396"/>
    </row>
    <row r="370" s="332" customFormat="1" hidden="1" spans="1:17">
      <c r="A370" s="332" t="s">
        <v>18</v>
      </c>
      <c r="B370" s="409">
        <v>45582</v>
      </c>
      <c r="C370" s="332" t="s">
        <v>330</v>
      </c>
      <c r="D370" s="338" t="s">
        <v>34</v>
      </c>
      <c r="E370" s="338"/>
      <c r="F370" s="338"/>
      <c r="G370" s="337" t="s">
        <v>35</v>
      </c>
      <c r="H370" s="338">
        <v>1</v>
      </c>
      <c r="I370" s="338">
        <v>180</v>
      </c>
      <c r="J370" s="342">
        <f t="shared" si="46"/>
        <v>180</v>
      </c>
      <c r="K370" s="339">
        <v>7</v>
      </c>
      <c r="L370" s="395">
        <f t="shared" si="50"/>
        <v>1260</v>
      </c>
      <c r="M370" s="480"/>
      <c r="N370" s="394">
        <f>SUM(L367:L370)</f>
        <v>2122.5</v>
      </c>
      <c r="O370" s="340">
        <v>7.5</v>
      </c>
      <c r="P370" s="340">
        <f t="shared" si="52"/>
        <v>1350</v>
      </c>
      <c r="Q370" s="396">
        <f>SUM(P367:P370)</f>
        <v>2337.5</v>
      </c>
    </row>
    <row r="371" s="334" customFormat="1" hidden="1" spans="1:17">
      <c r="A371" s="334" t="s">
        <v>237</v>
      </c>
      <c r="B371" s="400">
        <v>45584</v>
      </c>
      <c r="C371" s="401">
        <v>54</v>
      </c>
      <c r="D371" s="347" t="s">
        <v>310</v>
      </c>
      <c r="E371" s="347"/>
      <c r="F371" s="347"/>
      <c r="G371" s="348" t="s">
        <v>35</v>
      </c>
      <c r="H371" s="347">
        <v>2</v>
      </c>
      <c r="I371" s="347">
        <v>180</v>
      </c>
      <c r="J371" s="402">
        <f t="shared" si="46"/>
        <v>360</v>
      </c>
      <c r="K371" s="349">
        <v>5.5</v>
      </c>
      <c r="L371" s="403">
        <f t="shared" si="50"/>
        <v>1980</v>
      </c>
      <c r="M371" s="347"/>
      <c r="N371" s="404"/>
      <c r="O371" s="412">
        <v>6</v>
      </c>
      <c r="P371" s="412">
        <f t="shared" si="52"/>
        <v>2160</v>
      </c>
      <c r="Q371" s="405"/>
    </row>
    <row r="372" s="334" customFormat="1" hidden="1" spans="1:17">
      <c r="A372" s="334" t="s">
        <v>237</v>
      </c>
      <c r="B372" s="400">
        <v>45584</v>
      </c>
      <c r="C372" s="401">
        <v>54</v>
      </c>
      <c r="D372" s="347" t="s">
        <v>247</v>
      </c>
      <c r="E372" s="347"/>
      <c r="F372" s="347"/>
      <c r="G372" s="348" t="s">
        <v>248</v>
      </c>
      <c r="H372" s="347">
        <v>2</v>
      </c>
      <c r="I372" s="347">
        <v>180</v>
      </c>
      <c r="J372" s="402">
        <f t="shared" si="46"/>
        <v>360</v>
      </c>
      <c r="K372" s="349">
        <v>8</v>
      </c>
      <c r="L372" s="403">
        <f t="shared" si="50"/>
        <v>2880</v>
      </c>
      <c r="M372" s="425"/>
      <c r="N372" s="404">
        <f>SUM(L371:L372)</f>
        <v>4860</v>
      </c>
      <c r="O372" s="412">
        <v>8.5</v>
      </c>
      <c r="P372" s="412">
        <f t="shared" si="52"/>
        <v>3060</v>
      </c>
      <c r="Q372" s="405"/>
    </row>
    <row r="373" s="332" customFormat="1" hidden="1" spans="1:17">
      <c r="A373" s="332" t="s">
        <v>18</v>
      </c>
      <c r="B373" s="409">
        <v>45589</v>
      </c>
      <c r="C373" s="410">
        <v>68</v>
      </c>
      <c r="D373" s="338" t="s">
        <v>51</v>
      </c>
      <c r="E373" s="338"/>
      <c r="F373" s="338"/>
      <c r="G373" s="337" t="s">
        <v>39</v>
      </c>
      <c r="H373" s="338">
        <v>1</v>
      </c>
      <c r="I373" s="338">
        <v>180</v>
      </c>
      <c r="J373" s="342">
        <f t="shared" si="46"/>
        <v>180</v>
      </c>
      <c r="K373" s="339">
        <v>9.5</v>
      </c>
      <c r="L373" s="395">
        <f t="shared" si="50"/>
        <v>1710</v>
      </c>
      <c r="M373" s="338"/>
      <c r="N373" s="394"/>
      <c r="O373" s="340">
        <v>10.5</v>
      </c>
      <c r="P373" s="340">
        <f t="shared" si="52"/>
        <v>1890</v>
      </c>
      <c r="Q373" s="396"/>
    </row>
    <row r="374" s="332" customFormat="1" hidden="1" spans="1:17">
      <c r="A374" s="332" t="s">
        <v>18</v>
      </c>
      <c r="B374" s="409">
        <v>45589</v>
      </c>
      <c r="C374" s="410">
        <v>68</v>
      </c>
      <c r="D374" s="338" t="s">
        <v>31</v>
      </c>
      <c r="E374" s="338"/>
      <c r="F374" s="338"/>
      <c r="G374" s="337" t="s">
        <v>32</v>
      </c>
      <c r="H374" s="338">
        <v>5</v>
      </c>
      <c r="I374" s="338">
        <v>25</v>
      </c>
      <c r="J374" s="342">
        <v>125</v>
      </c>
      <c r="K374" s="339">
        <v>13</v>
      </c>
      <c r="L374" s="395">
        <f t="shared" si="50"/>
        <v>1625</v>
      </c>
      <c r="M374" s="341" t="s">
        <v>33</v>
      </c>
      <c r="N374" s="394">
        <f>SUM(L373:L374)</f>
        <v>3335</v>
      </c>
      <c r="O374" s="340">
        <v>14.5</v>
      </c>
      <c r="P374" s="340">
        <f t="shared" si="52"/>
        <v>1812.5</v>
      </c>
      <c r="Q374" s="396"/>
    </row>
    <row r="375" s="334" customFormat="1" hidden="1" spans="1:17">
      <c r="A375" s="334" t="s">
        <v>18</v>
      </c>
      <c r="B375" s="400">
        <v>45591</v>
      </c>
      <c r="C375" s="401">
        <v>78</v>
      </c>
      <c r="D375" s="347" t="s">
        <v>245</v>
      </c>
      <c r="E375" s="347"/>
      <c r="F375" s="347"/>
      <c r="G375" s="348" t="s">
        <v>246</v>
      </c>
      <c r="H375" s="347">
        <v>1</v>
      </c>
      <c r="I375" s="347">
        <v>2</v>
      </c>
      <c r="J375" s="402">
        <f t="shared" ref="J375:J391" si="53">H375*I375</f>
        <v>2</v>
      </c>
      <c r="K375" s="349">
        <v>20</v>
      </c>
      <c r="L375" s="403">
        <f t="shared" si="50"/>
        <v>40</v>
      </c>
      <c r="M375" s="425"/>
      <c r="N375" s="404"/>
      <c r="O375" s="412">
        <v>22.5</v>
      </c>
      <c r="P375" s="412">
        <f t="shared" si="52"/>
        <v>45</v>
      </c>
      <c r="Q375" s="405"/>
    </row>
    <row r="376" s="334" customFormat="1" hidden="1" spans="1:17">
      <c r="A376" s="334" t="s">
        <v>18</v>
      </c>
      <c r="B376" s="400">
        <v>45591</v>
      </c>
      <c r="C376" s="401">
        <v>78</v>
      </c>
      <c r="D376" s="347">
        <v>9806</v>
      </c>
      <c r="E376" s="347"/>
      <c r="F376" s="347"/>
      <c r="G376" s="348" t="s">
        <v>29</v>
      </c>
      <c r="H376" s="347">
        <v>10</v>
      </c>
      <c r="I376" s="347">
        <v>28</v>
      </c>
      <c r="J376" s="402">
        <f t="shared" si="53"/>
        <v>280</v>
      </c>
      <c r="K376" s="349">
        <v>10.1</v>
      </c>
      <c r="L376" s="403">
        <f t="shared" si="50"/>
        <v>2828</v>
      </c>
      <c r="M376" s="424">
        <f>SUM(L375:L376)</f>
        <v>2868</v>
      </c>
      <c r="N376" s="404">
        <f>SUM(L375:L376)</f>
        <v>2868</v>
      </c>
      <c r="O376" s="412">
        <v>11</v>
      </c>
      <c r="P376" s="412">
        <f t="shared" si="52"/>
        <v>3080</v>
      </c>
      <c r="Q376" s="405"/>
    </row>
    <row r="377" s="332" customFormat="1" hidden="1" spans="1:17">
      <c r="A377" s="332" t="s">
        <v>18</v>
      </c>
      <c r="B377" s="409">
        <v>45593</v>
      </c>
      <c r="C377" s="410">
        <v>82</v>
      </c>
      <c r="D377" s="338"/>
      <c r="E377" s="338"/>
      <c r="F377" s="338"/>
      <c r="G377" s="337" t="s">
        <v>53</v>
      </c>
      <c r="H377" s="338">
        <v>1</v>
      </c>
      <c r="I377" s="342">
        <v>20</v>
      </c>
      <c r="J377" s="342">
        <f t="shared" si="53"/>
        <v>20</v>
      </c>
      <c r="K377" s="339">
        <v>20</v>
      </c>
      <c r="L377" s="395">
        <f t="shared" si="50"/>
        <v>400</v>
      </c>
      <c r="M377" s="467" t="s">
        <v>201</v>
      </c>
      <c r="N377" s="394"/>
      <c r="O377" s="339">
        <v>22.5</v>
      </c>
      <c r="P377" s="340">
        <f t="shared" si="52"/>
        <v>450</v>
      </c>
      <c r="Q377" s="396"/>
    </row>
    <row r="378" s="332" customFormat="1" hidden="1" spans="1:17">
      <c r="A378" s="332" t="s">
        <v>18</v>
      </c>
      <c r="B378" s="409">
        <v>45593</v>
      </c>
      <c r="C378" s="410">
        <v>82</v>
      </c>
      <c r="D378" s="338"/>
      <c r="E378" s="338"/>
      <c r="F378" s="338"/>
      <c r="G378" s="337" t="s">
        <v>22</v>
      </c>
      <c r="H378" s="338">
        <v>3</v>
      </c>
      <c r="I378" s="342">
        <v>10</v>
      </c>
      <c r="J378" s="342">
        <f t="shared" si="53"/>
        <v>30</v>
      </c>
      <c r="K378" s="339">
        <v>20</v>
      </c>
      <c r="L378" s="395">
        <f t="shared" si="50"/>
        <v>600</v>
      </c>
      <c r="M378" s="336" t="s">
        <v>23</v>
      </c>
      <c r="N378" s="394"/>
      <c r="O378" s="339">
        <v>22.5</v>
      </c>
      <c r="P378" s="340">
        <f t="shared" si="52"/>
        <v>675</v>
      </c>
      <c r="Q378" s="396"/>
    </row>
    <row r="379" s="332" customFormat="1" hidden="1" spans="1:17">
      <c r="A379" s="332" t="s">
        <v>18</v>
      </c>
      <c r="B379" s="409">
        <v>45593</v>
      </c>
      <c r="C379" s="410">
        <v>82</v>
      </c>
      <c r="D379" s="338" t="s">
        <v>98</v>
      </c>
      <c r="E379" s="338"/>
      <c r="F379" s="338"/>
      <c r="G379" s="337" t="s">
        <v>99</v>
      </c>
      <c r="H379" s="338">
        <v>1</v>
      </c>
      <c r="I379" s="338">
        <v>20</v>
      </c>
      <c r="J379" s="342">
        <f t="shared" si="53"/>
        <v>20</v>
      </c>
      <c r="K379" s="339">
        <v>18</v>
      </c>
      <c r="L379" s="395">
        <f t="shared" si="50"/>
        <v>360</v>
      </c>
      <c r="M379" s="337" t="s">
        <v>335</v>
      </c>
      <c r="N379" s="394"/>
      <c r="O379" s="339">
        <v>22.5</v>
      </c>
      <c r="P379" s="340">
        <f t="shared" si="52"/>
        <v>450</v>
      </c>
      <c r="Q379" s="396"/>
    </row>
    <row r="380" s="332" customFormat="1" hidden="1" spans="1:17">
      <c r="A380" s="332" t="s">
        <v>18</v>
      </c>
      <c r="B380" s="409">
        <v>45593</v>
      </c>
      <c r="C380" s="410">
        <v>82</v>
      </c>
      <c r="D380" s="338" t="s">
        <v>20</v>
      </c>
      <c r="E380" s="338"/>
      <c r="F380" s="338"/>
      <c r="G380" s="337" t="s">
        <v>21</v>
      </c>
      <c r="H380" s="338">
        <v>1</v>
      </c>
      <c r="I380" s="338">
        <v>12</v>
      </c>
      <c r="J380" s="342">
        <f t="shared" si="53"/>
        <v>12</v>
      </c>
      <c r="K380" s="339">
        <v>26</v>
      </c>
      <c r="L380" s="395">
        <f t="shared" si="50"/>
        <v>312</v>
      </c>
      <c r="M380" s="338"/>
      <c r="N380" s="394"/>
      <c r="O380" s="339">
        <v>28</v>
      </c>
      <c r="P380" s="340">
        <f t="shared" si="52"/>
        <v>336</v>
      </c>
      <c r="Q380" s="396"/>
    </row>
    <row r="381" s="332" customFormat="1" hidden="1" spans="1:17">
      <c r="A381" s="332" t="s">
        <v>18</v>
      </c>
      <c r="B381" s="409">
        <v>45593</v>
      </c>
      <c r="C381" s="410">
        <v>82</v>
      </c>
      <c r="D381" s="338" t="s">
        <v>34</v>
      </c>
      <c r="E381" s="338"/>
      <c r="F381" s="338"/>
      <c r="G381" s="337" t="s">
        <v>35</v>
      </c>
      <c r="H381" s="338">
        <v>1</v>
      </c>
      <c r="I381" s="338">
        <v>180</v>
      </c>
      <c r="J381" s="342">
        <f t="shared" si="53"/>
        <v>180</v>
      </c>
      <c r="K381" s="339">
        <v>7</v>
      </c>
      <c r="L381" s="395">
        <f t="shared" si="50"/>
        <v>1260</v>
      </c>
      <c r="M381" s="484"/>
      <c r="N381" s="394">
        <f>SUM(L377:L381)</f>
        <v>2932</v>
      </c>
      <c r="O381" s="340">
        <v>7.5</v>
      </c>
      <c r="P381" s="340">
        <f t="shared" si="52"/>
        <v>1350</v>
      </c>
      <c r="Q381" s="396">
        <f>SUM(P377:P381)</f>
        <v>3261</v>
      </c>
    </row>
    <row r="382" s="334" customFormat="1" hidden="1" spans="1:17">
      <c r="A382" s="334" t="s">
        <v>237</v>
      </c>
      <c r="B382" s="400">
        <v>45595</v>
      </c>
      <c r="C382" s="401">
        <v>97</v>
      </c>
      <c r="D382" s="402" t="s">
        <v>241</v>
      </c>
      <c r="E382" s="402"/>
      <c r="F382" s="402"/>
      <c r="G382" s="348" t="s">
        <v>24</v>
      </c>
      <c r="H382" s="402">
        <v>5</v>
      </c>
      <c r="I382" s="402">
        <v>25</v>
      </c>
      <c r="J382" s="402">
        <f t="shared" si="53"/>
        <v>125</v>
      </c>
      <c r="K382" s="349">
        <v>15.5</v>
      </c>
      <c r="L382" s="403">
        <f t="shared" si="50"/>
        <v>1937.5</v>
      </c>
      <c r="M382" s="421" t="s">
        <v>242</v>
      </c>
      <c r="N382" s="404"/>
      <c r="O382" s="349">
        <v>17</v>
      </c>
      <c r="P382" s="412">
        <f t="shared" si="52"/>
        <v>2125</v>
      </c>
      <c r="Q382" s="405"/>
    </row>
    <row r="383" s="334" customFormat="1" hidden="1" spans="1:17">
      <c r="A383" s="334" t="s">
        <v>237</v>
      </c>
      <c r="B383" s="400">
        <v>45595</v>
      </c>
      <c r="C383" s="401">
        <v>97</v>
      </c>
      <c r="D383" s="402" t="s">
        <v>244</v>
      </c>
      <c r="E383" s="402"/>
      <c r="F383" s="402"/>
      <c r="G383" s="348" t="s">
        <v>141</v>
      </c>
      <c r="H383" s="402">
        <v>3</v>
      </c>
      <c r="I383" s="402">
        <v>20</v>
      </c>
      <c r="J383" s="402">
        <f t="shared" si="53"/>
        <v>60</v>
      </c>
      <c r="K383" s="349">
        <v>15.5</v>
      </c>
      <c r="L383" s="403">
        <f t="shared" si="50"/>
        <v>930</v>
      </c>
      <c r="M383" s="411">
        <v>303</v>
      </c>
      <c r="N383" s="404">
        <f>SUM(L382:L383)</f>
        <v>2867.5</v>
      </c>
      <c r="O383" s="349">
        <v>17</v>
      </c>
      <c r="P383" s="412">
        <f t="shared" si="52"/>
        <v>1020</v>
      </c>
      <c r="Q383" s="405"/>
    </row>
    <row r="384" s="391" customFormat="1" hidden="1" spans="1:17">
      <c r="A384" s="391" t="s">
        <v>322</v>
      </c>
      <c r="B384" s="413">
        <v>45596</v>
      </c>
      <c r="C384" s="414" t="s">
        <v>189</v>
      </c>
      <c r="D384" s="415"/>
      <c r="E384" s="415"/>
      <c r="F384" s="415"/>
      <c r="G384" s="408" t="s">
        <v>336</v>
      </c>
      <c r="H384" s="415">
        <v>1</v>
      </c>
      <c r="I384" s="415">
        <v>10</v>
      </c>
      <c r="J384" s="416">
        <f t="shared" si="53"/>
        <v>10</v>
      </c>
      <c r="K384" s="417">
        <v>17</v>
      </c>
      <c r="L384" s="418">
        <f t="shared" si="50"/>
        <v>170</v>
      </c>
      <c r="M384" s="480" t="s">
        <v>337</v>
      </c>
      <c r="N384" s="419">
        <f>L384</f>
        <v>170</v>
      </c>
      <c r="O384" s="469">
        <v>21</v>
      </c>
      <c r="P384" s="469">
        <f t="shared" si="52"/>
        <v>210</v>
      </c>
      <c r="Q384" s="420"/>
    </row>
    <row r="385" s="334" customFormat="1" hidden="1" spans="1:17">
      <c r="A385" s="334" t="s">
        <v>237</v>
      </c>
      <c r="B385" s="400">
        <v>45600</v>
      </c>
      <c r="C385" s="401">
        <v>3</v>
      </c>
      <c r="D385" s="347">
        <v>6832</v>
      </c>
      <c r="E385" s="347"/>
      <c r="F385" s="347"/>
      <c r="G385" s="348" t="s">
        <v>94</v>
      </c>
      <c r="H385" s="347">
        <v>20</v>
      </c>
      <c r="I385" s="347">
        <v>30</v>
      </c>
      <c r="J385" s="402">
        <f t="shared" si="53"/>
        <v>600</v>
      </c>
      <c r="K385" s="349">
        <v>7.2</v>
      </c>
      <c r="L385" s="403">
        <f t="shared" si="50"/>
        <v>4320</v>
      </c>
      <c r="M385" s="424" t="s">
        <v>309</v>
      </c>
      <c r="N385" s="404"/>
      <c r="O385" s="412">
        <v>7.5</v>
      </c>
      <c r="P385" s="412">
        <f t="shared" si="52"/>
        <v>4500</v>
      </c>
      <c r="Q385" s="405"/>
    </row>
    <row r="386" s="334" customFormat="1" hidden="1" spans="1:17">
      <c r="A386" s="334" t="s">
        <v>237</v>
      </c>
      <c r="B386" s="400">
        <v>45600</v>
      </c>
      <c r="C386" s="401">
        <v>3</v>
      </c>
      <c r="D386" s="347" t="s">
        <v>311</v>
      </c>
      <c r="E386" s="347"/>
      <c r="F386" s="347"/>
      <c r="G386" s="348" t="s">
        <v>312</v>
      </c>
      <c r="H386" s="347">
        <v>4</v>
      </c>
      <c r="I386" s="347">
        <v>25</v>
      </c>
      <c r="J386" s="402">
        <f t="shared" si="53"/>
        <v>100</v>
      </c>
      <c r="K386" s="349">
        <v>8.5</v>
      </c>
      <c r="L386" s="403">
        <f t="shared" si="50"/>
        <v>850</v>
      </c>
      <c r="M386" s="147" t="s">
        <v>313</v>
      </c>
      <c r="N386" s="404"/>
      <c r="O386" s="412">
        <v>9</v>
      </c>
      <c r="P386" s="412">
        <f t="shared" si="52"/>
        <v>900</v>
      </c>
      <c r="Q386" s="405"/>
    </row>
    <row r="387" s="334" customFormat="1" hidden="1" spans="1:17">
      <c r="A387" s="334" t="s">
        <v>237</v>
      </c>
      <c r="B387" s="400">
        <v>45600</v>
      </c>
      <c r="C387" s="401">
        <v>3</v>
      </c>
      <c r="D387" s="347" t="s">
        <v>290</v>
      </c>
      <c r="E387" s="347"/>
      <c r="F387" s="347"/>
      <c r="G387" s="348" t="s">
        <v>123</v>
      </c>
      <c r="H387" s="347">
        <v>4</v>
      </c>
      <c r="I387" s="347">
        <v>20</v>
      </c>
      <c r="J387" s="402">
        <f t="shared" ref="J387:J397" si="54">H387*I387</f>
        <v>80</v>
      </c>
      <c r="K387" s="349">
        <v>15.5</v>
      </c>
      <c r="L387" s="403">
        <f t="shared" ref="L387:L397" si="55">J387*K387</f>
        <v>1240</v>
      </c>
      <c r="M387" s="411" t="s">
        <v>314</v>
      </c>
      <c r="N387" s="404"/>
      <c r="O387" s="412">
        <v>17</v>
      </c>
      <c r="P387" s="412">
        <f t="shared" ref="P387:P410" si="56">J387*O387</f>
        <v>1360</v>
      </c>
      <c r="Q387" s="405"/>
    </row>
    <row r="388" s="334" customFormat="1" hidden="1" spans="1:17">
      <c r="A388" s="334" t="s">
        <v>237</v>
      </c>
      <c r="B388" s="400">
        <v>45600</v>
      </c>
      <c r="C388" s="401">
        <v>3</v>
      </c>
      <c r="D388" s="402" t="s">
        <v>241</v>
      </c>
      <c r="E388" s="402"/>
      <c r="F388" s="402"/>
      <c r="G388" s="348" t="s">
        <v>24</v>
      </c>
      <c r="H388" s="402">
        <v>10</v>
      </c>
      <c r="I388" s="402">
        <v>25</v>
      </c>
      <c r="J388" s="402">
        <f t="shared" si="54"/>
        <v>250</v>
      </c>
      <c r="K388" s="349">
        <v>15.5</v>
      </c>
      <c r="L388" s="403">
        <f t="shared" si="55"/>
        <v>3875</v>
      </c>
      <c r="M388" s="421" t="s">
        <v>242</v>
      </c>
      <c r="N388" s="404"/>
      <c r="O388" s="349">
        <v>17</v>
      </c>
      <c r="P388" s="412">
        <f t="shared" si="56"/>
        <v>4250</v>
      </c>
      <c r="Q388" s="405"/>
    </row>
    <row r="389" s="334" customFormat="1" hidden="1" spans="1:17">
      <c r="A389" s="334" t="s">
        <v>237</v>
      </c>
      <c r="B389" s="400">
        <v>45600</v>
      </c>
      <c r="C389" s="401">
        <v>3</v>
      </c>
      <c r="D389" s="402" t="s">
        <v>284</v>
      </c>
      <c r="E389" s="402"/>
      <c r="F389" s="402"/>
      <c r="G389" s="348" t="s">
        <v>99</v>
      </c>
      <c r="H389" s="402">
        <v>10</v>
      </c>
      <c r="I389" s="402">
        <v>20</v>
      </c>
      <c r="J389" s="402">
        <f t="shared" si="54"/>
        <v>200</v>
      </c>
      <c r="K389" s="349">
        <v>15.5</v>
      </c>
      <c r="L389" s="403">
        <f t="shared" si="55"/>
        <v>3100</v>
      </c>
      <c r="M389" s="421" t="s">
        <v>285</v>
      </c>
      <c r="N389" s="404"/>
      <c r="O389" s="349">
        <v>17</v>
      </c>
      <c r="P389" s="412">
        <f t="shared" si="56"/>
        <v>3400</v>
      </c>
      <c r="Q389" s="405"/>
    </row>
    <row r="390" s="334" customFormat="1" hidden="1" spans="1:17">
      <c r="A390" s="334" t="s">
        <v>237</v>
      </c>
      <c r="B390" s="400">
        <v>45600</v>
      </c>
      <c r="C390" s="401">
        <v>3</v>
      </c>
      <c r="D390" s="402" t="s">
        <v>244</v>
      </c>
      <c r="E390" s="402"/>
      <c r="F390" s="402"/>
      <c r="G390" s="348" t="s">
        <v>141</v>
      </c>
      <c r="H390" s="402">
        <v>12</v>
      </c>
      <c r="I390" s="402">
        <v>20</v>
      </c>
      <c r="J390" s="402">
        <f t="shared" si="54"/>
        <v>240</v>
      </c>
      <c r="K390" s="349">
        <v>15.5</v>
      </c>
      <c r="L390" s="403">
        <f t="shared" si="55"/>
        <v>3720</v>
      </c>
      <c r="M390" s="411">
        <v>303</v>
      </c>
      <c r="N390" s="404"/>
      <c r="O390" s="349">
        <v>17</v>
      </c>
      <c r="P390" s="412">
        <f t="shared" si="56"/>
        <v>4080</v>
      </c>
      <c r="Q390" s="405"/>
    </row>
    <row r="391" s="334" customFormat="1" hidden="1" spans="1:17">
      <c r="A391" s="334" t="s">
        <v>237</v>
      </c>
      <c r="B391" s="400">
        <v>45600</v>
      </c>
      <c r="C391" s="401">
        <v>3</v>
      </c>
      <c r="D391" s="347" t="s">
        <v>310</v>
      </c>
      <c r="E391" s="347"/>
      <c r="F391" s="347"/>
      <c r="G391" s="348" t="s">
        <v>35</v>
      </c>
      <c r="H391" s="347">
        <v>2</v>
      </c>
      <c r="I391" s="347">
        <v>180</v>
      </c>
      <c r="J391" s="402">
        <f t="shared" si="54"/>
        <v>360</v>
      </c>
      <c r="K391" s="349">
        <v>5.5</v>
      </c>
      <c r="L391" s="403">
        <f t="shared" si="55"/>
        <v>1980</v>
      </c>
      <c r="M391" s="347"/>
      <c r="N391" s="404"/>
      <c r="O391" s="412">
        <v>6</v>
      </c>
      <c r="P391" s="412">
        <f t="shared" si="56"/>
        <v>2160</v>
      </c>
      <c r="Q391" s="405"/>
    </row>
    <row r="392" s="334" customFormat="1" hidden="1" spans="1:17">
      <c r="A392" s="334" t="s">
        <v>237</v>
      </c>
      <c r="B392" s="400">
        <v>45600</v>
      </c>
      <c r="C392" s="401">
        <v>3</v>
      </c>
      <c r="D392" s="347" t="s">
        <v>247</v>
      </c>
      <c r="E392" s="347"/>
      <c r="F392" s="347"/>
      <c r="G392" s="348" t="s">
        <v>248</v>
      </c>
      <c r="H392" s="347">
        <v>2</v>
      </c>
      <c r="I392" s="347">
        <v>180</v>
      </c>
      <c r="J392" s="402">
        <f t="shared" si="54"/>
        <v>360</v>
      </c>
      <c r="K392" s="349">
        <v>8</v>
      </c>
      <c r="L392" s="403">
        <f t="shared" si="55"/>
        <v>2880</v>
      </c>
      <c r="M392" s="425"/>
      <c r="N392" s="404">
        <f>SUM(L385:L392)</f>
        <v>21965</v>
      </c>
      <c r="O392" s="412">
        <v>8.5</v>
      </c>
      <c r="P392" s="412">
        <f t="shared" si="56"/>
        <v>3060</v>
      </c>
      <c r="Q392" s="405">
        <f>SUM(P385:P392)</f>
        <v>23710</v>
      </c>
    </row>
    <row r="393" s="353" customFormat="1" ht="19" hidden="1" customHeight="1" spans="1:17">
      <c r="A393" s="332" t="s">
        <v>237</v>
      </c>
      <c r="B393" s="409">
        <v>45601</v>
      </c>
      <c r="C393" s="410">
        <v>9</v>
      </c>
      <c r="D393" s="342"/>
      <c r="E393" s="342"/>
      <c r="F393" s="342"/>
      <c r="G393" s="337" t="s">
        <v>275</v>
      </c>
      <c r="H393" s="342">
        <v>1</v>
      </c>
      <c r="I393" s="342">
        <v>22</v>
      </c>
      <c r="J393" s="342">
        <f t="shared" si="54"/>
        <v>22</v>
      </c>
      <c r="K393" s="339">
        <v>20</v>
      </c>
      <c r="L393" s="395">
        <f t="shared" si="55"/>
        <v>440</v>
      </c>
      <c r="M393" s="485" t="s">
        <v>338</v>
      </c>
      <c r="N393" s="394"/>
      <c r="O393" s="339">
        <v>25</v>
      </c>
      <c r="P393" s="340">
        <f t="shared" si="56"/>
        <v>550</v>
      </c>
      <c r="Q393" s="396"/>
    </row>
    <row r="394" s="332" customFormat="1" hidden="1" spans="1:17">
      <c r="A394" s="332" t="s">
        <v>237</v>
      </c>
      <c r="B394" s="409">
        <v>45601</v>
      </c>
      <c r="C394" s="410">
        <v>9</v>
      </c>
      <c r="D394" s="342" t="s">
        <v>339</v>
      </c>
      <c r="E394" s="342"/>
      <c r="F394" s="342"/>
      <c r="G394" s="337" t="s">
        <v>340</v>
      </c>
      <c r="H394" s="342">
        <v>1</v>
      </c>
      <c r="I394" s="342">
        <v>26</v>
      </c>
      <c r="J394" s="342">
        <f t="shared" si="54"/>
        <v>26</v>
      </c>
      <c r="K394" s="339">
        <v>17.5</v>
      </c>
      <c r="L394" s="395">
        <f t="shared" si="55"/>
        <v>455</v>
      </c>
      <c r="M394" s="344" t="s">
        <v>341</v>
      </c>
      <c r="N394" s="394" t="s">
        <v>243</v>
      </c>
      <c r="O394" s="339">
        <v>19</v>
      </c>
      <c r="P394" s="340">
        <f t="shared" si="56"/>
        <v>494</v>
      </c>
      <c r="Q394" s="396"/>
    </row>
    <row r="395" s="332" customFormat="1" hidden="1" spans="1:17">
      <c r="A395" s="332" t="s">
        <v>237</v>
      </c>
      <c r="B395" s="409">
        <v>45601</v>
      </c>
      <c r="C395" s="410">
        <v>9</v>
      </c>
      <c r="D395" s="338" t="s">
        <v>342</v>
      </c>
      <c r="E395" s="338"/>
      <c r="F395" s="338"/>
      <c r="G395" s="332" t="s">
        <v>343</v>
      </c>
      <c r="H395" s="338">
        <v>1</v>
      </c>
      <c r="I395" s="338">
        <v>20</v>
      </c>
      <c r="J395" s="342">
        <f t="shared" si="54"/>
        <v>20</v>
      </c>
      <c r="K395" s="339">
        <v>18.5</v>
      </c>
      <c r="L395" s="395">
        <f t="shared" si="55"/>
        <v>370</v>
      </c>
      <c r="M395" s="343" t="s">
        <v>344</v>
      </c>
      <c r="N395" s="394"/>
      <c r="O395" s="340">
        <v>20</v>
      </c>
      <c r="P395" s="340">
        <f t="shared" si="56"/>
        <v>400</v>
      </c>
      <c r="Q395" s="396"/>
    </row>
    <row r="396" s="332" customFormat="1" hidden="1" spans="1:17">
      <c r="A396" s="332" t="s">
        <v>237</v>
      </c>
      <c r="B396" s="409">
        <v>45601</v>
      </c>
      <c r="C396" s="410">
        <v>9</v>
      </c>
      <c r="D396" s="338"/>
      <c r="E396" s="338"/>
      <c r="F396" s="338"/>
      <c r="G396" s="337" t="s">
        <v>345</v>
      </c>
      <c r="H396" s="338">
        <v>1</v>
      </c>
      <c r="I396" s="338">
        <v>25</v>
      </c>
      <c r="J396" s="342">
        <f t="shared" si="54"/>
        <v>25</v>
      </c>
      <c r="K396" s="339">
        <v>15</v>
      </c>
      <c r="L396" s="395"/>
      <c r="M396" s="411" t="s">
        <v>346</v>
      </c>
      <c r="N396" s="394"/>
      <c r="O396" s="340">
        <v>17</v>
      </c>
      <c r="P396" s="340"/>
      <c r="Q396" s="396"/>
    </row>
    <row r="397" s="332" customFormat="1" hidden="1" spans="1:17">
      <c r="A397" s="332" t="s">
        <v>237</v>
      </c>
      <c r="B397" s="409">
        <v>45601</v>
      </c>
      <c r="C397" s="410">
        <v>9</v>
      </c>
      <c r="D397" s="338"/>
      <c r="E397" s="338"/>
      <c r="F397" s="338"/>
      <c r="G397" s="337" t="s">
        <v>167</v>
      </c>
      <c r="H397" s="338">
        <v>1</v>
      </c>
      <c r="I397" s="338">
        <v>3</v>
      </c>
      <c r="J397" s="342">
        <f t="shared" si="54"/>
        <v>3</v>
      </c>
      <c r="K397" s="339">
        <v>15</v>
      </c>
      <c r="L397" s="395"/>
      <c r="M397" s="411" t="s">
        <v>346</v>
      </c>
      <c r="N397" s="394">
        <f>SUM(L393:L397)</f>
        <v>1265</v>
      </c>
      <c r="O397" s="340">
        <v>17</v>
      </c>
      <c r="P397" s="340"/>
      <c r="Q397" s="396">
        <f>SUM(P393:P397)</f>
        <v>1444</v>
      </c>
    </row>
    <row r="398" s="334" customFormat="1" hidden="1" spans="1:17">
      <c r="A398" s="334" t="s">
        <v>18</v>
      </c>
      <c r="B398" s="400">
        <v>45602</v>
      </c>
      <c r="C398" s="401" t="s">
        <v>19</v>
      </c>
      <c r="D398" s="347" t="s">
        <v>164</v>
      </c>
      <c r="E398" s="347"/>
      <c r="F398" s="347"/>
      <c r="G398" s="334" t="s">
        <v>165</v>
      </c>
      <c r="H398" s="347">
        <v>1</v>
      </c>
      <c r="I398" s="347">
        <v>2</v>
      </c>
      <c r="J398" s="402">
        <f t="shared" ref="J398:J403" si="57">H398*I398</f>
        <v>2</v>
      </c>
      <c r="K398" s="349">
        <v>20</v>
      </c>
      <c r="L398" s="403">
        <f t="shared" ref="L398:L403" si="58">J398*K398</f>
        <v>40</v>
      </c>
      <c r="M398" s="486" t="s">
        <v>347</v>
      </c>
      <c r="N398" s="404"/>
      <c r="O398" s="412">
        <v>22.5</v>
      </c>
      <c r="P398" s="412">
        <f t="shared" si="56"/>
        <v>45</v>
      </c>
      <c r="Q398" s="405"/>
    </row>
    <row r="399" s="334" customFormat="1" hidden="1" spans="1:17">
      <c r="A399" s="334" t="s">
        <v>18</v>
      </c>
      <c r="B399" s="400">
        <v>45602</v>
      </c>
      <c r="C399" s="401" t="s">
        <v>19</v>
      </c>
      <c r="D399" s="347" t="s">
        <v>164</v>
      </c>
      <c r="E399" s="347"/>
      <c r="F399" s="347"/>
      <c r="G399" s="334" t="s">
        <v>165</v>
      </c>
      <c r="H399" s="347">
        <v>1</v>
      </c>
      <c r="I399" s="347">
        <v>3</v>
      </c>
      <c r="J399" s="402">
        <f t="shared" si="57"/>
        <v>3</v>
      </c>
      <c r="K399" s="349">
        <v>20</v>
      </c>
      <c r="L399" s="403">
        <f t="shared" si="58"/>
        <v>60</v>
      </c>
      <c r="M399" s="486" t="s">
        <v>348</v>
      </c>
      <c r="N399" s="404"/>
      <c r="O399" s="412">
        <v>22.5</v>
      </c>
      <c r="P399" s="412">
        <f t="shared" si="56"/>
        <v>67.5</v>
      </c>
      <c r="Q399" s="405"/>
    </row>
    <row r="400" s="334" customFormat="1" hidden="1" spans="1:17">
      <c r="A400" s="334" t="s">
        <v>18</v>
      </c>
      <c r="B400" s="400">
        <v>45602</v>
      </c>
      <c r="C400" s="401" t="s">
        <v>19</v>
      </c>
      <c r="D400" s="347"/>
      <c r="E400" s="347"/>
      <c r="F400" s="347"/>
      <c r="G400" s="348" t="s">
        <v>274</v>
      </c>
      <c r="H400" s="347">
        <v>1</v>
      </c>
      <c r="I400" s="402">
        <v>2.5</v>
      </c>
      <c r="J400" s="402">
        <f t="shared" si="57"/>
        <v>2.5</v>
      </c>
      <c r="K400" s="349">
        <v>20</v>
      </c>
      <c r="L400" s="403">
        <f t="shared" si="58"/>
        <v>50</v>
      </c>
      <c r="M400" s="425" t="s">
        <v>349</v>
      </c>
      <c r="N400" s="404"/>
      <c r="O400" s="349">
        <v>22.5</v>
      </c>
      <c r="P400" s="412">
        <f t="shared" si="56"/>
        <v>56.25</v>
      </c>
      <c r="Q400" s="405"/>
    </row>
    <row r="401" s="334" customFormat="1" hidden="1" spans="1:20">
      <c r="A401" s="334" t="s">
        <v>18</v>
      </c>
      <c r="B401" s="400">
        <v>45602</v>
      </c>
      <c r="C401" s="401" t="s">
        <v>19</v>
      </c>
      <c r="D401" s="347" t="s">
        <v>245</v>
      </c>
      <c r="E401" s="347"/>
      <c r="F401" s="347"/>
      <c r="G401" s="348" t="s">
        <v>246</v>
      </c>
      <c r="H401" s="347">
        <v>1</v>
      </c>
      <c r="I401" s="347">
        <v>3</v>
      </c>
      <c r="J401" s="402">
        <f t="shared" si="57"/>
        <v>3</v>
      </c>
      <c r="K401" s="349">
        <v>20</v>
      </c>
      <c r="L401" s="403">
        <f t="shared" si="58"/>
        <v>60</v>
      </c>
      <c r="M401" s="425"/>
      <c r="N401" s="404">
        <f>SUM(L398:L401)</f>
        <v>210</v>
      </c>
      <c r="O401" s="412">
        <v>22.5</v>
      </c>
      <c r="P401" s="412">
        <f t="shared" si="56"/>
        <v>67.5</v>
      </c>
      <c r="Q401" s="405">
        <f>SUM(P398:P401)</f>
        <v>236.25</v>
      </c>
    </row>
    <row r="402" s="332" customFormat="1" hidden="1" spans="1:20">
      <c r="A402" s="409" t="s">
        <v>112</v>
      </c>
      <c r="B402" s="409">
        <v>45607</v>
      </c>
      <c r="C402" s="410">
        <v>28</v>
      </c>
      <c r="D402" s="338" t="s">
        <v>36</v>
      </c>
      <c r="E402" s="338"/>
      <c r="F402" s="338"/>
      <c r="G402" s="337" t="s">
        <v>37</v>
      </c>
      <c r="H402" s="342">
        <v>10</v>
      </c>
      <c r="I402" s="342">
        <v>18</v>
      </c>
      <c r="J402" s="342">
        <f t="shared" si="57"/>
        <v>180</v>
      </c>
      <c r="K402" s="342">
        <v>8</v>
      </c>
      <c r="L402" s="395">
        <f t="shared" si="58"/>
        <v>1440</v>
      </c>
      <c r="M402" s="445"/>
      <c r="N402" s="441">
        <f>SUM(L399:L402)</f>
        <v>1610</v>
      </c>
      <c r="O402" s="342">
        <v>10</v>
      </c>
      <c r="P402" s="337">
        <f t="shared" si="56"/>
        <v>1800</v>
      </c>
      <c r="Q402" s="337">
        <f>SUM(P399:P402)</f>
        <v>1991.25</v>
      </c>
      <c r="R402" s="332" t="s">
        <v>116</v>
      </c>
      <c r="S402" s="332" t="s">
        <v>117</v>
      </c>
    </row>
    <row r="403" s="391" customFormat="1" hidden="1" spans="1:20">
      <c r="A403" s="391" t="s">
        <v>237</v>
      </c>
      <c r="B403" s="413">
        <v>45607</v>
      </c>
      <c r="C403" s="414">
        <v>32</v>
      </c>
      <c r="D403" s="415"/>
      <c r="E403" s="415"/>
      <c r="F403" s="415"/>
      <c r="G403" s="408" t="s">
        <v>261</v>
      </c>
      <c r="H403" s="415">
        <v>1</v>
      </c>
      <c r="I403" s="415">
        <v>4</v>
      </c>
      <c r="J403" s="416">
        <f t="shared" si="57"/>
        <v>4</v>
      </c>
      <c r="K403" s="417">
        <v>35</v>
      </c>
      <c r="L403" s="418">
        <f t="shared" si="58"/>
        <v>140</v>
      </c>
      <c r="M403" s="421" t="s">
        <v>302</v>
      </c>
      <c r="N403" s="419" t="s">
        <v>243</v>
      </c>
      <c r="O403" s="417">
        <v>40</v>
      </c>
      <c r="P403" s="340">
        <f t="shared" si="56"/>
        <v>160</v>
      </c>
      <c r="Q403" s="420"/>
      <c r="R403" s="487" t="s">
        <v>350</v>
      </c>
    </row>
    <row r="404" s="332" customFormat="1" hidden="1" spans="1:20">
      <c r="A404" s="332" t="s">
        <v>351</v>
      </c>
      <c r="B404" s="409">
        <v>45609</v>
      </c>
      <c r="C404" s="410" t="s">
        <v>148</v>
      </c>
      <c r="D404" s="338">
        <v>6832</v>
      </c>
      <c r="E404" s="338"/>
      <c r="F404" s="338"/>
      <c r="G404" s="337" t="s">
        <v>94</v>
      </c>
      <c r="H404" s="338">
        <v>10</v>
      </c>
      <c r="I404" s="338">
        <v>30</v>
      </c>
      <c r="J404" s="342">
        <f t="shared" ref="J404:J411" si="59">H404*I404</f>
        <v>300</v>
      </c>
      <c r="K404" s="339">
        <v>7.2</v>
      </c>
      <c r="L404" s="395">
        <f t="shared" ref="L404:L411" si="60">J404*K404</f>
        <v>2160</v>
      </c>
      <c r="M404" s="152"/>
      <c r="N404" s="394"/>
      <c r="O404" s="340">
        <v>7.5</v>
      </c>
      <c r="P404" s="340">
        <f t="shared" si="56"/>
        <v>2250</v>
      </c>
      <c r="Q404" s="396"/>
      <c r="R404" s="488">
        <v>6.4</v>
      </c>
      <c r="S404" s="488">
        <f>J404*R404</f>
        <v>1920</v>
      </c>
    </row>
    <row r="405" s="332" customFormat="1" hidden="1" spans="1:20">
      <c r="A405" s="332" t="s">
        <v>351</v>
      </c>
      <c r="B405" s="409">
        <v>45607</v>
      </c>
      <c r="C405" s="410" t="s">
        <v>148</v>
      </c>
      <c r="D405" s="342" t="s">
        <v>352</v>
      </c>
      <c r="E405" s="342"/>
      <c r="F405" s="342"/>
      <c r="G405" s="337" t="s">
        <v>24</v>
      </c>
      <c r="H405" s="342">
        <v>8</v>
      </c>
      <c r="I405" s="342">
        <v>25</v>
      </c>
      <c r="J405" s="342">
        <f t="shared" ref="J405:J416" si="61">H405*I405</f>
        <v>200</v>
      </c>
      <c r="K405" s="339">
        <v>15.5</v>
      </c>
      <c r="L405" s="395">
        <f t="shared" ref="L405:L468" si="62">J405*K405</f>
        <v>3100</v>
      </c>
      <c r="M405" s="344" t="s">
        <v>242</v>
      </c>
      <c r="N405" s="394"/>
      <c r="O405" s="339">
        <v>17</v>
      </c>
      <c r="P405" s="340">
        <f t="shared" ref="P405:P457" si="63">J405*O405</f>
        <v>3400</v>
      </c>
      <c r="Q405" s="396"/>
      <c r="R405" s="488">
        <v>11.5</v>
      </c>
      <c r="S405" s="488">
        <f t="shared" ref="S405:S416" si="64">J405*R405</f>
        <v>2300</v>
      </c>
    </row>
    <row r="406" s="332" customFormat="1" hidden="1" spans="1:20">
      <c r="A406" s="332" t="s">
        <v>351</v>
      </c>
      <c r="B406" s="409">
        <v>45607</v>
      </c>
      <c r="C406" s="410" t="s">
        <v>148</v>
      </c>
      <c r="D406" s="342"/>
      <c r="E406" s="342"/>
      <c r="F406" s="342"/>
      <c r="G406" s="337" t="s">
        <v>291</v>
      </c>
      <c r="H406" s="342">
        <v>2</v>
      </c>
      <c r="I406" s="342">
        <v>20</v>
      </c>
      <c r="J406" s="342">
        <f t="shared" si="61"/>
        <v>40</v>
      </c>
      <c r="K406" s="339">
        <v>15.5</v>
      </c>
      <c r="L406" s="395">
        <f t="shared" si="62"/>
        <v>620</v>
      </c>
      <c r="M406" s="344" t="s">
        <v>353</v>
      </c>
      <c r="N406" s="394"/>
      <c r="O406" s="339">
        <v>17</v>
      </c>
      <c r="P406" s="340">
        <f t="shared" si="63"/>
        <v>680</v>
      </c>
      <c r="Q406" s="396"/>
      <c r="R406" s="488">
        <v>11.5</v>
      </c>
      <c r="S406" s="488">
        <f t="shared" si="64"/>
        <v>460</v>
      </c>
    </row>
    <row r="407" s="332" customFormat="1" hidden="1" spans="1:20">
      <c r="A407" s="332" t="s">
        <v>351</v>
      </c>
      <c r="B407" s="409">
        <v>45607</v>
      </c>
      <c r="C407" s="410" t="s">
        <v>148</v>
      </c>
      <c r="D407" s="342" t="s">
        <v>354</v>
      </c>
      <c r="E407" s="342"/>
      <c r="F407" s="342"/>
      <c r="G407" s="337" t="s">
        <v>141</v>
      </c>
      <c r="H407" s="342">
        <v>4</v>
      </c>
      <c r="I407" s="342">
        <v>20</v>
      </c>
      <c r="J407" s="342">
        <f t="shared" si="61"/>
        <v>80</v>
      </c>
      <c r="K407" s="339">
        <v>15.5</v>
      </c>
      <c r="L407" s="395">
        <f t="shared" si="62"/>
        <v>1240</v>
      </c>
      <c r="M407" s="336">
        <v>303</v>
      </c>
      <c r="N407" s="394"/>
      <c r="O407" s="339">
        <v>17</v>
      </c>
      <c r="P407" s="340">
        <f t="shared" si="63"/>
        <v>1360</v>
      </c>
      <c r="Q407" s="396"/>
      <c r="R407" s="488">
        <v>10.4</v>
      </c>
      <c r="S407" s="488">
        <f t="shared" si="64"/>
        <v>832</v>
      </c>
    </row>
    <row r="408" s="332" customFormat="1" hidden="1" spans="1:20">
      <c r="A408" s="332" t="s">
        <v>351</v>
      </c>
      <c r="B408" s="409">
        <v>45607</v>
      </c>
      <c r="C408" s="410" t="s">
        <v>148</v>
      </c>
      <c r="D408" s="338" t="s">
        <v>355</v>
      </c>
      <c r="E408" s="338"/>
      <c r="F408" s="338"/>
      <c r="G408" s="337" t="s">
        <v>35</v>
      </c>
      <c r="H408" s="338">
        <v>15</v>
      </c>
      <c r="I408" s="338">
        <v>18</v>
      </c>
      <c r="J408" s="342">
        <f t="shared" si="61"/>
        <v>270</v>
      </c>
      <c r="K408" s="339">
        <v>6.2</v>
      </c>
      <c r="L408" s="395">
        <f t="shared" si="62"/>
        <v>1674</v>
      </c>
      <c r="M408" s="336" t="s">
        <v>356</v>
      </c>
      <c r="N408" s="394"/>
      <c r="O408" s="340">
        <v>6.7</v>
      </c>
      <c r="P408" s="340">
        <f t="shared" si="63"/>
        <v>1809</v>
      </c>
      <c r="Q408" s="396"/>
      <c r="R408" s="488">
        <v>5</v>
      </c>
      <c r="S408" s="488">
        <f t="shared" si="64"/>
        <v>1350</v>
      </c>
    </row>
    <row r="409" s="332" customFormat="1" hidden="1" spans="1:20">
      <c r="A409" s="332" t="s">
        <v>351</v>
      </c>
      <c r="B409" s="409">
        <v>45607</v>
      </c>
      <c r="C409" s="410" t="s">
        <v>148</v>
      </c>
      <c r="D409" s="338" t="s">
        <v>357</v>
      </c>
      <c r="E409" s="338"/>
      <c r="F409" s="338"/>
      <c r="G409" s="337" t="s">
        <v>248</v>
      </c>
      <c r="H409" s="338">
        <v>10</v>
      </c>
      <c r="I409" s="338">
        <v>18</v>
      </c>
      <c r="J409" s="342">
        <f t="shared" si="61"/>
        <v>180</v>
      </c>
      <c r="K409" s="339">
        <v>8.7</v>
      </c>
      <c r="L409" s="395">
        <f t="shared" si="62"/>
        <v>1566</v>
      </c>
      <c r="M409" s="336" t="s">
        <v>356</v>
      </c>
      <c r="N409" s="394"/>
      <c r="O409" s="340">
        <v>9.2</v>
      </c>
      <c r="P409" s="340">
        <f t="shared" si="63"/>
        <v>1656</v>
      </c>
      <c r="Q409" s="396"/>
      <c r="R409" s="488">
        <v>6.61</v>
      </c>
      <c r="S409" s="488">
        <f t="shared" si="64"/>
        <v>1189.8</v>
      </c>
    </row>
    <row r="410" s="353" customFormat="1" ht="19" hidden="1" customHeight="1" spans="1:20">
      <c r="A410" s="332" t="s">
        <v>351</v>
      </c>
      <c r="B410" s="409">
        <v>45607</v>
      </c>
      <c r="C410" s="410" t="s">
        <v>148</v>
      </c>
      <c r="D410" s="338"/>
      <c r="E410" s="338"/>
      <c r="F410" s="338"/>
      <c r="G410" s="337" t="s">
        <v>265</v>
      </c>
      <c r="H410" s="338">
        <v>2</v>
      </c>
      <c r="I410" s="338">
        <v>4</v>
      </c>
      <c r="J410" s="342">
        <f t="shared" si="61"/>
        <v>8</v>
      </c>
      <c r="K410" s="339">
        <v>20</v>
      </c>
      <c r="L410" s="395">
        <f t="shared" si="62"/>
        <v>160</v>
      </c>
      <c r="M410" s="485" t="s">
        <v>358</v>
      </c>
      <c r="N410" s="394"/>
      <c r="O410" s="339">
        <v>25</v>
      </c>
      <c r="P410" s="340">
        <f t="shared" si="63"/>
        <v>200</v>
      </c>
      <c r="Q410" s="396"/>
      <c r="R410" s="488">
        <v>17</v>
      </c>
      <c r="S410" s="488">
        <f t="shared" si="64"/>
        <v>136</v>
      </c>
    </row>
    <row r="411" s="353" customFormat="1" ht="19" hidden="1" customHeight="1" spans="1:20">
      <c r="A411" s="332" t="s">
        <v>351</v>
      </c>
      <c r="B411" s="409">
        <v>45607</v>
      </c>
      <c r="C411" s="410" t="s">
        <v>148</v>
      </c>
      <c r="D411" s="342"/>
      <c r="E411" s="342"/>
      <c r="F411" s="342"/>
      <c r="G411" s="337" t="s">
        <v>275</v>
      </c>
      <c r="H411" s="342">
        <v>2</v>
      </c>
      <c r="I411" s="342">
        <v>4</v>
      </c>
      <c r="J411" s="342">
        <f t="shared" si="61"/>
        <v>8</v>
      </c>
      <c r="K411" s="339">
        <v>20</v>
      </c>
      <c r="L411" s="395">
        <f t="shared" si="62"/>
        <v>160</v>
      </c>
      <c r="M411" s="485" t="s">
        <v>359</v>
      </c>
      <c r="N411" s="394"/>
      <c r="O411" s="339">
        <v>25</v>
      </c>
      <c r="P411" s="340">
        <f t="shared" si="63"/>
        <v>200</v>
      </c>
      <c r="Q411" s="396"/>
      <c r="R411" s="488">
        <v>17</v>
      </c>
      <c r="S411" s="488">
        <f t="shared" si="64"/>
        <v>136</v>
      </c>
    </row>
    <row r="412" s="353" customFormat="1" ht="19" hidden="1" customHeight="1" spans="1:20">
      <c r="A412" s="332" t="s">
        <v>351</v>
      </c>
      <c r="B412" s="409">
        <v>45607</v>
      </c>
      <c r="C412" s="410" t="s">
        <v>148</v>
      </c>
      <c r="D412" s="342"/>
      <c r="E412" s="342"/>
      <c r="F412" s="342"/>
      <c r="G412" s="337" t="s">
        <v>317</v>
      </c>
      <c r="H412" s="342">
        <v>2</v>
      </c>
      <c r="I412" s="342">
        <v>4</v>
      </c>
      <c r="J412" s="342">
        <f t="shared" si="61"/>
        <v>8</v>
      </c>
      <c r="K412" s="339">
        <v>20</v>
      </c>
      <c r="L412" s="395">
        <f t="shared" si="62"/>
        <v>160</v>
      </c>
      <c r="M412" s="489" t="s">
        <v>360</v>
      </c>
      <c r="N412" s="394"/>
      <c r="O412" s="339">
        <v>25</v>
      </c>
      <c r="P412" s="340">
        <f t="shared" si="63"/>
        <v>200</v>
      </c>
      <c r="Q412" s="396"/>
      <c r="R412" s="488">
        <v>18</v>
      </c>
      <c r="S412" s="488">
        <f t="shared" si="64"/>
        <v>144</v>
      </c>
    </row>
    <row r="413" s="332" customFormat="1" hidden="1" spans="1:20">
      <c r="A413" s="332" t="s">
        <v>351</v>
      </c>
      <c r="B413" s="409">
        <v>45607</v>
      </c>
      <c r="C413" s="410" t="s">
        <v>148</v>
      </c>
      <c r="D413" s="338"/>
      <c r="E413" s="338"/>
      <c r="F413" s="338"/>
      <c r="G413" s="337" t="s">
        <v>319</v>
      </c>
      <c r="H413" s="338">
        <v>1</v>
      </c>
      <c r="I413" s="342">
        <v>8</v>
      </c>
      <c r="J413" s="342">
        <f t="shared" si="61"/>
        <v>8</v>
      </c>
      <c r="K413" s="339">
        <v>25</v>
      </c>
      <c r="L413" s="395">
        <f t="shared" si="62"/>
        <v>200</v>
      </c>
      <c r="M413" s="344" t="s">
        <v>361</v>
      </c>
      <c r="N413" s="394"/>
      <c r="O413" s="339">
        <v>30</v>
      </c>
      <c r="P413" s="340">
        <f t="shared" si="63"/>
        <v>240</v>
      </c>
      <c r="Q413" s="396"/>
      <c r="R413" s="488">
        <v>22</v>
      </c>
      <c r="S413" s="488">
        <f t="shared" si="64"/>
        <v>176</v>
      </c>
    </row>
    <row r="414" s="332" customFormat="1" hidden="1" spans="1:20">
      <c r="A414" s="332" t="s">
        <v>351</v>
      </c>
      <c r="B414" s="409">
        <v>45607</v>
      </c>
      <c r="C414" s="410" t="s">
        <v>148</v>
      </c>
      <c r="D414" s="342"/>
      <c r="E414" s="342"/>
      <c r="F414" s="342"/>
      <c r="G414" s="337" t="s">
        <v>262</v>
      </c>
      <c r="H414" s="342">
        <v>2</v>
      </c>
      <c r="I414" s="342">
        <v>4</v>
      </c>
      <c r="J414" s="342">
        <f t="shared" si="61"/>
        <v>8</v>
      </c>
      <c r="K414" s="339">
        <v>25</v>
      </c>
      <c r="L414" s="395">
        <f t="shared" si="62"/>
        <v>200</v>
      </c>
      <c r="M414" s="485" t="s">
        <v>263</v>
      </c>
      <c r="N414" s="394"/>
      <c r="O414" s="339">
        <v>30</v>
      </c>
      <c r="P414" s="340">
        <f t="shared" si="63"/>
        <v>240</v>
      </c>
      <c r="Q414" s="396"/>
      <c r="R414" s="488">
        <v>22</v>
      </c>
      <c r="S414" s="488">
        <f t="shared" si="64"/>
        <v>176</v>
      </c>
    </row>
    <row r="415" s="353" customFormat="1" hidden="1" spans="1:20">
      <c r="A415" s="332" t="s">
        <v>351</v>
      </c>
      <c r="B415" s="409">
        <v>45607</v>
      </c>
      <c r="C415" s="410" t="s">
        <v>148</v>
      </c>
      <c r="D415" s="338"/>
      <c r="E415" s="338"/>
      <c r="F415" s="338"/>
      <c r="G415" s="337" t="s">
        <v>264</v>
      </c>
      <c r="H415" s="338">
        <v>2</v>
      </c>
      <c r="I415" s="338">
        <v>4</v>
      </c>
      <c r="J415" s="342">
        <f t="shared" si="61"/>
        <v>8</v>
      </c>
      <c r="K415" s="339">
        <v>25</v>
      </c>
      <c r="L415" s="395">
        <f t="shared" si="62"/>
        <v>200</v>
      </c>
      <c r="M415" s="485" t="s">
        <v>362</v>
      </c>
      <c r="N415" s="394"/>
      <c r="O415" s="339">
        <v>30</v>
      </c>
      <c r="P415" s="340">
        <f t="shared" si="63"/>
        <v>240</v>
      </c>
      <c r="Q415" s="396"/>
      <c r="R415" s="488">
        <v>22</v>
      </c>
      <c r="S415" s="488">
        <f t="shared" si="64"/>
        <v>176</v>
      </c>
    </row>
    <row r="416" s="332" customFormat="1" hidden="1" spans="1:20">
      <c r="A416" s="332" t="s">
        <v>351</v>
      </c>
      <c r="B416" s="409">
        <v>45607</v>
      </c>
      <c r="C416" s="410" t="s">
        <v>148</v>
      </c>
      <c r="D416" s="338"/>
      <c r="E416" s="338"/>
      <c r="F416" s="338"/>
      <c r="G416" s="337" t="s">
        <v>306</v>
      </c>
      <c r="H416" s="338">
        <v>1</v>
      </c>
      <c r="I416" s="338">
        <v>5</v>
      </c>
      <c r="J416" s="342">
        <f t="shared" si="61"/>
        <v>5</v>
      </c>
      <c r="K416" s="339">
        <v>35</v>
      </c>
      <c r="L416" s="395">
        <f t="shared" si="62"/>
        <v>175</v>
      </c>
      <c r="M416" s="336"/>
      <c r="N416" s="394">
        <f>SUM(L404:L416)</f>
        <v>11615</v>
      </c>
      <c r="O416" s="340">
        <v>38</v>
      </c>
      <c r="P416" s="340">
        <f t="shared" si="63"/>
        <v>190</v>
      </c>
      <c r="Q416" s="396">
        <f>SUM(P404:P416)</f>
        <v>12665</v>
      </c>
      <c r="R416" s="488">
        <v>30</v>
      </c>
      <c r="S416" s="488">
        <f t="shared" si="64"/>
        <v>150</v>
      </c>
      <c r="T416" s="488">
        <f>SUM(S404:S416)</f>
        <v>9145.8</v>
      </c>
    </row>
    <row r="417" s="334" customFormat="1" hidden="1" spans="1:18">
      <c r="A417" s="334" t="s">
        <v>18</v>
      </c>
      <c r="B417" s="400">
        <v>45612</v>
      </c>
      <c r="C417" s="401">
        <v>41</v>
      </c>
      <c r="D417" s="347" t="s">
        <v>31</v>
      </c>
      <c r="E417" s="347"/>
      <c r="F417" s="347"/>
      <c r="G417" s="348" t="s">
        <v>32</v>
      </c>
      <c r="H417" s="347">
        <v>5</v>
      </c>
      <c r="I417" s="347">
        <v>25</v>
      </c>
      <c r="J417" s="402">
        <v>125</v>
      </c>
      <c r="K417" s="349">
        <v>13</v>
      </c>
      <c r="L417" s="403">
        <f t="shared" si="62"/>
        <v>1625</v>
      </c>
      <c r="M417" s="463" t="s">
        <v>33</v>
      </c>
      <c r="N417" s="404"/>
      <c r="O417" s="412">
        <v>14.5</v>
      </c>
      <c r="P417" s="412">
        <f t="shared" si="63"/>
        <v>1812.5</v>
      </c>
      <c r="Q417" s="405"/>
    </row>
    <row r="418" s="334" customFormat="1" hidden="1" spans="1:18">
      <c r="A418" s="334" t="s">
        <v>18</v>
      </c>
      <c r="B418" s="400">
        <v>45612</v>
      </c>
      <c r="C418" s="401">
        <v>41</v>
      </c>
      <c r="D418" s="347">
        <v>9806</v>
      </c>
      <c r="E418" s="347"/>
      <c r="F418" s="347"/>
      <c r="G418" s="348" t="s">
        <v>29</v>
      </c>
      <c r="H418" s="347">
        <v>10</v>
      </c>
      <c r="I418" s="347">
        <v>28</v>
      </c>
      <c r="J418" s="402">
        <f t="shared" ref="J418:J481" si="65">H418*I418</f>
        <v>280</v>
      </c>
      <c r="K418" s="349">
        <v>10.1</v>
      </c>
      <c r="L418" s="403">
        <f t="shared" si="62"/>
        <v>2828</v>
      </c>
      <c r="M418" s="424"/>
      <c r="N418" s="404"/>
      <c r="O418" s="412">
        <v>11</v>
      </c>
      <c r="P418" s="412">
        <f t="shared" si="63"/>
        <v>3080</v>
      </c>
      <c r="Q418" s="405"/>
    </row>
    <row r="419" s="334" customFormat="1" hidden="1" spans="1:18">
      <c r="A419" s="334" t="s">
        <v>18</v>
      </c>
      <c r="B419" s="400">
        <v>45612</v>
      </c>
      <c r="C419" s="401">
        <v>41</v>
      </c>
      <c r="D419" s="347" t="s">
        <v>34</v>
      </c>
      <c r="E419" s="347"/>
      <c r="F419" s="347"/>
      <c r="G419" s="348" t="s">
        <v>35</v>
      </c>
      <c r="H419" s="347">
        <v>1</v>
      </c>
      <c r="I419" s="347">
        <v>180</v>
      </c>
      <c r="J419" s="402">
        <f t="shared" si="65"/>
        <v>180</v>
      </c>
      <c r="K419" s="349">
        <v>7</v>
      </c>
      <c r="L419" s="403">
        <f t="shared" si="62"/>
        <v>1260</v>
      </c>
      <c r="M419" s="347"/>
      <c r="N419" s="404"/>
      <c r="O419" s="412">
        <v>7.5</v>
      </c>
      <c r="P419" s="412">
        <f t="shared" si="63"/>
        <v>1350</v>
      </c>
      <c r="Q419" s="405"/>
    </row>
    <row r="420" s="334" customFormat="1" hidden="1" spans="1:18">
      <c r="A420" s="334" t="s">
        <v>18</v>
      </c>
      <c r="B420" s="400">
        <v>45612</v>
      </c>
      <c r="C420" s="401">
        <v>41</v>
      </c>
      <c r="D420" s="347"/>
      <c r="E420" s="347"/>
      <c r="F420" s="347"/>
      <c r="G420" s="348" t="s">
        <v>22</v>
      </c>
      <c r="H420" s="347">
        <v>5</v>
      </c>
      <c r="I420" s="402">
        <v>10</v>
      </c>
      <c r="J420" s="402">
        <f t="shared" si="65"/>
        <v>50</v>
      </c>
      <c r="K420" s="349">
        <v>20</v>
      </c>
      <c r="L420" s="403">
        <f t="shared" si="62"/>
        <v>1000</v>
      </c>
      <c r="M420" s="425" t="s">
        <v>23</v>
      </c>
      <c r="N420" s="404">
        <f>SUM(L417:L420)</f>
        <v>6713</v>
      </c>
      <c r="O420" s="349">
        <v>22.5</v>
      </c>
      <c r="P420" s="412">
        <f t="shared" si="63"/>
        <v>1125</v>
      </c>
      <c r="Q420" s="405">
        <f>SUM(P417:P420)</f>
        <v>7367.5</v>
      </c>
    </row>
    <row r="421" s="353" customFormat="1" hidden="1" spans="1:18">
      <c r="A421" s="332" t="s">
        <v>18</v>
      </c>
      <c r="B421" s="409">
        <v>45613</v>
      </c>
      <c r="C421" s="410">
        <v>44</v>
      </c>
      <c r="D421" s="338" t="s">
        <v>184</v>
      </c>
      <c r="E421" s="338"/>
      <c r="F421" s="338"/>
      <c r="G421" s="337" t="s">
        <v>185</v>
      </c>
      <c r="H421" s="338">
        <v>1</v>
      </c>
      <c r="I421" s="338">
        <v>20</v>
      </c>
      <c r="J421" s="342">
        <f t="shared" si="65"/>
        <v>20</v>
      </c>
      <c r="K421" s="339">
        <v>24</v>
      </c>
      <c r="L421" s="395">
        <f t="shared" si="62"/>
        <v>480</v>
      </c>
      <c r="M421" s="344" t="s">
        <v>298</v>
      </c>
      <c r="N421" s="394"/>
      <c r="O421" s="339">
        <v>28</v>
      </c>
      <c r="P421" s="340">
        <f t="shared" si="63"/>
        <v>560</v>
      </c>
      <c r="Q421" s="396">
        <v>820</v>
      </c>
    </row>
    <row r="422" s="332" customFormat="1" hidden="1" spans="1:18">
      <c r="A422" s="332" t="s">
        <v>18</v>
      </c>
      <c r="B422" s="409">
        <v>45613</v>
      </c>
      <c r="C422" s="410">
        <v>44</v>
      </c>
      <c r="D422" s="338" t="s">
        <v>218</v>
      </c>
      <c r="E422" s="338"/>
      <c r="F422" s="338"/>
      <c r="G422" s="337" t="s">
        <v>214</v>
      </c>
      <c r="H422" s="338">
        <v>1</v>
      </c>
      <c r="I422" s="338">
        <v>17</v>
      </c>
      <c r="J422" s="342">
        <f t="shared" si="65"/>
        <v>17</v>
      </c>
      <c r="K422" s="339">
        <v>20</v>
      </c>
      <c r="L422" s="395">
        <f t="shared" si="62"/>
        <v>340</v>
      </c>
      <c r="M422" s="336"/>
      <c r="N422" s="394"/>
      <c r="O422" s="339">
        <v>22.5</v>
      </c>
      <c r="P422" s="338">
        <f t="shared" si="63"/>
        <v>382.5</v>
      </c>
      <c r="Q422" s="396"/>
    </row>
    <row r="423" s="332" customFormat="1" hidden="1" spans="1:18">
      <c r="A423" s="332" t="s">
        <v>18</v>
      </c>
      <c r="B423" s="409">
        <v>45613</v>
      </c>
      <c r="C423" s="410">
        <v>44</v>
      </c>
      <c r="D423" s="338"/>
      <c r="E423" s="338"/>
      <c r="F423" s="338"/>
      <c r="G423" s="337" t="s">
        <v>22</v>
      </c>
      <c r="H423" s="338">
        <v>2</v>
      </c>
      <c r="I423" s="342">
        <v>10</v>
      </c>
      <c r="J423" s="342">
        <f t="shared" si="65"/>
        <v>20</v>
      </c>
      <c r="K423" s="339">
        <v>20</v>
      </c>
      <c r="L423" s="395">
        <f t="shared" si="62"/>
        <v>400</v>
      </c>
      <c r="M423" s="336" t="s">
        <v>23</v>
      </c>
      <c r="N423" s="394">
        <f>SUM(L421:L423)</f>
        <v>1220</v>
      </c>
      <c r="O423" s="339">
        <v>22.5</v>
      </c>
      <c r="P423" s="340">
        <f t="shared" si="63"/>
        <v>450</v>
      </c>
      <c r="Q423" s="396">
        <f>SUM(P420:P423)</f>
        <v>2517.5</v>
      </c>
    </row>
    <row r="424" s="334" customFormat="1" hidden="1" spans="1:18">
      <c r="A424" s="334" t="s">
        <v>18</v>
      </c>
      <c r="B424" s="400">
        <v>45615</v>
      </c>
      <c r="C424" s="334" t="s">
        <v>124</v>
      </c>
      <c r="D424" s="402" t="s">
        <v>363</v>
      </c>
      <c r="E424" s="402"/>
      <c r="F424" s="402"/>
      <c r="G424" s="348" t="s">
        <v>364</v>
      </c>
      <c r="H424" s="402">
        <v>1</v>
      </c>
      <c r="I424" s="402">
        <v>22</v>
      </c>
      <c r="J424" s="402">
        <f t="shared" si="65"/>
        <v>22</v>
      </c>
      <c r="K424" s="349">
        <v>14.5</v>
      </c>
      <c r="L424" s="403">
        <f t="shared" si="62"/>
        <v>319</v>
      </c>
      <c r="M424" s="348" t="s">
        <v>365</v>
      </c>
      <c r="N424" s="404"/>
      <c r="O424" s="349">
        <v>17</v>
      </c>
      <c r="P424" s="412">
        <f t="shared" si="63"/>
        <v>374</v>
      </c>
      <c r="Q424" s="405"/>
    </row>
    <row r="425" s="334" customFormat="1" hidden="1" spans="1:18">
      <c r="A425" s="334" t="s">
        <v>18</v>
      </c>
      <c r="B425" s="400">
        <v>45615</v>
      </c>
      <c r="C425" s="334" t="s">
        <v>124</v>
      </c>
      <c r="D425" s="347"/>
      <c r="E425" s="347"/>
      <c r="F425" s="347"/>
      <c r="G425" s="348" t="s">
        <v>22</v>
      </c>
      <c r="H425" s="347">
        <v>5</v>
      </c>
      <c r="I425" s="402">
        <v>10</v>
      </c>
      <c r="J425" s="402">
        <f t="shared" si="65"/>
        <v>50</v>
      </c>
      <c r="K425" s="349">
        <v>20</v>
      </c>
      <c r="L425" s="403">
        <f t="shared" si="62"/>
        <v>1000</v>
      </c>
      <c r="M425" s="425" t="s">
        <v>23</v>
      </c>
      <c r="N425" s="404">
        <f>SUM(L424:L425)</f>
        <v>1319</v>
      </c>
      <c r="O425" s="349">
        <v>22.5</v>
      </c>
      <c r="P425" s="412">
        <f t="shared" si="63"/>
        <v>1125</v>
      </c>
      <c r="Q425" s="405">
        <f>SUM(P424:P425)</f>
        <v>1499</v>
      </c>
    </row>
    <row r="426" s="391" customFormat="1" hidden="1" spans="1:18">
      <c r="A426" s="391" t="s">
        <v>322</v>
      </c>
      <c r="B426" s="413">
        <v>45621</v>
      </c>
      <c r="C426" s="414">
        <v>71</v>
      </c>
      <c r="D426" s="415"/>
      <c r="E426" s="415"/>
      <c r="F426" s="415"/>
      <c r="G426" s="408" t="s">
        <v>336</v>
      </c>
      <c r="H426" s="415">
        <v>1</v>
      </c>
      <c r="I426" s="415">
        <v>10</v>
      </c>
      <c r="J426" s="416">
        <f t="shared" si="65"/>
        <v>10</v>
      </c>
      <c r="K426" s="417">
        <v>17</v>
      </c>
      <c r="L426" s="418">
        <f t="shared" si="62"/>
        <v>170</v>
      </c>
      <c r="M426" s="479"/>
      <c r="N426" s="419"/>
      <c r="O426" s="469">
        <v>21</v>
      </c>
      <c r="P426" s="469">
        <f t="shared" si="63"/>
        <v>210</v>
      </c>
      <c r="Q426" s="420"/>
    </row>
    <row r="427" s="391" customFormat="1" hidden="1" spans="1:18">
      <c r="A427" s="391" t="s">
        <v>322</v>
      </c>
      <c r="B427" s="413">
        <v>45621</v>
      </c>
      <c r="C427" s="414">
        <v>71</v>
      </c>
      <c r="D427" s="415"/>
      <c r="E427" s="415"/>
      <c r="F427" s="415"/>
      <c r="G427" s="408" t="s">
        <v>141</v>
      </c>
      <c r="H427" s="415">
        <v>1</v>
      </c>
      <c r="I427" s="415">
        <v>10</v>
      </c>
      <c r="J427" s="416">
        <f t="shared" si="65"/>
        <v>10</v>
      </c>
      <c r="K427" s="417">
        <v>15.5</v>
      </c>
      <c r="L427" s="418">
        <f t="shared" si="62"/>
        <v>155</v>
      </c>
      <c r="M427" s="479"/>
      <c r="N427" s="419"/>
      <c r="O427" s="469">
        <v>17</v>
      </c>
      <c r="P427" s="469">
        <f t="shared" si="63"/>
        <v>170</v>
      </c>
      <c r="Q427" s="420"/>
    </row>
    <row r="428" s="391" customFormat="1" hidden="1" spans="1:18">
      <c r="A428" s="391" t="s">
        <v>322</v>
      </c>
      <c r="B428" s="413">
        <v>45621</v>
      </c>
      <c r="C428" s="414">
        <v>71</v>
      </c>
      <c r="D428" s="415" t="s">
        <v>366</v>
      </c>
      <c r="E428" s="415"/>
      <c r="F428" s="415"/>
      <c r="G428" s="408" t="s">
        <v>248</v>
      </c>
      <c r="H428" s="415">
        <v>1</v>
      </c>
      <c r="I428" s="415">
        <v>18</v>
      </c>
      <c r="J428" s="416">
        <f t="shared" si="65"/>
        <v>18</v>
      </c>
      <c r="K428" s="417">
        <v>8.7</v>
      </c>
      <c r="L428" s="418">
        <f t="shared" si="62"/>
        <v>156.6</v>
      </c>
      <c r="M428" s="480" t="s">
        <v>367</v>
      </c>
      <c r="N428" s="419" t="s">
        <v>368</v>
      </c>
      <c r="O428" s="469">
        <v>9.2</v>
      </c>
      <c r="P428" s="469">
        <f t="shared" si="63"/>
        <v>165.6</v>
      </c>
      <c r="Q428" s="420"/>
      <c r="R428" s="150" t="s">
        <v>369</v>
      </c>
    </row>
    <row r="429" s="391" customFormat="1" hidden="1" spans="1:18">
      <c r="A429" s="391" t="s">
        <v>322</v>
      </c>
      <c r="B429" s="413">
        <v>45621</v>
      </c>
      <c r="C429" s="414">
        <v>71</v>
      </c>
      <c r="D429" s="415">
        <v>1125</v>
      </c>
      <c r="E429" s="415"/>
      <c r="F429" s="415"/>
      <c r="G429" s="408" t="s">
        <v>370</v>
      </c>
      <c r="H429" s="416">
        <v>1</v>
      </c>
      <c r="I429" s="416">
        <v>5</v>
      </c>
      <c r="J429" s="416">
        <f t="shared" si="65"/>
        <v>5</v>
      </c>
      <c r="K429" s="417">
        <v>24</v>
      </c>
      <c r="L429" s="418">
        <f t="shared" si="62"/>
        <v>120</v>
      </c>
      <c r="M429" s="490" t="s">
        <v>371</v>
      </c>
      <c r="N429" s="482">
        <f>SUM(L426:L429)</f>
        <v>601.6</v>
      </c>
      <c r="O429" s="417">
        <v>28</v>
      </c>
      <c r="P429" s="469">
        <f t="shared" si="63"/>
        <v>140</v>
      </c>
      <c r="Q429" s="408">
        <f>SUM(P426:P429)</f>
        <v>685.6</v>
      </c>
      <c r="R429" s="391" t="s">
        <v>368</v>
      </c>
    </row>
    <row r="430" s="334" customFormat="1" hidden="1" spans="1:18">
      <c r="A430" s="334" t="s">
        <v>237</v>
      </c>
      <c r="B430" s="400">
        <v>45621</v>
      </c>
      <c r="C430" s="401" t="s">
        <v>372</v>
      </c>
      <c r="D430" s="347">
        <v>6832</v>
      </c>
      <c r="E430" s="347"/>
      <c r="F430" s="347"/>
      <c r="G430" s="348" t="s">
        <v>94</v>
      </c>
      <c r="H430" s="347">
        <v>10</v>
      </c>
      <c r="I430" s="347">
        <v>30</v>
      </c>
      <c r="J430" s="402">
        <f t="shared" si="65"/>
        <v>300</v>
      </c>
      <c r="K430" s="349">
        <v>7.2</v>
      </c>
      <c r="L430" s="403">
        <f t="shared" si="62"/>
        <v>2160</v>
      </c>
      <c r="M430" s="424" t="s">
        <v>309</v>
      </c>
      <c r="N430" s="404"/>
      <c r="O430" s="412">
        <v>7.5</v>
      </c>
      <c r="P430" s="412">
        <f t="shared" si="63"/>
        <v>2250</v>
      </c>
      <c r="Q430" s="405"/>
    </row>
    <row r="431" s="334" customFormat="1" hidden="1" spans="1:18">
      <c r="A431" s="334" t="s">
        <v>237</v>
      </c>
      <c r="B431" s="400">
        <v>45621</v>
      </c>
      <c r="C431" s="401" t="s">
        <v>372</v>
      </c>
      <c r="D431" s="347" t="s">
        <v>310</v>
      </c>
      <c r="E431" s="347"/>
      <c r="F431" s="347"/>
      <c r="G431" s="348" t="s">
        <v>35</v>
      </c>
      <c r="H431" s="347">
        <v>2</v>
      </c>
      <c r="I431" s="347">
        <v>180</v>
      </c>
      <c r="J431" s="402">
        <f t="shared" si="65"/>
        <v>360</v>
      </c>
      <c r="K431" s="349">
        <v>5.5</v>
      </c>
      <c r="L431" s="403">
        <f t="shared" si="62"/>
        <v>1980</v>
      </c>
      <c r="M431" s="347"/>
      <c r="N431" s="404"/>
      <c r="O431" s="412">
        <v>6</v>
      </c>
      <c r="P431" s="412">
        <f t="shared" si="63"/>
        <v>2160</v>
      </c>
      <c r="Q431" s="405"/>
    </row>
    <row r="432" s="334" customFormat="1" hidden="1" spans="1:18">
      <c r="A432" s="334" t="s">
        <v>237</v>
      </c>
      <c r="B432" s="400">
        <v>45621</v>
      </c>
      <c r="C432" s="401" t="s">
        <v>372</v>
      </c>
      <c r="D432" s="347" t="s">
        <v>247</v>
      </c>
      <c r="E432" s="347"/>
      <c r="F432" s="347"/>
      <c r="G432" s="348" t="s">
        <v>248</v>
      </c>
      <c r="H432" s="347">
        <v>2</v>
      </c>
      <c r="I432" s="347">
        <v>180</v>
      </c>
      <c r="J432" s="402">
        <f t="shared" si="65"/>
        <v>360</v>
      </c>
      <c r="K432" s="349">
        <v>8</v>
      </c>
      <c r="L432" s="403">
        <f t="shared" si="62"/>
        <v>2880</v>
      </c>
      <c r="M432" s="425"/>
      <c r="N432" s="404"/>
      <c r="O432" s="412">
        <v>8.5</v>
      </c>
      <c r="P432" s="412">
        <f t="shared" si="63"/>
        <v>3060</v>
      </c>
      <c r="Q432" s="405"/>
    </row>
    <row r="433" s="334" customFormat="1" hidden="1" spans="1:20">
      <c r="A433" s="334" t="s">
        <v>237</v>
      </c>
      <c r="B433" s="400">
        <v>45621</v>
      </c>
      <c r="C433" s="401" t="s">
        <v>372</v>
      </c>
      <c r="D433" s="347" t="s">
        <v>247</v>
      </c>
      <c r="E433" s="347"/>
      <c r="F433" s="347"/>
      <c r="G433" s="348" t="s">
        <v>248</v>
      </c>
      <c r="H433" s="347">
        <v>-1</v>
      </c>
      <c r="I433" s="347">
        <v>20</v>
      </c>
      <c r="J433" s="402">
        <f t="shared" si="65"/>
        <v>-20</v>
      </c>
      <c r="K433" s="349">
        <v>8</v>
      </c>
      <c r="L433" s="403">
        <f t="shared" si="62"/>
        <v>-160</v>
      </c>
      <c r="M433" s="425"/>
      <c r="N433" s="404">
        <f>SUM(L430:L433)</f>
        <v>6860</v>
      </c>
      <c r="O433" s="412">
        <v>8.5</v>
      </c>
      <c r="P433" s="412">
        <f t="shared" si="63"/>
        <v>-170</v>
      </c>
      <c r="Q433" s="405">
        <f>SUM(P430:P433)</f>
        <v>7300</v>
      </c>
    </row>
    <row r="434" s="332" customFormat="1" hidden="1" spans="1:20">
      <c r="A434" s="332" t="s">
        <v>18</v>
      </c>
      <c r="B434" s="409">
        <v>45624</v>
      </c>
      <c r="C434" s="410">
        <v>88</v>
      </c>
      <c r="D434" s="338" t="s">
        <v>51</v>
      </c>
      <c r="E434" s="338"/>
      <c r="F434" s="338"/>
      <c r="G434" s="337" t="s">
        <v>39</v>
      </c>
      <c r="H434" s="338">
        <v>1</v>
      </c>
      <c r="I434" s="338">
        <v>180</v>
      </c>
      <c r="J434" s="342">
        <f t="shared" si="65"/>
        <v>180</v>
      </c>
      <c r="K434" s="339">
        <v>9.5</v>
      </c>
      <c r="L434" s="395">
        <f t="shared" si="62"/>
        <v>1710</v>
      </c>
      <c r="M434" s="344" t="s">
        <v>373</v>
      </c>
      <c r="N434" s="394"/>
      <c r="O434" s="340">
        <v>10.5</v>
      </c>
      <c r="P434" s="340">
        <f t="shared" si="63"/>
        <v>1890</v>
      </c>
      <c r="Q434" s="396"/>
    </row>
    <row r="435" s="332" customFormat="1" hidden="1" spans="1:20">
      <c r="A435" s="332" t="s">
        <v>18</v>
      </c>
      <c r="B435" s="409">
        <v>45624</v>
      </c>
      <c r="C435" s="410">
        <v>88</v>
      </c>
      <c r="D435" s="338"/>
      <c r="E435" s="338"/>
      <c r="F435" s="338"/>
      <c r="G435" s="337" t="s">
        <v>24</v>
      </c>
      <c r="H435" s="338">
        <v>5</v>
      </c>
      <c r="I435" s="338">
        <v>25</v>
      </c>
      <c r="J435" s="342">
        <f t="shared" si="65"/>
        <v>125</v>
      </c>
      <c r="K435" s="339">
        <v>19</v>
      </c>
      <c r="L435" s="395">
        <f t="shared" si="62"/>
        <v>2375</v>
      </c>
      <c r="M435" s="344" t="s">
        <v>287</v>
      </c>
      <c r="N435" s="394"/>
      <c r="O435" s="339">
        <v>22.5</v>
      </c>
      <c r="P435" s="340">
        <f t="shared" si="63"/>
        <v>2812.5</v>
      </c>
      <c r="Q435" s="396"/>
    </row>
    <row r="436" s="332" customFormat="1" hidden="1" spans="1:20">
      <c r="A436" s="332" t="s">
        <v>18</v>
      </c>
      <c r="B436" s="409">
        <v>45624</v>
      </c>
      <c r="C436" s="410">
        <v>88</v>
      </c>
      <c r="D436" s="338"/>
      <c r="E436" s="338"/>
      <c r="F436" s="338"/>
      <c r="G436" s="337" t="s">
        <v>22</v>
      </c>
      <c r="H436" s="338">
        <v>5</v>
      </c>
      <c r="I436" s="342">
        <v>10</v>
      </c>
      <c r="J436" s="342">
        <f t="shared" si="65"/>
        <v>50</v>
      </c>
      <c r="K436" s="339">
        <v>20</v>
      </c>
      <c r="L436" s="395">
        <f t="shared" si="62"/>
        <v>1000</v>
      </c>
      <c r="M436" s="336" t="s">
        <v>23</v>
      </c>
      <c r="N436" s="394">
        <f>SUM(L434:L436)</f>
        <v>5085</v>
      </c>
      <c r="O436" s="339">
        <v>22.5</v>
      </c>
      <c r="P436" s="340">
        <f t="shared" si="63"/>
        <v>1125</v>
      </c>
      <c r="Q436" s="396">
        <f>SUM(P434:P436)</f>
        <v>5827.5</v>
      </c>
    </row>
    <row r="437" s="334" customFormat="1" hidden="1" spans="1:20">
      <c r="A437" s="334" t="s">
        <v>18</v>
      </c>
      <c r="B437" s="400">
        <v>45625</v>
      </c>
      <c r="C437" s="401">
        <v>93</v>
      </c>
      <c r="D437" s="347"/>
      <c r="E437" s="347"/>
      <c r="F437" s="347"/>
      <c r="G437" s="348" t="s">
        <v>53</v>
      </c>
      <c r="H437" s="347">
        <v>1</v>
      </c>
      <c r="I437" s="402">
        <v>20</v>
      </c>
      <c r="J437" s="402">
        <f t="shared" si="65"/>
        <v>20</v>
      </c>
      <c r="K437" s="349">
        <v>20</v>
      </c>
      <c r="L437" s="403">
        <f t="shared" si="62"/>
        <v>400</v>
      </c>
      <c r="M437" s="464" t="s">
        <v>201</v>
      </c>
      <c r="N437" s="404"/>
      <c r="O437" s="349">
        <v>22.5</v>
      </c>
      <c r="P437" s="412">
        <f t="shared" si="63"/>
        <v>450</v>
      </c>
      <c r="Q437" s="405"/>
    </row>
    <row r="438" s="334" customFormat="1" hidden="1" spans="1:20">
      <c r="A438" s="334" t="s">
        <v>18</v>
      </c>
      <c r="B438" s="400">
        <v>45625</v>
      </c>
      <c r="C438" s="401">
        <v>93</v>
      </c>
      <c r="D438" s="347" t="s">
        <v>34</v>
      </c>
      <c r="E438" s="347"/>
      <c r="F438" s="347"/>
      <c r="G438" s="348" t="s">
        <v>35</v>
      </c>
      <c r="H438" s="347">
        <v>1</v>
      </c>
      <c r="I438" s="347">
        <v>180</v>
      </c>
      <c r="J438" s="402">
        <f t="shared" si="65"/>
        <v>180</v>
      </c>
      <c r="K438" s="349">
        <v>7</v>
      </c>
      <c r="L438" s="403">
        <f t="shared" si="62"/>
        <v>1260</v>
      </c>
      <c r="M438" s="347"/>
      <c r="N438" s="404">
        <f>SUM(L437:L438)</f>
        <v>1660</v>
      </c>
      <c r="O438" s="412">
        <v>7.5</v>
      </c>
      <c r="P438" s="412">
        <f t="shared" si="63"/>
        <v>1350</v>
      </c>
      <c r="Q438" s="405">
        <f>SUM(P437:P438)</f>
        <v>1800</v>
      </c>
    </row>
    <row r="439" s="332" customFormat="1" hidden="1" spans="1:20">
      <c r="A439" s="332" t="s">
        <v>237</v>
      </c>
      <c r="B439" s="409">
        <v>45625</v>
      </c>
      <c r="C439" s="410">
        <v>94</v>
      </c>
      <c r="D439" s="342" t="s">
        <v>339</v>
      </c>
      <c r="E439" s="342"/>
      <c r="F439" s="342"/>
      <c r="G439" s="337" t="s">
        <v>340</v>
      </c>
      <c r="H439" s="342">
        <v>1</v>
      </c>
      <c r="I439" s="342">
        <v>25</v>
      </c>
      <c r="J439" s="342">
        <f t="shared" si="65"/>
        <v>25</v>
      </c>
      <c r="K439" s="339">
        <v>17.5</v>
      </c>
      <c r="L439" s="395">
        <f t="shared" si="62"/>
        <v>437.5</v>
      </c>
      <c r="M439" s="344" t="s">
        <v>341</v>
      </c>
      <c r="N439" s="394" t="s">
        <v>243</v>
      </c>
      <c r="O439" s="339">
        <v>19</v>
      </c>
      <c r="P439" s="340">
        <f t="shared" si="63"/>
        <v>475</v>
      </c>
      <c r="Q439" s="396"/>
    </row>
    <row r="440" s="332" customFormat="1" hidden="1" spans="1:20">
      <c r="A440" s="332" t="s">
        <v>237</v>
      </c>
      <c r="B440" s="409">
        <v>45625</v>
      </c>
      <c r="C440" s="410">
        <v>94</v>
      </c>
      <c r="D440" s="338" t="s">
        <v>342</v>
      </c>
      <c r="E440" s="338"/>
      <c r="F440" s="338"/>
      <c r="G440" s="332" t="s">
        <v>343</v>
      </c>
      <c r="H440" s="338">
        <v>1</v>
      </c>
      <c r="I440" s="338">
        <v>20</v>
      </c>
      <c r="J440" s="342">
        <f t="shared" si="65"/>
        <v>20</v>
      </c>
      <c r="K440" s="339">
        <v>18.5</v>
      </c>
      <c r="L440" s="395">
        <f t="shared" si="62"/>
        <v>370</v>
      </c>
      <c r="M440" s="343" t="s">
        <v>344</v>
      </c>
      <c r="N440" s="394"/>
      <c r="O440" s="340">
        <v>20</v>
      </c>
      <c r="P440" s="340">
        <f t="shared" si="63"/>
        <v>400</v>
      </c>
      <c r="Q440" s="396">
        <f>SUBTOTAL(9,P439:P440)</f>
        <v>0</v>
      </c>
    </row>
    <row r="441" s="334" customFormat="1" hidden="1" spans="1:20">
      <c r="A441" s="334" t="s">
        <v>237</v>
      </c>
      <c r="B441" s="400">
        <v>45629</v>
      </c>
      <c r="C441" s="401">
        <v>3</v>
      </c>
      <c r="D441" s="347">
        <v>6832</v>
      </c>
      <c r="E441" s="347"/>
      <c r="F441" s="347"/>
      <c r="G441" s="348" t="s">
        <v>94</v>
      </c>
      <c r="H441" s="347">
        <v>20</v>
      </c>
      <c r="I441" s="347">
        <v>30</v>
      </c>
      <c r="J441" s="402">
        <f t="shared" si="65"/>
        <v>600</v>
      </c>
      <c r="K441" s="349">
        <v>7.2</v>
      </c>
      <c r="L441" s="403">
        <f t="shared" si="62"/>
        <v>4320</v>
      </c>
      <c r="M441" s="424" t="s">
        <v>374</v>
      </c>
      <c r="N441" s="404"/>
      <c r="O441" s="412">
        <v>7.5</v>
      </c>
      <c r="P441" s="412">
        <f t="shared" si="63"/>
        <v>4500</v>
      </c>
      <c r="Q441" s="405"/>
    </row>
    <row r="442" s="334" customFormat="1" hidden="1" spans="1:20">
      <c r="A442" s="334" t="s">
        <v>237</v>
      </c>
      <c r="B442" s="400">
        <v>45629</v>
      </c>
      <c r="C442" s="401">
        <v>3</v>
      </c>
      <c r="D442" s="402" t="s">
        <v>241</v>
      </c>
      <c r="E442" s="402"/>
      <c r="F442" s="402"/>
      <c r="G442" s="348" t="s">
        <v>24</v>
      </c>
      <c r="H442" s="402">
        <v>10</v>
      </c>
      <c r="I442" s="402">
        <v>25</v>
      </c>
      <c r="J442" s="402">
        <f t="shared" si="65"/>
        <v>250</v>
      </c>
      <c r="K442" s="349">
        <v>15.5</v>
      </c>
      <c r="L442" s="403">
        <f t="shared" si="62"/>
        <v>3875</v>
      </c>
      <c r="M442" s="422" t="s">
        <v>242</v>
      </c>
      <c r="N442" s="404"/>
      <c r="O442" s="349">
        <v>17</v>
      </c>
      <c r="P442" s="412">
        <f t="shared" si="63"/>
        <v>4250</v>
      </c>
      <c r="Q442" s="405"/>
    </row>
    <row r="443" s="334" customFormat="1" hidden="1" spans="1:20">
      <c r="A443" s="334" t="s">
        <v>237</v>
      </c>
      <c r="B443" s="400">
        <v>45629</v>
      </c>
      <c r="C443" s="401">
        <v>3</v>
      </c>
      <c r="D443" s="402" t="s">
        <v>244</v>
      </c>
      <c r="E443" s="402"/>
      <c r="F443" s="402"/>
      <c r="G443" s="348" t="s">
        <v>141</v>
      </c>
      <c r="H443" s="402">
        <v>5</v>
      </c>
      <c r="I443" s="402">
        <v>20</v>
      </c>
      <c r="J443" s="402">
        <f t="shared" si="65"/>
        <v>100</v>
      </c>
      <c r="K443" s="349">
        <v>15.5</v>
      </c>
      <c r="L443" s="403">
        <f t="shared" si="62"/>
        <v>1550</v>
      </c>
      <c r="M443" s="425">
        <v>303</v>
      </c>
      <c r="N443" s="404"/>
      <c r="O443" s="349">
        <v>17</v>
      </c>
      <c r="P443" s="412">
        <f t="shared" si="63"/>
        <v>1700</v>
      </c>
      <c r="Q443" s="405"/>
    </row>
    <row r="444" s="334" customFormat="1" hidden="1" spans="1:20">
      <c r="A444" s="334" t="s">
        <v>237</v>
      </c>
      <c r="B444" s="400">
        <v>45629</v>
      </c>
      <c r="C444" s="401">
        <v>3</v>
      </c>
      <c r="D444" s="347" t="s">
        <v>310</v>
      </c>
      <c r="E444" s="347"/>
      <c r="F444" s="347"/>
      <c r="G444" s="348" t="s">
        <v>35</v>
      </c>
      <c r="H444" s="347">
        <v>3</v>
      </c>
      <c r="I444" s="347">
        <v>180</v>
      </c>
      <c r="J444" s="402">
        <f t="shared" si="65"/>
        <v>540</v>
      </c>
      <c r="K444" s="349">
        <v>5.5</v>
      </c>
      <c r="L444" s="403">
        <f t="shared" si="62"/>
        <v>2970</v>
      </c>
      <c r="M444" s="347"/>
      <c r="N444" s="404"/>
      <c r="O444" s="412">
        <v>6</v>
      </c>
      <c r="P444" s="412">
        <f t="shared" si="63"/>
        <v>3240</v>
      </c>
      <c r="Q444" s="405"/>
    </row>
    <row r="445" s="334" customFormat="1" hidden="1" spans="1:20">
      <c r="A445" s="334" t="s">
        <v>237</v>
      </c>
      <c r="B445" s="400">
        <v>45629</v>
      </c>
      <c r="C445" s="401">
        <v>3</v>
      </c>
      <c r="D445" s="347" t="s">
        <v>247</v>
      </c>
      <c r="E445" s="347"/>
      <c r="F445" s="347"/>
      <c r="G445" s="348" t="s">
        <v>248</v>
      </c>
      <c r="H445" s="347">
        <v>2</v>
      </c>
      <c r="I445" s="347">
        <v>180</v>
      </c>
      <c r="J445" s="402">
        <f t="shared" si="65"/>
        <v>360</v>
      </c>
      <c r="K445" s="349">
        <v>8</v>
      </c>
      <c r="L445" s="403">
        <f t="shared" si="62"/>
        <v>2880</v>
      </c>
      <c r="M445" s="425"/>
      <c r="N445" s="404"/>
      <c r="O445" s="412">
        <v>8.5</v>
      </c>
      <c r="P445" s="412">
        <f t="shared" si="63"/>
        <v>3060</v>
      </c>
      <c r="Q445" s="405"/>
    </row>
    <row r="446" s="389" customFormat="1" ht="19" hidden="1" customHeight="1" spans="1:20">
      <c r="A446" s="334" t="s">
        <v>237</v>
      </c>
      <c r="B446" s="400">
        <v>45629</v>
      </c>
      <c r="C446" s="401">
        <v>3</v>
      </c>
      <c r="D446" s="347"/>
      <c r="E446" s="347"/>
      <c r="F446" s="347"/>
      <c r="G446" s="348" t="s">
        <v>265</v>
      </c>
      <c r="H446" s="347">
        <v>1</v>
      </c>
      <c r="I446" s="347">
        <v>20</v>
      </c>
      <c r="J446" s="402">
        <f t="shared" si="65"/>
        <v>20</v>
      </c>
      <c r="K446" s="349">
        <v>20</v>
      </c>
      <c r="L446" s="403">
        <f t="shared" si="62"/>
        <v>400</v>
      </c>
      <c r="M446" s="491" t="s">
        <v>375</v>
      </c>
      <c r="N446" s="404"/>
      <c r="O446" s="349">
        <v>25</v>
      </c>
      <c r="P446" s="412">
        <f t="shared" si="63"/>
        <v>500</v>
      </c>
      <c r="Q446" s="405"/>
    </row>
    <row r="447" s="334" customFormat="1" hidden="1" spans="1:20">
      <c r="A447" s="334" t="s">
        <v>237</v>
      </c>
      <c r="B447" s="400">
        <v>45629</v>
      </c>
      <c r="C447" s="401">
        <v>3</v>
      </c>
      <c r="D447" s="402"/>
      <c r="E447" s="402"/>
      <c r="F447" s="402"/>
      <c r="G447" s="348" t="s">
        <v>262</v>
      </c>
      <c r="H447" s="402">
        <v>1</v>
      </c>
      <c r="I447" s="402">
        <v>20</v>
      </c>
      <c r="J447" s="402">
        <f t="shared" si="65"/>
        <v>20</v>
      </c>
      <c r="K447" s="349">
        <v>25</v>
      </c>
      <c r="L447" s="403">
        <f t="shared" si="62"/>
        <v>500</v>
      </c>
      <c r="M447" s="491" t="s">
        <v>376</v>
      </c>
      <c r="N447" s="404"/>
      <c r="O447" s="349">
        <v>30</v>
      </c>
      <c r="P447" s="412">
        <f t="shared" si="63"/>
        <v>600</v>
      </c>
      <c r="Q447" s="405"/>
    </row>
    <row r="448" s="334" customFormat="1" hidden="1" spans="1:20">
      <c r="A448" s="334" t="s">
        <v>237</v>
      </c>
      <c r="B448" s="400">
        <v>45629</v>
      </c>
      <c r="C448" s="401">
        <v>3</v>
      </c>
      <c r="D448" s="347"/>
      <c r="E448" s="347"/>
      <c r="F448" s="347"/>
      <c r="G448" s="348" t="s">
        <v>306</v>
      </c>
      <c r="H448" s="347">
        <v>1</v>
      </c>
      <c r="I448" s="347">
        <v>5</v>
      </c>
      <c r="J448" s="402">
        <f t="shared" si="65"/>
        <v>5</v>
      </c>
      <c r="K448" s="349">
        <v>35</v>
      </c>
      <c r="L448" s="403">
        <f t="shared" si="62"/>
        <v>175</v>
      </c>
      <c r="M448" s="425"/>
      <c r="N448" s="404">
        <f>SUM(L441:L448)</f>
        <v>16670</v>
      </c>
      <c r="O448" s="412">
        <v>38</v>
      </c>
      <c r="P448" s="412">
        <f t="shared" si="63"/>
        <v>190</v>
      </c>
      <c r="Q448" s="405">
        <f>SUM(P441:P448)</f>
        <v>18040</v>
      </c>
      <c r="R448" s="492"/>
      <c r="S448" s="492"/>
      <c r="T448" s="492">
        <f>SUM(S437:S448)</f>
        <v>0</v>
      </c>
    </row>
    <row r="449" s="332" customFormat="1" hidden="1" spans="1:17">
      <c r="A449" s="332" t="s">
        <v>18</v>
      </c>
      <c r="B449" s="409">
        <v>45631</v>
      </c>
      <c r="C449" s="410" t="s">
        <v>68</v>
      </c>
      <c r="D449" s="338" t="s">
        <v>20</v>
      </c>
      <c r="E449" s="338"/>
      <c r="F449" s="338"/>
      <c r="G449" s="337" t="s">
        <v>21</v>
      </c>
      <c r="H449" s="338">
        <v>1</v>
      </c>
      <c r="I449" s="338">
        <v>23</v>
      </c>
      <c r="J449" s="342">
        <f t="shared" si="65"/>
        <v>23</v>
      </c>
      <c r="K449" s="339">
        <v>26</v>
      </c>
      <c r="L449" s="395">
        <f t="shared" si="62"/>
        <v>598</v>
      </c>
      <c r="M449" s="338"/>
      <c r="N449" s="394"/>
      <c r="O449" s="339">
        <v>28</v>
      </c>
      <c r="P449" s="340">
        <f t="shared" si="63"/>
        <v>644</v>
      </c>
      <c r="Q449" s="396"/>
    </row>
    <row r="450" s="332" customFormat="1" hidden="1" spans="1:17">
      <c r="A450" s="332" t="s">
        <v>18</v>
      </c>
      <c r="B450" s="409">
        <v>45631</v>
      </c>
      <c r="C450" s="410" t="s">
        <v>68</v>
      </c>
      <c r="D450" s="338">
        <v>9806</v>
      </c>
      <c r="E450" s="338"/>
      <c r="F450" s="338"/>
      <c r="G450" s="337" t="s">
        <v>29</v>
      </c>
      <c r="H450" s="338">
        <v>10</v>
      </c>
      <c r="I450" s="338">
        <v>28</v>
      </c>
      <c r="J450" s="342">
        <f t="shared" si="65"/>
        <v>280</v>
      </c>
      <c r="K450" s="339">
        <v>10.1</v>
      </c>
      <c r="L450" s="395">
        <f t="shared" si="62"/>
        <v>2828</v>
      </c>
      <c r="M450" s="152"/>
      <c r="N450" s="394"/>
      <c r="O450" s="340">
        <v>11</v>
      </c>
      <c r="P450" s="340">
        <f t="shared" si="63"/>
        <v>3080</v>
      </c>
      <c r="Q450" s="396"/>
    </row>
    <row r="451" s="332" customFormat="1" hidden="1" spans="1:17">
      <c r="A451" s="332" t="s">
        <v>18</v>
      </c>
      <c r="B451" s="409">
        <v>45631</v>
      </c>
      <c r="C451" s="410" t="s">
        <v>68</v>
      </c>
      <c r="D451" s="338" t="s">
        <v>98</v>
      </c>
      <c r="E451" s="338"/>
      <c r="F451" s="338"/>
      <c r="G451" s="337" t="s">
        <v>99</v>
      </c>
      <c r="H451" s="338">
        <v>1</v>
      </c>
      <c r="I451" s="338">
        <v>20</v>
      </c>
      <c r="J451" s="342">
        <f t="shared" si="65"/>
        <v>20</v>
      </c>
      <c r="K451" s="339">
        <v>18</v>
      </c>
      <c r="L451" s="395">
        <f t="shared" si="62"/>
        <v>360</v>
      </c>
      <c r="M451" s="337" t="s">
        <v>100</v>
      </c>
      <c r="N451" s="394"/>
      <c r="O451" s="339">
        <v>22.5</v>
      </c>
      <c r="P451" s="340">
        <f t="shared" si="63"/>
        <v>450</v>
      </c>
      <c r="Q451" s="396"/>
    </row>
    <row r="452" s="332" customFormat="1" hidden="1" spans="1:17">
      <c r="A452" s="332" t="s">
        <v>18</v>
      </c>
      <c r="B452" s="409">
        <v>45631</v>
      </c>
      <c r="C452" s="410" t="s">
        <v>68</v>
      </c>
      <c r="D452" s="338"/>
      <c r="E452" s="338"/>
      <c r="F452" s="338"/>
      <c r="G452" s="337" t="s">
        <v>22</v>
      </c>
      <c r="H452" s="338">
        <v>2</v>
      </c>
      <c r="I452" s="342">
        <v>10</v>
      </c>
      <c r="J452" s="342">
        <f t="shared" si="65"/>
        <v>20</v>
      </c>
      <c r="K452" s="339">
        <v>20</v>
      </c>
      <c r="L452" s="395">
        <f t="shared" si="62"/>
        <v>400</v>
      </c>
      <c r="M452" s="336" t="s">
        <v>23</v>
      </c>
      <c r="N452" s="394">
        <f>SUM(L449:L452)</f>
        <v>4186</v>
      </c>
      <c r="O452" s="339">
        <v>22.5</v>
      </c>
      <c r="P452" s="340">
        <f t="shared" si="63"/>
        <v>450</v>
      </c>
      <c r="Q452" s="396">
        <f>SUM(P449:P452)</f>
        <v>4624</v>
      </c>
    </row>
    <row r="453" s="334" customFormat="1" hidden="1" spans="1:17">
      <c r="A453" s="334" t="s">
        <v>18</v>
      </c>
      <c r="B453" s="400">
        <v>45635</v>
      </c>
      <c r="C453" s="401">
        <v>26</v>
      </c>
      <c r="D453" s="347" t="s">
        <v>34</v>
      </c>
      <c r="E453" s="347"/>
      <c r="F453" s="347"/>
      <c r="G453" s="348" t="s">
        <v>35</v>
      </c>
      <c r="H453" s="347">
        <v>1</v>
      </c>
      <c r="I453" s="347">
        <v>180</v>
      </c>
      <c r="J453" s="402">
        <f t="shared" si="65"/>
        <v>180</v>
      </c>
      <c r="K453" s="349">
        <v>7</v>
      </c>
      <c r="L453" s="403">
        <f t="shared" si="62"/>
        <v>1260</v>
      </c>
      <c r="M453" s="347"/>
      <c r="N453" s="404">
        <f>SUM(L452:L453)</f>
        <v>1660</v>
      </c>
      <c r="O453" s="412">
        <v>7.5</v>
      </c>
      <c r="P453" s="412">
        <f t="shared" si="63"/>
        <v>1350</v>
      </c>
      <c r="Q453" s="405">
        <f>SUM(P453)</f>
        <v>1350</v>
      </c>
    </row>
    <row r="454" s="332" customFormat="1" hidden="1" spans="1:17">
      <c r="A454" s="332" t="s">
        <v>18</v>
      </c>
      <c r="B454" s="409">
        <v>45636</v>
      </c>
      <c r="C454" s="410">
        <v>10</v>
      </c>
      <c r="D454" s="338"/>
      <c r="E454" s="338"/>
      <c r="F454" s="338"/>
      <c r="G454" s="337" t="s">
        <v>53</v>
      </c>
      <c r="H454" s="338">
        <v>1</v>
      </c>
      <c r="I454" s="342">
        <v>20</v>
      </c>
      <c r="J454" s="342">
        <f t="shared" si="65"/>
        <v>20</v>
      </c>
      <c r="K454" s="339">
        <v>20</v>
      </c>
      <c r="L454" s="395">
        <f t="shared" si="62"/>
        <v>400</v>
      </c>
      <c r="M454" s="467" t="s">
        <v>201</v>
      </c>
      <c r="N454" s="394"/>
      <c r="O454" s="339">
        <v>22.5</v>
      </c>
      <c r="P454" s="340">
        <f t="shared" si="63"/>
        <v>450</v>
      </c>
      <c r="Q454" s="396"/>
    </row>
    <row r="455" s="334" customFormat="1" hidden="1" spans="1:17">
      <c r="A455" s="334" t="s">
        <v>18</v>
      </c>
      <c r="B455" s="400">
        <v>45640</v>
      </c>
      <c r="C455" s="401" t="s">
        <v>308</v>
      </c>
      <c r="D455" s="347" t="s">
        <v>34</v>
      </c>
      <c r="E455" s="347"/>
      <c r="F455" s="347"/>
      <c r="G455" s="348" t="s">
        <v>35</v>
      </c>
      <c r="H455" s="347">
        <v>1</v>
      </c>
      <c r="I455" s="347">
        <v>180</v>
      </c>
      <c r="J455" s="402">
        <f t="shared" si="65"/>
        <v>180</v>
      </c>
      <c r="K455" s="349"/>
      <c r="L455" s="403">
        <f t="shared" si="62"/>
        <v>0</v>
      </c>
      <c r="M455" s="425" t="s">
        <v>153</v>
      </c>
      <c r="N455" s="404">
        <f>SUM(L454:L455)</f>
        <v>400</v>
      </c>
      <c r="O455" s="412"/>
      <c r="P455" s="412">
        <f t="shared" si="63"/>
        <v>0</v>
      </c>
      <c r="Q455" s="405">
        <f>SUM(P455)</f>
        <v>0</v>
      </c>
    </row>
    <row r="456" s="391" customFormat="1" hidden="1" spans="1:17">
      <c r="A456" s="391" t="s">
        <v>18</v>
      </c>
      <c r="B456" s="413">
        <v>45645</v>
      </c>
      <c r="C456" s="493" t="s">
        <v>377</v>
      </c>
      <c r="D456" s="415">
        <v>9806</v>
      </c>
      <c r="E456" s="415"/>
      <c r="F456" s="415"/>
      <c r="G456" s="408" t="s">
        <v>29</v>
      </c>
      <c r="H456" s="415">
        <v>2</v>
      </c>
      <c r="I456" s="415">
        <v>28</v>
      </c>
      <c r="J456" s="416">
        <f t="shared" si="65"/>
        <v>56</v>
      </c>
      <c r="K456" s="417"/>
      <c r="L456" s="418">
        <f t="shared" si="62"/>
        <v>0</v>
      </c>
      <c r="M456" s="147" t="s">
        <v>378</v>
      </c>
      <c r="N456" s="419"/>
      <c r="O456" s="469">
        <v>11</v>
      </c>
      <c r="P456" s="469">
        <f t="shared" si="63"/>
        <v>616</v>
      </c>
      <c r="Q456" s="420"/>
    </row>
    <row r="457" s="332" customFormat="1" hidden="1" spans="1:17">
      <c r="A457" s="332" t="s">
        <v>237</v>
      </c>
      <c r="B457" s="409">
        <v>45645</v>
      </c>
      <c r="C457" s="410">
        <v>65</v>
      </c>
      <c r="D457" s="338">
        <v>6832</v>
      </c>
      <c r="E457" s="338"/>
      <c r="F457" s="338"/>
      <c r="G457" s="337" t="s">
        <v>94</v>
      </c>
      <c r="H457" s="338">
        <v>10</v>
      </c>
      <c r="I457" s="338">
        <v>30</v>
      </c>
      <c r="J457" s="342">
        <f t="shared" si="65"/>
        <v>300</v>
      </c>
      <c r="K457" s="339">
        <v>7.2</v>
      </c>
      <c r="L457" s="395">
        <f t="shared" si="62"/>
        <v>2160</v>
      </c>
      <c r="M457" s="152" t="s">
        <v>374</v>
      </c>
      <c r="N457" s="394"/>
      <c r="O457" s="340">
        <v>7.5</v>
      </c>
      <c r="P457" s="340">
        <f t="shared" si="63"/>
        <v>2250</v>
      </c>
      <c r="Q457" s="396"/>
    </row>
    <row r="458" s="332" customFormat="1" hidden="1" spans="1:17">
      <c r="A458" s="332" t="s">
        <v>237</v>
      </c>
      <c r="B458" s="409">
        <v>45645</v>
      </c>
      <c r="C458" s="410">
        <v>65</v>
      </c>
      <c r="D458" s="342" t="s">
        <v>241</v>
      </c>
      <c r="E458" s="342"/>
      <c r="F458" s="342"/>
      <c r="G458" s="337" t="s">
        <v>24</v>
      </c>
      <c r="H458" s="342">
        <v>5</v>
      </c>
      <c r="I458" s="342">
        <v>25</v>
      </c>
      <c r="J458" s="342">
        <f t="shared" si="65"/>
        <v>125</v>
      </c>
      <c r="K458" s="339">
        <v>15.5</v>
      </c>
      <c r="L458" s="395">
        <f t="shared" si="62"/>
        <v>1937.5</v>
      </c>
      <c r="M458" s="344" t="s">
        <v>242</v>
      </c>
      <c r="N458" s="394"/>
      <c r="O458" s="339">
        <v>17</v>
      </c>
      <c r="P458" s="340">
        <f t="shared" ref="P458:P463" si="66">J458*O458</f>
        <v>2125</v>
      </c>
      <c r="Q458" s="396"/>
    </row>
    <row r="459" s="332" customFormat="1" hidden="1" spans="1:17">
      <c r="A459" s="332" t="s">
        <v>237</v>
      </c>
      <c r="B459" s="409">
        <v>45645</v>
      </c>
      <c r="C459" s="410">
        <v>65</v>
      </c>
      <c r="D459" s="342" t="s">
        <v>284</v>
      </c>
      <c r="E459" s="342"/>
      <c r="F459" s="342"/>
      <c r="G459" s="337" t="s">
        <v>99</v>
      </c>
      <c r="H459" s="342">
        <v>8</v>
      </c>
      <c r="I459" s="342">
        <v>20</v>
      </c>
      <c r="J459" s="342">
        <f t="shared" si="65"/>
        <v>160</v>
      </c>
      <c r="K459" s="339">
        <v>15.5</v>
      </c>
      <c r="L459" s="395">
        <f t="shared" si="62"/>
        <v>2480</v>
      </c>
      <c r="M459" s="344" t="s">
        <v>379</v>
      </c>
      <c r="N459" s="394"/>
      <c r="O459" s="339">
        <v>17</v>
      </c>
      <c r="P459" s="340">
        <f t="shared" si="66"/>
        <v>2720</v>
      </c>
      <c r="Q459" s="396"/>
    </row>
    <row r="460" s="332" customFormat="1" hidden="1" spans="1:17">
      <c r="A460" s="332" t="s">
        <v>237</v>
      </c>
      <c r="B460" s="409">
        <v>45645</v>
      </c>
      <c r="C460" s="410">
        <v>65</v>
      </c>
      <c r="D460" s="342" t="s">
        <v>244</v>
      </c>
      <c r="E460" s="342"/>
      <c r="F460" s="342"/>
      <c r="G460" s="337" t="s">
        <v>141</v>
      </c>
      <c r="H460" s="342">
        <v>7</v>
      </c>
      <c r="I460" s="342">
        <v>20</v>
      </c>
      <c r="J460" s="342">
        <f t="shared" si="65"/>
        <v>140</v>
      </c>
      <c r="K460" s="339">
        <v>15.5</v>
      </c>
      <c r="L460" s="395">
        <f t="shared" si="62"/>
        <v>2170</v>
      </c>
      <c r="M460" s="344" t="s">
        <v>380</v>
      </c>
      <c r="N460" s="394"/>
      <c r="O460" s="339">
        <v>17</v>
      </c>
      <c r="P460" s="340">
        <f t="shared" si="66"/>
        <v>2380</v>
      </c>
      <c r="Q460" s="396"/>
    </row>
    <row r="461" s="332" customFormat="1" hidden="1" spans="1:17">
      <c r="A461" s="332" t="s">
        <v>237</v>
      </c>
      <c r="B461" s="409">
        <v>45645</v>
      </c>
      <c r="C461" s="410">
        <v>65</v>
      </c>
      <c r="D461" s="338" t="s">
        <v>310</v>
      </c>
      <c r="E461" s="338"/>
      <c r="F461" s="338"/>
      <c r="G461" s="337" t="s">
        <v>35</v>
      </c>
      <c r="H461" s="338">
        <v>2</v>
      </c>
      <c r="I461" s="338">
        <v>180</v>
      </c>
      <c r="J461" s="342">
        <f t="shared" si="65"/>
        <v>360</v>
      </c>
      <c r="K461" s="339">
        <v>5.5</v>
      </c>
      <c r="L461" s="395">
        <f t="shared" si="62"/>
        <v>1980</v>
      </c>
      <c r="M461" s="338"/>
      <c r="N461" s="394"/>
      <c r="O461" s="340">
        <v>6</v>
      </c>
      <c r="P461" s="340">
        <f t="shared" si="66"/>
        <v>2160</v>
      </c>
      <c r="Q461" s="396"/>
    </row>
    <row r="462" s="332" customFormat="1" hidden="1" spans="1:17">
      <c r="A462" s="332" t="s">
        <v>237</v>
      </c>
      <c r="B462" s="409">
        <v>45645</v>
      </c>
      <c r="C462" s="410">
        <v>65</v>
      </c>
      <c r="D462" s="338" t="s">
        <v>247</v>
      </c>
      <c r="E462" s="338"/>
      <c r="F462" s="338"/>
      <c r="G462" s="337" t="s">
        <v>248</v>
      </c>
      <c r="H462" s="338">
        <v>3</v>
      </c>
      <c r="I462" s="338">
        <v>180</v>
      </c>
      <c r="J462" s="342">
        <f t="shared" si="65"/>
        <v>540</v>
      </c>
      <c r="K462" s="339">
        <v>8</v>
      </c>
      <c r="L462" s="395">
        <f t="shared" si="62"/>
        <v>4320</v>
      </c>
      <c r="M462" s="336"/>
      <c r="N462" s="394">
        <f>SUM(L457:L462)</f>
        <v>15047.5</v>
      </c>
      <c r="O462" s="340">
        <v>8.5</v>
      </c>
      <c r="P462" s="340">
        <f t="shared" si="66"/>
        <v>4590</v>
      </c>
      <c r="Q462" s="396">
        <f>SUM(P457:P462)</f>
        <v>16225</v>
      </c>
    </row>
    <row r="463" s="391" customFormat="1" hidden="1" spans="1:17">
      <c r="A463" s="391" t="s">
        <v>18</v>
      </c>
      <c r="B463" s="413">
        <v>45651</v>
      </c>
      <c r="C463" s="493" t="s">
        <v>377</v>
      </c>
      <c r="D463" s="415">
        <v>9806</v>
      </c>
      <c r="E463" s="415"/>
      <c r="F463" s="415"/>
      <c r="G463" s="408" t="s">
        <v>29</v>
      </c>
      <c r="H463" s="415">
        <v>3</v>
      </c>
      <c r="I463" s="415">
        <v>28</v>
      </c>
      <c r="J463" s="416">
        <f t="shared" si="65"/>
        <v>84</v>
      </c>
      <c r="K463" s="417"/>
      <c r="L463" s="418">
        <f t="shared" si="62"/>
        <v>0</v>
      </c>
      <c r="M463" s="147" t="s">
        <v>378</v>
      </c>
      <c r="N463" s="419"/>
      <c r="O463" s="469">
        <v>11</v>
      </c>
      <c r="P463" s="469">
        <f t="shared" si="66"/>
        <v>924</v>
      </c>
      <c r="Q463" s="420"/>
    </row>
    <row r="464" s="334" customFormat="1" hidden="1" spans="1:17">
      <c r="A464" s="334" t="s">
        <v>18</v>
      </c>
      <c r="B464" s="400">
        <v>45652</v>
      </c>
      <c r="C464" s="401">
        <v>80</v>
      </c>
      <c r="D464" s="347">
        <v>9806</v>
      </c>
      <c r="E464" s="347"/>
      <c r="F464" s="347"/>
      <c r="G464" s="348" t="s">
        <v>29</v>
      </c>
      <c r="H464" s="347">
        <v>10</v>
      </c>
      <c r="I464" s="347">
        <v>28</v>
      </c>
      <c r="J464" s="402">
        <f t="shared" si="65"/>
        <v>280</v>
      </c>
      <c r="K464" s="349">
        <v>10.1</v>
      </c>
      <c r="L464" s="403">
        <f t="shared" si="62"/>
        <v>2828</v>
      </c>
      <c r="M464" s="424"/>
      <c r="N464" s="404"/>
      <c r="O464" s="412">
        <v>11</v>
      </c>
      <c r="P464" s="412">
        <f t="shared" ref="P464:P518" si="67">J464*O464</f>
        <v>3080</v>
      </c>
      <c r="Q464" s="405"/>
    </row>
    <row r="465" s="334" customFormat="1" hidden="1" spans="1:19">
      <c r="A465" s="334" t="s">
        <v>18</v>
      </c>
      <c r="B465" s="400">
        <v>45652</v>
      </c>
      <c r="C465" s="401">
        <v>80</v>
      </c>
      <c r="D465" s="347" t="s">
        <v>34</v>
      </c>
      <c r="E465" s="347"/>
      <c r="F465" s="347"/>
      <c r="G465" s="348" t="s">
        <v>35</v>
      </c>
      <c r="H465" s="347">
        <v>1</v>
      </c>
      <c r="I465" s="347">
        <v>180</v>
      </c>
      <c r="J465" s="402">
        <f t="shared" si="65"/>
        <v>180</v>
      </c>
      <c r="K465" s="349">
        <v>7</v>
      </c>
      <c r="L465" s="403">
        <f t="shared" si="62"/>
        <v>1260</v>
      </c>
      <c r="M465" s="347"/>
      <c r="N465" s="404">
        <f>SUM(L464:L465)</f>
        <v>4088</v>
      </c>
      <c r="O465" s="412">
        <v>7.5</v>
      </c>
      <c r="P465" s="412">
        <f t="shared" si="67"/>
        <v>1350</v>
      </c>
      <c r="Q465" s="405">
        <f>SUM(P465)</f>
        <v>1350</v>
      </c>
    </row>
    <row r="466" s="353" customFormat="1" hidden="1" spans="1:19">
      <c r="A466" s="332" t="s">
        <v>18</v>
      </c>
      <c r="B466" s="409">
        <v>45656</v>
      </c>
      <c r="C466" s="410">
        <v>92</v>
      </c>
      <c r="D466" s="338" t="s">
        <v>184</v>
      </c>
      <c r="E466" s="338"/>
      <c r="F466" s="338"/>
      <c r="G466" s="337" t="s">
        <v>185</v>
      </c>
      <c r="H466" s="338">
        <v>1</v>
      </c>
      <c r="I466" s="338">
        <v>20</v>
      </c>
      <c r="J466" s="342">
        <f t="shared" si="65"/>
        <v>20</v>
      </c>
      <c r="K466" s="339">
        <v>24</v>
      </c>
      <c r="L466" s="395">
        <f t="shared" si="62"/>
        <v>480</v>
      </c>
      <c r="M466" s="344" t="s">
        <v>298</v>
      </c>
      <c r="N466" s="394"/>
      <c r="O466" s="339">
        <v>28</v>
      </c>
      <c r="P466" s="340">
        <f t="shared" si="67"/>
        <v>560</v>
      </c>
      <c r="Q466" s="396">
        <v>820</v>
      </c>
    </row>
    <row r="467" s="332" customFormat="1" hidden="1" spans="1:19">
      <c r="A467" s="332" t="s">
        <v>18</v>
      </c>
      <c r="B467" s="409">
        <v>45656</v>
      </c>
      <c r="C467" s="410">
        <v>92</v>
      </c>
      <c r="D467" s="338" t="s">
        <v>184</v>
      </c>
      <c r="E467" s="338"/>
      <c r="F467" s="338"/>
      <c r="G467" s="337" t="s">
        <v>185</v>
      </c>
      <c r="H467" s="338">
        <v>1</v>
      </c>
      <c r="I467" s="338">
        <v>21</v>
      </c>
      <c r="J467" s="342">
        <f t="shared" si="65"/>
        <v>21</v>
      </c>
      <c r="K467" s="339">
        <v>24</v>
      </c>
      <c r="L467" s="395">
        <f t="shared" si="62"/>
        <v>504</v>
      </c>
      <c r="M467" s="336"/>
      <c r="N467" s="394"/>
      <c r="O467" s="339">
        <v>28</v>
      </c>
      <c r="P467" s="340">
        <f t="shared" si="67"/>
        <v>588</v>
      </c>
      <c r="Q467" s="396"/>
    </row>
    <row r="468" s="332" customFormat="1" hidden="1" spans="1:19">
      <c r="A468" s="332" t="s">
        <v>18</v>
      </c>
      <c r="B468" s="409">
        <v>45656</v>
      </c>
      <c r="C468" s="410">
        <v>92</v>
      </c>
      <c r="D468" s="478" t="s">
        <v>381</v>
      </c>
      <c r="E468" s="338"/>
      <c r="F468" s="338"/>
      <c r="G468" s="337" t="s">
        <v>382</v>
      </c>
      <c r="H468" s="338">
        <v>1</v>
      </c>
      <c r="I468" s="342">
        <v>22</v>
      </c>
      <c r="J468" s="342">
        <f t="shared" si="65"/>
        <v>22</v>
      </c>
      <c r="K468" s="339">
        <v>20</v>
      </c>
      <c r="L468" s="395">
        <f t="shared" si="62"/>
        <v>440</v>
      </c>
      <c r="M468" s="341" t="s">
        <v>383</v>
      </c>
      <c r="N468" s="341"/>
      <c r="O468" s="338">
        <v>22.5</v>
      </c>
      <c r="P468" s="340">
        <f t="shared" si="67"/>
        <v>495</v>
      </c>
      <c r="Q468" s="396"/>
    </row>
    <row r="469" s="332" customFormat="1" hidden="1" spans="1:19">
      <c r="A469" s="332" t="s">
        <v>18</v>
      </c>
      <c r="B469" s="409">
        <v>45656</v>
      </c>
      <c r="C469" s="410">
        <v>92</v>
      </c>
      <c r="D469" s="478"/>
      <c r="E469" s="338"/>
      <c r="F469" s="338"/>
      <c r="G469" s="337" t="s">
        <v>64</v>
      </c>
      <c r="H469" s="338">
        <v>1</v>
      </c>
      <c r="I469" s="342">
        <v>1</v>
      </c>
      <c r="J469" s="342">
        <f t="shared" si="65"/>
        <v>1</v>
      </c>
      <c r="K469" s="339">
        <v>20</v>
      </c>
      <c r="L469" s="395">
        <f>J469*K469</f>
        <v>20</v>
      </c>
      <c r="M469" s="341" t="s">
        <v>384</v>
      </c>
      <c r="N469" s="341">
        <f t="shared" ref="N469:N471" si="68">SUM(L466:L469)</f>
        <v>1444</v>
      </c>
      <c r="O469" s="338">
        <v>22.5</v>
      </c>
      <c r="P469" s="340">
        <f t="shared" si="67"/>
        <v>22.5</v>
      </c>
      <c r="Q469" s="396">
        <f t="shared" ref="Q469:Q471" si="69">SUM(P466:P469)</f>
        <v>1665.5</v>
      </c>
    </row>
    <row r="470" s="334" customFormat="1" hidden="1" spans="1:19">
      <c r="A470" s="334" t="s">
        <v>18</v>
      </c>
      <c r="B470" s="400">
        <v>45659</v>
      </c>
      <c r="C470" s="401">
        <v>3</v>
      </c>
      <c r="D470" s="465" t="s">
        <v>385</v>
      </c>
      <c r="E470" s="347"/>
      <c r="F470" s="347"/>
      <c r="G470" s="348" t="s">
        <v>91</v>
      </c>
      <c r="H470" s="347">
        <v>1</v>
      </c>
      <c r="I470" s="402">
        <v>10</v>
      </c>
      <c r="J470" s="402">
        <f t="shared" si="65"/>
        <v>10</v>
      </c>
      <c r="K470" s="349">
        <v>20</v>
      </c>
      <c r="L470" s="403">
        <f t="shared" ref="L470:L498" si="70">J470*K470</f>
        <v>200</v>
      </c>
      <c r="M470" s="463" t="s">
        <v>384</v>
      </c>
      <c r="N470" s="463">
        <f t="shared" si="68"/>
        <v>1164</v>
      </c>
      <c r="O470" s="347">
        <v>22.5</v>
      </c>
      <c r="P470" s="412">
        <f t="shared" si="67"/>
        <v>225</v>
      </c>
      <c r="Q470" s="405">
        <f t="shared" si="69"/>
        <v>1330.5</v>
      </c>
    </row>
    <row r="471" s="334" customFormat="1" hidden="1" spans="1:19">
      <c r="A471" s="334" t="s">
        <v>18</v>
      </c>
      <c r="B471" s="400">
        <v>45659</v>
      </c>
      <c r="C471" s="401">
        <v>3</v>
      </c>
      <c r="D471" s="465" t="s">
        <v>386</v>
      </c>
      <c r="E471" s="347"/>
      <c r="F471" s="347"/>
      <c r="G471" s="348" t="s">
        <v>230</v>
      </c>
      <c r="H471" s="347">
        <v>1</v>
      </c>
      <c r="I471" s="402">
        <v>10</v>
      </c>
      <c r="J471" s="402">
        <f t="shared" si="65"/>
        <v>10</v>
      </c>
      <c r="K471" s="349">
        <v>20</v>
      </c>
      <c r="L471" s="403">
        <f t="shared" si="70"/>
        <v>200</v>
      </c>
      <c r="M471" s="463" t="s">
        <v>384</v>
      </c>
      <c r="N471" s="463">
        <f t="shared" si="68"/>
        <v>860</v>
      </c>
      <c r="O471" s="347">
        <v>22.5</v>
      </c>
      <c r="P471" s="412">
        <f t="shared" si="67"/>
        <v>225</v>
      </c>
      <c r="Q471" s="405">
        <f t="shared" si="69"/>
        <v>967.5</v>
      </c>
    </row>
    <row r="472" s="332" customFormat="1" hidden="1" spans="1:19">
      <c r="A472" s="332" t="s">
        <v>237</v>
      </c>
      <c r="B472" s="409">
        <v>45659</v>
      </c>
      <c r="C472" s="410">
        <v>4</v>
      </c>
      <c r="D472" s="338">
        <v>6832</v>
      </c>
      <c r="E472" s="338"/>
      <c r="F472" s="338"/>
      <c r="G472" s="337" t="s">
        <v>94</v>
      </c>
      <c r="H472" s="338">
        <v>15</v>
      </c>
      <c r="I472" s="338">
        <v>30</v>
      </c>
      <c r="J472" s="342">
        <f t="shared" si="65"/>
        <v>450</v>
      </c>
      <c r="K472" s="339">
        <v>7.2</v>
      </c>
      <c r="L472" s="395">
        <f t="shared" si="70"/>
        <v>3240</v>
      </c>
      <c r="M472" s="152" t="s">
        <v>374</v>
      </c>
      <c r="N472" s="394"/>
      <c r="O472" s="340">
        <v>7.5</v>
      </c>
      <c r="P472" s="340">
        <f t="shared" si="67"/>
        <v>3375</v>
      </c>
      <c r="Q472" s="396"/>
    </row>
    <row r="473" s="332" customFormat="1" hidden="1" spans="1:19">
      <c r="A473" s="332" t="s">
        <v>237</v>
      </c>
      <c r="B473" s="409">
        <v>45659</v>
      </c>
      <c r="C473" s="410">
        <v>4</v>
      </c>
      <c r="D473" s="338" t="s">
        <v>310</v>
      </c>
      <c r="E473" s="338"/>
      <c r="F473" s="338"/>
      <c r="G473" s="337" t="s">
        <v>35</v>
      </c>
      <c r="H473" s="338">
        <v>15</v>
      </c>
      <c r="I473" s="338">
        <v>18</v>
      </c>
      <c r="J473" s="342">
        <f t="shared" si="65"/>
        <v>270</v>
      </c>
      <c r="K473" s="339">
        <v>6.2</v>
      </c>
      <c r="L473" s="395">
        <f t="shared" si="70"/>
        <v>1674</v>
      </c>
      <c r="M473" s="336" t="s">
        <v>387</v>
      </c>
      <c r="N473" s="394">
        <f>SUM(L472:L474)</f>
        <v>4958</v>
      </c>
      <c r="O473" s="340">
        <v>6.7</v>
      </c>
      <c r="P473" s="340">
        <f t="shared" si="67"/>
        <v>1809</v>
      </c>
      <c r="Q473" s="396"/>
    </row>
    <row r="474" s="353" customFormat="1" hidden="1" spans="1:19">
      <c r="A474" s="332" t="s">
        <v>237</v>
      </c>
      <c r="B474" s="409">
        <v>45659</v>
      </c>
      <c r="C474" s="410">
        <v>4</v>
      </c>
      <c r="D474" s="338"/>
      <c r="E474" s="338"/>
      <c r="F474" s="338"/>
      <c r="G474" s="408" t="s">
        <v>388</v>
      </c>
      <c r="H474" s="338">
        <v>1</v>
      </c>
      <c r="I474" s="338">
        <v>2</v>
      </c>
      <c r="J474" s="342">
        <f t="shared" si="65"/>
        <v>2</v>
      </c>
      <c r="K474" s="417">
        <v>22</v>
      </c>
      <c r="L474" s="395">
        <f t="shared" si="70"/>
        <v>44</v>
      </c>
      <c r="M474" s="494" t="s">
        <v>389</v>
      </c>
      <c r="N474" s="394"/>
      <c r="O474" s="339">
        <v>25</v>
      </c>
      <c r="P474" s="340">
        <f t="shared" si="67"/>
        <v>50</v>
      </c>
      <c r="Q474" s="396">
        <f>SUM(P472:P474)</f>
        <v>5234</v>
      </c>
    </row>
    <row r="475" s="334" customFormat="1" hidden="1" spans="1:19">
      <c r="A475" s="334" t="s">
        <v>18</v>
      </c>
      <c r="B475" s="400">
        <v>45663</v>
      </c>
      <c r="C475" s="401">
        <v>18</v>
      </c>
      <c r="D475" s="347" t="s">
        <v>51</v>
      </c>
      <c r="E475" s="347"/>
      <c r="F475" s="347"/>
      <c r="G475" s="348" t="s">
        <v>39</v>
      </c>
      <c r="H475" s="347">
        <v>1</v>
      </c>
      <c r="I475" s="347">
        <v>180</v>
      </c>
      <c r="J475" s="402">
        <f t="shared" si="65"/>
        <v>180</v>
      </c>
      <c r="K475" s="349">
        <v>9.5</v>
      </c>
      <c r="L475" s="403">
        <f t="shared" si="70"/>
        <v>1710</v>
      </c>
      <c r="M475" s="422" t="s">
        <v>373</v>
      </c>
      <c r="N475" s="404"/>
      <c r="O475" s="412">
        <v>10.5</v>
      </c>
      <c r="P475" s="412">
        <f t="shared" si="67"/>
        <v>1890</v>
      </c>
      <c r="Q475" s="405"/>
    </row>
    <row r="476" s="334" customFormat="1" hidden="1" spans="1:19">
      <c r="A476" s="334" t="s">
        <v>18</v>
      </c>
      <c r="B476" s="400">
        <v>45663</v>
      </c>
      <c r="C476" s="401">
        <v>18</v>
      </c>
      <c r="D476" s="347" t="s">
        <v>34</v>
      </c>
      <c r="E476" s="347"/>
      <c r="F476" s="347"/>
      <c r="G476" s="348" t="s">
        <v>35</v>
      </c>
      <c r="H476" s="347">
        <v>1</v>
      </c>
      <c r="I476" s="347">
        <v>180</v>
      </c>
      <c r="J476" s="402">
        <f t="shared" si="65"/>
        <v>180</v>
      </c>
      <c r="K476" s="349">
        <v>7</v>
      </c>
      <c r="L476" s="403">
        <f t="shared" si="70"/>
        <v>1260</v>
      </c>
      <c r="M476" s="347"/>
      <c r="N476" s="404">
        <f>SUM(L475:L476)</f>
        <v>2970</v>
      </c>
      <c r="O476" s="412">
        <v>7.5</v>
      </c>
      <c r="P476" s="412">
        <f t="shared" si="67"/>
        <v>1350</v>
      </c>
      <c r="Q476" s="405">
        <f>SUM(P476)</f>
        <v>1350</v>
      </c>
    </row>
    <row r="477" s="332" customFormat="1" hidden="1" spans="1:19">
      <c r="A477" s="332" t="s">
        <v>18</v>
      </c>
      <c r="B477" s="409">
        <v>45668</v>
      </c>
      <c r="C477" s="410">
        <v>39</v>
      </c>
      <c r="D477" s="338"/>
      <c r="E477" s="338"/>
      <c r="F477" s="338"/>
      <c r="G477" s="337" t="s">
        <v>53</v>
      </c>
      <c r="H477" s="338">
        <v>1</v>
      </c>
      <c r="I477" s="342">
        <v>20</v>
      </c>
      <c r="J477" s="342">
        <f t="shared" si="65"/>
        <v>20</v>
      </c>
      <c r="K477" s="339">
        <v>20</v>
      </c>
      <c r="L477" s="395">
        <f t="shared" si="70"/>
        <v>400</v>
      </c>
      <c r="M477" s="467" t="s">
        <v>201</v>
      </c>
      <c r="N477" s="394"/>
      <c r="O477" s="339">
        <v>22.5</v>
      </c>
      <c r="P477" s="340">
        <f t="shared" si="67"/>
        <v>450</v>
      </c>
      <c r="Q477" s="396"/>
    </row>
    <row r="478" s="334" customFormat="1" hidden="1" spans="1:19">
      <c r="A478" s="334" t="s">
        <v>351</v>
      </c>
      <c r="B478" s="400">
        <v>45670</v>
      </c>
      <c r="C478" s="401" t="s">
        <v>390</v>
      </c>
      <c r="D478" s="402" t="s">
        <v>391</v>
      </c>
      <c r="E478" s="402"/>
      <c r="F478" s="402"/>
      <c r="G478" s="348" t="s">
        <v>99</v>
      </c>
      <c r="H478" s="402">
        <v>5</v>
      </c>
      <c r="I478" s="402">
        <v>20</v>
      </c>
      <c r="J478" s="402">
        <f t="shared" si="65"/>
        <v>100</v>
      </c>
      <c r="K478" s="349">
        <v>15.5</v>
      </c>
      <c r="L478" s="403">
        <f t="shared" si="70"/>
        <v>1550</v>
      </c>
      <c r="M478" s="422" t="s">
        <v>353</v>
      </c>
      <c r="N478" s="404"/>
      <c r="O478" s="349">
        <v>17</v>
      </c>
      <c r="P478" s="412">
        <f t="shared" si="67"/>
        <v>1700</v>
      </c>
      <c r="Q478" s="405"/>
      <c r="R478" s="492">
        <v>11.5</v>
      </c>
      <c r="S478" s="492">
        <f t="shared" ref="S478:S481" si="71">J478*R478</f>
        <v>1150</v>
      </c>
    </row>
    <row r="479" s="334" customFormat="1" hidden="1" spans="1:19">
      <c r="A479" s="334" t="s">
        <v>351</v>
      </c>
      <c r="B479" s="400">
        <v>45670</v>
      </c>
      <c r="C479" s="401" t="s">
        <v>390</v>
      </c>
      <c r="D479" s="402" t="s">
        <v>354</v>
      </c>
      <c r="E479" s="402"/>
      <c r="F479" s="402"/>
      <c r="G479" s="348" t="s">
        <v>141</v>
      </c>
      <c r="H479" s="402">
        <v>5</v>
      </c>
      <c r="I479" s="402">
        <v>20</v>
      </c>
      <c r="J479" s="402">
        <f t="shared" si="65"/>
        <v>100</v>
      </c>
      <c r="K479" s="349">
        <v>15.5</v>
      </c>
      <c r="L479" s="403">
        <f t="shared" si="70"/>
        <v>1550</v>
      </c>
      <c r="M479" s="425">
        <v>303</v>
      </c>
      <c r="N479" s="404"/>
      <c r="O479" s="349">
        <v>17</v>
      </c>
      <c r="P479" s="412">
        <f t="shared" si="67"/>
        <v>1700</v>
      </c>
      <c r="Q479" s="405"/>
      <c r="R479" s="492">
        <v>10.4</v>
      </c>
      <c r="S479" s="492">
        <f t="shared" si="71"/>
        <v>1040</v>
      </c>
    </row>
    <row r="480" s="334" customFormat="1" hidden="1" spans="1:19">
      <c r="A480" s="334" t="s">
        <v>351</v>
      </c>
      <c r="B480" s="400">
        <v>45670</v>
      </c>
      <c r="C480" s="401" t="s">
        <v>390</v>
      </c>
      <c r="D480" s="347" t="s">
        <v>355</v>
      </c>
      <c r="E480" s="347"/>
      <c r="F480" s="347"/>
      <c r="G480" s="348" t="s">
        <v>35</v>
      </c>
      <c r="H480" s="347">
        <v>10</v>
      </c>
      <c r="I480" s="347">
        <v>18</v>
      </c>
      <c r="J480" s="402">
        <f t="shared" si="65"/>
        <v>180</v>
      </c>
      <c r="K480" s="349">
        <v>6.2</v>
      </c>
      <c r="L480" s="403">
        <f t="shared" si="70"/>
        <v>1116</v>
      </c>
      <c r="M480" s="425" t="s">
        <v>356</v>
      </c>
      <c r="N480" s="404">
        <f>SUM(L478:L481)</f>
        <v>4999</v>
      </c>
      <c r="O480" s="412">
        <v>6.7</v>
      </c>
      <c r="P480" s="412">
        <f t="shared" si="67"/>
        <v>1206</v>
      </c>
      <c r="Q480" s="405">
        <f>SUM(P478:P481)</f>
        <v>5434</v>
      </c>
      <c r="R480" s="492">
        <v>5</v>
      </c>
      <c r="S480" s="492">
        <f t="shared" si="71"/>
        <v>900</v>
      </c>
    </row>
    <row r="481" s="334" customFormat="1" hidden="1" spans="1:19">
      <c r="A481" s="334" t="s">
        <v>351</v>
      </c>
      <c r="B481" s="400">
        <v>45670</v>
      </c>
      <c r="C481" s="401" t="s">
        <v>390</v>
      </c>
      <c r="D481" s="347" t="s">
        <v>357</v>
      </c>
      <c r="E481" s="347"/>
      <c r="F481" s="347"/>
      <c r="G481" s="348" t="s">
        <v>248</v>
      </c>
      <c r="H481" s="347">
        <v>5</v>
      </c>
      <c r="I481" s="347">
        <v>18</v>
      </c>
      <c r="J481" s="402">
        <f t="shared" si="65"/>
        <v>90</v>
      </c>
      <c r="K481" s="349">
        <v>8.7</v>
      </c>
      <c r="L481" s="403">
        <f t="shared" si="70"/>
        <v>783</v>
      </c>
      <c r="M481" s="425" t="s">
        <v>356</v>
      </c>
      <c r="N481" s="404"/>
      <c r="O481" s="412">
        <v>9.2</v>
      </c>
      <c r="P481" s="412">
        <f t="shared" si="67"/>
        <v>828</v>
      </c>
      <c r="Q481" s="405"/>
      <c r="R481" s="492">
        <v>6.61</v>
      </c>
      <c r="S481" s="492">
        <f t="shared" si="71"/>
        <v>594.9</v>
      </c>
    </row>
    <row r="482" s="332" customFormat="1" hidden="1" spans="1:19">
      <c r="A482" s="332" t="s">
        <v>18</v>
      </c>
      <c r="B482" s="409">
        <v>45705</v>
      </c>
      <c r="C482" s="410">
        <v>4</v>
      </c>
      <c r="D482" s="338">
        <v>9806</v>
      </c>
      <c r="E482" s="338"/>
      <c r="F482" s="338"/>
      <c r="G482" s="337" t="s">
        <v>29</v>
      </c>
      <c r="H482" s="338">
        <v>10</v>
      </c>
      <c r="I482" s="338">
        <v>28</v>
      </c>
      <c r="J482" s="342">
        <f>H482*I482</f>
        <v>280</v>
      </c>
      <c r="K482" s="339">
        <v>10.1</v>
      </c>
      <c r="L482" s="395">
        <f t="shared" si="70"/>
        <v>2828</v>
      </c>
      <c r="M482" s="152"/>
      <c r="N482" s="394"/>
      <c r="O482" s="340">
        <v>11</v>
      </c>
      <c r="P482" s="340">
        <f t="shared" si="67"/>
        <v>3080</v>
      </c>
      <c r="Q482" s="396"/>
    </row>
    <row r="483" s="332" customFormat="1" hidden="1" spans="1:19">
      <c r="A483" s="332" t="s">
        <v>18</v>
      </c>
      <c r="B483" s="409">
        <v>45705</v>
      </c>
      <c r="C483" s="410">
        <v>4</v>
      </c>
      <c r="D483" s="338"/>
      <c r="E483" s="338"/>
      <c r="F483" s="338"/>
      <c r="G483" s="337" t="s">
        <v>24</v>
      </c>
      <c r="H483" s="338">
        <v>4</v>
      </c>
      <c r="I483" s="338">
        <v>25</v>
      </c>
      <c r="J483" s="342">
        <f t="shared" ref="J483:J497" si="72">H483*I483</f>
        <v>100</v>
      </c>
      <c r="K483" s="339">
        <v>19</v>
      </c>
      <c r="L483" s="395">
        <f t="shared" si="70"/>
        <v>1900</v>
      </c>
      <c r="M483" s="344" t="s">
        <v>392</v>
      </c>
      <c r="N483" s="394"/>
      <c r="O483" s="339">
        <v>22.5</v>
      </c>
      <c r="P483" s="340">
        <f t="shared" si="67"/>
        <v>2250</v>
      </c>
      <c r="Q483" s="396"/>
    </row>
    <row r="484" s="332" customFormat="1" hidden="1" spans="1:19">
      <c r="A484" s="332" t="s">
        <v>18</v>
      </c>
      <c r="B484" s="409">
        <v>45705</v>
      </c>
      <c r="C484" s="410">
        <v>4</v>
      </c>
      <c r="D484" s="338"/>
      <c r="E484" s="338"/>
      <c r="F484" s="338"/>
      <c r="G484" s="337" t="s">
        <v>24</v>
      </c>
      <c r="H484" s="338">
        <v>1</v>
      </c>
      <c r="I484" s="338">
        <v>25</v>
      </c>
      <c r="J484" s="342">
        <f t="shared" si="72"/>
        <v>25</v>
      </c>
      <c r="K484" s="339"/>
      <c r="L484" s="395"/>
      <c r="M484" s="344" t="s">
        <v>153</v>
      </c>
      <c r="N484" s="394"/>
      <c r="O484" s="339"/>
      <c r="P484" s="340">
        <f t="shared" si="67"/>
        <v>0</v>
      </c>
      <c r="Q484" s="396"/>
    </row>
    <row r="485" s="332" customFormat="1" hidden="1" spans="1:19">
      <c r="A485" s="332" t="s">
        <v>18</v>
      </c>
      <c r="B485" s="409">
        <v>45705</v>
      </c>
      <c r="C485" s="410">
        <v>4</v>
      </c>
      <c r="D485" s="338"/>
      <c r="E485" s="338"/>
      <c r="F485" s="338"/>
      <c r="G485" s="337" t="s">
        <v>22</v>
      </c>
      <c r="H485" s="338">
        <v>6</v>
      </c>
      <c r="I485" s="342">
        <v>10</v>
      </c>
      <c r="J485" s="342">
        <f t="shared" si="72"/>
        <v>60</v>
      </c>
      <c r="K485" s="339">
        <v>20</v>
      </c>
      <c r="L485" s="395">
        <f t="shared" si="70"/>
        <v>1200</v>
      </c>
      <c r="M485" s="336" t="s">
        <v>23</v>
      </c>
      <c r="N485" s="394">
        <f>SUM(L482:L485)</f>
        <v>5928</v>
      </c>
      <c r="O485" s="339">
        <v>22.5</v>
      </c>
      <c r="P485" s="340">
        <f t="shared" si="67"/>
        <v>1350</v>
      </c>
      <c r="Q485" s="396"/>
    </row>
    <row r="486" s="334" customFormat="1" hidden="1" spans="1:19">
      <c r="A486" s="334" t="s">
        <v>351</v>
      </c>
      <c r="B486" s="400">
        <v>45705</v>
      </c>
      <c r="C486" s="401">
        <v>8</v>
      </c>
      <c r="D486" s="347">
        <v>6832</v>
      </c>
      <c r="E486" s="347"/>
      <c r="F486" s="347"/>
      <c r="G486" s="348" t="s">
        <v>94</v>
      </c>
      <c r="H486" s="347">
        <v>10</v>
      </c>
      <c r="I486" s="347">
        <v>30</v>
      </c>
      <c r="J486" s="402">
        <f t="shared" si="72"/>
        <v>300</v>
      </c>
      <c r="K486" s="349">
        <v>7.2</v>
      </c>
      <c r="L486" s="403">
        <f t="shared" si="70"/>
        <v>2160</v>
      </c>
      <c r="M486" s="424"/>
      <c r="N486" s="404"/>
      <c r="O486" s="412">
        <v>7.5</v>
      </c>
      <c r="P486" s="412">
        <f t="shared" si="67"/>
        <v>2250</v>
      </c>
      <c r="Q486" s="405"/>
      <c r="R486" s="492">
        <v>6.4</v>
      </c>
      <c r="S486" s="492">
        <f t="shared" ref="S486:S491" si="73">J486*R486</f>
        <v>1920</v>
      </c>
    </row>
    <row r="487" s="334" customFormat="1" hidden="1" spans="1:19">
      <c r="A487" s="334" t="s">
        <v>351</v>
      </c>
      <c r="B487" s="400">
        <v>45705</v>
      </c>
      <c r="C487" s="401">
        <v>8</v>
      </c>
      <c r="D487" s="402" t="s">
        <v>352</v>
      </c>
      <c r="E487" s="402"/>
      <c r="F487" s="402"/>
      <c r="G487" s="348" t="s">
        <v>24</v>
      </c>
      <c r="H487" s="402">
        <v>5</v>
      </c>
      <c r="I487" s="402">
        <v>25</v>
      </c>
      <c r="J487" s="402">
        <f t="shared" si="72"/>
        <v>125</v>
      </c>
      <c r="K487" s="349">
        <v>15.5</v>
      </c>
      <c r="L487" s="403">
        <f t="shared" si="70"/>
        <v>1937.5</v>
      </c>
      <c r="M487" s="422" t="s">
        <v>242</v>
      </c>
      <c r="N487" s="404"/>
      <c r="O487" s="349">
        <v>17</v>
      </c>
      <c r="P487" s="412">
        <f t="shared" si="67"/>
        <v>2125</v>
      </c>
      <c r="Q487" s="405"/>
      <c r="R487" s="492">
        <v>11.5</v>
      </c>
      <c r="S487" s="492">
        <f t="shared" si="73"/>
        <v>1437.5</v>
      </c>
    </row>
    <row r="488" s="332" customFormat="1" hidden="1" spans="1:19">
      <c r="A488" s="334" t="s">
        <v>351</v>
      </c>
      <c r="B488" s="400">
        <v>45705</v>
      </c>
      <c r="C488" s="401">
        <v>8</v>
      </c>
      <c r="D488" s="402" t="s">
        <v>391</v>
      </c>
      <c r="E488" s="402"/>
      <c r="F488" s="402"/>
      <c r="G488" s="348" t="s">
        <v>99</v>
      </c>
      <c r="H488" s="402">
        <v>3</v>
      </c>
      <c r="I488" s="402">
        <v>20</v>
      </c>
      <c r="J488" s="402">
        <f t="shared" si="72"/>
        <v>60</v>
      </c>
      <c r="K488" s="349">
        <v>15.5</v>
      </c>
      <c r="L488" s="403">
        <f t="shared" si="70"/>
        <v>930</v>
      </c>
      <c r="M488" s="422" t="s">
        <v>393</v>
      </c>
      <c r="N488" s="394"/>
      <c r="O488" s="349">
        <v>17</v>
      </c>
      <c r="P488" s="412">
        <f t="shared" si="67"/>
        <v>1020</v>
      </c>
      <c r="Q488" s="396"/>
    </row>
    <row r="489" s="334" customFormat="1" hidden="1" spans="1:19">
      <c r="A489" s="334" t="s">
        <v>351</v>
      </c>
      <c r="B489" s="400">
        <v>45705</v>
      </c>
      <c r="C489" s="401">
        <v>8</v>
      </c>
      <c r="D489" s="402" t="s">
        <v>354</v>
      </c>
      <c r="E489" s="402"/>
      <c r="F489" s="402"/>
      <c r="G489" s="348" t="s">
        <v>141</v>
      </c>
      <c r="H489" s="402">
        <v>3</v>
      </c>
      <c r="I489" s="402">
        <v>20</v>
      </c>
      <c r="J489" s="402">
        <f t="shared" si="72"/>
        <v>60</v>
      </c>
      <c r="K489" s="349">
        <v>15.5</v>
      </c>
      <c r="L489" s="403">
        <f t="shared" si="70"/>
        <v>930</v>
      </c>
      <c r="M489" s="425">
        <v>303</v>
      </c>
      <c r="N489" s="404"/>
      <c r="O489" s="349">
        <v>17</v>
      </c>
      <c r="P489" s="412">
        <f t="shared" si="67"/>
        <v>1020</v>
      </c>
      <c r="Q489" s="405"/>
      <c r="R489" s="492">
        <v>10.4</v>
      </c>
      <c r="S489" s="492">
        <f t="shared" si="73"/>
        <v>624</v>
      </c>
    </row>
    <row r="490" s="334" customFormat="1" hidden="1" spans="1:19">
      <c r="A490" s="334" t="s">
        <v>351</v>
      </c>
      <c r="B490" s="400">
        <v>45705</v>
      </c>
      <c r="C490" s="401">
        <v>8</v>
      </c>
      <c r="D490" s="347" t="s">
        <v>355</v>
      </c>
      <c r="E490" s="347"/>
      <c r="F490" s="347"/>
      <c r="G490" s="348" t="s">
        <v>35</v>
      </c>
      <c r="H490" s="347">
        <v>10</v>
      </c>
      <c r="I490" s="347">
        <v>18</v>
      </c>
      <c r="J490" s="402">
        <f t="shared" si="72"/>
        <v>180</v>
      </c>
      <c r="K490" s="349">
        <v>6.2</v>
      </c>
      <c r="L490" s="403">
        <f t="shared" si="70"/>
        <v>1116</v>
      </c>
      <c r="M490" s="425" t="s">
        <v>356</v>
      </c>
      <c r="N490" s="404"/>
      <c r="O490" s="412">
        <v>6.7</v>
      </c>
      <c r="P490" s="412">
        <f t="shared" si="67"/>
        <v>1206</v>
      </c>
      <c r="Q490" s="405"/>
      <c r="R490" s="492">
        <v>5</v>
      </c>
      <c r="S490" s="492">
        <f t="shared" si="73"/>
        <v>900</v>
      </c>
    </row>
    <row r="491" s="334" customFormat="1" hidden="1" spans="1:19">
      <c r="A491" s="334" t="s">
        <v>351</v>
      </c>
      <c r="B491" s="400">
        <v>45705</v>
      </c>
      <c r="C491" s="401">
        <v>8</v>
      </c>
      <c r="D491" s="347" t="s">
        <v>357</v>
      </c>
      <c r="E491" s="347"/>
      <c r="F491" s="347"/>
      <c r="G491" s="348" t="s">
        <v>248</v>
      </c>
      <c r="H491" s="347">
        <v>10</v>
      </c>
      <c r="I491" s="347">
        <v>18</v>
      </c>
      <c r="J491" s="402">
        <f t="shared" si="72"/>
        <v>180</v>
      </c>
      <c r="K491" s="349">
        <v>8.7</v>
      </c>
      <c r="L491" s="403">
        <f t="shared" si="70"/>
        <v>1566</v>
      </c>
      <c r="M491" s="425" t="s">
        <v>356</v>
      </c>
      <c r="N491" s="404">
        <f>SUM(L486:L491)</f>
        <v>8639.5</v>
      </c>
      <c r="O491" s="412">
        <v>9.2</v>
      </c>
      <c r="P491" s="412">
        <f t="shared" si="67"/>
        <v>1656</v>
      </c>
      <c r="Q491" s="405">
        <f>SUM(P486:P491)</f>
        <v>9277</v>
      </c>
      <c r="R491" s="492">
        <v>6.61</v>
      </c>
      <c r="S491" s="492">
        <f t="shared" si="73"/>
        <v>1189.8</v>
      </c>
    </row>
    <row r="492" s="332" customFormat="1" hidden="1" spans="1:19">
      <c r="A492" s="332" t="s">
        <v>18</v>
      </c>
      <c r="B492" s="409">
        <v>45706</v>
      </c>
      <c r="C492" s="410">
        <v>9</v>
      </c>
      <c r="D492" s="338" t="s">
        <v>34</v>
      </c>
      <c r="E492" s="338"/>
      <c r="F492" s="338"/>
      <c r="G492" s="337" t="s">
        <v>35</v>
      </c>
      <c r="H492" s="338">
        <v>1</v>
      </c>
      <c r="I492" s="338">
        <v>180</v>
      </c>
      <c r="J492" s="342">
        <f t="shared" si="72"/>
        <v>180</v>
      </c>
      <c r="K492" s="339">
        <v>7</v>
      </c>
      <c r="L492" s="395">
        <f t="shared" si="70"/>
        <v>1260</v>
      </c>
      <c r="M492" s="338"/>
      <c r="N492" s="394"/>
      <c r="O492" s="340">
        <v>7.5</v>
      </c>
      <c r="P492" s="340">
        <f t="shared" si="67"/>
        <v>1350</v>
      </c>
      <c r="Q492" s="396">
        <f>SUM(P492)</f>
        <v>1350</v>
      </c>
    </row>
    <row r="493" s="332" customFormat="1" hidden="1" spans="1:19">
      <c r="A493" s="332" t="s">
        <v>18</v>
      </c>
      <c r="B493" s="409">
        <v>45706</v>
      </c>
      <c r="C493" s="410">
        <v>9</v>
      </c>
      <c r="D493" s="338" t="s">
        <v>394</v>
      </c>
      <c r="E493" s="338"/>
      <c r="F493" s="338"/>
      <c r="G493" s="337" t="s">
        <v>24</v>
      </c>
      <c r="H493" s="338">
        <v>-1</v>
      </c>
      <c r="I493" s="338">
        <v>12</v>
      </c>
      <c r="J493" s="342">
        <f t="shared" si="72"/>
        <v>-12</v>
      </c>
      <c r="K493" s="339">
        <v>19</v>
      </c>
      <c r="L493" s="395">
        <f t="shared" si="70"/>
        <v>-228</v>
      </c>
      <c r="M493" s="344" t="s">
        <v>392</v>
      </c>
      <c r="N493" s="394">
        <f>SUBTOTAL(9,L492:L493)</f>
        <v>0</v>
      </c>
      <c r="O493" s="339">
        <v>22.5</v>
      </c>
      <c r="P493" s="340">
        <f t="shared" si="67"/>
        <v>-270</v>
      </c>
      <c r="Q493" s="396"/>
    </row>
    <row r="494" s="391" customFormat="1" hidden="1" spans="1:19">
      <c r="A494" s="391" t="s">
        <v>322</v>
      </c>
      <c r="B494" s="413">
        <v>45707</v>
      </c>
      <c r="C494" s="414">
        <v>12</v>
      </c>
      <c r="D494" s="415"/>
      <c r="E494" s="415"/>
      <c r="F494" s="415"/>
      <c r="G494" s="408" t="s">
        <v>336</v>
      </c>
      <c r="H494" s="415">
        <v>1</v>
      </c>
      <c r="I494" s="415">
        <v>20</v>
      </c>
      <c r="J494" s="416">
        <f t="shared" si="72"/>
        <v>20</v>
      </c>
      <c r="K494" s="417">
        <v>17</v>
      </c>
      <c r="L494" s="418">
        <f t="shared" si="70"/>
        <v>340</v>
      </c>
      <c r="M494" s="479"/>
      <c r="N494" s="419"/>
      <c r="O494" s="469">
        <v>21</v>
      </c>
      <c r="P494" s="469">
        <f t="shared" si="67"/>
        <v>420</v>
      </c>
      <c r="Q494" s="420"/>
    </row>
    <row r="495" s="391" customFormat="1" hidden="1" spans="1:19">
      <c r="A495" s="391" t="s">
        <v>322</v>
      </c>
      <c r="B495" s="413">
        <v>45707</v>
      </c>
      <c r="C495" s="414">
        <v>12</v>
      </c>
      <c r="D495" s="415"/>
      <c r="E495" s="415"/>
      <c r="F495" s="415"/>
      <c r="G495" s="408" t="s">
        <v>141</v>
      </c>
      <c r="H495" s="415">
        <v>1</v>
      </c>
      <c r="I495" s="415">
        <v>10</v>
      </c>
      <c r="J495" s="416">
        <f t="shared" si="72"/>
        <v>10</v>
      </c>
      <c r="K495" s="417">
        <v>15.5</v>
      </c>
      <c r="L495" s="418">
        <f t="shared" si="70"/>
        <v>155</v>
      </c>
      <c r="M495" s="480" t="s">
        <v>395</v>
      </c>
      <c r="N495" s="419">
        <f>SUM(L494:L495)</f>
        <v>495</v>
      </c>
      <c r="O495" s="469">
        <v>17</v>
      </c>
      <c r="P495" s="469">
        <f t="shared" si="67"/>
        <v>170</v>
      </c>
      <c r="Q495" s="420">
        <f>SUM(P494:P495)</f>
        <v>590</v>
      </c>
    </row>
    <row r="496" s="334" customFormat="1" hidden="1" spans="1:19">
      <c r="A496" s="334" t="s">
        <v>18</v>
      </c>
      <c r="B496" s="400">
        <v>45707</v>
      </c>
      <c r="C496" s="401">
        <v>26</v>
      </c>
      <c r="D496" s="347" t="s">
        <v>184</v>
      </c>
      <c r="E496" s="347"/>
      <c r="F496" s="347"/>
      <c r="G496" s="348" t="s">
        <v>185</v>
      </c>
      <c r="H496" s="347">
        <v>2</v>
      </c>
      <c r="I496" s="347">
        <v>20</v>
      </c>
      <c r="J496" s="402">
        <f t="shared" si="72"/>
        <v>40</v>
      </c>
      <c r="K496" s="349">
        <v>24</v>
      </c>
      <c r="L496" s="403">
        <f t="shared" si="70"/>
        <v>960</v>
      </c>
      <c r="M496" s="425"/>
      <c r="N496" s="404"/>
      <c r="O496" s="349">
        <v>28</v>
      </c>
      <c r="P496" s="412">
        <f t="shared" si="67"/>
        <v>1120</v>
      </c>
      <c r="Q496" s="405"/>
    </row>
    <row r="497" s="334" customFormat="1" hidden="1" spans="1:19">
      <c r="A497" s="334" t="s">
        <v>18</v>
      </c>
      <c r="B497" s="400">
        <v>45707</v>
      </c>
      <c r="C497" s="401">
        <v>26</v>
      </c>
      <c r="D497" s="347"/>
      <c r="E497" s="347"/>
      <c r="F497" s="347"/>
      <c r="G497" s="348" t="s">
        <v>22</v>
      </c>
      <c r="H497" s="347">
        <v>2</v>
      </c>
      <c r="I497" s="402">
        <v>10</v>
      </c>
      <c r="J497" s="402">
        <f t="shared" si="72"/>
        <v>20</v>
      </c>
      <c r="K497" s="349">
        <v>20</v>
      </c>
      <c r="L497" s="403">
        <f t="shared" si="70"/>
        <v>400</v>
      </c>
      <c r="M497" s="425" t="s">
        <v>23</v>
      </c>
      <c r="N497" s="404">
        <f>SUM(L496:L498)</f>
        <v>2985</v>
      </c>
      <c r="O497" s="349">
        <v>22.5</v>
      </c>
      <c r="P497" s="412">
        <f t="shared" si="67"/>
        <v>450</v>
      </c>
      <c r="Q497" s="405">
        <f>SUM(P496:P498)</f>
        <v>3382.5</v>
      </c>
    </row>
    <row r="498" s="334" customFormat="1" hidden="1" spans="1:19">
      <c r="A498" s="334" t="s">
        <v>18</v>
      </c>
      <c r="B498" s="400">
        <v>45707</v>
      </c>
      <c r="C498" s="401">
        <v>26</v>
      </c>
      <c r="D498" s="347" t="s">
        <v>31</v>
      </c>
      <c r="E498" s="347"/>
      <c r="F498" s="347"/>
      <c r="G498" s="348" t="s">
        <v>32</v>
      </c>
      <c r="H498" s="347">
        <v>5</v>
      </c>
      <c r="I498" s="347">
        <v>25</v>
      </c>
      <c r="J498" s="402">
        <v>125</v>
      </c>
      <c r="K498" s="349">
        <v>13</v>
      </c>
      <c r="L498" s="403">
        <f t="shared" si="70"/>
        <v>1625</v>
      </c>
      <c r="M498" s="463" t="s">
        <v>33</v>
      </c>
      <c r="N498" s="404"/>
      <c r="O498" s="412">
        <v>14.5</v>
      </c>
      <c r="P498" s="412">
        <f t="shared" si="67"/>
        <v>1812.5</v>
      </c>
      <c r="Q498" s="405"/>
    </row>
    <row r="499" s="332" customFormat="1" spans="1:19">
      <c r="A499" s="332" t="s">
        <v>18</v>
      </c>
      <c r="B499" s="409">
        <v>45713</v>
      </c>
      <c r="C499" s="332" t="s">
        <v>396</v>
      </c>
      <c r="D499" s="342" t="s">
        <v>73</v>
      </c>
      <c r="E499" s="342"/>
      <c r="F499" s="342"/>
      <c r="G499" s="337" t="s">
        <v>41</v>
      </c>
      <c r="H499" s="342">
        <v>1</v>
      </c>
      <c r="I499" s="342">
        <v>22</v>
      </c>
      <c r="J499" s="342">
        <f t="shared" ref="J499:J518" si="74">H499*I499</f>
        <v>22</v>
      </c>
      <c r="K499" s="339">
        <v>14.5</v>
      </c>
      <c r="L499" s="395">
        <f t="shared" ref="L499:L518" si="75">J499*K499</f>
        <v>319</v>
      </c>
      <c r="M499" s="337" t="s">
        <v>397</v>
      </c>
      <c r="N499" s="394"/>
      <c r="O499" s="339">
        <v>17</v>
      </c>
      <c r="P499" s="340">
        <f t="shared" si="67"/>
        <v>374</v>
      </c>
      <c r="Q499" s="396"/>
    </row>
    <row r="500" s="332" customFormat="1" hidden="1" spans="1:19">
      <c r="A500" s="332" t="s">
        <v>18</v>
      </c>
      <c r="B500" s="409">
        <v>45713</v>
      </c>
      <c r="C500" s="332" t="s">
        <v>396</v>
      </c>
      <c r="D500" s="338" t="s">
        <v>98</v>
      </c>
      <c r="E500" s="338"/>
      <c r="F500" s="338"/>
      <c r="G500" s="337" t="s">
        <v>99</v>
      </c>
      <c r="H500" s="338">
        <v>1</v>
      </c>
      <c r="I500" s="338">
        <v>20</v>
      </c>
      <c r="J500" s="342">
        <f t="shared" si="74"/>
        <v>20</v>
      </c>
      <c r="K500" s="339">
        <v>18</v>
      </c>
      <c r="L500" s="395">
        <f t="shared" si="75"/>
        <v>360</v>
      </c>
      <c r="M500" s="337" t="s">
        <v>335</v>
      </c>
      <c r="N500" s="394"/>
      <c r="O500" s="339">
        <v>22.5</v>
      </c>
      <c r="P500" s="340">
        <f t="shared" si="67"/>
        <v>450</v>
      </c>
      <c r="Q500" s="396"/>
    </row>
    <row r="501" s="332" customFormat="1" hidden="1" spans="1:19">
      <c r="A501" s="332" t="s">
        <v>18</v>
      </c>
      <c r="B501" s="409">
        <v>45713</v>
      </c>
      <c r="C501" s="332" t="s">
        <v>396</v>
      </c>
      <c r="D501" s="338" t="s">
        <v>164</v>
      </c>
      <c r="E501" s="338"/>
      <c r="F501" s="338"/>
      <c r="G501" s="332" t="s">
        <v>165</v>
      </c>
      <c r="H501" s="338">
        <v>1</v>
      </c>
      <c r="I501" s="338">
        <v>5</v>
      </c>
      <c r="J501" s="342">
        <f t="shared" si="74"/>
        <v>5</v>
      </c>
      <c r="K501" s="339">
        <v>20</v>
      </c>
      <c r="L501" s="395">
        <f t="shared" si="75"/>
        <v>100</v>
      </c>
      <c r="M501" s="343" t="s">
        <v>398</v>
      </c>
      <c r="N501" s="394">
        <f>SUM(L499:L501)</f>
        <v>779</v>
      </c>
      <c r="O501" s="340">
        <v>22.5</v>
      </c>
      <c r="P501" s="340">
        <f t="shared" si="67"/>
        <v>112.5</v>
      </c>
      <c r="Q501" s="396">
        <f>SUM(P499:P501)</f>
        <v>936.5</v>
      </c>
    </row>
    <row r="502" s="334" customFormat="1" hidden="1" spans="1:19">
      <c r="A502" s="400" t="s">
        <v>112</v>
      </c>
      <c r="B502" s="400">
        <v>45714</v>
      </c>
      <c r="C502" s="334" t="s">
        <v>399</v>
      </c>
      <c r="D502" s="347" t="s">
        <v>36</v>
      </c>
      <c r="E502" s="347"/>
      <c r="F502" s="347"/>
      <c r="G502" s="348" t="s">
        <v>37</v>
      </c>
      <c r="H502" s="402">
        <v>2</v>
      </c>
      <c r="I502" s="402">
        <v>180</v>
      </c>
      <c r="J502" s="402">
        <f t="shared" si="74"/>
        <v>360</v>
      </c>
      <c r="K502" s="349">
        <v>8</v>
      </c>
      <c r="L502" s="403">
        <f t="shared" si="75"/>
        <v>2880</v>
      </c>
      <c r="M502" s="495" t="s">
        <v>400</v>
      </c>
      <c r="N502" s="462">
        <f>SUM(L499:L501)</f>
        <v>779</v>
      </c>
      <c r="O502" s="402">
        <v>10</v>
      </c>
      <c r="P502" s="412">
        <f t="shared" si="67"/>
        <v>3600</v>
      </c>
      <c r="Q502" s="348"/>
      <c r="R502" s="334" t="s">
        <v>116</v>
      </c>
      <c r="S502" s="334" t="s">
        <v>117</v>
      </c>
    </row>
    <row r="503" s="334" customFormat="1" spans="1:19">
      <c r="A503" s="400" t="s">
        <v>112</v>
      </c>
      <c r="B503" s="400">
        <v>45714</v>
      </c>
      <c r="C503" s="334" t="s">
        <v>399</v>
      </c>
      <c r="D503" s="347" t="s">
        <v>40</v>
      </c>
      <c r="E503" s="347"/>
      <c r="F503" s="347"/>
      <c r="G503" s="348" t="s">
        <v>41</v>
      </c>
      <c r="H503" s="347">
        <v>5</v>
      </c>
      <c r="I503" s="347">
        <v>22</v>
      </c>
      <c r="J503" s="402">
        <f t="shared" si="74"/>
        <v>110</v>
      </c>
      <c r="K503" s="349">
        <v>13.5</v>
      </c>
      <c r="L503" s="403">
        <f t="shared" si="75"/>
        <v>1485</v>
      </c>
      <c r="M503" s="495" t="s">
        <v>401</v>
      </c>
      <c r="N503" s="404"/>
      <c r="O503" s="412">
        <v>15.5</v>
      </c>
      <c r="P503" s="412">
        <f t="shared" si="67"/>
        <v>1705</v>
      </c>
      <c r="Q503" s="405"/>
    </row>
    <row r="504" s="334" customFormat="1" hidden="1" spans="1:19">
      <c r="A504" s="400" t="s">
        <v>112</v>
      </c>
      <c r="B504" s="400">
        <v>45714</v>
      </c>
      <c r="C504" s="334" t="s">
        <v>399</v>
      </c>
      <c r="D504" s="347" t="s">
        <v>402</v>
      </c>
      <c r="E504" s="347"/>
      <c r="F504" s="347"/>
      <c r="G504" s="348" t="s">
        <v>300</v>
      </c>
      <c r="H504" s="402">
        <v>5</v>
      </c>
      <c r="I504" s="347">
        <v>25</v>
      </c>
      <c r="J504" s="402">
        <f t="shared" si="74"/>
        <v>125</v>
      </c>
      <c r="K504" s="349">
        <v>13.5</v>
      </c>
      <c r="L504" s="403">
        <f t="shared" si="75"/>
        <v>1687.5</v>
      </c>
      <c r="M504" s="495" t="s">
        <v>401</v>
      </c>
      <c r="N504" s="404"/>
      <c r="O504" s="349">
        <v>15.5</v>
      </c>
      <c r="P504" s="412">
        <f t="shared" si="67"/>
        <v>1937.5</v>
      </c>
      <c r="Q504" s="405"/>
    </row>
    <row r="505" s="334" customFormat="1" hidden="1" spans="1:19">
      <c r="A505" s="400" t="s">
        <v>112</v>
      </c>
      <c r="B505" s="400">
        <v>45714</v>
      </c>
      <c r="C505" s="334" t="s">
        <v>399</v>
      </c>
      <c r="D505" s="347" t="s">
        <v>122</v>
      </c>
      <c r="E505" s="347"/>
      <c r="F505" s="347"/>
      <c r="G505" s="348" t="s">
        <v>123</v>
      </c>
      <c r="H505" s="402">
        <v>8</v>
      </c>
      <c r="I505" s="402">
        <v>20</v>
      </c>
      <c r="J505" s="402">
        <f t="shared" si="74"/>
        <v>160</v>
      </c>
      <c r="K505" s="349">
        <v>15</v>
      </c>
      <c r="L505" s="403">
        <f t="shared" si="75"/>
        <v>2400</v>
      </c>
      <c r="M505" s="495" t="s">
        <v>401</v>
      </c>
      <c r="N505" s="404">
        <f>SUM(L502:L505)</f>
        <v>8452.5</v>
      </c>
      <c r="O505" s="448">
        <v>18</v>
      </c>
      <c r="P505" s="412">
        <f t="shared" si="67"/>
        <v>2880</v>
      </c>
      <c r="Q505" s="348">
        <f>SUM(P502:P505)</f>
        <v>10122.5</v>
      </c>
      <c r="R505" s="334" t="s">
        <v>116</v>
      </c>
      <c r="S505" s="334" t="s">
        <v>117</v>
      </c>
    </row>
    <row r="506" s="332" customFormat="1" hidden="1" spans="1:19">
      <c r="A506" s="332" t="s">
        <v>18</v>
      </c>
      <c r="B506" s="409">
        <v>45714</v>
      </c>
      <c r="C506" s="410">
        <v>43</v>
      </c>
      <c r="D506" s="338">
        <v>9806</v>
      </c>
      <c r="E506" s="338"/>
      <c r="F506" s="338"/>
      <c r="G506" s="337" t="s">
        <v>29</v>
      </c>
      <c r="H506" s="338">
        <v>5</v>
      </c>
      <c r="I506" s="338">
        <v>28</v>
      </c>
      <c r="J506" s="342">
        <f t="shared" si="74"/>
        <v>140</v>
      </c>
      <c r="K506" s="339">
        <v>10.1</v>
      </c>
      <c r="L506" s="395">
        <f t="shared" si="75"/>
        <v>1414</v>
      </c>
      <c r="M506" s="152">
        <v>9804</v>
      </c>
      <c r="N506" s="394"/>
      <c r="O506" s="340">
        <v>11</v>
      </c>
      <c r="P506" s="340">
        <f t="shared" si="67"/>
        <v>1540</v>
      </c>
      <c r="Q506" s="396"/>
    </row>
    <row r="507" s="332" customFormat="1" hidden="1" spans="1:19">
      <c r="A507" s="332" t="s">
        <v>18</v>
      </c>
      <c r="B507" s="409">
        <v>45714</v>
      </c>
      <c r="C507" s="410">
        <v>43</v>
      </c>
      <c r="D507" s="338" t="s">
        <v>34</v>
      </c>
      <c r="E507" s="338"/>
      <c r="F507" s="338"/>
      <c r="G507" s="337" t="s">
        <v>35</v>
      </c>
      <c r="H507" s="338">
        <v>1</v>
      </c>
      <c r="I507" s="338">
        <v>180</v>
      </c>
      <c r="J507" s="342">
        <f t="shared" si="74"/>
        <v>180</v>
      </c>
      <c r="K507" s="339">
        <v>7</v>
      </c>
      <c r="L507" s="395">
        <f t="shared" si="75"/>
        <v>1260</v>
      </c>
      <c r="M507" s="338"/>
      <c r="N507" s="394"/>
      <c r="O507" s="340">
        <v>7.5</v>
      </c>
      <c r="P507" s="340">
        <f t="shared" si="67"/>
        <v>1350</v>
      </c>
      <c r="Q507" s="396"/>
    </row>
    <row r="508" s="332" customFormat="1" hidden="1" spans="1:19">
      <c r="A508" s="332" t="s">
        <v>18</v>
      </c>
      <c r="B508" s="409">
        <v>45714</v>
      </c>
      <c r="C508" s="410">
        <v>43</v>
      </c>
      <c r="D508" s="338"/>
      <c r="E508" s="338"/>
      <c r="F508" s="338"/>
      <c r="G508" s="337" t="s">
        <v>24</v>
      </c>
      <c r="H508" s="338">
        <v>6</v>
      </c>
      <c r="I508" s="338">
        <v>25</v>
      </c>
      <c r="J508" s="342">
        <f t="shared" si="74"/>
        <v>150</v>
      </c>
      <c r="K508" s="339">
        <v>19</v>
      </c>
      <c r="L508" s="395">
        <f t="shared" si="75"/>
        <v>2850</v>
      </c>
      <c r="M508" s="344" t="s">
        <v>392</v>
      </c>
      <c r="N508" s="394"/>
      <c r="O508" s="339">
        <v>22.5</v>
      </c>
      <c r="P508" s="340">
        <f t="shared" si="67"/>
        <v>3375</v>
      </c>
      <c r="Q508" s="396"/>
    </row>
    <row r="509" s="332" customFormat="1" hidden="1" spans="1:19">
      <c r="A509" s="332" t="s">
        <v>18</v>
      </c>
      <c r="B509" s="409">
        <v>45714</v>
      </c>
      <c r="C509" s="410">
        <v>43</v>
      </c>
      <c r="D509" s="338"/>
      <c r="E509" s="338"/>
      <c r="F509" s="338"/>
      <c r="G509" s="337" t="s">
        <v>22</v>
      </c>
      <c r="H509" s="338">
        <v>7</v>
      </c>
      <c r="I509" s="342">
        <v>10</v>
      </c>
      <c r="J509" s="342">
        <f t="shared" si="74"/>
        <v>70</v>
      </c>
      <c r="K509" s="339">
        <v>20</v>
      </c>
      <c r="L509" s="395">
        <f t="shared" si="75"/>
        <v>1400</v>
      </c>
      <c r="M509" s="336" t="s">
        <v>23</v>
      </c>
      <c r="N509" s="394">
        <f>SUM(L506:L509)</f>
        <v>6924</v>
      </c>
      <c r="O509" s="339">
        <v>22.5</v>
      </c>
      <c r="P509" s="340">
        <f t="shared" si="67"/>
        <v>1575</v>
      </c>
      <c r="Q509" s="396">
        <f>SUM(P506:P509)</f>
        <v>7840</v>
      </c>
    </row>
    <row r="510" s="334" customFormat="1" hidden="1" spans="1:19">
      <c r="A510" s="334" t="s">
        <v>18</v>
      </c>
      <c r="B510" s="400">
        <v>45716</v>
      </c>
      <c r="C510" s="401">
        <v>50</v>
      </c>
      <c r="D510" s="465" t="s">
        <v>403</v>
      </c>
      <c r="E510" s="347"/>
      <c r="F510" s="347"/>
      <c r="G510" s="348" t="s">
        <v>230</v>
      </c>
      <c r="H510" s="347">
        <v>1</v>
      </c>
      <c r="I510" s="402">
        <v>10</v>
      </c>
      <c r="J510" s="402">
        <f t="shared" si="74"/>
        <v>10</v>
      </c>
      <c r="K510" s="349">
        <v>20</v>
      </c>
      <c r="L510" s="403">
        <f t="shared" si="75"/>
        <v>200</v>
      </c>
      <c r="M510" s="463"/>
      <c r="N510" s="463"/>
      <c r="O510" s="347">
        <v>22.5</v>
      </c>
      <c r="P510" s="412">
        <f t="shared" si="67"/>
        <v>225</v>
      </c>
      <c r="Q510" s="405"/>
    </row>
    <row r="511" s="334" customFormat="1" hidden="1" spans="1:19">
      <c r="A511" s="334" t="s">
        <v>18</v>
      </c>
      <c r="B511" s="400">
        <v>45716</v>
      </c>
      <c r="C511" s="401">
        <v>50</v>
      </c>
      <c r="D511" s="465" t="s">
        <v>404</v>
      </c>
      <c r="E511" s="347"/>
      <c r="F511" s="347"/>
      <c r="G511" s="348" t="s">
        <v>405</v>
      </c>
      <c r="H511" s="347">
        <v>1</v>
      </c>
      <c r="I511" s="402">
        <v>4</v>
      </c>
      <c r="J511" s="402">
        <f t="shared" si="74"/>
        <v>4</v>
      </c>
      <c r="K511" s="349">
        <v>20</v>
      </c>
      <c r="L511" s="403">
        <f t="shared" si="75"/>
        <v>80</v>
      </c>
      <c r="M511" s="463"/>
      <c r="N511" s="463">
        <f>SUM(L510:L511)</f>
        <v>280</v>
      </c>
      <c r="O511" s="347">
        <v>22.5</v>
      </c>
      <c r="P511" s="412">
        <f t="shared" si="67"/>
        <v>90</v>
      </c>
      <c r="Q511" s="405">
        <f>SUM(P510:P511)</f>
        <v>315</v>
      </c>
    </row>
    <row r="512" s="332" customFormat="1" hidden="1" spans="1:19">
      <c r="A512" s="332" t="s">
        <v>18</v>
      </c>
      <c r="B512" s="409">
        <v>45749</v>
      </c>
      <c r="C512" s="410">
        <v>8</v>
      </c>
      <c r="D512" s="338" t="s">
        <v>31</v>
      </c>
      <c r="E512" s="338"/>
      <c r="F512" s="338"/>
      <c r="G512" s="337" t="s">
        <v>32</v>
      </c>
      <c r="H512" s="338">
        <v>2</v>
      </c>
      <c r="I512" s="338">
        <v>25</v>
      </c>
      <c r="J512" s="342">
        <f t="shared" si="74"/>
        <v>50</v>
      </c>
      <c r="K512" s="339">
        <v>13</v>
      </c>
      <c r="L512" s="395">
        <f t="shared" si="75"/>
        <v>650</v>
      </c>
      <c r="M512" s="341" t="s">
        <v>33</v>
      </c>
      <c r="N512" s="394"/>
      <c r="O512" s="340">
        <v>14.5</v>
      </c>
      <c r="P512" s="340">
        <f t="shared" si="67"/>
        <v>725</v>
      </c>
      <c r="Q512" s="396"/>
    </row>
    <row r="513" s="332" customFormat="1" hidden="1" spans="1:17">
      <c r="A513" s="332" t="s">
        <v>18</v>
      </c>
      <c r="B513" s="409">
        <v>45749</v>
      </c>
      <c r="C513" s="410">
        <v>8</v>
      </c>
      <c r="D513" s="338">
        <v>9806</v>
      </c>
      <c r="E513" s="338"/>
      <c r="F513" s="338"/>
      <c r="G513" s="337" t="s">
        <v>29</v>
      </c>
      <c r="H513" s="338">
        <v>5</v>
      </c>
      <c r="I513" s="338">
        <v>28</v>
      </c>
      <c r="J513" s="342">
        <f t="shared" si="74"/>
        <v>140</v>
      </c>
      <c r="K513" s="339">
        <v>10.1</v>
      </c>
      <c r="L513" s="395">
        <f t="shared" si="75"/>
        <v>1414</v>
      </c>
      <c r="M513" s="152">
        <v>9804</v>
      </c>
      <c r="N513" s="394"/>
      <c r="O513" s="340">
        <v>11</v>
      </c>
      <c r="P513" s="340">
        <f t="shared" si="67"/>
        <v>1540</v>
      </c>
      <c r="Q513" s="396"/>
    </row>
    <row r="514" s="332" customFormat="1" hidden="1" spans="1:17">
      <c r="A514" s="332" t="s">
        <v>18</v>
      </c>
      <c r="B514" s="409">
        <v>45749</v>
      </c>
      <c r="C514" s="410">
        <v>8</v>
      </c>
      <c r="D514" s="338" t="s">
        <v>34</v>
      </c>
      <c r="E514" s="338"/>
      <c r="F514" s="338"/>
      <c r="G514" s="337" t="s">
        <v>35</v>
      </c>
      <c r="H514" s="338">
        <v>1</v>
      </c>
      <c r="I514" s="338">
        <v>180</v>
      </c>
      <c r="J514" s="342">
        <f t="shared" si="74"/>
        <v>180</v>
      </c>
      <c r="K514" s="339">
        <v>7</v>
      </c>
      <c r="L514" s="395">
        <f t="shared" si="75"/>
        <v>1260</v>
      </c>
      <c r="M514" s="338"/>
      <c r="N514" s="394">
        <f>SUM(L512:L515)</f>
        <v>5034</v>
      </c>
      <c r="O514" s="340">
        <v>7.5</v>
      </c>
      <c r="P514" s="340">
        <f t="shared" si="67"/>
        <v>1350</v>
      </c>
      <c r="Q514" s="396"/>
    </row>
    <row r="515" s="332" customFormat="1" hidden="1" spans="1:17">
      <c r="A515" s="332" t="s">
        <v>18</v>
      </c>
      <c r="B515" s="409">
        <v>45749</v>
      </c>
      <c r="C515" s="410">
        <v>8</v>
      </c>
      <c r="D515" s="338" t="s">
        <v>51</v>
      </c>
      <c r="E515" s="338"/>
      <c r="F515" s="338"/>
      <c r="G515" s="337" t="s">
        <v>39</v>
      </c>
      <c r="H515" s="338">
        <v>1</v>
      </c>
      <c r="I515" s="338">
        <v>180</v>
      </c>
      <c r="J515" s="342">
        <f t="shared" si="74"/>
        <v>180</v>
      </c>
      <c r="K515" s="339">
        <v>9.5</v>
      </c>
      <c r="L515" s="395">
        <f t="shared" si="75"/>
        <v>1710</v>
      </c>
      <c r="M515" s="344" t="s">
        <v>373</v>
      </c>
      <c r="N515" s="394"/>
      <c r="O515" s="340">
        <v>10.5</v>
      </c>
      <c r="P515" s="340">
        <f t="shared" si="67"/>
        <v>1890</v>
      </c>
      <c r="Q515" s="396">
        <f>SUM(P512:P515)</f>
        <v>5505</v>
      </c>
    </row>
    <row r="516" s="391" customFormat="1" hidden="1" spans="1:17">
      <c r="B516" s="413"/>
      <c r="C516" s="414"/>
      <c r="D516" s="415"/>
      <c r="E516" s="415"/>
      <c r="F516" s="415"/>
      <c r="G516" s="408"/>
      <c r="H516" s="415"/>
      <c r="I516" s="415"/>
      <c r="J516" s="416"/>
      <c r="K516" s="417"/>
      <c r="L516" s="418"/>
      <c r="M516" s="415"/>
      <c r="N516" s="419"/>
      <c r="O516" s="469"/>
      <c r="P516" s="469"/>
      <c r="Q516" s="420"/>
    </row>
    <row r="517" s="391" customFormat="1" hidden="1" spans="1:17">
      <c r="B517" s="413"/>
      <c r="C517" s="414"/>
      <c r="D517" s="415"/>
      <c r="E517" s="415"/>
      <c r="F517" s="415"/>
      <c r="G517" s="408"/>
      <c r="H517" s="415"/>
      <c r="I517" s="415"/>
      <c r="J517" s="416"/>
      <c r="K517" s="417"/>
      <c r="L517" s="418"/>
      <c r="M517" s="415"/>
      <c r="N517" s="419"/>
      <c r="O517" s="469"/>
      <c r="P517" s="469"/>
      <c r="Q517" s="420"/>
    </row>
    <row r="518" s="391" customFormat="1" hidden="1" spans="1:17">
      <c r="B518" s="413"/>
      <c r="C518" s="414"/>
      <c r="D518" s="415"/>
      <c r="E518" s="415"/>
      <c r="F518" s="415"/>
      <c r="G518" s="408"/>
      <c r="H518" s="415"/>
      <c r="I518" s="415"/>
      <c r="J518" s="416"/>
      <c r="K518" s="417"/>
      <c r="L518" s="418"/>
      <c r="M518" s="421"/>
      <c r="N518" s="419"/>
      <c r="O518" s="469"/>
      <c r="P518" s="469"/>
      <c r="Q518" s="420"/>
    </row>
    <row r="519" s="391" customFormat="1" hidden="1" spans="1:17">
      <c r="A519" s="413"/>
      <c r="B519" s="413"/>
      <c r="D519" s="415"/>
      <c r="E519" s="415"/>
      <c r="F519" s="415"/>
      <c r="G519" s="408"/>
      <c r="H519" s="416"/>
      <c r="I519" s="416"/>
      <c r="J519" s="416"/>
      <c r="K519" s="417"/>
      <c r="L519" s="418"/>
      <c r="M519" s="496"/>
      <c r="N519" s="482"/>
      <c r="O519" s="416"/>
      <c r="P519" s="408"/>
      <c r="Q519" s="408"/>
    </row>
    <row r="520" s="391" customFormat="1" hidden="1" spans="1:17">
      <c r="A520" s="413"/>
      <c r="B520" s="413"/>
      <c r="D520" s="415"/>
      <c r="E520" s="415"/>
      <c r="F520" s="415"/>
      <c r="G520" s="408"/>
      <c r="H520" s="416"/>
      <c r="I520" s="416"/>
      <c r="J520" s="416"/>
      <c r="K520" s="417"/>
      <c r="L520" s="418"/>
      <c r="M520" s="496"/>
      <c r="N520" s="482"/>
      <c r="O520" s="416"/>
      <c r="P520" s="408"/>
      <c r="Q520" s="408"/>
    </row>
    <row r="521" s="332" customFormat="1" hidden="1" spans="1:17">
      <c r="B521" s="409"/>
      <c r="C521" s="410"/>
      <c r="D521" s="338"/>
      <c r="E521" s="338"/>
      <c r="F521" s="338"/>
      <c r="G521" s="337"/>
      <c r="H521" s="338"/>
      <c r="I521" s="338"/>
      <c r="J521" s="342"/>
      <c r="K521" s="339"/>
      <c r="L521" s="395"/>
      <c r="M521" s="338"/>
      <c r="N521" s="394"/>
      <c r="O521" s="340"/>
      <c r="P521" s="340"/>
      <c r="Q521" s="396"/>
    </row>
    <row r="522" s="332" customFormat="1" hidden="1" spans="1:17">
      <c r="B522" s="409"/>
      <c r="C522" s="410"/>
      <c r="D522" s="338"/>
      <c r="E522" s="338"/>
      <c r="F522" s="338"/>
      <c r="G522" s="337"/>
      <c r="H522" s="338"/>
      <c r="I522" s="338"/>
      <c r="J522" s="342"/>
      <c r="K522" s="339"/>
      <c r="L522" s="395"/>
      <c r="M522" s="338"/>
      <c r="N522" s="394"/>
      <c r="O522" s="340"/>
      <c r="P522" s="340"/>
      <c r="Q522" s="396"/>
    </row>
    <row r="523" s="332" customFormat="1" hidden="1" spans="1:17">
      <c r="B523" s="409"/>
      <c r="C523" s="410"/>
      <c r="D523" s="338"/>
      <c r="E523" s="338"/>
      <c r="F523" s="338"/>
      <c r="G523" s="337"/>
      <c r="H523" s="338"/>
      <c r="I523" s="338"/>
      <c r="J523" s="342"/>
      <c r="K523" s="339"/>
      <c r="L523" s="395"/>
      <c r="M523" s="338"/>
      <c r="N523" s="394"/>
      <c r="O523" s="340"/>
      <c r="P523" s="340"/>
      <c r="Q523" s="396"/>
    </row>
    <row r="524" s="334" customFormat="1" hidden="1" spans="1:17">
      <c r="B524" s="400"/>
      <c r="C524" s="401"/>
      <c r="D524" s="347"/>
      <c r="E524" s="347"/>
      <c r="F524" s="347"/>
      <c r="G524" s="348" t="s">
        <v>406</v>
      </c>
      <c r="H524" s="347"/>
      <c r="I524" s="347"/>
      <c r="J524" s="402"/>
      <c r="K524" s="349"/>
      <c r="L524" s="403"/>
      <c r="M524" s="425"/>
      <c r="N524" s="404"/>
      <c r="O524" s="412"/>
      <c r="P524" s="412"/>
      <c r="Q524" s="405"/>
    </row>
    <row r="525" s="332" customFormat="1" hidden="1" spans="1:17">
      <c r="B525" s="409"/>
      <c r="C525" s="410"/>
      <c r="D525" s="347"/>
      <c r="E525" s="347"/>
      <c r="F525" s="347"/>
      <c r="G525" s="348" t="s">
        <v>407</v>
      </c>
      <c r="H525" s="338"/>
      <c r="I525" s="342"/>
      <c r="J525" s="342"/>
      <c r="K525" s="339"/>
      <c r="L525" s="395"/>
      <c r="M525" s="336"/>
      <c r="N525" s="394"/>
      <c r="O525" s="339"/>
      <c r="P525" s="340"/>
      <c r="Q525" s="396"/>
    </row>
    <row r="526" s="332" customFormat="1" hidden="1" spans="1:17">
      <c r="B526" s="409"/>
      <c r="C526" s="410"/>
      <c r="D526" s="347"/>
      <c r="E526" s="347"/>
      <c r="F526" s="347"/>
      <c r="G526" s="348" t="s">
        <v>408</v>
      </c>
      <c r="H526" s="338"/>
      <c r="I526" s="342"/>
      <c r="J526" s="342"/>
      <c r="K526" s="339"/>
      <c r="L526" s="395"/>
      <c r="M526" s="336"/>
      <c r="N526" s="394"/>
      <c r="O526" s="339"/>
      <c r="P526" s="340"/>
      <c r="Q526" s="396"/>
    </row>
    <row r="527" s="332" customFormat="1" hidden="1" spans="1:17">
      <c r="B527" s="409"/>
      <c r="C527" s="410"/>
      <c r="D527" s="497" t="s">
        <v>409</v>
      </c>
      <c r="E527" s="497"/>
      <c r="F527" s="497"/>
      <c r="G527" s="498" t="s">
        <v>410</v>
      </c>
      <c r="H527" s="499" t="s">
        <v>411</v>
      </c>
      <c r="I527" s="402"/>
      <c r="J527" s="342" t="s">
        <v>412</v>
      </c>
      <c r="K527" s="339" t="s">
        <v>413</v>
      </c>
      <c r="L527" s="395"/>
      <c r="M527" s="336"/>
      <c r="N527" s="394"/>
      <c r="O527" s="339"/>
      <c r="P527" s="340"/>
      <c r="Q527" s="396"/>
    </row>
    <row r="528" s="334" customFormat="1" spans="1:17">
      <c r="B528" s="400"/>
      <c r="C528" s="401"/>
      <c r="D528" s="347"/>
      <c r="E528" s="347"/>
      <c r="F528" s="347"/>
      <c r="G528" s="348"/>
      <c r="H528" s="347"/>
      <c r="I528" s="347"/>
      <c r="J528" s="402"/>
      <c r="K528" s="349"/>
      <c r="L528" s="403"/>
      <c r="M528" s="463"/>
      <c r="N528" s="404"/>
      <c r="O528" s="412"/>
      <c r="P528" s="412"/>
      <c r="Q528" s="405"/>
    </row>
    <row r="529" s="334" customFormat="1" spans="2:17">
      <c r="B529" s="400"/>
      <c r="C529" s="401"/>
      <c r="D529" s="347"/>
      <c r="E529" s="347"/>
      <c r="F529" s="347"/>
      <c r="G529" s="348"/>
      <c r="H529" s="347"/>
      <c r="I529" s="347"/>
      <c r="J529" s="402"/>
      <c r="K529" s="349"/>
      <c r="L529" s="403"/>
      <c r="M529" s="463"/>
      <c r="N529" s="404"/>
      <c r="O529" s="412"/>
      <c r="P529" s="412"/>
      <c r="Q529" s="405"/>
    </row>
    <row r="530" s="334" customFormat="1" spans="2:17">
      <c r="B530" s="400"/>
      <c r="C530" s="401"/>
      <c r="D530" s="347"/>
      <c r="E530" s="347"/>
      <c r="F530" s="347"/>
      <c r="G530" s="348"/>
      <c r="H530" s="347"/>
      <c r="I530" s="347"/>
      <c r="J530" s="402"/>
      <c r="K530" s="349"/>
      <c r="L530" s="403"/>
      <c r="M530" s="463"/>
      <c r="N530" s="404"/>
      <c r="O530" s="412"/>
      <c r="P530" s="412"/>
      <c r="Q530" s="405"/>
    </row>
    <row r="531" s="334" customFormat="1" spans="2:17">
      <c r="B531" s="400"/>
      <c r="C531" s="401"/>
      <c r="D531" s="347"/>
      <c r="E531" s="347"/>
      <c r="F531" s="347"/>
      <c r="G531" s="348"/>
      <c r="H531" s="347"/>
      <c r="I531" s="347"/>
      <c r="J531" s="402"/>
      <c r="K531" s="349"/>
      <c r="L531" s="403"/>
      <c r="M531" s="463"/>
      <c r="N531" s="404"/>
      <c r="O531" s="412"/>
      <c r="P531" s="412"/>
      <c r="Q531" s="405"/>
    </row>
    <row r="532" s="334" customFormat="1" spans="2:17">
      <c r="B532" s="400"/>
      <c r="C532" s="401"/>
      <c r="D532" s="347"/>
      <c r="E532" s="347"/>
      <c r="F532" s="347"/>
      <c r="G532" s="348"/>
      <c r="H532" s="347"/>
      <c r="I532" s="347"/>
      <c r="J532" s="402"/>
      <c r="K532" s="349"/>
      <c r="L532" s="403"/>
      <c r="M532" s="463"/>
      <c r="N532" s="404"/>
      <c r="O532" s="412"/>
      <c r="P532" s="412"/>
      <c r="Q532" s="405"/>
    </row>
    <row r="533" s="334" customFormat="1" spans="2:17">
      <c r="B533" s="400"/>
      <c r="C533" s="401"/>
      <c r="D533" s="347"/>
      <c r="E533" s="347"/>
      <c r="F533" s="347"/>
      <c r="G533" s="348"/>
      <c r="H533" s="347"/>
      <c r="I533" s="347"/>
      <c r="J533" s="402"/>
      <c r="K533" s="349"/>
      <c r="L533" s="403"/>
      <c r="M533" s="463"/>
      <c r="N533" s="404"/>
      <c r="O533" s="412"/>
      <c r="P533" s="412"/>
      <c r="Q533" s="405"/>
    </row>
    <row r="534" s="334" customFormat="1" spans="2:17">
      <c r="B534" s="400"/>
      <c r="C534" s="401"/>
      <c r="D534" s="347"/>
      <c r="E534" s="347"/>
      <c r="F534" s="347"/>
      <c r="G534" s="348"/>
      <c r="H534" s="347"/>
      <c r="I534" s="347"/>
      <c r="J534" s="402"/>
      <c r="K534" s="349"/>
      <c r="L534" s="403"/>
      <c r="M534" s="463"/>
      <c r="N534" s="404"/>
      <c r="O534" s="412"/>
      <c r="P534" s="412"/>
      <c r="Q534" s="405"/>
    </row>
    <row r="535" s="334" customFormat="1" spans="2:17">
      <c r="B535" s="400"/>
      <c r="C535" s="401"/>
      <c r="D535" s="347"/>
      <c r="E535" s="347"/>
      <c r="F535" s="347"/>
      <c r="G535" s="348"/>
      <c r="H535" s="347"/>
      <c r="I535" s="347"/>
      <c r="J535" s="402"/>
      <c r="K535" s="349"/>
      <c r="L535" s="403"/>
      <c r="M535" s="463"/>
      <c r="N535" s="404"/>
      <c r="O535" s="412"/>
      <c r="P535" s="412"/>
      <c r="Q535" s="405"/>
    </row>
    <row r="536" s="334" customFormat="1" spans="2:17">
      <c r="B536" s="400"/>
      <c r="C536" s="401"/>
      <c r="D536" s="347"/>
      <c r="E536" s="347"/>
      <c r="F536" s="347"/>
      <c r="G536" s="348"/>
      <c r="H536" s="347"/>
      <c r="I536" s="347"/>
      <c r="J536" s="402"/>
      <c r="K536" s="349"/>
      <c r="L536" s="403"/>
      <c r="M536" s="463"/>
      <c r="N536" s="404"/>
      <c r="O536" s="412"/>
      <c r="P536" s="412"/>
      <c r="Q536" s="405"/>
    </row>
    <row r="537" s="334" customFormat="1" spans="2:17">
      <c r="B537" s="400"/>
      <c r="C537" s="401"/>
      <c r="D537" s="347"/>
      <c r="E537" s="347"/>
      <c r="F537" s="347"/>
      <c r="G537" s="348"/>
      <c r="H537" s="347"/>
      <c r="I537" s="347"/>
      <c r="J537" s="402"/>
      <c r="K537" s="349"/>
      <c r="L537" s="403"/>
      <c r="M537" s="463"/>
      <c r="N537" s="404"/>
      <c r="O537" s="412"/>
      <c r="P537" s="412"/>
      <c r="Q537" s="405"/>
    </row>
  </sheetData>
  <autoFilter xmlns:etc="http://www.wps.cn/officeDocument/2017/etCustomData" ref="A2:R527" etc:filterBottomFollowUsedRange="0">
    <filterColumn colId="6">
      <customFilters>
        <customFilter operator="equal" val="PU清底漆"/>
      </customFilters>
    </filterColumn>
    <extLst/>
  </autoFilter>
  <mergeCells count="539">
    <mergeCell ref="B1:G1"/>
    <mergeCell ref="H1:I1"/>
    <mergeCell ref="D2:F2"/>
    <mergeCell ref="D3:F3"/>
    <mergeCell ref="D4:F4"/>
    <mergeCell ref="D5:F5"/>
    <mergeCell ref="D6:F6"/>
    <mergeCell ref="D7:F7"/>
    <mergeCell ref="D8:F8"/>
    <mergeCell ref="D9:F9"/>
    <mergeCell ref="D10:F10"/>
    <mergeCell ref="D11:F11"/>
    <mergeCell ref="D12:F12"/>
    <mergeCell ref="D13:F13"/>
    <mergeCell ref="D14:F14"/>
    <mergeCell ref="D15:F15"/>
    <mergeCell ref="D16:F16"/>
    <mergeCell ref="D17:F17"/>
    <mergeCell ref="D18:F18"/>
    <mergeCell ref="D19:F19"/>
    <mergeCell ref="D20:F20"/>
    <mergeCell ref="D21:F21"/>
    <mergeCell ref="D22:F22"/>
    <mergeCell ref="D23:F23"/>
    <mergeCell ref="D24:F24"/>
    <mergeCell ref="D25:F25"/>
    <mergeCell ref="D26:F26"/>
    <mergeCell ref="D27:F27"/>
    <mergeCell ref="D28:F28"/>
    <mergeCell ref="D29:F29"/>
    <mergeCell ref="D30:F30"/>
    <mergeCell ref="D31:F31"/>
    <mergeCell ref="D32:F32"/>
    <mergeCell ref="D33:F33"/>
    <mergeCell ref="D34:F34"/>
    <mergeCell ref="D35:F35"/>
    <mergeCell ref="D36:F36"/>
    <mergeCell ref="D37:F37"/>
    <mergeCell ref="D38:F38"/>
    <mergeCell ref="D39:F39"/>
    <mergeCell ref="D40:F40"/>
    <mergeCell ref="D41:F41"/>
    <mergeCell ref="D42:F42"/>
    <mergeCell ref="D43:F43"/>
    <mergeCell ref="D44:F44"/>
    <mergeCell ref="D45:F45"/>
    <mergeCell ref="D46:F46"/>
    <mergeCell ref="D47:F47"/>
    <mergeCell ref="D48:F48"/>
    <mergeCell ref="D49:F49"/>
    <mergeCell ref="D50:F50"/>
    <mergeCell ref="D51:F51"/>
    <mergeCell ref="D52:F52"/>
    <mergeCell ref="D53:F53"/>
    <mergeCell ref="D54:F54"/>
    <mergeCell ref="D55:F55"/>
    <mergeCell ref="D56:F56"/>
    <mergeCell ref="D57:F57"/>
    <mergeCell ref="D58:F58"/>
    <mergeCell ref="D59:F59"/>
    <mergeCell ref="D60:F60"/>
    <mergeCell ref="D61:F61"/>
    <mergeCell ref="D62:F62"/>
    <mergeCell ref="D63:F63"/>
    <mergeCell ref="D64:F64"/>
    <mergeCell ref="D65:F65"/>
    <mergeCell ref="D66:F66"/>
    <mergeCell ref="D67:F67"/>
    <mergeCell ref="D68:F68"/>
    <mergeCell ref="D69:F69"/>
    <mergeCell ref="D70:F70"/>
    <mergeCell ref="D71:F71"/>
    <mergeCell ref="D72:F72"/>
    <mergeCell ref="D73:F73"/>
    <mergeCell ref="D74:F74"/>
    <mergeCell ref="D75:F75"/>
    <mergeCell ref="D76:F76"/>
    <mergeCell ref="D77:F77"/>
    <mergeCell ref="D78:F78"/>
    <mergeCell ref="D79:F79"/>
    <mergeCell ref="D80:F80"/>
    <mergeCell ref="D81:F81"/>
    <mergeCell ref="D82:F82"/>
    <mergeCell ref="D83:F83"/>
    <mergeCell ref="D84:F84"/>
    <mergeCell ref="D85:F85"/>
    <mergeCell ref="D86:F86"/>
    <mergeCell ref="D87:F87"/>
    <mergeCell ref="D88:F88"/>
    <mergeCell ref="D89:F89"/>
    <mergeCell ref="D90:F90"/>
    <mergeCell ref="D91:F91"/>
    <mergeCell ref="D92:F92"/>
    <mergeCell ref="D93:F93"/>
    <mergeCell ref="D94:F94"/>
    <mergeCell ref="D95:F95"/>
    <mergeCell ref="D96:F96"/>
    <mergeCell ref="D97:F97"/>
    <mergeCell ref="D98:F98"/>
    <mergeCell ref="D99:F99"/>
    <mergeCell ref="A100:F100"/>
    <mergeCell ref="D101:F101"/>
    <mergeCell ref="D102:F102"/>
    <mergeCell ref="D103:F103"/>
    <mergeCell ref="D104:F104"/>
    <mergeCell ref="D105:F105"/>
    <mergeCell ref="D106:F106"/>
    <mergeCell ref="D107:F107"/>
    <mergeCell ref="D108:F108"/>
    <mergeCell ref="D109:F109"/>
    <mergeCell ref="D110:F110"/>
    <mergeCell ref="D111:F111"/>
    <mergeCell ref="D112:F112"/>
    <mergeCell ref="D113:F113"/>
    <mergeCell ref="D114:F114"/>
    <mergeCell ref="D115:F115"/>
    <mergeCell ref="D116:F116"/>
    <mergeCell ref="D117:F117"/>
    <mergeCell ref="D118:F118"/>
    <mergeCell ref="D119:F119"/>
    <mergeCell ref="D120:F120"/>
    <mergeCell ref="D121:F121"/>
    <mergeCell ref="D122:F122"/>
    <mergeCell ref="D123:F123"/>
    <mergeCell ref="D124:F124"/>
    <mergeCell ref="D125:F125"/>
    <mergeCell ref="D126:F126"/>
    <mergeCell ref="D127:F127"/>
    <mergeCell ref="D128:F128"/>
    <mergeCell ref="D129:F129"/>
    <mergeCell ref="D130:F130"/>
    <mergeCell ref="D131:F131"/>
    <mergeCell ref="D132:F132"/>
    <mergeCell ref="D133:F133"/>
    <mergeCell ref="D134:F134"/>
    <mergeCell ref="D135:F135"/>
    <mergeCell ref="D136:F136"/>
    <mergeCell ref="D137:F137"/>
    <mergeCell ref="D138:F138"/>
    <mergeCell ref="D139:F139"/>
    <mergeCell ref="D140:F140"/>
    <mergeCell ref="D141:F141"/>
    <mergeCell ref="D142:F142"/>
    <mergeCell ref="D143:F143"/>
    <mergeCell ref="D144:F144"/>
    <mergeCell ref="D145:F145"/>
    <mergeCell ref="D146:F146"/>
    <mergeCell ref="D147:F147"/>
    <mergeCell ref="D148:F148"/>
    <mergeCell ref="D149:F149"/>
    <mergeCell ref="D150:F150"/>
    <mergeCell ref="D151:F151"/>
    <mergeCell ref="D152:F152"/>
    <mergeCell ref="D153:F153"/>
    <mergeCell ref="D154:F154"/>
    <mergeCell ref="D155:F155"/>
    <mergeCell ref="D156:F156"/>
    <mergeCell ref="D157:F157"/>
    <mergeCell ref="D158:F158"/>
    <mergeCell ref="D159:F159"/>
    <mergeCell ref="D160:F160"/>
    <mergeCell ref="D161:F161"/>
    <mergeCell ref="D162:F162"/>
    <mergeCell ref="D163:F163"/>
    <mergeCell ref="D164:F164"/>
    <mergeCell ref="D165:F165"/>
    <mergeCell ref="D166:F166"/>
    <mergeCell ref="D167:F167"/>
    <mergeCell ref="D168:F168"/>
    <mergeCell ref="D169:F169"/>
    <mergeCell ref="D170:F170"/>
    <mergeCell ref="D171:F171"/>
    <mergeCell ref="D172:F172"/>
    <mergeCell ref="D173:F173"/>
    <mergeCell ref="D174:F174"/>
    <mergeCell ref="D175:F175"/>
    <mergeCell ref="D176:F176"/>
    <mergeCell ref="D177:F177"/>
    <mergeCell ref="D178:F178"/>
    <mergeCell ref="D179:F179"/>
    <mergeCell ref="D180:F180"/>
    <mergeCell ref="D181:F181"/>
    <mergeCell ref="D182:F182"/>
    <mergeCell ref="D183:F183"/>
    <mergeCell ref="D184:F184"/>
    <mergeCell ref="D185:F185"/>
    <mergeCell ref="D186:F186"/>
    <mergeCell ref="D187:F187"/>
    <mergeCell ref="D188:F188"/>
    <mergeCell ref="D189:F189"/>
    <mergeCell ref="D190:F190"/>
    <mergeCell ref="D191:F191"/>
    <mergeCell ref="D192:F192"/>
    <mergeCell ref="D193:F193"/>
    <mergeCell ref="D194:F194"/>
    <mergeCell ref="D195:F195"/>
    <mergeCell ref="D196:F196"/>
    <mergeCell ref="D197:F197"/>
    <mergeCell ref="D198:F198"/>
    <mergeCell ref="D199:F199"/>
    <mergeCell ref="D200:F200"/>
    <mergeCell ref="D201:F201"/>
    <mergeCell ref="D202:F202"/>
    <mergeCell ref="D203:F203"/>
    <mergeCell ref="D204:F204"/>
    <mergeCell ref="D205:F205"/>
    <mergeCell ref="D206:F206"/>
    <mergeCell ref="D207:F207"/>
    <mergeCell ref="D208:F208"/>
    <mergeCell ref="D209:F209"/>
    <mergeCell ref="D210:F210"/>
    <mergeCell ref="D211:F211"/>
    <mergeCell ref="D212:F212"/>
    <mergeCell ref="D213:F213"/>
    <mergeCell ref="D214:F214"/>
    <mergeCell ref="D215:F215"/>
    <mergeCell ref="D216:F216"/>
    <mergeCell ref="D217:F217"/>
    <mergeCell ref="D218:F218"/>
    <mergeCell ref="D219:F219"/>
    <mergeCell ref="D220:F220"/>
    <mergeCell ref="D221:F221"/>
    <mergeCell ref="D222:F222"/>
    <mergeCell ref="D223:F223"/>
    <mergeCell ref="D224:F224"/>
    <mergeCell ref="D225:F225"/>
    <mergeCell ref="D226:F226"/>
    <mergeCell ref="D227:F227"/>
    <mergeCell ref="D228:F228"/>
    <mergeCell ref="D229:F229"/>
    <mergeCell ref="D230:F230"/>
    <mergeCell ref="D231:F231"/>
    <mergeCell ref="D232:F232"/>
    <mergeCell ref="D233:F233"/>
    <mergeCell ref="D234:F234"/>
    <mergeCell ref="D235:F235"/>
    <mergeCell ref="D236:F236"/>
    <mergeCell ref="D237:F237"/>
    <mergeCell ref="D238:F238"/>
    <mergeCell ref="D239:F239"/>
    <mergeCell ref="D240:F240"/>
    <mergeCell ref="D241:F241"/>
    <mergeCell ref="D242:F242"/>
    <mergeCell ref="D243:F243"/>
    <mergeCell ref="D244:F244"/>
    <mergeCell ref="D245:F245"/>
    <mergeCell ref="D246:F246"/>
    <mergeCell ref="D247:F247"/>
    <mergeCell ref="D248:F248"/>
    <mergeCell ref="D249:F249"/>
    <mergeCell ref="D250:F250"/>
    <mergeCell ref="D251:F251"/>
    <mergeCell ref="D252:F252"/>
    <mergeCell ref="D253:F253"/>
    <mergeCell ref="D254:F254"/>
    <mergeCell ref="D255:F255"/>
    <mergeCell ref="D256:F256"/>
    <mergeCell ref="D257:F257"/>
    <mergeCell ref="D258:F258"/>
    <mergeCell ref="D259:F259"/>
    <mergeCell ref="D260:F260"/>
    <mergeCell ref="D261:F261"/>
    <mergeCell ref="D262:F262"/>
    <mergeCell ref="D263:F263"/>
    <mergeCell ref="D264:F264"/>
    <mergeCell ref="D265:F265"/>
    <mergeCell ref="D266:F266"/>
    <mergeCell ref="D267:F267"/>
    <mergeCell ref="D268:F268"/>
    <mergeCell ref="D269:F269"/>
    <mergeCell ref="D270:F270"/>
    <mergeCell ref="D271:F271"/>
    <mergeCell ref="D272:F272"/>
    <mergeCell ref="D273:F273"/>
    <mergeCell ref="D274:F274"/>
    <mergeCell ref="D275:F275"/>
    <mergeCell ref="D276:F276"/>
    <mergeCell ref="D277:F277"/>
    <mergeCell ref="D278:F278"/>
    <mergeCell ref="D279:F279"/>
    <mergeCell ref="D280:F280"/>
    <mergeCell ref="D281:F281"/>
    <mergeCell ref="D282:F282"/>
    <mergeCell ref="D283:F283"/>
    <mergeCell ref="D284:F284"/>
    <mergeCell ref="D285:F285"/>
    <mergeCell ref="D286:F286"/>
    <mergeCell ref="D287:F287"/>
    <mergeCell ref="D288:F288"/>
    <mergeCell ref="D289:F289"/>
    <mergeCell ref="D290:F290"/>
    <mergeCell ref="D291:F291"/>
    <mergeCell ref="D292:F292"/>
    <mergeCell ref="D293:F293"/>
    <mergeCell ref="D294:F294"/>
    <mergeCell ref="D295:F295"/>
    <mergeCell ref="D296:F296"/>
    <mergeCell ref="D297:F297"/>
    <mergeCell ref="D298:F298"/>
    <mergeCell ref="D299:F299"/>
    <mergeCell ref="D300:F300"/>
    <mergeCell ref="D301:F301"/>
    <mergeCell ref="D302:F302"/>
    <mergeCell ref="D303:F303"/>
    <mergeCell ref="D304:F304"/>
    <mergeCell ref="D305:F305"/>
    <mergeCell ref="D306:F306"/>
    <mergeCell ref="D307:F307"/>
    <mergeCell ref="D308:F308"/>
    <mergeCell ref="D309:F309"/>
    <mergeCell ref="D310:F310"/>
    <mergeCell ref="D311:F311"/>
    <mergeCell ref="D312:F312"/>
    <mergeCell ref="D313:F313"/>
    <mergeCell ref="D314:F314"/>
    <mergeCell ref="D315:F315"/>
    <mergeCell ref="D316:F316"/>
    <mergeCell ref="D317:F317"/>
    <mergeCell ref="D318:F318"/>
    <mergeCell ref="D319:F319"/>
    <mergeCell ref="D320:F320"/>
    <mergeCell ref="D321:F321"/>
    <mergeCell ref="D322:F322"/>
    <mergeCell ref="D323:F323"/>
    <mergeCell ref="D324:F324"/>
    <mergeCell ref="D325:F325"/>
    <mergeCell ref="D326:F326"/>
    <mergeCell ref="D327:F327"/>
    <mergeCell ref="D328:F328"/>
    <mergeCell ref="D329:F329"/>
    <mergeCell ref="D330:F330"/>
    <mergeCell ref="D331:F331"/>
    <mergeCell ref="D332:F332"/>
    <mergeCell ref="D333:F333"/>
    <mergeCell ref="D334:F334"/>
    <mergeCell ref="D335:F335"/>
    <mergeCell ref="D336:F336"/>
    <mergeCell ref="D337:F337"/>
    <mergeCell ref="D338:F338"/>
    <mergeCell ref="D339:F339"/>
    <mergeCell ref="D340:F340"/>
    <mergeCell ref="D341:F341"/>
    <mergeCell ref="D342:F342"/>
    <mergeCell ref="D343:F343"/>
    <mergeCell ref="D344:F344"/>
    <mergeCell ref="D345:F345"/>
    <mergeCell ref="D346:F346"/>
    <mergeCell ref="D347:F347"/>
    <mergeCell ref="D348:F348"/>
    <mergeCell ref="D349:F349"/>
    <mergeCell ref="D350:F350"/>
    <mergeCell ref="D351:F351"/>
    <mergeCell ref="D352:F352"/>
    <mergeCell ref="D353:F353"/>
    <mergeCell ref="D354:F354"/>
    <mergeCell ref="D355:F355"/>
    <mergeCell ref="D356:F356"/>
    <mergeCell ref="D357:F357"/>
    <mergeCell ref="D358:F358"/>
    <mergeCell ref="D359:F359"/>
    <mergeCell ref="D360:F360"/>
    <mergeCell ref="D361:F361"/>
    <mergeCell ref="D362:F362"/>
    <mergeCell ref="D363:F363"/>
    <mergeCell ref="D364:F364"/>
    <mergeCell ref="D365:F365"/>
    <mergeCell ref="D366:F366"/>
    <mergeCell ref="D367:F367"/>
    <mergeCell ref="D368:F368"/>
    <mergeCell ref="D369:F369"/>
    <mergeCell ref="D370:F370"/>
    <mergeCell ref="D371:F371"/>
    <mergeCell ref="D372:F372"/>
    <mergeCell ref="D373:F373"/>
    <mergeCell ref="D374:F374"/>
    <mergeCell ref="D375:F375"/>
    <mergeCell ref="D376:F376"/>
    <mergeCell ref="D377:F377"/>
    <mergeCell ref="D378:F378"/>
    <mergeCell ref="D379:F379"/>
    <mergeCell ref="D380:F380"/>
    <mergeCell ref="D381:F381"/>
    <mergeCell ref="D382:F382"/>
    <mergeCell ref="D383:F383"/>
    <mergeCell ref="D384:F384"/>
    <mergeCell ref="D385:F385"/>
    <mergeCell ref="D386:F386"/>
    <mergeCell ref="D387:F387"/>
    <mergeCell ref="D388:F388"/>
    <mergeCell ref="D389:F389"/>
    <mergeCell ref="D390:F390"/>
    <mergeCell ref="D391:F391"/>
    <mergeCell ref="D392:F392"/>
    <mergeCell ref="D393:F393"/>
    <mergeCell ref="D394:F394"/>
    <mergeCell ref="D395:F395"/>
    <mergeCell ref="D396:F396"/>
    <mergeCell ref="D397:F397"/>
    <mergeCell ref="D398:F398"/>
    <mergeCell ref="D399:F399"/>
    <mergeCell ref="D400:F400"/>
    <mergeCell ref="D401:F401"/>
    <mergeCell ref="D402:F402"/>
    <mergeCell ref="D403:F403"/>
    <mergeCell ref="D404:F404"/>
    <mergeCell ref="D405:F405"/>
    <mergeCell ref="D406:F406"/>
    <mergeCell ref="D407:F407"/>
    <mergeCell ref="D408:F408"/>
    <mergeCell ref="D409:F409"/>
    <mergeCell ref="D410:F410"/>
    <mergeCell ref="D411:F411"/>
    <mergeCell ref="D412:F412"/>
    <mergeCell ref="D413:F413"/>
    <mergeCell ref="D414:F414"/>
    <mergeCell ref="D415:F415"/>
    <mergeCell ref="D416:F416"/>
    <mergeCell ref="D417:F417"/>
    <mergeCell ref="D418:F418"/>
    <mergeCell ref="D419:F419"/>
    <mergeCell ref="D420:F420"/>
    <mergeCell ref="D421:F421"/>
    <mergeCell ref="D422:F422"/>
    <mergeCell ref="D423:F423"/>
    <mergeCell ref="D424:F424"/>
    <mergeCell ref="D425:F425"/>
    <mergeCell ref="D426:F426"/>
    <mergeCell ref="D427:F427"/>
    <mergeCell ref="D428:F428"/>
    <mergeCell ref="D429:F429"/>
    <mergeCell ref="D430:F430"/>
    <mergeCell ref="D431:F431"/>
    <mergeCell ref="D432:F432"/>
    <mergeCell ref="D433:F433"/>
    <mergeCell ref="D434:F434"/>
    <mergeCell ref="D435:F435"/>
    <mergeCell ref="D436:F436"/>
    <mergeCell ref="D437:F437"/>
    <mergeCell ref="D438:F438"/>
    <mergeCell ref="D439:F439"/>
    <mergeCell ref="D440:F440"/>
    <mergeCell ref="D441:F441"/>
    <mergeCell ref="D442:F442"/>
    <mergeCell ref="D443:F443"/>
    <mergeCell ref="D444:F444"/>
    <mergeCell ref="D445:F445"/>
    <mergeCell ref="D446:F446"/>
    <mergeCell ref="D447:F447"/>
    <mergeCell ref="D448:F448"/>
    <mergeCell ref="D449:F449"/>
    <mergeCell ref="D450:F450"/>
    <mergeCell ref="D451:F451"/>
    <mergeCell ref="D452:F452"/>
    <mergeCell ref="D453:F453"/>
    <mergeCell ref="D454:F454"/>
    <mergeCell ref="D455:F455"/>
    <mergeCell ref="D456:F456"/>
    <mergeCell ref="D457:F457"/>
    <mergeCell ref="D458:F458"/>
    <mergeCell ref="D459:F459"/>
    <mergeCell ref="D460:F460"/>
    <mergeCell ref="D461:F461"/>
    <mergeCell ref="D462:F462"/>
    <mergeCell ref="D463:F463"/>
    <mergeCell ref="D464:F464"/>
    <mergeCell ref="D465:F465"/>
    <mergeCell ref="D466:F466"/>
    <mergeCell ref="D467:F467"/>
    <mergeCell ref="D468:F468"/>
    <mergeCell ref="D469:F469"/>
    <mergeCell ref="D470:F470"/>
    <mergeCell ref="D471:F471"/>
    <mergeCell ref="D472:F472"/>
    <mergeCell ref="D473:F473"/>
    <mergeCell ref="D474:F474"/>
    <mergeCell ref="D475:F475"/>
    <mergeCell ref="D476:F476"/>
    <mergeCell ref="D477:F477"/>
    <mergeCell ref="D478:F478"/>
    <mergeCell ref="D479:F479"/>
    <mergeCell ref="D480:F480"/>
    <mergeCell ref="D481:F481"/>
    <mergeCell ref="D482:F482"/>
    <mergeCell ref="D483:F483"/>
    <mergeCell ref="D484:F484"/>
    <mergeCell ref="D485:F485"/>
    <mergeCell ref="D486:F486"/>
    <mergeCell ref="D487:F487"/>
    <mergeCell ref="D488:F488"/>
    <mergeCell ref="D489:F489"/>
    <mergeCell ref="D490:F490"/>
    <mergeCell ref="D491:F491"/>
    <mergeCell ref="D492:F492"/>
    <mergeCell ref="D493:F493"/>
    <mergeCell ref="D494:F494"/>
    <mergeCell ref="D495:F495"/>
    <mergeCell ref="D496:F496"/>
    <mergeCell ref="D497:F497"/>
    <mergeCell ref="D498:F498"/>
    <mergeCell ref="D499:F499"/>
    <mergeCell ref="D500:F500"/>
    <mergeCell ref="D501:F501"/>
    <mergeCell ref="D502:F502"/>
    <mergeCell ref="D503:F503"/>
    <mergeCell ref="D504:F504"/>
    <mergeCell ref="D505:F505"/>
    <mergeCell ref="D506:F506"/>
    <mergeCell ref="D507:F507"/>
    <mergeCell ref="D508:F508"/>
    <mergeCell ref="D509:F509"/>
    <mergeCell ref="D510:F510"/>
    <mergeCell ref="D511:F511"/>
    <mergeCell ref="D512:F512"/>
    <mergeCell ref="D513:F513"/>
    <mergeCell ref="D514:F514"/>
    <mergeCell ref="D515:F515"/>
    <mergeCell ref="D516:F516"/>
    <mergeCell ref="D517:F517"/>
    <mergeCell ref="D518:F518"/>
    <mergeCell ref="D519:F519"/>
    <mergeCell ref="D520:F520"/>
    <mergeCell ref="D521:F521"/>
    <mergeCell ref="D522:F522"/>
    <mergeCell ref="D523:F523"/>
    <mergeCell ref="D524:F524"/>
    <mergeCell ref="D525:F525"/>
    <mergeCell ref="D526:F526"/>
    <mergeCell ref="D527:F527"/>
    <mergeCell ref="D528:F528"/>
    <mergeCell ref="D529:F529"/>
    <mergeCell ref="D530:F530"/>
    <mergeCell ref="D531:F531"/>
    <mergeCell ref="D532:F532"/>
    <mergeCell ref="D533:F533"/>
    <mergeCell ref="D534:F534"/>
    <mergeCell ref="D535:F535"/>
    <mergeCell ref="D536:F536"/>
    <mergeCell ref="D537:F537"/>
    <mergeCell ref="M347:M348"/>
  </mergeCells>
  <pageMargins left="0.75" right="0.75" top="1" bottom="1" header="0.5" footer="0.5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7">
    <pageSetUpPr fitToPage="1"/>
  </sheetPr>
  <dimension ref="A1:R22"/>
  <sheetViews>
    <sheetView workbookViewId="0">
      <selection activeCell="T17" sqref="T17"/>
    </sheetView>
  </sheetViews>
  <sheetFormatPr defaultColWidth="9" defaultRowHeight="15.6"/>
  <cols>
    <col min="1" max="1" width="3.5" customWidth="1"/>
    <col min="2" max="2" width="2.25" customWidth="1"/>
    <col min="3" max="3" width="13.375" customWidth="1"/>
    <col min="4" max="4" width="27.5" customWidth="1"/>
    <col min="5" max="5" width="11.625" customWidth="1"/>
    <col min="6" max="6" width="12" customWidth="1"/>
    <col min="7" max="7" width="11.7583333333333" customWidth="1"/>
    <col min="8" max="8" width="12.875" customWidth="1"/>
    <col min="9" max="9" width="18.5" customWidth="1"/>
    <col min="10" max="10" width="15.625" customWidth="1"/>
    <col min="11" max="11" width="6" customWidth="1"/>
    <col min="12" max="12" width="2.125" customWidth="1"/>
    <col min="13" max="13" width="11.875" customWidth="1"/>
  </cols>
  <sheetData>
    <row r="1" s="350" customFormat="1" ht="34" customHeight="1" spans="1:14">
      <c r="A1" s="354" t="s">
        <v>414</v>
      </c>
      <c r="B1" s="354"/>
      <c r="C1" s="354"/>
      <c r="D1" s="354"/>
      <c r="E1" s="354"/>
      <c r="F1" s="354"/>
      <c r="G1" s="354"/>
      <c r="H1" s="354"/>
      <c r="I1" s="354"/>
      <c r="J1" s="354"/>
      <c r="K1" s="355"/>
      <c r="L1" s="355"/>
      <c r="M1" s="355"/>
    </row>
    <row r="2" s="351" customFormat="1" ht="34" customHeight="1" spans="1:14">
      <c r="A2" s="356" t="s">
        <v>415</v>
      </c>
      <c r="B2" s="356"/>
      <c r="C2" s="356"/>
      <c r="D2" s="356"/>
      <c r="E2" s="356"/>
      <c r="F2" s="356"/>
      <c r="G2" s="356"/>
      <c r="H2" s="356"/>
      <c r="I2" s="356"/>
      <c r="J2" s="356"/>
      <c r="K2" s="357"/>
      <c r="L2" s="357"/>
      <c r="M2" s="357"/>
    </row>
    <row r="3" s="352" customFormat="1" ht="26" customHeight="1" spans="1:14">
      <c r="A3" s="358" t="s">
        <v>416</v>
      </c>
      <c r="B3" s="358"/>
      <c r="C3" s="358"/>
      <c r="D3" s="358" t="s">
        <v>417</v>
      </c>
      <c r="E3" s="358" t="s">
        <v>8</v>
      </c>
      <c r="F3" s="358" t="s">
        <v>9</v>
      </c>
      <c r="G3" s="358" t="s">
        <v>10</v>
      </c>
      <c r="H3" s="358" t="s">
        <v>11</v>
      </c>
      <c r="I3" s="358" t="s">
        <v>12</v>
      </c>
      <c r="J3" s="359" t="s">
        <v>13</v>
      </c>
      <c r="K3" s="360"/>
      <c r="L3" s="360"/>
      <c r="M3" s="360"/>
    </row>
    <row r="4" s="341" customFormat="1" ht="24" customHeight="1" spans="1:14">
      <c r="A4" s="361">
        <v>1007</v>
      </c>
      <c r="B4" s="361"/>
      <c r="C4" s="361"/>
      <c r="D4" s="362" t="s">
        <v>405</v>
      </c>
      <c r="E4" s="361">
        <v>1</v>
      </c>
      <c r="F4" s="361">
        <v>6</v>
      </c>
      <c r="G4" s="361">
        <f t="shared" ref="G4:G7" si="0">E4*F4</f>
        <v>6</v>
      </c>
      <c r="H4" s="363">
        <v>28</v>
      </c>
      <c r="I4" s="363">
        <f t="shared" ref="I4:I7" si="1">G4*H4</f>
        <v>168</v>
      </c>
      <c r="J4" s="364">
        <v>46043</v>
      </c>
      <c r="K4" s="365"/>
      <c r="L4" s="365"/>
      <c r="M4" s="365"/>
      <c r="N4" s="341" t="s">
        <v>418</v>
      </c>
    </row>
    <row r="5" s="341" customFormat="1" ht="24" customHeight="1" spans="1:14">
      <c r="A5" s="361"/>
      <c r="B5" s="361"/>
      <c r="C5" s="361"/>
      <c r="D5" s="362" t="s">
        <v>53</v>
      </c>
      <c r="E5" s="361">
        <v>1</v>
      </c>
      <c r="F5" s="361">
        <v>2</v>
      </c>
      <c r="G5" s="361">
        <f t="shared" si="0"/>
        <v>2</v>
      </c>
      <c r="H5" s="363">
        <v>22.5</v>
      </c>
      <c r="I5" s="363">
        <f t="shared" si="1"/>
        <v>45</v>
      </c>
      <c r="J5" s="364">
        <v>46046</v>
      </c>
      <c r="K5" s="365"/>
      <c r="L5" s="365"/>
      <c r="M5" s="365"/>
    </row>
    <row r="6" s="341" customFormat="1" ht="24" customHeight="1" spans="1:14">
      <c r="A6" s="361" t="s">
        <v>419</v>
      </c>
      <c r="B6" s="361"/>
      <c r="C6" s="361"/>
      <c r="D6" s="362" t="s">
        <v>420</v>
      </c>
      <c r="E6" s="361">
        <v>1</v>
      </c>
      <c r="F6" s="361">
        <v>2</v>
      </c>
      <c r="G6" s="361">
        <f t="shared" si="0"/>
        <v>2</v>
      </c>
      <c r="H6" s="363">
        <v>22.5</v>
      </c>
      <c r="I6" s="363">
        <f t="shared" si="1"/>
        <v>45</v>
      </c>
      <c r="J6" s="366"/>
      <c r="K6" s="365"/>
      <c r="L6" s="365"/>
      <c r="M6" s="365"/>
    </row>
    <row r="7" s="341" customFormat="1" ht="24" customHeight="1" spans="1:14">
      <c r="A7" s="361"/>
      <c r="B7" s="361"/>
      <c r="C7" s="361"/>
      <c r="D7" s="362" t="s">
        <v>230</v>
      </c>
      <c r="E7" s="361">
        <v>1</v>
      </c>
      <c r="F7" s="361">
        <v>3</v>
      </c>
      <c r="G7" s="361">
        <f t="shared" si="0"/>
        <v>3</v>
      </c>
      <c r="H7" s="363">
        <v>22.5</v>
      </c>
      <c r="I7" s="363">
        <f t="shared" si="1"/>
        <v>67.5</v>
      </c>
      <c r="J7" s="366"/>
      <c r="K7" s="365"/>
      <c r="L7" s="365"/>
      <c r="M7" s="365"/>
      <c r="N7" s="341" t="s">
        <v>421</v>
      </c>
    </row>
    <row r="8" s="341" customFormat="1" ht="24" customHeight="1" spans="1:14">
      <c r="A8" s="367"/>
      <c r="B8" s="367"/>
      <c r="C8" s="367"/>
      <c r="D8" s="368"/>
      <c r="E8" s="367"/>
      <c r="F8" s="367"/>
      <c r="G8" s="367"/>
      <c r="H8" s="369"/>
      <c r="I8" s="369"/>
      <c r="J8" s="370"/>
      <c r="K8" s="365"/>
      <c r="L8" s="365"/>
      <c r="M8" s="365"/>
      <c r="N8" s="341" t="s">
        <v>422</v>
      </c>
    </row>
    <row r="9" s="341" customFormat="1" ht="24" customHeight="1" spans="1:14">
      <c r="A9" s="367"/>
      <c r="B9" s="367"/>
      <c r="C9" s="367"/>
      <c r="D9" s="368"/>
      <c r="E9" s="367"/>
      <c r="F9" s="367"/>
      <c r="G9" s="367"/>
      <c r="H9" s="369"/>
      <c r="I9" s="369"/>
      <c r="J9" s="370"/>
      <c r="K9" s="365"/>
      <c r="L9" s="365"/>
      <c r="M9" s="365"/>
    </row>
    <row r="10" s="341" customFormat="1" ht="24" customHeight="1" spans="1:14">
      <c r="A10" s="371"/>
      <c r="B10" s="367"/>
      <c r="C10" s="367"/>
      <c r="D10" s="368"/>
      <c r="E10" s="367"/>
      <c r="F10" s="367"/>
      <c r="G10" s="367"/>
      <c r="H10" s="369"/>
      <c r="I10" s="369"/>
      <c r="J10" s="370"/>
      <c r="K10" s="365"/>
      <c r="L10" s="365"/>
      <c r="M10" s="365"/>
    </row>
    <row r="11" s="341" customFormat="1" ht="24" customHeight="1" spans="1:14">
      <c r="A11" s="367"/>
      <c r="B11" s="367"/>
      <c r="C11" s="367"/>
      <c r="D11" s="368"/>
      <c r="E11" s="367"/>
      <c r="F11" s="367"/>
      <c r="G11" s="367"/>
      <c r="H11" s="369"/>
      <c r="I11" s="369"/>
      <c r="J11" s="370"/>
      <c r="K11" s="365"/>
      <c r="L11" s="365"/>
      <c r="M11" s="365"/>
    </row>
    <row r="12" s="341" customFormat="1" ht="24" customHeight="1" spans="1:14">
      <c r="A12" s="367"/>
      <c r="B12" s="367"/>
      <c r="C12" s="367"/>
      <c r="D12" s="368"/>
      <c r="E12" s="367"/>
      <c r="F12" s="367"/>
      <c r="G12" s="367"/>
      <c r="H12" s="20"/>
      <c r="I12" s="369"/>
      <c r="J12" s="370"/>
      <c r="K12" s="365"/>
      <c r="L12" s="365"/>
      <c r="M12" s="365"/>
    </row>
    <row r="13" s="341" customFormat="1" ht="24" customHeight="1" spans="1:14">
      <c r="A13" s="367"/>
      <c r="B13" s="367"/>
      <c r="C13" s="367"/>
      <c r="D13" s="368"/>
      <c r="E13" s="367"/>
      <c r="F13" s="367"/>
      <c r="G13" s="367"/>
      <c r="H13" s="369"/>
      <c r="I13" s="369"/>
      <c r="J13" s="370"/>
      <c r="K13" s="365"/>
      <c r="L13" s="365"/>
      <c r="M13" s="365"/>
    </row>
    <row r="14" s="341" customFormat="1" ht="24" customHeight="1" spans="1:14">
      <c r="A14" s="372"/>
      <c r="B14" s="372"/>
      <c r="C14" s="372"/>
      <c r="D14" s="18"/>
      <c r="E14" s="372"/>
      <c r="F14" s="372"/>
      <c r="G14" s="372"/>
      <c r="H14" s="20"/>
      <c r="I14" s="20"/>
      <c r="J14" s="359"/>
      <c r="K14" s="365"/>
      <c r="L14" s="365"/>
      <c r="M14" s="365"/>
    </row>
    <row r="15" s="341" customFormat="1" ht="24" customHeight="1" spans="1:14">
      <c r="A15" s="367"/>
      <c r="B15" s="367"/>
      <c r="C15" s="367"/>
      <c r="D15" s="368"/>
      <c r="E15" s="367">
        <f>SUM(E4:E14)</f>
        <v>4</v>
      </c>
      <c r="F15" s="367"/>
      <c r="G15" s="367"/>
      <c r="H15" s="369"/>
      <c r="I15" s="369"/>
      <c r="J15" s="359"/>
      <c r="K15" s="365"/>
      <c r="L15" s="365"/>
      <c r="M15" s="365"/>
    </row>
    <row r="16" s="353" customFormat="1" ht="20" customHeight="1" spans="1:14">
      <c r="A16" s="373" t="s">
        <v>423</v>
      </c>
      <c r="B16" s="373"/>
      <c r="C16" s="373"/>
      <c r="D16" s="374">
        <f>I16</f>
        <v>325.5</v>
      </c>
      <c r="E16" s="374"/>
      <c r="F16" s="374"/>
      <c r="G16" s="374"/>
      <c r="H16" s="374"/>
      <c r="I16" s="375">
        <f>SUM(I4:I14)</f>
        <v>325.5</v>
      </c>
      <c r="J16" s="359"/>
      <c r="K16" s="376"/>
      <c r="L16" s="377"/>
      <c r="M16" s="365"/>
    </row>
    <row r="17" s="353" customFormat="1" ht="20" customHeight="1" spans="1:18">
      <c r="A17" s="378" t="s">
        <v>424</v>
      </c>
      <c r="B17" s="379" t="s">
        <v>425</v>
      </c>
      <c r="C17" s="379"/>
      <c r="D17" s="379"/>
      <c r="E17" s="379"/>
      <c r="F17" s="379"/>
      <c r="G17" s="379"/>
      <c r="H17" s="379"/>
      <c r="I17" s="379"/>
      <c r="J17" s="380"/>
      <c r="K17" s="376"/>
      <c r="L17" s="377"/>
      <c r="M17" s="365"/>
    </row>
    <row r="18" s="353" customFormat="1" ht="20" customHeight="1" spans="1:18">
      <c r="A18" s="381"/>
      <c r="B18" s="382" t="s">
        <v>426</v>
      </c>
      <c r="C18" s="382"/>
      <c r="D18" s="382"/>
      <c r="E18" s="382"/>
      <c r="F18" s="382"/>
      <c r="G18" s="382"/>
      <c r="H18" s="382"/>
      <c r="I18" s="382"/>
      <c r="J18" s="380"/>
      <c r="K18" s="376"/>
      <c r="L18" s="377"/>
      <c r="M18" s="365"/>
      <c r="R18" s="353" t="s">
        <v>427</v>
      </c>
    </row>
    <row r="19" s="353" customFormat="1" ht="20" customHeight="1" spans="1:18">
      <c r="A19" s="381"/>
      <c r="B19" s="382"/>
      <c r="C19" s="382" t="s">
        <v>428</v>
      </c>
      <c r="D19" s="382"/>
      <c r="E19" s="382"/>
      <c r="F19" s="382"/>
      <c r="G19" s="382"/>
      <c r="H19" s="382"/>
      <c r="I19" s="382"/>
      <c r="J19" s="380"/>
      <c r="K19" s="376"/>
      <c r="L19" s="377"/>
      <c r="R19" s="353" t="s">
        <v>429</v>
      </c>
    </row>
    <row r="20" s="353" customFormat="1" ht="20" customHeight="1" spans="1:18">
      <c r="A20" s="383"/>
      <c r="B20" s="384" t="s">
        <v>430</v>
      </c>
      <c r="C20" s="384"/>
      <c r="D20" s="384"/>
      <c r="E20" s="384"/>
      <c r="F20" s="384"/>
      <c r="G20" s="384"/>
      <c r="H20" s="384"/>
      <c r="I20" s="384"/>
      <c r="J20" s="385"/>
      <c r="K20" s="376"/>
      <c r="L20" s="377"/>
    </row>
    <row r="21" s="353" customFormat="1" ht="20" customHeight="1" spans="1:18">
      <c r="A21" s="386" t="s">
        <v>431</v>
      </c>
      <c r="B21" s="386"/>
      <c r="C21" s="386"/>
      <c r="D21" s="386"/>
      <c r="E21" s="386"/>
      <c r="F21" s="386"/>
      <c r="G21" s="386"/>
      <c r="H21" s="386"/>
      <c r="I21" s="386"/>
      <c r="J21" s="386"/>
      <c r="K21" s="387"/>
      <c r="L21" s="377"/>
    </row>
    <row r="22" ht="17.4" spans="1:18">
      <c r="A22" s="386" t="s">
        <v>432</v>
      </c>
      <c r="B22" s="386"/>
      <c r="C22" s="386"/>
      <c r="D22" s="386"/>
      <c r="E22" s="386"/>
      <c r="F22" s="386"/>
      <c r="G22" s="386"/>
      <c r="H22" s="386"/>
      <c r="I22" s="386"/>
      <c r="J22" s="386"/>
    </row>
  </sheetData>
  <mergeCells count="24">
    <mergeCell ref="A1:J1"/>
    <mergeCell ref="A2:J2"/>
    <mergeCell ref="A3:C3"/>
    <mergeCell ref="A4:C4"/>
    <mergeCell ref="A5:C5"/>
    <mergeCell ref="A6:C6"/>
    <mergeCell ref="A7:C7"/>
    <mergeCell ref="A8:C8"/>
    <mergeCell ref="A9:C9"/>
    <mergeCell ref="A10:C10"/>
    <mergeCell ref="A11:C11"/>
    <mergeCell ref="A12:C12"/>
    <mergeCell ref="A13:C13"/>
    <mergeCell ref="A14:C14"/>
    <mergeCell ref="A15:C15"/>
    <mergeCell ref="A16:C16"/>
    <mergeCell ref="D16:H16"/>
    <mergeCell ref="B17:J17"/>
    <mergeCell ref="B18:J18"/>
    <mergeCell ref="C19:J19"/>
    <mergeCell ref="B20:J20"/>
    <mergeCell ref="A21:J21"/>
    <mergeCell ref="A22:J22"/>
    <mergeCell ref="A17:A20"/>
  </mergeCells>
  <printOptions horizontalCentered="1"/>
  <pageMargins left="0.393055555555556" right="0.196527777777778" top="0.196527777777778" bottom="0.393055555555556" header="0.196527777777778" footer="0.393055555555556"/>
  <pageSetup paperSize="9" scale="71" orientation="portrait" horizontalDpi="6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6"/>
  <sheetViews>
    <sheetView tabSelected="1" workbookViewId="0">
      <selection activeCell="A1" sqref="A1"/>
    </sheetView>
  </sheetViews>
  <sheetFormatPr defaultColWidth="9" defaultRowHeight="15.6" outlineLevelCol="6"/>
  <cols>
    <col min="1" max="1" width="17.75" customWidth="1"/>
    <col min="2" max="2" width="28.625" customWidth="1"/>
    <col min="4" max="4" width="9.875"/>
    <col min="6" max="6" width="9.875"/>
    <col min="7" max="7" width="42.25" customWidth="1"/>
  </cols>
  <sheetData>
    <row r="1" spans="1:7">
      <c r="A1" s="335" t="s">
        <v>433</v>
      </c>
      <c r="B1" s="335"/>
      <c r="C1" s="335"/>
      <c r="D1" s="335"/>
      <c r="E1" s="335"/>
      <c r="F1" s="335"/>
    </row>
    <row r="2" ht="21" customHeight="1" spans="1:7">
      <c r="A2" s="335" t="s">
        <v>434</v>
      </c>
      <c r="B2" s="335" t="s">
        <v>7</v>
      </c>
      <c r="C2" s="335"/>
      <c r="D2" s="335" t="s">
        <v>435</v>
      </c>
      <c r="E2" s="335"/>
      <c r="F2" s="335"/>
    </row>
    <row r="3" s="332" customFormat="1" ht="20.4" spans="1:7">
      <c r="A3" s="336">
        <v>9806</v>
      </c>
      <c r="B3" s="337" t="s">
        <v>29</v>
      </c>
      <c r="C3" s="338"/>
      <c r="D3" s="339">
        <v>10.1</v>
      </c>
      <c r="F3" s="340"/>
      <c r="G3" s="152"/>
    </row>
    <row r="4" s="332" customFormat="1" ht="20.4" spans="1:7">
      <c r="A4" s="341" t="s">
        <v>34</v>
      </c>
      <c r="B4" s="337" t="s">
        <v>35</v>
      </c>
      <c r="C4" s="338"/>
      <c r="D4" s="339">
        <v>7</v>
      </c>
      <c r="F4" s="340"/>
      <c r="G4" s="338"/>
    </row>
    <row r="5" s="332" customFormat="1" ht="20.4" spans="1:7">
      <c r="A5" s="341" t="s">
        <v>31</v>
      </c>
      <c r="B5" s="337" t="s">
        <v>32</v>
      </c>
      <c r="C5" s="338"/>
      <c r="D5" s="339">
        <v>13</v>
      </c>
      <c r="F5" s="340"/>
      <c r="G5" s="341"/>
    </row>
    <row r="6" s="332" customFormat="1" ht="20.4" spans="1:7">
      <c r="A6" s="341" t="s">
        <v>73</v>
      </c>
      <c r="B6" s="337" t="s">
        <v>41</v>
      </c>
      <c r="C6" s="342"/>
      <c r="D6" s="339">
        <v>14.5</v>
      </c>
      <c r="F6" s="339"/>
      <c r="G6" s="337"/>
    </row>
    <row r="7" s="332" customFormat="1" ht="20.4" spans="1:7">
      <c r="A7" s="341" t="s">
        <v>164</v>
      </c>
      <c r="B7" s="332" t="s">
        <v>165</v>
      </c>
      <c r="C7" s="338"/>
      <c r="D7" s="339">
        <v>20</v>
      </c>
      <c r="F7" s="340"/>
      <c r="G7" s="343"/>
    </row>
    <row r="8" s="332" customFormat="1" ht="20.4" spans="1:7">
      <c r="A8" s="341" t="s">
        <v>436</v>
      </c>
      <c r="B8" s="337" t="s">
        <v>437</v>
      </c>
      <c r="C8" s="338"/>
      <c r="D8" s="339">
        <v>19</v>
      </c>
      <c r="F8" s="339"/>
      <c r="G8" s="344"/>
    </row>
    <row r="9" s="332" customFormat="1" ht="20.4" spans="1:7">
      <c r="A9" s="341" t="s">
        <v>98</v>
      </c>
      <c r="B9" s="337" t="s">
        <v>99</v>
      </c>
      <c r="C9" s="338"/>
      <c r="D9" s="339">
        <v>18</v>
      </c>
      <c r="F9" s="339"/>
      <c r="G9" s="337"/>
    </row>
    <row r="10" s="332" customFormat="1" ht="20.4" spans="1:7">
      <c r="A10" s="341" t="s">
        <v>385</v>
      </c>
      <c r="B10" s="337" t="s">
        <v>91</v>
      </c>
      <c r="C10" s="338"/>
      <c r="D10" s="339">
        <v>20</v>
      </c>
      <c r="F10" s="339"/>
      <c r="G10" s="337"/>
    </row>
    <row r="11" s="332" customFormat="1" ht="20.4" spans="1:7">
      <c r="A11" s="336">
        <v>9016</v>
      </c>
      <c r="B11" s="337" t="s">
        <v>230</v>
      </c>
      <c r="C11" s="338"/>
      <c r="D11" s="339">
        <v>20</v>
      </c>
      <c r="F11" s="339"/>
      <c r="G11" s="337"/>
    </row>
    <row r="12" s="332" customFormat="1" ht="20.4" spans="1:7">
      <c r="A12" s="336">
        <v>1005</v>
      </c>
      <c r="B12" s="337" t="s">
        <v>438</v>
      </c>
      <c r="C12" s="338"/>
      <c r="D12" s="339">
        <v>20</v>
      </c>
      <c r="F12" s="339"/>
      <c r="G12" s="337"/>
    </row>
    <row r="13" s="332" customFormat="1" ht="20.4" spans="1:7">
      <c r="A13" s="336">
        <v>1007</v>
      </c>
      <c r="B13" s="337" t="s">
        <v>405</v>
      </c>
      <c r="C13" s="338"/>
      <c r="D13" s="339">
        <v>26</v>
      </c>
      <c r="F13" s="339"/>
      <c r="G13" s="337"/>
    </row>
    <row r="14" s="332" customFormat="1" ht="20.4" spans="1:7">
      <c r="A14" s="341" t="s">
        <v>385</v>
      </c>
      <c r="B14" s="337" t="s">
        <v>91</v>
      </c>
      <c r="C14" s="342"/>
      <c r="D14" s="339">
        <v>20</v>
      </c>
      <c r="F14" s="338"/>
      <c r="G14" s="341"/>
    </row>
    <row r="15" s="332" customFormat="1" ht="20.4" spans="1:7">
      <c r="A15" s="341" t="s">
        <v>184</v>
      </c>
      <c r="B15" s="337" t="s">
        <v>185</v>
      </c>
      <c r="C15" s="338"/>
      <c r="D15" s="339">
        <v>24</v>
      </c>
      <c r="F15" s="339"/>
      <c r="G15" s="336"/>
    </row>
    <row r="16" s="332" customFormat="1" ht="20.4" spans="1:7">
      <c r="A16" s="341" t="s">
        <v>439</v>
      </c>
      <c r="B16" s="337" t="s">
        <v>134</v>
      </c>
      <c r="C16" s="338"/>
      <c r="D16" s="339">
        <v>20</v>
      </c>
      <c r="F16" s="339"/>
      <c r="G16" s="344"/>
    </row>
    <row r="17" s="332" customFormat="1" ht="20.4" spans="1:7">
      <c r="A17" s="341" t="s">
        <v>440</v>
      </c>
      <c r="B17" s="337" t="s">
        <v>87</v>
      </c>
      <c r="C17" s="338"/>
      <c r="D17" s="339">
        <v>20</v>
      </c>
      <c r="F17" s="339"/>
      <c r="G17" s="344"/>
    </row>
    <row r="18" s="332" customFormat="1" ht="20.4" spans="1:7">
      <c r="A18" s="341" t="s">
        <v>441</v>
      </c>
      <c r="B18" s="337" t="s">
        <v>442</v>
      </c>
      <c r="C18" s="338"/>
      <c r="D18" s="339">
        <v>20</v>
      </c>
      <c r="F18" s="339"/>
      <c r="G18" s="344"/>
    </row>
    <row r="19" s="332" customFormat="1" ht="20.4" spans="1:7">
      <c r="A19" s="341" t="s">
        <v>443</v>
      </c>
      <c r="B19" s="337" t="s">
        <v>444</v>
      </c>
      <c r="C19" s="338"/>
      <c r="D19" s="339">
        <v>20</v>
      </c>
      <c r="F19" s="339"/>
      <c r="G19" s="345"/>
    </row>
    <row r="20" s="332" customFormat="1" ht="20.4" spans="1:7">
      <c r="A20" s="341" t="s">
        <v>445</v>
      </c>
      <c r="B20" s="337" t="s">
        <v>388</v>
      </c>
      <c r="C20" s="338"/>
      <c r="D20" s="339">
        <v>24</v>
      </c>
      <c r="F20" s="339"/>
      <c r="G20" s="344"/>
    </row>
    <row r="21" s="332" customFormat="1" ht="20.4" spans="1:7">
      <c r="A21" s="341" t="s">
        <v>446</v>
      </c>
      <c r="B21" s="337" t="s">
        <v>447</v>
      </c>
      <c r="C21" s="338"/>
      <c r="D21" s="339">
        <v>26</v>
      </c>
      <c r="F21" s="339"/>
      <c r="G21" s="344"/>
    </row>
    <row r="22" s="332" customFormat="1" ht="20.4" spans="1:7">
      <c r="A22" s="341" t="s">
        <v>419</v>
      </c>
      <c r="B22" s="337" t="s">
        <v>420</v>
      </c>
      <c r="C22" s="338"/>
      <c r="D22" s="339">
        <v>20</v>
      </c>
      <c r="F22" s="339"/>
      <c r="G22" s="345"/>
    </row>
    <row r="23" s="332" customFormat="1" ht="20.4" spans="1:7">
      <c r="A23" s="341" t="s">
        <v>448</v>
      </c>
      <c r="B23" s="337" t="s">
        <v>449</v>
      </c>
      <c r="C23" s="338"/>
      <c r="D23" s="339">
        <v>24</v>
      </c>
      <c r="F23" s="339"/>
      <c r="G23" s="343"/>
    </row>
    <row r="24" s="332" customFormat="1" ht="20.4" spans="1:7">
      <c r="A24" s="341" t="s">
        <v>450</v>
      </c>
      <c r="B24" s="337" t="s">
        <v>451</v>
      </c>
      <c r="C24" s="338"/>
      <c r="D24" s="339">
        <v>20</v>
      </c>
      <c r="F24" s="339"/>
      <c r="G24" s="345"/>
    </row>
    <row r="25" s="333" customFormat="1" ht="20.4" spans="1:7">
      <c r="A25" s="341" t="s">
        <v>452</v>
      </c>
      <c r="B25" s="337" t="s">
        <v>453</v>
      </c>
      <c r="C25" s="342"/>
      <c r="D25" s="339">
        <v>45</v>
      </c>
      <c r="F25" s="346"/>
    </row>
    <row r="26" s="333" customFormat="1" ht="20.4" spans="1:7">
      <c r="A26" s="341" t="s">
        <v>454</v>
      </c>
      <c r="B26" s="337" t="s">
        <v>455</v>
      </c>
      <c r="C26" s="342"/>
      <c r="D26" s="339">
        <v>17</v>
      </c>
      <c r="F26" s="346"/>
    </row>
    <row r="27" s="332" customFormat="1" ht="20.4" spans="1:7">
      <c r="A27" s="341" t="s">
        <v>456</v>
      </c>
      <c r="B27" s="337" t="s">
        <v>166</v>
      </c>
      <c r="C27" s="338"/>
      <c r="D27" s="339">
        <v>18</v>
      </c>
      <c r="F27" s="340"/>
      <c r="G27" s="338"/>
    </row>
    <row r="28" s="332" customFormat="1" ht="20.4" spans="1:7">
      <c r="A28" s="341" t="s">
        <v>457</v>
      </c>
      <c r="B28" s="337" t="s">
        <v>167</v>
      </c>
      <c r="C28" s="338"/>
      <c r="D28" s="339">
        <v>20</v>
      </c>
      <c r="F28" s="340"/>
      <c r="G28" s="338"/>
    </row>
    <row r="29" s="332" customFormat="1" ht="20.4" spans="1:7">
      <c r="A29" s="341" t="s">
        <v>458</v>
      </c>
      <c r="B29" s="337" t="s">
        <v>168</v>
      </c>
      <c r="C29" s="338"/>
      <c r="D29" s="339">
        <v>9.5</v>
      </c>
      <c r="F29" s="340"/>
      <c r="G29" s="344"/>
    </row>
    <row r="30" s="332" customFormat="1" ht="20.4" spans="1:7">
      <c r="A30" s="341" t="s">
        <v>51</v>
      </c>
      <c r="B30" s="337" t="s">
        <v>39</v>
      </c>
      <c r="C30" s="338"/>
      <c r="D30" s="339">
        <v>9.5</v>
      </c>
      <c r="F30" s="340"/>
      <c r="G30" s="344"/>
    </row>
    <row r="31" s="334" customFormat="1" ht="20.4" spans="1:7">
      <c r="A31" s="347"/>
      <c r="B31" s="348"/>
      <c r="C31" s="347"/>
      <c r="D31" s="349"/>
      <c r="F31" s="349"/>
      <c r="G31" s="348"/>
    </row>
    <row r="32" s="334" customFormat="1" ht="20.4" spans="1:7">
      <c r="A32" s="347"/>
      <c r="B32" s="348"/>
      <c r="C32" s="347"/>
      <c r="D32" s="349"/>
      <c r="F32" s="349"/>
      <c r="G32" s="348"/>
    </row>
    <row r="33" s="334" customFormat="1" ht="20.4" spans="1:7">
      <c r="A33" s="347"/>
      <c r="B33" s="348"/>
      <c r="C33" s="347"/>
      <c r="D33" s="349"/>
      <c r="F33" s="349"/>
      <c r="G33" s="348"/>
    </row>
    <row r="34" s="334" customFormat="1" ht="20.4" spans="1:7">
      <c r="A34" s="347"/>
      <c r="B34" s="348"/>
      <c r="C34" s="347"/>
      <c r="D34" s="349"/>
      <c r="F34" s="349"/>
      <c r="G34" s="348"/>
    </row>
    <row r="35" s="334" customFormat="1" ht="20.4" spans="1:7">
      <c r="A35" s="347"/>
      <c r="B35" s="348"/>
      <c r="C35" s="347"/>
      <c r="D35" s="349"/>
      <c r="F35" s="349"/>
      <c r="G35" s="348"/>
    </row>
    <row r="36" s="334" customFormat="1" ht="20.4" spans="1:7">
      <c r="A36" s="347"/>
      <c r="B36" s="348"/>
      <c r="C36" s="347"/>
      <c r="D36" s="349"/>
      <c r="F36" s="349"/>
      <c r="G36" s="348"/>
    </row>
    <row r="37" s="334" customFormat="1" ht="20.4" spans="1:7">
      <c r="A37" s="347"/>
      <c r="B37" s="348"/>
      <c r="C37" s="347"/>
      <c r="D37" s="349"/>
      <c r="F37" s="349"/>
      <c r="G37" s="348"/>
    </row>
    <row r="38" s="334" customFormat="1" ht="20.4" spans="1:7">
      <c r="A38" s="347"/>
      <c r="B38" s="348"/>
      <c r="C38" s="347"/>
      <c r="D38" s="349"/>
      <c r="F38" s="349"/>
      <c r="G38" s="348"/>
    </row>
    <row r="39" s="334" customFormat="1" ht="20.4" spans="1:7">
      <c r="A39" s="347"/>
      <c r="B39" s="348"/>
      <c r="C39" s="347"/>
      <c r="D39" s="349"/>
      <c r="F39" s="349"/>
      <c r="G39" s="348"/>
    </row>
    <row r="40" s="334" customFormat="1" ht="20.4" spans="1:7">
      <c r="A40" s="347"/>
      <c r="B40" s="348"/>
      <c r="C40" s="347"/>
      <c r="D40" s="349"/>
      <c r="F40" s="349"/>
      <c r="G40" s="348"/>
    </row>
    <row r="41" s="334" customFormat="1" ht="20.4" spans="1:7">
      <c r="A41" s="347"/>
      <c r="B41" s="348"/>
      <c r="C41" s="347"/>
      <c r="D41" s="349"/>
      <c r="F41" s="349"/>
      <c r="G41" s="348"/>
    </row>
    <row r="42" s="334" customFormat="1" ht="20.4" spans="1:7">
      <c r="A42" s="347"/>
      <c r="B42" s="348"/>
      <c r="C42" s="347"/>
      <c r="D42" s="349"/>
      <c r="F42" s="349"/>
      <c r="G42" s="348"/>
    </row>
    <row r="43" s="334" customFormat="1" ht="20.4" spans="1:7">
      <c r="A43" s="347"/>
      <c r="B43" s="348"/>
      <c r="C43" s="347"/>
      <c r="D43" s="349"/>
      <c r="F43" s="349"/>
      <c r="G43" s="348"/>
    </row>
    <row r="44" s="334" customFormat="1" ht="20.4" spans="1:7">
      <c r="A44" s="347"/>
      <c r="B44" s="348"/>
      <c r="C44" s="347"/>
      <c r="D44" s="349"/>
      <c r="F44" s="349"/>
      <c r="G44" s="348"/>
    </row>
    <row r="45" s="334" customFormat="1" ht="20.4" spans="1:7">
      <c r="A45" s="347"/>
      <c r="B45" s="348"/>
      <c r="C45" s="347"/>
      <c r="D45" s="349"/>
      <c r="F45" s="349"/>
      <c r="G45" s="348"/>
    </row>
    <row r="46" s="334" customFormat="1" ht="20.4" spans="1:7">
      <c r="A46" s="347"/>
      <c r="B46" s="348"/>
      <c r="C46" s="347"/>
      <c r="D46" s="349"/>
      <c r="F46" s="349"/>
      <c r="G46" s="348"/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AJ130"/>
  <sheetViews>
    <sheetView topLeftCell="H5" workbookViewId="0">
      <selection activeCell="I16" sqref="I16"/>
    </sheetView>
  </sheetViews>
  <sheetFormatPr defaultColWidth="9" defaultRowHeight="15.6"/>
  <cols>
    <col min="1" max="1" width="9.375"/>
    <col min="3" max="3" width="10.25" customWidth="1"/>
    <col min="4" max="4" width="10.75" customWidth="1"/>
    <col min="5" max="5" width="15.25" customWidth="1"/>
    <col min="6" max="6" width="12.625" customWidth="1"/>
    <col min="7" max="7" width="10.375"/>
    <col min="8" max="8" width="16.75" customWidth="1"/>
    <col min="9" max="10" width="10.375"/>
    <col min="12" max="12" width="21.75" customWidth="1"/>
    <col min="13" max="14" width="11.625"/>
    <col min="15" max="16" width="9.375"/>
    <col min="18" max="18" width="9.375"/>
    <col min="19" max="19" width="12.375"/>
    <col min="21" max="21" width="11.5" customWidth="1"/>
    <col min="22" max="22" width="15.25" customWidth="1"/>
    <col min="23" max="23" width="9.375"/>
    <col min="24" max="24" width="10.375"/>
    <col min="25" max="25" width="12.75" customWidth="1"/>
    <col min="26" max="27" width="9.375"/>
    <col min="29" max="29" width="14.25" customWidth="1"/>
    <col min="30" max="30" width="15.25" customWidth="1"/>
    <col min="31" max="31" width="9.375"/>
    <col min="32" max="32" width="10.375"/>
    <col min="33" max="33" width="12.75" customWidth="1"/>
  </cols>
  <sheetData>
    <row r="1" s="208" customFormat="1" ht="33" customHeight="1" spans="1:34">
      <c r="A1" s="209" t="s">
        <v>459</v>
      </c>
      <c r="B1" s="210"/>
      <c r="C1" s="210"/>
      <c r="D1" s="210"/>
      <c r="E1" s="211"/>
      <c r="F1" s="212" t="s">
        <v>460</v>
      </c>
      <c r="G1" s="212"/>
      <c r="H1" s="213" t="s">
        <v>461</v>
      </c>
      <c r="I1" s="34" t="s">
        <v>462</v>
      </c>
      <c r="J1" s="34"/>
      <c r="K1" s="34"/>
      <c r="L1" s="214" t="s">
        <v>463</v>
      </c>
      <c r="M1" s="214"/>
      <c r="N1" s="215"/>
      <c r="O1" s="216" t="s">
        <v>464</v>
      </c>
      <c r="P1" s="217"/>
      <c r="Q1" s="218"/>
      <c r="R1" s="219"/>
      <c r="S1" s="220"/>
      <c r="T1" s="221"/>
      <c r="U1" s="221"/>
      <c r="V1" s="221"/>
      <c r="W1" s="215"/>
      <c r="X1" s="222"/>
      <c r="Y1" s="223"/>
      <c r="Z1" s="219"/>
      <c r="AA1" s="220" t="s">
        <v>465</v>
      </c>
      <c r="AB1" s="221"/>
      <c r="AC1" s="221"/>
      <c r="AD1" s="221"/>
      <c r="AE1" s="215"/>
      <c r="AF1" s="222"/>
      <c r="AG1" s="223"/>
    </row>
    <row r="2" s="208" customFormat="1" ht="18" customHeight="1" spans="1:34">
      <c r="A2" s="224">
        <f>G4+P4+X4+AF4</f>
        <v>86200.431</v>
      </c>
      <c r="B2" s="225"/>
      <c r="C2" s="225"/>
      <c r="D2" s="225"/>
      <c r="E2" s="225"/>
      <c r="F2" s="226">
        <f>A6+J6+S6+AA6</f>
        <v>342543.631</v>
      </c>
      <c r="G2" s="226"/>
      <c r="H2" s="227">
        <f>W8</f>
        <v>1693</v>
      </c>
      <c r="I2" s="228">
        <f>E6+N6+V6+AD6</f>
        <v>258036.2</v>
      </c>
      <c r="J2" s="228"/>
      <c r="K2" s="228"/>
      <c r="L2" s="229">
        <f>G6+P6+X6+AF6</f>
        <v>84507.431</v>
      </c>
      <c r="M2" s="229"/>
      <c r="N2" s="229"/>
      <c r="O2" s="230">
        <f>H6+Q6+AG6</f>
        <v>354052.15</v>
      </c>
      <c r="P2" s="231"/>
      <c r="Q2" s="232"/>
      <c r="R2" s="233"/>
      <c r="S2" s="234"/>
      <c r="T2" s="234"/>
      <c r="U2" s="234"/>
      <c r="V2" s="234"/>
      <c r="W2" s="235" t="s">
        <v>466</v>
      </c>
      <c r="X2" s="236"/>
      <c r="Y2" s="237"/>
      <c r="Z2" s="233"/>
      <c r="AA2" s="234">
        <f>D7+M7+S6+AA6</f>
        <v>347130.4</v>
      </c>
      <c r="AB2" s="234"/>
      <c r="AC2" s="234"/>
      <c r="AD2" s="234"/>
      <c r="AE2" s="235"/>
      <c r="AF2" s="236"/>
      <c r="AG2" s="237"/>
    </row>
    <row r="3" s="208" customFormat="1" ht="18" customHeight="1" spans="1:34">
      <c r="A3" s="238" t="s">
        <v>18</v>
      </c>
      <c r="B3" s="238"/>
      <c r="C3" s="238"/>
      <c r="D3" s="238"/>
      <c r="E3" s="239"/>
      <c r="F3" s="238"/>
      <c r="G3" s="238"/>
      <c r="H3" s="240"/>
      <c r="I3" s="241"/>
      <c r="J3" s="238" t="s">
        <v>467</v>
      </c>
      <c r="K3" s="238"/>
      <c r="L3" s="238"/>
      <c r="M3" s="238"/>
      <c r="N3" s="238"/>
      <c r="O3" s="238"/>
      <c r="P3" s="238"/>
      <c r="Q3" s="242"/>
      <c r="R3" s="241"/>
      <c r="S3" s="243" t="s">
        <v>468</v>
      </c>
      <c r="T3" s="238"/>
      <c r="U3" s="238"/>
      <c r="V3" s="238"/>
      <c r="W3" s="238"/>
      <c r="X3" s="238"/>
      <c r="Y3" s="242"/>
      <c r="Z3" s="241"/>
      <c r="AA3" s="243" t="s">
        <v>469</v>
      </c>
      <c r="AB3" s="238"/>
      <c r="AC3" s="238"/>
      <c r="AD3" s="238"/>
      <c r="AE3" s="238"/>
      <c r="AF3" s="238"/>
      <c r="AG3" s="242"/>
    </row>
    <row r="4" s="208" customFormat="1" ht="12" spans="1:34">
      <c r="A4" s="244" t="s">
        <v>470</v>
      </c>
      <c r="B4" s="244"/>
      <c r="C4" s="244"/>
      <c r="D4" s="244"/>
      <c r="E4" s="245"/>
      <c r="F4" s="246"/>
      <c r="G4" s="247">
        <f>G6+F9</f>
        <v>-3994.019</v>
      </c>
      <c r="H4" s="248" t="s">
        <v>464</v>
      </c>
      <c r="I4" s="249"/>
      <c r="J4" s="244" t="s">
        <v>470</v>
      </c>
      <c r="K4" s="244"/>
      <c r="L4" s="244"/>
      <c r="M4" s="244"/>
      <c r="N4" s="244"/>
      <c r="O4" s="246"/>
      <c r="P4" s="247">
        <f>P6+O8</f>
        <v>-0.0499999999992724</v>
      </c>
      <c r="Q4" s="248" t="s">
        <v>464</v>
      </c>
      <c r="R4" s="249"/>
      <c r="S4" s="244" t="s">
        <v>471</v>
      </c>
      <c r="T4" s="244"/>
      <c r="U4" s="244"/>
      <c r="V4" s="244"/>
      <c r="W4" s="246"/>
      <c r="X4" s="247">
        <f>X6+W8</f>
        <v>6692</v>
      </c>
      <c r="Y4" s="248" t="s">
        <v>464</v>
      </c>
      <c r="Z4" s="249"/>
      <c r="AA4" s="244" t="s">
        <v>471</v>
      </c>
      <c r="AB4" s="244"/>
      <c r="AC4" s="244"/>
      <c r="AD4" s="244"/>
      <c r="AE4" s="246"/>
      <c r="AF4" s="247">
        <f>AF6+AE8</f>
        <v>83502.5</v>
      </c>
      <c r="AG4" s="248" t="s">
        <v>464</v>
      </c>
    </row>
    <row r="5" s="208" customFormat="1" ht="24" spans="1:34">
      <c r="A5" s="250" t="s">
        <v>472</v>
      </c>
      <c r="B5" s="251"/>
      <c r="C5" s="251"/>
      <c r="D5" s="251"/>
      <c r="E5" s="252" t="s">
        <v>473</v>
      </c>
      <c r="F5" s="251"/>
      <c r="G5" s="253" t="s">
        <v>474</v>
      </c>
      <c r="H5" s="254"/>
      <c r="I5" s="255"/>
      <c r="J5" s="250" t="s">
        <v>472</v>
      </c>
      <c r="K5" s="251"/>
      <c r="L5" s="251"/>
      <c r="M5" s="251"/>
      <c r="N5" s="256" t="s">
        <v>473</v>
      </c>
      <c r="O5" s="251"/>
      <c r="P5" s="253" t="s">
        <v>474</v>
      </c>
      <c r="Q5" s="254"/>
      <c r="R5" s="255"/>
      <c r="S5" s="250" t="s">
        <v>472</v>
      </c>
      <c r="T5" s="251"/>
      <c r="U5" s="251"/>
      <c r="V5" s="257" t="s">
        <v>473</v>
      </c>
      <c r="W5" s="251"/>
      <c r="X5" s="253" t="s">
        <v>474</v>
      </c>
      <c r="Y5" s="254"/>
      <c r="Z5" s="255"/>
      <c r="AA5" s="250" t="s">
        <v>472</v>
      </c>
      <c r="AB5" s="251"/>
      <c r="AC5" s="251"/>
      <c r="AD5" s="257" t="s">
        <v>473</v>
      </c>
      <c r="AE5" s="251"/>
      <c r="AF5" s="253" t="s">
        <v>474</v>
      </c>
      <c r="AG5" s="254"/>
    </row>
    <row r="6" s="208" customFormat="1" ht="12" spans="1:34">
      <c r="A6" s="250">
        <f>SUBTOTAL(9,E12:E249)</f>
        <v>171861.081</v>
      </c>
      <c r="B6" s="251"/>
      <c r="C6" s="251"/>
      <c r="D6" s="251" t="s">
        <v>475</v>
      </c>
      <c r="E6" s="258">
        <f>SUBTOTAL(9,F12:F249)</f>
        <v>175855.1</v>
      </c>
      <c r="F6" s="251"/>
      <c r="G6" s="259">
        <f>A6-E6</f>
        <v>-3994.019</v>
      </c>
      <c r="H6" s="240">
        <f>SUM(H12:H198)</f>
        <v>185589.15</v>
      </c>
      <c r="I6" s="260"/>
      <c r="J6" s="250">
        <f>SUBTOTAL(9,N12:N210)</f>
        <v>25449.45</v>
      </c>
      <c r="K6" s="251"/>
      <c r="L6" s="251"/>
      <c r="M6" s="251" t="s">
        <v>476</v>
      </c>
      <c r="N6" s="261">
        <f>SUBTOTAL(9,O12:O210)</f>
        <v>25449.5</v>
      </c>
      <c r="O6" s="251"/>
      <c r="P6" s="259">
        <f>J6-N6</f>
        <v>-0.0499999999992724</v>
      </c>
      <c r="Q6" s="242">
        <f>SUM(Q12:Q158)</f>
        <v>30465</v>
      </c>
      <c r="R6" s="260"/>
      <c r="S6" s="250">
        <f>SUM(V12:V127)</f>
        <v>18241.6</v>
      </c>
      <c r="T6" s="251"/>
      <c r="U6" s="251"/>
      <c r="V6" s="251">
        <f>SUM(W12:W79)</f>
        <v>13242.6</v>
      </c>
      <c r="W6" s="251"/>
      <c r="X6" s="259">
        <f>S6-V6</f>
        <v>4999</v>
      </c>
      <c r="Y6" s="242">
        <f>SUM(Y12:Y178)</f>
        <v>20032.6</v>
      </c>
      <c r="Z6" s="260"/>
      <c r="AA6" s="250">
        <f>SUM(AD12:AD133)</f>
        <v>126991.5</v>
      </c>
      <c r="AB6" s="251"/>
      <c r="AC6" s="251"/>
      <c r="AD6" s="251">
        <f>SUM(AE12:AE85)</f>
        <v>43489</v>
      </c>
      <c r="AE6" s="251"/>
      <c r="AF6" s="259">
        <f>AA6-AD6</f>
        <v>83502.5</v>
      </c>
      <c r="AG6" s="242">
        <f>SUM(AG12:AG103)</f>
        <v>137998</v>
      </c>
    </row>
    <row r="7" s="208" customFormat="1" ht="21" customHeight="1" spans="1:34">
      <c r="A7" s="262"/>
      <c r="B7" s="263"/>
      <c r="C7" s="264"/>
      <c r="D7" s="264">
        <f>SUM(D12:D144)</f>
        <v>175872.3</v>
      </c>
      <c r="E7" s="265"/>
      <c r="F7" s="264"/>
      <c r="G7" s="266"/>
      <c r="H7" s="267"/>
      <c r="I7" s="266"/>
      <c r="J7" s="262"/>
      <c r="K7" s="263"/>
      <c r="L7" s="264"/>
      <c r="M7" s="264">
        <f>SUM(M12:M44)</f>
        <v>26025</v>
      </c>
      <c r="N7" s="268"/>
      <c r="O7" s="264"/>
      <c r="P7" s="266"/>
      <c r="Q7" s="267"/>
      <c r="R7" s="266"/>
      <c r="S7" s="262"/>
      <c r="T7" s="263"/>
      <c r="U7" s="264"/>
      <c r="V7" s="264"/>
      <c r="W7" s="264"/>
      <c r="X7" s="266"/>
      <c r="Y7" s="267"/>
      <c r="Z7" s="266"/>
      <c r="AA7" s="262"/>
      <c r="AB7" s="263"/>
      <c r="AC7" s="264"/>
      <c r="AD7" s="264"/>
      <c r="AE7" s="264"/>
      <c r="AF7" s="266"/>
      <c r="AG7" s="267"/>
    </row>
    <row r="8" s="208" customFormat="1" ht="12" spans="1:34">
      <c r="A8" s="269" t="s">
        <v>477</v>
      </c>
      <c r="B8" s="269"/>
      <c r="C8" s="270">
        <v>31678</v>
      </c>
      <c r="D8" s="271" t="s">
        <v>478</v>
      </c>
      <c r="E8" s="272">
        <v>31678</v>
      </c>
      <c r="F8" s="273">
        <f>C8-E8</f>
        <v>0</v>
      </c>
      <c r="G8" s="274" t="s">
        <v>479</v>
      </c>
      <c r="H8" s="275" t="s">
        <v>480</v>
      </c>
      <c r="I8" s="260"/>
      <c r="J8" s="276" t="s">
        <v>481</v>
      </c>
      <c r="K8" s="276"/>
      <c r="L8" s="270">
        <v>7150</v>
      </c>
      <c r="M8" s="277" t="s">
        <v>482</v>
      </c>
      <c r="N8" s="278">
        <v>7150</v>
      </c>
      <c r="O8" s="269">
        <f>L8-N8</f>
        <v>0</v>
      </c>
      <c r="P8" s="274" t="s">
        <v>479</v>
      </c>
      <c r="Q8" s="240"/>
      <c r="R8" s="260"/>
      <c r="S8" s="279" t="s">
        <v>483</v>
      </c>
      <c r="T8" s="279"/>
      <c r="U8" s="280">
        <v>1693</v>
      </c>
      <c r="V8" s="100"/>
      <c r="W8" s="281">
        <f>U8-V9</f>
        <v>1693</v>
      </c>
      <c r="X8" s="274"/>
      <c r="Y8" s="240"/>
      <c r="Z8" s="260"/>
      <c r="AA8" s="281" t="s">
        <v>484</v>
      </c>
      <c r="AB8" s="281"/>
      <c r="AC8" s="280">
        <v>12248</v>
      </c>
      <c r="AD8" s="100" t="s">
        <v>485</v>
      </c>
      <c r="AE8" s="281">
        <f>AC8-AD9</f>
        <v>0</v>
      </c>
      <c r="AF8" s="274"/>
      <c r="AG8" s="240"/>
    </row>
    <row r="9" s="208" customFormat="1" ht="24" customHeight="1" spans="1:34">
      <c r="A9" s="282"/>
      <c r="B9" s="282"/>
      <c r="C9" s="283"/>
      <c r="D9" s="284"/>
      <c r="E9" s="285"/>
      <c r="F9" s="286"/>
      <c r="G9" s="274"/>
      <c r="H9" s="275">
        <v>16289</v>
      </c>
      <c r="I9" s="287"/>
      <c r="J9" s="288"/>
      <c r="K9" s="288"/>
      <c r="L9" s="283"/>
      <c r="M9" s="289"/>
      <c r="N9" s="290"/>
      <c r="O9" s="282"/>
      <c r="P9" s="274"/>
      <c r="Q9" s="242"/>
      <c r="R9" s="287"/>
      <c r="S9" s="291"/>
      <c r="T9" s="291"/>
      <c r="U9" s="292"/>
      <c r="V9" s="100"/>
      <c r="W9" s="293"/>
      <c r="X9" s="274"/>
      <c r="Y9" s="242"/>
      <c r="Z9" s="287"/>
      <c r="AA9" s="293"/>
      <c r="AB9" s="293"/>
      <c r="AC9" s="292"/>
      <c r="AD9" s="100">
        <v>12248</v>
      </c>
      <c r="AE9" s="293"/>
      <c r="AF9" s="274"/>
      <c r="AG9" s="242"/>
      <c r="AH9" s="294"/>
    </row>
    <row r="10" s="208" customFormat="1" ht="12" spans="1:34">
      <c r="A10" s="295" t="s">
        <v>4</v>
      </c>
      <c r="B10" s="296" t="s">
        <v>5</v>
      </c>
      <c r="C10" s="296" t="s">
        <v>486</v>
      </c>
      <c r="D10" s="296" t="s">
        <v>475</v>
      </c>
      <c r="E10" s="297" t="s">
        <v>487</v>
      </c>
      <c r="F10" s="261" t="s">
        <v>473</v>
      </c>
      <c r="G10" s="298" t="s">
        <v>488</v>
      </c>
      <c r="H10" s="248" t="s">
        <v>464</v>
      </c>
      <c r="I10" s="299"/>
      <c r="J10" s="295" t="s">
        <v>4</v>
      </c>
      <c r="K10" s="296" t="s">
        <v>5</v>
      </c>
      <c r="L10" s="296" t="s">
        <v>486</v>
      </c>
      <c r="M10" s="296" t="s">
        <v>475</v>
      </c>
      <c r="N10" s="296" t="s">
        <v>487</v>
      </c>
      <c r="O10" s="261" t="s">
        <v>473</v>
      </c>
      <c r="P10" s="298" t="s">
        <v>488</v>
      </c>
      <c r="Q10" s="242" t="s">
        <v>480</v>
      </c>
      <c r="R10" s="299"/>
      <c r="S10" s="295" t="s">
        <v>4</v>
      </c>
      <c r="T10" s="296" t="s">
        <v>5</v>
      </c>
      <c r="U10" s="296" t="s">
        <v>486</v>
      </c>
      <c r="V10" s="296" t="s">
        <v>489</v>
      </c>
      <c r="W10" s="261" t="s">
        <v>473</v>
      </c>
      <c r="X10" s="298" t="s">
        <v>488</v>
      </c>
      <c r="Y10" s="242" t="s">
        <v>480</v>
      </c>
      <c r="Z10" s="299"/>
      <c r="AA10" s="295" t="s">
        <v>4</v>
      </c>
      <c r="AB10" s="296" t="s">
        <v>5</v>
      </c>
      <c r="AC10" s="296" t="s">
        <v>486</v>
      </c>
      <c r="AD10" s="296" t="s">
        <v>490</v>
      </c>
      <c r="AE10" s="261" t="s">
        <v>473</v>
      </c>
      <c r="AF10" s="298" t="s">
        <v>488</v>
      </c>
      <c r="AG10" s="242" t="s">
        <v>480</v>
      </c>
    </row>
    <row r="11" s="208" customFormat="1" ht="25" customHeight="1" spans="1:34">
      <c r="A11" s="300"/>
      <c r="B11" s="301"/>
      <c r="C11" s="301"/>
      <c r="D11" s="301"/>
      <c r="E11" s="302"/>
      <c r="F11" s="261"/>
      <c r="G11" s="303"/>
      <c r="H11" s="254"/>
      <c r="I11" s="299"/>
      <c r="J11" s="300"/>
      <c r="K11" s="301"/>
      <c r="L11" s="301"/>
      <c r="M11" s="301"/>
      <c r="N11" s="301"/>
      <c r="O11" s="261"/>
      <c r="P11" s="303"/>
      <c r="Q11" s="242" t="s">
        <v>491</v>
      </c>
      <c r="R11" s="299"/>
      <c r="S11" s="300"/>
      <c r="T11" s="301"/>
      <c r="U11" s="301"/>
      <c r="V11" s="301"/>
      <c r="W11" s="261"/>
      <c r="X11" s="303"/>
      <c r="Y11" s="242" t="s">
        <v>491</v>
      </c>
      <c r="Z11" s="299"/>
      <c r="AA11" s="300"/>
      <c r="AB11" s="301"/>
      <c r="AC11" s="301"/>
      <c r="AD11" s="301"/>
      <c r="AE11" s="261"/>
      <c r="AF11" s="303"/>
      <c r="AG11" s="242" t="s">
        <v>491</v>
      </c>
    </row>
    <row r="12" s="24" customFormat="1" ht="17.4" spans="1:34">
      <c r="A12" s="182">
        <v>45351</v>
      </c>
      <c r="B12" s="156">
        <v>11</v>
      </c>
      <c r="C12" s="157" t="s">
        <v>492</v>
      </c>
      <c r="D12" s="157">
        <v>3328</v>
      </c>
      <c r="E12" s="127">
        <f>D12*97%</f>
        <v>3228.16</v>
      </c>
      <c r="F12" s="128"/>
      <c r="G12" s="128">
        <f>E12-F12</f>
        <v>3228.16</v>
      </c>
      <c r="H12" s="28">
        <v>3642.5</v>
      </c>
      <c r="I12" s="304"/>
      <c r="J12" s="124">
        <v>45371</v>
      </c>
      <c r="K12" s="125">
        <v>56</v>
      </c>
      <c r="L12" s="126" t="s">
        <v>492</v>
      </c>
      <c r="M12" s="126">
        <v>4720</v>
      </c>
      <c r="N12" s="126">
        <f>M12*97%</f>
        <v>4578.4</v>
      </c>
      <c r="O12" s="128"/>
      <c r="P12" s="128">
        <f>N12-O12</f>
        <v>4578.4</v>
      </c>
      <c r="Q12" s="129">
        <v>5410</v>
      </c>
      <c r="R12" s="130"/>
      <c r="S12" s="188">
        <v>45582</v>
      </c>
      <c r="T12" s="305">
        <v>49</v>
      </c>
      <c r="U12" s="306" t="s">
        <v>492</v>
      </c>
      <c r="V12" s="148">
        <v>856</v>
      </c>
      <c r="W12" s="149">
        <v>800</v>
      </c>
      <c r="X12" s="144">
        <f>V12-W12</f>
        <v>56</v>
      </c>
      <c r="Y12" s="129">
        <v>1038</v>
      </c>
      <c r="Z12" s="130"/>
      <c r="AA12" s="307" t="s">
        <v>237</v>
      </c>
      <c r="AB12" s="308" t="s">
        <v>493</v>
      </c>
      <c r="AC12" s="309"/>
      <c r="AD12" s="157"/>
      <c r="AE12" s="128"/>
      <c r="AF12" s="128">
        <f>AD12-AE12</f>
        <v>0</v>
      </c>
      <c r="AG12" s="129"/>
    </row>
    <row r="13" ht="14" customHeight="1" spans="1:34">
      <c r="A13" s="124">
        <v>45420</v>
      </c>
      <c r="B13" s="125"/>
      <c r="C13" s="126" t="s">
        <v>494</v>
      </c>
      <c r="D13" s="126"/>
      <c r="E13" s="127"/>
      <c r="F13" s="128">
        <v>8122</v>
      </c>
      <c r="G13" s="128">
        <f t="shared" ref="G13:G20" si="0">G12+E13-F13</f>
        <v>-4893.84</v>
      </c>
      <c r="H13" s="28"/>
      <c r="I13" s="310" t="s">
        <v>495</v>
      </c>
      <c r="J13" s="155">
        <v>45412</v>
      </c>
      <c r="K13" s="125">
        <v>105</v>
      </c>
      <c r="L13" s="140" t="s">
        <v>496</v>
      </c>
      <c r="M13" s="140">
        <v>1980</v>
      </c>
      <c r="N13" s="140">
        <f>M13</f>
        <v>1980</v>
      </c>
      <c r="O13" s="128"/>
      <c r="P13" s="128">
        <f>P12+N13-O13</f>
        <v>6558.4</v>
      </c>
      <c r="Q13" s="129"/>
      <c r="R13" s="130"/>
      <c r="S13" s="188">
        <v>45582</v>
      </c>
      <c r="T13" s="305"/>
      <c r="U13" s="306" t="s">
        <v>497</v>
      </c>
      <c r="V13" s="148"/>
      <c r="W13" s="149">
        <v>56</v>
      </c>
      <c r="X13" s="144">
        <f t="shared" ref="X13:X18" si="1">X12+V13-W13</f>
        <v>0</v>
      </c>
      <c r="Y13" s="129"/>
      <c r="Z13" s="130"/>
      <c r="AA13" s="311">
        <v>45516</v>
      </c>
      <c r="AB13" s="156">
        <v>31</v>
      </c>
      <c r="AC13" s="133" t="s">
        <v>498</v>
      </c>
      <c r="AD13" s="157">
        <v>1200</v>
      </c>
      <c r="AE13" s="128"/>
      <c r="AF13" s="128">
        <f>AD13-AE13</f>
        <v>1200</v>
      </c>
      <c r="AG13" s="129">
        <v>1365</v>
      </c>
      <c r="AH13" s="24"/>
    </row>
    <row r="14" spans="1:34">
      <c r="A14" s="312">
        <v>45420</v>
      </c>
      <c r="B14" s="313"/>
      <c r="C14" s="314" t="s">
        <v>499</v>
      </c>
      <c r="D14" s="187"/>
      <c r="E14" s="315"/>
      <c r="F14" s="315">
        <v>-410.8</v>
      </c>
      <c r="G14" s="315">
        <f t="shared" si="0"/>
        <v>-4483.04</v>
      </c>
      <c r="H14" s="28"/>
      <c r="I14" s="316"/>
      <c r="J14" s="155">
        <v>45412</v>
      </c>
      <c r="K14" s="125">
        <v>105</v>
      </c>
      <c r="L14" s="126" t="s">
        <v>492</v>
      </c>
      <c r="M14" s="126">
        <v>8290</v>
      </c>
      <c r="N14" s="126">
        <f>M14*97%</f>
        <v>8041.3</v>
      </c>
      <c r="O14" s="128"/>
      <c r="P14" s="128">
        <f t="shared" ref="P14:P24" si="2">P13+N14-O14</f>
        <v>14599.7</v>
      </c>
      <c r="Q14" s="129">
        <v>11950</v>
      </c>
      <c r="R14" s="130"/>
      <c r="S14" s="188">
        <v>45596</v>
      </c>
      <c r="T14" s="305">
        <v>105</v>
      </c>
      <c r="U14" s="306" t="s">
        <v>492</v>
      </c>
      <c r="V14" s="148">
        <v>170</v>
      </c>
      <c r="W14" s="149"/>
      <c r="X14" s="144">
        <f t="shared" si="1"/>
        <v>170</v>
      </c>
      <c r="Y14" s="129">
        <v>210</v>
      </c>
      <c r="Z14" s="130"/>
      <c r="AA14" s="155">
        <v>45517</v>
      </c>
      <c r="AB14" s="156">
        <v>40</v>
      </c>
      <c r="AC14" s="133" t="s">
        <v>498</v>
      </c>
      <c r="AD14" s="157">
        <v>324</v>
      </c>
      <c r="AE14" s="128"/>
      <c r="AF14" s="128">
        <f t="shared" ref="AF14:AF21" si="3">AF13+AD14-AE14</f>
        <v>1524</v>
      </c>
      <c r="AG14" s="129">
        <v>360</v>
      </c>
      <c r="AH14" s="24" t="s">
        <v>400</v>
      </c>
    </row>
    <row r="15" spans="1:34">
      <c r="A15" s="124">
        <v>45420</v>
      </c>
      <c r="B15" s="125"/>
      <c r="C15" s="317" t="s">
        <v>500</v>
      </c>
      <c r="D15" s="318"/>
      <c r="E15" s="319"/>
      <c r="F15" s="128">
        <v>-4483</v>
      </c>
      <c r="G15" s="128">
        <f t="shared" si="0"/>
        <v>-0.0399999999999636</v>
      </c>
      <c r="H15" s="28"/>
      <c r="I15" s="130"/>
      <c r="J15" s="124">
        <v>45440</v>
      </c>
      <c r="K15" s="125">
        <v>77</v>
      </c>
      <c r="L15" s="140" t="s">
        <v>496</v>
      </c>
      <c r="M15" s="140">
        <v>3420</v>
      </c>
      <c r="N15" s="140">
        <f>M15</f>
        <v>3420</v>
      </c>
      <c r="O15" s="128"/>
      <c r="P15" s="128">
        <f t="shared" si="2"/>
        <v>18019.7</v>
      </c>
      <c r="Q15" s="129"/>
      <c r="R15" s="130"/>
      <c r="S15" s="320">
        <v>45621</v>
      </c>
      <c r="T15" s="305" t="s">
        <v>501</v>
      </c>
      <c r="U15" s="148" t="s">
        <v>492</v>
      </c>
      <c r="V15" s="148">
        <v>601.6</v>
      </c>
      <c r="W15" s="149"/>
      <c r="X15" s="144">
        <f t="shared" si="1"/>
        <v>771.6</v>
      </c>
      <c r="Y15" s="129">
        <v>685.6</v>
      </c>
      <c r="Z15" s="130"/>
      <c r="AA15" s="124">
        <v>45521</v>
      </c>
      <c r="AB15" s="125">
        <v>61</v>
      </c>
      <c r="AC15" s="133" t="s">
        <v>498</v>
      </c>
      <c r="AD15" s="126">
        <v>3875</v>
      </c>
      <c r="AE15" s="128"/>
      <c r="AF15" s="128">
        <f t="shared" si="3"/>
        <v>5399</v>
      </c>
      <c r="AG15" s="129">
        <v>4250</v>
      </c>
    </row>
    <row r="16" spans="1:34">
      <c r="A16" s="155">
        <v>45356</v>
      </c>
      <c r="B16" s="156">
        <v>9</v>
      </c>
      <c r="C16" s="157" t="s">
        <v>492</v>
      </c>
      <c r="D16" s="157">
        <v>498</v>
      </c>
      <c r="E16" s="127">
        <f>D16*97%</f>
        <v>483.06</v>
      </c>
      <c r="F16" s="128"/>
      <c r="G16" s="128">
        <f t="shared" si="0"/>
        <v>483.02</v>
      </c>
      <c r="H16" s="28">
        <v>582.8</v>
      </c>
      <c r="I16" s="130"/>
      <c r="J16" s="124">
        <v>45440</v>
      </c>
      <c r="K16" s="125">
        <v>77</v>
      </c>
      <c r="L16" s="126" t="s">
        <v>492</v>
      </c>
      <c r="M16" s="126">
        <v>6175</v>
      </c>
      <c r="N16" s="126">
        <f>M16*97%</f>
        <v>5989.75</v>
      </c>
      <c r="O16" s="128"/>
      <c r="P16" s="128">
        <f t="shared" si="2"/>
        <v>24009.45</v>
      </c>
      <c r="Q16" s="129">
        <v>11305</v>
      </c>
      <c r="R16" s="130"/>
      <c r="S16" s="188">
        <v>45621</v>
      </c>
      <c r="T16" s="305"/>
      <c r="U16" s="148" t="s">
        <v>502</v>
      </c>
      <c r="V16" s="148"/>
      <c r="W16" s="149">
        <v>771.6</v>
      </c>
      <c r="X16" s="144">
        <f t="shared" si="1"/>
        <v>0</v>
      </c>
      <c r="Y16" s="129"/>
      <c r="Z16" s="130"/>
      <c r="AA16" s="155">
        <v>45530</v>
      </c>
      <c r="AB16" s="156">
        <v>82</v>
      </c>
      <c r="AC16" s="133" t="s">
        <v>498</v>
      </c>
      <c r="AD16" s="157">
        <v>4992.5</v>
      </c>
      <c r="AE16" s="128"/>
      <c r="AF16" s="128">
        <f t="shared" si="3"/>
        <v>10391.5</v>
      </c>
      <c r="AG16" s="129">
        <v>5515</v>
      </c>
    </row>
    <row r="17" spans="1:34">
      <c r="A17" s="155">
        <v>45358</v>
      </c>
      <c r="B17" s="156">
        <v>17</v>
      </c>
      <c r="C17" s="139" t="s">
        <v>503</v>
      </c>
      <c r="D17" s="163">
        <v>1260</v>
      </c>
      <c r="E17" s="141">
        <f>D17</f>
        <v>1260</v>
      </c>
      <c r="F17" s="128"/>
      <c r="G17" s="128">
        <f t="shared" si="0"/>
        <v>1743.02</v>
      </c>
      <c r="H17" s="28"/>
      <c r="I17" s="130"/>
      <c r="J17" s="320" t="s">
        <v>504</v>
      </c>
      <c r="K17" s="137"/>
      <c r="L17" s="321" t="s">
        <v>505</v>
      </c>
      <c r="M17" s="148"/>
      <c r="N17" s="148">
        <f t="shared" ref="N13:N29" si="4">M17*97%</f>
        <v>0</v>
      </c>
      <c r="O17" s="144">
        <v>5000</v>
      </c>
      <c r="P17" s="128">
        <f t="shared" si="2"/>
        <v>19009.45</v>
      </c>
      <c r="Q17" s="129"/>
      <c r="R17" s="130"/>
      <c r="S17" s="160"/>
      <c r="T17" s="161"/>
      <c r="U17" s="136"/>
      <c r="V17" s="162"/>
      <c r="W17" s="144"/>
      <c r="X17" s="144">
        <f t="shared" si="1"/>
        <v>0</v>
      </c>
      <c r="Y17" s="129"/>
      <c r="Z17" s="130"/>
      <c r="AA17" s="160">
        <v>45558</v>
      </c>
      <c r="AB17" s="161"/>
      <c r="AC17" s="136" t="s">
        <v>506</v>
      </c>
      <c r="AD17" s="162"/>
      <c r="AE17" s="144">
        <v>10</v>
      </c>
      <c r="AF17" s="128">
        <f t="shared" si="3"/>
        <v>10381.5</v>
      </c>
      <c r="AG17" s="129"/>
    </row>
    <row r="18" spans="1:34">
      <c r="A18" s="155">
        <v>45358</v>
      </c>
      <c r="B18" s="156">
        <v>17</v>
      </c>
      <c r="C18" s="133" t="s">
        <v>492</v>
      </c>
      <c r="D18" s="157">
        <v>1787.5</v>
      </c>
      <c r="E18" s="127">
        <f>D18*97%</f>
        <v>1733.875</v>
      </c>
      <c r="F18" s="128"/>
      <c r="G18" s="128">
        <f t="shared" si="0"/>
        <v>3476.895</v>
      </c>
      <c r="H18" s="28">
        <v>3275</v>
      </c>
      <c r="I18" s="130"/>
      <c r="J18" s="320">
        <v>45452</v>
      </c>
      <c r="K18" s="137"/>
      <c r="L18" s="321" t="s">
        <v>505</v>
      </c>
      <c r="M18" s="148"/>
      <c r="N18" s="148">
        <f t="shared" si="4"/>
        <v>0</v>
      </c>
      <c r="O18" s="144">
        <v>10000</v>
      </c>
      <c r="P18" s="128">
        <f t="shared" si="2"/>
        <v>9009.45</v>
      </c>
      <c r="Q18" s="129"/>
      <c r="R18" s="130"/>
      <c r="S18" s="160"/>
      <c r="T18" s="161"/>
      <c r="U18" s="136"/>
      <c r="V18" s="162"/>
      <c r="W18" s="144"/>
      <c r="X18" s="128">
        <f t="shared" si="1"/>
        <v>0</v>
      </c>
      <c r="Y18" s="129"/>
      <c r="Z18" s="130"/>
      <c r="AA18" s="160">
        <v>45558</v>
      </c>
      <c r="AB18" s="161"/>
      <c r="AC18" s="136" t="s">
        <v>507</v>
      </c>
      <c r="AD18" s="162"/>
      <c r="AE18" s="144"/>
      <c r="AF18" s="128">
        <f t="shared" si="3"/>
        <v>10381.5</v>
      </c>
      <c r="AG18" s="129"/>
    </row>
    <row r="19" spans="1:34">
      <c r="A19" s="155">
        <v>45360</v>
      </c>
      <c r="B19" s="156">
        <v>19</v>
      </c>
      <c r="C19" s="133" t="s">
        <v>492</v>
      </c>
      <c r="D19" s="157">
        <v>1060</v>
      </c>
      <c r="E19" s="127">
        <f>D19*97%</f>
        <v>1028.2</v>
      </c>
      <c r="F19" s="128"/>
      <c r="G19" s="128">
        <f t="shared" si="0"/>
        <v>4505.095</v>
      </c>
      <c r="H19" s="28">
        <v>1230</v>
      </c>
      <c r="I19" s="130"/>
      <c r="J19" s="320">
        <v>45596</v>
      </c>
      <c r="K19" s="137"/>
      <c r="L19" s="321" t="s">
        <v>505</v>
      </c>
      <c r="M19" s="148"/>
      <c r="N19" s="148"/>
      <c r="O19" s="144">
        <v>9009.5</v>
      </c>
      <c r="P19" s="128">
        <f t="shared" si="2"/>
        <v>-0.0499999999992724</v>
      </c>
      <c r="Q19" s="129"/>
      <c r="R19" s="130"/>
      <c r="S19" s="160"/>
      <c r="T19" s="161"/>
      <c r="U19" s="136"/>
      <c r="V19" s="162"/>
      <c r="W19" s="144"/>
      <c r="X19" s="128">
        <f t="shared" ref="X15:X30" si="5">X18+V19-W19</f>
        <v>0</v>
      </c>
      <c r="Y19" s="129"/>
      <c r="Z19" s="130"/>
      <c r="AA19" s="160">
        <v>45596</v>
      </c>
      <c r="AB19" s="161"/>
      <c r="AC19" s="136" t="s">
        <v>508</v>
      </c>
      <c r="AD19" s="162"/>
      <c r="AE19" s="144">
        <v>11490</v>
      </c>
      <c r="AF19" s="128">
        <f t="shared" si="3"/>
        <v>-1108.5</v>
      </c>
      <c r="AG19" s="129"/>
    </row>
    <row r="20" spans="1:34">
      <c r="A20" s="155">
        <v>45362</v>
      </c>
      <c r="B20" s="156">
        <v>32</v>
      </c>
      <c r="C20" s="133" t="s">
        <v>492</v>
      </c>
      <c r="D20" s="157">
        <v>3110.8</v>
      </c>
      <c r="E20" s="127">
        <f>D20*97%</f>
        <v>3017.476</v>
      </c>
      <c r="F20" s="128"/>
      <c r="G20" s="128">
        <f t="shared" si="0"/>
        <v>7522.571</v>
      </c>
      <c r="H20" s="28">
        <v>3388</v>
      </c>
      <c r="I20" s="130"/>
      <c r="J20" s="124">
        <v>45614</v>
      </c>
      <c r="K20" s="125">
        <v>28</v>
      </c>
      <c r="L20" s="140" t="s">
        <v>496</v>
      </c>
      <c r="M20" s="140">
        <v>1440</v>
      </c>
      <c r="N20" s="140">
        <f>M20</f>
        <v>1440</v>
      </c>
      <c r="O20" s="128"/>
      <c r="P20" s="128">
        <f t="shared" si="2"/>
        <v>1439.95</v>
      </c>
      <c r="Q20" s="129">
        <v>1800</v>
      </c>
      <c r="R20" s="130"/>
      <c r="S20" s="124"/>
      <c r="T20" s="125"/>
      <c r="U20" s="133"/>
      <c r="V20" s="157"/>
      <c r="W20" s="128"/>
      <c r="X20" s="128">
        <f t="shared" si="5"/>
        <v>0</v>
      </c>
      <c r="Y20" s="129"/>
      <c r="Z20" s="130"/>
      <c r="AA20" s="160">
        <v>45596</v>
      </c>
      <c r="AB20" s="161"/>
      <c r="AC20" s="136" t="s">
        <v>508</v>
      </c>
      <c r="AD20" s="162"/>
      <c r="AE20" s="144">
        <v>-345</v>
      </c>
      <c r="AF20" s="128">
        <f t="shared" si="3"/>
        <v>-763.5</v>
      </c>
      <c r="AG20" s="129"/>
    </row>
    <row r="21" spans="1:34">
      <c r="A21" s="155">
        <v>45367</v>
      </c>
      <c r="B21" s="156">
        <v>47</v>
      </c>
      <c r="C21" s="133" t="s">
        <v>492</v>
      </c>
      <c r="D21" s="157">
        <v>950</v>
      </c>
      <c r="E21" s="127">
        <f>D21*97%</f>
        <v>921.5</v>
      </c>
      <c r="F21" s="128"/>
      <c r="G21" s="128">
        <f t="shared" ref="G17:G27" si="6">G20+E21-F21</f>
        <v>8444.071</v>
      </c>
      <c r="H21" s="28"/>
      <c r="I21" s="130"/>
      <c r="J21" s="320" t="s">
        <v>509</v>
      </c>
      <c r="K21" s="137"/>
      <c r="L21" s="321" t="s">
        <v>510</v>
      </c>
      <c r="M21" s="148"/>
      <c r="N21" s="148">
        <f t="shared" si="4"/>
        <v>0</v>
      </c>
      <c r="O21" s="144">
        <v>1440</v>
      </c>
      <c r="P21" s="128">
        <f t="shared" si="2"/>
        <v>-0.0499999999992724</v>
      </c>
      <c r="Q21" s="129"/>
      <c r="R21" s="130"/>
      <c r="S21" s="155"/>
      <c r="T21" s="156"/>
      <c r="U21" s="133"/>
      <c r="V21" s="157"/>
      <c r="W21" s="128"/>
      <c r="X21" s="128">
        <f t="shared" si="5"/>
        <v>0</v>
      </c>
      <c r="Y21" s="129"/>
      <c r="Z21" s="130"/>
      <c r="AA21" s="160">
        <v>45597</v>
      </c>
      <c r="AB21" s="161"/>
      <c r="AC21" s="136" t="s">
        <v>511</v>
      </c>
      <c r="AD21" s="162"/>
      <c r="AE21" s="144">
        <v>-763.5</v>
      </c>
      <c r="AF21" s="128">
        <f t="shared" si="3"/>
        <v>0</v>
      </c>
      <c r="AG21" s="129"/>
    </row>
    <row r="22" spans="1:34">
      <c r="A22" s="155">
        <v>45367</v>
      </c>
      <c r="B22" s="156">
        <v>47</v>
      </c>
      <c r="C22" s="139" t="s">
        <v>503</v>
      </c>
      <c r="D22" s="163">
        <v>2970</v>
      </c>
      <c r="E22" s="141">
        <f>D22</f>
        <v>2970</v>
      </c>
      <c r="F22" s="128"/>
      <c r="G22" s="128">
        <f t="shared" si="6"/>
        <v>11414.071</v>
      </c>
      <c r="H22" s="28">
        <v>4365</v>
      </c>
      <c r="I22" s="130"/>
      <c r="J22" s="124"/>
      <c r="K22" s="125"/>
      <c r="L22" s="131"/>
      <c r="M22" s="126"/>
      <c r="N22" s="126">
        <f t="shared" si="4"/>
        <v>0</v>
      </c>
      <c r="O22" s="128"/>
      <c r="P22" s="128">
        <f t="shared" si="2"/>
        <v>-0.0499999999992724</v>
      </c>
      <c r="Q22" s="129"/>
      <c r="R22" s="130"/>
      <c r="S22" s="155"/>
      <c r="T22" s="156"/>
      <c r="U22" s="133"/>
      <c r="V22" s="157"/>
      <c r="W22" s="128"/>
      <c r="X22" s="128">
        <f t="shared" si="5"/>
        <v>0</v>
      </c>
      <c r="Y22" s="129"/>
      <c r="Z22" s="130"/>
      <c r="AA22" s="124">
        <v>45540</v>
      </c>
      <c r="AB22" s="125">
        <v>8</v>
      </c>
      <c r="AC22" s="133" t="s">
        <v>498</v>
      </c>
      <c r="AD22" s="157">
        <v>4067.5</v>
      </c>
      <c r="AE22" s="128"/>
      <c r="AF22" s="128">
        <f t="shared" ref="AF22:AF38" si="7">AF21+AD22-AE22</f>
        <v>4067.5</v>
      </c>
      <c r="AG22" s="129">
        <v>4482.5</v>
      </c>
    </row>
    <row r="23" spans="1:34">
      <c r="A23" s="155">
        <v>45370</v>
      </c>
      <c r="B23" s="156">
        <v>51</v>
      </c>
      <c r="C23" s="133" t="s">
        <v>492</v>
      </c>
      <c r="D23" s="157">
        <v>720</v>
      </c>
      <c r="E23" s="127">
        <f>D23*97%</f>
        <v>698.4</v>
      </c>
      <c r="F23" s="128"/>
      <c r="G23" s="128">
        <f t="shared" si="6"/>
        <v>12112.471</v>
      </c>
      <c r="H23" s="28">
        <v>820</v>
      </c>
      <c r="I23" s="130"/>
      <c r="J23" s="124"/>
      <c r="K23" s="125"/>
      <c r="L23" s="131"/>
      <c r="M23" s="126"/>
      <c r="N23" s="126">
        <f t="shared" si="4"/>
        <v>0</v>
      </c>
      <c r="O23" s="128"/>
      <c r="P23" s="128">
        <f t="shared" si="2"/>
        <v>-0.0499999999992724</v>
      </c>
      <c r="Q23" s="129"/>
      <c r="R23" s="130"/>
      <c r="S23" s="311" t="s">
        <v>351</v>
      </c>
      <c r="T23" s="156"/>
      <c r="U23" s="133"/>
      <c r="V23" s="157"/>
      <c r="W23" s="128"/>
      <c r="X23" s="128">
        <f t="shared" si="5"/>
        <v>0</v>
      </c>
      <c r="Y23" s="129"/>
      <c r="Z23" s="130"/>
      <c r="AA23" s="155">
        <v>45541</v>
      </c>
      <c r="AB23" s="156">
        <v>19</v>
      </c>
      <c r="AC23" s="133" t="s">
        <v>498</v>
      </c>
      <c r="AD23" s="157">
        <v>310</v>
      </c>
      <c r="AE23" s="128"/>
      <c r="AF23" s="128">
        <f t="shared" si="7"/>
        <v>4377.5</v>
      </c>
      <c r="AG23" s="26">
        <v>340</v>
      </c>
    </row>
    <row r="24" spans="1:34">
      <c r="A24" s="155">
        <v>45374</v>
      </c>
      <c r="B24" s="156">
        <v>63</v>
      </c>
      <c r="C24" s="139" t="s">
        <v>503</v>
      </c>
      <c r="D24" s="163">
        <v>1260</v>
      </c>
      <c r="E24" s="141">
        <f>D24</f>
        <v>1260</v>
      </c>
      <c r="F24" s="128"/>
      <c r="G24" s="128">
        <f t="shared" si="6"/>
        <v>13372.471</v>
      </c>
      <c r="H24" s="28"/>
      <c r="I24" s="130"/>
      <c r="J24" s="124"/>
      <c r="K24" s="125"/>
      <c r="L24" s="131"/>
      <c r="M24" s="126"/>
      <c r="N24" s="126">
        <f t="shared" si="4"/>
        <v>0</v>
      </c>
      <c r="O24" s="128"/>
      <c r="P24" s="128">
        <f t="shared" si="2"/>
        <v>-0.0499999999992724</v>
      </c>
      <c r="Q24" s="129"/>
      <c r="R24" s="130"/>
      <c r="S24" s="155">
        <v>45609</v>
      </c>
      <c r="T24" s="156">
        <v>35</v>
      </c>
      <c r="U24" s="133" t="s">
        <v>492</v>
      </c>
      <c r="V24" s="157">
        <v>11615</v>
      </c>
      <c r="W24" s="128"/>
      <c r="X24" s="128">
        <f t="shared" si="5"/>
        <v>11615</v>
      </c>
      <c r="Y24" s="197">
        <v>12665</v>
      </c>
      <c r="Z24" s="130"/>
      <c r="AA24" s="155">
        <v>45542</v>
      </c>
      <c r="AB24" s="156">
        <v>20</v>
      </c>
      <c r="AC24" s="133" t="s">
        <v>498</v>
      </c>
      <c r="AD24" s="157">
        <v>1840</v>
      </c>
      <c r="AE24" s="128"/>
      <c r="AF24" s="128">
        <f t="shared" si="7"/>
        <v>6217.5</v>
      </c>
      <c r="AG24" s="26">
        <v>1960</v>
      </c>
    </row>
    <row r="25" spans="1:34">
      <c r="A25" s="155">
        <v>45374</v>
      </c>
      <c r="B25" s="156">
        <v>63</v>
      </c>
      <c r="C25" s="133" t="s">
        <v>492</v>
      </c>
      <c r="D25" s="157">
        <v>4515.5</v>
      </c>
      <c r="E25" s="127">
        <f>D25*97%</f>
        <v>4380.035</v>
      </c>
      <c r="F25" s="128"/>
      <c r="G25" s="128">
        <f t="shared" si="6"/>
        <v>17752.506</v>
      </c>
      <c r="H25" s="28">
        <v>6242.5</v>
      </c>
      <c r="I25" s="130"/>
      <c r="J25" s="124"/>
      <c r="K25" s="125"/>
      <c r="L25" s="131"/>
      <c r="M25" s="126"/>
      <c r="N25" s="126">
        <f t="shared" si="4"/>
        <v>0</v>
      </c>
      <c r="O25" s="128"/>
      <c r="P25" s="128">
        <f t="shared" ref="P18:P41" si="8">N25-O25</f>
        <v>0</v>
      </c>
      <c r="Q25" s="129"/>
      <c r="R25" s="130"/>
      <c r="S25" s="160" t="s">
        <v>512</v>
      </c>
      <c r="T25" s="161"/>
      <c r="U25" s="136" t="s">
        <v>502</v>
      </c>
      <c r="V25" s="162"/>
      <c r="W25" s="144">
        <v>7000</v>
      </c>
      <c r="X25" s="128">
        <f t="shared" si="5"/>
        <v>4615</v>
      </c>
      <c r="Y25" s="129"/>
      <c r="Z25" s="130"/>
      <c r="AA25" s="155">
        <v>45544</v>
      </c>
      <c r="AB25" s="156">
        <v>26</v>
      </c>
      <c r="AC25" s="133" t="s">
        <v>498</v>
      </c>
      <c r="AD25" s="157">
        <v>155</v>
      </c>
      <c r="AE25" s="128"/>
      <c r="AF25" s="128">
        <f t="shared" si="7"/>
        <v>6372.5</v>
      </c>
      <c r="AG25" s="26">
        <v>170</v>
      </c>
    </row>
    <row r="26" spans="1:34">
      <c r="A26" s="155">
        <v>45379</v>
      </c>
      <c r="B26" s="156">
        <v>78</v>
      </c>
      <c r="C26" s="133" t="s">
        <v>492</v>
      </c>
      <c r="D26" s="157">
        <v>4485</v>
      </c>
      <c r="E26" s="127">
        <f>D26*97%</f>
        <v>4350.45</v>
      </c>
      <c r="F26" s="128"/>
      <c r="G26" s="128">
        <f t="shared" si="6"/>
        <v>22102.956</v>
      </c>
      <c r="H26" s="28">
        <v>5287.5</v>
      </c>
      <c r="I26" s="145">
        <f>SUM(H16:H26)</f>
        <v>25190.8</v>
      </c>
      <c r="J26" s="124"/>
      <c r="K26" s="125"/>
      <c r="L26" s="131"/>
      <c r="M26" s="126"/>
      <c r="N26" s="126">
        <f t="shared" si="4"/>
        <v>0</v>
      </c>
      <c r="O26" s="128"/>
      <c r="P26" s="128">
        <f t="shared" si="8"/>
        <v>0</v>
      </c>
      <c r="Q26" s="129"/>
      <c r="R26" s="130"/>
      <c r="S26" s="160" t="s">
        <v>513</v>
      </c>
      <c r="T26" s="161"/>
      <c r="U26" s="136" t="s">
        <v>514</v>
      </c>
      <c r="V26" s="162"/>
      <c r="W26" s="144">
        <v>4615</v>
      </c>
      <c r="X26" s="128">
        <f t="shared" si="5"/>
        <v>0</v>
      </c>
      <c r="Y26" s="129"/>
      <c r="Z26" s="130"/>
      <c r="AA26" s="155">
        <v>45547</v>
      </c>
      <c r="AB26" s="156">
        <v>42</v>
      </c>
      <c r="AC26" s="133" t="s">
        <v>498</v>
      </c>
      <c r="AD26" s="157">
        <v>1240</v>
      </c>
      <c r="AE26" s="128"/>
      <c r="AF26" s="128">
        <f t="shared" si="7"/>
        <v>7612.5</v>
      </c>
      <c r="AG26" s="26">
        <v>1360</v>
      </c>
    </row>
    <row r="27" spans="1:34">
      <c r="A27" s="155"/>
      <c r="B27" s="156"/>
      <c r="C27" s="133"/>
      <c r="D27" s="157"/>
      <c r="E27" s="127"/>
      <c r="F27" s="128"/>
      <c r="G27" s="128">
        <f t="shared" si="6"/>
        <v>22102.956</v>
      </c>
      <c r="H27" s="28"/>
      <c r="I27" s="169"/>
      <c r="J27" s="124"/>
      <c r="K27" s="125"/>
      <c r="L27" s="131"/>
      <c r="M27" s="126"/>
      <c r="N27" s="126">
        <f t="shared" si="4"/>
        <v>0</v>
      </c>
      <c r="O27" s="128"/>
      <c r="P27" s="128">
        <f t="shared" si="8"/>
        <v>0</v>
      </c>
      <c r="Q27" s="129"/>
      <c r="R27" s="130"/>
      <c r="S27" s="311" t="s">
        <v>515</v>
      </c>
      <c r="T27" s="156">
        <v>42</v>
      </c>
      <c r="U27" s="322" t="s">
        <v>492</v>
      </c>
      <c r="V27" s="157">
        <v>4999</v>
      </c>
      <c r="W27" s="128"/>
      <c r="X27" s="144">
        <f t="shared" si="5"/>
        <v>4999</v>
      </c>
      <c r="Y27" s="197">
        <v>5434</v>
      </c>
      <c r="Z27" s="130"/>
      <c r="AA27" s="155">
        <v>45550</v>
      </c>
      <c r="AB27" s="156">
        <v>53</v>
      </c>
      <c r="AC27" s="133" t="s">
        <v>498</v>
      </c>
      <c r="AD27" s="157">
        <v>2265</v>
      </c>
      <c r="AE27" s="128"/>
      <c r="AF27" s="128">
        <f t="shared" si="7"/>
        <v>9877.5</v>
      </c>
      <c r="AG27" s="26">
        <v>2502.5</v>
      </c>
    </row>
    <row r="28" spans="1:34">
      <c r="A28" s="155">
        <v>45385</v>
      </c>
      <c r="B28" s="156">
        <v>13</v>
      </c>
      <c r="C28" s="139" t="s">
        <v>503</v>
      </c>
      <c r="D28" s="163">
        <v>1260</v>
      </c>
      <c r="E28" s="141">
        <f>D28</f>
        <v>1260</v>
      </c>
      <c r="F28" s="128"/>
      <c r="G28" s="128">
        <f t="shared" ref="G28:G38" si="9">G27+E28-F28</f>
        <v>23362.956</v>
      </c>
      <c r="H28" s="28"/>
      <c r="I28" s="130"/>
      <c r="J28" s="124"/>
      <c r="K28" s="125"/>
      <c r="L28" s="131"/>
      <c r="M28" s="126"/>
      <c r="N28" s="126">
        <f t="shared" si="4"/>
        <v>0</v>
      </c>
      <c r="O28" s="128"/>
      <c r="P28" s="128">
        <f t="shared" si="8"/>
        <v>0</v>
      </c>
      <c r="Q28" s="129"/>
      <c r="R28" s="130"/>
      <c r="S28" s="124"/>
      <c r="T28" s="125"/>
      <c r="U28" s="133"/>
      <c r="V28" s="157"/>
      <c r="W28" s="128"/>
      <c r="X28" s="128">
        <f t="shared" si="5"/>
        <v>4999</v>
      </c>
      <c r="Y28" s="129"/>
      <c r="Z28" s="130"/>
      <c r="AA28" s="155">
        <v>45553</v>
      </c>
      <c r="AB28" s="156">
        <v>56</v>
      </c>
      <c r="AC28" s="133" t="s">
        <v>498</v>
      </c>
      <c r="AD28" s="157">
        <v>1107.5</v>
      </c>
      <c r="AE28" s="128"/>
      <c r="AF28" s="128">
        <f t="shared" si="7"/>
        <v>10985</v>
      </c>
      <c r="AG28" s="26">
        <v>1230</v>
      </c>
    </row>
    <row r="29" spans="1:34">
      <c r="A29" s="155">
        <v>45385</v>
      </c>
      <c r="B29" s="156">
        <v>13</v>
      </c>
      <c r="C29" s="133" t="s">
        <v>492</v>
      </c>
      <c r="D29" s="157">
        <v>118</v>
      </c>
      <c r="E29" s="127">
        <f>D29*97%</f>
        <v>114.46</v>
      </c>
      <c r="F29" s="128"/>
      <c r="G29" s="128">
        <f t="shared" si="9"/>
        <v>23477.416</v>
      </c>
      <c r="H29" s="28">
        <v>1480</v>
      </c>
      <c r="I29" s="130"/>
      <c r="J29" s="124"/>
      <c r="K29" s="125"/>
      <c r="L29" s="131"/>
      <c r="M29" s="126"/>
      <c r="N29" s="126">
        <f t="shared" si="4"/>
        <v>0</v>
      </c>
      <c r="O29" s="128"/>
      <c r="P29" s="128">
        <f t="shared" si="8"/>
        <v>0</v>
      </c>
      <c r="Q29" s="129"/>
      <c r="R29" s="130"/>
      <c r="S29" s="155"/>
      <c r="T29" s="156"/>
      <c r="U29" s="133"/>
      <c r="V29" s="157"/>
      <c r="W29" s="128"/>
      <c r="X29" s="128">
        <f t="shared" si="5"/>
        <v>4999</v>
      </c>
      <c r="Y29" s="129"/>
      <c r="Z29" s="130"/>
      <c r="AA29" s="155">
        <v>45556</v>
      </c>
      <c r="AB29" s="156">
        <v>67</v>
      </c>
      <c r="AC29" s="133" t="s">
        <v>498</v>
      </c>
      <c r="AD29" s="157">
        <v>7405</v>
      </c>
      <c r="AE29" s="128"/>
      <c r="AF29" s="128">
        <f t="shared" si="7"/>
        <v>18390</v>
      </c>
      <c r="AG29" s="129">
        <v>8140</v>
      </c>
    </row>
    <row r="30" spans="1:34">
      <c r="A30" s="155">
        <v>45391</v>
      </c>
      <c r="B30" s="156">
        <v>25</v>
      </c>
      <c r="C30" s="133" t="s">
        <v>492</v>
      </c>
      <c r="D30" s="157">
        <v>670</v>
      </c>
      <c r="E30" s="127">
        <f>D30*97%</f>
        <v>649.9</v>
      </c>
      <c r="F30" s="128"/>
      <c r="G30" s="128">
        <f t="shared" si="9"/>
        <v>24127.316</v>
      </c>
      <c r="H30" s="28">
        <v>785</v>
      </c>
      <c r="I30" s="130"/>
      <c r="J30" s="124"/>
      <c r="K30" s="125"/>
      <c r="L30" s="131"/>
      <c r="M30" s="126"/>
      <c r="N30" s="126">
        <f t="shared" ref="N18:N41" si="10">M30</f>
        <v>0</v>
      </c>
      <c r="O30" s="128"/>
      <c r="P30" s="128">
        <f t="shared" si="8"/>
        <v>0</v>
      </c>
      <c r="Q30" s="129"/>
      <c r="R30" s="130"/>
      <c r="S30" s="155"/>
      <c r="T30" s="156"/>
      <c r="U30" s="133"/>
      <c r="V30" s="157"/>
      <c r="W30" s="128"/>
      <c r="X30" s="128">
        <f t="shared" si="5"/>
        <v>4999</v>
      </c>
      <c r="Y30" s="129"/>
      <c r="Z30" s="130"/>
      <c r="AA30" s="124">
        <v>45558</v>
      </c>
      <c r="AB30" s="125">
        <v>73</v>
      </c>
      <c r="AC30" s="133" t="s">
        <v>498</v>
      </c>
      <c r="AD30" s="157">
        <v>387.5</v>
      </c>
      <c r="AE30" s="128"/>
      <c r="AF30" s="128">
        <f t="shared" si="7"/>
        <v>18777.5</v>
      </c>
      <c r="AG30" s="129">
        <v>425</v>
      </c>
    </row>
    <row r="31" spans="1:34">
      <c r="A31" s="155">
        <v>45392</v>
      </c>
      <c r="B31" s="156">
        <v>31</v>
      </c>
      <c r="C31" s="139" t="s">
        <v>503</v>
      </c>
      <c r="D31" s="163">
        <v>1710</v>
      </c>
      <c r="E31" s="141">
        <f>D31</f>
        <v>1710</v>
      </c>
      <c r="F31" s="128"/>
      <c r="G31" s="128">
        <f t="shared" si="9"/>
        <v>25837.316</v>
      </c>
      <c r="H31" s="28"/>
      <c r="I31" s="130"/>
      <c r="J31" s="124"/>
      <c r="K31" s="125"/>
      <c r="L31" s="131"/>
      <c r="M31" s="126"/>
      <c r="N31" s="126">
        <f t="shared" si="10"/>
        <v>0</v>
      </c>
      <c r="O31" s="128"/>
      <c r="P31" s="128">
        <f t="shared" si="8"/>
        <v>0</v>
      </c>
      <c r="Q31" s="129"/>
      <c r="R31" s="130"/>
      <c r="S31" s="124"/>
      <c r="T31" s="125"/>
      <c r="U31" s="126"/>
      <c r="V31" s="126"/>
      <c r="W31" s="128"/>
      <c r="X31" s="128">
        <f t="shared" ref="X31:X44" si="11">V31-W31</f>
        <v>0</v>
      </c>
      <c r="Y31" s="129"/>
      <c r="Z31" s="130"/>
      <c r="AA31" s="155">
        <v>45559</v>
      </c>
      <c r="AB31" s="156">
        <v>80</v>
      </c>
      <c r="AC31" s="133" t="s">
        <v>498</v>
      </c>
      <c r="AD31" s="157">
        <v>4320</v>
      </c>
      <c r="AE31" s="128"/>
      <c r="AF31" s="128">
        <f t="shared" si="7"/>
        <v>23097.5</v>
      </c>
      <c r="AG31" s="129">
        <v>4590</v>
      </c>
      <c r="AH31">
        <f>SUM(AD22:AD31)</f>
        <v>23097.5</v>
      </c>
    </row>
    <row r="32" spans="1:34">
      <c r="A32" s="155">
        <v>45392</v>
      </c>
      <c r="B32" s="156">
        <v>31</v>
      </c>
      <c r="C32" s="133" t="s">
        <v>492</v>
      </c>
      <c r="D32" s="157">
        <v>3429.8</v>
      </c>
      <c r="E32" s="127">
        <f>D32*97%</f>
        <v>3326.906</v>
      </c>
      <c r="F32" s="128"/>
      <c r="G32" s="128">
        <f t="shared" si="9"/>
        <v>29164.222</v>
      </c>
      <c r="H32" s="28">
        <v>5652</v>
      </c>
      <c r="I32" s="130"/>
      <c r="J32" s="124"/>
      <c r="K32" s="125"/>
      <c r="L32" s="131"/>
      <c r="M32" s="126"/>
      <c r="N32" s="126">
        <f t="shared" si="10"/>
        <v>0</v>
      </c>
      <c r="O32" s="128"/>
      <c r="P32" s="128">
        <f t="shared" si="8"/>
        <v>0</v>
      </c>
      <c r="Q32" s="129"/>
      <c r="R32" s="130"/>
      <c r="S32" s="124"/>
      <c r="T32" s="125"/>
      <c r="U32" s="126"/>
      <c r="V32" s="126"/>
      <c r="W32" s="128"/>
      <c r="X32" s="128">
        <f t="shared" si="11"/>
        <v>0</v>
      </c>
      <c r="Y32" s="129"/>
      <c r="Z32" s="130"/>
      <c r="AA32" s="160">
        <v>45639</v>
      </c>
      <c r="AB32" s="161"/>
      <c r="AC32" s="136" t="s">
        <v>508</v>
      </c>
      <c r="AD32" s="162"/>
      <c r="AE32" s="144">
        <v>25200</v>
      </c>
      <c r="AF32" s="128">
        <f t="shared" si="7"/>
        <v>-2102.5</v>
      </c>
      <c r="AG32" s="129"/>
    </row>
    <row r="33" spans="1:36">
      <c r="A33" s="155">
        <v>45404</v>
      </c>
      <c r="B33" s="156">
        <v>74</v>
      </c>
      <c r="C33" s="139" t="s">
        <v>503</v>
      </c>
      <c r="D33" s="163">
        <v>1260</v>
      </c>
      <c r="E33" s="141">
        <f>D33</f>
        <v>1260</v>
      </c>
      <c r="F33" s="128"/>
      <c r="G33" s="128">
        <f t="shared" si="9"/>
        <v>30424.222</v>
      </c>
      <c r="H33" s="28"/>
      <c r="I33" s="130"/>
      <c r="J33" s="124"/>
      <c r="K33" s="125"/>
      <c r="L33" s="131"/>
      <c r="M33" s="126"/>
      <c r="N33" s="126">
        <f t="shared" si="10"/>
        <v>0</v>
      </c>
      <c r="O33" s="128"/>
      <c r="P33" s="128">
        <f t="shared" si="8"/>
        <v>0</v>
      </c>
      <c r="Q33" s="129"/>
      <c r="R33" s="130"/>
      <c r="S33" s="124"/>
      <c r="T33" s="125"/>
      <c r="U33" s="126"/>
      <c r="V33" s="126"/>
      <c r="W33" s="128"/>
      <c r="X33" s="128">
        <f t="shared" si="11"/>
        <v>0</v>
      </c>
      <c r="Y33" s="129"/>
      <c r="Z33" s="130"/>
      <c r="AA33" s="160"/>
      <c r="AB33" s="161"/>
      <c r="AC33" s="136"/>
      <c r="AD33" s="162"/>
      <c r="AE33" s="144">
        <v>-2102.5</v>
      </c>
      <c r="AF33" s="128">
        <f t="shared" si="7"/>
        <v>0</v>
      </c>
      <c r="AG33" s="129"/>
      <c r="AH33">
        <f>SUM(AG22:AG31)</f>
        <v>25200</v>
      </c>
    </row>
    <row r="34" spans="1:36">
      <c r="A34" s="155">
        <v>45404</v>
      </c>
      <c r="B34" s="156">
        <v>74</v>
      </c>
      <c r="C34" s="133" t="s">
        <v>492</v>
      </c>
      <c r="D34" s="157">
        <v>80</v>
      </c>
      <c r="E34" s="127">
        <f>D34*97%</f>
        <v>77.6</v>
      </c>
      <c r="F34" s="128"/>
      <c r="G34" s="128">
        <f t="shared" si="9"/>
        <v>30501.822</v>
      </c>
      <c r="H34" s="28">
        <v>1440</v>
      </c>
      <c r="I34" s="145">
        <f>SUM(H28:H35)</f>
        <v>17949.5</v>
      </c>
      <c r="J34" s="124"/>
      <c r="K34" s="125"/>
      <c r="L34" s="131"/>
      <c r="M34" s="126"/>
      <c r="N34" s="126">
        <f t="shared" si="10"/>
        <v>0</v>
      </c>
      <c r="O34" s="128"/>
      <c r="P34" s="128">
        <f t="shared" si="8"/>
        <v>0</v>
      </c>
      <c r="Q34" s="129"/>
      <c r="R34" s="130"/>
      <c r="S34" s="124"/>
      <c r="T34" s="125"/>
      <c r="U34" s="126"/>
      <c r="V34" s="126"/>
      <c r="W34" s="128"/>
      <c r="X34" s="128">
        <f t="shared" si="11"/>
        <v>0</v>
      </c>
      <c r="Y34" s="129"/>
      <c r="Z34" s="130"/>
      <c r="AA34" s="155">
        <v>45575</v>
      </c>
      <c r="AB34" s="156">
        <v>19</v>
      </c>
      <c r="AC34" s="133" t="s">
        <v>498</v>
      </c>
      <c r="AD34" s="157">
        <v>18062.5</v>
      </c>
      <c r="AE34" s="128"/>
      <c r="AF34" s="128">
        <f t="shared" ref="AF34:AF50" si="12">AF33+AD34-AE34</f>
        <v>18062.5</v>
      </c>
      <c r="AG34" s="129">
        <v>19955</v>
      </c>
    </row>
    <row r="35" spans="1:36">
      <c r="A35" s="155">
        <v>45409</v>
      </c>
      <c r="B35" s="156">
        <v>94</v>
      </c>
      <c r="C35" s="133" t="s">
        <v>492</v>
      </c>
      <c r="D35" s="157">
        <v>7603</v>
      </c>
      <c r="E35" s="127">
        <f>D35*97%</f>
        <v>7374.91</v>
      </c>
      <c r="F35" s="128"/>
      <c r="G35" s="128">
        <f t="shared" si="9"/>
        <v>37876.732</v>
      </c>
      <c r="H35" s="28">
        <v>8592.5</v>
      </c>
      <c r="I35" s="130"/>
      <c r="J35" s="124"/>
      <c r="K35" s="125"/>
      <c r="L35" s="131"/>
      <c r="M35" s="126"/>
      <c r="N35" s="126">
        <f t="shared" si="10"/>
        <v>0</v>
      </c>
      <c r="O35" s="128"/>
      <c r="P35" s="128">
        <f t="shared" si="8"/>
        <v>0</v>
      </c>
      <c r="Q35" s="129"/>
      <c r="R35" s="130"/>
      <c r="S35" s="124"/>
      <c r="T35" s="125"/>
      <c r="U35" s="126"/>
      <c r="V35" s="126"/>
      <c r="W35" s="128"/>
      <c r="X35" s="128">
        <f t="shared" si="11"/>
        <v>0</v>
      </c>
      <c r="Y35" s="129"/>
      <c r="Z35" s="130"/>
      <c r="AA35" s="155">
        <v>45584</v>
      </c>
      <c r="AB35" s="156">
        <v>54</v>
      </c>
      <c r="AC35" s="133" t="s">
        <v>498</v>
      </c>
      <c r="AD35" s="157">
        <v>4860</v>
      </c>
      <c r="AE35" s="128"/>
      <c r="AF35" s="128">
        <f t="shared" si="12"/>
        <v>22922.5</v>
      </c>
      <c r="AG35" s="26">
        <v>5220</v>
      </c>
    </row>
    <row r="36" spans="1:36">
      <c r="A36" s="160" t="s">
        <v>516</v>
      </c>
      <c r="B36" s="161"/>
      <c r="C36" s="136" t="s">
        <v>494</v>
      </c>
      <c r="D36" s="162"/>
      <c r="E36" s="149"/>
      <c r="F36" s="144">
        <v>43000</v>
      </c>
      <c r="G36" s="128">
        <f t="shared" si="9"/>
        <v>-5123.268</v>
      </c>
      <c r="H36" s="28"/>
      <c r="I36" s="184" t="s">
        <v>517</v>
      </c>
      <c r="J36" s="124"/>
      <c r="K36" s="125"/>
      <c r="L36" s="131"/>
      <c r="M36" s="126"/>
      <c r="N36" s="126">
        <f t="shared" si="10"/>
        <v>0</v>
      </c>
      <c r="O36" s="128"/>
      <c r="P36" s="128">
        <f t="shared" si="8"/>
        <v>0</v>
      </c>
      <c r="Q36" s="129"/>
      <c r="R36" s="130"/>
      <c r="S36" s="124"/>
      <c r="T36" s="125"/>
      <c r="U36" s="126"/>
      <c r="V36" s="126"/>
      <c r="W36" s="128"/>
      <c r="X36" s="128">
        <f t="shared" si="11"/>
        <v>0</v>
      </c>
      <c r="Y36" s="129"/>
      <c r="Z36" s="130"/>
      <c r="AA36" s="124">
        <v>45595</v>
      </c>
      <c r="AB36" s="125">
        <v>97</v>
      </c>
      <c r="AC36" s="133" t="s">
        <v>498</v>
      </c>
      <c r="AD36" s="157">
        <v>2867.5</v>
      </c>
      <c r="AE36" s="128"/>
      <c r="AF36" s="128">
        <f t="shared" si="12"/>
        <v>25790</v>
      </c>
      <c r="AG36" s="129">
        <v>3145</v>
      </c>
      <c r="AH36">
        <f>SUM(AG34:AG36)</f>
        <v>28320</v>
      </c>
    </row>
    <row r="37" spans="1:36">
      <c r="A37" s="160">
        <v>45474</v>
      </c>
      <c r="B37" s="161"/>
      <c r="C37" s="136" t="s">
        <v>511</v>
      </c>
      <c r="D37" s="162"/>
      <c r="E37" s="149"/>
      <c r="F37" s="144">
        <v>-5123.3</v>
      </c>
      <c r="G37" s="128">
        <f t="shared" ref="G37:G68" si="13">G36+E37-F37</f>
        <v>0.0320000000037908</v>
      </c>
      <c r="H37" s="28"/>
      <c r="I37" s="186"/>
      <c r="J37" s="124"/>
      <c r="K37" s="125"/>
      <c r="L37" s="131"/>
      <c r="M37" s="126"/>
      <c r="N37" s="126">
        <f t="shared" si="10"/>
        <v>0</v>
      </c>
      <c r="O37" s="128"/>
      <c r="P37" s="128">
        <f t="shared" si="8"/>
        <v>0</v>
      </c>
      <c r="Q37" s="129"/>
      <c r="R37" s="130"/>
      <c r="S37" s="124"/>
      <c r="T37" s="125"/>
      <c r="U37" s="126"/>
      <c r="V37" s="126"/>
      <c r="W37" s="128"/>
      <c r="X37" s="128">
        <f t="shared" si="11"/>
        <v>0</v>
      </c>
      <c r="Y37" s="129"/>
      <c r="Z37" s="130"/>
      <c r="AA37" s="124">
        <v>45870</v>
      </c>
      <c r="AB37" s="125"/>
      <c r="AC37" s="133" t="s">
        <v>505</v>
      </c>
      <c r="AD37" s="157"/>
      <c r="AE37" s="128">
        <v>5000</v>
      </c>
      <c r="AF37" s="128">
        <f t="shared" si="12"/>
        <v>20790</v>
      </c>
      <c r="AG37" s="129"/>
    </row>
    <row r="38" spans="1:36">
      <c r="A38" s="155">
        <v>45417</v>
      </c>
      <c r="B38" s="156">
        <v>1</v>
      </c>
      <c r="C38" s="133" t="s">
        <v>492</v>
      </c>
      <c r="D38" s="157">
        <v>160</v>
      </c>
      <c r="E38" s="127">
        <f>D38*97%</f>
        <v>155.2</v>
      </c>
      <c r="F38" s="128"/>
      <c r="G38" s="128">
        <f t="shared" si="13"/>
        <v>155.232000000004</v>
      </c>
      <c r="H38" s="28"/>
      <c r="I38" s="130"/>
      <c r="J38" s="124"/>
      <c r="K38" s="125"/>
      <c r="L38" s="131"/>
      <c r="M38" s="126"/>
      <c r="N38" s="126">
        <f t="shared" si="10"/>
        <v>0</v>
      </c>
      <c r="O38" s="128"/>
      <c r="P38" s="128">
        <f t="shared" si="8"/>
        <v>0</v>
      </c>
      <c r="Q38" s="129"/>
      <c r="R38" s="130"/>
      <c r="S38" s="124"/>
      <c r="T38" s="125"/>
      <c r="U38" s="126"/>
      <c r="V38" s="126"/>
      <c r="W38" s="128"/>
      <c r="X38" s="128">
        <f t="shared" si="11"/>
        <v>0</v>
      </c>
      <c r="Y38" s="129"/>
      <c r="Z38" s="130"/>
      <c r="AA38" s="124">
        <v>45884</v>
      </c>
      <c r="AB38" s="125"/>
      <c r="AC38" s="133" t="s">
        <v>505</v>
      </c>
      <c r="AD38" s="157"/>
      <c r="AE38" s="128">
        <v>5000</v>
      </c>
      <c r="AF38" s="128">
        <f t="shared" si="12"/>
        <v>15790</v>
      </c>
      <c r="AG38" s="129"/>
    </row>
    <row r="39" spans="1:36">
      <c r="A39" s="155">
        <v>45417</v>
      </c>
      <c r="B39" s="156">
        <v>1</v>
      </c>
      <c r="C39" s="139" t="s">
        <v>503</v>
      </c>
      <c r="D39" s="163">
        <v>19</v>
      </c>
      <c r="E39" s="141">
        <f>D39</f>
        <v>19</v>
      </c>
      <c r="F39" s="128"/>
      <c r="G39" s="128">
        <f t="shared" si="13"/>
        <v>174.232000000004</v>
      </c>
      <c r="H39" s="28">
        <v>200.8</v>
      </c>
      <c r="I39" s="130"/>
      <c r="J39" s="124"/>
      <c r="K39" s="125"/>
      <c r="L39" s="131"/>
      <c r="M39" s="126"/>
      <c r="N39" s="126">
        <f t="shared" si="10"/>
        <v>0</v>
      </c>
      <c r="O39" s="128"/>
      <c r="P39" s="128">
        <f t="shared" si="8"/>
        <v>0</v>
      </c>
      <c r="Q39" s="129"/>
      <c r="R39" s="130"/>
      <c r="S39" s="124"/>
      <c r="T39" s="125"/>
      <c r="U39" s="126"/>
      <c r="V39" s="126"/>
      <c r="W39" s="128"/>
      <c r="X39" s="128">
        <f t="shared" si="11"/>
        <v>0</v>
      </c>
      <c r="Y39" s="129"/>
      <c r="Z39" s="130"/>
      <c r="AA39" s="155">
        <v>45600</v>
      </c>
      <c r="AB39" s="156">
        <v>3</v>
      </c>
      <c r="AC39" s="133" t="s">
        <v>498</v>
      </c>
      <c r="AD39" s="157">
        <v>21965</v>
      </c>
      <c r="AE39" s="128"/>
      <c r="AF39" s="128">
        <f t="shared" si="12"/>
        <v>37755</v>
      </c>
      <c r="AG39" s="26">
        <v>23710</v>
      </c>
    </row>
    <row r="40" spans="1:36">
      <c r="A40" s="155">
        <v>45420</v>
      </c>
      <c r="B40" s="156">
        <v>11</v>
      </c>
      <c r="C40" s="133" t="s">
        <v>492</v>
      </c>
      <c r="D40" s="157">
        <v>3428</v>
      </c>
      <c r="E40" s="127">
        <f>D40*97%</f>
        <v>3325.16</v>
      </c>
      <c r="F40" s="128"/>
      <c r="G40" s="128">
        <f t="shared" si="13"/>
        <v>3499.392</v>
      </c>
      <c r="H40" s="28">
        <v>3755</v>
      </c>
      <c r="I40" s="130"/>
      <c r="J40" s="124"/>
      <c r="K40" s="125"/>
      <c r="L40" s="131"/>
      <c r="M40" s="126"/>
      <c r="N40" s="126">
        <f t="shared" si="10"/>
        <v>0</v>
      </c>
      <c r="O40" s="128"/>
      <c r="P40" s="128">
        <f t="shared" si="8"/>
        <v>0</v>
      </c>
      <c r="Q40" s="129"/>
      <c r="R40" s="130"/>
      <c r="S40" s="124"/>
      <c r="T40" s="125"/>
      <c r="U40" s="126"/>
      <c r="V40" s="126"/>
      <c r="W40" s="128"/>
      <c r="X40" s="128">
        <f t="shared" si="11"/>
        <v>0</v>
      </c>
      <c r="Y40" s="129"/>
      <c r="Z40" s="130"/>
      <c r="AA40" s="155">
        <v>45601</v>
      </c>
      <c r="AB40" s="156">
        <v>9</v>
      </c>
      <c r="AC40" s="133" t="s">
        <v>498</v>
      </c>
      <c r="AD40" s="157">
        <v>1265</v>
      </c>
      <c r="AE40" s="128"/>
      <c r="AF40" s="128">
        <f t="shared" si="12"/>
        <v>39020</v>
      </c>
      <c r="AG40" s="26">
        <v>1444</v>
      </c>
    </row>
    <row r="41" spans="1:36">
      <c r="A41" s="155">
        <v>45421</v>
      </c>
      <c r="B41" s="156">
        <v>13</v>
      </c>
      <c r="C41" s="133" t="s">
        <v>492</v>
      </c>
      <c r="D41" s="157">
        <v>1687.5</v>
      </c>
      <c r="E41" s="127">
        <f>D41*97%</f>
        <v>1636.875</v>
      </c>
      <c r="F41" s="128"/>
      <c r="G41" s="128">
        <f t="shared" si="13"/>
        <v>5136.267</v>
      </c>
      <c r="H41" s="28">
        <v>1812.5</v>
      </c>
      <c r="I41" s="130"/>
      <c r="J41" s="124"/>
      <c r="K41" s="125"/>
      <c r="L41" s="131"/>
      <c r="M41" s="126"/>
      <c r="N41" s="126">
        <f t="shared" si="10"/>
        <v>0</v>
      </c>
      <c r="O41" s="128"/>
      <c r="P41" s="128">
        <f t="shared" si="8"/>
        <v>0</v>
      </c>
      <c r="Q41" s="129"/>
      <c r="R41" s="130"/>
      <c r="S41" s="124"/>
      <c r="T41" s="125"/>
      <c r="U41" s="126"/>
      <c r="V41" s="126"/>
      <c r="W41" s="128"/>
      <c r="X41" s="128">
        <f t="shared" si="11"/>
        <v>0</v>
      </c>
      <c r="Y41" s="129"/>
      <c r="Z41" s="130"/>
      <c r="AA41" s="155">
        <v>45607</v>
      </c>
      <c r="AB41" s="156">
        <v>32</v>
      </c>
      <c r="AC41" s="133" t="s">
        <v>498</v>
      </c>
      <c r="AD41" s="157">
        <v>140</v>
      </c>
      <c r="AE41" s="128"/>
      <c r="AF41" s="128">
        <f t="shared" si="12"/>
        <v>39160</v>
      </c>
      <c r="AG41" s="129">
        <v>160</v>
      </c>
      <c r="AH41">
        <f>SUM(AG39:AG43)</f>
        <v>33489</v>
      </c>
    </row>
    <row r="42" spans="1:36">
      <c r="A42" s="155">
        <v>45428</v>
      </c>
      <c r="B42" s="156">
        <v>43</v>
      </c>
      <c r="C42" s="133" t="s">
        <v>492</v>
      </c>
      <c r="D42" s="157">
        <v>6750</v>
      </c>
      <c r="E42" s="127">
        <f>D42*97%</f>
        <v>6547.5</v>
      </c>
      <c r="F42" s="128"/>
      <c r="G42" s="128">
        <f t="shared" si="13"/>
        <v>11683.767</v>
      </c>
      <c r="H42" s="28">
        <v>7875</v>
      </c>
      <c r="I42" s="130"/>
      <c r="S42" s="124"/>
      <c r="T42" s="125"/>
      <c r="U42" s="126"/>
      <c r="V42" s="126"/>
      <c r="W42" s="128"/>
      <c r="X42" s="128">
        <f t="shared" si="11"/>
        <v>0</v>
      </c>
      <c r="Y42" s="129"/>
      <c r="AA42" s="124">
        <v>45621</v>
      </c>
      <c r="AB42" s="125">
        <v>76</v>
      </c>
      <c r="AC42" s="133" t="s">
        <v>498</v>
      </c>
      <c r="AD42" s="157">
        <v>6860</v>
      </c>
      <c r="AE42" s="128"/>
      <c r="AF42" s="128">
        <f t="shared" si="12"/>
        <v>46020</v>
      </c>
      <c r="AG42" s="129">
        <v>7300</v>
      </c>
      <c r="AJ42">
        <f>SUM(AH33:AH45)</f>
        <v>121274</v>
      </c>
    </row>
    <row r="43" spans="1:36">
      <c r="A43" s="155">
        <v>45440</v>
      </c>
      <c r="B43" s="156">
        <v>80</v>
      </c>
      <c r="C43" s="133" t="s">
        <v>492</v>
      </c>
      <c r="D43" s="157">
        <v>1300</v>
      </c>
      <c r="E43" s="127">
        <f>D43*97%</f>
        <v>1261</v>
      </c>
      <c r="F43" s="128"/>
      <c r="G43" s="128">
        <f t="shared" si="13"/>
        <v>12944.767</v>
      </c>
      <c r="H43" s="28"/>
      <c r="I43" s="323">
        <f>SUM(H39:H44)</f>
        <v>15148.3</v>
      </c>
      <c r="S43" s="124"/>
      <c r="T43" s="125"/>
      <c r="U43" s="126"/>
      <c r="V43" s="126"/>
      <c r="W43" s="128"/>
      <c r="X43" s="128">
        <f t="shared" si="11"/>
        <v>0</v>
      </c>
      <c r="Y43" s="129"/>
      <c r="AA43" s="124">
        <v>45625</v>
      </c>
      <c r="AB43" s="125">
        <v>94</v>
      </c>
      <c r="AC43" s="133" t="s">
        <v>498</v>
      </c>
      <c r="AD43" s="126">
        <v>807</v>
      </c>
      <c r="AE43" s="128"/>
      <c r="AF43" s="128">
        <f t="shared" si="12"/>
        <v>46827</v>
      </c>
      <c r="AG43" s="129">
        <v>875</v>
      </c>
    </row>
    <row r="44" spans="1:36">
      <c r="A44" s="155">
        <v>45440</v>
      </c>
      <c r="B44" s="156">
        <v>80</v>
      </c>
      <c r="C44" s="139" t="s">
        <v>503</v>
      </c>
      <c r="D44" s="163">
        <v>38</v>
      </c>
      <c r="E44" s="141">
        <f>D44</f>
        <v>38</v>
      </c>
      <c r="F44" s="128"/>
      <c r="G44" s="128">
        <f t="shared" si="13"/>
        <v>12982.767</v>
      </c>
      <c r="H44" s="28">
        <v>1505</v>
      </c>
      <c r="I44" s="130"/>
      <c r="S44" s="124"/>
      <c r="T44" s="125"/>
      <c r="U44" s="126"/>
      <c r="V44" s="126"/>
      <c r="W44" s="128"/>
      <c r="X44" s="128">
        <f t="shared" si="11"/>
        <v>0</v>
      </c>
      <c r="Y44" s="129"/>
      <c r="AA44" s="124"/>
      <c r="AB44" s="125"/>
      <c r="AC44" s="133"/>
      <c r="AD44" s="126"/>
      <c r="AE44" s="128"/>
      <c r="AF44" s="128">
        <f t="shared" si="12"/>
        <v>46827</v>
      </c>
      <c r="AG44" s="129"/>
    </row>
    <row r="45" spans="1:36">
      <c r="A45" s="160">
        <v>45502</v>
      </c>
      <c r="B45" s="161"/>
      <c r="C45" s="136" t="s">
        <v>518</v>
      </c>
      <c r="D45" s="163"/>
      <c r="E45" s="141"/>
      <c r="F45" s="128"/>
      <c r="G45" s="128">
        <f t="shared" si="13"/>
        <v>12982.767</v>
      </c>
      <c r="H45" s="28"/>
      <c r="I45" s="130"/>
      <c r="AA45" s="124">
        <v>45629</v>
      </c>
      <c r="AB45" s="125">
        <v>3</v>
      </c>
      <c r="AC45" s="133" t="s">
        <v>498</v>
      </c>
      <c r="AD45" s="126">
        <v>16670</v>
      </c>
      <c r="AE45" s="128"/>
      <c r="AF45" s="128">
        <f t="shared" si="12"/>
        <v>63497</v>
      </c>
      <c r="AG45" s="129">
        <v>18040</v>
      </c>
      <c r="AH45">
        <f>SUM(AG45:AG46)</f>
        <v>34265</v>
      </c>
    </row>
    <row r="46" spans="1:36">
      <c r="A46" s="160">
        <v>45543</v>
      </c>
      <c r="B46" s="161"/>
      <c r="C46" s="136" t="s">
        <v>494</v>
      </c>
      <c r="D46" s="162"/>
      <c r="E46" s="149"/>
      <c r="F46" s="144">
        <v>15100</v>
      </c>
      <c r="G46" s="128">
        <f t="shared" si="13"/>
        <v>-2117.233</v>
      </c>
      <c r="H46" s="28"/>
      <c r="I46" s="130"/>
      <c r="AA46" s="155">
        <v>45645</v>
      </c>
      <c r="AB46" s="156">
        <v>65</v>
      </c>
      <c r="AC46" s="133" t="s">
        <v>498</v>
      </c>
      <c r="AD46" s="157">
        <v>15047.5</v>
      </c>
      <c r="AE46" s="128"/>
      <c r="AF46" s="128">
        <f t="shared" si="12"/>
        <v>78544.5</v>
      </c>
      <c r="AG46" s="129">
        <v>16225</v>
      </c>
    </row>
    <row r="47" spans="1:36">
      <c r="A47" s="160">
        <v>45543</v>
      </c>
      <c r="B47" s="161"/>
      <c r="C47" s="136" t="s">
        <v>519</v>
      </c>
      <c r="D47" s="162"/>
      <c r="E47" s="149"/>
      <c r="F47" s="144">
        <v>-2117.2</v>
      </c>
      <c r="G47" s="128">
        <f t="shared" si="13"/>
        <v>-0.0329999999967185</v>
      </c>
      <c r="H47" s="28"/>
      <c r="I47" s="130"/>
      <c r="AA47" s="155">
        <v>45659</v>
      </c>
      <c r="AB47" s="156">
        <v>4</v>
      </c>
      <c r="AC47" s="133" t="s">
        <v>492</v>
      </c>
      <c r="AD47" s="157">
        <v>4958</v>
      </c>
      <c r="AE47" s="128"/>
      <c r="AF47" s="128">
        <f t="shared" si="12"/>
        <v>83502.5</v>
      </c>
      <c r="AG47" s="129">
        <v>5234</v>
      </c>
    </row>
    <row r="48" spans="1:36">
      <c r="A48" s="155">
        <v>45446</v>
      </c>
      <c r="B48" s="156">
        <v>5</v>
      </c>
      <c r="C48" s="133" t="s">
        <v>492</v>
      </c>
      <c r="D48" s="157">
        <v>2908</v>
      </c>
      <c r="E48" s="127">
        <f>D48*97%</f>
        <v>2820.76</v>
      </c>
      <c r="F48" s="128"/>
      <c r="G48" s="128">
        <f t="shared" si="13"/>
        <v>2820.727</v>
      </c>
      <c r="H48" s="28"/>
      <c r="I48" s="130"/>
      <c r="AA48" s="124"/>
      <c r="AB48" s="125"/>
      <c r="AC48" s="126"/>
      <c r="AD48" s="126"/>
      <c r="AE48" s="128"/>
      <c r="AF48" s="128">
        <f t="shared" si="12"/>
        <v>83502.5</v>
      </c>
      <c r="AG48" s="129"/>
    </row>
    <row r="49" spans="1:34">
      <c r="A49" s="155">
        <v>45446</v>
      </c>
      <c r="B49" s="156">
        <v>5</v>
      </c>
      <c r="C49" s="139" t="s">
        <v>503</v>
      </c>
      <c r="D49" s="163">
        <v>1260</v>
      </c>
      <c r="E49" s="141">
        <f>D49</f>
        <v>1260</v>
      </c>
      <c r="F49" s="128"/>
      <c r="G49" s="128">
        <f t="shared" si="13"/>
        <v>4080.727</v>
      </c>
      <c r="H49" s="28">
        <v>4520</v>
      </c>
      <c r="I49" s="130"/>
      <c r="AA49" s="124"/>
      <c r="AB49" s="125"/>
      <c r="AC49" s="126"/>
      <c r="AD49" s="126"/>
      <c r="AE49" s="128"/>
      <c r="AF49" s="128">
        <f t="shared" si="12"/>
        <v>83502.5</v>
      </c>
      <c r="AG49" s="129"/>
    </row>
    <row r="50" spans="1:34">
      <c r="A50" s="155">
        <v>45447</v>
      </c>
      <c r="B50" s="156">
        <v>8</v>
      </c>
      <c r="C50" s="133" t="s">
        <v>492</v>
      </c>
      <c r="D50" s="157">
        <v>1687</v>
      </c>
      <c r="E50" s="127">
        <f>D50*97%</f>
        <v>1636.39</v>
      </c>
      <c r="F50" s="128"/>
      <c r="G50" s="128">
        <f t="shared" si="13"/>
        <v>5717.117</v>
      </c>
      <c r="H50" s="28">
        <v>1812.5</v>
      </c>
      <c r="I50" s="130"/>
      <c r="AA50" s="124"/>
      <c r="AB50" s="125"/>
      <c r="AC50" s="126"/>
      <c r="AD50" s="126"/>
      <c r="AE50" s="128"/>
      <c r="AF50" s="128">
        <f t="shared" si="12"/>
        <v>83502.5</v>
      </c>
      <c r="AG50" s="129"/>
    </row>
    <row r="51" customFormat="1" spans="1:34">
      <c r="A51" s="155">
        <v>45448</v>
      </c>
      <c r="B51" s="156">
        <v>14</v>
      </c>
      <c r="C51" s="133" t="s">
        <v>492</v>
      </c>
      <c r="D51" s="157">
        <v>1240</v>
      </c>
      <c r="E51" s="127">
        <f>D51*97%</f>
        <v>1202.8</v>
      </c>
      <c r="F51" s="128"/>
      <c r="G51" s="128">
        <f t="shared" si="13"/>
        <v>6919.917</v>
      </c>
      <c r="H51" s="28">
        <v>1460</v>
      </c>
      <c r="I51" s="130"/>
    </row>
    <row r="52" customFormat="1" spans="1:34">
      <c r="A52" s="155">
        <v>45457</v>
      </c>
      <c r="B52" s="156">
        <v>35</v>
      </c>
      <c r="C52" s="133" t="s">
        <v>492</v>
      </c>
      <c r="D52" s="157">
        <v>2828</v>
      </c>
      <c r="E52" s="127">
        <f>D52*97%</f>
        <v>2743.16</v>
      </c>
      <c r="F52" s="128"/>
      <c r="G52" s="128">
        <f t="shared" si="13"/>
        <v>9663.077</v>
      </c>
      <c r="H52" s="28"/>
      <c r="I52" s="130"/>
      <c r="AH52">
        <f>SUM(AG34:AG47)</f>
        <v>101308</v>
      </c>
    </row>
    <row r="53" customFormat="1" spans="1:34">
      <c r="A53" s="155">
        <v>45457</v>
      </c>
      <c r="B53" s="156">
        <v>35</v>
      </c>
      <c r="C53" s="139" t="s">
        <v>503</v>
      </c>
      <c r="D53" s="163">
        <v>1260</v>
      </c>
      <c r="E53" s="141">
        <f>D53</f>
        <v>1260</v>
      </c>
      <c r="F53" s="128"/>
      <c r="G53" s="128">
        <f t="shared" si="13"/>
        <v>10923.077</v>
      </c>
      <c r="H53" s="28">
        <v>4430</v>
      </c>
      <c r="I53" s="130"/>
    </row>
    <row r="54" customFormat="1" spans="1:34">
      <c r="A54" s="324">
        <v>45458</v>
      </c>
      <c r="B54" s="325">
        <v>39</v>
      </c>
      <c r="C54" s="325" t="s">
        <v>492</v>
      </c>
      <c r="D54" s="326">
        <v>480</v>
      </c>
      <c r="E54" s="127">
        <f>D54*97%</f>
        <v>465.6</v>
      </c>
      <c r="F54" s="128"/>
      <c r="G54" s="128">
        <f t="shared" si="13"/>
        <v>11388.677</v>
      </c>
      <c r="H54" s="28">
        <v>560</v>
      </c>
      <c r="I54" s="130"/>
    </row>
    <row r="55" customFormat="1" spans="1:34">
      <c r="A55" s="155">
        <v>45462</v>
      </c>
      <c r="B55" s="156">
        <v>52</v>
      </c>
      <c r="C55" s="325" t="s">
        <v>492</v>
      </c>
      <c r="D55" s="157">
        <v>362.5</v>
      </c>
      <c r="E55" s="127">
        <f>D55*97%</f>
        <v>351.625</v>
      </c>
      <c r="F55" s="128"/>
      <c r="G55" s="128">
        <f t="shared" si="13"/>
        <v>11740.302</v>
      </c>
      <c r="H55" s="28">
        <v>425</v>
      </c>
      <c r="I55" s="130"/>
    </row>
    <row r="56" customFormat="1" spans="1:34">
      <c r="A56" s="324">
        <v>45470</v>
      </c>
      <c r="B56" s="325">
        <v>71</v>
      </c>
      <c r="C56" s="325" t="s">
        <v>492</v>
      </c>
      <c r="D56" s="326">
        <v>100</v>
      </c>
      <c r="E56" s="127">
        <f>D56*97%</f>
        <v>97</v>
      </c>
      <c r="F56" s="128"/>
      <c r="G56" s="128">
        <f t="shared" si="13"/>
        <v>11837.302</v>
      </c>
      <c r="H56" s="28">
        <v>155</v>
      </c>
      <c r="I56" s="130"/>
    </row>
    <row r="57" customFormat="1" spans="1:34">
      <c r="A57" s="324">
        <v>45470</v>
      </c>
      <c r="B57" s="325">
        <v>71</v>
      </c>
      <c r="C57" s="139" t="s">
        <v>503</v>
      </c>
      <c r="D57" s="163">
        <v>38</v>
      </c>
      <c r="E57" s="127">
        <f>D57</f>
        <v>38</v>
      </c>
      <c r="F57" s="128"/>
      <c r="G57" s="128">
        <f t="shared" si="13"/>
        <v>11875.302</v>
      </c>
      <c r="H57" s="28"/>
      <c r="I57" s="323">
        <f>SUM(H49:H58)</f>
        <v>14127.5</v>
      </c>
    </row>
    <row r="58" customFormat="1" spans="1:34">
      <c r="A58" s="324">
        <v>45471</v>
      </c>
      <c r="B58" s="325">
        <v>87</v>
      </c>
      <c r="C58" s="325" t="s">
        <v>492</v>
      </c>
      <c r="D58" s="326">
        <v>680</v>
      </c>
      <c r="E58" s="127">
        <f>D58*97%</f>
        <v>659.6</v>
      </c>
      <c r="F58" s="128"/>
      <c r="G58" s="128">
        <f t="shared" si="13"/>
        <v>12534.902</v>
      </c>
      <c r="H58" s="28">
        <v>765</v>
      </c>
      <c r="I58" s="323"/>
    </row>
    <row r="59" customFormat="1" spans="1:34">
      <c r="A59" s="160">
        <v>45558</v>
      </c>
      <c r="B59" s="161"/>
      <c r="C59" s="161" t="s">
        <v>507</v>
      </c>
      <c r="D59" s="326"/>
      <c r="E59" s="127"/>
      <c r="F59" s="128"/>
      <c r="G59" s="128">
        <f t="shared" si="13"/>
        <v>12534.902</v>
      </c>
      <c r="H59" s="28"/>
      <c r="I59" s="130"/>
    </row>
    <row r="60" customFormat="1" spans="1:34">
      <c r="A60" s="155">
        <v>45474</v>
      </c>
      <c r="B60" s="156">
        <v>1</v>
      </c>
      <c r="C60" s="133" t="s">
        <v>492</v>
      </c>
      <c r="D60" s="157">
        <v>4453</v>
      </c>
      <c r="E60" s="127">
        <f>D60*97%</f>
        <v>4319.41</v>
      </c>
      <c r="F60" s="128"/>
      <c r="G60" s="128">
        <f t="shared" si="13"/>
        <v>16854.312</v>
      </c>
      <c r="H60" s="28"/>
      <c r="I60" s="130"/>
    </row>
    <row r="61" spans="1:34">
      <c r="A61" s="155">
        <v>45474</v>
      </c>
      <c r="B61" s="156">
        <v>1</v>
      </c>
      <c r="C61" s="139" t="s">
        <v>503</v>
      </c>
      <c r="D61" s="163">
        <v>2970</v>
      </c>
      <c r="E61" s="141">
        <f>D61</f>
        <v>2970</v>
      </c>
      <c r="F61" s="128"/>
      <c r="G61" s="128">
        <f t="shared" si="13"/>
        <v>19824.312</v>
      </c>
      <c r="H61" s="28">
        <v>8132.5</v>
      </c>
      <c r="I61" s="130"/>
    </row>
    <row r="62" customFormat="1" spans="1:34">
      <c r="A62" s="324">
        <v>45482</v>
      </c>
      <c r="B62" s="325">
        <v>29</v>
      </c>
      <c r="C62" s="325" t="s">
        <v>492</v>
      </c>
      <c r="D62" s="326">
        <v>5435</v>
      </c>
      <c r="E62" s="127">
        <f>D62*97%</f>
        <v>5271.95</v>
      </c>
      <c r="F62" s="128"/>
      <c r="G62" s="128">
        <f t="shared" si="13"/>
        <v>25096.262</v>
      </c>
      <c r="H62" s="28">
        <v>6255</v>
      </c>
      <c r="I62" s="130"/>
    </row>
    <row r="63" customFormat="1" spans="1:34">
      <c r="A63" s="155">
        <v>45486</v>
      </c>
      <c r="B63" s="156">
        <v>47</v>
      </c>
      <c r="C63" s="139" t="s">
        <v>503</v>
      </c>
      <c r="D63" s="163">
        <v>1260</v>
      </c>
      <c r="E63" s="141">
        <f>D63</f>
        <v>1260</v>
      </c>
      <c r="F63" s="128"/>
      <c r="G63" s="128">
        <f t="shared" si="13"/>
        <v>26356.262</v>
      </c>
      <c r="H63" s="28"/>
      <c r="I63" s="130"/>
    </row>
    <row r="64" customFormat="1" spans="1:34">
      <c r="A64" s="155">
        <v>45486</v>
      </c>
      <c r="B64" s="156">
        <v>47</v>
      </c>
      <c r="C64" s="156" t="s">
        <v>492</v>
      </c>
      <c r="D64" s="157">
        <v>3048</v>
      </c>
      <c r="E64" s="127">
        <f t="shared" ref="E64:E69" si="14">D64*97%</f>
        <v>2956.56</v>
      </c>
      <c r="F64" s="128"/>
      <c r="G64" s="128">
        <f t="shared" si="13"/>
        <v>29312.822</v>
      </c>
      <c r="H64" s="28">
        <v>4677.5</v>
      </c>
      <c r="I64" s="130"/>
    </row>
    <row r="65" spans="1:9">
      <c r="A65" s="155">
        <v>45493</v>
      </c>
      <c r="B65" s="156">
        <v>69</v>
      </c>
      <c r="C65" s="156" t="s">
        <v>492</v>
      </c>
      <c r="D65" s="157">
        <v>728</v>
      </c>
      <c r="E65" s="127">
        <f t="shared" si="14"/>
        <v>706.16</v>
      </c>
      <c r="F65" s="128"/>
      <c r="G65" s="128">
        <f t="shared" si="13"/>
        <v>30018.982</v>
      </c>
      <c r="H65" s="28">
        <v>841</v>
      </c>
      <c r="I65" s="130"/>
    </row>
    <row r="66" spans="1:9">
      <c r="A66" s="155">
        <v>45495</v>
      </c>
      <c r="B66" s="156">
        <v>74</v>
      </c>
      <c r="C66" s="156" t="s">
        <v>492</v>
      </c>
      <c r="D66" s="157">
        <v>2520</v>
      </c>
      <c r="E66" s="127">
        <f t="shared" si="14"/>
        <v>2444.4</v>
      </c>
      <c r="F66" s="128"/>
      <c r="G66" s="128">
        <f t="shared" si="13"/>
        <v>32463.382</v>
      </c>
      <c r="H66" s="28">
        <v>2812.5</v>
      </c>
      <c r="I66" s="130"/>
    </row>
    <row r="67" spans="1:9">
      <c r="A67" s="155">
        <v>45495</v>
      </c>
      <c r="B67" s="156">
        <v>75</v>
      </c>
      <c r="C67" s="156" t="s">
        <v>492</v>
      </c>
      <c r="D67" s="157">
        <v>1360</v>
      </c>
      <c r="E67" s="127">
        <f t="shared" si="14"/>
        <v>1319.2</v>
      </c>
      <c r="F67" s="128"/>
      <c r="G67" s="128">
        <f t="shared" si="13"/>
        <v>33782.582</v>
      </c>
      <c r="H67" s="28">
        <v>1530</v>
      </c>
      <c r="I67" s="130"/>
    </row>
    <row r="68" customFormat="1" spans="1:9">
      <c r="A68" s="155">
        <v>45498</v>
      </c>
      <c r="B68" s="156">
        <v>80</v>
      </c>
      <c r="C68" s="133" t="s">
        <v>492</v>
      </c>
      <c r="D68" s="157">
        <v>960</v>
      </c>
      <c r="E68" s="127">
        <f t="shared" si="14"/>
        <v>931.2</v>
      </c>
      <c r="F68" s="128"/>
      <c r="G68" s="128">
        <f t="shared" si="13"/>
        <v>34713.782</v>
      </c>
      <c r="H68" s="28">
        <v>1080</v>
      </c>
      <c r="I68" s="130"/>
    </row>
    <row r="69" customFormat="1" spans="1:9">
      <c r="A69" s="155">
        <v>45500</v>
      </c>
      <c r="B69" s="156">
        <v>86</v>
      </c>
      <c r="C69" s="133" t="s">
        <v>492</v>
      </c>
      <c r="D69" s="157">
        <v>100</v>
      </c>
      <c r="E69" s="127">
        <f t="shared" si="14"/>
        <v>97</v>
      </c>
      <c r="F69" s="128"/>
      <c r="G69" s="128">
        <f t="shared" ref="G69:G117" si="15">G68+E69-F69</f>
        <v>34810.782</v>
      </c>
      <c r="H69" s="28">
        <v>112.5</v>
      </c>
      <c r="I69" s="130"/>
    </row>
    <row r="70" spans="1:9">
      <c r="A70" s="155">
        <v>45502</v>
      </c>
      <c r="B70" s="156">
        <v>89</v>
      </c>
      <c r="C70" s="139" t="s">
        <v>503</v>
      </c>
      <c r="D70" s="163">
        <v>1710</v>
      </c>
      <c r="E70" s="141">
        <f>D70</f>
        <v>1710</v>
      </c>
      <c r="F70" s="128"/>
      <c r="G70" s="128">
        <f t="shared" si="15"/>
        <v>36520.782</v>
      </c>
      <c r="H70" s="28"/>
      <c r="I70" s="323">
        <f>SUM(H61:H71)</f>
        <v>32223.5</v>
      </c>
    </row>
    <row r="71" spans="1:9">
      <c r="A71" s="155">
        <v>45502</v>
      </c>
      <c r="B71" s="156">
        <v>89</v>
      </c>
      <c r="C71" s="156" t="s">
        <v>492</v>
      </c>
      <c r="D71" s="157">
        <v>4453</v>
      </c>
      <c r="E71" s="127">
        <f>D71*97%</f>
        <v>4319.41</v>
      </c>
      <c r="F71" s="128"/>
      <c r="G71" s="128">
        <f t="shared" si="15"/>
        <v>40840.192</v>
      </c>
      <c r="H71" s="28">
        <v>6782.5</v>
      </c>
      <c r="I71" s="323"/>
    </row>
    <row r="72" spans="1:9">
      <c r="A72" s="160">
        <v>45589</v>
      </c>
      <c r="B72" s="161"/>
      <c r="C72" s="161" t="s">
        <v>494</v>
      </c>
      <c r="D72" s="162"/>
      <c r="E72" s="149"/>
      <c r="F72" s="144">
        <v>46000</v>
      </c>
      <c r="G72" s="128">
        <f t="shared" si="15"/>
        <v>-5159.80799999999</v>
      </c>
      <c r="H72" s="28"/>
      <c r="I72" s="323"/>
    </row>
    <row r="73" spans="1:9">
      <c r="A73" s="160">
        <v>45590</v>
      </c>
      <c r="B73" s="161"/>
      <c r="C73" s="161" t="s">
        <v>511</v>
      </c>
      <c r="D73" s="162"/>
      <c r="E73" s="149"/>
      <c r="F73" s="144">
        <v>-5159.8</v>
      </c>
      <c r="G73" s="128">
        <f t="shared" si="15"/>
        <v>-0.00799999998980638</v>
      </c>
      <c r="H73" s="28"/>
      <c r="I73" s="130"/>
    </row>
    <row r="74" spans="1:9">
      <c r="A74" s="155">
        <v>45510</v>
      </c>
      <c r="B74" s="156">
        <v>8</v>
      </c>
      <c r="C74" s="139" t="s">
        <v>503</v>
      </c>
      <c r="D74" s="163">
        <v>1260</v>
      </c>
      <c r="E74" s="141">
        <f>D74</f>
        <v>1260</v>
      </c>
      <c r="F74" s="128"/>
      <c r="G74" s="128">
        <f t="shared" si="15"/>
        <v>1259.99200000001</v>
      </c>
      <c r="H74" s="28"/>
      <c r="I74" s="130"/>
    </row>
    <row r="75" spans="1:9">
      <c r="A75" s="155">
        <v>45510</v>
      </c>
      <c r="B75" s="156">
        <v>8</v>
      </c>
      <c r="C75" s="156" t="s">
        <v>492</v>
      </c>
      <c r="D75" s="157">
        <v>100</v>
      </c>
      <c r="E75" s="127">
        <f t="shared" ref="E75:E80" si="16">D75*97%</f>
        <v>97</v>
      </c>
      <c r="F75" s="128"/>
      <c r="G75" s="128">
        <f t="shared" si="15"/>
        <v>1356.99200000001</v>
      </c>
      <c r="H75" s="28">
        <v>1462.5</v>
      </c>
      <c r="I75" s="130"/>
    </row>
    <row r="76" spans="1:9">
      <c r="A76" s="155">
        <v>45511</v>
      </c>
      <c r="B76" s="156">
        <v>11</v>
      </c>
      <c r="C76" s="156" t="s">
        <v>492</v>
      </c>
      <c r="D76" s="157">
        <v>100</v>
      </c>
      <c r="E76" s="127">
        <f t="shared" si="16"/>
        <v>97</v>
      </c>
      <c r="F76" s="128"/>
      <c r="G76" s="128">
        <f t="shared" si="15"/>
        <v>1453.99200000001</v>
      </c>
      <c r="H76" s="28">
        <v>111</v>
      </c>
      <c r="I76" s="130"/>
    </row>
    <row r="77" customFormat="1" spans="1:9">
      <c r="A77" s="155">
        <v>45516</v>
      </c>
      <c r="B77" s="156">
        <v>30</v>
      </c>
      <c r="C77" s="156" t="s">
        <v>492</v>
      </c>
      <c r="D77" s="157">
        <v>3750.5</v>
      </c>
      <c r="E77" s="127">
        <f t="shared" si="16"/>
        <v>3637.985</v>
      </c>
      <c r="F77" s="128"/>
      <c r="G77" s="128">
        <f t="shared" si="15"/>
        <v>5091.97700000001</v>
      </c>
      <c r="H77" s="28">
        <v>4180</v>
      </c>
      <c r="I77" s="130"/>
    </row>
    <row r="78" customFormat="1" spans="1:9">
      <c r="A78" s="155">
        <v>45517</v>
      </c>
      <c r="B78" s="156">
        <v>15</v>
      </c>
      <c r="C78" s="156" t="s">
        <v>492</v>
      </c>
      <c r="D78" s="157">
        <v>500</v>
      </c>
      <c r="E78" s="127">
        <f t="shared" si="16"/>
        <v>485</v>
      </c>
      <c r="F78" s="128"/>
      <c r="G78" s="128">
        <f t="shared" si="15"/>
        <v>5576.97700000001</v>
      </c>
      <c r="H78" s="28">
        <v>562.5</v>
      </c>
      <c r="I78" s="130"/>
    </row>
    <row r="79" customFormat="1" spans="1:9">
      <c r="A79" s="155">
        <v>45520</v>
      </c>
      <c r="B79" s="125">
        <v>45</v>
      </c>
      <c r="C79" s="139" t="s">
        <v>503</v>
      </c>
      <c r="D79" s="163">
        <v>1260</v>
      </c>
      <c r="E79" s="141">
        <f>D79</f>
        <v>1260</v>
      </c>
      <c r="F79" s="128"/>
      <c r="G79" s="128">
        <f t="shared" si="15"/>
        <v>6836.97700000001</v>
      </c>
      <c r="H79" s="28"/>
      <c r="I79" s="130"/>
    </row>
    <row r="80" customFormat="1" spans="1:9">
      <c r="A80" s="155">
        <v>45520</v>
      </c>
      <c r="B80" s="125">
        <v>45</v>
      </c>
      <c r="C80" s="156" t="s">
        <v>492</v>
      </c>
      <c r="D80" s="157">
        <v>40</v>
      </c>
      <c r="E80" s="127">
        <f t="shared" si="16"/>
        <v>38.8</v>
      </c>
      <c r="F80" s="128"/>
      <c r="G80" s="128">
        <f t="shared" si="15"/>
        <v>6875.77700000001</v>
      </c>
      <c r="H80" s="28">
        <v>1395</v>
      </c>
      <c r="I80" s="130"/>
    </row>
    <row r="81" customFormat="1" spans="1:9">
      <c r="A81" s="155">
        <v>45521</v>
      </c>
      <c r="B81" s="156">
        <v>60</v>
      </c>
      <c r="C81" s="139" t="s">
        <v>503</v>
      </c>
      <c r="D81" s="163">
        <v>1862</v>
      </c>
      <c r="E81" s="141">
        <f>D81</f>
        <v>1862</v>
      </c>
      <c r="F81" s="128"/>
      <c r="G81" s="128">
        <f t="shared" si="15"/>
        <v>8737.77700000001</v>
      </c>
      <c r="H81" s="28"/>
      <c r="I81" s="130"/>
    </row>
    <row r="82" customFormat="1" spans="1:9">
      <c r="A82" s="155">
        <v>45521</v>
      </c>
      <c r="B82" s="156">
        <v>60</v>
      </c>
      <c r="C82" s="133" t="s">
        <v>492</v>
      </c>
      <c r="D82" s="157">
        <v>700</v>
      </c>
      <c r="E82" s="127">
        <f t="shared" ref="E82:E86" si="17">D82*97%</f>
        <v>679</v>
      </c>
      <c r="F82" s="128"/>
      <c r="G82" s="128">
        <f t="shared" si="15"/>
        <v>9416.77700000001</v>
      </c>
      <c r="H82" s="28">
        <v>2847.5</v>
      </c>
      <c r="I82" s="130"/>
    </row>
    <row r="83" customFormat="1" spans="1:9">
      <c r="A83" s="155">
        <v>45523</v>
      </c>
      <c r="B83" s="156">
        <v>65</v>
      </c>
      <c r="C83" s="156" t="s">
        <v>492</v>
      </c>
      <c r="D83" s="157">
        <v>1110</v>
      </c>
      <c r="E83" s="127">
        <f t="shared" si="17"/>
        <v>1076.7</v>
      </c>
      <c r="F83" s="128"/>
      <c r="G83" s="128">
        <f t="shared" si="15"/>
        <v>10493.477</v>
      </c>
      <c r="H83" s="28">
        <v>1248.75</v>
      </c>
      <c r="I83" s="130">
        <f>SUM(H75:H83)</f>
        <v>11807.25</v>
      </c>
    </row>
    <row r="84" customFormat="1" spans="1:9">
      <c r="A84" s="172">
        <v>45539</v>
      </c>
      <c r="B84" s="156">
        <v>7</v>
      </c>
      <c r="C84" s="156" t="s">
        <v>492</v>
      </c>
      <c r="D84" s="157">
        <v>3116.2</v>
      </c>
      <c r="E84" s="127">
        <f t="shared" si="17"/>
        <v>3022.714</v>
      </c>
      <c r="F84" s="128"/>
      <c r="G84" s="128">
        <f t="shared" si="15"/>
        <v>13516.191</v>
      </c>
      <c r="H84" s="28"/>
      <c r="I84" s="130"/>
    </row>
    <row r="85" customFormat="1" spans="1:9">
      <c r="A85" s="172">
        <v>45539</v>
      </c>
      <c r="B85" s="156">
        <v>7</v>
      </c>
      <c r="C85" s="193" t="s">
        <v>496</v>
      </c>
      <c r="D85" s="163">
        <v>1260</v>
      </c>
      <c r="E85" s="141">
        <f>D85</f>
        <v>1260</v>
      </c>
      <c r="F85" s="128"/>
      <c r="G85" s="128">
        <f t="shared" si="15"/>
        <v>14776.191</v>
      </c>
      <c r="H85" s="28">
        <v>4809.5</v>
      </c>
      <c r="I85" s="130"/>
    </row>
    <row r="86" spans="1:9">
      <c r="A86" s="172">
        <v>45540</v>
      </c>
      <c r="B86" s="156">
        <v>15</v>
      </c>
      <c r="C86" s="156" t="s">
        <v>492</v>
      </c>
      <c r="D86" s="157">
        <v>5868</v>
      </c>
      <c r="E86" s="127">
        <f t="shared" ref="E86:E94" si="18">D86*97%</f>
        <v>5691.96</v>
      </c>
      <c r="F86" s="128"/>
      <c r="G86" s="128">
        <f t="shared" si="15"/>
        <v>20468.151</v>
      </c>
      <c r="H86" s="327">
        <v>6500</v>
      </c>
      <c r="I86" s="130"/>
    </row>
    <row r="87" spans="1:9">
      <c r="A87" s="172">
        <v>45548</v>
      </c>
      <c r="B87" s="156">
        <v>25</v>
      </c>
      <c r="C87" s="193" t="s">
        <v>496</v>
      </c>
      <c r="D87" s="163">
        <v>2970</v>
      </c>
      <c r="E87" s="141">
        <f>D87</f>
        <v>2970</v>
      </c>
      <c r="F87" s="128"/>
      <c r="G87" s="128">
        <f t="shared" si="15"/>
        <v>23438.151</v>
      </c>
      <c r="H87" s="327"/>
      <c r="I87" s="130"/>
    </row>
    <row r="88" spans="1:9">
      <c r="A88" s="172">
        <v>45548</v>
      </c>
      <c r="B88" s="156">
        <v>25</v>
      </c>
      <c r="C88" s="156" t="s">
        <v>492</v>
      </c>
      <c r="D88" s="157">
        <v>5790</v>
      </c>
      <c r="E88" s="127">
        <f t="shared" si="18"/>
        <v>5616.3</v>
      </c>
      <c r="F88" s="128"/>
      <c r="G88" s="128">
        <f t="shared" si="15"/>
        <v>29054.451</v>
      </c>
      <c r="H88" s="28">
        <v>10035</v>
      </c>
      <c r="I88" s="130"/>
    </row>
    <row r="89" spans="1:9">
      <c r="A89" s="172">
        <v>45548</v>
      </c>
      <c r="B89" s="156">
        <v>45</v>
      </c>
      <c r="C89" s="156" t="s">
        <v>492</v>
      </c>
      <c r="D89" s="157">
        <v>100</v>
      </c>
      <c r="E89" s="127">
        <f t="shared" si="18"/>
        <v>97</v>
      </c>
      <c r="F89" s="128"/>
      <c r="G89" s="128">
        <f t="shared" si="15"/>
        <v>29151.451</v>
      </c>
      <c r="H89" s="28">
        <v>112.5</v>
      </c>
      <c r="I89" s="130"/>
    </row>
    <row r="90" spans="1:9">
      <c r="A90" s="172">
        <v>45549</v>
      </c>
      <c r="B90" s="156">
        <v>46</v>
      </c>
      <c r="C90" s="156" t="s">
        <v>492</v>
      </c>
      <c r="D90" s="157">
        <v>100</v>
      </c>
      <c r="E90" s="127">
        <f t="shared" si="18"/>
        <v>97</v>
      </c>
      <c r="F90" s="128"/>
      <c r="G90" s="128">
        <f t="shared" si="15"/>
        <v>29248.451</v>
      </c>
      <c r="H90" s="28">
        <v>112.5</v>
      </c>
      <c r="I90" s="130"/>
    </row>
    <row r="91" spans="1:9">
      <c r="A91" s="172">
        <v>45554</v>
      </c>
      <c r="B91" s="156">
        <v>59</v>
      </c>
      <c r="C91" s="156" t="s">
        <v>492</v>
      </c>
      <c r="D91" s="157">
        <v>100</v>
      </c>
      <c r="E91" s="127">
        <f t="shared" si="18"/>
        <v>97</v>
      </c>
      <c r="F91" s="128"/>
      <c r="G91" s="128">
        <f t="shared" si="15"/>
        <v>29345.451</v>
      </c>
      <c r="H91" s="28">
        <v>112.5</v>
      </c>
      <c r="I91" s="130"/>
    </row>
    <row r="92" spans="1:9">
      <c r="A92" s="172">
        <v>45556</v>
      </c>
      <c r="B92" s="156">
        <v>66</v>
      </c>
      <c r="C92" s="156" t="s">
        <v>492</v>
      </c>
      <c r="D92" s="157">
        <v>1162.5</v>
      </c>
      <c r="E92" s="127">
        <f t="shared" si="18"/>
        <v>1127.625</v>
      </c>
      <c r="F92" s="128"/>
      <c r="G92" s="128">
        <f t="shared" si="15"/>
        <v>30473.076</v>
      </c>
      <c r="H92" s="28">
        <v>1325</v>
      </c>
      <c r="I92" s="130">
        <f>SUM(H84:H95)</f>
        <v>28180</v>
      </c>
    </row>
    <row r="93" spans="1:9">
      <c r="A93" s="172">
        <v>45563</v>
      </c>
      <c r="B93" s="156">
        <v>97</v>
      </c>
      <c r="C93" s="193" t="s">
        <v>496</v>
      </c>
      <c r="D93" s="163">
        <v>1260</v>
      </c>
      <c r="E93" s="141">
        <f>D93</f>
        <v>1260</v>
      </c>
      <c r="F93" s="128"/>
      <c r="G93" s="128">
        <f t="shared" si="15"/>
        <v>31733.076</v>
      </c>
      <c r="H93" s="28"/>
      <c r="I93" s="130"/>
    </row>
    <row r="94" customFormat="1" spans="1:9">
      <c r="A94" s="172">
        <v>45563</v>
      </c>
      <c r="B94" s="156">
        <v>97</v>
      </c>
      <c r="C94" s="193" t="s">
        <v>520</v>
      </c>
      <c r="D94" s="163">
        <v>68</v>
      </c>
      <c r="E94" s="141">
        <f>D94</f>
        <v>68</v>
      </c>
      <c r="F94" s="128"/>
      <c r="G94" s="128">
        <f t="shared" si="15"/>
        <v>31801.076</v>
      </c>
      <c r="H94" s="28"/>
      <c r="I94" s="130"/>
    </row>
    <row r="95" customFormat="1" spans="1:9">
      <c r="A95" s="172">
        <v>45563</v>
      </c>
      <c r="B95" s="156">
        <v>97</v>
      </c>
      <c r="C95" s="156" t="s">
        <v>492</v>
      </c>
      <c r="D95" s="157">
        <v>3388</v>
      </c>
      <c r="E95" s="127">
        <f t="shared" ref="E95:E99" si="19">D95*97%</f>
        <v>3286.36</v>
      </c>
      <c r="F95" s="128"/>
      <c r="G95" s="128">
        <f t="shared" si="15"/>
        <v>35087.436</v>
      </c>
      <c r="H95" s="28">
        <v>5173</v>
      </c>
      <c r="I95" s="130"/>
    </row>
    <row r="96" customFormat="1" spans="1:9">
      <c r="A96" s="172">
        <v>45577</v>
      </c>
      <c r="B96" s="156">
        <v>31</v>
      </c>
      <c r="C96" s="126" t="s">
        <v>492</v>
      </c>
      <c r="D96" s="157">
        <v>96</v>
      </c>
      <c r="E96" s="127">
        <f t="shared" si="19"/>
        <v>93.12</v>
      </c>
      <c r="F96" s="128"/>
      <c r="G96" s="128">
        <f t="shared" si="15"/>
        <v>35180.556</v>
      </c>
      <c r="H96" s="28">
        <v>112</v>
      </c>
      <c r="I96" s="130"/>
    </row>
    <row r="97" customFormat="1" spans="1:14">
      <c r="A97" s="172">
        <v>45583</v>
      </c>
      <c r="B97" s="156">
        <v>52</v>
      </c>
      <c r="C97" s="156" t="s">
        <v>492</v>
      </c>
      <c r="D97" s="157">
        <v>862.5</v>
      </c>
      <c r="E97" s="127">
        <f t="shared" si="19"/>
        <v>836.625</v>
      </c>
      <c r="F97" s="128"/>
      <c r="G97" s="128">
        <f t="shared" si="15"/>
        <v>36017.181</v>
      </c>
      <c r="H97" s="28"/>
      <c r="I97" s="130"/>
      <c r="L97">
        <f>SUM(D107:D115)</f>
        <v>16207</v>
      </c>
    </row>
    <row r="98" customFormat="1" spans="1:14">
      <c r="A98" s="172">
        <v>45583</v>
      </c>
      <c r="B98" s="156">
        <v>52</v>
      </c>
      <c r="C98" s="193" t="s">
        <v>496</v>
      </c>
      <c r="D98" s="163">
        <v>1260</v>
      </c>
      <c r="E98" s="141">
        <f t="shared" ref="E98:E102" si="20">D98</f>
        <v>1260</v>
      </c>
      <c r="F98" s="128"/>
      <c r="G98" s="128">
        <f t="shared" si="15"/>
        <v>37277.181</v>
      </c>
      <c r="H98" s="28">
        <v>2337.5</v>
      </c>
      <c r="I98" s="130"/>
      <c r="K98" t="s">
        <v>521</v>
      </c>
      <c r="L98">
        <f>SUM(E107:E115)</f>
        <v>15847.69</v>
      </c>
    </row>
    <row r="99" customFormat="1" spans="1:14">
      <c r="A99" s="172">
        <v>45589</v>
      </c>
      <c r="B99" s="156">
        <v>68</v>
      </c>
      <c r="C99" s="156" t="s">
        <v>492</v>
      </c>
      <c r="D99" s="157">
        <v>1625</v>
      </c>
      <c r="E99" s="127">
        <f t="shared" si="19"/>
        <v>1576.25</v>
      </c>
      <c r="F99" s="128"/>
      <c r="G99" s="128">
        <f t="shared" si="15"/>
        <v>38853.431</v>
      </c>
      <c r="H99" s="28"/>
      <c r="I99" s="130"/>
    </row>
    <row r="100" spans="1:14">
      <c r="A100" s="172">
        <v>45589</v>
      </c>
      <c r="B100" s="156">
        <v>68</v>
      </c>
      <c r="C100" s="193" t="s">
        <v>496</v>
      </c>
      <c r="D100" s="163">
        <v>1710</v>
      </c>
      <c r="E100" s="141">
        <f t="shared" si="20"/>
        <v>1710</v>
      </c>
      <c r="F100" s="128"/>
      <c r="G100" s="128">
        <f t="shared" si="15"/>
        <v>40563.431</v>
      </c>
      <c r="H100" s="28">
        <v>3702</v>
      </c>
      <c r="I100" s="130">
        <f>SUM(H96:H103)</f>
        <v>12537.5</v>
      </c>
    </row>
    <row r="101" spans="1:14">
      <c r="A101" s="172">
        <v>45591</v>
      </c>
      <c r="B101" s="156">
        <v>78</v>
      </c>
      <c r="C101" s="156" t="s">
        <v>492</v>
      </c>
      <c r="D101" s="157">
        <v>2868</v>
      </c>
      <c r="E101" s="127">
        <f>D101*97%</f>
        <v>2781.96</v>
      </c>
      <c r="F101" s="128"/>
      <c r="G101" s="128">
        <f t="shared" si="15"/>
        <v>43345.391</v>
      </c>
      <c r="H101" s="28">
        <v>3125</v>
      </c>
      <c r="I101" s="130"/>
      <c r="J101" s="328" t="s">
        <v>522</v>
      </c>
      <c r="K101" s="328"/>
      <c r="L101" s="328"/>
      <c r="M101" s="328"/>
      <c r="N101" s="329"/>
    </row>
    <row r="102" spans="1:14">
      <c r="A102" s="172">
        <v>45593</v>
      </c>
      <c r="B102" s="156">
        <v>82</v>
      </c>
      <c r="C102" s="140" t="s">
        <v>496</v>
      </c>
      <c r="D102" s="163">
        <v>1260</v>
      </c>
      <c r="E102" s="141">
        <f t="shared" si="20"/>
        <v>1260</v>
      </c>
      <c r="F102" s="128"/>
      <c r="G102" s="128">
        <f t="shared" si="15"/>
        <v>44605.391</v>
      </c>
      <c r="H102" s="28"/>
      <c r="I102" s="130"/>
    </row>
    <row r="103" spans="1:14">
      <c r="A103" s="172">
        <v>45593</v>
      </c>
      <c r="B103" s="156">
        <v>82</v>
      </c>
      <c r="C103" s="126" t="s">
        <v>492</v>
      </c>
      <c r="D103" s="157">
        <v>1672</v>
      </c>
      <c r="E103" s="127">
        <f>D103*97%</f>
        <v>1621.84</v>
      </c>
      <c r="F103" s="128"/>
      <c r="G103" s="128">
        <f t="shared" si="15"/>
        <v>46227.231</v>
      </c>
      <c r="H103" s="28">
        <v>3261</v>
      </c>
      <c r="I103" s="130"/>
    </row>
    <row r="104" customFormat="1" spans="1:14">
      <c r="A104" s="189" t="s">
        <v>523</v>
      </c>
      <c r="B104" s="161"/>
      <c r="C104" s="148" t="s">
        <v>524</v>
      </c>
      <c r="D104" s="162"/>
      <c r="E104" s="149"/>
      <c r="F104" s="190">
        <v>51500</v>
      </c>
      <c r="G104" s="144">
        <f t="shared" si="15"/>
        <v>-5272.76899999999</v>
      </c>
      <c r="H104" s="28"/>
      <c r="I104" s="130"/>
    </row>
    <row r="105" customFormat="1" spans="1:14">
      <c r="A105" s="189">
        <v>45666</v>
      </c>
      <c r="B105" s="161"/>
      <c r="C105" s="330" t="s">
        <v>525</v>
      </c>
      <c r="D105" s="162"/>
      <c r="E105" s="149"/>
      <c r="F105" s="190">
        <v>-4615</v>
      </c>
      <c r="G105" s="144">
        <f t="shared" si="15"/>
        <v>-657.768999999993</v>
      </c>
      <c r="H105" s="28"/>
      <c r="I105" s="130"/>
    </row>
    <row r="106" spans="1:14">
      <c r="A106" s="189">
        <v>45666</v>
      </c>
      <c r="B106" s="161"/>
      <c r="C106" s="330" t="s">
        <v>526</v>
      </c>
      <c r="D106" s="162"/>
      <c r="E106" s="149"/>
      <c r="F106" s="190">
        <v>-657.8</v>
      </c>
      <c r="G106" s="128">
        <f t="shared" si="15"/>
        <v>0.0310000000069977</v>
      </c>
      <c r="H106" s="195"/>
      <c r="I106" s="145" t="s">
        <v>527</v>
      </c>
      <c r="J106" s="114"/>
    </row>
    <row r="107" spans="1:14">
      <c r="A107" s="172">
        <v>45602</v>
      </c>
      <c r="B107" s="156">
        <v>10</v>
      </c>
      <c r="C107" s="126" t="s">
        <v>492</v>
      </c>
      <c r="D107" s="157">
        <v>210</v>
      </c>
      <c r="E107" s="127">
        <f>D107*97%</f>
        <v>203.7</v>
      </c>
      <c r="F107" s="128"/>
      <c r="G107" s="128">
        <f t="shared" si="15"/>
        <v>203.731000000007</v>
      </c>
      <c r="H107" s="28">
        <v>236.3</v>
      </c>
      <c r="I107" s="130"/>
      <c r="L107" t="s">
        <v>528</v>
      </c>
    </row>
    <row r="108" spans="1:14">
      <c r="A108" s="172">
        <v>45612</v>
      </c>
      <c r="B108" s="156">
        <v>41</v>
      </c>
      <c r="C108" s="140" t="s">
        <v>496</v>
      </c>
      <c r="D108" s="163">
        <v>1260</v>
      </c>
      <c r="E108" s="141">
        <f>D108</f>
        <v>1260</v>
      </c>
      <c r="F108" s="128"/>
      <c r="G108" s="128">
        <f t="shared" si="15"/>
        <v>1463.73100000001</v>
      </c>
      <c r="I108" s="130"/>
      <c r="L108" t="s">
        <v>529</v>
      </c>
    </row>
    <row r="109" spans="1:14">
      <c r="A109" s="172">
        <v>45612</v>
      </c>
      <c r="B109" s="156">
        <v>41</v>
      </c>
      <c r="C109" s="126" t="s">
        <v>492</v>
      </c>
      <c r="D109" s="157">
        <v>5453</v>
      </c>
      <c r="E109" s="127">
        <f>D109*97%</f>
        <v>5289.41</v>
      </c>
      <c r="F109" s="128"/>
      <c r="G109" s="128">
        <f t="shared" ref="G109:G130" si="21">G108+E109-F109</f>
        <v>6753.14100000001</v>
      </c>
      <c r="H109" s="28">
        <v>7367.5</v>
      </c>
      <c r="I109" s="130">
        <f>SUM(H107:H115)</f>
        <v>18122.8</v>
      </c>
      <c r="L109" s="114">
        <f>SUM(H74:H115)</f>
        <v>70647.55</v>
      </c>
    </row>
    <row r="110" spans="1:14">
      <c r="A110" s="172">
        <v>45612</v>
      </c>
      <c r="B110" s="156">
        <v>44</v>
      </c>
      <c r="C110" s="126" t="s">
        <v>492</v>
      </c>
      <c r="D110" s="157">
        <v>1220</v>
      </c>
      <c r="E110" s="127">
        <f>D110*97%</f>
        <v>1183.4</v>
      </c>
      <c r="F110" s="128"/>
      <c r="G110" s="128">
        <f t="shared" si="21"/>
        <v>7936.54100000001</v>
      </c>
      <c r="H110" s="28">
        <v>1392.5</v>
      </c>
      <c r="I110" s="130"/>
    </row>
    <row r="111" spans="1:14">
      <c r="A111" s="172">
        <v>45615</v>
      </c>
      <c r="B111" s="156">
        <v>51</v>
      </c>
      <c r="C111" s="126" t="s">
        <v>492</v>
      </c>
      <c r="D111" s="157">
        <v>1319</v>
      </c>
      <c r="E111" s="127">
        <f>D111*97%</f>
        <v>1279.43</v>
      </c>
      <c r="F111" s="128"/>
      <c r="G111" s="128">
        <f t="shared" si="21"/>
        <v>9215.97100000001</v>
      </c>
      <c r="H111" s="28">
        <v>1499</v>
      </c>
      <c r="I111" s="28"/>
    </row>
    <row r="112" spans="1:14">
      <c r="A112" s="172">
        <v>45624</v>
      </c>
      <c r="B112" s="156">
        <v>88</v>
      </c>
      <c r="C112" s="140" t="s">
        <v>496</v>
      </c>
      <c r="D112" s="163">
        <v>1710</v>
      </c>
      <c r="E112" s="127">
        <f>D112</f>
        <v>1710</v>
      </c>
      <c r="F112" s="128"/>
      <c r="G112" s="128">
        <f t="shared" si="21"/>
        <v>10925.971</v>
      </c>
      <c r="H112" s="28"/>
      <c r="I112" s="28"/>
    </row>
    <row r="113" spans="1:11">
      <c r="A113" s="172">
        <v>45624</v>
      </c>
      <c r="B113" s="156">
        <v>88</v>
      </c>
      <c r="C113" s="156" t="s">
        <v>492</v>
      </c>
      <c r="D113" s="157">
        <v>3375</v>
      </c>
      <c r="E113" s="127">
        <f>D113*97%</f>
        <v>3273.75</v>
      </c>
      <c r="F113" s="128"/>
      <c r="G113" s="128">
        <f t="shared" si="21"/>
        <v>14199.721</v>
      </c>
      <c r="H113" s="28">
        <v>5827.5</v>
      </c>
      <c r="I113" s="28"/>
    </row>
    <row r="114" spans="1:11">
      <c r="A114" s="172">
        <v>45625</v>
      </c>
      <c r="B114" s="156">
        <v>93</v>
      </c>
      <c r="C114" s="140" t="s">
        <v>496</v>
      </c>
      <c r="D114" s="163">
        <v>1260</v>
      </c>
      <c r="E114" s="127">
        <f>D114</f>
        <v>1260</v>
      </c>
      <c r="F114" s="128"/>
      <c r="G114" s="128">
        <f t="shared" si="21"/>
        <v>15459.721</v>
      </c>
      <c r="H114" s="28"/>
      <c r="I114" s="28"/>
    </row>
    <row r="115" customFormat="1" spans="1:11">
      <c r="A115" s="172">
        <v>45625</v>
      </c>
      <c r="B115" s="156">
        <v>93</v>
      </c>
      <c r="C115" s="156" t="s">
        <v>492</v>
      </c>
      <c r="D115" s="157">
        <v>400</v>
      </c>
      <c r="E115" s="127">
        <f>D115*97%</f>
        <v>388</v>
      </c>
      <c r="F115" s="128"/>
      <c r="G115" s="128">
        <f t="shared" si="21"/>
        <v>15847.721</v>
      </c>
      <c r="H115" s="28">
        <v>1800</v>
      </c>
      <c r="I115" s="28">
        <f>SUM(H107:H116)</f>
        <v>8122.8</v>
      </c>
    </row>
    <row r="116" customFormat="1" spans="1:11">
      <c r="A116" s="188">
        <v>45724</v>
      </c>
      <c r="B116" s="156"/>
      <c r="C116" s="161" t="s">
        <v>530</v>
      </c>
      <c r="D116" s="162"/>
      <c r="E116" s="149"/>
      <c r="F116" s="144">
        <v>10000</v>
      </c>
      <c r="G116" s="128">
        <f t="shared" si="21"/>
        <v>5847.72100000001</v>
      </c>
      <c r="H116" s="195">
        <v>-10000</v>
      </c>
      <c r="I116" s="28"/>
    </row>
    <row r="117" customFormat="1" spans="1:11">
      <c r="A117" s="172"/>
      <c r="B117" s="156"/>
      <c r="C117" s="156"/>
      <c r="D117" s="157"/>
      <c r="E117" s="127"/>
      <c r="F117" s="128"/>
      <c r="G117" s="128">
        <f t="shared" si="21"/>
        <v>5847.72100000001</v>
      </c>
      <c r="H117" s="28"/>
      <c r="I117" s="28"/>
    </row>
    <row r="118" customFormat="1" spans="1:11">
      <c r="A118" s="172"/>
      <c r="B118" s="156"/>
      <c r="C118" s="156"/>
      <c r="D118" s="157"/>
      <c r="E118" s="127"/>
      <c r="F118" s="128"/>
      <c r="G118" s="128">
        <f t="shared" si="21"/>
        <v>5847.72100000001</v>
      </c>
      <c r="H118" s="28"/>
      <c r="I118" s="28"/>
    </row>
    <row r="119" customFormat="1" spans="1:11">
      <c r="A119" s="172">
        <v>45631</v>
      </c>
      <c r="B119" s="156">
        <v>11</v>
      </c>
      <c r="C119" s="156" t="s">
        <v>492</v>
      </c>
      <c r="D119" s="157">
        <v>4186</v>
      </c>
      <c r="E119" s="127">
        <f>D119*97%</f>
        <v>4060.42</v>
      </c>
      <c r="F119" s="128"/>
      <c r="G119" s="128">
        <f t="shared" si="21"/>
        <v>9908.14100000001</v>
      </c>
      <c r="H119" s="28">
        <v>4624</v>
      </c>
      <c r="I119" s="28"/>
    </row>
    <row r="120" customFormat="1" spans="1:11">
      <c r="A120" s="172">
        <v>45633</v>
      </c>
      <c r="B120" s="156">
        <v>26</v>
      </c>
      <c r="C120" s="140" t="s">
        <v>503</v>
      </c>
      <c r="D120" s="163">
        <v>1260</v>
      </c>
      <c r="E120" s="331">
        <f>D120</f>
        <v>1260</v>
      </c>
      <c r="F120" s="128"/>
      <c r="G120" s="128">
        <f t="shared" si="21"/>
        <v>11168.141</v>
      </c>
      <c r="H120" s="28">
        <v>1350</v>
      </c>
      <c r="I120" s="28"/>
    </row>
    <row r="121" customFormat="1" spans="1:11">
      <c r="A121" s="172">
        <v>45636</v>
      </c>
      <c r="B121" s="156">
        <v>28</v>
      </c>
      <c r="C121" s="126" t="s">
        <v>492</v>
      </c>
      <c r="D121" s="157">
        <v>400</v>
      </c>
      <c r="E121" s="127">
        <f>D121*97%</f>
        <v>388</v>
      </c>
      <c r="F121" s="128"/>
      <c r="G121" s="128">
        <f t="shared" si="21"/>
        <v>11556.141</v>
      </c>
      <c r="H121" s="28">
        <v>450</v>
      </c>
      <c r="I121" s="28"/>
    </row>
    <row r="122" customFormat="1" spans="1:11">
      <c r="A122" s="172">
        <v>45652</v>
      </c>
      <c r="B122" s="156">
        <v>80</v>
      </c>
      <c r="C122" s="140" t="s">
        <v>503</v>
      </c>
      <c r="D122" s="163">
        <v>1260</v>
      </c>
      <c r="E122" s="331">
        <f>D122</f>
        <v>1260</v>
      </c>
      <c r="F122" s="128"/>
      <c r="G122" s="128">
        <f t="shared" si="21"/>
        <v>12816.141</v>
      </c>
      <c r="H122" s="28"/>
      <c r="I122" s="28"/>
    </row>
    <row r="123" customFormat="1" spans="1:11">
      <c r="A123" s="172">
        <v>45652</v>
      </c>
      <c r="B123" s="156">
        <v>80</v>
      </c>
      <c r="C123" s="156" t="s">
        <v>492</v>
      </c>
      <c r="D123" s="157">
        <v>2828</v>
      </c>
      <c r="E123" s="127">
        <f>D123*97%</f>
        <v>2743.16</v>
      </c>
      <c r="F123" s="128"/>
      <c r="G123" s="128">
        <f t="shared" si="21"/>
        <v>15559.301</v>
      </c>
      <c r="H123" s="28">
        <v>4430</v>
      </c>
      <c r="I123" s="28"/>
    </row>
    <row r="124" customFormat="1" spans="1:11">
      <c r="A124" s="172">
        <v>45654</v>
      </c>
      <c r="B124" s="156">
        <v>92</v>
      </c>
      <c r="C124" s="156" t="s">
        <v>492</v>
      </c>
      <c r="D124" s="157">
        <v>1444</v>
      </c>
      <c r="E124" s="127">
        <f>D124*97%</f>
        <v>1400.68</v>
      </c>
      <c r="F124" s="128"/>
      <c r="G124" s="128">
        <f t="shared" si="21"/>
        <v>16959.981</v>
      </c>
      <c r="H124" s="28">
        <v>1665.5</v>
      </c>
      <c r="I124" s="28">
        <f>SUM(H119:H124)</f>
        <v>12519.5</v>
      </c>
    </row>
    <row r="125" customFormat="1" spans="1:11">
      <c r="A125" s="172"/>
      <c r="B125" s="156"/>
      <c r="C125" s="156"/>
      <c r="D125" s="157"/>
      <c r="E125" s="127"/>
      <c r="F125" s="128"/>
      <c r="G125" s="128">
        <f t="shared" si="21"/>
        <v>16959.981</v>
      </c>
      <c r="H125" s="28"/>
      <c r="I125" s="28"/>
    </row>
    <row r="126" customFormat="1" spans="1:11">
      <c r="A126" s="172">
        <v>45659</v>
      </c>
      <c r="B126" s="156">
        <v>3</v>
      </c>
      <c r="C126" s="156" t="s">
        <v>492</v>
      </c>
      <c r="D126" s="157">
        <v>400</v>
      </c>
      <c r="E126" s="127">
        <f>D126*97%</f>
        <v>388</v>
      </c>
      <c r="F126" s="128"/>
      <c r="G126" s="128">
        <f t="shared" si="21"/>
        <v>17347.981</v>
      </c>
      <c r="H126" s="28">
        <v>450</v>
      </c>
      <c r="I126" s="28"/>
    </row>
    <row r="127" spans="1:11">
      <c r="A127" s="172">
        <v>45663</v>
      </c>
      <c r="B127" s="156">
        <v>19</v>
      </c>
      <c r="C127" s="140" t="s">
        <v>503</v>
      </c>
      <c r="D127" s="163">
        <v>2970</v>
      </c>
      <c r="E127" s="141">
        <f>D127</f>
        <v>2970</v>
      </c>
      <c r="F127" s="128"/>
      <c r="G127" s="128">
        <f t="shared" si="21"/>
        <v>20317.981</v>
      </c>
      <c r="H127" s="28">
        <v>3240</v>
      </c>
      <c r="I127" s="28"/>
    </row>
    <row r="128" spans="1:11">
      <c r="A128" s="172">
        <v>45668</v>
      </c>
      <c r="B128" s="156">
        <v>39</v>
      </c>
      <c r="C128" s="156" t="s">
        <v>492</v>
      </c>
      <c r="D128" s="157">
        <v>400</v>
      </c>
      <c r="E128" s="127">
        <f>D128*97%</f>
        <v>388</v>
      </c>
      <c r="F128" s="128"/>
      <c r="G128" s="128">
        <f t="shared" si="21"/>
        <v>20705.981</v>
      </c>
      <c r="H128" s="28">
        <v>450</v>
      </c>
      <c r="I128" s="28">
        <f>SUM(H126:H128)</f>
        <v>4140</v>
      </c>
      <c r="K128">
        <f>SUM(H107:H128)</f>
        <v>24782.3</v>
      </c>
    </row>
    <row r="129" spans="1:9">
      <c r="A129" s="172">
        <v>45763</v>
      </c>
      <c r="B129" s="156"/>
      <c r="C129" s="156" t="s">
        <v>494</v>
      </c>
      <c r="D129" s="157"/>
      <c r="E129" s="127"/>
      <c r="F129" s="128">
        <v>24700</v>
      </c>
      <c r="G129" s="128">
        <f t="shared" si="21"/>
        <v>-3994.01899999999</v>
      </c>
      <c r="H129" s="28"/>
      <c r="I129" s="28"/>
    </row>
    <row r="130" spans="1:9">
      <c r="A130" s="172"/>
      <c r="B130" s="156"/>
      <c r="C130" s="156"/>
      <c r="D130" s="157"/>
      <c r="E130" s="127"/>
      <c r="F130" s="128"/>
      <c r="G130" s="128">
        <f t="shared" si="21"/>
        <v>-3994.01899999999</v>
      </c>
      <c r="H130" s="28"/>
      <c r="I130" s="28"/>
    </row>
  </sheetData>
  <mergeCells count="86">
    <mergeCell ref="A1:E1"/>
    <mergeCell ref="F1:G1"/>
    <mergeCell ref="I1:K1"/>
    <mergeCell ref="L1:N1"/>
    <mergeCell ref="O1:Q1"/>
    <mergeCell ref="S1:V1"/>
    <mergeCell ref="AA1:AD1"/>
    <mergeCell ref="A2:E2"/>
    <mergeCell ref="F2:G2"/>
    <mergeCell ref="I2:K2"/>
    <mergeCell ref="L2:N2"/>
    <mergeCell ref="O2:Q2"/>
    <mergeCell ref="S2:V2"/>
    <mergeCell ref="W2:Y2"/>
    <mergeCell ref="AA2:AD2"/>
    <mergeCell ref="AE2:AG2"/>
    <mergeCell ref="A3:G3"/>
    <mergeCell ref="J3:P3"/>
    <mergeCell ref="S3:X3"/>
    <mergeCell ref="AA3:AF3"/>
    <mergeCell ref="A4:F4"/>
    <mergeCell ref="J4:O4"/>
    <mergeCell ref="S4:W4"/>
    <mergeCell ref="AA4:AE4"/>
    <mergeCell ref="A5:B5"/>
    <mergeCell ref="J5:K5"/>
    <mergeCell ref="S5:T5"/>
    <mergeCell ref="AA5:AB5"/>
    <mergeCell ref="A6:B6"/>
    <mergeCell ref="J6:K6"/>
    <mergeCell ref="S6:T6"/>
    <mergeCell ref="AA6:AB6"/>
    <mergeCell ref="AB12:AC12"/>
    <mergeCell ref="A10:A11"/>
    <mergeCell ref="B10:B11"/>
    <mergeCell ref="C8:C9"/>
    <mergeCell ref="C10:C11"/>
    <mergeCell ref="D8:D9"/>
    <mergeCell ref="D10:D11"/>
    <mergeCell ref="E8:E9"/>
    <mergeCell ref="E10:E11"/>
    <mergeCell ref="F8:F9"/>
    <mergeCell ref="F10:F11"/>
    <mergeCell ref="G8:G9"/>
    <mergeCell ref="G10:G11"/>
    <mergeCell ref="H4:H5"/>
    <mergeCell ref="H10:H11"/>
    <mergeCell ref="I13:I14"/>
    <mergeCell ref="I36:I37"/>
    <mergeCell ref="J10:J11"/>
    <mergeCell ref="K10:K11"/>
    <mergeCell ref="L8:L9"/>
    <mergeCell ref="L10:L11"/>
    <mergeCell ref="M8:M9"/>
    <mergeCell ref="M10:M11"/>
    <mergeCell ref="N8:N9"/>
    <mergeCell ref="N10:N11"/>
    <mergeCell ref="O8:O9"/>
    <mergeCell ref="O10:O11"/>
    <mergeCell ref="P8:P9"/>
    <mergeCell ref="P10:P11"/>
    <mergeCell ref="Q4:Q5"/>
    <mergeCell ref="S10:S11"/>
    <mergeCell ref="T10:T11"/>
    <mergeCell ref="U8:U9"/>
    <mergeCell ref="U10:U11"/>
    <mergeCell ref="V10:V11"/>
    <mergeCell ref="W8:W9"/>
    <mergeCell ref="W10:W11"/>
    <mergeCell ref="X8:X9"/>
    <mergeCell ref="X10:X11"/>
    <mergeCell ref="Y4:Y5"/>
    <mergeCell ref="AA10:AA11"/>
    <mergeCell ref="AB10:AB11"/>
    <mergeCell ref="AC8:AC9"/>
    <mergeCell ref="AC10:AC11"/>
    <mergeCell ref="AD10:AD11"/>
    <mergeCell ref="AE8:AE9"/>
    <mergeCell ref="AE10:AE11"/>
    <mergeCell ref="AF8:AF9"/>
    <mergeCell ref="AF10:AF11"/>
    <mergeCell ref="AG4:AG5"/>
    <mergeCell ref="A8:B9"/>
    <mergeCell ref="S8:T9"/>
    <mergeCell ref="AA8:AB9"/>
    <mergeCell ref="J8:K9"/>
  </mergeCells>
  <pageMargins left="0.75" right="0.75" top="1" bottom="1" header="0.5" footer="0.5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3"/>
  <sheetViews>
    <sheetView workbookViewId="0">
      <selection activeCell="J4" sqref="J4"/>
    </sheetView>
  </sheetViews>
  <sheetFormatPr defaultColWidth="9" defaultRowHeight="15.6"/>
  <cols>
    <col min="1" max="1" width="13.375" customWidth="1"/>
    <col min="2" max="2" width="23.125" customWidth="1"/>
    <col min="4" max="4" width="11.75" customWidth="1"/>
    <col min="5" max="5" width="16.375" customWidth="1"/>
  </cols>
  <sheetData>
    <row r="1" ht="23" customHeight="1" spans="1:5">
      <c r="A1" s="196" t="s">
        <v>531</v>
      </c>
      <c r="B1" s="196"/>
      <c r="C1" s="196"/>
      <c r="D1" s="196"/>
      <c r="E1" s="196"/>
    </row>
    <row r="2" ht="20" customHeight="1" spans="1:5">
      <c r="A2" s="197" t="s">
        <v>532</v>
      </c>
      <c r="B2" s="197" t="s">
        <v>533</v>
      </c>
      <c r="C2" s="197" t="s">
        <v>9</v>
      </c>
      <c r="D2" s="197" t="s">
        <v>534</v>
      </c>
      <c r="E2" s="197" t="s">
        <v>13</v>
      </c>
    </row>
    <row r="3" ht="20" customHeight="1" spans="1:5">
      <c r="A3" s="197"/>
      <c r="B3" s="198" t="s">
        <v>535</v>
      </c>
      <c r="C3" s="197">
        <v>18</v>
      </c>
      <c r="D3" s="199">
        <v>14</v>
      </c>
      <c r="E3" s="197"/>
    </row>
    <row r="4" ht="20" customHeight="1" spans="1:5">
      <c r="A4" s="197">
        <v>1812</v>
      </c>
      <c r="B4" s="200" t="s">
        <v>41</v>
      </c>
      <c r="C4" s="197">
        <v>22</v>
      </c>
      <c r="D4" s="199">
        <v>11</v>
      </c>
      <c r="E4" s="200"/>
    </row>
    <row r="5" ht="20" customHeight="1" spans="1:5">
      <c r="A5" s="197">
        <v>348</v>
      </c>
      <c r="B5" s="200" t="s">
        <v>123</v>
      </c>
      <c r="C5" s="197">
        <v>20</v>
      </c>
      <c r="D5" s="199">
        <v>13.5</v>
      </c>
      <c r="E5" s="200"/>
    </row>
    <row r="6" ht="20" customHeight="1" spans="1:5">
      <c r="A6" s="197" t="s">
        <v>536</v>
      </c>
      <c r="B6" s="200" t="s">
        <v>537</v>
      </c>
      <c r="C6" s="197">
        <v>20</v>
      </c>
      <c r="D6" s="199">
        <v>14.5</v>
      </c>
      <c r="E6" s="200"/>
    </row>
    <row r="7" ht="20" customHeight="1" spans="1:5">
      <c r="A7" s="197" t="s">
        <v>538</v>
      </c>
      <c r="B7" s="200" t="s">
        <v>141</v>
      </c>
      <c r="C7" s="197">
        <v>10</v>
      </c>
      <c r="D7" s="199">
        <v>14.5</v>
      </c>
      <c r="E7" s="200"/>
    </row>
    <row r="8" ht="20" customHeight="1" spans="1:5">
      <c r="A8" s="197">
        <v>1813</v>
      </c>
      <c r="B8" s="200" t="s">
        <v>539</v>
      </c>
      <c r="C8" s="197">
        <v>22</v>
      </c>
      <c r="D8" s="199">
        <v>13</v>
      </c>
      <c r="E8" s="200"/>
    </row>
    <row r="9" ht="20" customHeight="1" spans="1:5">
      <c r="A9" s="197">
        <v>358</v>
      </c>
      <c r="B9" s="200" t="s">
        <v>540</v>
      </c>
      <c r="C9" s="197">
        <v>20</v>
      </c>
      <c r="D9" s="199">
        <v>15.5</v>
      </c>
      <c r="E9" s="200"/>
    </row>
    <row r="10" ht="20" customHeight="1" spans="1:5">
      <c r="A10" s="197" t="s">
        <v>541</v>
      </c>
      <c r="B10" s="200" t="s">
        <v>542</v>
      </c>
      <c r="C10" s="197">
        <v>20</v>
      </c>
      <c r="D10" s="199">
        <v>16.5</v>
      </c>
      <c r="E10" s="200"/>
    </row>
    <row r="11" ht="20" customHeight="1" spans="1:5">
      <c r="A11" s="197" t="s">
        <v>543</v>
      </c>
      <c r="B11" s="200" t="s">
        <v>544</v>
      </c>
      <c r="C11" s="197">
        <v>10</v>
      </c>
      <c r="D11" s="199">
        <v>16.5</v>
      </c>
      <c r="E11" s="200"/>
    </row>
    <row r="12" spans="1:5">
      <c r="A12" s="197"/>
      <c r="B12" s="200" t="s">
        <v>545</v>
      </c>
      <c r="C12" s="197">
        <v>180</v>
      </c>
      <c r="D12" s="199">
        <v>7.5</v>
      </c>
      <c r="E12" s="200" t="s">
        <v>546</v>
      </c>
    </row>
    <row r="13" ht="30" customHeight="1" spans="1:5">
      <c r="A13" s="201" t="s">
        <v>547</v>
      </c>
      <c r="B13" s="202"/>
      <c r="C13" s="202"/>
      <c r="D13" s="202"/>
      <c r="E13" s="203"/>
    </row>
    <row r="22" spans="1:9">
      <c r="A22" s="129" t="s">
        <v>531</v>
      </c>
      <c r="B22" s="129"/>
      <c r="C22" s="129"/>
      <c r="D22" s="129"/>
      <c r="E22" s="129"/>
      <c r="F22" s="204"/>
    </row>
    <row r="23" spans="1:9">
      <c r="A23" s="204" t="s">
        <v>532</v>
      </c>
      <c r="B23" s="204" t="s">
        <v>533</v>
      </c>
      <c r="C23" s="204" t="s">
        <v>9</v>
      </c>
      <c r="D23" s="204" t="s">
        <v>534</v>
      </c>
      <c r="E23" s="204" t="s">
        <v>13</v>
      </c>
      <c r="F23" s="204"/>
    </row>
    <row r="24" spans="1:9">
      <c r="A24" s="129"/>
      <c r="B24" s="205" t="s">
        <v>535</v>
      </c>
      <c r="C24" s="129">
        <v>18</v>
      </c>
      <c r="D24" s="206">
        <v>14</v>
      </c>
      <c r="E24" s="129"/>
      <c r="F24" s="205"/>
    </row>
    <row r="25" spans="1:9">
      <c r="A25" s="129">
        <v>1812</v>
      </c>
      <c r="B25" s="204" t="s">
        <v>41</v>
      </c>
      <c r="C25" s="204">
        <v>22</v>
      </c>
      <c r="D25" s="204">
        <v>11</v>
      </c>
      <c r="E25" s="204"/>
      <c r="F25" s="205" t="s">
        <v>548</v>
      </c>
      <c r="G25" t="s">
        <v>549</v>
      </c>
      <c r="I25" t="s">
        <v>550</v>
      </c>
    </row>
    <row r="26" spans="1:9">
      <c r="A26" s="129">
        <v>348</v>
      </c>
      <c r="B26" s="204" t="s">
        <v>123</v>
      </c>
      <c r="C26" s="204">
        <v>20</v>
      </c>
      <c r="D26" s="204">
        <v>14.5</v>
      </c>
      <c r="E26" s="204"/>
      <c r="F26" s="205">
        <v>309</v>
      </c>
    </row>
    <row r="27" spans="1:9">
      <c r="A27" s="129" t="s">
        <v>536</v>
      </c>
      <c r="B27" s="204" t="s">
        <v>537</v>
      </c>
      <c r="C27" s="204">
        <v>20</v>
      </c>
      <c r="D27" s="204">
        <v>14.5</v>
      </c>
      <c r="E27" s="204"/>
      <c r="F27" s="205" t="s">
        <v>259</v>
      </c>
    </row>
    <row r="28" spans="1:9">
      <c r="A28" s="129" t="s">
        <v>538</v>
      </c>
      <c r="B28" s="204" t="s">
        <v>141</v>
      </c>
      <c r="C28" s="204">
        <v>10</v>
      </c>
      <c r="D28" s="204">
        <v>14.5</v>
      </c>
      <c r="E28" s="204"/>
      <c r="F28" s="205" t="s">
        <v>551</v>
      </c>
    </row>
    <row r="29" spans="1:9">
      <c r="A29" s="129">
        <v>1813</v>
      </c>
      <c r="B29" s="204" t="s">
        <v>539</v>
      </c>
      <c r="C29" s="204">
        <v>22</v>
      </c>
      <c r="D29" s="204">
        <v>13</v>
      </c>
      <c r="E29" s="204"/>
      <c r="F29" s="205"/>
    </row>
    <row r="30" spans="1:9">
      <c r="A30" s="129">
        <v>358</v>
      </c>
      <c r="B30" s="204" t="s">
        <v>540</v>
      </c>
      <c r="C30" s="204">
        <v>20</v>
      </c>
      <c r="D30" s="204">
        <v>15.5</v>
      </c>
      <c r="E30" s="204"/>
      <c r="F30" s="205" t="s">
        <v>552</v>
      </c>
    </row>
    <row r="31" spans="1:9">
      <c r="A31" s="129" t="s">
        <v>541</v>
      </c>
      <c r="B31" s="204" t="s">
        <v>542</v>
      </c>
      <c r="C31" s="204">
        <v>20</v>
      </c>
      <c r="D31" s="204">
        <v>16.5</v>
      </c>
      <c r="E31" s="204"/>
      <c r="F31" s="205" t="s">
        <v>259</v>
      </c>
      <c r="G31" s="114"/>
    </row>
    <row r="32" spans="1:9">
      <c r="A32" s="129" t="s">
        <v>543</v>
      </c>
      <c r="B32" s="204" t="s">
        <v>544</v>
      </c>
      <c r="C32" s="204">
        <v>10</v>
      </c>
      <c r="D32" s="204">
        <v>16.5</v>
      </c>
      <c r="E32" s="204"/>
      <c r="F32" s="207" t="s">
        <v>553</v>
      </c>
    </row>
    <row r="33" spans="1:6">
      <c r="A33" s="129"/>
      <c r="B33" s="204" t="s">
        <v>545</v>
      </c>
      <c r="C33" s="204">
        <v>180</v>
      </c>
      <c r="D33" s="204">
        <v>7.5</v>
      </c>
      <c r="E33" s="204"/>
      <c r="F33" s="205" t="s">
        <v>554</v>
      </c>
    </row>
  </sheetData>
  <mergeCells count="3">
    <mergeCell ref="A1:E1"/>
    <mergeCell ref="A13:E13"/>
    <mergeCell ref="A22:E22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/>
  <dimension ref="A1:AA475"/>
  <sheetViews>
    <sheetView topLeftCell="N139" workbookViewId="0">
      <selection activeCell="I16" sqref="I16"/>
    </sheetView>
  </sheetViews>
  <sheetFormatPr defaultColWidth="9" defaultRowHeight="15.6"/>
  <cols>
    <col min="1" max="1" width="10.125"/>
    <col min="2" max="2" width="6.5" customWidth="1"/>
    <col min="3" max="3" width="13" customWidth="1"/>
    <col min="4" max="4" width="10" customWidth="1"/>
    <col min="5" max="5" width="14.75" style="25" customWidth="1"/>
    <col min="6" max="6" width="10.375"/>
    <col min="7" max="7" width="12.75" customWidth="1"/>
    <col min="8" max="8" width="14.375" style="26" customWidth="1"/>
    <col min="9" max="9" width="12.875" style="27" customWidth="1"/>
    <col min="10" max="10" width="9.375"/>
    <col min="11" max="11" width="6.5" customWidth="1"/>
    <col min="12" max="12" width="12.5" customWidth="1"/>
    <col min="13" max="13" width="10" customWidth="1"/>
    <col min="14" max="14" width="14.75" customWidth="1"/>
    <col min="15" max="15" width="9.375"/>
    <col min="16" max="16" width="12.75" customWidth="1"/>
    <col min="17" max="17" width="11.5" style="28" customWidth="1"/>
    <col min="18" max="18" width="6.375" style="27" customWidth="1"/>
    <col min="19" max="19" width="9.375"/>
    <col min="20" max="20" width="6.5" customWidth="1"/>
    <col min="21" max="21" width="20.375" customWidth="1"/>
    <col min="22" max="22" width="12" customWidth="1"/>
    <col min="23" max="23" width="9.375"/>
    <col min="24" max="24" width="12.75" customWidth="1"/>
    <col min="25" max="25" width="11.5" style="28" customWidth="1"/>
    <col min="26" max="26" width="10.75" customWidth="1"/>
  </cols>
  <sheetData>
    <row r="1" ht="33" customHeight="1" spans="1:26">
      <c r="A1" s="29" t="s">
        <v>555</v>
      </c>
      <c r="B1" s="30"/>
      <c r="C1" s="30"/>
      <c r="D1" s="30"/>
      <c r="E1" s="31"/>
      <c r="F1" s="32" t="s">
        <v>556</v>
      </c>
      <c r="G1" s="32"/>
      <c r="H1" s="33" t="s">
        <v>557</v>
      </c>
      <c r="I1" s="34" t="s">
        <v>558</v>
      </c>
      <c r="J1" s="34"/>
      <c r="K1" s="34"/>
      <c r="L1" s="35" t="s">
        <v>559</v>
      </c>
      <c r="M1" s="35"/>
      <c r="N1" s="36"/>
      <c r="O1" s="37" t="s">
        <v>560</v>
      </c>
      <c r="P1" s="38"/>
      <c r="Q1" s="39"/>
      <c r="R1" s="40"/>
      <c r="S1" s="41" t="s">
        <v>561</v>
      </c>
      <c r="T1" s="42"/>
      <c r="U1" s="42"/>
      <c r="V1" s="42"/>
      <c r="W1" s="43"/>
      <c r="X1" s="44"/>
      <c r="Y1" s="45"/>
    </row>
    <row r="2" ht="39" customHeight="1" spans="1:26">
      <c r="A2" s="46">
        <f>G4+P4+X4</f>
        <v>52768.8149999999</v>
      </c>
      <c r="B2" s="47"/>
      <c r="C2" s="47"/>
      <c r="D2" s="47"/>
      <c r="E2" s="47"/>
      <c r="F2" s="47">
        <f>A6+J6+S6</f>
        <v>355512.315</v>
      </c>
      <c r="G2" s="47"/>
      <c r="H2" s="48">
        <f>F9+O9+W9</f>
        <v>1693</v>
      </c>
      <c r="I2" s="49">
        <f>E6+N6+V6</f>
        <v>304436.5</v>
      </c>
      <c r="J2" s="49"/>
      <c r="K2" s="49"/>
      <c r="L2" s="50">
        <f>G6+P6+X6</f>
        <v>51075.8149999999</v>
      </c>
      <c r="M2" s="50"/>
      <c r="N2" s="50"/>
      <c r="O2" s="51">
        <f>H6+Q6+Y6</f>
        <v>405888</v>
      </c>
      <c r="P2" s="52"/>
      <c r="Q2" s="53"/>
      <c r="R2" s="54"/>
      <c r="S2" s="55">
        <f>D7+M7+S6</f>
        <v>329411.4</v>
      </c>
      <c r="T2" s="55"/>
      <c r="U2" s="55"/>
      <c r="V2" s="55"/>
      <c r="W2" s="56" t="s">
        <v>562</v>
      </c>
      <c r="X2" s="57"/>
      <c r="Y2" s="58"/>
    </row>
    <row r="3" ht="22.2" spans="1:26">
      <c r="A3" s="59" t="s">
        <v>18</v>
      </c>
      <c r="B3" s="59"/>
      <c r="C3" s="59"/>
      <c r="D3" s="59"/>
      <c r="E3" s="60"/>
      <c r="F3" s="59"/>
      <c r="G3" s="59"/>
      <c r="I3" s="61"/>
      <c r="J3" s="59" t="s">
        <v>563</v>
      </c>
      <c r="K3" s="59"/>
      <c r="L3" s="59"/>
      <c r="M3" s="59"/>
      <c r="N3" s="59"/>
      <c r="O3" s="59"/>
      <c r="P3" s="59"/>
      <c r="R3" s="61"/>
      <c r="S3" s="59" t="s">
        <v>564</v>
      </c>
      <c r="T3" s="59"/>
      <c r="U3" s="59"/>
      <c r="V3" s="59"/>
      <c r="W3" s="59"/>
      <c r="X3" s="59"/>
    </row>
    <row r="4" spans="1:26">
      <c r="A4" s="62" t="s">
        <v>470</v>
      </c>
      <c r="B4" s="62"/>
      <c r="C4" s="62"/>
      <c r="D4" s="62"/>
      <c r="E4" s="63"/>
      <c r="F4" s="64"/>
      <c r="G4" s="65">
        <f>G6+F9</f>
        <v>31677.9629999999</v>
      </c>
      <c r="H4" s="66" t="s">
        <v>464</v>
      </c>
      <c r="I4" s="67"/>
      <c r="J4" s="62" t="s">
        <v>470</v>
      </c>
      <c r="K4" s="62"/>
      <c r="L4" s="62"/>
      <c r="M4" s="62"/>
      <c r="N4" s="62"/>
      <c r="O4" s="64"/>
      <c r="P4" s="65">
        <f>P6+O9</f>
        <v>7149.852</v>
      </c>
      <c r="Q4" s="66" t="s">
        <v>464</v>
      </c>
      <c r="R4" s="67"/>
      <c r="S4" s="62" t="s">
        <v>471</v>
      </c>
      <c r="T4" s="62"/>
      <c r="U4" s="62"/>
      <c r="V4" s="62"/>
      <c r="W4" s="64"/>
      <c r="X4" s="65">
        <f>X6+W9</f>
        <v>13941</v>
      </c>
      <c r="Y4" s="66" t="s">
        <v>464</v>
      </c>
    </row>
    <row r="5" spans="1:26">
      <c r="A5" s="68" t="s">
        <v>472</v>
      </c>
      <c r="B5" s="69"/>
      <c r="C5" s="69"/>
      <c r="D5" s="69"/>
      <c r="E5" s="70" t="s">
        <v>473</v>
      </c>
      <c r="F5" s="69"/>
      <c r="G5" s="71" t="s">
        <v>474</v>
      </c>
      <c r="H5" s="72"/>
      <c r="I5" s="73"/>
      <c r="J5" s="68" t="s">
        <v>472</v>
      </c>
      <c r="K5" s="69"/>
      <c r="L5" s="69"/>
      <c r="M5" s="69"/>
      <c r="N5" s="74" t="s">
        <v>473</v>
      </c>
      <c r="O5" s="69"/>
      <c r="P5" s="71" t="s">
        <v>474</v>
      </c>
      <c r="Q5" s="72"/>
      <c r="R5" s="73"/>
      <c r="S5" s="68" t="s">
        <v>472</v>
      </c>
      <c r="T5" s="69"/>
      <c r="U5" s="69"/>
      <c r="V5" s="75" t="s">
        <v>473</v>
      </c>
      <c r="W5" s="69"/>
      <c r="X5" s="71" t="s">
        <v>474</v>
      </c>
      <c r="Y5" s="72"/>
    </row>
    <row r="6" spans="1:26">
      <c r="A6" s="76">
        <f>SUBTOTAL(9,E12:E224)</f>
        <v>231709.463</v>
      </c>
      <c r="B6" s="77"/>
      <c r="C6" s="77"/>
      <c r="D6" s="77" t="s">
        <v>475</v>
      </c>
      <c r="E6" s="78">
        <f>SUBTOTAL(9,F12:F224)</f>
        <v>200031.5</v>
      </c>
      <c r="F6" s="77"/>
      <c r="G6" s="79">
        <f>A6-E6</f>
        <v>31677.9629999999</v>
      </c>
      <c r="H6" s="26">
        <f>SUM(H12:H172)</f>
        <v>264429</v>
      </c>
      <c r="I6" s="80"/>
      <c r="J6" s="76">
        <f>SUBTOTAL(9,N12:N205)</f>
        <v>48586.852</v>
      </c>
      <c r="K6" s="77"/>
      <c r="L6" s="77"/>
      <c r="M6" s="81" t="s">
        <v>565</v>
      </c>
      <c r="N6" s="82">
        <f>SUBTOTAL(9,O12:O205)</f>
        <v>41437</v>
      </c>
      <c r="O6" s="77"/>
      <c r="P6" s="79">
        <f>J6-N6</f>
        <v>7149.852</v>
      </c>
      <c r="Q6" s="28">
        <f>SUM(Q12:Q153)</f>
        <v>54385</v>
      </c>
      <c r="R6" s="80"/>
      <c r="S6" s="76">
        <f>SUM(V12:V119)</f>
        <v>75216</v>
      </c>
      <c r="T6" s="77"/>
      <c r="U6" s="77"/>
      <c r="V6" s="77">
        <f>SUM(W12:W74)</f>
        <v>62968</v>
      </c>
      <c r="W6" s="77"/>
      <c r="X6" s="79">
        <f>S6-V6</f>
        <v>12248</v>
      </c>
      <c r="Y6" s="28">
        <f>SUM(Y12:Y170)</f>
        <v>87074</v>
      </c>
    </row>
    <row r="7" spans="1:26">
      <c r="A7" s="83"/>
      <c r="B7" s="84"/>
      <c r="C7" s="85"/>
      <c r="D7" s="85">
        <f>SUM(D12:D119)</f>
        <v>204915.8</v>
      </c>
      <c r="E7" s="86"/>
      <c r="F7" s="85"/>
      <c r="G7" s="87"/>
      <c r="H7" s="88"/>
      <c r="I7" s="87"/>
      <c r="J7" s="83"/>
      <c r="K7" s="84"/>
      <c r="L7" s="85"/>
      <c r="M7" s="85">
        <f>SUM(M12:M44)</f>
        <v>49279.6</v>
      </c>
      <c r="N7" s="89"/>
      <c r="O7" s="85"/>
      <c r="P7" s="87"/>
      <c r="Q7" s="88"/>
      <c r="R7" s="87"/>
      <c r="S7" s="83"/>
      <c r="T7" s="84"/>
      <c r="U7" s="85"/>
      <c r="V7" s="85"/>
      <c r="W7" s="85"/>
      <c r="X7" s="87"/>
      <c r="Y7" s="88"/>
    </row>
    <row r="8" spans="1:26">
      <c r="A8" s="90" t="s">
        <v>566</v>
      </c>
      <c r="B8" s="90"/>
      <c r="C8" s="91">
        <v>14484</v>
      </c>
      <c r="D8" s="92" t="s">
        <v>479</v>
      </c>
      <c r="E8" s="93" t="s">
        <v>567</v>
      </c>
      <c r="F8" s="94" t="s">
        <v>568</v>
      </c>
      <c r="G8" s="95" t="s">
        <v>569</v>
      </c>
      <c r="H8" s="96" t="s">
        <v>480</v>
      </c>
      <c r="I8" s="80"/>
      <c r="J8" s="97" t="s">
        <v>570</v>
      </c>
      <c r="K8" s="97"/>
      <c r="L8" s="98">
        <v>5000</v>
      </c>
      <c r="M8" s="99" t="s">
        <v>571</v>
      </c>
      <c r="N8" s="100" t="s">
        <v>572</v>
      </c>
      <c r="O8" s="101" t="s">
        <v>568</v>
      </c>
      <c r="P8" s="102" t="s">
        <v>479</v>
      </c>
      <c r="Q8" s="26"/>
      <c r="R8" s="80"/>
      <c r="S8" s="97" t="s">
        <v>573</v>
      </c>
      <c r="T8" s="97"/>
      <c r="U8" s="99">
        <v>1693</v>
      </c>
      <c r="V8" s="100" t="s">
        <v>485</v>
      </c>
      <c r="W8" s="101" t="s">
        <v>568</v>
      </c>
      <c r="X8" s="103"/>
      <c r="Y8" s="26"/>
    </row>
    <row r="9" spans="1:26">
      <c r="A9" s="104"/>
      <c r="B9" s="104"/>
      <c r="C9" s="105"/>
      <c r="D9" s="92"/>
      <c r="E9" s="106">
        <v>14484</v>
      </c>
      <c r="F9" s="107">
        <f>C8-E9</f>
        <v>0</v>
      </c>
      <c r="G9" s="95">
        <v>1716</v>
      </c>
      <c r="H9" s="96">
        <v>16289</v>
      </c>
      <c r="I9" s="108"/>
      <c r="J9" s="109"/>
      <c r="K9" s="109"/>
      <c r="L9" s="110"/>
      <c r="M9" s="111"/>
      <c r="N9" s="112">
        <v>5000</v>
      </c>
      <c r="O9" s="113">
        <f>L8-N9</f>
        <v>0</v>
      </c>
      <c r="P9" s="102"/>
      <c r="R9" s="108"/>
      <c r="S9" s="109"/>
      <c r="T9" s="109"/>
      <c r="U9" s="111"/>
      <c r="V9" s="112"/>
      <c r="W9" s="113">
        <f>U8-V9</f>
        <v>1693</v>
      </c>
      <c r="X9" s="103"/>
      <c r="Z9" s="114" t="s">
        <v>574</v>
      </c>
    </row>
    <row r="10" spans="1:26">
      <c r="A10" s="115" t="s">
        <v>4</v>
      </c>
      <c r="B10" s="116" t="s">
        <v>5</v>
      </c>
      <c r="C10" s="116" t="s">
        <v>486</v>
      </c>
      <c r="D10" s="116" t="s">
        <v>475</v>
      </c>
      <c r="E10" s="117" t="s">
        <v>575</v>
      </c>
      <c r="F10" s="82" t="s">
        <v>473</v>
      </c>
      <c r="G10" s="118" t="s">
        <v>488</v>
      </c>
      <c r="H10" s="66" t="s">
        <v>464</v>
      </c>
      <c r="I10" s="119"/>
      <c r="J10" s="115" t="s">
        <v>4</v>
      </c>
      <c r="K10" s="116" t="s">
        <v>5</v>
      </c>
      <c r="L10" s="116" t="s">
        <v>486</v>
      </c>
      <c r="M10" s="116" t="s">
        <v>475</v>
      </c>
      <c r="N10" s="116" t="s">
        <v>575</v>
      </c>
      <c r="O10" s="82" t="s">
        <v>473</v>
      </c>
      <c r="P10" s="118" t="s">
        <v>488</v>
      </c>
      <c r="Q10" s="28" t="s">
        <v>480</v>
      </c>
      <c r="R10" s="119"/>
      <c r="S10" s="115" t="s">
        <v>4</v>
      </c>
      <c r="T10" s="116" t="s">
        <v>5</v>
      </c>
      <c r="U10" s="116" t="s">
        <v>486</v>
      </c>
      <c r="V10" s="116" t="s">
        <v>576</v>
      </c>
      <c r="W10" s="82" t="s">
        <v>473</v>
      </c>
      <c r="X10" s="118" t="s">
        <v>488</v>
      </c>
      <c r="Y10" s="28" t="s">
        <v>480</v>
      </c>
    </row>
    <row r="11" spans="1:26">
      <c r="A11" s="120"/>
      <c r="B11" s="121"/>
      <c r="C11" s="121"/>
      <c r="D11" s="121"/>
      <c r="E11" s="122"/>
      <c r="F11" s="82"/>
      <c r="G11" s="123"/>
      <c r="H11" s="72"/>
      <c r="I11" s="119"/>
      <c r="J11" s="120"/>
      <c r="K11" s="121"/>
      <c r="L11" s="121"/>
      <c r="M11" s="121"/>
      <c r="N11" s="121"/>
      <c r="O11" s="82"/>
      <c r="P11" s="123"/>
      <c r="Q11" s="28" t="s">
        <v>491</v>
      </c>
      <c r="R11" s="119"/>
      <c r="S11" s="120"/>
      <c r="T11" s="121"/>
      <c r="U11" s="121"/>
      <c r="V11" s="121"/>
      <c r="W11" s="82"/>
      <c r="X11" s="123"/>
      <c r="Y11" s="28" t="s">
        <v>491</v>
      </c>
    </row>
    <row r="12" s="24" customFormat="1" spans="1:26">
      <c r="A12" s="124">
        <v>44970</v>
      </c>
      <c r="B12" s="125">
        <v>21</v>
      </c>
      <c r="C12" s="126" t="s">
        <v>492</v>
      </c>
      <c r="D12" s="126">
        <v>7953</v>
      </c>
      <c r="E12" s="127">
        <f>D12*97%</f>
        <v>7714.41</v>
      </c>
      <c r="F12" s="128"/>
      <c r="G12" s="128">
        <f>E12-F12</f>
        <v>7714.41</v>
      </c>
      <c r="H12" s="129">
        <v>8915</v>
      </c>
      <c r="I12" s="130"/>
      <c r="J12" s="124">
        <v>44980</v>
      </c>
      <c r="K12" s="125">
        <v>69</v>
      </c>
      <c r="L12" s="131" t="s">
        <v>577</v>
      </c>
      <c r="M12" s="126">
        <v>5040</v>
      </c>
      <c r="N12" s="126">
        <f>M12</f>
        <v>5040</v>
      </c>
      <c r="O12" s="128"/>
      <c r="P12" s="128">
        <f>N12-O12</f>
        <v>5040</v>
      </c>
      <c r="Q12" s="129"/>
      <c r="R12" s="130"/>
      <c r="S12" s="124">
        <v>44982</v>
      </c>
      <c r="T12" s="125">
        <v>74</v>
      </c>
      <c r="U12" s="126" t="s">
        <v>492</v>
      </c>
      <c r="V12" s="126">
        <v>5049</v>
      </c>
      <c r="W12" s="128"/>
      <c r="X12" s="128">
        <f>V12-W12</f>
        <v>5049</v>
      </c>
      <c r="Y12" s="129">
        <v>6057</v>
      </c>
    </row>
    <row r="13" s="24" customFormat="1" spans="1:26">
      <c r="A13" s="132">
        <v>44970</v>
      </c>
      <c r="B13" s="125">
        <v>27</v>
      </c>
      <c r="C13" s="133" t="s">
        <v>492</v>
      </c>
      <c r="D13" s="126">
        <v>800</v>
      </c>
      <c r="E13" s="127">
        <f>D13*97%</f>
        <v>776</v>
      </c>
      <c r="F13" s="128"/>
      <c r="G13" s="128">
        <f t="shared" ref="G13:G33" si="0">G12+E13-F13</f>
        <v>8490.41</v>
      </c>
      <c r="H13" s="129">
        <v>900</v>
      </c>
      <c r="I13" s="130"/>
      <c r="J13" s="124">
        <v>44980</v>
      </c>
      <c r="K13" s="125">
        <v>69</v>
      </c>
      <c r="L13" s="133" t="s">
        <v>492</v>
      </c>
      <c r="M13" s="126">
        <v>6470</v>
      </c>
      <c r="N13" s="126">
        <f>M13*97%</f>
        <v>6275.9</v>
      </c>
      <c r="O13" s="128"/>
      <c r="P13" s="134">
        <f t="shared" ref="P13:P21" si="1">P12+N13-O13</f>
        <v>11315.9</v>
      </c>
      <c r="Q13" s="129">
        <v>13350</v>
      </c>
      <c r="R13" s="130"/>
      <c r="S13" s="132">
        <v>44992</v>
      </c>
      <c r="T13" s="125">
        <v>26</v>
      </c>
      <c r="U13" s="133" t="s">
        <v>492</v>
      </c>
      <c r="V13" s="126">
        <v>7212</v>
      </c>
      <c r="W13" s="128"/>
      <c r="X13" s="128">
        <f>X12+V13-W13</f>
        <v>12261</v>
      </c>
      <c r="Y13" s="129">
        <v>8266</v>
      </c>
    </row>
    <row r="14" s="24" customFormat="1" spans="1:26">
      <c r="A14" s="132">
        <v>44974</v>
      </c>
      <c r="B14" s="125">
        <v>41</v>
      </c>
      <c r="C14" s="133" t="s">
        <v>492</v>
      </c>
      <c r="D14" s="126">
        <v>1620</v>
      </c>
      <c r="E14" s="127">
        <f>D14*97%</f>
        <v>1571.4</v>
      </c>
      <c r="F14" s="133"/>
      <c r="G14" s="128">
        <f t="shared" si="0"/>
        <v>10061.81</v>
      </c>
      <c r="H14" s="129"/>
      <c r="I14" s="130"/>
      <c r="J14" s="135">
        <v>45045</v>
      </c>
      <c r="K14" s="136"/>
      <c r="L14" s="136" t="s">
        <v>578</v>
      </c>
      <c r="M14" s="136"/>
      <c r="N14" s="137"/>
      <c r="O14" s="136">
        <v>10000</v>
      </c>
      <c r="P14" s="138">
        <f t="shared" si="1"/>
        <v>1315.9</v>
      </c>
      <c r="Q14" s="129"/>
      <c r="R14" s="130"/>
      <c r="S14" s="132">
        <v>44994</v>
      </c>
      <c r="T14" s="125">
        <v>32</v>
      </c>
      <c r="U14" s="133" t="s">
        <v>492</v>
      </c>
      <c r="V14" s="133">
        <v>252</v>
      </c>
      <c r="W14" s="133"/>
      <c r="X14" s="128">
        <f t="shared" ref="X14:X38" si="2">X13+V14-W14</f>
        <v>12513</v>
      </c>
      <c r="Y14" s="129">
        <v>360</v>
      </c>
    </row>
    <row r="15" s="24" customFormat="1" spans="1:26">
      <c r="A15" s="132">
        <v>44974</v>
      </c>
      <c r="B15" s="125">
        <v>41</v>
      </c>
      <c r="C15" s="139" t="s">
        <v>579</v>
      </c>
      <c r="D15" s="140">
        <v>1350</v>
      </c>
      <c r="E15" s="141">
        <f>D15</f>
        <v>1350</v>
      </c>
      <c r="F15" s="133"/>
      <c r="G15" s="128">
        <f t="shared" si="0"/>
        <v>11411.81</v>
      </c>
      <c r="H15" s="129">
        <v>3378</v>
      </c>
      <c r="I15" s="130"/>
      <c r="J15" s="135">
        <v>45045</v>
      </c>
      <c r="K15" s="142"/>
      <c r="L15" s="143" t="s">
        <v>580</v>
      </c>
      <c r="M15" s="136"/>
      <c r="N15" s="137"/>
      <c r="O15" s="136">
        <v>1316</v>
      </c>
      <c r="P15" s="138">
        <f t="shared" si="1"/>
        <v>-0.100000000000364</v>
      </c>
      <c r="Q15" s="129"/>
      <c r="R15" s="130"/>
      <c r="S15" s="132">
        <v>44996</v>
      </c>
      <c r="T15" s="125">
        <v>44</v>
      </c>
      <c r="U15" s="133" t="s">
        <v>492</v>
      </c>
      <c r="V15" s="133">
        <v>5140</v>
      </c>
      <c r="W15" s="133"/>
      <c r="X15" s="128">
        <f t="shared" si="2"/>
        <v>17653</v>
      </c>
      <c r="Y15" s="129">
        <v>5788</v>
      </c>
    </row>
    <row r="16" s="24" customFormat="1" spans="1:26">
      <c r="A16" s="132">
        <v>44978</v>
      </c>
      <c r="B16" s="125">
        <v>54</v>
      </c>
      <c r="C16" s="126" t="s">
        <v>492</v>
      </c>
      <c r="D16" s="126">
        <v>2688</v>
      </c>
      <c r="E16" s="127">
        <f>D16*97%</f>
        <v>2607.36</v>
      </c>
      <c r="F16" s="128"/>
      <c r="G16" s="128">
        <f t="shared" si="0"/>
        <v>14019.17</v>
      </c>
      <c r="H16" s="129"/>
      <c r="I16" s="130"/>
      <c r="J16" s="132">
        <v>45063</v>
      </c>
      <c r="K16" s="125">
        <v>42</v>
      </c>
      <c r="L16" s="133" t="s">
        <v>577</v>
      </c>
      <c r="M16" s="133">
        <v>5130</v>
      </c>
      <c r="N16" s="126">
        <f>M16</f>
        <v>5130</v>
      </c>
      <c r="O16" s="128"/>
      <c r="P16" s="138">
        <f t="shared" si="1"/>
        <v>5129.9</v>
      </c>
      <c r="Q16" s="129">
        <v>6030</v>
      </c>
      <c r="R16" s="130"/>
      <c r="S16" s="132">
        <v>44998</v>
      </c>
      <c r="T16" s="125">
        <v>50</v>
      </c>
      <c r="U16" s="133" t="s">
        <v>492</v>
      </c>
      <c r="V16" s="133">
        <v>2330</v>
      </c>
      <c r="W16" s="128"/>
      <c r="X16" s="128">
        <f t="shared" si="2"/>
        <v>19983</v>
      </c>
      <c r="Y16" s="129">
        <v>2874</v>
      </c>
    </row>
    <row r="17" s="24" customFormat="1" spans="1:27">
      <c r="A17" s="132">
        <v>44978</v>
      </c>
      <c r="B17" s="125">
        <v>54</v>
      </c>
      <c r="C17" s="126" t="s">
        <v>492</v>
      </c>
      <c r="D17" s="126">
        <v>1710</v>
      </c>
      <c r="E17" s="127">
        <f>D17*97%</f>
        <v>1658.7</v>
      </c>
      <c r="F17" s="128"/>
      <c r="G17" s="144">
        <f t="shared" si="0"/>
        <v>15677.87</v>
      </c>
      <c r="H17" s="129">
        <v>4740</v>
      </c>
      <c r="I17" s="145">
        <f>SUM(H12:H17)</f>
        <v>17933</v>
      </c>
      <c r="J17" s="135">
        <v>45156</v>
      </c>
      <c r="K17" s="136"/>
      <c r="L17" s="136" t="s">
        <v>581</v>
      </c>
      <c r="M17" s="136"/>
      <c r="N17" s="137"/>
      <c r="O17" s="144">
        <v>2969</v>
      </c>
      <c r="P17" s="138">
        <f t="shared" si="1"/>
        <v>2160.9</v>
      </c>
      <c r="Q17" s="129"/>
      <c r="R17" s="130"/>
      <c r="S17" s="132">
        <v>45002</v>
      </c>
      <c r="T17" s="125">
        <v>74</v>
      </c>
      <c r="U17" s="133" t="s">
        <v>492</v>
      </c>
      <c r="V17" s="133">
        <v>102</v>
      </c>
      <c r="W17" s="128"/>
      <c r="X17" s="128">
        <f t="shared" si="2"/>
        <v>20085</v>
      </c>
      <c r="Y17" s="146">
        <v>84</v>
      </c>
      <c r="Z17" s="147" t="s">
        <v>582</v>
      </c>
    </row>
    <row r="18" s="24" customFormat="1" spans="1:27">
      <c r="A18" s="135">
        <v>45034</v>
      </c>
      <c r="B18" s="137"/>
      <c r="C18" s="148" t="s">
        <v>583</v>
      </c>
      <c r="D18" s="148"/>
      <c r="E18" s="149"/>
      <c r="F18" s="144">
        <v>17786</v>
      </c>
      <c r="G18" s="144">
        <f t="shared" si="0"/>
        <v>-2108.13</v>
      </c>
      <c r="H18" s="129"/>
      <c r="I18" s="150" t="s">
        <v>584</v>
      </c>
      <c r="J18" s="135">
        <v>45179</v>
      </c>
      <c r="K18" s="137"/>
      <c r="L18" s="136" t="s">
        <v>585</v>
      </c>
      <c r="M18" s="136"/>
      <c r="N18" s="148"/>
      <c r="O18" s="144">
        <v>1891</v>
      </c>
      <c r="P18" s="151">
        <f t="shared" si="1"/>
        <v>269.9</v>
      </c>
      <c r="Q18" s="129"/>
      <c r="R18" s="130"/>
      <c r="S18" s="132">
        <v>45008</v>
      </c>
      <c r="T18" s="125">
        <v>95</v>
      </c>
      <c r="U18" s="133" t="s">
        <v>492</v>
      </c>
      <c r="V18" s="133">
        <v>-1593</v>
      </c>
      <c r="W18" s="128"/>
      <c r="X18" s="128">
        <f t="shared" si="2"/>
        <v>18492</v>
      </c>
      <c r="Y18" s="129">
        <v>-1760</v>
      </c>
      <c r="Z18" s="152" t="s">
        <v>586</v>
      </c>
    </row>
    <row r="19" s="24" customFormat="1" ht="18" customHeight="1" spans="1:27">
      <c r="A19" s="135">
        <v>45045</v>
      </c>
      <c r="B19" s="153"/>
      <c r="C19" s="148" t="s">
        <v>526</v>
      </c>
      <c r="D19" s="148"/>
      <c r="E19" s="149"/>
      <c r="F19" s="144">
        <v>-2108.1</v>
      </c>
      <c r="G19" s="144">
        <f t="shared" si="0"/>
        <v>-0.0299999999992906</v>
      </c>
      <c r="H19" s="129"/>
      <c r="I19" s="130"/>
      <c r="J19" s="132">
        <v>45157</v>
      </c>
      <c r="K19" s="125">
        <v>20</v>
      </c>
      <c r="L19" s="139" t="s">
        <v>577</v>
      </c>
      <c r="M19" s="139">
        <v>5670</v>
      </c>
      <c r="N19" s="140">
        <v>5670</v>
      </c>
      <c r="O19" s="128"/>
      <c r="P19" s="134">
        <f t="shared" si="1"/>
        <v>5939.9</v>
      </c>
      <c r="Q19" s="129"/>
      <c r="R19" s="130"/>
      <c r="S19" s="132">
        <v>45010</v>
      </c>
      <c r="T19" s="125">
        <v>99</v>
      </c>
      <c r="U19" s="133" t="s">
        <v>492</v>
      </c>
      <c r="V19" s="133">
        <v>4613</v>
      </c>
      <c r="W19" s="128"/>
      <c r="X19" s="128">
        <f t="shared" si="2"/>
        <v>23105</v>
      </c>
      <c r="Y19" s="129">
        <v>6153</v>
      </c>
    </row>
    <row r="20" s="24" customFormat="1" spans="1:27">
      <c r="A20" s="132">
        <v>44991</v>
      </c>
      <c r="B20" s="125">
        <v>24</v>
      </c>
      <c r="C20" s="154" t="s">
        <v>579</v>
      </c>
      <c r="D20" s="140">
        <v>1350</v>
      </c>
      <c r="E20" s="141">
        <f>D20</f>
        <v>1350</v>
      </c>
      <c r="F20" s="128"/>
      <c r="G20" s="128">
        <f t="shared" si="0"/>
        <v>1349.97</v>
      </c>
      <c r="H20" s="129">
        <v>1440</v>
      </c>
      <c r="I20" s="130"/>
      <c r="J20" s="155">
        <v>45157</v>
      </c>
      <c r="K20" s="156">
        <v>20</v>
      </c>
      <c r="L20" s="133" t="s">
        <v>492</v>
      </c>
      <c r="M20" s="157">
        <v>4455</v>
      </c>
      <c r="N20" s="126">
        <f>M20*97%</f>
        <v>4321.35</v>
      </c>
      <c r="O20" s="128"/>
      <c r="P20" s="134">
        <f t="shared" si="1"/>
        <v>10261.25</v>
      </c>
      <c r="Q20" s="28">
        <v>11775</v>
      </c>
      <c r="R20" s="130"/>
      <c r="S20" s="132">
        <v>45012</v>
      </c>
      <c r="T20" s="125">
        <v>103</v>
      </c>
      <c r="U20" s="133" t="s">
        <v>492</v>
      </c>
      <c r="V20" s="133">
        <v>382</v>
      </c>
      <c r="W20" s="128"/>
      <c r="X20" s="158">
        <f t="shared" si="2"/>
        <v>23487</v>
      </c>
      <c r="Y20" s="129">
        <v>480</v>
      </c>
    </row>
    <row r="21" s="24" customFormat="1" spans="1:27">
      <c r="A21" s="132">
        <v>44996</v>
      </c>
      <c r="B21" s="125">
        <v>40</v>
      </c>
      <c r="C21" s="159" t="s">
        <v>587</v>
      </c>
      <c r="D21" s="140">
        <v>30</v>
      </c>
      <c r="E21" s="141">
        <f>D21</f>
        <v>30</v>
      </c>
      <c r="F21" s="128"/>
      <c r="G21" s="128">
        <f t="shared" si="0"/>
        <v>1379.97</v>
      </c>
      <c r="H21" s="129"/>
      <c r="I21" s="130"/>
      <c r="J21" s="160"/>
      <c r="K21" s="161"/>
      <c r="L21" s="136" t="s">
        <v>571</v>
      </c>
      <c r="M21" s="162"/>
      <c r="N21" s="148"/>
      <c r="O21" s="144">
        <v>10000</v>
      </c>
      <c r="P21" s="138">
        <f t="shared" si="1"/>
        <v>261.25</v>
      </c>
      <c r="Q21" s="28"/>
      <c r="R21" s="130"/>
      <c r="S21" s="135">
        <v>45022</v>
      </c>
      <c r="T21" s="137"/>
      <c r="U21" s="136" t="s">
        <v>571</v>
      </c>
      <c r="V21" s="136"/>
      <c r="W21" s="144">
        <v>23487</v>
      </c>
      <c r="X21" s="158">
        <f t="shared" si="2"/>
        <v>0</v>
      </c>
      <c r="Y21" s="129"/>
    </row>
    <row r="22" s="24" customFormat="1" spans="1:27">
      <c r="A22" s="132">
        <v>44996</v>
      </c>
      <c r="B22" s="125">
        <v>40</v>
      </c>
      <c r="C22" s="126" t="s">
        <v>492</v>
      </c>
      <c r="D22" s="126">
        <v>7779</v>
      </c>
      <c r="E22" s="127">
        <f>D22*97%</f>
        <v>7545.63</v>
      </c>
      <c r="F22" s="128"/>
      <c r="G22" s="128">
        <f t="shared" si="0"/>
        <v>8925.6</v>
      </c>
      <c r="H22" s="129">
        <v>8841</v>
      </c>
      <c r="I22" s="130"/>
      <c r="J22" s="160"/>
      <c r="K22" s="161"/>
      <c r="L22" s="136" t="s">
        <v>497</v>
      </c>
      <c r="M22" s="162"/>
      <c r="N22" s="148"/>
      <c r="O22" s="144">
        <v>261</v>
      </c>
      <c r="P22" s="138">
        <f t="shared" ref="P22:P27" si="3">P21+N22-O22</f>
        <v>0.25</v>
      </c>
      <c r="Q22" s="28"/>
      <c r="R22" s="130"/>
      <c r="S22" s="132">
        <v>45017</v>
      </c>
      <c r="T22" s="125">
        <v>6</v>
      </c>
      <c r="U22" s="133" t="s">
        <v>492</v>
      </c>
      <c r="V22" s="133">
        <v>684</v>
      </c>
      <c r="W22" s="133"/>
      <c r="X22" s="128">
        <f t="shared" si="2"/>
        <v>684</v>
      </c>
      <c r="Y22" s="129">
        <v>808</v>
      </c>
    </row>
    <row r="23" s="24" customFormat="1" spans="1:27">
      <c r="A23" s="132">
        <v>45000</v>
      </c>
      <c r="B23" s="125">
        <v>60</v>
      </c>
      <c r="C23" s="126" t="s">
        <v>492</v>
      </c>
      <c r="D23" s="126">
        <v>1760</v>
      </c>
      <c r="E23" s="127">
        <f>D23*97%</f>
        <v>1707.2</v>
      </c>
      <c r="F23" s="128"/>
      <c r="G23" s="128">
        <f t="shared" si="0"/>
        <v>10632.8</v>
      </c>
      <c r="H23" s="129">
        <v>2025</v>
      </c>
      <c r="I23" s="130"/>
      <c r="J23" s="155">
        <v>45238</v>
      </c>
      <c r="K23" s="156">
        <v>16</v>
      </c>
      <c r="L23" s="139" t="s">
        <v>503</v>
      </c>
      <c r="M23" s="163">
        <v>5040</v>
      </c>
      <c r="N23" s="158">
        <f>M23</f>
        <v>5040</v>
      </c>
      <c r="O23" s="128"/>
      <c r="P23" s="134">
        <f t="shared" si="3"/>
        <v>5040.25</v>
      </c>
      <c r="Q23" s="28"/>
      <c r="R23" s="130"/>
      <c r="S23" s="132">
        <v>45019</v>
      </c>
      <c r="T23" s="125">
        <v>10</v>
      </c>
      <c r="U23" s="133" t="s">
        <v>492</v>
      </c>
      <c r="V23" s="133">
        <v>1562</v>
      </c>
      <c r="W23" s="133"/>
      <c r="X23" s="128">
        <f t="shared" si="2"/>
        <v>2246</v>
      </c>
      <c r="Y23" s="129">
        <v>1902</v>
      </c>
    </row>
    <row r="24" s="24" customFormat="1" spans="1:27">
      <c r="A24" s="132">
        <v>45002</v>
      </c>
      <c r="B24" s="125">
        <v>72</v>
      </c>
      <c r="C24" s="126" t="s">
        <v>492</v>
      </c>
      <c r="D24" s="126">
        <v>800</v>
      </c>
      <c r="E24" s="127">
        <f>D24*97%</f>
        <v>776</v>
      </c>
      <c r="F24" s="133"/>
      <c r="G24" s="128">
        <f t="shared" si="0"/>
        <v>11408.8</v>
      </c>
      <c r="H24" s="129">
        <v>900</v>
      </c>
      <c r="I24" s="130"/>
      <c r="J24" s="155">
        <v>45238</v>
      </c>
      <c r="K24" s="156">
        <v>16</v>
      </c>
      <c r="L24" s="133" t="s">
        <v>492</v>
      </c>
      <c r="M24" s="157">
        <v>4712.5</v>
      </c>
      <c r="N24" s="126">
        <f>M24*97%</f>
        <v>4571.125</v>
      </c>
      <c r="O24" s="128"/>
      <c r="P24" s="134">
        <f t="shared" si="3"/>
        <v>9611.375</v>
      </c>
      <c r="Q24" s="28">
        <v>11352.5</v>
      </c>
      <c r="R24" s="130"/>
      <c r="S24" s="155">
        <v>45020</v>
      </c>
      <c r="T24" s="125">
        <v>15</v>
      </c>
      <c r="U24" s="133" t="s">
        <v>492</v>
      </c>
      <c r="V24" s="126">
        <v>1415</v>
      </c>
      <c r="W24" s="133"/>
      <c r="X24" s="128">
        <f t="shared" si="2"/>
        <v>3661</v>
      </c>
      <c r="Y24" s="129">
        <v>1890</v>
      </c>
    </row>
    <row r="25" s="24" customFormat="1" spans="1:27">
      <c r="A25" s="132">
        <v>45002</v>
      </c>
      <c r="B25" s="125">
        <v>73</v>
      </c>
      <c r="C25" s="154" t="s">
        <v>579</v>
      </c>
      <c r="D25" s="140">
        <v>1350</v>
      </c>
      <c r="E25" s="141">
        <v>1350</v>
      </c>
      <c r="F25" s="133"/>
      <c r="G25" s="128">
        <f t="shared" si="0"/>
        <v>12758.8</v>
      </c>
      <c r="H25" s="129"/>
      <c r="I25" s="130"/>
      <c r="J25" s="155">
        <v>45262</v>
      </c>
      <c r="K25" s="156">
        <v>1</v>
      </c>
      <c r="L25" s="139" t="s">
        <v>503</v>
      </c>
      <c r="M25" s="163">
        <v>4770</v>
      </c>
      <c r="N25" s="158">
        <f>M25</f>
        <v>4770</v>
      </c>
      <c r="O25" s="128"/>
      <c r="P25" s="134">
        <f t="shared" si="3"/>
        <v>14381.375</v>
      </c>
      <c r="Q25" s="28"/>
      <c r="R25" s="130"/>
      <c r="S25" s="135">
        <v>45051</v>
      </c>
      <c r="T25" s="137"/>
      <c r="U25" s="136" t="s">
        <v>571</v>
      </c>
      <c r="V25" s="133"/>
      <c r="W25" s="144">
        <v>3661</v>
      </c>
      <c r="X25" s="128">
        <f t="shared" si="2"/>
        <v>0</v>
      </c>
      <c r="Y25" s="129"/>
    </row>
    <row r="26" s="24" customFormat="1" spans="1:27">
      <c r="A26" s="132">
        <v>45002</v>
      </c>
      <c r="B26" s="125">
        <v>73</v>
      </c>
      <c r="C26" s="126" t="s">
        <v>492</v>
      </c>
      <c r="D26" s="126">
        <v>4438</v>
      </c>
      <c r="E26" s="127">
        <f>D26*97%</f>
        <v>4304.86</v>
      </c>
      <c r="F26" s="128"/>
      <c r="G26" s="128">
        <f t="shared" si="0"/>
        <v>17063.66</v>
      </c>
      <c r="H26" s="129">
        <v>6193</v>
      </c>
      <c r="I26" s="130"/>
      <c r="J26" s="155">
        <v>45262</v>
      </c>
      <c r="K26" s="156">
        <v>1</v>
      </c>
      <c r="L26" s="133" t="s">
        <v>492</v>
      </c>
      <c r="M26" s="157">
        <v>5187.5</v>
      </c>
      <c r="N26" s="126">
        <f>M26*97%</f>
        <v>5031.875</v>
      </c>
      <c r="O26" s="128"/>
      <c r="P26" s="134">
        <f t="shared" si="3"/>
        <v>19413.25</v>
      </c>
      <c r="Q26" s="28">
        <v>11877.5</v>
      </c>
      <c r="R26" s="130"/>
      <c r="S26" s="164">
        <v>45266</v>
      </c>
      <c r="T26" s="165">
        <v>19</v>
      </c>
      <c r="U26" s="166" t="s">
        <v>492</v>
      </c>
      <c r="V26" s="167">
        <v>6020</v>
      </c>
      <c r="W26" s="166"/>
      <c r="X26" s="168">
        <f t="shared" si="2"/>
        <v>6020</v>
      </c>
      <c r="Y26" s="28">
        <v>6735</v>
      </c>
      <c r="Z26" s="169" t="s">
        <v>493</v>
      </c>
    </row>
    <row r="27" s="24" customFormat="1" spans="1:27">
      <c r="A27" s="132">
        <v>45013</v>
      </c>
      <c r="B27" s="125">
        <v>116</v>
      </c>
      <c r="C27" s="154" t="s">
        <v>579</v>
      </c>
      <c r="D27" s="140">
        <v>3060</v>
      </c>
      <c r="E27" s="141">
        <v>3060</v>
      </c>
      <c r="F27" s="128"/>
      <c r="G27" s="128">
        <f t="shared" si="0"/>
        <v>20123.66</v>
      </c>
      <c r="H27" s="129"/>
      <c r="I27" s="130"/>
      <c r="J27" s="155">
        <v>45278</v>
      </c>
      <c r="K27" s="156">
        <v>51</v>
      </c>
      <c r="L27" s="133" t="s">
        <v>492</v>
      </c>
      <c r="M27" s="157">
        <v>70</v>
      </c>
      <c r="N27" s="140">
        <f>M27</f>
        <v>70</v>
      </c>
      <c r="O27" s="128"/>
      <c r="P27" s="134">
        <f t="shared" si="3"/>
        <v>19483.25</v>
      </c>
      <c r="Q27" s="28"/>
      <c r="R27" s="130"/>
      <c r="S27" s="164">
        <v>45268</v>
      </c>
      <c r="T27" s="165">
        <v>25</v>
      </c>
      <c r="U27" s="166" t="s">
        <v>492</v>
      </c>
      <c r="V27" s="167">
        <v>1188</v>
      </c>
      <c r="W27" s="166"/>
      <c r="X27" s="168">
        <f t="shared" si="2"/>
        <v>7208</v>
      </c>
      <c r="Y27" s="28">
        <v>1320</v>
      </c>
      <c r="Z27" s="169" t="s">
        <v>493</v>
      </c>
    </row>
    <row r="28" s="24" customFormat="1" spans="1:27">
      <c r="A28" s="132">
        <v>45013</v>
      </c>
      <c r="B28" s="125">
        <v>116</v>
      </c>
      <c r="C28" s="126" t="s">
        <v>492</v>
      </c>
      <c r="D28" s="126">
        <v>1478</v>
      </c>
      <c r="E28" s="127">
        <f>D28*97%</f>
        <v>1433.66</v>
      </c>
      <c r="F28" s="128"/>
      <c r="G28" s="128">
        <f t="shared" si="0"/>
        <v>21557.32</v>
      </c>
      <c r="H28" s="129">
        <v>4774</v>
      </c>
      <c r="I28" s="170" t="s">
        <v>588</v>
      </c>
      <c r="J28" s="135" t="s">
        <v>589</v>
      </c>
      <c r="K28" s="137"/>
      <c r="L28" s="136" t="s">
        <v>571</v>
      </c>
      <c r="M28" s="136"/>
      <c r="N28" s="148"/>
      <c r="O28" s="144">
        <v>15000</v>
      </c>
      <c r="P28" s="134">
        <f t="shared" ref="P23:P31" si="4">P27+N28-O28</f>
        <v>4483.25</v>
      </c>
      <c r="Q28" s="129"/>
      <c r="R28" s="130"/>
      <c r="S28" s="164">
        <v>45274</v>
      </c>
      <c r="T28" s="165">
        <v>43</v>
      </c>
      <c r="U28" s="166" t="s">
        <v>492</v>
      </c>
      <c r="V28" s="167">
        <v>2480</v>
      </c>
      <c r="W28" s="166"/>
      <c r="X28" s="168">
        <f t="shared" si="2"/>
        <v>9688</v>
      </c>
      <c r="Y28" s="28">
        <v>2850</v>
      </c>
      <c r="Z28" s="169" t="s">
        <v>493</v>
      </c>
    </row>
    <row r="29" spans="1:27">
      <c r="A29" s="132">
        <v>45014</v>
      </c>
      <c r="B29" s="125">
        <v>121</v>
      </c>
      <c r="C29" s="126" t="s">
        <v>492</v>
      </c>
      <c r="D29" s="126">
        <v>1180</v>
      </c>
      <c r="E29" s="127">
        <f>D29*97%</f>
        <v>1144.6</v>
      </c>
      <c r="F29" s="128"/>
      <c r="G29" s="128">
        <f t="shared" si="0"/>
        <v>22701.92</v>
      </c>
      <c r="H29" s="129">
        <v>1350</v>
      </c>
      <c r="I29" s="130"/>
      <c r="J29" s="132"/>
      <c r="K29" s="125"/>
      <c r="L29" s="133"/>
      <c r="M29" s="133"/>
      <c r="N29" s="126"/>
      <c r="O29" s="128"/>
      <c r="P29" s="134">
        <f t="shared" si="4"/>
        <v>4483.25</v>
      </c>
      <c r="Q29" s="129"/>
      <c r="R29" s="130"/>
      <c r="S29" s="164">
        <v>45275</v>
      </c>
      <c r="T29" s="165">
        <v>46</v>
      </c>
      <c r="U29" s="166" t="s">
        <v>492</v>
      </c>
      <c r="V29" s="167">
        <v>1764</v>
      </c>
      <c r="W29" s="166"/>
      <c r="X29" s="168">
        <f t="shared" si="2"/>
        <v>11452</v>
      </c>
      <c r="Y29" s="28">
        <v>1960</v>
      </c>
      <c r="Z29" s="169" t="s">
        <v>493</v>
      </c>
      <c r="AA29" s="24"/>
    </row>
    <row r="30" spans="1:27">
      <c r="A30" s="132">
        <v>45015</v>
      </c>
      <c r="B30" s="125">
        <v>123</v>
      </c>
      <c r="C30" s="126" t="s">
        <v>492</v>
      </c>
      <c r="D30" s="126">
        <v>652</v>
      </c>
      <c r="E30" s="127">
        <f>D30*97%</f>
        <v>632.44</v>
      </c>
      <c r="F30" s="128"/>
      <c r="G30" s="128">
        <f t="shared" si="0"/>
        <v>23334.36</v>
      </c>
      <c r="H30" s="129">
        <v>706</v>
      </c>
      <c r="I30" s="145">
        <f>SUM(H20:H30)</f>
        <v>26229</v>
      </c>
      <c r="J30" s="132"/>
      <c r="K30" s="125"/>
      <c r="L30" s="133"/>
      <c r="M30" s="133"/>
      <c r="N30" s="126"/>
      <c r="O30" s="128"/>
      <c r="P30" s="134">
        <f t="shared" si="4"/>
        <v>4483.25</v>
      </c>
      <c r="Q30" s="129"/>
      <c r="R30" s="130"/>
      <c r="S30" s="164">
        <v>45279</v>
      </c>
      <c r="T30" s="165">
        <v>54</v>
      </c>
      <c r="U30" s="166" t="s">
        <v>492</v>
      </c>
      <c r="V30" s="167">
        <v>1725</v>
      </c>
      <c r="W30" s="168"/>
      <c r="X30" s="168">
        <f t="shared" si="2"/>
        <v>13177</v>
      </c>
      <c r="Y30" s="28">
        <v>1977</v>
      </c>
      <c r="Z30" s="169" t="s">
        <v>493</v>
      </c>
      <c r="AA30" s="24"/>
    </row>
    <row r="31" spans="1:27">
      <c r="A31" s="135">
        <v>45068</v>
      </c>
      <c r="B31" s="125"/>
      <c r="C31" s="148" t="s">
        <v>583</v>
      </c>
      <c r="D31" s="126"/>
      <c r="E31" s="127"/>
      <c r="F31" s="144">
        <v>24842</v>
      </c>
      <c r="G31" s="128">
        <f t="shared" si="0"/>
        <v>-1507.64</v>
      </c>
      <c r="H31" s="129"/>
      <c r="I31" s="130">
        <f>SUM(D20:D30)</f>
        <v>23877</v>
      </c>
      <c r="J31" s="171"/>
      <c r="K31" s="125"/>
      <c r="L31" s="133"/>
      <c r="M31" s="133"/>
      <c r="N31" s="126"/>
      <c r="O31" s="128"/>
      <c r="P31" s="134">
        <f t="shared" si="4"/>
        <v>4483.25</v>
      </c>
      <c r="Q31" s="129"/>
      <c r="R31" s="130"/>
      <c r="S31" s="164">
        <v>45283</v>
      </c>
      <c r="T31" s="165">
        <v>74</v>
      </c>
      <c r="U31" s="166" t="s">
        <v>492</v>
      </c>
      <c r="V31" s="167">
        <v>1290</v>
      </c>
      <c r="W31" s="168"/>
      <c r="X31" s="168">
        <f t="shared" si="2"/>
        <v>14467</v>
      </c>
      <c r="Y31" s="28">
        <v>1380</v>
      </c>
      <c r="Z31" s="169" t="s">
        <v>493</v>
      </c>
      <c r="AA31" s="24"/>
    </row>
    <row r="32" spans="1:27">
      <c r="A32" s="135">
        <v>45068</v>
      </c>
      <c r="B32" s="125"/>
      <c r="C32" s="148" t="s">
        <v>526</v>
      </c>
      <c r="D32" s="126"/>
      <c r="E32" s="127"/>
      <c r="F32" s="144">
        <v>-1507.6</v>
      </c>
      <c r="G32" s="128">
        <f t="shared" si="0"/>
        <v>-0.0400000000031469</v>
      </c>
      <c r="H32" s="129"/>
      <c r="I32" s="130"/>
      <c r="J32" s="155"/>
      <c r="K32" s="125"/>
      <c r="L32" s="133"/>
      <c r="M32" s="133"/>
      <c r="N32" s="126"/>
      <c r="O32" s="133"/>
      <c r="P32" s="128"/>
      <c r="Q32" s="129"/>
      <c r="R32" s="130"/>
      <c r="S32" s="164">
        <v>45657</v>
      </c>
      <c r="T32" s="165">
        <v>86</v>
      </c>
      <c r="U32" s="166" t="s">
        <v>492</v>
      </c>
      <c r="V32" s="167">
        <v>5726</v>
      </c>
      <c r="W32" s="168"/>
      <c r="X32" s="168">
        <f t="shared" si="2"/>
        <v>20193</v>
      </c>
      <c r="Y32" s="28">
        <v>6510</v>
      </c>
      <c r="Z32" s="169" t="s">
        <v>493</v>
      </c>
      <c r="AA32" s="24"/>
    </row>
    <row r="33" spans="1:27">
      <c r="A33" s="132">
        <v>45019</v>
      </c>
      <c r="B33" s="125">
        <v>7</v>
      </c>
      <c r="C33" s="126" t="s">
        <v>492</v>
      </c>
      <c r="D33" s="126">
        <v>4438</v>
      </c>
      <c r="E33" s="127">
        <f>D33*97%</f>
        <v>4304.86</v>
      </c>
      <c r="F33" s="133"/>
      <c r="G33" s="128">
        <f t="shared" si="0"/>
        <v>4304.82</v>
      </c>
      <c r="H33" s="26">
        <v>4753</v>
      </c>
      <c r="I33" s="130"/>
      <c r="J33" s="155"/>
      <c r="K33" s="125"/>
      <c r="L33" s="133"/>
      <c r="M33" s="133"/>
      <c r="N33" s="126"/>
      <c r="O33" s="133"/>
      <c r="P33" s="128"/>
      <c r="R33" s="130"/>
      <c r="S33" s="160" t="s">
        <v>590</v>
      </c>
      <c r="T33" s="161"/>
      <c r="U33" s="136" t="s">
        <v>571</v>
      </c>
      <c r="V33" s="162"/>
      <c r="W33" s="144">
        <v>20000</v>
      </c>
      <c r="X33" s="144">
        <f t="shared" si="2"/>
        <v>193</v>
      </c>
      <c r="Z33" s="169"/>
      <c r="AA33" s="24"/>
    </row>
    <row r="34" spans="1:27">
      <c r="A34" s="132">
        <v>45026</v>
      </c>
      <c r="B34" s="125">
        <v>33</v>
      </c>
      <c r="C34" s="154" t="s">
        <v>579</v>
      </c>
      <c r="D34" s="163">
        <v>1692</v>
      </c>
      <c r="E34" s="141">
        <f>D34</f>
        <v>1692</v>
      </c>
      <c r="F34" s="133"/>
      <c r="G34" s="128">
        <f t="shared" ref="G34:G48" si="5">G33+E34-F34</f>
        <v>5996.82</v>
      </c>
      <c r="I34" s="130"/>
      <c r="J34" s="155"/>
      <c r="K34" s="125"/>
      <c r="L34" s="133"/>
      <c r="M34" s="133"/>
      <c r="N34" s="126"/>
      <c r="O34" s="128"/>
      <c r="P34" s="128"/>
      <c r="R34" s="130"/>
      <c r="S34" s="164">
        <v>45294</v>
      </c>
      <c r="T34" s="165">
        <v>7</v>
      </c>
      <c r="U34" s="166" t="s">
        <v>492</v>
      </c>
      <c r="V34" s="167">
        <v>4518</v>
      </c>
      <c r="W34" s="168"/>
      <c r="X34" s="168">
        <f t="shared" si="2"/>
        <v>4711</v>
      </c>
      <c r="Y34" s="28">
        <v>5020</v>
      </c>
      <c r="Z34" s="169" t="s">
        <v>493</v>
      </c>
      <c r="AA34" s="24"/>
    </row>
    <row r="35" spans="1:27">
      <c r="A35" s="132">
        <v>45026</v>
      </c>
      <c r="B35" s="125">
        <v>33</v>
      </c>
      <c r="C35" s="126" t="s">
        <v>492</v>
      </c>
      <c r="D35" s="157">
        <v>675</v>
      </c>
      <c r="E35" s="127">
        <f>D35*97%</f>
        <v>654.75</v>
      </c>
      <c r="F35" s="128"/>
      <c r="G35" s="128">
        <f t="shared" si="5"/>
        <v>6651.57</v>
      </c>
      <c r="H35" s="26">
        <v>2575</v>
      </c>
      <c r="I35" s="130"/>
      <c r="J35" s="172" t="s">
        <v>591</v>
      </c>
      <c r="K35" s="156"/>
      <c r="L35" s="126"/>
      <c r="M35" s="125"/>
      <c r="N35" s="128"/>
      <c r="O35" s="128"/>
      <c r="P35" s="128"/>
      <c r="R35" s="130"/>
      <c r="S35" s="164">
        <v>45298</v>
      </c>
      <c r="T35" s="165">
        <v>14</v>
      </c>
      <c r="U35" s="166" t="s">
        <v>492</v>
      </c>
      <c r="V35" s="167">
        <v>1350</v>
      </c>
      <c r="W35" s="128"/>
      <c r="X35" s="168">
        <f t="shared" ref="X35:X40" si="6">X34+V35-W35</f>
        <v>6061</v>
      </c>
      <c r="Y35" s="28">
        <v>1500</v>
      </c>
      <c r="Z35" s="169" t="s">
        <v>493</v>
      </c>
      <c r="AA35" s="24"/>
    </row>
    <row r="36" spans="1:27">
      <c r="A36" s="132">
        <v>45029</v>
      </c>
      <c r="B36" s="125">
        <v>42</v>
      </c>
      <c r="C36" s="126" t="s">
        <v>492</v>
      </c>
      <c r="D36" s="157">
        <v>9437</v>
      </c>
      <c r="E36" s="127">
        <f t="shared" ref="E36:E42" si="7">D36*97%</f>
        <v>9153.89</v>
      </c>
      <c r="F36" s="128"/>
      <c r="G36" s="128">
        <f t="shared" si="5"/>
        <v>15805.46</v>
      </c>
      <c r="H36" s="26">
        <v>10653</v>
      </c>
      <c r="I36" s="130"/>
      <c r="J36" s="172">
        <v>45245</v>
      </c>
      <c r="K36" s="156">
        <v>32</v>
      </c>
      <c r="L36" s="140" t="s">
        <v>503</v>
      </c>
      <c r="M36" s="163">
        <v>171</v>
      </c>
      <c r="N36" s="140">
        <f>M36</f>
        <v>171</v>
      </c>
      <c r="O36" s="158"/>
      <c r="P36" s="134">
        <f>P35+N36-O36</f>
        <v>171</v>
      </c>
      <c r="R36" s="130"/>
      <c r="S36" s="164">
        <v>45300</v>
      </c>
      <c r="T36" s="165">
        <v>15</v>
      </c>
      <c r="U36" s="166" t="s">
        <v>492</v>
      </c>
      <c r="V36" s="167">
        <v>2068</v>
      </c>
      <c r="W36" s="128"/>
      <c r="X36" s="168">
        <f t="shared" si="6"/>
        <v>8129</v>
      </c>
      <c r="Y36" s="28">
        <v>2320</v>
      </c>
      <c r="Z36" s="169" t="s">
        <v>493</v>
      </c>
      <c r="AA36" s="24"/>
    </row>
    <row r="37" spans="1:27">
      <c r="A37" s="132">
        <v>45033</v>
      </c>
      <c r="B37" s="125">
        <v>54</v>
      </c>
      <c r="C37" s="154" t="s">
        <v>579</v>
      </c>
      <c r="D37" s="163">
        <v>1710</v>
      </c>
      <c r="E37" s="141">
        <v>1710</v>
      </c>
      <c r="F37" s="128"/>
      <c r="G37" s="128">
        <f t="shared" si="5"/>
        <v>17515.46</v>
      </c>
      <c r="I37" s="130"/>
      <c r="J37" s="172">
        <v>45245</v>
      </c>
      <c r="K37" s="156">
        <v>32</v>
      </c>
      <c r="L37" s="126" t="s">
        <v>492</v>
      </c>
      <c r="M37" s="157">
        <v>665</v>
      </c>
      <c r="N37" s="126">
        <f>M37*97%</f>
        <v>645.05</v>
      </c>
      <c r="O37" s="128"/>
      <c r="P37" s="134">
        <f>P36+N37-O37</f>
        <v>816.05</v>
      </c>
      <c r="R37" s="130"/>
      <c r="S37" s="164">
        <v>45306</v>
      </c>
      <c r="T37" s="165">
        <v>35</v>
      </c>
      <c r="U37" s="166" t="s">
        <v>492</v>
      </c>
      <c r="V37" s="167">
        <v>378</v>
      </c>
      <c r="W37" s="128"/>
      <c r="X37" s="168">
        <f t="shared" si="6"/>
        <v>8507</v>
      </c>
      <c r="Y37" s="28">
        <v>420</v>
      </c>
      <c r="Z37" s="169" t="s">
        <v>493</v>
      </c>
      <c r="AA37" s="24"/>
    </row>
    <row r="38" spans="1:27">
      <c r="A38" s="132">
        <v>45033</v>
      </c>
      <c r="B38" s="125">
        <v>54</v>
      </c>
      <c r="C38" s="157" t="s">
        <v>492</v>
      </c>
      <c r="D38" s="157">
        <v>1770</v>
      </c>
      <c r="E38" s="127">
        <f t="shared" si="7"/>
        <v>1716.9</v>
      </c>
      <c r="F38" s="133"/>
      <c r="G38" s="128">
        <f t="shared" si="5"/>
        <v>19232.36</v>
      </c>
      <c r="H38" s="26">
        <v>3825</v>
      </c>
      <c r="I38" s="130"/>
      <c r="J38" s="172">
        <v>45245</v>
      </c>
      <c r="K38" s="156">
        <v>33</v>
      </c>
      <c r="L38" s="126" t="s">
        <v>492</v>
      </c>
      <c r="M38" s="157">
        <v>156</v>
      </c>
      <c r="N38" s="126">
        <f>M38*97%</f>
        <v>151.32</v>
      </c>
      <c r="O38" s="128"/>
      <c r="P38" s="134">
        <f>P37+N38-O38</f>
        <v>967.37</v>
      </c>
      <c r="R38" s="130"/>
      <c r="S38" s="164">
        <v>45311</v>
      </c>
      <c r="T38" s="165">
        <v>75</v>
      </c>
      <c r="U38" s="166" t="s">
        <v>492</v>
      </c>
      <c r="V38" s="167">
        <v>3096</v>
      </c>
      <c r="W38" s="128"/>
      <c r="X38" s="168">
        <f t="shared" si="6"/>
        <v>11603</v>
      </c>
      <c r="Y38" s="28">
        <v>3440</v>
      </c>
      <c r="Z38" s="169" t="s">
        <v>493</v>
      </c>
      <c r="AA38" s="24"/>
    </row>
    <row r="39" spans="1:27">
      <c r="A39" s="132">
        <v>45034</v>
      </c>
      <c r="B39" s="125">
        <v>63</v>
      </c>
      <c r="C39" s="157" t="s">
        <v>492</v>
      </c>
      <c r="D39" s="157">
        <v>386</v>
      </c>
      <c r="E39" s="127">
        <f t="shared" si="7"/>
        <v>374.42</v>
      </c>
      <c r="F39" s="128"/>
      <c r="G39" s="128">
        <f t="shared" si="5"/>
        <v>19606.78</v>
      </c>
      <c r="H39" s="26">
        <v>478</v>
      </c>
      <c r="I39" s="130"/>
      <c r="J39" s="172">
        <v>45248</v>
      </c>
      <c r="K39" s="156">
        <v>42</v>
      </c>
      <c r="L39" s="140" t="s">
        <v>503</v>
      </c>
      <c r="M39" s="163">
        <v>297</v>
      </c>
      <c r="N39" s="158">
        <f>M39</f>
        <v>297</v>
      </c>
      <c r="O39" s="128"/>
      <c r="P39" s="134">
        <f>P38+N39-O39</f>
        <v>1264.37</v>
      </c>
      <c r="R39" s="130"/>
      <c r="S39" s="164">
        <v>45315</v>
      </c>
      <c r="T39" s="165">
        <v>96</v>
      </c>
      <c r="U39" s="166" t="s">
        <v>492</v>
      </c>
      <c r="V39" s="167">
        <v>645</v>
      </c>
      <c r="W39" s="128"/>
      <c r="X39" s="168">
        <f t="shared" si="6"/>
        <v>12248</v>
      </c>
      <c r="Y39" s="28">
        <v>750</v>
      </c>
      <c r="Z39" s="169" t="s">
        <v>493</v>
      </c>
      <c r="AA39" s="24"/>
    </row>
    <row r="40" spans="1:27">
      <c r="A40" s="132">
        <v>45037</v>
      </c>
      <c r="B40" s="125">
        <v>69</v>
      </c>
      <c r="C40" s="157" t="s">
        <v>492</v>
      </c>
      <c r="D40" s="157">
        <v>520</v>
      </c>
      <c r="E40" s="127">
        <f t="shared" si="7"/>
        <v>504.4</v>
      </c>
      <c r="F40" s="128"/>
      <c r="G40" s="128">
        <f t="shared" si="5"/>
        <v>20111.18</v>
      </c>
      <c r="H40" s="26">
        <v>585</v>
      </c>
      <c r="I40" s="130"/>
      <c r="J40" s="172">
        <v>45248</v>
      </c>
      <c r="K40" s="156">
        <v>42</v>
      </c>
      <c r="L40" s="126" t="s">
        <v>492</v>
      </c>
      <c r="M40" s="157">
        <v>1445.6</v>
      </c>
      <c r="N40" s="126">
        <f>M40*97%</f>
        <v>1402.232</v>
      </c>
      <c r="O40" s="128"/>
      <c r="P40" s="134">
        <f>P39+N40-O40</f>
        <v>2666.602</v>
      </c>
      <c r="R40" s="130"/>
      <c r="S40" s="135"/>
      <c r="T40" s="137"/>
      <c r="U40" s="135" t="s">
        <v>592</v>
      </c>
      <c r="V40" s="133"/>
      <c r="W40" s="144"/>
      <c r="X40" s="168">
        <f t="shared" si="6"/>
        <v>12248</v>
      </c>
      <c r="Y40" s="129"/>
      <c r="Z40" s="24">
        <f>SUM(Y34:Y39)</f>
        <v>13450</v>
      </c>
      <c r="AA40" s="24"/>
    </row>
    <row r="41" spans="1:27">
      <c r="A41" s="132">
        <v>45040</v>
      </c>
      <c r="B41" s="125">
        <v>81</v>
      </c>
      <c r="C41" s="154" t="s">
        <v>579</v>
      </c>
      <c r="D41" s="139">
        <v>1350</v>
      </c>
      <c r="E41" s="141">
        <f>D41</f>
        <v>1350</v>
      </c>
      <c r="F41" s="128"/>
      <c r="G41" s="128">
        <f t="shared" si="5"/>
        <v>21461.18</v>
      </c>
      <c r="I41" s="130"/>
      <c r="J41" s="155"/>
      <c r="K41" s="133"/>
      <c r="L41" s="136" t="s">
        <v>593</v>
      </c>
      <c r="M41" s="133"/>
      <c r="N41" s="128"/>
      <c r="O41" s="128"/>
      <c r="P41" s="128"/>
      <c r="R41" s="130"/>
      <c r="S41" s="135"/>
      <c r="T41" s="137"/>
      <c r="U41" s="136"/>
      <c r="V41" s="133"/>
      <c r="W41" s="144"/>
      <c r="X41" s="128"/>
      <c r="Y41" s="129"/>
      <c r="Z41" s="24"/>
      <c r="AA41" s="24"/>
    </row>
    <row r="42" spans="1:27">
      <c r="A42" s="132">
        <v>45040</v>
      </c>
      <c r="B42" s="125">
        <v>81</v>
      </c>
      <c r="C42" s="133" t="s">
        <v>492</v>
      </c>
      <c r="D42" s="133">
        <v>1344</v>
      </c>
      <c r="E42" s="127">
        <f t="shared" si="7"/>
        <v>1303.68</v>
      </c>
      <c r="F42" s="128"/>
      <c r="G42" s="128">
        <f t="shared" si="5"/>
        <v>22764.86</v>
      </c>
      <c r="H42" s="26">
        <v>2910</v>
      </c>
      <c r="I42" s="130"/>
      <c r="J42" s="155"/>
      <c r="K42" s="133"/>
      <c r="L42" s="133"/>
      <c r="M42" s="133"/>
      <c r="N42" s="125"/>
      <c r="O42" s="128"/>
      <c r="P42" s="128"/>
      <c r="R42" s="130"/>
      <c r="S42" s="135"/>
      <c r="T42" s="137"/>
      <c r="U42" s="136"/>
      <c r="V42" s="133"/>
      <c r="W42" s="144"/>
      <c r="X42" s="128"/>
      <c r="Y42" s="129"/>
      <c r="Z42" s="24"/>
    </row>
    <row r="43" spans="1:27">
      <c r="A43" s="173" t="s">
        <v>594</v>
      </c>
      <c r="B43" s="174"/>
      <c r="C43" s="139" t="s">
        <v>595</v>
      </c>
      <c r="D43" s="139">
        <v>-180</v>
      </c>
      <c r="E43" s="141">
        <v>-180</v>
      </c>
      <c r="F43" s="128"/>
      <c r="G43" s="128">
        <f t="shared" si="5"/>
        <v>22584.86</v>
      </c>
      <c r="I43" s="130">
        <f>SUM(H33:H42)</f>
        <v>25779</v>
      </c>
      <c r="J43" s="155"/>
      <c r="K43" s="133"/>
      <c r="L43" s="133"/>
      <c r="M43" s="133"/>
      <c r="N43" s="125"/>
      <c r="O43" s="133"/>
      <c r="P43" s="128"/>
      <c r="R43" s="130"/>
      <c r="S43" s="135"/>
      <c r="T43" s="137"/>
      <c r="U43" s="136"/>
      <c r="V43" s="133"/>
      <c r="W43" s="144"/>
      <c r="X43" s="128"/>
      <c r="Y43" s="129"/>
      <c r="Z43" t="s">
        <v>95</v>
      </c>
    </row>
    <row r="44" spans="1:27">
      <c r="A44" s="175" t="s">
        <v>594</v>
      </c>
      <c r="B44" s="165"/>
      <c r="C44" s="176" t="s">
        <v>596</v>
      </c>
      <c r="D44" s="177">
        <v>-125</v>
      </c>
      <c r="E44" s="178">
        <f>D44*97%</f>
        <v>-121.25</v>
      </c>
      <c r="F44" s="128"/>
      <c r="G44" s="128">
        <f t="shared" si="5"/>
        <v>22463.61</v>
      </c>
      <c r="I44" s="130" t="s">
        <v>597</v>
      </c>
      <c r="J44" s="155"/>
      <c r="K44" s="133"/>
      <c r="L44" s="133"/>
      <c r="M44" s="133"/>
      <c r="N44" s="125"/>
      <c r="O44" s="128"/>
      <c r="P44" s="128"/>
      <c r="R44" s="130"/>
      <c r="S44" s="132"/>
      <c r="T44" s="125"/>
      <c r="U44" s="133"/>
      <c r="V44" s="133"/>
      <c r="W44" s="128"/>
      <c r="X44" s="128">
        <f>X25+V44-W44</f>
        <v>0</v>
      </c>
      <c r="Y44" s="129"/>
    </row>
    <row r="45" spans="1:27">
      <c r="A45" s="179">
        <v>45104</v>
      </c>
      <c r="B45" s="161"/>
      <c r="C45" s="148" t="s">
        <v>583</v>
      </c>
      <c r="D45" s="180"/>
      <c r="E45" s="181"/>
      <c r="F45" s="144">
        <v>25528</v>
      </c>
      <c r="G45" s="144">
        <f t="shared" si="5"/>
        <v>-3064.39</v>
      </c>
      <c r="I45" s="130"/>
      <c r="J45" s="155"/>
      <c r="K45" s="133"/>
      <c r="L45" s="133"/>
      <c r="M45" s="133"/>
      <c r="N45" s="125"/>
      <c r="O45" s="128"/>
      <c r="P45" s="128"/>
      <c r="R45" s="130"/>
      <c r="S45" s="132"/>
      <c r="T45" s="125"/>
      <c r="U45" s="133"/>
      <c r="V45" s="133"/>
      <c r="W45" s="128"/>
      <c r="X45" s="128"/>
      <c r="Y45" s="129"/>
    </row>
    <row r="46" spans="1:27">
      <c r="A46" s="179">
        <v>45104</v>
      </c>
      <c r="B46" s="161"/>
      <c r="C46" s="148" t="s">
        <v>526</v>
      </c>
      <c r="D46" s="180"/>
      <c r="E46" s="181"/>
      <c r="F46" s="144">
        <v>-3064.4</v>
      </c>
      <c r="G46" s="144">
        <f t="shared" si="5"/>
        <v>0.00999999999703505</v>
      </c>
      <c r="I46" s="130"/>
      <c r="J46" s="155"/>
      <c r="K46" s="133"/>
      <c r="L46" s="133"/>
      <c r="M46" s="133"/>
      <c r="N46" s="125"/>
      <c r="O46" s="128"/>
      <c r="P46" s="128"/>
      <c r="R46" s="130"/>
      <c r="S46" s="182" t="s">
        <v>93</v>
      </c>
      <c r="T46" s="125"/>
      <c r="U46" s="133"/>
      <c r="V46" s="133"/>
      <c r="W46" s="128"/>
      <c r="X46" s="128"/>
      <c r="Y46" s="129"/>
    </row>
    <row r="47" spans="1:27">
      <c r="A47" s="132">
        <v>45054</v>
      </c>
      <c r="B47" s="125">
        <v>15</v>
      </c>
      <c r="C47" s="154" t="s">
        <v>579</v>
      </c>
      <c r="D47" s="139">
        <v>333</v>
      </c>
      <c r="E47" s="141">
        <v>333</v>
      </c>
      <c r="F47" s="128"/>
      <c r="G47" s="128">
        <f t="shared" si="5"/>
        <v>333.009999999997</v>
      </c>
      <c r="I47" s="130"/>
      <c r="J47" s="155"/>
      <c r="K47" s="133"/>
      <c r="L47" s="133"/>
      <c r="M47" s="133"/>
      <c r="N47" s="125"/>
      <c r="O47" s="133"/>
      <c r="P47" s="128"/>
      <c r="R47" s="130"/>
      <c r="S47" s="172">
        <v>45211</v>
      </c>
      <c r="T47" s="156">
        <v>26</v>
      </c>
      <c r="U47" s="140" t="s">
        <v>503</v>
      </c>
      <c r="V47" s="163">
        <v>351</v>
      </c>
      <c r="W47" s="128"/>
      <c r="X47" s="128">
        <f>V47-W47</f>
        <v>351</v>
      </c>
      <c r="Y47" s="129"/>
    </row>
    <row r="48" spans="1:27">
      <c r="A48" s="132">
        <v>45054</v>
      </c>
      <c r="B48" s="125">
        <v>15</v>
      </c>
      <c r="C48" s="133" t="s">
        <v>492</v>
      </c>
      <c r="D48" s="133">
        <v>21</v>
      </c>
      <c r="E48" s="127">
        <f>D48*97%</f>
        <v>20.37</v>
      </c>
      <c r="F48" s="133"/>
      <c r="G48" s="128">
        <f t="shared" si="5"/>
        <v>353.379999999997</v>
      </c>
      <c r="H48" s="26">
        <v>357</v>
      </c>
      <c r="I48" s="130"/>
      <c r="J48" s="155"/>
      <c r="K48" s="133"/>
      <c r="L48" s="133"/>
      <c r="M48" s="133"/>
      <c r="N48" s="133"/>
      <c r="O48" s="133"/>
      <c r="P48" s="128"/>
      <c r="R48" s="130"/>
      <c r="S48" s="172">
        <v>45211</v>
      </c>
      <c r="T48" s="156">
        <v>26</v>
      </c>
      <c r="U48" s="126" t="s">
        <v>492</v>
      </c>
      <c r="V48" s="157">
        <v>798</v>
      </c>
      <c r="W48" s="128"/>
      <c r="X48" s="128">
        <f t="shared" ref="X48:X53" si="8">X47+V48-W48</f>
        <v>1149</v>
      </c>
      <c r="Y48" s="129">
        <v>1260</v>
      </c>
    </row>
    <row r="49" spans="1:25">
      <c r="A49" s="132">
        <v>45054</v>
      </c>
      <c r="B49" s="125">
        <v>17</v>
      </c>
      <c r="C49" s="133" t="s">
        <v>492</v>
      </c>
      <c r="D49" s="133">
        <v>4438</v>
      </c>
      <c r="E49" s="127">
        <f>D49*97%</f>
        <v>4304.86</v>
      </c>
      <c r="F49" s="128"/>
      <c r="G49" s="128">
        <f t="shared" ref="G49:G59" si="9">G48+E49-F49</f>
        <v>4658.24</v>
      </c>
      <c r="H49" s="26">
        <v>4753</v>
      </c>
      <c r="I49" s="130"/>
      <c r="J49" s="155"/>
      <c r="K49" s="133"/>
      <c r="L49" s="133"/>
      <c r="M49" s="133"/>
      <c r="N49" s="133"/>
      <c r="O49" s="133"/>
      <c r="P49" s="128"/>
      <c r="R49" s="130"/>
      <c r="S49" s="172">
        <v>45224</v>
      </c>
      <c r="T49" s="156">
        <v>57</v>
      </c>
      <c r="U49" s="140" t="s">
        <v>503</v>
      </c>
      <c r="V49" s="163">
        <v>1080</v>
      </c>
      <c r="W49" s="133"/>
      <c r="X49" s="128">
        <f t="shared" si="8"/>
        <v>2229</v>
      </c>
    </row>
    <row r="50" spans="1:25">
      <c r="A50" s="132">
        <v>45062</v>
      </c>
      <c r="B50" s="125">
        <v>39</v>
      </c>
      <c r="C50" s="133" t="s">
        <v>492</v>
      </c>
      <c r="D50" s="133">
        <v>6270</v>
      </c>
      <c r="E50" s="127">
        <f>D50*97%</f>
        <v>6081.9</v>
      </c>
      <c r="F50" s="128"/>
      <c r="G50" s="128">
        <f t="shared" si="9"/>
        <v>10740.14</v>
      </c>
      <c r="H50" s="26">
        <v>7425</v>
      </c>
      <c r="I50" s="130"/>
      <c r="J50" s="155"/>
      <c r="K50" s="133"/>
      <c r="L50" s="133"/>
      <c r="M50" s="133"/>
      <c r="N50" s="125"/>
      <c r="O50" s="128"/>
      <c r="P50" s="128"/>
      <c r="R50" s="130"/>
      <c r="S50" s="172">
        <v>45224</v>
      </c>
      <c r="T50" s="156">
        <v>57</v>
      </c>
      <c r="U50" s="126" t="s">
        <v>492</v>
      </c>
      <c r="V50" s="157">
        <v>1330</v>
      </c>
      <c r="W50" s="133"/>
      <c r="X50" s="128">
        <f t="shared" si="8"/>
        <v>3559</v>
      </c>
      <c r="Y50" s="28">
        <v>2640</v>
      </c>
    </row>
    <row r="51" spans="1:25">
      <c r="A51" s="132">
        <v>45064</v>
      </c>
      <c r="B51" s="125">
        <v>51</v>
      </c>
      <c r="C51" s="139" t="s">
        <v>579</v>
      </c>
      <c r="D51" s="139">
        <v>3150</v>
      </c>
      <c r="E51" s="141">
        <f>D51</f>
        <v>3150</v>
      </c>
      <c r="F51" s="128"/>
      <c r="G51" s="128">
        <f t="shared" si="9"/>
        <v>13890.14</v>
      </c>
      <c r="H51" s="26">
        <v>3330</v>
      </c>
      <c r="I51" s="130"/>
      <c r="J51" s="155"/>
      <c r="K51" s="133"/>
      <c r="L51" s="133"/>
      <c r="M51" s="133"/>
      <c r="N51" s="125"/>
      <c r="O51" s="128"/>
      <c r="P51" s="128"/>
      <c r="R51" s="130"/>
      <c r="S51" s="172">
        <v>45233</v>
      </c>
      <c r="T51" s="161" t="s">
        <v>56</v>
      </c>
      <c r="U51" s="148" t="s">
        <v>598</v>
      </c>
      <c r="V51" s="157">
        <v>-798</v>
      </c>
      <c r="W51" s="127"/>
      <c r="X51" s="128">
        <f t="shared" si="8"/>
        <v>2761</v>
      </c>
      <c r="Y51" s="28">
        <v>-882</v>
      </c>
    </row>
    <row r="52" spans="1:25">
      <c r="A52" s="132">
        <v>45068</v>
      </c>
      <c r="B52" s="125">
        <v>62</v>
      </c>
      <c r="C52" s="133" t="s">
        <v>492</v>
      </c>
      <c r="D52" s="133">
        <v>2688</v>
      </c>
      <c r="E52" s="127">
        <f>D52*97%</f>
        <v>2607.36</v>
      </c>
      <c r="F52" s="133"/>
      <c r="G52" s="128">
        <f t="shared" si="9"/>
        <v>16497.5</v>
      </c>
      <c r="H52" s="26">
        <v>2940</v>
      </c>
      <c r="I52" s="130"/>
      <c r="J52" s="155"/>
      <c r="K52" s="133"/>
      <c r="L52" s="133"/>
      <c r="M52" s="133"/>
      <c r="N52" s="125"/>
      <c r="O52" s="128"/>
      <c r="P52" s="128"/>
      <c r="R52" s="130"/>
      <c r="S52" s="155"/>
      <c r="T52" s="133"/>
      <c r="U52" s="133" t="s">
        <v>599</v>
      </c>
      <c r="V52" s="133"/>
      <c r="W52" s="128">
        <v>2761</v>
      </c>
      <c r="X52" s="128">
        <f t="shared" si="8"/>
        <v>0</v>
      </c>
    </row>
    <row r="53" spans="1:25">
      <c r="A53" s="132">
        <v>45070</v>
      </c>
      <c r="B53" s="125">
        <v>68</v>
      </c>
      <c r="C53" s="133" t="s">
        <v>492</v>
      </c>
      <c r="D53" s="133">
        <v>788</v>
      </c>
      <c r="E53" s="127">
        <f>D53*97%</f>
        <v>764.36</v>
      </c>
      <c r="F53" s="133"/>
      <c r="G53" s="128">
        <f t="shared" si="9"/>
        <v>17261.86</v>
      </c>
      <c r="H53" s="26">
        <v>869</v>
      </c>
      <c r="I53" s="130"/>
      <c r="J53" s="155"/>
      <c r="K53" s="133"/>
      <c r="L53" s="133"/>
      <c r="M53" s="133"/>
      <c r="N53" s="125"/>
      <c r="O53" s="128"/>
      <c r="P53" s="128"/>
      <c r="R53" s="130"/>
      <c r="S53" s="155"/>
      <c r="T53" s="133"/>
      <c r="U53" s="133"/>
      <c r="V53" s="133"/>
      <c r="W53" s="128"/>
      <c r="X53" s="128">
        <f t="shared" si="8"/>
        <v>0</v>
      </c>
    </row>
    <row r="54" spans="1:25">
      <c r="A54" s="132">
        <v>45075</v>
      </c>
      <c r="B54" s="125">
        <v>81</v>
      </c>
      <c r="C54" s="133" t="s">
        <v>492</v>
      </c>
      <c r="D54" s="133">
        <v>4438</v>
      </c>
      <c r="E54" s="127">
        <f>D54*97%</f>
        <v>4304.86</v>
      </c>
      <c r="F54" s="133"/>
      <c r="G54" s="128">
        <f t="shared" si="9"/>
        <v>21566.72</v>
      </c>
      <c r="H54" s="26">
        <v>4753</v>
      </c>
      <c r="I54" s="130"/>
      <c r="J54" s="155"/>
      <c r="K54" s="133"/>
      <c r="L54" s="157"/>
      <c r="M54" s="156"/>
      <c r="N54" s="125"/>
      <c r="O54" s="128"/>
      <c r="P54" s="128"/>
      <c r="R54" s="130"/>
      <c r="S54" s="155"/>
      <c r="T54" s="133"/>
      <c r="U54" s="133"/>
      <c r="V54" s="133"/>
      <c r="W54" s="133"/>
      <c r="X54" s="128"/>
    </row>
    <row r="55" spans="1:25">
      <c r="A55" s="173" t="s">
        <v>600</v>
      </c>
      <c r="B55" s="174"/>
      <c r="C55" s="139" t="s">
        <v>595</v>
      </c>
      <c r="D55" s="139">
        <v>-180</v>
      </c>
      <c r="E55" s="141">
        <v>-180</v>
      </c>
      <c r="F55" s="133"/>
      <c r="G55" s="128">
        <f t="shared" si="9"/>
        <v>21386.72</v>
      </c>
      <c r="I55" s="130">
        <f>SUM(H48:H54)</f>
        <v>24427</v>
      </c>
      <c r="J55" s="155"/>
      <c r="K55" s="133"/>
      <c r="L55" s="157"/>
      <c r="M55" s="156"/>
      <c r="N55" s="125"/>
      <c r="O55" s="133"/>
      <c r="P55" s="128"/>
      <c r="R55" s="130"/>
      <c r="S55" s="172"/>
      <c r="T55" s="156"/>
      <c r="U55" s="126"/>
      <c r="V55" s="125"/>
      <c r="W55" s="128"/>
      <c r="X55" s="128"/>
    </row>
    <row r="56" spans="1:25">
      <c r="A56" s="175" t="s">
        <v>600</v>
      </c>
      <c r="B56" s="165"/>
      <c r="C56" s="176" t="s">
        <v>596</v>
      </c>
      <c r="D56" s="177">
        <v>-125</v>
      </c>
      <c r="E56" s="178">
        <f>D56*97%</f>
        <v>-121.25</v>
      </c>
      <c r="F56" s="133"/>
      <c r="G56" s="128">
        <f t="shared" si="9"/>
        <v>21265.47</v>
      </c>
      <c r="I56" s="130"/>
      <c r="J56" s="155"/>
      <c r="K56" s="133"/>
      <c r="L56" s="157"/>
      <c r="M56" s="156"/>
      <c r="N56" s="125"/>
      <c r="O56" s="128"/>
      <c r="P56" s="128"/>
      <c r="R56" s="130"/>
      <c r="S56" s="172"/>
      <c r="T56" s="156"/>
      <c r="U56" s="140"/>
      <c r="V56" s="163"/>
      <c r="W56" s="128"/>
      <c r="X56" s="128"/>
    </row>
    <row r="57" spans="1:25">
      <c r="A57" s="179">
        <v>45156</v>
      </c>
      <c r="B57" s="161"/>
      <c r="C57" s="148" t="s">
        <v>583</v>
      </c>
      <c r="D57" s="180"/>
      <c r="E57" s="181"/>
      <c r="F57" s="136">
        <v>24234</v>
      </c>
      <c r="G57" s="144">
        <f t="shared" si="9"/>
        <v>-2968.53</v>
      </c>
      <c r="I57" s="130"/>
      <c r="J57" s="155"/>
      <c r="K57" s="126"/>
      <c r="L57" s="157"/>
      <c r="M57" s="156"/>
      <c r="N57" s="125"/>
      <c r="O57" s="127"/>
      <c r="P57" s="128"/>
      <c r="R57" s="130"/>
      <c r="S57" s="172"/>
      <c r="T57" s="156"/>
      <c r="U57" s="126"/>
      <c r="V57" s="157"/>
      <c r="W57" s="128"/>
      <c r="X57" s="128"/>
    </row>
    <row r="58" spans="1:25">
      <c r="A58" s="179">
        <v>45156</v>
      </c>
      <c r="B58" s="161"/>
      <c r="C58" s="183" t="s">
        <v>601</v>
      </c>
      <c r="D58" s="180"/>
      <c r="E58" s="181"/>
      <c r="F58" s="136">
        <v>-2968.5</v>
      </c>
      <c r="G58" s="144">
        <f t="shared" si="9"/>
        <v>-0.0300000000024738</v>
      </c>
      <c r="I58" s="130"/>
      <c r="J58" s="155"/>
      <c r="K58" s="126"/>
      <c r="L58" s="157"/>
      <c r="M58" s="156"/>
      <c r="N58" s="125"/>
      <c r="O58" s="126"/>
      <c r="P58" s="128"/>
      <c r="R58" s="130"/>
      <c r="S58" s="172"/>
      <c r="T58" s="156"/>
      <c r="U58" s="126"/>
      <c r="V58" s="157"/>
      <c r="W58" s="128"/>
      <c r="X58" s="128"/>
    </row>
    <row r="59" spans="1:25">
      <c r="A59" s="132">
        <v>45078</v>
      </c>
      <c r="B59" s="125">
        <v>1</v>
      </c>
      <c r="C59" s="133" t="s">
        <v>492</v>
      </c>
      <c r="D59" s="133">
        <v>1349</v>
      </c>
      <c r="E59" s="127">
        <f>D59*97%</f>
        <v>1308.53</v>
      </c>
      <c r="F59" s="133"/>
      <c r="G59" s="128">
        <f t="shared" si="9"/>
        <v>1308.5</v>
      </c>
      <c r="H59" s="26">
        <v>1612</v>
      </c>
      <c r="I59" s="184" t="s">
        <v>602</v>
      </c>
      <c r="J59" s="155"/>
      <c r="K59" s="126"/>
      <c r="L59" s="157"/>
      <c r="M59" s="156"/>
      <c r="N59" s="125"/>
      <c r="O59" s="128"/>
      <c r="P59" s="128"/>
      <c r="R59" s="130"/>
      <c r="S59" s="172"/>
      <c r="T59" s="156"/>
      <c r="U59" s="140"/>
      <c r="V59" s="163"/>
      <c r="W59" s="128"/>
      <c r="X59" s="128"/>
    </row>
    <row r="60" spans="1:25">
      <c r="A60" s="132">
        <v>45078</v>
      </c>
      <c r="B60" s="125">
        <v>3</v>
      </c>
      <c r="C60" s="133" t="s">
        <v>492</v>
      </c>
      <c r="D60" s="133">
        <v>200</v>
      </c>
      <c r="E60" s="127">
        <f>D60*97%</f>
        <v>194</v>
      </c>
      <c r="F60" s="133"/>
      <c r="G60" s="128">
        <f t="shared" ref="G60:G74" si="10">G59+E60-F60</f>
        <v>1502.5</v>
      </c>
      <c r="H60" s="26">
        <v>225</v>
      </c>
      <c r="I60" s="185"/>
      <c r="J60" s="155"/>
      <c r="K60" s="126"/>
      <c r="L60" s="157"/>
      <c r="M60" s="156"/>
      <c r="N60" s="125"/>
      <c r="O60" s="128"/>
      <c r="P60" s="128"/>
      <c r="R60" s="130"/>
      <c r="S60" s="172"/>
      <c r="T60" s="156"/>
      <c r="U60" s="126"/>
      <c r="V60" s="157"/>
      <c r="W60" s="128"/>
      <c r="X60" s="128"/>
    </row>
    <row r="61" spans="1:25">
      <c r="A61" s="132">
        <v>45086</v>
      </c>
      <c r="B61" s="125">
        <v>22</v>
      </c>
      <c r="C61" s="133" t="s">
        <v>492</v>
      </c>
      <c r="D61" s="133">
        <v>2688</v>
      </c>
      <c r="E61" s="127">
        <f>D61*97%</f>
        <v>2607.36</v>
      </c>
      <c r="F61" s="133"/>
      <c r="G61" s="128">
        <f t="shared" si="10"/>
        <v>4109.86</v>
      </c>
      <c r="I61" s="186"/>
      <c r="J61" s="155"/>
      <c r="K61" s="126"/>
      <c r="L61" s="163"/>
      <c r="M61" s="156"/>
      <c r="N61" s="125"/>
      <c r="O61" s="126"/>
      <c r="P61" s="128"/>
      <c r="R61" s="130"/>
      <c r="S61" s="155"/>
      <c r="T61" s="133"/>
      <c r="U61" s="136"/>
      <c r="V61" s="133"/>
      <c r="W61" s="128"/>
      <c r="X61" s="128"/>
    </row>
    <row r="62" spans="1:25">
      <c r="A62" s="132">
        <v>45086</v>
      </c>
      <c r="B62" s="125">
        <v>22</v>
      </c>
      <c r="C62" s="139" t="s">
        <v>579</v>
      </c>
      <c r="D62" s="139">
        <v>1260</v>
      </c>
      <c r="E62" s="141">
        <f>D62</f>
        <v>1260</v>
      </c>
      <c r="F62" s="133"/>
      <c r="G62" s="128">
        <f t="shared" si="10"/>
        <v>5369.86</v>
      </c>
      <c r="H62" s="26">
        <v>4290</v>
      </c>
      <c r="I62" s="130"/>
      <c r="J62" s="172"/>
      <c r="K62" s="126"/>
      <c r="L62" s="163"/>
      <c r="M62" s="126"/>
      <c r="N62" s="125"/>
      <c r="O62" s="128"/>
      <c r="P62" s="128"/>
      <c r="R62" s="130"/>
      <c r="S62" s="155"/>
      <c r="T62" s="133"/>
      <c r="U62" s="133"/>
      <c r="V62" s="133"/>
      <c r="W62" s="128"/>
      <c r="X62" s="128"/>
    </row>
    <row r="63" spans="1:25">
      <c r="A63" s="132">
        <v>45092</v>
      </c>
      <c r="B63" s="125">
        <v>37</v>
      </c>
      <c r="C63" s="133" t="s">
        <v>492</v>
      </c>
      <c r="D63" s="133">
        <v>869</v>
      </c>
      <c r="E63" s="127">
        <f>D63*97%</f>
        <v>842.93</v>
      </c>
      <c r="F63" s="133"/>
      <c r="G63" s="128">
        <f t="shared" si="10"/>
        <v>6212.79</v>
      </c>
      <c r="H63" s="26">
        <v>1049</v>
      </c>
      <c r="I63" s="130"/>
      <c r="J63" s="172"/>
      <c r="K63" s="126"/>
      <c r="L63" s="163"/>
      <c r="M63" s="126"/>
      <c r="N63" s="125"/>
      <c r="O63" s="128"/>
      <c r="P63" s="128"/>
      <c r="R63" s="130"/>
      <c r="S63" s="155"/>
      <c r="T63" s="133"/>
      <c r="U63" s="133"/>
      <c r="V63" s="133"/>
      <c r="W63" s="128"/>
      <c r="X63" s="128"/>
    </row>
    <row r="64" spans="1:25">
      <c r="A64" s="132">
        <v>45092</v>
      </c>
      <c r="B64" s="125">
        <v>40</v>
      </c>
      <c r="C64" s="133" t="s">
        <v>492</v>
      </c>
      <c r="D64" s="133">
        <v>700</v>
      </c>
      <c r="E64" s="127">
        <f>D64*97%</f>
        <v>679</v>
      </c>
      <c r="F64" s="133"/>
      <c r="G64" s="128">
        <f t="shared" si="10"/>
        <v>6891.79</v>
      </c>
      <c r="H64" s="26">
        <v>810</v>
      </c>
      <c r="I64" s="130"/>
      <c r="J64" s="172"/>
      <c r="K64" s="126"/>
      <c r="L64" s="126"/>
      <c r="M64" s="126"/>
      <c r="N64" s="125"/>
      <c r="O64" s="128"/>
      <c r="P64" s="128"/>
      <c r="R64" s="130"/>
      <c r="S64" s="155"/>
      <c r="T64" s="133"/>
      <c r="U64" s="133"/>
      <c r="V64" s="133"/>
      <c r="W64" s="133"/>
      <c r="X64" s="128"/>
    </row>
    <row r="65" spans="1:25">
      <c r="A65" s="132">
        <v>45093</v>
      </c>
      <c r="B65" s="125">
        <v>42</v>
      </c>
      <c r="C65" s="133" t="s">
        <v>492</v>
      </c>
      <c r="D65" s="133">
        <v>1194</v>
      </c>
      <c r="E65" s="127">
        <f>D65*97%</f>
        <v>1158.18</v>
      </c>
      <c r="F65" s="133"/>
      <c r="G65" s="128">
        <f t="shared" si="10"/>
        <v>8049.97</v>
      </c>
      <c r="H65" s="26">
        <v>1347</v>
      </c>
      <c r="I65" s="130"/>
      <c r="J65" s="172"/>
      <c r="K65" s="126"/>
      <c r="L65" s="126"/>
      <c r="M65" s="126"/>
      <c r="N65" s="125"/>
      <c r="O65" s="126"/>
      <c r="P65" s="128"/>
      <c r="R65" s="130"/>
      <c r="S65" s="155"/>
      <c r="T65" s="133"/>
      <c r="U65" s="133"/>
      <c r="V65" s="133"/>
      <c r="W65" s="133"/>
      <c r="X65" s="128"/>
    </row>
    <row r="66" spans="1:25">
      <c r="A66" s="155">
        <v>45098</v>
      </c>
      <c r="B66" s="125">
        <v>61</v>
      </c>
      <c r="C66" s="133" t="s">
        <v>492</v>
      </c>
      <c r="D66" s="133">
        <v>4058</v>
      </c>
      <c r="E66" s="127">
        <f>D66*97%</f>
        <v>3936.26</v>
      </c>
      <c r="F66" s="128"/>
      <c r="G66" s="128">
        <f t="shared" si="10"/>
        <v>11986.23</v>
      </c>
      <c r="I66" s="130"/>
      <c r="J66" s="172"/>
      <c r="K66" s="126"/>
      <c r="L66" s="126"/>
      <c r="M66" s="126"/>
      <c r="N66" s="125"/>
      <c r="O66" s="128"/>
      <c r="P66" s="128"/>
      <c r="R66" s="130"/>
      <c r="S66" s="155"/>
      <c r="T66" s="133"/>
      <c r="U66" s="133"/>
      <c r="V66" s="133"/>
      <c r="W66" s="133"/>
      <c r="X66" s="128"/>
    </row>
    <row r="67" spans="1:25">
      <c r="A67" s="155">
        <v>45098</v>
      </c>
      <c r="B67" s="125">
        <v>61</v>
      </c>
      <c r="C67" s="139" t="s">
        <v>579</v>
      </c>
      <c r="D67" s="139">
        <v>1710</v>
      </c>
      <c r="E67" s="141">
        <f>D67</f>
        <v>1710</v>
      </c>
      <c r="F67" s="133"/>
      <c r="G67" s="128">
        <f t="shared" si="10"/>
        <v>13696.23</v>
      </c>
      <c r="H67" s="26">
        <v>6405</v>
      </c>
      <c r="I67" s="130">
        <f>SUM(H59:H67)</f>
        <v>15738</v>
      </c>
      <c r="J67" s="26"/>
      <c r="K67" s="126"/>
      <c r="L67" s="126"/>
      <c r="M67" s="126"/>
      <c r="N67" s="125"/>
      <c r="O67" s="128"/>
      <c r="P67" s="128"/>
      <c r="R67" s="130"/>
      <c r="S67" s="155"/>
      <c r="T67" s="133"/>
      <c r="U67" s="133"/>
      <c r="V67" s="133"/>
      <c r="W67" s="128"/>
      <c r="X67" s="128"/>
    </row>
    <row r="68" spans="1:25">
      <c r="A68" s="160">
        <v>45188</v>
      </c>
      <c r="B68" s="137"/>
      <c r="C68" s="136" t="s">
        <v>583</v>
      </c>
      <c r="D68" s="136"/>
      <c r="E68" s="149"/>
      <c r="F68" s="136">
        <v>15590</v>
      </c>
      <c r="G68" s="144">
        <f t="shared" si="10"/>
        <v>-1893.77</v>
      </c>
      <c r="I68" s="130"/>
      <c r="J68" s="172"/>
      <c r="K68" s="126"/>
      <c r="L68" s="126"/>
      <c r="M68" s="126"/>
      <c r="N68" s="125"/>
      <c r="O68" s="127"/>
      <c r="P68" s="128"/>
      <c r="R68" s="130"/>
      <c r="S68" s="155"/>
      <c r="T68" s="133"/>
      <c r="U68" s="133"/>
      <c r="V68" s="133"/>
      <c r="W68" s="128"/>
      <c r="X68" s="128"/>
    </row>
    <row r="69" spans="1:25">
      <c r="A69" s="160">
        <v>45188</v>
      </c>
      <c r="B69" s="137"/>
      <c r="C69" s="136" t="s">
        <v>603</v>
      </c>
      <c r="D69" s="136"/>
      <c r="E69" s="149"/>
      <c r="F69" s="136">
        <v>-1893.8</v>
      </c>
      <c r="G69" s="144">
        <f t="shared" si="10"/>
        <v>0.029999999997699</v>
      </c>
      <c r="I69" s="130"/>
      <c r="J69" s="172"/>
      <c r="K69" s="126"/>
      <c r="L69" s="126"/>
      <c r="M69" s="126"/>
      <c r="N69" s="125"/>
      <c r="O69" s="128"/>
      <c r="P69" s="128"/>
      <c r="R69" s="130"/>
      <c r="S69" s="171" t="s">
        <v>604</v>
      </c>
      <c r="T69" s="133"/>
      <c r="U69" s="133"/>
      <c r="V69" s="133"/>
      <c r="W69" s="128"/>
      <c r="X69" s="128"/>
    </row>
    <row r="70" spans="1:25">
      <c r="A70" s="155">
        <v>45108</v>
      </c>
      <c r="B70" s="125">
        <v>5</v>
      </c>
      <c r="C70" s="133" t="s">
        <v>492</v>
      </c>
      <c r="D70" s="133">
        <v>7890.5</v>
      </c>
      <c r="E70" s="127">
        <f>D70*97%</f>
        <v>7653.785</v>
      </c>
      <c r="F70" s="128"/>
      <c r="G70" s="128">
        <f t="shared" si="10"/>
        <v>7653.815</v>
      </c>
      <c r="I70" s="130"/>
      <c r="J70" s="172"/>
      <c r="K70" s="126"/>
      <c r="L70" s="126"/>
      <c r="M70" s="126"/>
      <c r="N70" s="125"/>
      <c r="O70" s="128"/>
      <c r="P70" s="128"/>
      <c r="R70" s="130"/>
      <c r="S70" s="155">
        <v>45000</v>
      </c>
      <c r="T70" s="133">
        <v>64</v>
      </c>
      <c r="U70" s="187" t="s">
        <v>605</v>
      </c>
      <c r="V70" s="133"/>
      <c r="W70" s="128"/>
      <c r="X70" s="128"/>
    </row>
    <row r="71" spans="1:25">
      <c r="A71" s="155">
        <v>45108</v>
      </c>
      <c r="B71" s="125">
        <v>5</v>
      </c>
      <c r="C71" s="139" t="s">
        <v>579</v>
      </c>
      <c r="D71" s="126">
        <v>1260</v>
      </c>
      <c r="E71" s="141">
        <f>D71</f>
        <v>1260</v>
      </c>
      <c r="F71" s="127"/>
      <c r="G71" s="128">
        <f t="shared" si="10"/>
        <v>8913.815</v>
      </c>
      <c r="H71" s="26">
        <v>10265</v>
      </c>
      <c r="I71" s="130"/>
      <c r="J71" s="172"/>
      <c r="K71" s="126"/>
      <c r="L71" s="126"/>
      <c r="M71" s="126"/>
      <c r="N71" s="125"/>
      <c r="O71" s="128"/>
      <c r="P71" s="128"/>
      <c r="R71" s="130"/>
      <c r="S71" s="155">
        <v>45026</v>
      </c>
      <c r="T71" s="133">
        <v>32</v>
      </c>
      <c r="U71" s="133" t="s">
        <v>492</v>
      </c>
      <c r="V71" s="133">
        <v>1190</v>
      </c>
      <c r="W71" s="128"/>
      <c r="X71" s="128">
        <f t="shared" ref="X71:X74" si="11">X70+V71-W71</f>
        <v>1190</v>
      </c>
      <c r="Y71" s="28">
        <v>1385</v>
      </c>
    </row>
    <row r="72" spans="1:25">
      <c r="A72" s="172">
        <v>45126</v>
      </c>
      <c r="B72" s="125">
        <v>49</v>
      </c>
      <c r="C72" s="133" t="s">
        <v>492</v>
      </c>
      <c r="D72" s="133">
        <v>2876</v>
      </c>
      <c r="E72" s="127">
        <f>D72*97%</f>
        <v>2789.72</v>
      </c>
      <c r="F72" s="126"/>
      <c r="G72" s="128">
        <f t="shared" si="10"/>
        <v>11703.535</v>
      </c>
      <c r="I72" s="130">
        <f>SUM(H70:H73)</f>
        <v>16693</v>
      </c>
      <c r="J72" s="172"/>
      <c r="K72" s="126"/>
      <c r="L72" s="126"/>
      <c r="M72" s="126"/>
      <c r="N72" s="125"/>
      <c r="O72" s="128"/>
      <c r="P72" s="128"/>
      <c r="R72" s="130"/>
      <c r="S72" s="155">
        <v>45063</v>
      </c>
      <c r="T72" s="133">
        <v>43</v>
      </c>
      <c r="U72" s="133" t="s">
        <v>492</v>
      </c>
      <c r="V72" s="133">
        <v>11869</v>
      </c>
      <c r="W72" s="133"/>
      <c r="X72" s="128">
        <f t="shared" si="11"/>
        <v>13059</v>
      </c>
      <c r="Y72" s="28">
        <v>13587</v>
      </c>
    </row>
    <row r="73" spans="1:25">
      <c r="A73" s="172">
        <v>45126</v>
      </c>
      <c r="B73" s="125">
        <v>49</v>
      </c>
      <c r="C73" s="139" t="s">
        <v>579</v>
      </c>
      <c r="D73" s="140">
        <v>2970</v>
      </c>
      <c r="E73" s="141">
        <f>D73</f>
        <v>2970</v>
      </c>
      <c r="F73" s="128"/>
      <c r="G73" s="128">
        <f t="shared" si="10"/>
        <v>14673.535</v>
      </c>
      <c r="H73" s="26">
        <v>6428</v>
      </c>
      <c r="I73" s="130"/>
      <c r="J73" s="172"/>
      <c r="K73" s="126"/>
      <c r="L73" s="126"/>
      <c r="M73" s="126"/>
      <c r="N73" s="125"/>
      <c r="O73" s="128"/>
      <c r="P73" s="128"/>
      <c r="R73" s="130"/>
      <c r="S73" s="160">
        <v>45178</v>
      </c>
      <c r="T73" s="136"/>
      <c r="U73" s="136"/>
      <c r="V73" s="136"/>
      <c r="W73" s="144">
        <v>14950</v>
      </c>
      <c r="X73" s="128">
        <f t="shared" si="11"/>
        <v>-1891</v>
      </c>
    </row>
    <row r="74" spans="1:25">
      <c r="A74" s="172"/>
      <c r="B74" s="125"/>
      <c r="C74" s="139"/>
      <c r="D74" s="140"/>
      <c r="E74" s="141"/>
      <c r="F74" s="128"/>
      <c r="G74" s="128">
        <f t="shared" si="10"/>
        <v>14673.535</v>
      </c>
      <c r="I74" s="130"/>
      <c r="J74" s="172"/>
      <c r="K74" s="126"/>
      <c r="L74" s="126"/>
      <c r="M74" s="126"/>
      <c r="N74" s="125"/>
      <c r="O74" s="128"/>
      <c r="P74" s="128"/>
      <c r="R74" s="130"/>
      <c r="S74" s="188">
        <v>45178</v>
      </c>
      <c r="T74" s="148"/>
      <c r="U74" s="148" t="s">
        <v>606</v>
      </c>
      <c r="V74" s="148"/>
      <c r="W74" s="149">
        <v>-1891</v>
      </c>
      <c r="X74" s="128">
        <f t="shared" si="11"/>
        <v>0</v>
      </c>
    </row>
    <row r="75" spans="1:25">
      <c r="A75" s="172">
        <v>45154</v>
      </c>
      <c r="B75" s="125">
        <v>10</v>
      </c>
      <c r="C75" s="126" t="s">
        <v>492</v>
      </c>
      <c r="D75" s="126">
        <v>5487</v>
      </c>
      <c r="E75" s="127">
        <f t="shared" ref="E75:E79" si="12">D75*97%</f>
        <v>5322.39</v>
      </c>
      <c r="F75" s="128"/>
      <c r="G75" s="128">
        <f t="shared" ref="G75:G86" si="13">G74+E75-F75</f>
        <v>19995.925</v>
      </c>
      <c r="H75" s="26">
        <v>6382.5</v>
      </c>
      <c r="I75" s="130"/>
      <c r="J75" s="172"/>
      <c r="K75" s="126"/>
      <c r="L75" s="126"/>
      <c r="M75" s="126"/>
      <c r="N75" s="125"/>
      <c r="O75" s="128"/>
      <c r="P75" s="128"/>
      <c r="R75" s="130"/>
      <c r="S75" s="172"/>
      <c r="T75" s="126"/>
      <c r="U75" s="126"/>
      <c r="V75" s="126"/>
      <c r="W75" s="126"/>
      <c r="X75" s="128"/>
    </row>
    <row r="76" spans="1:25">
      <c r="A76" s="172">
        <v>45155</v>
      </c>
      <c r="B76" s="125">
        <v>13</v>
      </c>
      <c r="C76" s="126" t="s">
        <v>492</v>
      </c>
      <c r="D76" s="126">
        <v>2688</v>
      </c>
      <c r="E76" s="127">
        <f t="shared" si="12"/>
        <v>2607.36</v>
      </c>
      <c r="F76" s="126"/>
      <c r="G76" s="128">
        <f t="shared" si="13"/>
        <v>22603.285</v>
      </c>
      <c r="H76" s="26">
        <v>2940</v>
      </c>
      <c r="I76" s="130"/>
      <c r="J76" s="172"/>
      <c r="K76" s="126"/>
      <c r="L76" s="126"/>
      <c r="M76" s="126"/>
      <c r="N76" s="125"/>
      <c r="O76" s="128"/>
      <c r="P76" s="128"/>
      <c r="R76" s="130"/>
      <c r="S76" s="172"/>
      <c r="T76" s="126"/>
      <c r="U76" s="126"/>
      <c r="V76" s="126"/>
      <c r="W76" s="128"/>
      <c r="X76" s="128"/>
    </row>
    <row r="77" spans="1:25">
      <c r="A77" s="172">
        <v>45156</v>
      </c>
      <c r="B77" s="125">
        <v>19</v>
      </c>
      <c r="C77" s="126" t="s">
        <v>503</v>
      </c>
      <c r="D77" s="140">
        <v>1260</v>
      </c>
      <c r="E77" s="158">
        <v>1260</v>
      </c>
      <c r="F77" s="128"/>
      <c r="G77" s="128">
        <f t="shared" si="13"/>
        <v>23863.285</v>
      </c>
      <c r="I77" s="130"/>
      <c r="J77" s="172"/>
      <c r="K77" s="126"/>
      <c r="L77" s="126"/>
      <c r="M77" s="126"/>
      <c r="N77" s="125"/>
      <c r="O77" s="128"/>
      <c r="P77" s="128"/>
      <c r="R77" s="130"/>
      <c r="S77" s="172"/>
      <c r="T77" s="126"/>
      <c r="U77" s="126"/>
      <c r="V77" s="126"/>
      <c r="W77" s="128"/>
      <c r="X77" s="128"/>
    </row>
    <row r="78" spans="1:25">
      <c r="A78" s="172">
        <v>45156</v>
      </c>
      <c r="B78" s="125">
        <v>19</v>
      </c>
      <c r="C78" s="126" t="s">
        <v>492</v>
      </c>
      <c r="D78" s="126">
        <v>1687.5</v>
      </c>
      <c r="E78" s="127">
        <f t="shared" si="12"/>
        <v>1636.875</v>
      </c>
      <c r="F78" s="128"/>
      <c r="G78" s="128">
        <f t="shared" si="13"/>
        <v>25500.16</v>
      </c>
      <c r="H78" s="26">
        <v>3162.5</v>
      </c>
      <c r="I78" s="130"/>
      <c r="J78" s="172"/>
      <c r="K78" s="126"/>
      <c r="L78" s="126"/>
      <c r="M78" s="126"/>
      <c r="N78" s="125"/>
      <c r="O78" s="128"/>
      <c r="P78" s="128"/>
      <c r="R78" s="130"/>
      <c r="S78" s="172"/>
      <c r="T78" s="126"/>
      <c r="U78" s="126"/>
      <c r="V78" s="126"/>
      <c r="W78" s="126"/>
      <c r="X78" s="128"/>
    </row>
    <row r="79" spans="1:25">
      <c r="A79" s="172">
        <v>45157</v>
      </c>
      <c r="B79" s="125">
        <v>23</v>
      </c>
      <c r="C79" s="126" t="s">
        <v>492</v>
      </c>
      <c r="D79" s="126">
        <v>2688</v>
      </c>
      <c r="E79" s="127">
        <f t="shared" si="12"/>
        <v>2607.36</v>
      </c>
      <c r="F79" s="128"/>
      <c r="G79" s="128">
        <f t="shared" si="13"/>
        <v>28107.52</v>
      </c>
      <c r="H79" s="26">
        <v>2940</v>
      </c>
      <c r="I79" s="130"/>
      <c r="J79" s="172"/>
      <c r="K79" s="126"/>
      <c r="L79" s="126"/>
      <c r="M79" s="126"/>
      <c r="N79" s="125"/>
      <c r="O79" s="128"/>
      <c r="P79" s="128"/>
      <c r="R79" s="130"/>
      <c r="S79" s="172"/>
      <c r="T79" s="126"/>
      <c r="U79" s="126"/>
      <c r="V79" s="126"/>
      <c r="W79" s="128"/>
      <c r="X79" s="128"/>
    </row>
    <row r="80" spans="1:25">
      <c r="A80" s="172">
        <v>45161</v>
      </c>
      <c r="B80" s="125">
        <v>27</v>
      </c>
      <c r="C80" s="139" t="s">
        <v>579</v>
      </c>
      <c r="D80" s="139">
        <v>1710</v>
      </c>
      <c r="E80" s="158">
        <f>D80</f>
        <v>1710</v>
      </c>
      <c r="F80" s="126"/>
      <c r="G80" s="128">
        <f t="shared" si="13"/>
        <v>29817.52</v>
      </c>
      <c r="I80" s="130"/>
      <c r="J80" s="172"/>
      <c r="K80" s="126"/>
      <c r="L80" s="126"/>
      <c r="M80" s="126"/>
      <c r="N80" s="125"/>
      <c r="O80" s="128"/>
      <c r="P80" s="128"/>
      <c r="R80" s="130"/>
      <c r="S80" s="172"/>
      <c r="T80" s="126"/>
      <c r="U80" s="126"/>
      <c r="V80" s="126"/>
      <c r="W80" s="128"/>
      <c r="X80" s="128"/>
    </row>
    <row r="81" spans="1:24">
      <c r="A81" s="172">
        <v>45161</v>
      </c>
      <c r="B81" s="125">
        <v>27</v>
      </c>
      <c r="C81" s="126" t="s">
        <v>492</v>
      </c>
      <c r="D81" s="126">
        <v>1149</v>
      </c>
      <c r="E81" s="127">
        <f>D81*97%</f>
        <v>1114.53</v>
      </c>
      <c r="F81" s="128"/>
      <c r="G81" s="128">
        <f t="shared" si="13"/>
        <v>30932.05</v>
      </c>
      <c r="H81" s="26">
        <v>3171</v>
      </c>
      <c r="I81" s="130"/>
      <c r="J81" s="172"/>
      <c r="K81" s="126"/>
      <c r="L81" s="126"/>
      <c r="M81" s="126"/>
      <c r="N81" s="125"/>
      <c r="O81" s="128"/>
      <c r="P81" s="128"/>
      <c r="R81" s="130"/>
      <c r="S81" s="172"/>
      <c r="T81" s="126"/>
      <c r="U81" s="126"/>
      <c r="V81" s="126"/>
      <c r="W81" s="128"/>
      <c r="X81" s="128"/>
    </row>
    <row r="82" spans="1:24">
      <c r="A82" s="172">
        <v>45164</v>
      </c>
      <c r="B82" s="125">
        <v>35</v>
      </c>
      <c r="C82" s="126" t="s">
        <v>492</v>
      </c>
      <c r="D82" s="126">
        <v>1370</v>
      </c>
      <c r="E82" s="127">
        <f>D82*97%</f>
        <v>1328.9</v>
      </c>
      <c r="F82" s="128"/>
      <c r="G82" s="128">
        <f t="shared" si="13"/>
        <v>32260.95</v>
      </c>
      <c r="H82" s="26">
        <v>1575</v>
      </c>
      <c r="I82" s="130"/>
      <c r="J82" s="172"/>
      <c r="K82" s="126"/>
      <c r="L82" s="126"/>
      <c r="M82" s="126"/>
      <c r="N82" s="125"/>
      <c r="O82" s="128"/>
      <c r="P82" s="128"/>
      <c r="R82" s="130"/>
      <c r="S82" s="172"/>
      <c r="T82" s="126"/>
      <c r="U82" s="126"/>
      <c r="V82" s="126"/>
      <c r="W82" s="126"/>
      <c r="X82" s="128"/>
    </row>
    <row r="83" spans="1:24">
      <c r="A83" s="172">
        <v>45168</v>
      </c>
      <c r="B83" s="125">
        <v>47</v>
      </c>
      <c r="C83" s="139" t="s">
        <v>579</v>
      </c>
      <c r="D83" s="139">
        <v>1260</v>
      </c>
      <c r="E83" s="141">
        <v>1260</v>
      </c>
      <c r="F83" s="127"/>
      <c r="G83" s="128">
        <f t="shared" si="13"/>
        <v>33520.95</v>
      </c>
      <c r="I83" s="130">
        <f>SUM(H75:H84)</f>
        <v>24713.5</v>
      </c>
      <c r="J83" s="172"/>
      <c r="K83" s="126"/>
      <c r="L83" s="126"/>
      <c r="M83" s="126"/>
      <c r="N83" s="125"/>
      <c r="O83" s="127"/>
      <c r="P83" s="128"/>
      <c r="R83" s="130"/>
      <c r="S83" s="172"/>
      <c r="T83" s="126"/>
      <c r="U83" s="126"/>
      <c r="V83" s="126"/>
      <c r="W83" s="128"/>
      <c r="X83" s="128"/>
    </row>
    <row r="84" spans="1:24">
      <c r="A84" s="172">
        <v>45168</v>
      </c>
      <c r="B84" s="125">
        <v>47</v>
      </c>
      <c r="C84" s="126" t="s">
        <v>492</v>
      </c>
      <c r="D84" s="126">
        <v>2928</v>
      </c>
      <c r="E84" s="127">
        <f>D84*97%</f>
        <v>2840.16</v>
      </c>
      <c r="F84" s="128"/>
      <c r="G84" s="128">
        <f t="shared" si="13"/>
        <v>36361.11</v>
      </c>
      <c r="H84" s="26">
        <v>4542.5</v>
      </c>
      <c r="I84" s="130"/>
      <c r="J84" s="172"/>
      <c r="K84" s="126"/>
      <c r="L84" s="126"/>
      <c r="M84" s="126"/>
      <c r="N84" s="125"/>
      <c r="O84" s="127"/>
      <c r="P84" s="128"/>
      <c r="R84" s="130"/>
      <c r="S84" s="172"/>
      <c r="T84" s="126"/>
      <c r="U84" s="126"/>
      <c r="V84" s="126"/>
      <c r="W84" s="128"/>
      <c r="X84" s="128"/>
    </row>
    <row r="85" spans="1:24">
      <c r="A85" s="189">
        <v>45590</v>
      </c>
      <c r="B85" s="161"/>
      <c r="C85" s="162" t="s">
        <v>494</v>
      </c>
      <c r="D85" s="162"/>
      <c r="E85" s="181"/>
      <c r="F85" s="190">
        <v>36361.1</v>
      </c>
      <c r="G85" s="190">
        <f t="shared" si="13"/>
        <v>0.0100000000020373</v>
      </c>
      <c r="H85" s="146"/>
      <c r="I85" s="145" t="s">
        <v>607</v>
      </c>
      <c r="J85" s="172"/>
      <c r="K85" s="126"/>
      <c r="L85" s="126"/>
      <c r="M85" s="126"/>
      <c r="N85" s="125"/>
      <c r="O85" s="127"/>
      <c r="P85" s="128"/>
      <c r="R85" s="130"/>
      <c r="S85" s="172"/>
      <c r="T85" s="126"/>
      <c r="U85" s="126"/>
      <c r="V85" s="126"/>
      <c r="W85" s="127"/>
      <c r="X85" s="128"/>
    </row>
    <row r="86" spans="1:24">
      <c r="A86" s="172">
        <v>45170</v>
      </c>
      <c r="B86" s="125">
        <v>3</v>
      </c>
      <c r="C86" s="126" t="s">
        <v>492</v>
      </c>
      <c r="D86" s="126">
        <v>40</v>
      </c>
      <c r="E86" s="127">
        <f>D86*97%</f>
        <v>38.8</v>
      </c>
      <c r="F86" s="128"/>
      <c r="G86" s="191">
        <f t="shared" si="13"/>
        <v>38.810000000002</v>
      </c>
      <c r="H86" s="26">
        <v>45</v>
      </c>
      <c r="I86" s="130"/>
      <c r="J86" s="172"/>
      <c r="K86" s="126"/>
      <c r="L86" s="126"/>
      <c r="M86" s="126"/>
      <c r="N86" s="125"/>
      <c r="O86" s="127"/>
      <c r="P86" s="128"/>
      <c r="R86" s="130"/>
      <c r="S86" s="172"/>
      <c r="T86" s="126"/>
      <c r="U86" s="126"/>
      <c r="V86" s="126"/>
      <c r="W86" s="128"/>
      <c r="X86" s="128"/>
    </row>
    <row r="87" spans="1:24">
      <c r="A87" s="172">
        <v>45174</v>
      </c>
      <c r="B87" s="125">
        <v>11</v>
      </c>
      <c r="C87" s="126" t="s">
        <v>492</v>
      </c>
      <c r="D87" s="126">
        <v>1285</v>
      </c>
      <c r="E87" s="127">
        <f>D87*97%</f>
        <v>1246.45</v>
      </c>
      <c r="F87" s="128"/>
      <c r="G87" s="191">
        <f t="shared" ref="G87:G101" si="14">G86+E87-F87</f>
        <v>1285.26</v>
      </c>
      <c r="H87" s="26">
        <v>1530</v>
      </c>
      <c r="I87" s="130"/>
      <c r="J87" s="172"/>
      <c r="K87" s="126"/>
      <c r="L87" s="126"/>
      <c r="M87" s="126"/>
      <c r="N87" s="125"/>
      <c r="O87" s="127"/>
      <c r="P87" s="128"/>
      <c r="R87" s="130"/>
      <c r="S87" s="172"/>
      <c r="T87" s="126"/>
      <c r="U87" s="126"/>
      <c r="V87" s="126"/>
      <c r="W87" s="128"/>
      <c r="X87" s="128"/>
    </row>
    <row r="88" spans="1:24">
      <c r="A88" s="172">
        <v>45175</v>
      </c>
      <c r="B88" s="125">
        <v>14</v>
      </c>
      <c r="C88" s="126" t="s">
        <v>492</v>
      </c>
      <c r="D88" s="126">
        <v>5792</v>
      </c>
      <c r="E88" s="127">
        <f>D88*97%</f>
        <v>5618.24</v>
      </c>
      <c r="F88" s="128"/>
      <c r="G88" s="191">
        <f t="shared" si="14"/>
        <v>6903.5</v>
      </c>
      <c r="H88" s="26">
        <v>6590</v>
      </c>
      <c r="I88" s="130"/>
      <c r="J88" s="172"/>
      <c r="K88" s="126"/>
      <c r="L88" s="126"/>
      <c r="M88" s="126"/>
      <c r="N88" s="125"/>
      <c r="O88" s="127"/>
      <c r="P88" s="128"/>
      <c r="R88" s="130"/>
      <c r="S88" s="172"/>
      <c r="T88" s="126"/>
      <c r="U88" s="126"/>
      <c r="V88" s="126"/>
      <c r="W88" s="128"/>
      <c r="X88" s="128"/>
    </row>
    <row r="89" spans="1:24">
      <c r="A89" s="172">
        <v>45178</v>
      </c>
      <c r="B89" s="125">
        <v>27</v>
      </c>
      <c r="C89" s="126" t="s">
        <v>492</v>
      </c>
      <c r="D89" s="126">
        <v>670</v>
      </c>
      <c r="E89" s="127">
        <f>D89*97%</f>
        <v>649.9</v>
      </c>
      <c r="F89" s="128"/>
      <c r="G89" s="191">
        <f t="shared" si="14"/>
        <v>7553.4</v>
      </c>
      <c r="H89" s="26">
        <v>765</v>
      </c>
      <c r="I89" s="130"/>
      <c r="J89" s="172"/>
      <c r="K89" s="126"/>
      <c r="L89" s="126"/>
      <c r="M89" s="126"/>
      <c r="N89" s="125"/>
      <c r="O89" s="127"/>
      <c r="P89" s="128"/>
      <c r="R89" s="130"/>
      <c r="S89" s="172"/>
      <c r="T89" s="126"/>
      <c r="U89" s="126"/>
      <c r="V89" s="126"/>
      <c r="W89" s="128"/>
      <c r="X89" s="128"/>
    </row>
    <row r="90" spans="1:24">
      <c r="A90" s="172">
        <v>45181</v>
      </c>
      <c r="B90" s="125">
        <v>37</v>
      </c>
      <c r="C90" s="139" t="s">
        <v>579</v>
      </c>
      <c r="D90" s="140">
        <v>2970</v>
      </c>
      <c r="E90" s="141">
        <f>D90</f>
        <v>2970</v>
      </c>
      <c r="F90" s="128"/>
      <c r="G90" s="191">
        <f t="shared" si="14"/>
        <v>10523.4</v>
      </c>
      <c r="I90" s="130"/>
      <c r="J90" s="172"/>
      <c r="K90" s="126"/>
      <c r="L90" s="126"/>
      <c r="M90" s="126"/>
      <c r="N90" s="125"/>
      <c r="O90" s="127"/>
      <c r="P90" s="128"/>
      <c r="R90" s="130"/>
      <c r="S90" s="172"/>
      <c r="T90" s="126"/>
      <c r="U90" s="126"/>
      <c r="V90" s="126"/>
      <c r="W90" s="128"/>
      <c r="X90" s="128"/>
    </row>
    <row r="91" spans="1:24">
      <c r="A91" s="172">
        <v>45181</v>
      </c>
      <c r="B91" s="125">
        <v>37</v>
      </c>
      <c r="C91" s="126" t="s">
        <v>492</v>
      </c>
      <c r="D91" s="126">
        <v>1707.5</v>
      </c>
      <c r="E91" s="127">
        <f t="shared" ref="E91:E97" si="15">D91*97%</f>
        <v>1656.275</v>
      </c>
      <c r="F91" s="128"/>
      <c r="G91" s="191">
        <f t="shared" si="14"/>
        <v>12179.675</v>
      </c>
      <c r="H91" s="26">
        <v>5052.5</v>
      </c>
      <c r="I91" s="130"/>
      <c r="J91" s="172"/>
      <c r="K91" s="126"/>
      <c r="L91" s="126"/>
      <c r="M91" s="126"/>
      <c r="N91" s="125"/>
      <c r="O91" s="127"/>
      <c r="P91" s="128"/>
      <c r="R91" s="130"/>
      <c r="S91" s="172"/>
      <c r="T91" s="126"/>
      <c r="U91" s="126"/>
      <c r="V91" s="126"/>
      <c r="W91" s="128"/>
      <c r="X91" s="128"/>
    </row>
    <row r="92" spans="1:24">
      <c r="A92" s="172">
        <v>45185</v>
      </c>
      <c r="B92" s="125">
        <v>52</v>
      </c>
      <c r="C92" s="126" t="s">
        <v>492</v>
      </c>
      <c r="D92" s="126">
        <v>2928</v>
      </c>
      <c r="E92" s="127">
        <f t="shared" si="15"/>
        <v>2840.16</v>
      </c>
      <c r="F92" s="128"/>
      <c r="G92" s="191">
        <f t="shared" si="14"/>
        <v>15019.835</v>
      </c>
      <c r="H92" s="26">
        <v>3200</v>
      </c>
      <c r="I92" s="130"/>
      <c r="J92" s="172"/>
      <c r="K92" s="192"/>
      <c r="L92" s="192"/>
      <c r="M92" s="192"/>
      <c r="N92" s="125"/>
      <c r="O92" s="127"/>
      <c r="P92" s="128"/>
      <c r="R92" s="130"/>
      <c r="S92" s="172"/>
      <c r="T92" s="126"/>
      <c r="U92" s="126"/>
      <c r="V92" s="126"/>
      <c r="W92" s="128"/>
      <c r="X92" s="128"/>
    </row>
    <row r="93" spans="1:24">
      <c r="A93" s="172">
        <v>45188</v>
      </c>
      <c r="B93" s="125">
        <v>56</v>
      </c>
      <c r="C93" s="126" t="s">
        <v>492</v>
      </c>
      <c r="D93" s="126">
        <v>7901.5</v>
      </c>
      <c r="E93" s="127">
        <f t="shared" si="15"/>
        <v>7664.455</v>
      </c>
      <c r="F93" s="128"/>
      <c r="G93" s="191">
        <f t="shared" si="14"/>
        <v>22684.29</v>
      </c>
      <c r="H93" s="26">
        <v>9366.5</v>
      </c>
      <c r="I93" s="130"/>
      <c r="J93" s="172"/>
      <c r="K93" s="192"/>
      <c r="L93" s="192"/>
      <c r="M93" s="192"/>
      <c r="N93" s="125"/>
      <c r="O93" s="127"/>
      <c r="P93" s="128"/>
      <c r="R93" s="130"/>
      <c r="S93" s="172"/>
      <c r="T93" s="126"/>
      <c r="U93" s="126"/>
      <c r="V93" s="126"/>
      <c r="W93" s="128"/>
      <c r="X93" s="128"/>
    </row>
    <row r="94" spans="1:24">
      <c r="A94" s="172">
        <v>45192</v>
      </c>
      <c r="B94" s="125">
        <v>70</v>
      </c>
      <c r="C94" s="139" t="s">
        <v>579</v>
      </c>
      <c r="D94" s="140">
        <v>2970</v>
      </c>
      <c r="E94" s="158">
        <v>2970</v>
      </c>
      <c r="F94" s="128"/>
      <c r="G94" s="191">
        <f t="shared" si="14"/>
        <v>25654.29</v>
      </c>
      <c r="I94" s="130"/>
      <c r="J94" s="172"/>
      <c r="K94" s="192"/>
      <c r="L94" s="192"/>
      <c r="M94" s="192"/>
      <c r="N94" s="125"/>
      <c r="O94" s="127"/>
      <c r="P94" s="128"/>
      <c r="R94" s="130"/>
      <c r="S94" s="172"/>
      <c r="T94" s="126"/>
      <c r="U94" s="126"/>
      <c r="V94" s="126"/>
      <c r="W94" s="128"/>
      <c r="X94" s="128"/>
    </row>
    <row r="95" spans="1:24">
      <c r="A95" s="172">
        <v>45192</v>
      </c>
      <c r="B95" s="125">
        <v>70</v>
      </c>
      <c r="C95" s="126" t="s">
        <v>492</v>
      </c>
      <c r="D95" s="126">
        <v>1414</v>
      </c>
      <c r="E95" s="127">
        <f t="shared" si="15"/>
        <v>1371.58</v>
      </c>
      <c r="F95" s="128"/>
      <c r="G95" s="191">
        <f t="shared" si="14"/>
        <v>27025.87</v>
      </c>
      <c r="H95" s="26">
        <v>4780</v>
      </c>
      <c r="I95" s="130"/>
      <c r="J95" s="172"/>
      <c r="K95" s="192"/>
      <c r="L95" s="192"/>
      <c r="M95" s="192"/>
      <c r="N95" s="125"/>
      <c r="O95" s="127"/>
      <c r="P95" s="128"/>
      <c r="R95" s="130"/>
      <c r="S95" s="172"/>
      <c r="T95" s="126"/>
      <c r="U95" s="126"/>
      <c r="V95" s="126"/>
      <c r="W95" s="128"/>
      <c r="X95" s="128"/>
    </row>
    <row r="96" spans="1:24">
      <c r="A96" s="172">
        <v>45194</v>
      </c>
      <c r="B96" s="125">
        <v>73</v>
      </c>
      <c r="C96" s="126" t="s">
        <v>492</v>
      </c>
      <c r="D96" s="126">
        <v>1280</v>
      </c>
      <c r="E96" s="127">
        <f t="shared" si="15"/>
        <v>1241.6</v>
      </c>
      <c r="F96" s="128"/>
      <c r="G96" s="191">
        <f t="shared" si="14"/>
        <v>28267.47</v>
      </c>
      <c r="H96" s="26">
        <v>1462</v>
      </c>
      <c r="I96" s="130"/>
      <c r="J96" s="172"/>
      <c r="K96" s="192"/>
      <c r="L96" s="192"/>
      <c r="M96" s="192"/>
      <c r="N96" s="125"/>
      <c r="O96" s="127"/>
      <c r="P96" s="128"/>
      <c r="R96" s="130"/>
      <c r="S96" s="172"/>
      <c r="T96" s="126"/>
      <c r="U96" s="126"/>
      <c r="V96" s="126"/>
      <c r="W96" s="128"/>
      <c r="X96" s="128"/>
    </row>
    <row r="97" spans="1:24">
      <c r="A97" s="172">
        <v>45196</v>
      </c>
      <c r="B97" s="125">
        <v>78</v>
      </c>
      <c r="C97" s="126" t="s">
        <v>492</v>
      </c>
      <c r="D97" s="126">
        <v>4595.5</v>
      </c>
      <c r="E97" s="127">
        <f t="shared" si="15"/>
        <v>4457.635</v>
      </c>
      <c r="F97" s="128"/>
      <c r="G97" s="191">
        <f t="shared" si="14"/>
        <v>32725.105</v>
      </c>
      <c r="H97" s="26">
        <v>4982.5</v>
      </c>
      <c r="I97" s="130"/>
      <c r="J97" s="172"/>
      <c r="K97" s="192"/>
      <c r="L97" s="192"/>
      <c r="M97" s="192"/>
      <c r="N97" s="125"/>
      <c r="O97" s="127"/>
      <c r="P97" s="128"/>
      <c r="R97" s="130"/>
      <c r="S97" s="172"/>
      <c r="T97" s="126"/>
      <c r="U97" s="126"/>
      <c r="V97" s="126"/>
      <c r="W97" s="128"/>
      <c r="X97" s="128"/>
    </row>
    <row r="98" spans="1:24">
      <c r="A98" s="172">
        <v>45197</v>
      </c>
      <c r="B98" s="125">
        <v>83</v>
      </c>
      <c r="C98" s="139" t="s">
        <v>579</v>
      </c>
      <c r="D98" s="140">
        <v>1260</v>
      </c>
      <c r="E98" s="158">
        <v>1260</v>
      </c>
      <c r="F98" s="128"/>
      <c r="G98" s="191">
        <f t="shared" si="14"/>
        <v>33985.105</v>
      </c>
      <c r="I98" s="130">
        <f>SUM(H86:H99)</f>
        <v>40577.5</v>
      </c>
      <c r="J98" s="172"/>
      <c r="K98" s="192"/>
      <c r="L98" s="192"/>
      <c r="M98" s="192"/>
      <c r="N98" s="125"/>
      <c r="O98" s="127"/>
      <c r="P98" s="128"/>
      <c r="R98" s="130"/>
      <c r="S98" s="172"/>
      <c r="T98" s="126"/>
      <c r="U98" s="126"/>
      <c r="V98" s="126"/>
      <c r="W98" s="128"/>
      <c r="X98" s="128"/>
    </row>
    <row r="99" spans="1:24">
      <c r="A99" s="172">
        <v>45197</v>
      </c>
      <c r="B99" s="125">
        <v>83</v>
      </c>
      <c r="C99" s="126" t="s">
        <v>492</v>
      </c>
      <c r="D99" s="126">
        <v>1298</v>
      </c>
      <c r="E99" s="127">
        <f>D99*97%</f>
        <v>1259.06</v>
      </c>
      <c r="F99" s="128"/>
      <c r="G99" s="191">
        <f t="shared" si="14"/>
        <v>35244.165</v>
      </c>
      <c r="H99" s="26">
        <v>2804</v>
      </c>
      <c r="I99" s="130"/>
      <c r="J99" s="172"/>
      <c r="K99" s="192"/>
      <c r="L99" s="192"/>
      <c r="M99" s="192"/>
      <c r="N99" s="125"/>
      <c r="O99" s="127"/>
      <c r="P99" s="128"/>
      <c r="R99" s="130"/>
      <c r="S99" s="172"/>
      <c r="T99" s="126"/>
      <c r="U99" s="126"/>
      <c r="V99" s="126"/>
      <c r="W99" s="128"/>
      <c r="X99" s="128"/>
    </row>
    <row r="100" spans="1:24">
      <c r="A100" s="189"/>
      <c r="B100" s="161"/>
      <c r="C100" s="162" t="s">
        <v>583</v>
      </c>
      <c r="D100" s="162"/>
      <c r="E100" s="181"/>
      <c r="F100" s="190">
        <v>35244.2</v>
      </c>
      <c r="G100" s="191">
        <f t="shared" ref="G100:G121" si="16">G99+E100-F100</f>
        <v>-0.0349999999962165</v>
      </c>
      <c r="I100" s="130"/>
      <c r="J100" s="172"/>
      <c r="K100" s="192"/>
      <c r="L100" s="192"/>
      <c r="M100" s="192"/>
      <c r="N100" s="125"/>
      <c r="O100" s="127"/>
      <c r="P100" s="128"/>
      <c r="R100" s="130"/>
      <c r="S100" s="172"/>
      <c r="T100" s="126"/>
      <c r="U100" s="126"/>
      <c r="V100" s="126"/>
      <c r="W100" s="127"/>
      <c r="X100" s="128"/>
    </row>
    <row r="101" spans="1:24">
      <c r="A101" s="172">
        <v>45211</v>
      </c>
      <c r="B101" s="125">
        <v>27</v>
      </c>
      <c r="C101" s="126" t="s">
        <v>492</v>
      </c>
      <c r="D101" s="126">
        <v>2828</v>
      </c>
      <c r="E101" s="127">
        <f>D101*97%</f>
        <v>2743.16</v>
      </c>
      <c r="F101" s="127"/>
      <c r="G101" s="191">
        <f t="shared" si="16"/>
        <v>2743.125</v>
      </c>
      <c r="H101" s="26">
        <v>3080</v>
      </c>
      <c r="I101" s="130"/>
      <c r="J101" s="172"/>
      <c r="K101" s="192"/>
      <c r="L101" s="192"/>
      <c r="M101" s="192"/>
      <c r="N101" s="125"/>
      <c r="O101" s="127"/>
      <c r="P101" s="128"/>
      <c r="R101" s="130"/>
      <c r="S101" s="172"/>
      <c r="T101" s="126"/>
      <c r="U101" s="126"/>
      <c r="V101" s="126"/>
      <c r="W101" s="127"/>
      <c r="X101" s="128"/>
    </row>
    <row r="102" spans="1:24">
      <c r="A102" s="172">
        <v>45216</v>
      </c>
      <c r="B102" s="125">
        <v>36</v>
      </c>
      <c r="C102" s="139" t="s">
        <v>579</v>
      </c>
      <c r="D102" s="140">
        <v>1260</v>
      </c>
      <c r="E102" s="158">
        <v>1260</v>
      </c>
      <c r="F102" s="127"/>
      <c r="G102" s="191">
        <f t="shared" si="16"/>
        <v>4003.125</v>
      </c>
      <c r="I102" s="130"/>
      <c r="J102" s="172"/>
      <c r="K102" s="192"/>
      <c r="L102" s="192"/>
      <c r="M102" s="192"/>
      <c r="N102" s="125"/>
      <c r="O102" s="127"/>
      <c r="P102" s="128"/>
      <c r="R102" s="130"/>
      <c r="S102" s="172"/>
      <c r="T102" s="126"/>
      <c r="U102" s="126"/>
      <c r="V102" s="126"/>
      <c r="W102" s="127"/>
      <c r="X102" s="128"/>
    </row>
    <row r="103" spans="1:24">
      <c r="A103" s="172">
        <v>45216</v>
      </c>
      <c r="B103" s="125">
        <v>36</v>
      </c>
      <c r="C103" s="126" t="s">
        <v>492</v>
      </c>
      <c r="D103" s="126">
        <v>869</v>
      </c>
      <c r="E103" s="127">
        <f>D103*97%</f>
        <v>842.93</v>
      </c>
      <c r="F103" s="127"/>
      <c r="G103" s="191">
        <f t="shared" si="16"/>
        <v>4846.055</v>
      </c>
      <c r="H103" s="26">
        <v>2399</v>
      </c>
      <c r="I103" s="130"/>
      <c r="J103" s="172"/>
      <c r="K103" s="192"/>
      <c r="L103" s="192"/>
      <c r="M103" s="192"/>
      <c r="N103" s="125"/>
      <c r="O103" s="127"/>
      <c r="P103" s="128"/>
      <c r="R103" s="130"/>
      <c r="S103" s="172"/>
      <c r="T103" s="126"/>
      <c r="U103" s="126"/>
      <c r="V103" s="126"/>
      <c r="W103" s="127"/>
      <c r="X103" s="128"/>
    </row>
    <row r="104" spans="1:24">
      <c r="A104" s="172">
        <v>45219</v>
      </c>
      <c r="B104" s="125">
        <v>42</v>
      </c>
      <c r="C104" s="126" t="s">
        <v>492</v>
      </c>
      <c r="D104" s="126">
        <v>2828</v>
      </c>
      <c r="E104" s="127">
        <f>D104*97%</f>
        <v>2743.16</v>
      </c>
      <c r="F104" s="127"/>
      <c r="G104" s="191">
        <f t="shared" si="16"/>
        <v>7589.215</v>
      </c>
      <c r="H104" s="26">
        <v>3080</v>
      </c>
      <c r="I104" s="130"/>
      <c r="J104" s="172"/>
      <c r="K104" s="192"/>
      <c r="L104" s="192"/>
      <c r="M104" s="192"/>
      <c r="N104" s="125"/>
      <c r="O104" s="127"/>
      <c r="P104" s="128"/>
      <c r="R104" s="130"/>
      <c r="S104" s="172"/>
      <c r="T104" s="126"/>
      <c r="U104" s="126"/>
      <c r="V104" s="126"/>
      <c r="W104" s="127"/>
      <c r="X104" s="128"/>
    </row>
    <row r="105" spans="1:24">
      <c r="A105" s="172">
        <v>45220</v>
      </c>
      <c r="B105" s="125">
        <v>46</v>
      </c>
      <c r="C105" s="126" t="s">
        <v>492</v>
      </c>
      <c r="D105" s="126">
        <v>100</v>
      </c>
      <c r="E105" s="127">
        <f>D105*97%</f>
        <v>97</v>
      </c>
      <c r="F105" s="127"/>
      <c r="G105" s="191">
        <f t="shared" si="16"/>
        <v>7686.215</v>
      </c>
      <c r="H105" s="26">
        <v>112.5</v>
      </c>
      <c r="I105" s="130"/>
      <c r="J105" s="172"/>
      <c r="K105" s="192"/>
      <c r="L105" s="192"/>
      <c r="M105" s="192"/>
      <c r="N105" s="125"/>
      <c r="O105" s="127"/>
      <c r="P105" s="128"/>
      <c r="R105" s="130"/>
      <c r="S105" s="172"/>
      <c r="T105" s="126"/>
      <c r="U105" s="126"/>
      <c r="V105" s="126"/>
      <c r="W105" s="127"/>
      <c r="X105" s="128"/>
    </row>
    <row r="106" spans="1:24">
      <c r="A106" s="172">
        <v>45223</v>
      </c>
      <c r="B106" s="156">
        <v>52</v>
      </c>
      <c r="C106" s="193" t="s">
        <v>503</v>
      </c>
      <c r="D106" s="163">
        <v>1710</v>
      </c>
      <c r="E106" s="158">
        <f>D106</f>
        <v>1710</v>
      </c>
      <c r="F106" s="127"/>
      <c r="G106" s="191">
        <f t="shared" si="16"/>
        <v>9396.215</v>
      </c>
      <c r="H106" s="28"/>
      <c r="I106" s="130"/>
      <c r="J106" s="172"/>
      <c r="K106" s="192"/>
      <c r="L106" s="192"/>
      <c r="M106" s="192"/>
      <c r="N106" s="125"/>
      <c r="O106" s="194"/>
      <c r="P106" s="128"/>
      <c r="R106" s="130"/>
      <c r="S106" s="172"/>
      <c r="T106" s="126"/>
      <c r="U106" s="126"/>
      <c r="V106" s="126"/>
      <c r="W106" s="127"/>
      <c r="X106" s="128"/>
    </row>
    <row r="107" spans="1:24">
      <c r="A107" s="172">
        <v>45223</v>
      </c>
      <c r="B107" s="156">
        <v>52</v>
      </c>
      <c r="C107" s="126" t="s">
        <v>492</v>
      </c>
      <c r="D107" s="157">
        <v>650</v>
      </c>
      <c r="E107" s="127">
        <f t="shared" ref="E107:E111" si="17">D107*97%</f>
        <v>630.5</v>
      </c>
      <c r="F107" s="127"/>
      <c r="G107" s="191">
        <f t="shared" si="16"/>
        <v>10026.715</v>
      </c>
      <c r="H107" s="28">
        <v>2632.5</v>
      </c>
      <c r="I107" s="130"/>
      <c r="J107" s="172"/>
      <c r="K107" s="192"/>
      <c r="L107" s="192"/>
      <c r="M107" s="192"/>
      <c r="N107" s="125"/>
      <c r="O107" s="194"/>
      <c r="P107" s="128"/>
      <c r="R107" s="130"/>
      <c r="S107" s="172"/>
      <c r="T107" s="126"/>
      <c r="U107" s="126"/>
      <c r="V107" s="126"/>
      <c r="W107" s="127"/>
      <c r="X107" s="128"/>
    </row>
    <row r="108" spans="1:24">
      <c r="A108" s="172">
        <v>45224</v>
      </c>
      <c r="B108" s="156">
        <v>59</v>
      </c>
      <c r="C108" s="126" t="s">
        <v>492</v>
      </c>
      <c r="D108" s="157">
        <v>690</v>
      </c>
      <c r="E108" s="127">
        <f t="shared" si="17"/>
        <v>669.3</v>
      </c>
      <c r="F108" s="127"/>
      <c r="G108" s="191">
        <f t="shared" si="16"/>
        <v>10696.015</v>
      </c>
      <c r="H108" s="28">
        <v>825</v>
      </c>
      <c r="I108" s="130"/>
      <c r="J108" s="172"/>
      <c r="K108" s="192"/>
      <c r="L108" s="192"/>
      <c r="M108" s="192"/>
      <c r="N108" s="125"/>
      <c r="O108" s="194"/>
      <c r="P108" s="128"/>
      <c r="R108" s="130"/>
      <c r="S108" s="172"/>
      <c r="T108" s="126"/>
      <c r="U108" s="126"/>
      <c r="V108" s="126"/>
      <c r="W108" s="127"/>
      <c r="X108" s="128"/>
    </row>
    <row r="109" spans="1:24">
      <c r="A109" s="172">
        <v>45225</v>
      </c>
      <c r="B109" s="156">
        <v>60</v>
      </c>
      <c r="C109" s="126" t="s">
        <v>492</v>
      </c>
      <c r="D109" s="126">
        <v>4515</v>
      </c>
      <c r="E109" s="127">
        <f t="shared" si="17"/>
        <v>4379.55</v>
      </c>
      <c r="F109" s="127"/>
      <c r="G109" s="191">
        <f t="shared" si="16"/>
        <v>15075.565</v>
      </c>
      <c r="H109" s="26">
        <v>4892.5</v>
      </c>
      <c r="I109" s="130">
        <f>SUM(H101:H111)</f>
        <v>18945.5</v>
      </c>
      <c r="J109" s="172"/>
      <c r="K109" s="192"/>
      <c r="L109" s="192"/>
      <c r="M109" s="192"/>
      <c r="N109" s="125"/>
      <c r="O109" s="194"/>
      <c r="P109" s="128"/>
      <c r="R109" s="130"/>
      <c r="S109" s="172"/>
      <c r="T109" s="192"/>
      <c r="U109" s="192"/>
      <c r="V109" s="192"/>
      <c r="W109" s="127"/>
      <c r="X109" s="128"/>
    </row>
    <row r="110" spans="1:24">
      <c r="A110" s="172">
        <v>45226</v>
      </c>
      <c r="B110" s="156">
        <v>69</v>
      </c>
      <c r="C110" s="193" t="s">
        <v>503</v>
      </c>
      <c r="D110" s="163">
        <v>1260</v>
      </c>
      <c r="E110" s="158">
        <f>D110</f>
        <v>1260</v>
      </c>
      <c r="F110" s="127"/>
      <c r="G110" s="191">
        <f t="shared" si="16"/>
        <v>16335.565</v>
      </c>
      <c r="I110" s="130"/>
      <c r="J110" s="172"/>
      <c r="K110" s="192"/>
      <c r="L110" s="192"/>
      <c r="M110" s="192"/>
      <c r="N110" s="125"/>
      <c r="O110" s="194"/>
      <c r="P110" s="128"/>
      <c r="R110" s="130"/>
      <c r="S110" s="172"/>
      <c r="T110" s="192"/>
      <c r="U110" s="192"/>
      <c r="V110" s="192"/>
      <c r="W110" s="127"/>
      <c r="X110" s="128"/>
    </row>
    <row r="111" spans="1:24">
      <c r="A111" s="172">
        <v>45226</v>
      </c>
      <c r="B111" s="156">
        <v>69</v>
      </c>
      <c r="C111" s="126" t="s">
        <v>492</v>
      </c>
      <c r="D111" s="126">
        <v>500</v>
      </c>
      <c r="E111" s="127">
        <f t="shared" si="17"/>
        <v>485</v>
      </c>
      <c r="F111" s="127"/>
      <c r="G111" s="191">
        <f t="shared" si="16"/>
        <v>16820.565</v>
      </c>
      <c r="H111" s="26">
        <v>1924</v>
      </c>
      <c r="I111" s="130"/>
      <c r="J111" s="172"/>
      <c r="K111" s="192"/>
      <c r="L111" s="192"/>
      <c r="M111" s="192"/>
      <c r="N111" s="125"/>
      <c r="O111" s="194"/>
      <c r="P111" s="128"/>
      <c r="R111" s="130"/>
      <c r="S111" s="172"/>
      <c r="T111" s="192"/>
      <c r="U111" s="192"/>
      <c r="V111" s="192"/>
      <c r="W111" s="127"/>
      <c r="X111" s="128"/>
    </row>
    <row r="112" spans="1:24">
      <c r="A112" s="172">
        <v>45233</v>
      </c>
      <c r="B112" s="156">
        <v>3</v>
      </c>
      <c r="C112" s="126" t="s">
        <v>492</v>
      </c>
      <c r="D112" s="157">
        <v>140</v>
      </c>
      <c r="E112" s="127">
        <f t="shared" ref="E112:E117" si="18">D112*97%</f>
        <v>135.8</v>
      </c>
      <c r="F112" s="127"/>
      <c r="G112" s="191">
        <f t="shared" si="16"/>
        <v>16956.365</v>
      </c>
      <c r="H112" s="28">
        <v>165</v>
      </c>
      <c r="I112" s="130"/>
      <c r="J112" s="172"/>
      <c r="K112" s="192"/>
      <c r="L112" s="192"/>
      <c r="M112" s="192"/>
      <c r="N112" s="125"/>
      <c r="O112" s="194"/>
      <c r="P112" s="128"/>
      <c r="R112" s="130"/>
      <c r="S112" s="172"/>
      <c r="T112" s="192"/>
      <c r="U112" s="192"/>
      <c r="V112" s="192"/>
      <c r="W112" s="127"/>
      <c r="X112" s="128"/>
    </row>
    <row r="113" spans="1:24">
      <c r="A113" s="172">
        <v>45236</v>
      </c>
      <c r="B113" s="156">
        <v>11</v>
      </c>
      <c r="C113" s="193" t="s">
        <v>503</v>
      </c>
      <c r="D113" s="163">
        <v>1260</v>
      </c>
      <c r="E113" s="158">
        <f>D113</f>
        <v>1260</v>
      </c>
      <c r="F113" s="127"/>
      <c r="G113" s="191">
        <f t="shared" si="16"/>
        <v>18216.365</v>
      </c>
      <c r="H113" s="28"/>
      <c r="I113" s="130"/>
      <c r="J113" s="172"/>
      <c r="K113" s="192"/>
      <c r="L113" s="192"/>
      <c r="M113" s="192"/>
      <c r="N113" s="125"/>
      <c r="O113" s="194"/>
      <c r="P113" s="128"/>
      <c r="R113" s="130"/>
      <c r="S113" s="172"/>
      <c r="T113" s="192"/>
      <c r="U113" s="192"/>
      <c r="V113" s="192"/>
      <c r="W113" s="127"/>
      <c r="X113" s="128"/>
    </row>
    <row r="114" spans="1:24">
      <c r="A114" s="172">
        <v>45236</v>
      </c>
      <c r="B114" s="156">
        <v>11</v>
      </c>
      <c r="C114" s="126" t="s">
        <v>492</v>
      </c>
      <c r="D114" s="157">
        <v>3210.8</v>
      </c>
      <c r="E114" s="127">
        <f t="shared" si="18"/>
        <v>3114.476</v>
      </c>
      <c r="F114" s="127"/>
      <c r="G114" s="191">
        <f t="shared" si="16"/>
        <v>21330.841</v>
      </c>
      <c r="H114" s="28">
        <v>4858</v>
      </c>
      <c r="I114" s="130"/>
      <c r="J114" s="172"/>
      <c r="K114" s="192"/>
      <c r="L114" s="192"/>
      <c r="M114" s="192"/>
      <c r="N114" s="125"/>
      <c r="O114" s="194"/>
      <c r="P114" s="128"/>
      <c r="R114" s="130"/>
      <c r="S114" s="172"/>
      <c r="T114" s="192"/>
      <c r="U114" s="192"/>
      <c r="V114" s="192"/>
      <c r="W114" s="127"/>
      <c r="X114" s="128"/>
    </row>
    <row r="115" spans="1:24">
      <c r="A115" s="172">
        <v>45243</v>
      </c>
      <c r="B115" s="156">
        <v>30</v>
      </c>
      <c r="C115" s="193" t="s">
        <v>503</v>
      </c>
      <c r="D115" s="163">
        <v>1710</v>
      </c>
      <c r="E115" s="158">
        <f>D115</f>
        <v>1710</v>
      </c>
      <c r="F115" s="127"/>
      <c r="G115" s="191">
        <f t="shared" si="16"/>
        <v>23040.841</v>
      </c>
      <c r="H115" s="28"/>
      <c r="I115" s="130"/>
      <c r="J115" s="172"/>
      <c r="K115" s="192"/>
      <c r="L115" s="192"/>
      <c r="M115" s="192"/>
      <c r="N115" s="125"/>
      <c r="O115" s="194"/>
      <c r="P115" s="128"/>
      <c r="R115" s="130"/>
      <c r="S115" s="172"/>
      <c r="T115" s="192"/>
      <c r="U115" s="192"/>
      <c r="V115" s="192"/>
      <c r="W115" s="127"/>
      <c r="X115" s="128"/>
    </row>
    <row r="116" spans="1:24">
      <c r="A116" s="172">
        <v>45243</v>
      </c>
      <c r="B116" s="156">
        <v>30</v>
      </c>
      <c r="C116" s="126" t="s">
        <v>492</v>
      </c>
      <c r="D116" s="157">
        <v>2247.5</v>
      </c>
      <c r="E116" s="127">
        <f t="shared" si="18"/>
        <v>2180.075</v>
      </c>
      <c r="F116" s="127"/>
      <c r="G116" s="191">
        <f t="shared" si="16"/>
        <v>25220.916</v>
      </c>
      <c r="H116" s="28">
        <v>4352.5</v>
      </c>
      <c r="I116" s="130"/>
      <c r="J116" s="172"/>
      <c r="K116" s="192"/>
      <c r="L116" s="192"/>
      <c r="M116" s="192"/>
      <c r="N116" s="125"/>
      <c r="O116" s="194"/>
      <c r="P116" s="128"/>
      <c r="R116" s="130"/>
      <c r="S116" s="172"/>
      <c r="T116" s="192"/>
      <c r="U116" s="192"/>
      <c r="V116" s="192"/>
      <c r="W116" s="127"/>
      <c r="X116" s="128"/>
    </row>
    <row r="117" spans="1:24">
      <c r="A117" s="172">
        <v>45249</v>
      </c>
      <c r="B117" s="156">
        <v>48</v>
      </c>
      <c r="C117" s="126" t="s">
        <v>492</v>
      </c>
      <c r="D117" s="157">
        <v>2850</v>
      </c>
      <c r="E117" s="127">
        <f t="shared" si="18"/>
        <v>2764.5</v>
      </c>
      <c r="F117" s="127"/>
      <c r="G117" s="191">
        <f t="shared" si="16"/>
        <v>27985.416</v>
      </c>
      <c r="H117" s="28">
        <v>3375</v>
      </c>
      <c r="I117" s="130"/>
      <c r="J117" s="172"/>
      <c r="K117" s="192"/>
      <c r="L117" s="192"/>
      <c r="M117" s="192"/>
      <c r="N117" s="125"/>
      <c r="O117" s="194"/>
      <c r="P117" s="128"/>
      <c r="R117" s="130"/>
      <c r="S117" s="172"/>
      <c r="T117" s="192"/>
      <c r="U117" s="192"/>
      <c r="V117" s="192"/>
      <c r="W117" s="127"/>
      <c r="X117" s="128"/>
    </row>
    <row r="118" spans="1:24">
      <c r="A118" s="172">
        <v>45249</v>
      </c>
      <c r="B118" s="156">
        <v>49</v>
      </c>
      <c r="C118" s="193" t="s">
        <v>503</v>
      </c>
      <c r="D118" s="163">
        <v>1260</v>
      </c>
      <c r="E118" s="158">
        <f>D118</f>
        <v>1260</v>
      </c>
      <c r="F118" s="127"/>
      <c r="G118" s="191">
        <f t="shared" si="16"/>
        <v>29245.416</v>
      </c>
      <c r="H118" s="28"/>
      <c r="I118" s="130"/>
      <c r="J118" s="172"/>
      <c r="K118" s="192"/>
      <c r="L118" s="192"/>
      <c r="M118" s="192"/>
      <c r="N118" s="125"/>
      <c r="O118" s="194"/>
      <c r="P118" s="128"/>
      <c r="R118" s="130"/>
      <c r="S118" s="172"/>
      <c r="T118" s="192"/>
      <c r="U118" s="192"/>
      <c r="V118" s="192"/>
      <c r="W118" s="127"/>
      <c r="X118" s="128"/>
    </row>
    <row r="119" spans="1:24">
      <c r="A119" s="172">
        <v>45249</v>
      </c>
      <c r="B119" s="156">
        <v>49</v>
      </c>
      <c r="C119" s="126" t="s">
        <v>492</v>
      </c>
      <c r="D119" s="157">
        <v>2828</v>
      </c>
      <c r="E119" s="127">
        <f>D119*97%</f>
        <v>2743.16</v>
      </c>
      <c r="F119" s="127"/>
      <c r="G119" s="191">
        <f t="shared" si="16"/>
        <v>31988.576</v>
      </c>
      <c r="H119" s="28">
        <v>4430</v>
      </c>
      <c r="I119" s="130">
        <f>SUM(H112:H119)</f>
        <v>17180.5</v>
      </c>
      <c r="J119" s="172"/>
      <c r="K119" s="192"/>
      <c r="L119" s="192"/>
      <c r="M119" s="192"/>
      <c r="N119" s="125"/>
      <c r="O119" s="194"/>
      <c r="P119" s="128"/>
      <c r="R119" s="130"/>
      <c r="S119" s="172"/>
      <c r="T119" s="192"/>
      <c r="U119" s="192"/>
      <c r="V119" s="192"/>
      <c r="W119" s="127"/>
      <c r="X119" s="128"/>
    </row>
    <row r="120" spans="1:24">
      <c r="A120" s="188">
        <v>45652</v>
      </c>
      <c r="B120" s="161"/>
      <c r="C120" s="148" t="s">
        <v>494</v>
      </c>
      <c r="D120" s="162"/>
      <c r="E120" s="149"/>
      <c r="F120" s="149">
        <v>31988.6</v>
      </c>
      <c r="G120" s="190">
        <f t="shared" si="16"/>
        <v>-0.0239999999976135</v>
      </c>
      <c r="H120" s="195"/>
      <c r="I120" s="145" t="s">
        <v>608</v>
      </c>
      <c r="J120" s="172"/>
      <c r="K120" s="192"/>
      <c r="L120" s="192"/>
      <c r="M120" s="192"/>
      <c r="N120" s="125"/>
      <c r="O120" s="194"/>
      <c r="P120" s="128"/>
      <c r="R120" s="130"/>
      <c r="S120" s="172"/>
      <c r="T120" s="192"/>
      <c r="U120" s="192"/>
      <c r="V120" s="192"/>
      <c r="W120" s="127"/>
      <c r="X120" s="128"/>
    </row>
    <row r="121" spans="1:24">
      <c r="A121" s="172">
        <v>45262</v>
      </c>
      <c r="B121" s="156">
        <v>6</v>
      </c>
      <c r="C121" s="126" t="s">
        <v>492</v>
      </c>
      <c r="D121" s="157">
        <v>1184</v>
      </c>
      <c r="E121" s="127">
        <f>D121*97%</f>
        <v>1148.48</v>
      </c>
      <c r="F121" s="127"/>
      <c r="G121" s="191">
        <f t="shared" ref="G121:G136" si="19">G120+E121-F121</f>
        <v>1148.456</v>
      </c>
      <c r="H121" s="28">
        <v>1324</v>
      </c>
      <c r="I121" s="28"/>
      <c r="J121" s="172"/>
      <c r="K121" s="192"/>
      <c r="L121" s="192"/>
      <c r="M121" s="192"/>
      <c r="N121" s="125"/>
      <c r="O121" s="194"/>
      <c r="P121" s="128"/>
      <c r="R121" s="130"/>
      <c r="S121" s="172"/>
      <c r="T121" s="192"/>
      <c r="U121" s="192"/>
      <c r="V121" s="192"/>
      <c r="W121" s="127"/>
      <c r="X121" s="128"/>
    </row>
    <row r="122" spans="1:24">
      <c r="A122" s="172">
        <v>45264</v>
      </c>
      <c r="B122" s="156">
        <v>8</v>
      </c>
      <c r="C122" s="126" t="s">
        <v>492</v>
      </c>
      <c r="D122" s="157">
        <v>590</v>
      </c>
      <c r="E122" s="127">
        <f>D122*97%</f>
        <v>572.3</v>
      </c>
      <c r="F122" s="127"/>
      <c r="G122" s="191">
        <f t="shared" si="19"/>
        <v>1720.756</v>
      </c>
      <c r="H122" s="28">
        <v>675</v>
      </c>
      <c r="I122" s="28"/>
      <c r="J122" s="172"/>
      <c r="K122" s="192"/>
      <c r="L122" s="192"/>
      <c r="M122" s="192"/>
      <c r="N122" s="125"/>
      <c r="O122" s="194"/>
      <c r="P122" s="128"/>
      <c r="R122" s="130"/>
      <c r="S122" s="172"/>
      <c r="T122" s="192"/>
      <c r="U122" s="192"/>
      <c r="V122" s="192"/>
      <c r="W122" s="127"/>
      <c r="X122" s="128"/>
    </row>
    <row r="123" spans="1:24">
      <c r="A123" s="172">
        <v>45265</v>
      </c>
      <c r="B123" s="156">
        <v>11</v>
      </c>
      <c r="C123" s="193" t="s">
        <v>503</v>
      </c>
      <c r="D123" s="163">
        <v>1260</v>
      </c>
      <c r="E123" s="158">
        <f>D123</f>
        <v>1260</v>
      </c>
      <c r="F123" s="127"/>
      <c r="G123" s="191">
        <f t="shared" si="19"/>
        <v>2980.756</v>
      </c>
      <c r="H123" s="28">
        <v>1350</v>
      </c>
      <c r="I123" s="28"/>
      <c r="J123" s="172"/>
      <c r="K123" s="192"/>
      <c r="L123" s="192"/>
      <c r="M123" s="192"/>
      <c r="N123" s="125"/>
      <c r="O123" s="194"/>
      <c r="P123" s="128"/>
      <c r="R123" s="130"/>
      <c r="S123" s="172"/>
      <c r="T123" s="192"/>
      <c r="U123" s="192"/>
      <c r="V123" s="192"/>
      <c r="W123" s="194"/>
      <c r="X123" s="128"/>
    </row>
    <row r="124" spans="1:24">
      <c r="A124" s="172">
        <v>45269</v>
      </c>
      <c r="B124" s="156">
        <v>26</v>
      </c>
      <c r="C124" s="193" t="s">
        <v>503</v>
      </c>
      <c r="D124" s="163">
        <v>1710</v>
      </c>
      <c r="E124" s="158">
        <f>D124</f>
        <v>1710</v>
      </c>
      <c r="F124" s="127"/>
      <c r="G124" s="191">
        <f t="shared" si="19"/>
        <v>4690.756</v>
      </c>
      <c r="H124" s="28"/>
      <c r="I124" s="28"/>
      <c r="J124" s="172"/>
      <c r="K124" s="192"/>
      <c r="L124" s="192"/>
      <c r="M124" s="192"/>
      <c r="N124" s="125"/>
      <c r="O124" s="194"/>
      <c r="P124" s="128"/>
      <c r="R124" s="130"/>
      <c r="S124" s="172"/>
      <c r="T124" s="192"/>
      <c r="U124" s="192"/>
      <c r="V124" s="192"/>
      <c r="W124" s="194"/>
      <c r="X124" s="128"/>
    </row>
    <row r="125" spans="1:24">
      <c r="A125" s="172">
        <v>45269</v>
      </c>
      <c r="B125" s="156">
        <v>26</v>
      </c>
      <c r="C125" s="126" t="s">
        <v>492</v>
      </c>
      <c r="D125" s="157">
        <v>6724.5</v>
      </c>
      <c r="E125" s="127">
        <f t="shared" ref="E125:E129" si="20">D125*97%</f>
        <v>6522.765</v>
      </c>
      <c r="F125" s="194"/>
      <c r="G125" s="191">
        <f t="shared" si="19"/>
        <v>11213.521</v>
      </c>
      <c r="H125" s="28">
        <v>9227.5</v>
      </c>
      <c r="I125" s="28"/>
      <c r="J125" s="172"/>
      <c r="K125" s="192"/>
      <c r="L125" s="192"/>
      <c r="M125" s="192"/>
      <c r="N125" s="125"/>
      <c r="O125" s="194"/>
      <c r="P125" s="128"/>
      <c r="R125" s="130"/>
      <c r="S125" s="172"/>
      <c r="T125" s="192"/>
      <c r="U125" s="192"/>
      <c r="V125" s="192"/>
      <c r="W125" s="194"/>
      <c r="X125" s="128"/>
    </row>
    <row r="126" spans="1:24">
      <c r="A126" s="172">
        <v>45272</v>
      </c>
      <c r="B126" s="156">
        <v>34</v>
      </c>
      <c r="C126" s="126" t="s">
        <v>492</v>
      </c>
      <c r="D126" s="157">
        <v>1020</v>
      </c>
      <c r="E126" s="127">
        <f t="shared" si="20"/>
        <v>989.4</v>
      </c>
      <c r="F126" s="194"/>
      <c r="G126" s="191">
        <f t="shared" si="19"/>
        <v>12202.921</v>
      </c>
      <c r="H126" s="28">
        <v>1215</v>
      </c>
      <c r="I126" s="28"/>
      <c r="J126" s="172"/>
      <c r="K126" s="192"/>
      <c r="L126" s="192"/>
      <c r="M126" s="192"/>
      <c r="N126" s="125"/>
      <c r="O126" s="126"/>
      <c r="P126" s="128"/>
      <c r="R126" s="130"/>
      <c r="S126" s="172"/>
      <c r="T126" s="192"/>
      <c r="U126" s="192"/>
      <c r="V126" s="192"/>
      <c r="W126" s="194"/>
      <c r="X126" s="128"/>
    </row>
    <row r="127" spans="1:24">
      <c r="A127" s="172">
        <v>45274</v>
      </c>
      <c r="B127" s="156">
        <v>44</v>
      </c>
      <c r="C127" s="193" t="s">
        <v>503</v>
      </c>
      <c r="D127" s="163">
        <v>1260</v>
      </c>
      <c r="E127" s="158">
        <f>D127</f>
        <v>1260</v>
      </c>
      <c r="F127" s="194"/>
      <c r="G127" s="191">
        <f t="shared" si="19"/>
        <v>13462.921</v>
      </c>
      <c r="H127" s="28">
        <v>1350</v>
      </c>
      <c r="I127" s="28"/>
      <c r="J127" s="172"/>
      <c r="K127" s="192"/>
      <c r="L127" s="192"/>
      <c r="M127" s="192"/>
      <c r="N127" s="125"/>
      <c r="O127" s="194"/>
      <c r="P127" s="128"/>
      <c r="R127" s="130"/>
      <c r="S127" s="172"/>
      <c r="T127" s="192"/>
      <c r="U127" s="192"/>
      <c r="V127" s="192"/>
      <c r="W127" s="194"/>
      <c r="X127" s="128"/>
    </row>
    <row r="128" spans="1:24">
      <c r="A128" s="172">
        <v>45280</v>
      </c>
      <c r="B128" s="156">
        <v>64</v>
      </c>
      <c r="C128" s="126" t="s">
        <v>492</v>
      </c>
      <c r="D128" s="157">
        <v>5928</v>
      </c>
      <c r="E128" s="127">
        <f t="shared" si="20"/>
        <v>5750.16</v>
      </c>
      <c r="F128" s="194"/>
      <c r="G128" s="191">
        <f t="shared" si="19"/>
        <v>19213.081</v>
      </c>
      <c r="H128" s="28">
        <v>7020</v>
      </c>
      <c r="I128" s="28"/>
      <c r="J128" s="172"/>
      <c r="K128" s="192"/>
      <c r="L128" s="192"/>
      <c r="M128" s="192"/>
      <c r="N128" s="125"/>
      <c r="O128" s="192"/>
      <c r="P128" s="128"/>
      <c r="R128" s="130"/>
      <c r="S128" s="172"/>
      <c r="T128" s="192"/>
      <c r="U128" s="192"/>
      <c r="V128" s="192"/>
      <c r="W128" s="194"/>
      <c r="X128" s="128"/>
    </row>
    <row r="129" spans="1:24">
      <c r="A129" s="172">
        <v>45282</v>
      </c>
      <c r="B129" s="156">
        <v>70</v>
      </c>
      <c r="C129" s="126" t="s">
        <v>492</v>
      </c>
      <c r="D129" s="157">
        <v>220</v>
      </c>
      <c r="E129" s="127">
        <f t="shared" si="20"/>
        <v>213.4</v>
      </c>
      <c r="F129" s="194"/>
      <c r="G129" s="191">
        <f t="shared" si="19"/>
        <v>19426.481</v>
      </c>
      <c r="H129" s="28">
        <v>247.5</v>
      </c>
      <c r="I129" s="28"/>
      <c r="J129" s="172"/>
      <c r="K129" s="192"/>
      <c r="L129" s="192"/>
      <c r="M129" s="192"/>
      <c r="N129" s="125"/>
      <c r="O129" s="194"/>
      <c r="P129" s="128"/>
      <c r="R129" s="130"/>
      <c r="S129" s="172"/>
      <c r="T129" s="192"/>
      <c r="U129" s="192"/>
      <c r="V129" s="192"/>
      <c r="W129" s="194"/>
      <c r="X129" s="128"/>
    </row>
    <row r="130" spans="1:24">
      <c r="A130" s="172">
        <v>45285</v>
      </c>
      <c r="B130" s="156">
        <v>76</v>
      </c>
      <c r="C130" s="193" t="s">
        <v>503</v>
      </c>
      <c r="D130" s="163">
        <v>1260</v>
      </c>
      <c r="E130" s="158">
        <f>D130</f>
        <v>1260</v>
      </c>
      <c r="F130" s="194"/>
      <c r="G130" s="191">
        <f t="shared" si="19"/>
        <v>20686.481</v>
      </c>
      <c r="H130" s="28">
        <v>1350</v>
      </c>
      <c r="I130" s="28"/>
      <c r="J130" s="172"/>
      <c r="K130" s="192"/>
      <c r="L130" s="192"/>
      <c r="M130" s="192"/>
      <c r="N130" s="125"/>
      <c r="O130" s="194"/>
      <c r="P130" s="128"/>
      <c r="R130" s="130"/>
      <c r="S130" s="172"/>
      <c r="T130" s="192"/>
      <c r="U130" s="192"/>
      <c r="V130" s="192"/>
      <c r="W130" s="194"/>
      <c r="X130" s="128"/>
    </row>
    <row r="131" spans="1:24">
      <c r="A131" s="172">
        <v>45293</v>
      </c>
      <c r="B131" s="156">
        <v>3</v>
      </c>
      <c r="C131" s="126" t="s">
        <v>492</v>
      </c>
      <c r="D131" s="157">
        <v>3147</v>
      </c>
      <c r="E131" s="127">
        <f t="shared" ref="E131:E135" si="21">D131*97%</f>
        <v>3052.59</v>
      </c>
      <c r="F131" s="194"/>
      <c r="G131" s="191">
        <f t="shared" si="19"/>
        <v>23739.071</v>
      </c>
      <c r="H131" s="28">
        <v>3454</v>
      </c>
      <c r="I131" s="28"/>
      <c r="J131" s="172"/>
      <c r="K131" s="192"/>
      <c r="L131" s="192"/>
      <c r="M131" s="192"/>
      <c r="N131" s="125"/>
      <c r="O131" s="194"/>
      <c r="P131" s="128"/>
      <c r="R131" s="130"/>
      <c r="S131" s="172"/>
      <c r="T131" s="192"/>
      <c r="U131" s="192"/>
      <c r="V131" s="192"/>
      <c r="W131" s="194"/>
      <c r="X131" s="128"/>
    </row>
    <row r="132" spans="1:24">
      <c r="A132" s="172">
        <v>45300</v>
      </c>
      <c r="B132" s="156">
        <v>19</v>
      </c>
      <c r="C132" s="193" t="s">
        <v>503</v>
      </c>
      <c r="D132" s="163">
        <v>1260</v>
      </c>
      <c r="E132" s="158">
        <f>D132</f>
        <v>1260</v>
      </c>
      <c r="F132" s="194"/>
      <c r="G132" s="191">
        <f t="shared" si="19"/>
        <v>24999.071</v>
      </c>
      <c r="H132" s="28">
        <v>1350</v>
      </c>
      <c r="I132" s="28"/>
      <c r="J132" s="172"/>
      <c r="K132" s="192"/>
      <c r="L132" s="192"/>
      <c r="M132" s="192"/>
      <c r="N132" s="125"/>
      <c r="O132" s="194"/>
      <c r="P132" s="128"/>
      <c r="R132" s="130"/>
      <c r="S132" s="172"/>
      <c r="T132" s="192"/>
      <c r="U132" s="192"/>
      <c r="V132" s="192"/>
      <c r="W132" s="194"/>
      <c r="X132" s="128"/>
    </row>
    <row r="133" spans="1:24">
      <c r="A133" s="172">
        <v>45302</v>
      </c>
      <c r="B133" s="156">
        <v>24</v>
      </c>
      <c r="C133" s="126" t="s">
        <v>492</v>
      </c>
      <c r="D133" s="157">
        <v>2898</v>
      </c>
      <c r="E133" s="127">
        <f t="shared" si="21"/>
        <v>2811.06</v>
      </c>
      <c r="F133" s="194"/>
      <c r="G133" s="191">
        <f t="shared" si="19"/>
        <v>27810.131</v>
      </c>
      <c r="H133" s="28">
        <v>3344</v>
      </c>
      <c r="I133" s="28"/>
      <c r="J133" s="172"/>
      <c r="K133" s="192"/>
      <c r="L133" s="192"/>
      <c r="M133" s="192"/>
      <c r="N133" s="125"/>
      <c r="O133" s="194"/>
      <c r="P133" s="128"/>
      <c r="R133" s="130"/>
      <c r="S133" s="172"/>
      <c r="T133" s="192"/>
      <c r="U133" s="192"/>
      <c r="V133" s="192"/>
      <c r="W133" s="194"/>
      <c r="X133" s="128"/>
    </row>
    <row r="134" spans="1:24">
      <c r="A134" s="172">
        <v>45312</v>
      </c>
      <c r="B134" s="156">
        <v>77</v>
      </c>
      <c r="C134" s="193" t="s">
        <v>503</v>
      </c>
      <c r="D134" s="163">
        <v>2970</v>
      </c>
      <c r="E134" s="158">
        <f>D134</f>
        <v>2970</v>
      </c>
      <c r="F134" s="194"/>
      <c r="G134" s="191">
        <f t="shared" si="19"/>
        <v>30780.131</v>
      </c>
      <c r="H134" s="28"/>
      <c r="I134" s="28"/>
      <c r="J134" s="172"/>
      <c r="K134" s="192"/>
      <c r="L134" s="192"/>
      <c r="M134" s="192"/>
      <c r="N134" s="125"/>
      <c r="O134" s="194"/>
      <c r="P134" s="128"/>
      <c r="R134" s="130"/>
      <c r="S134" s="172"/>
      <c r="T134" s="192"/>
      <c r="U134" s="192"/>
      <c r="V134" s="192"/>
      <c r="W134" s="194"/>
      <c r="X134" s="128"/>
    </row>
    <row r="135" spans="1:24">
      <c r="A135" s="172">
        <v>45312</v>
      </c>
      <c r="B135" s="156">
        <v>77</v>
      </c>
      <c r="C135" s="126" t="s">
        <v>492</v>
      </c>
      <c r="D135" s="157">
        <v>925.6</v>
      </c>
      <c r="E135" s="127">
        <f t="shared" si="21"/>
        <v>897.832</v>
      </c>
      <c r="F135" s="194"/>
      <c r="G135" s="191">
        <f t="shared" si="19"/>
        <v>31677.963</v>
      </c>
      <c r="H135" s="28">
        <v>4306</v>
      </c>
      <c r="I135" s="28"/>
      <c r="J135" s="172"/>
      <c r="K135" s="192"/>
      <c r="L135" s="192"/>
      <c r="M135" s="192"/>
      <c r="N135" s="125"/>
      <c r="O135" s="194"/>
      <c r="P135" s="128"/>
      <c r="R135" s="130"/>
      <c r="S135" s="172"/>
      <c r="T135" s="192"/>
      <c r="U135" s="192"/>
      <c r="V135" s="192"/>
      <c r="W135" s="194"/>
      <c r="X135" s="128"/>
    </row>
    <row r="136" spans="1:24">
      <c r="A136" s="172"/>
      <c r="B136" s="192"/>
      <c r="C136" s="192"/>
      <c r="D136" s="192"/>
      <c r="E136" s="128"/>
      <c r="F136" s="194"/>
      <c r="G136" s="191">
        <f t="shared" si="19"/>
        <v>31677.963</v>
      </c>
      <c r="H136" s="28"/>
      <c r="I136" s="130"/>
      <c r="J136" s="172"/>
      <c r="K136" s="192"/>
      <c r="L136" s="192"/>
      <c r="M136" s="192"/>
      <c r="N136" s="125"/>
      <c r="O136" s="194"/>
      <c r="P136" s="128"/>
      <c r="R136" s="130"/>
      <c r="S136" s="172"/>
      <c r="T136" s="192"/>
      <c r="U136" s="192"/>
      <c r="V136" s="192"/>
      <c r="W136" s="194"/>
      <c r="X136" s="128"/>
    </row>
    <row r="137" spans="1:24">
      <c r="A137" s="172"/>
      <c r="B137" s="192"/>
      <c r="C137" s="192"/>
      <c r="D137" s="192"/>
      <c r="E137" s="128"/>
      <c r="F137" s="194"/>
      <c r="G137" s="128"/>
      <c r="H137" s="28"/>
      <c r="I137" s="130"/>
      <c r="J137" s="172"/>
      <c r="K137" s="192"/>
      <c r="L137" s="192"/>
      <c r="M137" s="192"/>
      <c r="N137" s="125"/>
      <c r="O137" s="192"/>
      <c r="P137" s="128"/>
      <c r="R137" s="130"/>
      <c r="S137" s="172"/>
      <c r="T137" s="192"/>
      <c r="U137" s="192"/>
      <c r="V137" s="192"/>
      <c r="W137" s="194"/>
      <c r="X137" s="128"/>
    </row>
    <row r="138" spans="1:24">
      <c r="A138" s="172"/>
      <c r="B138" s="192"/>
      <c r="C138" s="192"/>
      <c r="D138" s="192"/>
      <c r="E138" s="128"/>
      <c r="F138" s="194"/>
      <c r="G138" s="128"/>
      <c r="H138" s="28"/>
      <c r="I138" s="130"/>
      <c r="J138" s="172"/>
      <c r="K138" s="192"/>
      <c r="L138" s="192"/>
      <c r="M138" s="192"/>
      <c r="N138" s="125"/>
      <c r="O138" s="194"/>
      <c r="P138" s="128"/>
      <c r="R138" s="130"/>
      <c r="S138" s="172"/>
      <c r="T138" s="192"/>
      <c r="U138" s="192"/>
      <c r="V138" s="192"/>
      <c r="W138" s="194"/>
      <c r="X138" s="128"/>
    </row>
    <row r="139" spans="1:24">
      <c r="A139" s="172"/>
      <c r="B139" s="192"/>
      <c r="C139" s="192"/>
      <c r="D139" s="192"/>
      <c r="E139" s="128"/>
      <c r="F139" s="194"/>
      <c r="G139" s="128"/>
      <c r="I139" s="130"/>
      <c r="J139" s="172"/>
      <c r="K139" s="192"/>
      <c r="L139" s="192"/>
      <c r="M139" s="192"/>
      <c r="N139" s="125"/>
      <c r="O139" s="194"/>
      <c r="P139" s="128"/>
      <c r="R139" s="130"/>
      <c r="S139" s="172"/>
      <c r="T139" s="192"/>
      <c r="U139" s="192"/>
      <c r="V139" s="192"/>
      <c r="W139" s="194"/>
      <c r="X139" s="128"/>
    </row>
    <row r="140" spans="1:24">
      <c r="A140" s="172"/>
      <c r="B140" s="192"/>
      <c r="C140" s="192"/>
      <c r="D140" s="192"/>
      <c r="E140" s="128"/>
      <c r="F140" s="194"/>
      <c r="G140" s="128"/>
      <c r="I140" s="130"/>
      <c r="J140" s="172"/>
      <c r="K140" s="192"/>
      <c r="L140" s="192"/>
      <c r="M140" s="192"/>
      <c r="N140" s="125"/>
      <c r="O140" s="192"/>
      <c r="P140" s="128"/>
      <c r="R140" s="130"/>
      <c r="S140" s="172"/>
      <c r="T140" s="192"/>
      <c r="U140" s="192"/>
      <c r="V140" s="192"/>
      <c r="W140" s="194"/>
      <c r="X140" s="128"/>
    </row>
    <row r="141" spans="1:24">
      <c r="A141" s="172"/>
      <c r="B141" s="192"/>
      <c r="C141" s="192"/>
      <c r="D141" s="192"/>
      <c r="E141" s="128"/>
      <c r="F141" s="194"/>
      <c r="G141" s="128"/>
      <c r="I141" s="130"/>
      <c r="J141" s="172"/>
      <c r="K141" s="192"/>
      <c r="L141" s="192"/>
      <c r="M141" s="192"/>
      <c r="N141" s="125"/>
      <c r="O141" s="194"/>
      <c r="P141" s="128"/>
      <c r="R141" s="130"/>
      <c r="S141" s="172"/>
      <c r="T141" s="192"/>
      <c r="U141" s="192"/>
      <c r="V141" s="192"/>
      <c r="W141" s="194"/>
      <c r="X141" s="128"/>
    </row>
    <row r="142" spans="1:24">
      <c r="A142" s="172"/>
      <c r="B142" s="192"/>
      <c r="C142" s="192"/>
      <c r="D142" s="192"/>
      <c r="E142" s="128"/>
      <c r="F142" s="194"/>
      <c r="G142" s="128"/>
      <c r="I142" s="130"/>
      <c r="J142" s="172"/>
      <c r="K142" s="192"/>
      <c r="L142" s="192"/>
      <c r="M142" s="192"/>
      <c r="N142" s="125"/>
      <c r="O142" s="194"/>
      <c r="P142" s="128"/>
      <c r="R142" s="130"/>
      <c r="S142" s="172"/>
      <c r="T142" s="192"/>
      <c r="U142" s="192"/>
      <c r="V142" s="192"/>
      <c r="W142" s="194"/>
      <c r="X142" s="128"/>
    </row>
    <row r="143" spans="1:24">
      <c r="A143" s="172"/>
      <c r="B143" s="192"/>
      <c r="C143" s="192"/>
      <c r="D143" s="192"/>
      <c r="E143" s="128"/>
      <c r="F143" s="194"/>
      <c r="G143" s="128"/>
      <c r="I143" s="130"/>
      <c r="J143" s="172"/>
      <c r="K143" s="192"/>
      <c r="L143" s="192"/>
      <c r="M143" s="192"/>
      <c r="N143" s="125"/>
      <c r="O143" s="194"/>
      <c r="P143" s="128"/>
      <c r="R143" s="130"/>
      <c r="S143" s="172"/>
      <c r="T143" s="192"/>
      <c r="U143" s="192"/>
      <c r="V143" s="192"/>
      <c r="W143" s="126"/>
      <c r="X143" s="128"/>
    </row>
    <row r="144" spans="1:24">
      <c r="A144" s="172"/>
      <c r="B144" s="192"/>
      <c r="C144" s="192"/>
      <c r="D144" s="192"/>
      <c r="E144" s="128"/>
      <c r="F144" s="194"/>
      <c r="G144" s="128"/>
      <c r="I144" s="130"/>
      <c r="J144" s="172"/>
      <c r="K144" s="192"/>
      <c r="L144" s="192"/>
      <c r="M144" s="192"/>
      <c r="N144" s="125"/>
      <c r="O144" s="194"/>
      <c r="P144" s="128"/>
      <c r="R144" s="130"/>
      <c r="S144" s="172"/>
      <c r="T144" s="192"/>
      <c r="U144" s="192"/>
      <c r="V144" s="192"/>
      <c r="W144" s="194"/>
      <c r="X144" s="128"/>
    </row>
    <row r="145" spans="1:24">
      <c r="A145" s="172"/>
      <c r="B145" s="192"/>
      <c r="C145" s="192"/>
      <c r="D145" s="192"/>
      <c r="E145" s="128"/>
      <c r="F145" s="126"/>
      <c r="G145" s="128"/>
      <c r="I145" s="130"/>
      <c r="J145" s="172"/>
      <c r="K145" s="192"/>
      <c r="L145" s="192"/>
      <c r="M145" s="192"/>
      <c r="N145" s="125"/>
      <c r="O145" s="194"/>
      <c r="P145" s="128"/>
      <c r="R145" s="130"/>
      <c r="S145" s="172"/>
      <c r="T145" s="192"/>
      <c r="U145" s="192"/>
      <c r="V145" s="192"/>
      <c r="W145" s="192"/>
      <c r="X145" s="128"/>
    </row>
    <row r="146" spans="1:24">
      <c r="A146" s="172"/>
      <c r="B146" s="192"/>
      <c r="C146" s="192"/>
      <c r="D146" s="192"/>
      <c r="E146" s="128"/>
      <c r="F146" s="194"/>
      <c r="G146" s="128"/>
      <c r="I146" s="130"/>
      <c r="J146" s="172"/>
      <c r="K146" s="192"/>
      <c r="L146" s="192"/>
      <c r="M146" s="192"/>
      <c r="N146" s="125"/>
      <c r="O146" s="194"/>
      <c r="P146" s="128"/>
      <c r="R146" s="130"/>
      <c r="S146" s="172"/>
      <c r="T146" s="192"/>
      <c r="U146" s="192"/>
      <c r="V146" s="192"/>
      <c r="W146" s="194"/>
      <c r="X146" s="128"/>
    </row>
    <row r="147" spans="1:24">
      <c r="A147" s="172"/>
      <c r="B147" s="192"/>
      <c r="C147" s="192"/>
      <c r="D147" s="192"/>
      <c r="E147" s="128"/>
      <c r="F147" s="192"/>
      <c r="G147" s="128"/>
      <c r="I147" s="130"/>
      <c r="J147" s="172"/>
      <c r="K147" s="192"/>
      <c r="L147" s="192"/>
      <c r="M147" s="192"/>
      <c r="N147" s="125"/>
      <c r="O147" s="194"/>
      <c r="P147" s="128"/>
      <c r="R147" s="130"/>
      <c r="S147" s="172"/>
      <c r="T147" s="192"/>
      <c r="U147" s="192"/>
      <c r="V147" s="192"/>
      <c r="W147" s="194"/>
      <c r="X147" s="128"/>
    </row>
    <row r="148" spans="1:24">
      <c r="A148" s="172"/>
      <c r="B148" s="192"/>
      <c r="C148" s="192"/>
      <c r="D148" s="192"/>
      <c r="E148" s="128"/>
      <c r="F148" s="194"/>
      <c r="G148" s="128"/>
      <c r="I148" s="130"/>
      <c r="J148" s="172"/>
      <c r="K148" s="192"/>
      <c r="L148" s="192"/>
      <c r="M148" s="192"/>
      <c r="N148" s="125"/>
      <c r="O148" s="194"/>
      <c r="P148" s="128"/>
      <c r="R148" s="130"/>
      <c r="S148" s="172"/>
      <c r="T148" s="192"/>
      <c r="U148" s="192"/>
      <c r="V148" s="192"/>
      <c r="W148" s="194"/>
      <c r="X148" s="128"/>
    </row>
    <row r="149" spans="1:24">
      <c r="A149" s="172"/>
      <c r="B149" s="192"/>
      <c r="C149" s="192"/>
      <c r="D149" s="192"/>
      <c r="E149" s="128"/>
      <c r="F149" s="194"/>
      <c r="G149" s="128"/>
      <c r="I149" s="130"/>
      <c r="J149" s="172"/>
      <c r="K149" s="192"/>
      <c r="L149" s="192"/>
      <c r="M149" s="192"/>
      <c r="N149" s="125"/>
      <c r="O149" s="194"/>
      <c r="P149" s="128"/>
      <c r="R149" s="130"/>
      <c r="S149" s="172"/>
      <c r="T149" s="192"/>
      <c r="U149" s="192"/>
      <c r="V149" s="192"/>
      <c r="W149" s="194"/>
      <c r="X149" s="128"/>
    </row>
    <row r="150" spans="1:24">
      <c r="A150" s="172"/>
      <c r="B150" s="192"/>
      <c r="C150" s="192"/>
      <c r="D150" s="192"/>
      <c r="E150" s="128"/>
      <c r="F150" s="194"/>
      <c r="G150" s="128"/>
      <c r="I150" s="130"/>
      <c r="J150" s="172"/>
      <c r="K150" s="192"/>
      <c r="L150" s="192"/>
      <c r="M150" s="192"/>
      <c r="N150" s="125"/>
      <c r="O150" s="194"/>
      <c r="P150" s="128"/>
      <c r="R150" s="130"/>
      <c r="S150" s="172"/>
      <c r="T150" s="192"/>
      <c r="U150" s="192"/>
      <c r="V150" s="192"/>
      <c r="W150" s="194"/>
      <c r="X150" s="128"/>
    </row>
    <row r="151" spans="1:24">
      <c r="A151" s="172"/>
      <c r="B151" s="192"/>
      <c r="C151" s="192"/>
      <c r="D151" s="192"/>
      <c r="E151" s="128"/>
      <c r="F151" s="194"/>
      <c r="G151" s="128"/>
      <c r="I151" s="130"/>
      <c r="J151" s="172"/>
      <c r="K151" s="192"/>
      <c r="L151" s="192"/>
      <c r="M151" s="192"/>
      <c r="N151" s="125"/>
      <c r="O151" s="194"/>
      <c r="P151" s="128"/>
      <c r="R151" s="130"/>
      <c r="S151" s="172"/>
      <c r="T151" s="192"/>
      <c r="U151" s="192"/>
      <c r="V151" s="192"/>
      <c r="W151" s="194"/>
      <c r="X151" s="128"/>
    </row>
    <row r="152" spans="1:24">
      <c r="A152" s="172"/>
      <c r="B152" s="192"/>
      <c r="C152" s="192"/>
      <c r="D152" s="192"/>
      <c r="E152" s="128"/>
      <c r="F152" s="194"/>
      <c r="G152" s="128"/>
      <c r="I152" s="130"/>
      <c r="J152" s="172"/>
      <c r="K152" s="192"/>
      <c r="L152" s="192"/>
      <c r="M152" s="192"/>
      <c r="N152" s="125"/>
      <c r="O152" s="194"/>
      <c r="P152" s="128"/>
      <c r="R152" s="130"/>
      <c r="S152" s="172"/>
      <c r="T152" s="192"/>
      <c r="U152" s="192"/>
      <c r="V152" s="192"/>
      <c r="W152" s="194"/>
      <c r="X152" s="128"/>
    </row>
    <row r="153" spans="1:24">
      <c r="A153" s="172"/>
      <c r="B153" s="192"/>
      <c r="C153" s="192"/>
      <c r="D153" s="192"/>
      <c r="E153" s="128"/>
      <c r="F153" s="194"/>
      <c r="G153" s="128"/>
      <c r="I153" s="130"/>
      <c r="J153" s="172"/>
      <c r="K153" s="192"/>
      <c r="L153" s="192"/>
      <c r="M153" s="192"/>
      <c r="N153" s="125"/>
      <c r="O153" s="194"/>
      <c r="P153" s="128"/>
      <c r="R153" s="130"/>
      <c r="S153" s="172"/>
      <c r="T153" s="192"/>
      <c r="U153" s="192"/>
      <c r="V153" s="192"/>
      <c r="W153" s="194"/>
      <c r="X153" s="128"/>
    </row>
    <row r="154" spans="1:24">
      <c r="A154" s="172"/>
      <c r="B154" s="192"/>
      <c r="C154" s="192"/>
      <c r="D154" s="192"/>
      <c r="E154" s="128"/>
      <c r="F154" s="194"/>
      <c r="G154" s="128"/>
      <c r="I154" s="130"/>
      <c r="J154" s="172"/>
      <c r="K154" s="192"/>
      <c r="L154" s="192"/>
      <c r="M154" s="192"/>
      <c r="N154" s="125"/>
      <c r="O154" s="194"/>
      <c r="P154" s="128"/>
      <c r="R154" s="130"/>
      <c r="S154" s="172"/>
      <c r="T154" s="192"/>
      <c r="U154" s="192"/>
      <c r="V154" s="192"/>
      <c r="W154" s="192"/>
      <c r="X154" s="128"/>
    </row>
    <row r="155" spans="1:24">
      <c r="A155" s="172"/>
      <c r="B155" s="192"/>
      <c r="C155" s="192"/>
      <c r="D155" s="192"/>
      <c r="E155" s="128"/>
      <c r="F155" s="194"/>
      <c r="G155" s="128"/>
      <c r="I155" s="130"/>
      <c r="J155" s="172"/>
      <c r="K155" s="192"/>
      <c r="L155" s="192"/>
      <c r="M155" s="192"/>
      <c r="N155" s="125"/>
      <c r="O155" s="194"/>
      <c r="P155" s="128"/>
      <c r="R155" s="130"/>
      <c r="S155" s="172"/>
      <c r="T155" s="192"/>
      <c r="U155" s="192"/>
      <c r="V155" s="192"/>
      <c r="W155" s="194"/>
      <c r="X155" s="128"/>
    </row>
    <row r="156" spans="1:24">
      <c r="A156" s="172"/>
      <c r="B156" s="192"/>
      <c r="C156" s="192"/>
      <c r="D156" s="192"/>
      <c r="E156" s="128"/>
      <c r="F156" s="192"/>
      <c r="G156" s="128"/>
      <c r="I156" s="130"/>
      <c r="J156" s="172"/>
      <c r="K156" s="192"/>
      <c r="L156" s="192"/>
      <c r="M156" s="192"/>
      <c r="N156" s="125"/>
      <c r="O156" s="194"/>
      <c r="P156" s="128"/>
      <c r="R156" s="130"/>
      <c r="S156" s="172"/>
      <c r="T156" s="192"/>
      <c r="U156" s="192"/>
      <c r="V156" s="192"/>
      <c r="W156" s="194"/>
      <c r="X156" s="128"/>
    </row>
    <row r="157" spans="1:24">
      <c r="A157" s="172"/>
      <c r="B157" s="192"/>
      <c r="C157" s="192"/>
      <c r="D157" s="192"/>
      <c r="E157" s="128"/>
      <c r="F157" s="194"/>
      <c r="G157" s="128"/>
      <c r="I157" s="130"/>
      <c r="J157" s="172"/>
      <c r="K157" s="192"/>
      <c r="L157" s="192"/>
      <c r="M157" s="192"/>
      <c r="N157" s="125"/>
      <c r="O157" s="194"/>
      <c r="P157" s="128"/>
      <c r="R157" s="130"/>
      <c r="S157" s="172"/>
      <c r="T157" s="192"/>
      <c r="U157" s="192"/>
      <c r="V157" s="192"/>
      <c r="W157" s="192"/>
      <c r="X157" s="128"/>
    </row>
    <row r="158" spans="1:24">
      <c r="A158" s="172"/>
      <c r="B158" s="192"/>
      <c r="C158" s="192"/>
      <c r="D158" s="192"/>
      <c r="E158" s="128"/>
      <c r="F158" s="194"/>
      <c r="G158" s="128"/>
      <c r="I158" s="130"/>
      <c r="J158" s="172"/>
      <c r="K158" s="192"/>
      <c r="L158" s="192"/>
      <c r="M158" s="192"/>
      <c r="N158" s="125"/>
      <c r="O158" s="194"/>
      <c r="P158" s="128"/>
      <c r="R158" s="130"/>
      <c r="S158" s="172"/>
      <c r="T158" s="192"/>
      <c r="U158" s="192"/>
      <c r="V158" s="192"/>
      <c r="W158" s="194"/>
      <c r="X158" s="128"/>
    </row>
    <row r="159" spans="1:24">
      <c r="A159" s="172"/>
      <c r="B159" s="192"/>
      <c r="C159" s="192"/>
      <c r="D159" s="192"/>
      <c r="E159" s="128"/>
      <c r="F159" s="192"/>
      <c r="G159" s="128"/>
      <c r="I159" s="130"/>
      <c r="J159" s="172"/>
      <c r="K159" s="192"/>
      <c r="L159" s="192"/>
      <c r="M159" s="192"/>
      <c r="N159" s="125"/>
      <c r="O159" s="194"/>
      <c r="P159" s="128"/>
      <c r="R159" s="130"/>
      <c r="S159" s="172"/>
      <c r="T159" s="192"/>
      <c r="U159" s="192"/>
      <c r="V159" s="192"/>
      <c r="W159" s="194"/>
      <c r="X159" s="128"/>
    </row>
    <row r="160" spans="1:24">
      <c r="A160" s="172"/>
      <c r="B160" s="192"/>
      <c r="C160" s="192"/>
      <c r="D160" s="192"/>
      <c r="E160" s="128"/>
      <c r="F160" s="194"/>
      <c r="G160" s="128"/>
      <c r="I160" s="130"/>
      <c r="J160" s="172"/>
      <c r="K160" s="192"/>
      <c r="L160" s="192"/>
      <c r="M160" s="192"/>
      <c r="N160" s="125"/>
      <c r="O160" s="194"/>
      <c r="P160" s="128"/>
      <c r="R160" s="130"/>
      <c r="S160" s="172"/>
      <c r="T160" s="192"/>
      <c r="U160" s="192"/>
      <c r="V160" s="192"/>
      <c r="W160" s="194"/>
      <c r="X160" s="128"/>
    </row>
    <row r="161" spans="1:24">
      <c r="A161" s="172"/>
      <c r="B161" s="192"/>
      <c r="C161" s="192"/>
      <c r="D161" s="192"/>
      <c r="E161" s="128"/>
      <c r="F161" s="194"/>
      <c r="G161" s="128"/>
      <c r="I161" s="130"/>
      <c r="J161" s="172"/>
      <c r="K161" s="192"/>
      <c r="L161" s="192"/>
      <c r="M161" s="192"/>
      <c r="N161" s="125"/>
      <c r="O161" s="194"/>
      <c r="P161" s="128"/>
      <c r="R161" s="130"/>
      <c r="S161" s="172"/>
      <c r="T161" s="192"/>
      <c r="U161" s="192"/>
      <c r="V161" s="192"/>
      <c r="W161" s="194"/>
      <c r="X161" s="128"/>
    </row>
    <row r="162" spans="1:24">
      <c r="A162" s="172"/>
      <c r="B162" s="192"/>
      <c r="C162" s="192"/>
      <c r="D162" s="192"/>
      <c r="E162" s="128"/>
      <c r="F162" s="194"/>
      <c r="G162" s="128"/>
      <c r="I162" s="130"/>
      <c r="J162" s="172"/>
      <c r="K162" s="192"/>
      <c r="L162" s="192"/>
      <c r="M162" s="192"/>
      <c r="N162" s="125"/>
      <c r="O162" s="194"/>
      <c r="P162" s="128"/>
      <c r="R162" s="130"/>
      <c r="S162" s="172"/>
      <c r="T162" s="192"/>
      <c r="U162" s="192"/>
      <c r="V162" s="192"/>
      <c r="W162" s="194"/>
      <c r="X162" s="128"/>
    </row>
    <row r="163" spans="1:24">
      <c r="A163" s="172"/>
      <c r="B163" s="192"/>
      <c r="C163" s="192"/>
      <c r="D163" s="192"/>
      <c r="E163" s="128"/>
      <c r="F163" s="194"/>
      <c r="G163" s="128"/>
      <c r="I163" s="130"/>
      <c r="J163" s="172"/>
      <c r="K163" s="192"/>
      <c r="L163" s="192"/>
      <c r="M163" s="192"/>
      <c r="N163" s="125"/>
      <c r="O163" s="194"/>
      <c r="P163" s="128"/>
      <c r="R163" s="130"/>
      <c r="S163" s="172"/>
      <c r="T163" s="192"/>
      <c r="U163" s="192"/>
      <c r="V163" s="192"/>
      <c r="W163" s="194"/>
      <c r="X163" s="128"/>
    </row>
    <row r="164" spans="1:24">
      <c r="A164" s="172"/>
      <c r="B164" s="192"/>
      <c r="C164" s="192"/>
      <c r="D164" s="192"/>
      <c r="E164" s="128"/>
      <c r="F164" s="194"/>
      <c r="G164" s="128"/>
      <c r="I164" s="130"/>
      <c r="J164" s="172"/>
      <c r="K164" s="192"/>
      <c r="L164" s="192"/>
      <c r="M164" s="192"/>
      <c r="N164" s="125"/>
      <c r="O164" s="194"/>
      <c r="P164" s="128"/>
      <c r="R164" s="130"/>
      <c r="S164" s="172"/>
      <c r="T164" s="192"/>
      <c r="U164" s="192"/>
      <c r="V164" s="192"/>
      <c r="W164" s="194"/>
      <c r="X164" s="128"/>
    </row>
    <row r="165" spans="1:24">
      <c r="A165" s="172"/>
      <c r="B165" s="192"/>
      <c r="C165" s="192"/>
      <c r="D165" s="192"/>
      <c r="E165" s="128"/>
      <c r="F165" s="194"/>
      <c r="G165" s="128"/>
      <c r="I165" s="130"/>
      <c r="J165" s="172"/>
      <c r="K165" s="192"/>
      <c r="L165" s="192"/>
      <c r="M165" s="192"/>
      <c r="N165" s="125"/>
      <c r="O165" s="194"/>
      <c r="P165" s="128"/>
      <c r="R165" s="130"/>
      <c r="S165" s="172"/>
      <c r="T165" s="192"/>
      <c r="U165" s="192"/>
      <c r="V165" s="192"/>
      <c r="W165" s="194"/>
      <c r="X165" s="128"/>
    </row>
    <row r="166" spans="1:24">
      <c r="A166" s="172"/>
      <c r="B166" s="192"/>
      <c r="C166" s="192"/>
      <c r="D166" s="192"/>
      <c r="E166" s="128"/>
      <c r="F166" s="194"/>
      <c r="G166" s="128"/>
      <c r="I166" s="130"/>
      <c r="J166" s="172"/>
      <c r="K166" s="192"/>
      <c r="L166" s="192"/>
      <c r="M166" s="192"/>
      <c r="N166" s="125"/>
      <c r="O166" s="194"/>
      <c r="P166" s="128"/>
      <c r="R166" s="130"/>
      <c r="S166" s="172"/>
      <c r="T166" s="192"/>
      <c r="U166" s="192"/>
      <c r="V166" s="192"/>
      <c r="W166" s="194"/>
      <c r="X166" s="128"/>
    </row>
    <row r="167" spans="1:24">
      <c r="A167" s="172"/>
      <c r="B167" s="192"/>
      <c r="C167" s="192"/>
      <c r="D167" s="192"/>
      <c r="E167" s="128"/>
      <c r="F167" s="194"/>
      <c r="G167" s="128"/>
      <c r="I167" s="130"/>
      <c r="J167" s="172"/>
      <c r="K167" s="192"/>
      <c r="L167" s="192"/>
      <c r="M167" s="192"/>
      <c r="N167" s="125"/>
      <c r="O167" s="194"/>
      <c r="P167" s="128"/>
      <c r="R167" s="130"/>
      <c r="S167" s="172"/>
      <c r="T167" s="192"/>
      <c r="U167" s="192"/>
      <c r="V167" s="192"/>
      <c r="W167" s="194"/>
      <c r="X167" s="128"/>
    </row>
    <row r="168" spans="1:24">
      <c r="A168" s="172"/>
      <c r="B168" s="192"/>
      <c r="C168" s="192"/>
      <c r="D168" s="192"/>
      <c r="E168" s="128"/>
      <c r="F168" s="194"/>
      <c r="G168" s="128"/>
      <c r="I168" s="130"/>
      <c r="J168" s="172"/>
      <c r="K168" s="192"/>
      <c r="L168" s="192"/>
      <c r="M168" s="192"/>
      <c r="N168" s="125"/>
      <c r="O168" s="194"/>
      <c r="P168" s="128"/>
      <c r="R168" s="130"/>
      <c r="S168" s="172"/>
      <c r="T168" s="192"/>
      <c r="U168" s="192"/>
      <c r="V168" s="192"/>
      <c r="W168" s="194"/>
      <c r="X168" s="128"/>
    </row>
    <row r="169" spans="1:24">
      <c r="A169" s="172"/>
      <c r="B169" s="192"/>
      <c r="C169" s="192"/>
      <c r="D169" s="192"/>
      <c r="E169" s="128"/>
      <c r="F169" s="194"/>
      <c r="G169" s="128"/>
      <c r="I169" s="130"/>
      <c r="J169" s="172"/>
      <c r="K169" s="192"/>
      <c r="L169" s="192"/>
      <c r="M169" s="192"/>
      <c r="N169" s="125"/>
      <c r="O169" s="194"/>
      <c r="P169" s="128"/>
      <c r="R169" s="130"/>
      <c r="S169" s="172"/>
      <c r="T169" s="192"/>
      <c r="U169" s="192"/>
      <c r="V169" s="192"/>
      <c r="W169" s="194"/>
      <c r="X169" s="128"/>
    </row>
    <row r="170" spans="1:24">
      <c r="A170" s="172"/>
      <c r="B170" s="192"/>
      <c r="C170" s="192"/>
      <c r="D170" s="192"/>
      <c r="E170" s="128"/>
      <c r="F170" s="194"/>
      <c r="G170" s="128"/>
      <c r="I170" s="130"/>
      <c r="J170" s="172"/>
      <c r="K170" s="192"/>
      <c r="L170" s="192"/>
      <c r="M170" s="192"/>
      <c r="N170" s="125"/>
      <c r="O170" s="194"/>
      <c r="P170" s="128"/>
      <c r="R170" s="130"/>
      <c r="S170" s="172"/>
      <c r="T170" s="192"/>
      <c r="U170" s="192"/>
      <c r="V170" s="192"/>
      <c r="W170" s="194"/>
      <c r="X170" s="128"/>
    </row>
    <row r="171" spans="1:24">
      <c r="A171" s="172"/>
      <c r="B171" s="192"/>
      <c r="C171" s="192"/>
      <c r="D171" s="192"/>
      <c r="E171" s="128"/>
      <c r="F171" s="194"/>
      <c r="G171" s="128"/>
      <c r="I171" s="130"/>
      <c r="J171" s="172"/>
      <c r="K171" s="192"/>
      <c r="L171" s="192"/>
      <c r="M171" s="192"/>
      <c r="N171" s="125"/>
      <c r="O171" s="194"/>
      <c r="P171" s="128"/>
      <c r="R171" s="130"/>
      <c r="S171" s="172"/>
      <c r="T171" s="192"/>
      <c r="U171" s="192"/>
      <c r="V171" s="192"/>
      <c r="W171" s="194"/>
      <c r="X171" s="128"/>
    </row>
    <row r="172" spans="1:24">
      <c r="A172" s="172"/>
      <c r="B172" s="192"/>
      <c r="C172" s="192"/>
      <c r="D172" s="192"/>
      <c r="E172" s="128"/>
      <c r="F172" s="194"/>
      <c r="G172" s="128"/>
      <c r="I172" s="130"/>
      <c r="J172" s="172"/>
      <c r="K172" s="192"/>
      <c r="L172" s="192"/>
      <c r="M172" s="192"/>
      <c r="N172" s="125"/>
      <c r="O172" s="194"/>
      <c r="P172" s="128"/>
      <c r="R172" s="130"/>
      <c r="S172" s="172"/>
      <c r="T172" s="192"/>
      <c r="U172" s="192"/>
      <c r="V172" s="192"/>
      <c r="W172" s="194"/>
      <c r="X172" s="128"/>
    </row>
    <row r="173" spans="1:24">
      <c r="A173" s="172"/>
      <c r="B173" s="192"/>
      <c r="C173" s="192"/>
      <c r="D173" s="192"/>
      <c r="E173" s="128"/>
      <c r="F173" s="194"/>
      <c r="G173" s="128"/>
      <c r="I173" s="130"/>
      <c r="J173" s="172"/>
      <c r="K173" s="192"/>
      <c r="L173" s="192"/>
      <c r="M173" s="192"/>
      <c r="N173" s="125"/>
      <c r="O173" s="194"/>
      <c r="P173" s="128"/>
      <c r="R173" s="130"/>
      <c r="S173" s="172"/>
      <c r="T173" s="192"/>
      <c r="U173" s="192"/>
      <c r="V173" s="192"/>
      <c r="W173" s="194"/>
      <c r="X173" s="128"/>
    </row>
    <row r="174" spans="1:24">
      <c r="A174" s="172"/>
      <c r="B174" s="192"/>
      <c r="C174" s="192"/>
      <c r="D174" s="192"/>
      <c r="E174" s="128"/>
      <c r="F174" s="194"/>
      <c r="G174" s="128"/>
      <c r="I174" s="130"/>
      <c r="J174" s="172"/>
      <c r="K174" s="192"/>
      <c r="L174" s="192"/>
      <c r="M174" s="192"/>
      <c r="N174" s="125"/>
      <c r="O174" s="194"/>
      <c r="P174" s="128"/>
      <c r="R174" s="130"/>
      <c r="S174" s="172"/>
      <c r="T174" s="192"/>
      <c r="U174" s="192"/>
      <c r="V174" s="192"/>
      <c r="W174" s="194"/>
      <c r="X174" s="128"/>
    </row>
    <row r="175" spans="1:24">
      <c r="A175" s="172"/>
      <c r="B175" s="192"/>
      <c r="C175" s="192"/>
      <c r="D175" s="192"/>
      <c r="E175" s="128"/>
      <c r="F175" s="194"/>
      <c r="G175" s="128"/>
      <c r="I175" s="130"/>
      <c r="J175" s="172"/>
      <c r="K175" s="192"/>
      <c r="L175" s="192"/>
      <c r="M175" s="192"/>
      <c r="N175" s="125"/>
      <c r="O175" s="194"/>
      <c r="P175" s="128"/>
      <c r="R175" s="130"/>
      <c r="S175" s="172"/>
      <c r="T175" s="192"/>
      <c r="U175" s="192"/>
      <c r="V175" s="192"/>
      <c r="W175" s="194"/>
      <c r="X175" s="128"/>
    </row>
    <row r="176" spans="1:24">
      <c r="A176" s="172"/>
      <c r="B176" s="192"/>
      <c r="C176" s="192"/>
      <c r="D176" s="192"/>
      <c r="E176" s="128"/>
      <c r="F176" s="194"/>
      <c r="G176" s="128"/>
      <c r="I176" s="130"/>
      <c r="J176" s="172"/>
      <c r="K176" s="192"/>
      <c r="L176" s="192"/>
      <c r="M176" s="192"/>
      <c r="N176" s="125"/>
      <c r="O176" s="192"/>
      <c r="P176" s="128"/>
      <c r="R176" s="130"/>
      <c r="S176" s="172"/>
      <c r="T176" s="192"/>
      <c r="U176" s="192"/>
      <c r="V176" s="192"/>
      <c r="W176" s="194"/>
      <c r="X176" s="128"/>
    </row>
    <row r="177" spans="1:24">
      <c r="A177" s="172"/>
      <c r="B177" s="192"/>
      <c r="C177" s="192"/>
      <c r="D177" s="192"/>
      <c r="E177" s="128"/>
      <c r="F177" s="194"/>
      <c r="G177" s="128"/>
      <c r="I177" s="130"/>
      <c r="J177" s="172"/>
      <c r="K177" s="192"/>
      <c r="L177" s="192"/>
      <c r="M177" s="192"/>
      <c r="N177" s="125"/>
      <c r="O177" s="192"/>
      <c r="P177" s="128"/>
      <c r="R177" s="130"/>
      <c r="S177" s="172"/>
      <c r="T177" s="192"/>
      <c r="U177" s="192"/>
      <c r="V177" s="192"/>
      <c r="W177" s="194"/>
      <c r="X177" s="128"/>
    </row>
    <row r="178" spans="1:24">
      <c r="A178" s="172"/>
      <c r="B178" s="192"/>
      <c r="C178" s="192"/>
      <c r="D178" s="192"/>
      <c r="E178" s="128"/>
      <c r="F178" s="194"/>
      <c r="G178" s="128"/>
      <c r="I178" s="130"/>
      <c r="J178" s="172"/>
      <c r="K178" s="192"/>
      <c r="L178" s="192"/>
      <c r="M178" s="192"/>
      <c r="N178" s="125"/>
      <c r="O178" s="192"/>
      <c r="P178" s="128"/>
      <c r="R178" s="130"/>
      <c r="S178" s="172"/>
      <c r="T178" s="192"/>
      <c r="U178" s="192"/>
      <c r="V178" s="192"/>
      <c r="W178" s="194"/>
      <c r="X178" s="128"/>
    </row>
    <row r="179" spans="1:24">
      <c r="A179" s="172"/>
      <c r="B179" s="192"/>
      <c r="C179" s="192"/>
      <c r="D179" s="192"/>
      <c r="E179" s="128"/>
      <c r="F179" s="194"/>
      <c r="G179" s="128"/>
      <c r="I179" s="130"/>
      <c r="J179" s="172"/>
      <c r="K179" s="192"/>
      <c r="L179" s="192"/>
      <c r="M179" s="192"/>
      <c r="N179" s="125"/>
      <c r="O179" s="192"/>
      <c r="P179" s="128"/>
      <c r="R179" s="130"/>
      <c r="S179" s="172"/>
      <c r="T179" s="192"/>
      <c r="U179" s="192"/>
      <c r="V179" s="192"/>
      <c r="W179" s="194"/>
      <c r="X179" s="128"/>
    </row>
    <row r="180" spans="1:24">
      <c r="A180" s="172"/>
      <c r="B180" s="192"/>
      <c r="C180" s="192"/>
      <c r="D180" s="192"/>
      <c r="E180" s="128"/>
      <c r="F180" s="194"/>
      <c r="G180" s="128"/>
      <c r="I180" s="130"/>
      <c r="J180" s="172"/>
      <c r="K180" s="192"/>
      <c r="L180" s="192"/>
      <c r="M180" s="192"/>
      <c r="N180" s="125"/>
      <c r="O180" s="192"/>
      <c r="P180" s="128"/>
      <c r="R180" s="130"/>
      <c r="S180" s="172"/>
      <c r="T180" s="192"/>
      <c r="U180" s="192"/>
      <c r="V180" s="192"/>
      <c r="W180" s="194"/>
      <c r="X180" s="128"/>
    </row>
    <row r="181" spans="1:24">
      <c r="A181" s="172"/>
      <c r="B181" s="192"/>
      <c r="C181" s="192"/>
      <c r="D181" s="192"/>
      <c r="E181" s="128"/>
      <c r="F181" s="194"/>
      <c r="G181" s="128"/>
      <c r="I181" s="130"/>
      <c r="J181" s="172"/>
      <c r="K181" s="192"/>
      <c r="L181" s="192"/>
      <c r="M181" s="192"/>
      <c r="N181" s="125"/>
      <c r="O181" s="192"/>
      <c r="P181" s="128"/>
      <c r="R181" s="130"/>
      <c r="S181" s="172"/>
      <c r="T181" s="192"/>
      <c r="U181" s="192"/>
      <c r="V181" s="192"/>
      <c r="W181" s="194"/>
      <c r="X181" s="128"/>
    </row>
    <row r="182" spans="1:24">
      <c r="A182" s="172"/>
      <c r="B182" s="192"/>
      <c r="C182" s="192"/>
      <c r="D182" s="192"/>
      <c r="E182" s="128"/>
      <c r="F182" s="194"/>
      <c r="G182" s="128"/>
      <c r="I182" s="130"/>
      <c r="J182" s="172"/>
      <c r="K182" s="192"/>
      <c r="L182" s="192"/>
      <c r="M182" s="192"/>
      <c r="N182" s="125"/>
      <c r="O182" s="192"/>
      <c r="P182" s="128"/>
      <c r="R182" s="130"/>
      <c r="S182" s="172"/>
      <c r="T182" s="192"/>
      <c r="U182" s="192"/>
      <c r="V182" s="192"/>
      <c r="W182" s="194"/>
      <c r="X182" s="128"/>
    </row>
    <row r="183" spans="1:24">
      <c r="A183" s="172"/>
      <c r="B183" s="192"/>
      <c r="C183" s="192"/>
      <c r="D183" s="192"/>
      <c r="E183" s="128"/>
      <c r="F183" s="194"/>
      <c r="G183" s="128"/>
      <c r="I183" s="130"/>
      <c r="J183" s="172"/>
      <c r="K183" s="192"/>
      <c r="L183" s="192"/>
      <c r="M183" s="192"/>
      <c r="N183" s="125"/>
      <c r="O183" s="192"/>
      <c r="P183" s="128"/>
      <c r="R183" s="130"/>
      <c r="S183" s="172"/>
      <c r="T183" s="192"/>
      <c r="U183" s="192"/>
      <c r="V183" s="192"/>
      <c r="W183" s="194"/>
      <c r="X183" s="128"/>
    </row>
    <row r="184" spans="1:24">
      <c r="A184" s="172"/>
      <c r="B184" s="192"/>
      <c r="C184" s="192"/>
      <c r="D184" s="192"/>
      <c r="E184" s="128"/>
      <c r="F184" s="194"/>
      <c r="G184" s="128"/>
      <c r="I184" s="130"/>
      <c r="J184" s="172"/>
      <c r="K184" s="192"/>
      <c r="L184" s="192"/>
      <c r="M184" s="192"/>
      <c r="N184" s="125"/>
      <c r="O184" s="192"/>
      <c r="P184" s="128"/>
      <c r="R184" s="130"/>
      <c r="S184" s="172"/>
      <c r="T184" s="192"/>
      <c r="U184" s="192"/>
      <c r="V184" s="192"/>
      <c r="W184" s="194"/>
      <c r="X184" s="128"/>
    </row>
    <row r="185" spans="1:24">
      <c r="A185" s="172"/>
      <c r="B185" s="192"/>
      <c r="C185" s="192"/>
      <c r="D185" s="192"/>
      <c r="E185" s="128"/>
      <c r="F185" s="194"/>
      <c r="G185" s="128"/>
      <c r="I185" s="130"/>
      <c r="J185" s="172"/>
      <c r="K185" s="192"/>
      <c r="L185" s="192"/>
      <c r="M185" s="192"/>
      <c r="N185" s="125"/>
      <c r="O185" s="192"/>
      <c r="P185" s="128"/>
      <c r="R185" s="130"/>
      <c r="S185" s="172"/>
      <c r="T185" s="192"/>
      <c r="U185" s="192"/>
      <c r="V185" s="192"/>
      <c r="W185" s="194"/>
      <c r="X185" s="128"/>
    </row>
    <row r="186" spans="1:24">
      <c r="A186" s="172"/>
      <c r="B186" s="192"/>
      <c r="C186" s="192"/>
      <c r="D186" s="192"/>
      <c r="E186" s="128"/>
      <c r="F186" s="194"/>
      <c r="G186" s="128"/>
      <c r="I186" s="130"/>
      <c r="J186" s="172"/>
      <c r="K186" s="192"/>
      <c r="L186" s="192"/>
      <c r="M186" s="192"/>
      <c r="N186" s="125"/>
      <c r="O186" s="192"/>
      <c r="P186" s="128"/>
      <c r="R186" s="130"/>
      <c r="S186" s="172"/>
      <c r="T186" s="192"/>
      <c r="U186" s="192"/>
      <c r="V186" s="192"/>
      <c r="W186" s="194"/>
      <c r="X186" s="128"/>
    </row>
    <row r="187" spans="1:24">
      <c r="A187" s="172"/>
      <c r="B187" s="192"/>
      <c r="C187" s="192"/>
      <c r="D187" s="192"/>
      <c r="E187" s="128"/>
      <c r="F187" s="194"/>
      <c r="G187" s="128"/>
      <c r="I187" s="130"/>
      <c r="J187" s="172"/>
      <c r="K187" s="192"/>
      <c r="L187" s="192"/>
      <c r="M187" s="192"/>
      <c r="N187" s="125"/>
      <c r="O187" s="192"/>
      <c r="P187" s="128"/>
      <c r="R187" s="130"/>
      <c r="S187" s="172"/>
      <c r="T187" s="192"/>
      <c r="U187" s="192"/>
      <c r="V187" s="192"/>
      <c r="W187" s="194"/>
      <c r="X187" s="128"/>
    </row>
    <row r="188" spans="1:24">
      <c r="A188" s="172"/>
      <c r="B188" s="192"/>
      <c r="C188" s="192"/>
      <c r="D188" s="192"/>
      <c r="E188" s="128"/>
      <c r="F188" s="194"/>
      <c r="G188" s="128"/>
      <c r="I188" s="130"/>
      <c r="J188" s="172"/>
      <c r="K188" s="192"/>
      <c r="L188" s="192"/>
      <c r="M188" s="192"/>
      <c r="N188" s="125"/>
      <c r="O188" s="192"/>
      <c r="P188" s="128"/>
      <c r="R188" s="130"/>
      <c r="S188" s="172"/>
      <c r="T188" s="192"/>
      <c r="U188" s="192"/>
      <c r="V188" s="192"/>
      <c r="W188" s="194"/>
      <c r="X188" s="128"/>
    </row>
    <row r="189" spans="1:24">
      <c r="A189" s="172"/>
      <c r="B189" s="192"/>
      <c r="C189" s="192"/>
      <c r="D189" s="192"/>
      <c r="E189" s="128"/>
      <c r="F189" s="194"/>
      <c r="G189" s="128"/>
      <c r="I189" s="130"/>
      <c r="J189" s="172"/>
      <c r="K189" s="192"/>
      <c r="L189" s="192"/>
      <c r="M189" s="192"/>
      <c r="N189" s="125"/>
      <c r="O189" s="192"/>
      <c r="P189" s="128"/>
      <c r="R189" s="130"/>
      <c r="S189" s="172"/>
      <c r="T189" s="192"/>
      <c r="U189" s="192"/>
      <c r="V189" s="192"/>
      <c r="W189" s="194"/>
      <c r="X189" s="128"/>
    </row>
    <row r="190" spans="1:24">
      <c r="A190" s="172"/>
      <c r="B190" s="192"/>
      <c r="C190" s="192"/>
      <c r="D190" s="192"/>
      <c r="E190" s="128"/>
      <c r="F190" s="194"/>
      <c r="G190" s="128"/>
      <c r="I190" s="130"/>
      <c r="J190" s="172"/>
      <c r="K190" s="192"/>
      <c r="L190" s="192"/>
      <c r="M190" s="192"/>
      <c r="N190" s="125"/>
      <c r="O190" s="192"/>
      <c r="P190" s="128"/>
      <c r="R190" s="130"/>
      <c r="S190" s="172"/>
      <c r="T190" s="192"/>
      <c r="U190" s="192"/>
      <c r="V190" s="192"/>
      <c r="W190" s="194"/>
      <c r="X190" s="128"/>
    </row>
    <row r="191" spans="1:24">
      <c r="A191" s="172"/>
      <c r="B191" s="192"/>
      <c r="C191" s="192"/>
      <c r="D191" s="192"/>
      <c r="E191" s="128"/>
      <c r="F191" s="194"/>
      <c r="G191" s="128"/>
      <c r="I191" s="130"/>
      <c r="J191" s="172"/>
      <c r="K191" s="192"/>
      <c r="L191" s="192"/>
      <c r="M191" s="192"/>
      <c r="N191" s="125"/>
      <c r="O191" s="192"/>
      <c r="P191" s="128"/>
      <c r="R191" s="130"/>
      <c r="S191" s="172"/>
      <c r="T191" s="192"/>
      <c r="U191" s="192"/>
      <c r="V191" s="192"/>
      <c r="W191" s="194"/>
      <c r="X191" s="128"/>
    </row>
    <row r="192" spans="1:24">
      <c r="A192" s="172"/>
      <c r="B192" s="192"/>
      <c r="C192" s="192"/>
      <c r="D192" s="192"/>
      <c r="E192" s="128"/>
      <c r="F192" s="194"/>
      <c r="G192" s="128"/>
      <c r="I192" s="130"/>
      <c r="J192" s="172"/>
      <c r="K192" s="192"/>
      <c r="L192" s="192"/>
      <c r="M192" s="192"/>
      <c r="N192" s="125"/>
      <c r="O192" s="192"/>
      <c r="P192" s="128"/>
      <c r="R192" s="130"/>
      <c r="S192" s="172"/>
      <c r="T192" s="192"/>
      <c r="U192" s="192"/>
      <c r="V192" s="192"/>
      <c r="W192" s="194"/>
      <c r="X192" s="128"/>
    </row>
    <row r="193" spans="1:24">
      <c r="A193" s="172"/>
      <c r="B193" s="192"/>
      <c r="C193" s="192"/>
      <c r="D193" s="192"/>
      <c r="E193" s="128"/>
      <c r="F193" s="194"/>
      <c r="G193" s="128"/>
      <c r="I193" s="130"/>
      <c r="J193" s="172"/>
      <c r="K193" s="192"/>
      <c r="L193" s="192"/>
      <c r="M193" s="192"/>
      <c r="N193" s="125"/>
      <c r="O193" s="192"/>
      <c r="P193" s="128"/>
      <c r="R193" s="130"/>
      <c r="S193" s="172"/>
      <c r="T193" s="192"/>
      <c r="U193" s="192"/>
      <c r="V193" s="192"/>
      <c r="W193" s="192"/>
      <c r="X193" s="128"/>
    </row>
    <row r="194" spans="1:24">
      <c r="A194" s="172"/>
      <c r="B194" s="192"/>
      <c r="C194" s="192"/>
      <c r="D194" s="192"/>
      <c r="E194" s="128"/>
      <c r="F194" s="194"/>
      <c r="G194" s="128"/>
      <c r="I194" s="130"/>
      <c r="J194" s="172"/>
      <c r="K194" s="192"/>
      <c r="L194" s="192"/>
      <c r="M194" s="192"/>
      <c r="N194" s="125"/>
      <c r="O194" s="192"/>
      <c r="P194" s="128"/>
      <c r="R194" s="130"/>
      <c r="S194" s="172"/>
      <c r="T194" s="192"/>
      <c r="U194" s="192"/>
      <c r="V194" s="192"/>
      <c r="W194" s="192"/>
      <c r="X194" s="128"/>
    </row>
    <row r="195" spans="1:24">
      <c r="A195" s="172"/>
      <c r="B195" s="192"/>
      <c r="C195" s="192"/>
      <c r="D195" s="192"/>
      <c r="E195" s="128"/>
      <c r="F195" s="192"/>
      <c r="G195" s="128"/>
      <c r="I195" s="130"/>
      <c r="J195" s="172"/>
      <c r="K195" s="192"/>
      <c r="L195" s="192"/>
      <c r="M195" s="192"/>
      <c r="N195" s="125"/>
      <c r="O195" s="192"/>
      <c r="P195" s="128"/>
      <c r="R195" s="130"/>
      <c r="S195" s="172"/>
      <c r="T195" s="192"/>
      <c r="U195" s="192"/>
      <c r="V195" s="192"/>
      <c r="W195" s="192"/>
      <c r="X195" s="128"/>
    </row>
    <row r="196" spans="1:24">
      <c r="A196" s="172"/>
      <c r="B196" s="192"/>
      <c r="C196" s="192"/>
      <c r="D196" s="192"/>
      <c r="E196" s="128"/>
      <c r="F196" s="192"/>
      <c r="G196" s="128"/>
      <c r="I196" s="130"/>
      <c r="J196" s="172"/>
      <c r="K196" s="192"/>
      <c r="L196" s="192"/>
      <c r="M196" s="192"/>
      <c r="N196" s="125"/>
      <c r="O196" s="192"/>
      <c r="P196" s="128"/>
      <c r="R196" s="130"/>
      <c r="S196" s="172"/>
      <c r="T196" s="192"/>
      <c r="U196" s="192"/>
      <c r="V196" s="192"/>
      <c r="W196" s="192"/>
      <c r="X196" s="128"/>
    </row>
    <row r="197" spans="1:24">
      <c r="A197" s="172"/>
      <c r="B197" s="192"/>
      <c r="C197" s="192"/>
      <c r="D197" s="192"/>
      <c r="E197" s="128"/>
      <c r="F197" s="192"/>
      <c r="G197" s="128"/>
      <c r="I197" s="130"/>
      <c r="J197" s="172"/>
      <c r="K197" s="192"/>
      <c r="L197" s="192"/>
      <c r="M197" s="192"/>
      <c r="N197" s="125"/>
      <c r="O197" s="192"/>
      <c r="P197" s="128"/>
      <c r="R197" s="130"/>
      <c r="S197" s="172"/>
      <c r="T197" s="192"/>
      <c r="U197" s="192"/>
      <c r="V197" s="192"/>
      <c r="W197" s="192"/>
      <c r="X197" s="128"/>
    </row>
    <row r="198" spans="1:24">
      <c r="A198" s="172"/>
      <c r="B198" s="192"/>
      <c r="C198" s="192"/>
      <c r="D198" s="192"/>
      <c r="E198" s="128"/>
      <c r="F198" s="192"/>
      <c r="G198" s="128"/>
      <c r="I198" s="130"/>
      <c r="J198" s="172"/>
      <c r="K198" s="192"/>
      <c r="L198" s="192"/>
      <c r="M198" s="192"/>
      <c r="N198" s="125"/>
      <c r="O198" s="192"/>
      <c r="P198" s="128"/>
      <c r="R198" s="130"/>
      <c r="S198" s="172"/>
      <c r="T198" s="192"/>
      <c r="U198" s="192"/>
      <c r="V198" s="192"/>
      <c r="W198" s="192"/>
      <c r="X198" s="128"/>
    </row>
    <row r="199" spans="1:24">
      <c r="A199" s="172"/>
      <c r="B199" s="192"/>
      <c r="C199" s="192"/>
      <c r="D199" s="192"/>
      <c r="E199" s="128"/>
      <c r="F199" s="192"/>
      <c r="G199" s="128"/>
      <c r="I199" s="130"/>
      <c r="J199" s="172"/>
      <c r="K199" s="192"/>
      <c r="L199" s="192"/>
      <c r="M199" s="192"/>
      <c r="N199" s="125"/>
      <c r="O199" s="192"/>
      <c r="P199" s="128"/>
      <c r="R199" s="130"/>
      <c r="S199" s="172"/>
      <c r="T199" s="192"/>
      <c r="U199" s="192"/>
      <c r="V199" s="192"/>
      <c r="W199" s="192"/>
      <c r="X199" s="128"/>
    </row>
    <row r="200" spans="1:24">
      <c r="A200" s="172"/>
      <c r="B200" s="192"/>
      <c r="C200" s="192"/>
      <c r="D200" s="192"/>
      <c r="E200" s="128"/>
      <c r="F200" s="192"/>
      <c r="G200" s="128"/>
      <c r="I200" s="130"/>
      <c r="J200" s="172"/>
      <c r="K200" s="192"/>
      <c r="L200" s="192"/>
      <c r="M200" s="192"/>
      <c r="N200" s="125"/>
      <c r="O200" s="192"/>
      <c r="P200" s="128"/>
      <c r="R200" s="130"/>
      <c r="S200" s="172"/>
      <c r="T200" s="192"/>
      <c r="U200" s="192"/>
      <c r="V200" s="192"/>
      <c r="W200" s="192"/>
      <c r="X200" s="128"/>
    </row>
    <row r="201" spans="1:24">
      <c r="A201" s="172"/>
      <c r="B201" s="192"/>
      <c r="C201" s="192"/>
      <c r="D201" s="192"/>
      <c r="E201" s="128"/>
      <c r="F201" s="192"/>
      <c r="G201" s="128"/>
      <c r="I201" s="130"/>
      <c r="J201" s="172"/>
      <c r="K201" s="192"/>
      <c r="L201" s="192"/>
      <c r="M201" s="192"/>
      <c r="N201" s="125"/>
      <c r="O201" s="192"/>
      <c r="P201" s="128"/>
      <c r="R201" s="130"/>
      <c r="S201" s="172"/>
      <c r="T201" s="192"/>
      <c r="U201" s="192"/>
      <c r="V201" s="192"/>
      <c r="W201" s="192"/>
      <c r="X201" s="128"/>
    </row>
    <row r="202" spans="1:24">
      <c r="A202" s="172"/>
      <c r="B202" s="192"/>
      <c r="C202" s="192"/>
      <c r="D202" s="192"/>
      <c r="E202" s="128"/>
      <c r="F202" s="192"/>
      <c r="G202" s="128"/>
      <c r="I202" s="130"/>
      <c r="J202" s="172"/>
      <c r="K202" s="192"/>
      <c r="L202" s="192"/>
      <c r="M202" s="192"/>
      <c r="N202" s="125"/>
      <c r="O202" s="192"/>
      <c r="P202" s="128"/>
      <c r="S202" s="172"/>
      <c r="T202" s="192"/>
      <c r="U202" s="192"/>
      <c r="V202" s="192"/>
      <c r="W202" s="192"/>
      <c r="X202" s="128"/>
    </row>
    <row r="203" spans="1:24">
      <c r="A203" s="172"/>
      <c r="B203" s="192"/>
      <c r="C203" s="192"/>
      <c r="D203" s="192"/>
      <c r="E203" s="128"/>
      <c r="F203" s="192"/>
      <c r="G203" s="128"/>
      <c r="I203" s="130"/>
      <c r="J203" s="172"/>
      <c r="K203" s="192"/>
      <c r="L203" s="192"/>
      <c r="M203" s="192"/>
      <c r="N203" s="125"/>
      <c r="O203" s="192"/>
      <c r="P203" s="128"/>
      <c r="S203" s="172"/>
      <c r="T203" s="192"/>
      <c r="U203" s="192"/>
      <c r="V203" s="192"/>
      <c r="W203" s="192"/>
      <c r="X203" s="128"/>
    </row>
    <row r="204" spans="1:24">
      <c r="A204" s="172"/>
      <c r="B204" s="192"/>
      <c r="C204" s="192"/>
      <c r="D204" s="192"/>
      <c r="E204" s="128"/>
      <c r="F204" s="192"/>
      <c r="G204" s="128"/>
      <c r="I204" s="130"/>
      <c r="J204" s="172"/>
      <c r="K204" s="192"/>
      <c r="L204" s="192"/>
      <c r="M204" s="192"/>
      <c r="N204" s="125"/>
      <c r="O204" s="192"/>
      <c r="P204" s="128"/>
      <c r="S204" s="172"/>
      <c r="T204" s="192"/>
      <c r="U204" s="192"/>
      <c r="V204" s="192"/>
      <c r="W204" s="192"/>
      <c r="X204" s="128"/>
    </row>
    <row r="205" spans="1:24">
      <c r="A205" s="172"/>
      <c r="B205" s="192"/>
      <c r="C205" s="192"/>
      <c r="D205" s="192"/>
      <c r="E205" s="128"/>
      <c r="F205" s="192"/>
      <c r="G205" s="128"/>
      <c r="I205" s="130"/>
      <c r="S205" s="172"/>
      <c r="T205" s="192"/>
      <c r="U205" s="192"/>
      <c r="V205" s="192"/>
      <c r="W205" s="192"/>
      <c r="X205" s="128"/>
    </row>
    <row r="206" spans="1:24">
      <c r="A206" s="172"/>
      <c r="B206" s="192"/>
      <c r="C206" s="192"/>
      <c r="D206" s="192"/>
      <c r="E206" s="128"/>
      <c r="F206" s="192"/>
      <c r="G206" s="128"/>
      <c r="I206" s="130"/>
      <c r="S206" s="172"/>
      <c r="T206" s="192"/>
      <c r="U206" s="192"/>
      <c r="V206" s="192"/>
      <c r="W206" s="192"/>
      <c r="X206" s="128"/>
    </row>
    <row r="207" spans="1:24">
      <c r="A207" s="172"/>
      <c r="B207" s="192"/>
      <c r="C207" s="192"/>
      <c r="D207" s="192"/>
      <c r="E207" s="128"/>
      <c r="F207" s="192"/>
      <c r="G207" s="128"/>
      <c r="I207" s="130"/>
      <c r="S207" s="172"/>
      <c r="T207" s="192"/>
      <c r="U207" s="192"/>
      <c r="V207" s="192"/>
      <c r="W207" s="192"/>
      <c r="X207" s="128"/>
    </row>
    <row r="208" spans="1:24">
      <c r="A208" s="172"/>
      <c r="B208" s="192"/>
      <c r="C208" s="192"/>
      <c r="D208" s="192"/>
      <c r="E208" s="128"/>
      <c r="F208" s="192"/>
      <c r="G208" s="128"/>
      <c r="I208" s="130"/>
      <c r="S208" s="172"/>
      <c r="T208" s="192"/>
      <c r="U208" s="192"/>
      <c r="V208" s="192"/>
      <c r="W208" s="192"/>
      <c r="X208" s="128"/>
    </row>
    <row r="209" spans="1:24">
      <c r="A209" s="172"/>
      <c r="B209" s="192"/>
      <c r="C209" s="192"/>
      <c r="D209" s="192"/>
      <c r="E209" s="128"/>
      <c r="F209" s="192"/>
      <c r="G209" s="128"/>
      <c r="I209" s="130"/>
      <c r="S209" s="172"/>
      <c r="T209" s="192"/>
      <c r="U209" s="192"/>
      <c r="V209" s="192"/>
      <c r="W209" s="192"/>
      <c r="X209" s="128"/>
    </row>
    <row r="210" spans="1:24">
      <c r="A210" s="172"/>
      <c r="B210" s="192"/>
      <c r="C210" s="192"/>
      <c r="D210" s="192"/>
      <c r="E210" s="128"/>
      <c r="F210" s="192"/>
      <c r="G210" s="128"/>
      <c r="I210" s="130"/>
      <c r="S210" s="172"/>
      <c r="T210" s="192"/>
      <c r="U210" s="192"/>
      <c r="V210" s="192"/>
      <c r="W210" s="192"/>
      <c r="X210" s="128"/>
    </row>
    <row r="211" spans="1:24">
      <c r="A211" s="172"/>
      <c r="B211" s="192"/>
      <c r="C211" s="192"/>
      <c r="D211" s="192"/>
      <c r="E211" s="128"/>
      <c r="F211" s="192"/>
      <c r="G211" s="128"/>
      <c r="S211" s="172"/>
      <c r="T211" s="192"/>
      <c r="U211" s="192"/>
      <c r="V211" s="192"/>
      <c r="W211" s="192"/>
      <c r="X211" s="128"/>
    </row>
    <row r="212" spans="1:24">
      <c r="A212" s="172"/>
      <c r="B212" s="192"/>
      <c r="C212" s="192"/>
      <c r="D212" s="192"/>
      <c r="E212" s="128"/>
      <c r="F212" s="192"/>
      <c r="G212" s="128"/>
      <c r="S212" s="172"/>
      <c r="T212" s="192"/>
      <c r="U212" s="192"/>
      <c r="V212" s="192"/>
      <c r="W212" s="192"/>
      <c r="X212" s="128"/>
    </row>
    <row r="213" spans="1:24">
      <c r="A213" s="172"/>
      <c r="B213" s="192"/>
      <c r="C213" s="192"/>
      <c r="D213" s="192"/>
      <c r="E213" s="128"/>
      <c r="F213" s="192"/>
      <c r="G213" s="128"/>
      <c r="S213" s="172"/>
      <c r="T213" s="192"/>
      <c r="U213" s="192"/>
      <c r="V213" s="192"/>
      <c r="W213" s="192"/>
      <c r="X213" s="128"/>
    </row>
    <row r="214" spans="1:24">
      <c r="A214" s="172"/>
      <c r="B214" s="192"/>
      <c r="C214" s="192"/>
      <c r="D214" s="192"/>
      <c r="E214" s="128"/>
      <c r="F214" s="192"/>
      <c r="G214" s="128"/>
      <c r="S214" s="172"/>
      <c r="T214" s="192"/>
      <c r="U214" s="192"/>
      <c r="V214" s="192"/>
      <c r="W214" s="192"/>
      <c r="X214" s="128"/>
    </row>
    <row r="215" spans="1:24">
      <c r="A215" s="172"/>
      <c r="B215" s="192"/>
      <c r="C215" s="192"/>
      <c r="D215" s="192"/>
      <c r="E215" s="128"/>
      <c r="F215" s="192"/>
      <c r="G215" s="128"/>
      <c r="S215" s="172"/>
      <c r="T215" s="192"/>
      <c r="U215" s="192"/>
      <c r="V215" s="192"/>
      <c r="W215" s="192"/>
      <c r="X215" s="128"/>
    </row>
    <row r="216" spans="1:24">
      <c r="A216" s="172"/>
      <c r="B216" s="192"/>
      <c r="C216" s="192"/>
      <c r="D216" s="192"/>
      <c r="E216" s="128"/>
      <c r="F216" s="192"/>
      <c r="G216" s="128"/>
      <c r="S216" s="172"/>
      <c r="T216" s="192"/>
      <c r="U216" s="192"/>
      <c r="V216" s="192"/>
      <c r="W216" s="192"/>
      <c r="X216" s="128"/>
    </row>
    <row r="217" spans="1:24">
      <c r="A217" s="172"/>
      <c r="B217" s="192"/>
      <c r="C217" s="192"/>
      <c r="D217" s="192"/>
      <c r="E217" s="128"/>
      <c r="F217" s="192"/>
      <c r="G217" s="128"/>
      <c r="S217" s="172"/>
      <c r="T217" s="192"/>
      <c r="U217" s="192"/>
      <c r="V217" s="192"/>
      <c r="W217" s="192"/>
      <c r="X217" s="128"/>
    </row>
    <row r="218" spans="1:24">
      <c r="A218" s="172"/>
      <c r="B218" s="192"/>
      <c r="C218" s="192"/>
      <c r="D218" s="192"/>
      <c r="E218" s="128"/>
      <c r="F218" s="192"/>
      <c r="G218" s="128"/>
      <c r="S218" s="172"/>
      <c r="T218" s="192"/>
      <c r="U218" s="192"/>
      <c r="V218" s="192"/>
      <c r="W218" s="192"/>
      <c r="X218" s="128"/>
    </row>
    <row r="219" spans="1:24">
      <c r="A219" s="172"/>
      <c r="B219" s="192"/>
      <c r="C219" s="192"/>
      <c r="D219" s="192"/>
      <c r="E219" s="128"/>
      <c r="F219" s="192"/>
      <c r="G219" s="128"/>
      <c r="S219" s="172"/>
      <c r="T219" s="192"/>
      <c r="U219" s="192"/>
      <c r="V219" s="192"/>
      <c r="W219" s="192"/>
      <c r="X219" s="128"/>
    </row>
    <row r="220" spans="1:24">
      <c r="A220" s="172"/>
      <c r="B220" s="192"/>
      <c r="C220" s="192"/>
      <c r="D220" s="192"/>
      <c r="E220" s="128"/>
      <c r="F220" s="192"/>
      <c r="G220" s="128"/>
      <c r="S220" s="172"/>
      <c r="T220" s="192"/>
      <c r="U220" s="192"/>
      <c r="V220" s="192"/>
      <c r="W220" s="192"/>
      <c r="X220" s="128"/>
    </row>
    <row r="221" spans="1:24">
      <c r="A221" s="172"/>
      <c r="B221" s="192"/>
      <c r="C221" s="192"/>
      <c r="D221" s="192"/>
      <c r="E221" s="128"/>
      <c r="F221" s="192"/>
      <c r="G221" s="128"/>
      <c r="S221" s="172"/>
      <c r="T221" s="192"/>
      <c r="U221" s="192"/>
      <c r="V221" s="192"/>
      <c r="W221" s="192"/>
      <c r="X221" s="128"/>
    </row>
    <row r="222" spans="1:24">
      <c r="A222" s="172"/>
      <c r="B222" s="192"/>
      <c r="C222" s="192"/>
      <c r="D222" s="192"/>
      <c r="E222" s="128"/>
      <c r="F222" s="192"/>
      <c r="G222" s="128"/>
    </row>
    <row r="223" spans="1:24">
      <c r="A223" s="172"/>
      <c r="B223" s="192"/>
      <c r="C223" s="192"/>
      <c r="D223" s="192"/>
      <c r="E223" s="128"/>
      <c r="F223" s="192"/>
      <c r="G223" s="128"/>
    </row>
    <row r="441" spans="10:16">
      <c r="J441">
        <v>45285</v>
      </c>
      <c r="K441">
        <v>1764</v>
      </c>
      <c r="N441">
        <v>75</v>
      </c>
      <c r="P441" t="e">
        <f>#REF!-O441</f>
        <v>#REF!</v>
      </c>
    </row>
    <row r="442" spans="10:16">
      <c r="J442">
        <v>45286</v>
      </c>
      <c r="K442">
        <v>5130</v>
      </c>
      <c r="N442">
        <v>77</v>
      </c>
      <c r="P442" t="e">
        <f>#REF!-O442</f>
        <v>#REF!</v>
      </c>
    </row>
    <row r="443" spans="10:16">
      <c r="J443">
        <v>45286</v>
      </c>
      <c r="K443">
        <v>2982</v>
      </c>
      <c r="N443">
        <v>79</v>
      </c>
      <c r="P443" t="e">
        <f>#REF!-O443</f>
        <v>#REF!</v>
      </c>
    </row>
    <row r="444" spans="10:16">
      <c r="J444">
        <v>45286</v>
      </c>
      <c r="K444">
        <v>508</v>
      </c>
      <c r="N444">
        <v>80</v>
      </c>
      <c r="P444" t="e">
        <f>#REF!-O444</f>
        <v>#REF!</v>
      </c>
    </row>
    <row r="445" spans="10:16">
      <c r="J445">
        <v>45287</v>
      </c>
      <c r="K445">
        <v>3943</v>
      </c>
      <c r="N445">
        <v>82</v>
      </c>
      <c r="P445" t="e">
        <f>#REF!-O445</f>
        <v>#REF!</v>
      </c>
    </row>
    <row r="446" spans="10:16">
      <c r="J446">
        <v>45288</v>
      </c>
      <c r="K446">
        <v>1218</v>
      </c>
      <c r="N446">
        <v>84</v>
      </c>
      <c r="P446" t="e">
        <f>#REF!-O446</f>
        <v>#REF!</v>
      </c>
    </row>
    <row r="447" spans="10:16">
      <c r="J447">
        <v>45290</v>
      </c>
      <c r="K447">
        <v>3985</v>
      </c>
      <c r="N447">
        <v>87</v>
      </c>
      <c r="P447" t="e">
        <f>#REF!-O447</f>
        <v>#REF!</v>
      </c>
    </row>
    <row r="448" spans="10:16">
      <c r="J448">
        <v>45290</v>
      </c>
      <c r="K448">
        <v>420</v>
      </c>
      <c r="N448">
        <v>89</v>
      </c>
      <c r="P448" t="e">
        <f>#REF!-O448</f>
        <v>#REF!</v>
      </c>
    </row>
    <row r="449" spans="1:24">
      <c r="J449">
        <v>45291</v>
      </c>
      <c r="K449">
        <v>2276</v>
      </c>
      <c r="N449">
        <v>90</v>
      </c>
      <c r="O449">
        <f>SUBTOTAL(9,K384:K416)</f>
        <v>0</v>
      </c>
      <c r="P449" t="e">
        <f>#REF!-O449</f>
        <v>#REF!</v>
      </c>
    </row>
    <row r="450" spans="1:24">
      <c r="J450">
        <v>45291</v>
      </c>
      <c r="K450">
        <v>525</v>
      </c>
      <c r="N450">
        <v>92</v>
      </c>
      <c r="P450" t="e">
        <f>#REF!-O450</f>
        <v>#REF!</v>
      </c>
    </row>
    <row r="451" spans="1:24">
      <c r="J451">
        <v>45291</v>
      </c>
      <c r="K451">
        <v>1697</v>
      </c>
      <c r="N451">
        <v>93</v>
      </c>
      <c r="P451" t="e">
        <f>#REF!-O451</f>
        <v>#REF!</v>
      </c>
    </row>
    <row r="452" spans="1:24">
      <c r="J452">
        <v>44929</v>
      </c>
      <c r="K452">
        <v>756</v>
      </c>
      <c r="N452">
        <v>1</v>
      </c>
      <c r="P452" t="e">
        <f>#REF!-O452</f>
        <v>#REF!</v>
      </c>
    </row>
    <row r="453" spans="1:24">
      <c r="J453">
        <v>44929</v>
      </c>
      <c r="K453">
        <v>2989</v>
      </c>
      <c r="N453">
        <v>3</v>
      </c>
      <c r="P453" t="e">
        <f>#REF!-O453</f>
        <v>#REF!</v>
      </c>
    </row>
    <row r="454" spans="1:24">
      <c r="P454" t="e">
        <f>#REF!-O454</f>
        <v>#REF!</v>
      </c>
    </row>
    <row r="455" spans="1:24">
      <c r="P455" t="e">
        <f>#REF!-O455</f>
        <v>#REF!</v>
      </c>
    </row>
    <row r="456" spans="1:24">
      <c r="P456" t="e">
        <f>#REF!-O456</f>
        <v>#REF!</v>
      </c>
    </row>
    <row r="458" spans="1:24">
      <c r="S458">
        <v>45285</v>
      </c>
      <c r="T458">
        <v>1764</v>
      </c>
      <c r="X458" t="e">
        <f>#REF!-W458</f>
        <v>#REF!</v>
      </c>
    </row>
    <row r="459" spans="1:24">
      <c r="S459">
        <v>45286</v>
      </c>
      <c r="T459">
        <v>5130</v>
      </c>
      <c r="X459" t="e">
        <f>#REF!-W459</f>
        <v>#REF!</v>
      </c>
    </row>
    <row r="460" spans="1:24">
      <c r="A460">
        <v>45285</v>
      </c>
      <c r="B460">
        <v>1764</v>
      </c>
      <c r="E460" s="25">
        <v>75</v>
      </c>
      <c r="G460" t="e">
        <f>#REF!-F460</f>
        <v>#REF!</v>
      </c>
      <c r="S460">
        <v>45286</v>
      </c>
      <c r="T460">
        <v>2982</v>
      </c>
      <c r="X460" t="e">
        <f>#REF!-W460</f>
        <v>#REF!</v>
      </c>
    </row>
    <row r="461" spans="1:24">
      <c r="A461">
        <v>45286</v>
      </c>
      <c r="B461">
        <v>5130</v>
      </c>
      <c r="E461" s="25">
        <v>77</v>
      </c>
      <c r="G461" t="e">
        <f>#REF!-F461</f>
        <v>#REF!</v>
      </c>
      <c r="S461">
        <v>45286</v>
      </c>
      <c r="T461">
        <v>508</v>
      </c>
      <c r="X461" t="e">
        <f>#REF!-W461</f>
        <v>#REF!</v>
      </c>
    </row>
    <row r="462" spans="1:24">
      <c r="A462">
        <v>45286</v>
      </c>
      <c r="B462">
        <v>2982</v>
      </c>
      <c r="E462" s="25">
        <v>79</v>
      </c>
      <c r="G462" t="e">
        <f>#REF!-F462</f>
        <v>#REF!</v>
      </c>
      <c r="S462">
        <v>45287</v>
      </c>
      <c r="T462">
        <v>3943</v>
      </c>
      <c r="X462" t="e">
        <f>#REF!-W462</f>
        <v>#REF!</v>
      </c>
    </row>
    <row r="463" spans="1:24">
      <c r="A463">
        <v>45286</v>
      </c>
      <c r="B463">
        <v>508</v>
      </c>
      <c r="E463" s="25">
        <v>80</v>
      </c>
      <c r="G463" t="e">
        <f>#REF!-F463</f>
        <v>#REF!</v>
      </c>
      <c r="S463">
        <v>45288</v>
      </c>
      <c r="T463">
        <v>1218</v>
      </c>
      <c r="X463" t="e">
        <f>#REF!-W463</f>
        <v>#REF!</v>
      </c>
    </row>
    <row r="464" spans="1:24">
      <c r="A464">
        <v>45287</v>
      </c>
      <c r="B464">
        <v>3943</v>
      </c>
      <c r="E464" s="25">
        <v>82</v>
      </c>
      <c r="G464" t="e">
        <f>#REF!-F464</f>
        <v>#REF!</v>
      </c>
      <c r="S464">
        <v>45290</v>
      </c>
      <c r="T464">
        <v>3985</v>
      </c>
      <c r="X464" t="e">
        <f>#REF!-W464</f>
        <v>#REF!</v>
      </c>
    </row>
    <row r="465" spans="1:24">
      <c r="A465">
        <v>45288</v>
      </c>
      <c r="B465">
        <v>1218</v>
      </c>
      <c r="E465" s="25">
        <v>84</v>
      </c>
      <c r="G465" t="e">
        <f>#REF!-F465</f>
        <v>#REF!</v>
      </c>
      <c r="S465">
        <v>45290</v>
      </c>
      <c r="T465">
        <v>420</v>
      </c>
      <c r="X465" t="e">
        <f>#REF!-W465</f>
        <v>#REF!</v>
      </c>
    </row>
    <row r="466" spans="1:24">
      <c r="A466">
        <v>45290</v>
      </c>
      <c r="B466">
        <v>3985</v>
      </c>
      <c r="E466" s="25">
        <v>87</v>
      </c>
      <c r="G466" t="e">
        <f>#REF!-F466</f>
        <v>#REF!</v>
      </c>
      <c r="S466">
        <v>45291</v>
      </c>
      <c r="T466">
        <v>2276</v>
      </c>
      <c r="W466">
        <f>SUBTOTAL(9,T401:T433)</f>
        <v>0</v>
      </c>
      <c r="X466" t="e">
        <f>#REF!-W466</f>
        <v>#REF!</v>
      </c>
    </row>
    <row r="467" spans="1:24">
      <c r="A467">
        <v>45290</v>
      </c>
      <c r="B467">
        <v>420</v>
      </c>
      <c r="E467" s="25">
        <v>89</v>
      </c>
      <c r="G467" t="e">
        <f>#REF!-F467</f>
        <v>#REF!</v>
      </c>
      <c r="S467">
        <v>45291</v>
      </c>
      <c r="T467">
        <v>525</v>
      </c>
      <c r="X467" t="e">
        <f>#REF!-W467</f>
        <v>#REF!</v>
      </c>
    </row>
    <row r="468" spans="1:24">
      <c r="A468">
        <v>45291</v>
      </c>
      <c r="B468">
        <v>2276</v>
      </c>
      <c r="E468" s="25">
        <v>90</v>
      </c>
      <c r="F468">
        <f>SUBTOTAL(9,B403:B435)</f>
        <v>0</v>
      </c>
      <c r="G468" t="e">
        <f>#REF!-F468</f>
        <v>#REF!</v>
      </c>
      <c r="S468">
        <v>45291</v>
      </c>
      <c r="T468">
        <v>1697</v>
      </c>
      <c r="X468" t="e">
        <f>#REF!-W468</f>
        <v>#REF!</v>
      </c>
    </row>
    <row r="469" spans="1:24">
      <c r="A469">
        <v>45291</v>
      </c>
      <c r="B469">
        <v>525</v>
      </c>
      <c r="E469" s="25">
        <v>92</v>
      </c>
      <c r="G469" t="e">
        <f>#REF!-F469</f>
        <v>#REF!</v>
      </c>
      <c r="S469">
        <v>44929</v>
      </c>
      <c r="T469">
        <v>756</v>
      </c>
      <c r="X469" t="e">
        <f>#REF!-W469</f>
        <v>#REF!</v>
      </c>
    </row>
    <row r="470" spans="1:24">
      <c r="A470">
        <v>45291</v>
      </c>
      <c r="B470">
        <v>1697</v>
      </c>
      <c r="E470" s="25">
        <v>93</v>
      </c>
      <c r="G470" t="e">
        <f>#REF!-F470</f>
        <v>#REF!</v>
      </c>
      <c r="S470">
        <v>44929</v>
      </c>
      <c r="T470">
        <v>2989</v>
      </c>
      <c r="X470" t="e">
        <f>#REF!-W470</f>
        <v>#REF!</v>
      </c>
    </row>
    <row r="471" spans="1:24">
      <c r="A471">
        <v>44929</v>
      </c>
      <c r="B471">
        <v>756</v>
      </c>
      <c r="E471" s="25">
        <v>1</v>
      </c>
      <c r="G471" t="e">
        <f>#REF!-F471</f>
        <v>#REF!</v>
      </c>
      <c r="X471" t="e">
        <f>#REF!-W471</f>
        <v>#REF!</v>
      </c>
    </row>
    <row r="472" spans="1:24">
      <c r="A472">
        <v>44929</v>
      </c>
      <c r="B472">
        <v>2989</v>
      </c>
      <c r="E472" s="25">
        <v>3</v>
      </c>
      <c r="G472" t="e">
        <f>#REF!-F472</f>
        <v>#REF!</v>
      </c>
      <c r="X472" t="e">
        <f>#REF!-W472</f>
        <v>#REF!</v>
      </c>
    </row>
    <row r="473" spans="1:24">
      <c r="G473" t="e">
        <f>#REF!-F473</f>
        <v>#REF!</v>
      </c>
      <c r="X473" t="e">
        <f>#REF!-W473</f>
        <v>#REF!</v>
      </c>
    </row>
    <row r="474" spans="1:24">
      <c r="G474" t="e">
        <f>#REF!-F474</f>
        <v>#REF!</v>
      </c>
    </row>
    <row r="475" spans="1:24">
      <c r="G475" t="e">
        <f>#REF!-F475</f>
        <v>#REF!</v>
      </c>
    </row>
  </sheetData>
  <mergeCells count="58">
    <mergeCell ref="A1:E1"/>
    <mergeCell ref="F1:G1"/>
    <mergeCell ref="I1:K1"/>
    <mergeCell ref="L1:N1"/>
    <mergeCell ref="O1:Q1"/>
    <mergeCell ref="S1:V1"/>
    <mergeCell ref="A2:E2"/>
    <mergeCell ref="F2:G2"/>
    <mergeCell ref="I2:K2"/>
    <mergeCell ref="L2:N2"/>
    <mergeCell ref="O2:Q2"/>
    <mergeCell ref="S2:V2"/>
    <mergeCell ref="W2:Y2"/>
    <mergeCell ref="A3:G3"/>
    <mergeCell ref="J3:P3"/>
    <mergeCell ref="S3:X3"/>
    <mergeCell ref="A4:F4"/>
    <mergeCell ref="J4:O4"/>
    <mergeCell ref="S4:W4"/>
    <mergeCell ref="A5:B5"/>
    <mergeCell ref="J5:K5"/>
    <mergeCell ref="S5:T5"/>
    <mergeCell ref="A6:B6"/>
    <mergeCell ref="J6:K6"/>
    <mergeCell ref="S6:T6"/>
    <mergeCell ref="A10:A11"/>
    <mergeCell ref="B10:B11"/>
    <mergeCell ref="C8:C9"/>
    <mergeCell ref="C10:C11"/>
    <mergeCell ref="D8:D9"/>
    <mergeCell ref="D10:D11"/>
    <mergeCell ref="E10:E11"/>
    <mergeCell ref="F10:F11"/>
    <mergeCell ref="G10:G11"/>
    <mergeCell ref="H4:H5"/>
    <mergeCell ref="H10:H11"/>
    <mergeCell ref="I59:I61"/>
    <mergeCell ref="J10:J11"/>
    <mergeCell ref="K10:K11"/>
    <mergeCell ref="L8:L9"/>
    <mergeCell ref="M8:M9"/>
    <mergeCell ref="M10:M11"/>
    <mergeCell ref="N10:N11"/>
    <mergeCell ref="O10:O11"/>
    <mergeCell ref="P8:P9"/>
    <mergeCell ref="P10:P11"/>
    <mergeCell ref="Q4:Q5"/>
    <mergeCell ref="S10:S11"/>
    <mergeCell ref="T10:T11"/>
    <mergeCell ref="U8:U9"/>
    <mergeCell ref="V10:V11"/>
    <mergeCell ref="W10:W11"/>
    <mergeCell ref="X8:X9"/>
    <mergeCell ref="X10:X11"/>
    <mergeCell ref="Y4:Y5"/>
    <mergeCell ref="A8:B9"/>
    <mergeCell ref="S8:T9"/>
    <mergeCell ref="J8:K9"/>
  </mergeCells>
  <pageMargins left="0.75" right="0.75" top="1" bottom="1" header="0.5" footer="0.5"/>
  <pageSetup paperSize="9" orientation="portrait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5"/>
  <dimension ref="A1:R18"/>
  <sheetViews>
    <sheetView workbookViewId="0">
      <selection activeCell="I16" sqref="I16"/>
    </sheetView>
  </sheetViews>
  <sheetFormatPr defaultColWidth="9" defaultRowHeight="15.6"/>
  <cols>
    <col min="1" max="1" width="12.625" customWidth="1"/>
    <col min="2" max="2" width="24.875" customWidth="1"/>
    <col min="3" max="3" width="12.625" customWidth="1"/>
    <col min="4" max="4" width="13" customWidth="1"/>
    <col min="5" max="5" width="14.875" customWidth="1"/>
    <col min="6" max="6" width="14.25" customWidth="1"/>
    <col min="13" max="13" width="11.125" customWidth="1"/>
    <col min="14" max="14" width="25.375" customWidth="1"/>
    <col min="15" max="15" width="11.25" customWidth="1"/>
    <col min="17" max="17" width="27.375" customWidth="1"/>
    <col min="18" max="18" width="13.375" customWidth="1"/>
  </cols>
  <sheetData>
    <row r="1" ht="25.8" spans="1:18">
      <c r="A1" s="1" t="s">
        <v>609</v>
      </c>
      <c r="B1" s="2"/>
      <c r="C1" s="2"/>
      <c r="D1" s="2"/>
      <c r="E1" s="3"/>
      <c r="F1" s="4" t="s">
        <v>610</v>
      </c>
      <c r="M1" s="1" t="s">
        <v>611</v>
      </c>
      <c r="N1" s="2"/>
      <c r="O1" s="2"/>
      <c r="P1" s="2"/>
      <c r="Q1" s="3"/>
      <c r="R1" s="4" t="s">
        <v>612</v>
      </c>
    </row>
    <row r="2" ht="20.4" spans="1:18">
      <c r="A2" s="5" t="s">
        <v>532</v>
      </c>
      <c r="B2" s="5" t="s">
        <v>533</v>
      </c>
      <c r="C2" s="6" t="s">
        <v>9</v>
      </c>
      <c r="D2" s="5" t="s">
        <v>613</v>
      </c>
      <c r="E2" s="5" t="s">
        <v>614</v>
      </c>
      <c r="F2" s="7" t="s">
        <v>13</v>
      </c>
      <c r="M2" s="8" t="s">
        <v>532</v>
      </c>
      <c r="N2" s="8" t="s">
        <v>533</v>
      </c>
      <c r="O2" s="9" t="s">
        <v>615</v>
      </c>
      <c r="P2" s="10"/>
      <c r="Q2" s="8" t="s">
        <v>616</v>
      </c>
      <c r="R2" s="11" t="s">
        <v>617</v>
      </c>
    </row>
    <row r="3" ht="17.4" spans="1:18">
      <c r="A3" s="12">
        <v>9806</v>
      </c>
      <c r="B3" s="12" t="s">
        <v>29</v>
      </c>
      <c r="C3" s="13">
        <v>28</v>
      </c>
      <c r="D3" s="14">
        <v>10.1</v>
      </c>
      <c r="E3" s="14">
        <v>11</v>
      </c>
      <c r="F3" s="15"/>
      <c r="M3" s="12"/>
      <c r="N3" s="12" t="s">
        <v>618</v>
      </c>
      <c r="O3" s="16">
        <v>25</v>
      </c>
      <c r="P3" s="16" t="s">
        <v>619</v>
      </c>
      <c r="Q3" s="17">
        <v>12.5</v>
      </c>
      <c r="R3" s="17">
        <v>14.5</v>
      </c>
    </row>
    <row r="4" ht="17.4" spans="1:18">
      <c r="A4" s="12" t="s">
        <v>31</v>
      </c>
      <c r="B4" s="12" t="s">
        <v>312</v>
      </c>
      <c r="C4" s="13">
        <v>25</v>
      </c>
      <c r="D4" s="14">
        <v>13.5</v>
      </c>
      <c r="E4" s="14">
        <v>14.5</v>
      </c>
      <c r="F4" s="15"/>
      <c r="M4" s="12"/>
      <c r="N4" s="12" t="s">
        <v>620</v>
      </c>
      <c r="O4" s="16">
        <v>22</v>
      </c>
      <c r="P4" s="16" t="s">
        <v>619</v>
      </c>
      <c r="Q4" s="17">
        <v>13</v>
      </c>
      <c r="R4" s="17">
        <v>15.5</v>
      </c>
    </row>
    <row r="5" ht="20.4" spans="1:18">
      <c r="A5" s="18" t="s">
        <v>47</v>
      </c>
      <c r="B5" s="12" t="s">
        <v>47</v>
      </c>
      <c r="C5" s="13">
        <v>25</v>
      </c>
      <c r="D5" s="14">
        <v>13.5</v>
      </c>
      <c r="E5" s="14">
        <v>15.5</v>
      </c>
      <c r="F5" s="15"/>
      <c r="M5" s="12"/>
      <c r="N5" s="12" t="s">
        <v>535</v>
      </c>
      <c r="O5" s="16">
        <v>18</v>
      </c>
      <c r="P5" s="16" t="s">
        <v>619</v>
      </c>
      <c r="Q5" s="17">
        <v>12.5</v>
      </c>
      <c r="R5" s="17">
        <v>15</v>
      </c>
    </row>
    <row r="6" ht="20.4" spans="1:18">
      <c r="A6" s="12" t="s">
        <v>73</v>
      </c>
      <c r="B6" s="18" t="s">
        <v>41</v>
      </c>
      <c r="C6" s="13">
        <v>22</v>
      </c>
      <c r="D6" s="14">
        <v>14.5</v>
      </c>
      <c r="E6" s="14">
        <v>17</v>
      </c>
      <c r="F6" s="15"/>
      <c r="M6" s="12"/>
      <c r="N6" s="12" t="s">
        <v>621</v>
      </c>
      <c r="O6" s="16">
        <v>20</v>
      </c>
      <c r="P6" s="16" t="s">
        <v>619</v>
      </c>
      <c r="Q6" s="17">
        <v>18</v>
      </c>
      <c r="R6" s="17">
        <v>22</v>
      </c>
    </row>
    <row r="7" ht="20.4" spans="1:18">
      <c r="A7" s="12" t="s">
        <v>98</v>
      </c>
      <c r="B7" s="18" t="s">
        <v>99</v>
      </c>
      <c r="C7" s="13">
        <v>20</v>
      </c>
      <c r="D7" s="14">
        <v>18</v>
      </c>
      <c r="E7" s="14">
        <v>22.5</v>
      </c>
      <c r="F7" s="15"/>
      <c r="M7" s="12"/>
      <c r="N7" s="12" t="s">
        <v>622</v>
      </c>
      <c r="O7" s="16">
        <v>20</v>
      </c>
      <c r="P7" s="16" t="s">
        <v>619</v>
      </c>
      <c r="Q7" s="17">
        <v>18</v>
      </c>
      <c r="R7" s="17">
        <v>22</v>
      </c>
    </row>
    <row r="8" ht="20.4" spans="1:18">
      <c r="A8" s="12"/>
      <c r="B8" s="18" t="s">
        <v>22</v>
      </c>
      <c r="C8" s="13">
        <v>10</v>
      </c>
      <c r="D8" s="14">
        <v>19</v>
      </c>
      <c r="E8" s="14">
        <v>22.5</v>
      </c>
      <c r="F8" s="15"/>
      <c r="M8" s="12"/>
      <c r="N8" s="12" t="s">
        <v>623</v>
      </c>
      <c r="O8" s="16">
        <v>10</v>
      </c>
      <c r="P8" s="16" t="s">
        <v>619</v>
      </c>
      <c r="Q8" s="17">
        <v>18</v>
      </c>
      <c r="R8" s="17">
        <v>23</v>
      </c>
    </row>
    <row r="9" ht="20.4" spans="1:18">
      <c r="A9" s="12"/>
      <c r="B9" s="18" t="s">
        <v>24</v>
      </c>
      <c r="C9" s="13">
        <v>25</v>
      </c>
      <c r="D9" s="14">
        <v>19</v>
      </c>
      <c r="E9" s="14">
        <v>22.5</v>
      </c>
      <c r="F9" s="15"/>
      <c r="M9" s="12"/>
      <c r="N9" s="12" t="s">
        <v>624</v>
      </c>
      <c r="O9" s="16">
        <v>25</v>
      </c>
      <c r="P9" s="16" t="s">
        <v>619</v>
      </c>
      <c r="Q9" s="17">
        <v>18</v>
      </c>
      <c r="R9" s="17">
        <v>23</v>
      </c>
    </row>
    <row r="10" ht="17.4" spans="1:18">
      <c r="A10" s="12" t="s">
        <v>164</v>
      </c>
      <c r="B10" s="12" t="s">
        <v>165</v>
      </c>
      <c r="C10" s="13">
        <v>25</v>
      </c>
      <c r="D10" s="14">
        <v>20</v>
      </c>
      <c r="E10" s="14">
        <v>22.5</v>
      </c>
      <c r="F10" s="19"/>
      <c r="M10" s="12"/>
      <c r="N10" s="12" t="s">
        <v>625</v>
      </c>
      <c r="O10" s="16">
        <v>25</v>
      </c>
      <c r="P10" s="16" t="s">
        <v>619</v>
      </c>
      <c r="Q10" s="17">
        <v>21.5</v>
      </c>
      <c r="R10" s="17">
        <v>25</v>
      </c>
    </row>
    <row r="11" ht="17.4" spans="1:18">
      <c r="A11" s="12"/>
      <c r="B11" s="12" t="s">
        <v>626</v>
      </c>
      <c r="C11" s="13">
        <v>25</v>
      </c>
      <c r="D11" s="14">
        <v>20</v>
      </c>
      <c r="E11" s="14">
        <v>22.5</v>
      </c>
      <c r="F11" s="15"/>
      <c r="M11" s="12"/>
      <c r="N11" s="12" t="s">
        <v>627</v>
      </c>
      <c r="O11" s="16">
        <v>10</v>
      </c>
      <c r="P11" s="16" t="s">
        <v>619</v>
      </c>
      <c r="Q11" s="17">
        <v>18</v>
      </c>
      <c r="R11" s="17">
        <v>24</v>
      </c>
    </row>
    <row r="12" ht="17.4" spans="1:18">
      <c r="A12" s="12"/>
      <c r="B12" s="12" t="s">
        <v>146</v>
      </c>
      <c r="C12" s="13">
        <v>20</v>
      </c>
      <c r="D12" s="14">
        <v>25</v>
      </c>
      <c r="E12" s="14">
        <v>30</v>
      </c>
      <c r="F12" s="15"/>
      <c r="M12" s="12"/>
      <c r="N12" s="12" t="s">
        <v>628</v>
      </c>
      <c r="O12" s="16">
        <v>180</v>
      </c>
      <c r="P12" s="16" t="s">
        <v>619</v>
      </c>
      <c r="Q12" s="17">
        <v>9.5</v>
      </c>
      <c r="R12" s="17">
        <v>11</v>
      </c>
    </row>
    <row r="13" ht="17.4" spans="1:18">
      <c r="A13" s="12"/>
      <c r="B13" s="12" t="s">
        <v>629</v>
      </c>
      <c r="C13" s="13">
        <v>20</v>
      </c>
      <c r="D13" s="14">
        <v>24</v>
      </c>
      <c r="E13" s="14">
        <v>28</v>
      </c>
      <c r="F13" s="15"/>
      <c r="M13" s="12"/>
      <c r="N13" s="12" t="s">
        <v>39</v>
      </c>
      <c r="O13" s="16">
        <v>180</v>
      </c>
      <c r="P13" s="16" t="s">
        <v>619</v>
      </c>
      <c r="Q13" s="17">
        <v>10.5</v>
      </c>
      <c r="R13" s="17">
        <v>13</v>
      </c>
    </row>
    <row r="14" ht="20.4" spans="1:18">
      <c r="A14" s="12"/>
      <c r="B14" s="18" t="s">
        <v>166</v>
      </c>
      <c r="C14" s="13">
        <v>5</v>
      </c>
      <c r="D14" s="20">
        <v>18</v>
      </c>
      <c r="E14" s="21">
        <v>20</v>
      </c>
      <c r="F14" s="19"/>
    </row>
    <row r="15" ht="20.4" spans="1:18">
      <c r="A15" s="12"/>
      <c r="B15" s="18" t="s">
        <v>167</v>
      </c>
      <c r="C15" s="13">
        <v>0.5</v>
      </c>
      <c r="D15" s="20">
        <v>20</v>
      </c>
      <c r="E15" s="21">
        <v>22</v>
      </c>
      <c r="F15" s="19"/>
    </row>
    <row r="16" ht="20.4" spans="1:18">
      <c r="A16" s="12"/>
      <c r="B16" s="18" t="s">
        <v>168</v>
      </c>
      <c r="C16" s="13">
        <v>4</v>
      </c>
      <c r="D16" s="20">
        <v>9.5</v>
      </c>
      <c r="E16" s="21">
        <v>11</v>
      </c>
      <c r="F16" s="19"/>
    </row>
    <row r="17" ht="20.4" spans="1:6">
      <c r="A17" s="12" t="s">
        <v>34</v>
      </c>
      <c r="B17" s="18" t="s">
        <v>35</v>
      </c>
      <c r="C17" s="13">
        <v>180</v>
      </c>
      <c r="D17" s="14">
        <v>7</v>
      </c>
      <c r="E17" s="14">
        <v>7.5</v>
      </c>
      <c r="F17" s="15"/>
    </row>
    <row r="18" ht="17.4" spans="1:6">
      <c r="A18" s="12" t="s">
        <v>51</v>
      </c>
      <c r="B18" s="12" t="s">
        <v>39</v>
      </c>
      <c r="C18" s="13">
        <v>180</v>
      </c>
      <c r="D18" s="22">
        <v>9.5</v>
      </c>
      <c r="E18" s="14">
        <v>10.5</v>
      </c>
      <c r="F18" s="23" t="s">
        <v>630</v>
      </c>
    </row>
  </sheetData>
  <mergeCells count="3">
    <mergeCell ref="A1:E1"/>
    <mergeCell ref="M1:Q1"/>
    <mergeCell ref="O2:P2"/>
  </mergeCells>
  <pageMargins left="0.7" right="0.7" top="0.75" bottom="0.75" header="0.3" footer="0.3"/>
  <pageSetup paperSize="9" orientation="portrait" horizontalDpi="180" verticalDpi="18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微软中国</Company>
  <Application>Microsoft Excel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出货</vt:lpstr>
      <vt:lpstr>尹</vt:lpstr>
      <vt:lpstr>Sheet2</vt:lpstr>
      <vt:lpstr>24回款</vt:lpstr>
      <vt:lpstr>嵩明报价</vt:lpstr>
      <vt:lpstr>回款明细</vt:lpstr>
      <vt:lpstr>净味系列报价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WPS_1695616602</cp:lastModifiedBy>
  <dcterms:created xsi:type="dcterms:W3CDTF">2014-07-20T10:07:00Z</dcterms:created>
  <cp:lastPrinted>2022-07-14T01:29:00Z</cp:lastPrinted>
  <dcterms:modified xsi:type="dcterms:W3CDTF">2026-01-29T11:25:35Z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A04E34EBE84F4592965B545D00B78338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