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1"/>
  </bookViews>
  <sheets>
    <sheet name="出货" sheetId="24" r:id="rId1"/>
    <sheet name="迎扬电视墙" sheetId="23" r:id="rId2"/>
    <sheet name="Sheet1" sheetId="25" r:id="rId3"/>
  </sheets>
  <definedNames>
    <definedName name="_xlnm._FilterDatabase" localSheetId="0" hidden="1">出货!$A$2:$M$225</definedName>
    <definedName name="_xlnm.Print_Area" localSheetId="1">迎扬电视墙!$A$1:$J$26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<sst xmlns="http://schemas.openxmlformats.org/spreadsheetml/2006/main" count="500" uniqueCount="130">
  <si>
    <t>日期</t>
  </si>
  <si>
    <t>单号</t>
  </si>
  <si>
    <t>产品型号</t>
  </si>
  <si>
    <t>产品名称</t>
  </si>
  <si>
    <t>数量/件</t>
  </si>
  <si>
    <t>规格/KG</t>
  </si>
  <si>
    <t>数量/KG</t>
  </si>
  <si>
    <t>单价/元</t>
  </si>
  <si>
    <t>金额/元</t>
  </si>
  <si>
    <t>备注</t>
  </si>
  <si>
    <t>金额合计</t>
  </si>
  <si>
    <t>PE白底漆</t>
  </si>
  <si>
    <t>W6827B</t>
  </si>
  <si>
    <t>PE封固底漆</t>
  </si>
  <si>
    <t>RXS525</t>
  </si>
  <si>
    <t>PU亮光固化剂</t>
  </si>
  <si>
    <t>24#</t>
  </si>
  <si>
    <t>PU哑光浅灰色漆：</t>
  </si>
  <si>
    <t>PU哑光铁灰珠光砂面漆</t>
  </si>
  <si>
    <t>19/KG(50F:16.5+1kg：6920+1KG:8400+0.3:100细银粉+1.4白浆+0.3色浆+0.5砂面粉)</t>
  </si>
  <si>
    <t>RXS303</t>
  </si>
  <si>
    <t>PU哑光固化剂</t>
  </si>
  <si>
    <t>6827B</t>
  </si>
  <si>
    <t>PU哑光巧克力金属漆</t>
  </si>
  <si>
    <t>样油</t>
  </si>
  <si>
    <t>PU哑光海泽色漆</t>
  </si>
  <si>
    <t>PU哑光杏子灰色漆</t>
  </si>
  <si>
    <t>原油</t>
  </si>
  <si>
    <t>PU亮光卡其色漆</t>
  </si>
  <si>
    <t>PU亮光荷花白色漆</t>
  </si>
  <si>
    <t>PU亮光灰蓝暮色漆</t>
  </si>
  <si>
    <t>原油改色</t>
  </si>
  <si>
    <t>PU哑光象牙白色漆</t>
  </si>
  <si>
    <t>71#</t>
  </si>
  <si>
    <t>PU哑光深香槟银珠漆</t>
  </si>
  <si>
    <t>72#</t>
  </si>
  <si>
    <t>PU哑光紫色闪银漆</t>
  </si>
  <si>
    <t>05698</t>
  </si>
  <si>
    <t>PU亮光浅灰色漆</t>
  </si>
  <si>
    <t>05618</t>
  </si>
  <si>
    <t>NC云雾灰闪银拉丝漆</t>
  </si>
  <si>
    <t>NC</t>
  </si>
  <si>
    <t>NC稀释剂</t>
  </si>
  <si>
    <t>AG-092</t>
  </si>
  <si>
    <t>PU哑光深灰银珠漆</t>
  </si>
  <si>
    <t>AH-055</t>
  </si>
  <si>
    <t>PU哑光浅灰银珠漆</t>
  </si>
  <si>
    <t>墨绿修边漆</t>
  </si>
  <si>
    <t>A3-071</t>
  </si>
  <si>
    <t>PU亮光中灰色漆</t>
  </si>
  <si>
    <t>A1-630</t>
  </si>
  <si>
    <t>PU亮光深灰色漆</t>
  </si>
  <si>
    <t>PU哑光酒红银珠漆</t>
  </si>
  <si>
    <t>24#B</t>
  </si>
  <si>
    <t>23/5已送以24#哑灰为样调的亮光</t>
  </si>
  <si>
    <t>以24#哑灰为样调的亮光</t>
  </si>
  <si>
    <t>退货</t>
  </si>
  <si>
    <t>于4/6已打单</t>
  </si>
  <si>
    <t>26/5退货</t>
  </si>
  <si>
    <t>10/6已送以24#哑灰为样调的亮光</t>
  </si>
  <si>
    <t xml:space="preserve"> 23/7送      10/6已送以24#哑灰为样调的亮光</t>
  </si>
  <si>
    <t>25/7送</t>
  </si>
  <si>
    <t>98号</t>
  </si>
  <si>
    <t>干板样</t>
  </si>
  <si>
    <t>白色修边漆</t>
  </si>
  <si>
    <t>深色修边漆</t>
  </si>
  <si>
    <t>PU哑光墨绿色漆</t>
  </si>
  <si>
    <t>05651</t>
  </si>
  <si>
    <t>21/8样油</t>
  </si>
  <si>
    <t>三胺板修边漆</t>
  </si>
  <si>
    <t>6808A</t>
  </si>
  <si>
    <t>PE白底漆稀释剂</t>
  </si>
  <si>
    <t>62号</t>
  </si>
  <si>
    <t>1018#</t>
  </si>
  <si>
    <t>烟熏修边漆</t>
  </si>
  <si>
    <t>样油老板送18/10</t>
  </si>
  <si>
    <t>19/KG：(50F:16.5+1kg：6920+1KG:8400+0.3:100细银粉+1.4白浆+0.3色浆+0.5砂面粉)</t>
  </si>
  <si>
    <t>哑光红棕修色油</t>
  </si>
  <si>
    <t>25/10已送</t>
  </si>
  <si>
    <t>5.9/KG</t>
  </si>
  <si>
    <t>05678</t>
  </si>
  <si>
    <t>样油（05678和05618是同一个色漆）</t>
  </si>
  <si>
    <t>05697#</t>
  </si>
  <si>
    <t>PU亮光仿古闪银面漆</t>
  </si>
  <si>
    <t>1616#</t>
  </si>
  <si>
    <t>PU亮光珠光面漆</t>
  </si>
  <si>
    <t>此价为最低价</t>
  </si>
  <si>
    <t>11月3退</t>
  </si>
  <si>
    <t>PU亮光清面漆</t>
  </si>
  <si>
    <t>换货（基料已调）</t>
  </si>
  <si>
    <t>26/12：博旺XW-003深灰砂面改</t>
  </si>
  <si>
    <t>26/12：原油改色</t>
  </si>
  <si>
    <t>2026年</t>
  </si>
  <si>
    <t>PU面漆稀释剂</t>
  </si>
  <si>
    <t>(5.1)807:3+1:808+4:816+5:818+3:812+2:802A</t>
  </si>
  <si>
    <t>14号</t>
  </si>
  <si>
    <t>换货</t>
  </si>
  <si>
    <t>送友邦家私</t>
  </si>
  <si>
    <t>送中江成德工业园博郡家私13824.5</t>
  </si>
  <si>
    <t>05697</t>
  </si>
  <si>
    <t>(5.4)807:25+10:808+20:816+45:818+20：813+60:802A</t>
  </si>
  <si>
    <t>87B</t>
  </si>
  <si>
    <t>PU哑光灰绿色漆</t>
  </si>
  <si>
    <t>自备货 （不含包装 87#改的颜色以后常用</t>
  </si>
  <si>
    <t>自备货（不含包装）</t>
  </si>
  <si>
    <t>博旺XW-003深灰砂面改</t>
  </si>
  <si>
    <t>成都国圣工业有限公司（五星花）送货单</t>
  </si>
  <si>
    <t>购货单位（乙方）:中江博郡家私    联系人：    日期：2026年01月22日   订单编号：26-010060A</t>
  </si>
  <si>
    <t xml:space="preserve"> 产 品 型 号</t>
  </si>
  <si>
    <t xml:space="preserve"> 产 品 名 称</t>
  </si>
  <si>
    <t>备  注</t>
  </si>
  <si>
    <t>送中江博郡家私</t>
  </si>
  <si>
    <t>PU净味面漆稀释剂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</si>
  <si>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</si>
  <si>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</si>
  <si>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</si>
  <si>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</si>
  <si>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 xml:space="preserve"> 法律效力，必须按期付清货款（月结三十天），如有争议和纠纷，由甲方所在地方人民法院受理起诉。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</si>
  <si>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</si>
  <si>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</si>
  <si>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销售负责人：李秋林         销售送货人：       销售制单人：        购货单位经手人：</t>
  </si>
  <si>
    <t>编号</t>
  </si>
  <si>
    <t>名称</t>
  </si>
  <si>
    <t>规格</t>
  </si>
  <si>
    <t>单价</t>
  </si>
  <si>
    <t>PE白底</t>
  </si>
  <si>
    <t>实色漆</t>
  </si>
  <si>
    <t>固化剂</t>
  </si>
  <si>
    <t>银珠、砂面</t>
  </si>
  <si>
    <t>铁灰珠光砂面漆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</si>
</sst>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General&quot;桶&quot;"/>
    <numFmt numFmtId="178" formatCode="0.00_ "/>
    <numFmt numFmtId="179" formatCode="000000"/>
    <numFmt numFmtId="180" formatCode="[DBNum2][$RMB]General;[Red][DBNum2][$RMB]General"/>
    <numFmt numFmtId="181" formatCode="General&quot;号&quot;"/>
    <numFmt numFmtId="182" formatCode="0.0_);[Red]\(0.0\)"/>
  </numFmts>
  <fonts count="44">
    <font>
      <sz val="12"/>
      <name val="宋体"/>
      <charset val="134"/>
    </font>
    <font>
      <sz val="16"/>
      <name val="宋体"/>
      <charset val="134"/>
    </font>
    <font>
      <sz val="24"/>
      <name val="宋体"/>
      <charset val="134"/>
    </font>
    <font>
      <sz val="16"/>
      <color rgb="FF00B0F0"/>
      <name val="宋体"/>
      <charset val="134"/>
    </font>
    <font>
      <sz val="16"/>
      <color rgb="FFFF0000"/>
      <name val="宋体"/>
      <charset val="134"/>
    </font>
    <font>
      <sz val="14"/>
      <name val="宋体"/>
      <charset val="134"/>
    </font>
    <font>
      <sz val="14"/>
      <color rgb="FF00B0F0"/>
      <name val="宋体"/>
      <charset val="134"/>
    </font>
    <font>
      <sz val="16"/>
      <color rgb="FF00B050"/>
      <name val="宋体"/>
      <charset val="134"/>
    </font>
    <font>
      <sz val="14"/>
      <color rgb="FF00B050"/>
      <name val="宋体"/>
      <charset val="134"/>
    </font>
    <font>
      <sz val="14"/>
      <color rgb="FFFF0000"/>
      <name val="宋体"/>
      <charset val="134"/>
    </font>
    <font>
      <sz val="14"/>
      <color rgb="FF002060"/>
      <name val="宋体"/>
      <charset val="134"/>
    </font>
    <font>
      <sz val="12"/>
      <color rgb="FF7030A0"/>
      <name val="宋体"/>
      <charset val="134"/>
    </font>
    <font>
      <sz val="10"/>
      <color rgb="FF00B0F0"/>
      <name val="宋体"/>
      <charset val="134"/>
    </font>
    <font>
      <sz val="10"/>
      <name val="宋体"/>
      <charset val="134"/>
    </font>
    <font>
      <sz val="12"/>
      <color rgb="FFFF0000"/>
      <name val="宋体"/>
      <charset val="134"/>
    </font>
    <font>
      <sz val="16"/>
      <color rgb="FF7030A0"/>
      <name val="宋体"/>
      <charset val="134"/>
    </font>
    <font>
      <sz val="10"/>
      <color rgb="FF00B050"/>
      <name val="宋体"/>
      <charset val="134"/>
    </font>
    <font>
      <sz val="10"/>
      <color rgb="FFFF0000"/>
      <name val="宋体"/>
      <charset val="134"/>
    </font>
    <font>
      <sz val="16"/>
      <color rgb="FF002060"/>
      <name val="宋体"/>
      <charset val="134"/>
    </font>
    <font>
      <sz val="10"/>
      <color rgb="FF002060"/>
      <name val="宋体"/>
      <charset val="134"/>
    </font>
    <font>
      <b/>
      <sz val="16"/>
      <color rgb="FF00B0F0"/>
      <name val="宋体"/>
      <charset val="134"/>
    </font>
    <font>
      <b/>
      <sz val="16"/>
      <name val="宋体"/>
      <charset val="134"/>
    </font>
    <font>
      <sz val="12"/>
      <color rgb="FF00B0F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2" borderId="1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" borderId="18" applyNumberFormat="0" applyAlignment="0" applyProtection="0">
      <alignment vertical="center"/>
    </xf>
    <xf numFmtId="0" fontId="33" fillId="4" borderId="19" applyNumberFormat="0" applyAlignment="0" applyProtection="0">
      <alignment vertical="center"/>
    </xf>
    <xf numFmtId="0" fontId="34" fillId="4" borderId="18" applyNumberFormat="0" applyAlignment="0" applyProtection="0">
      <alignment vertical="center"/>
    </xf>
    <xf numFmtId="0" fontId="35" fillId="5" borderId="20" applyNumberFormat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7" fillId="0" borderId="22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0" fillId="0" borderId="0"/>
    <xf numFmtId="0" fontId="43" fillId="8" borderId="0" applyNumberFormat="0" applyBorder="0" applyAlignment="0" applyProtection="0">
      <alignment vertical="center"/>
    </xf>
    <xf numFmtId="0" fontId="23" fillId="0" borderId="0"/>
    <xf numFmtId="0" fontId="23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</cellStyleXfs>
  <cellXfs count="12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4" xfId="0" applyNumberFormat="1" applyFont="1" applyFill="1" applyBorder="1" applyAlignment="1">
      <alignment vertical="center"/>
    </xf>
    <xf numFmtId="0" fontId="1" fillId="0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53" applyFont="1" applyBorder="1" applyAlignment="1">
      <alignment horizontal="left" vertical="center"/>
    </xf>
    <xf numFmtId="177" fontId="3" fillId="0" borderId="4" xfId="0" applyNumberFormat="1" applyFont="1" applyFill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textRotation="255"/>
    </xf>
    <xf numFmtId="0" fontId="1" fillId="0" borderId="6" xfId="0" applyFont="1" applyBorder="1" applyAlignment="1">
      <alignment horizontal="center" vertical="center" textRotation="255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 textRotation="255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178" fontId="4" fillId="0" borderId="4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179" fontId="1" fillId="0" borderId="4" xfId="0" applyNumberFormat="1" applyFont="1" applyFill="1" applyBorder="1" applyAlignment="1">
      <alignment horizontal="left" vertical="center"/>
    </xf>
    <xf numFmtId="180" fontId="1" fillId="0" borderId="4" xfId="0" applyNumberFormat="1" applyFont="1" applyFill="1" applyBorder="1" applyAlignment="1">
      <alignment horizontal="left" vertical="center"/>
    </xf>
    <xf numFmtId="7" fontId="1" fillId="0" borderId="4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5" fillId="0" borderId="8" xfId="0" applyFont="1" applyFill="1" applyBorder="1" applyAlignment="1">
      <alignment horizontal="left" vertical="center" textRotation="255"/>
    </xf>
    <xf numFmtId="0" fontId="5" fillId="0" borderId="9" xfId="0" applyFont="1" applyFill="1" applyBorder="1" applyAlignment="1">
      <alignment horizontal="left" vertical="center" wrapText="1" readingOrder="1"/>
    </xf>
    <xf numFmtId="0" fontId="5" fillId="0" borderId="10" xfId="0" applyFont="1" applyFill="1" applyBorder="1" applyAlignment="1">
      <alignment horizontal="left" vertical="center" wrapText="1" readingOrder="1"/>
    </xf>
    <xf numFmtId="0" fontId="5" fillId="0" borderId="11" xfId="0" applyFont="1" applyFill="1" applyBorder="1" applyAlignment="1">
      <alignment horizontal="left" vertical="center" textRotation="255"/>
    </xf>
    <xf numFmtId="0" fontId="5" fillId="0" borderId="0" xfId="0" applyFont="1" applyFill="1" applyBorder="1" applyAlignment="1">
      <alignment horizontal="left" vertical="center" wrapText="1" readingOrder="1"/>
    </xf>
    <xf numFmtId="0" fontId="5" fillId="0" borderId="12" xfId="0" applyFont="1" applyFill="1" applyBorder="1" applyAlignment="1">
      <alignment horizontal="left" vertical="center" textRotation="255"/>
    </xf>
    <xf numFmtId="0" fontId="5" fillId="0" borderId="13" xfId="0" applyFont="1" applyFill="1" applyBorder="1" applyAlignment="1">
      <alignment horizontal="left" vertical="center" wrapText="1" readingOrder="1"/>
    </xf>
    <xf numFmtId="0" fontId="5" fillId="0" borderId="14" xfId="0" applyFont="1" applyFill="1" applyBorder="1" applyAlignment="1">
      <alignment horizontal="left" vertical="center" wrapText="1" readingOrder="1"/>
    </xf>
    <xf numFmtId="0" fontId="5" fillId="0" borderId="0" xfId="0" applyFont="1" applyFill="1" applyBorder="1" applyAlignment="1">
      <alignment horizontal="left" vertical="center"/>
    </xf>
    <xf numFmtId="0" fontId="1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7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9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11" fillId="0" borderId="0" xfId="0" applyFont="1" applyBorder="1">
      <alignment vertical="center"/>
    </xf>
    <xf numFmtId="58" fontId="1" fillId="0" borderId="0" xfId="0" applyNumberFormat="1" applyFont="1" applyBorder="1" applyAlignment="1">
      <alignment horizontal="left" vertical="center"/>
    </xf>
    <xf numFmtId="181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182" fontId="1" fillId="0" borderId="0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58" fontId="3" fillId="0" borderId="0" xfId="0" applyNumberFormat="1" applyFont="1" applyBorder="1" applyAlignment="1">
      <alignment horizontal="left" vertical="center"/>
    </xf>
    <xf numFmtId="18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177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3" fillId="0" borderId="0" xfId="53" applyFont="1" applyBorder="1" applyAlignment="1">
      <alignment horizontal="left" vertical="center"/>
    </xf>
    <xf numFmtId="0" fontId="3" fillId="0" borderId="0" xfId="0" applyFont="1">
      <alignment vertical="center"/>
    </xf>
    <xf numFmtId="0" fontId="14" fillId="0" borderId="0" xfId="0" applyFont="1">
      <alignment vertical="center"/>
    </xf>
    <xf numFmtId="0" fontId="1" fillId="0" borderId="0" xfId="53" applyFont="1" applyBorder="1" applyAlignment="1">
      <alignment horizontal="left" vertical="center"/>
    </xf>
    <xf numFmtId="58" fontId="4" fillId="0" borderId="0" xfId="0" applyNumberFormat="1" applyFont="1" applyBorder="1" applyAlignment="1">
      <alignment horizontal="left" vertical="center"/>
    </xf>
    <xf numFmtId="18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177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8" fontId="4" fillId="0" borderId="0" xfId="0" applyNumberFormat="1" applyFont="1" applyBorder="1" applyAlignment="1">
      <alignment horizontal="center" vertical="center"/>
    </xf>
    <xf numFmtId="58" fontId="15" fillId="0" borderId="0" xfId="0" applyNumberFormat="1" applyFont="1" applyBorder="1" applyAlignment="1">
      <alignment horizontal="left" vertical="center"/>
    </xf>
    <xf numFmtId="181" fontId="15" fillId="0" borderId="0" xfId="0" applyNumberFormat="1" applyFont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0" xfId="53" applyFont="1" applyBorder="1" applyAlignment="1">
      <alignment horizontal="left" vertical="center"/>
    </xf>
    <xf numFmtId="177" fontId="15" fillId="0" borderId="0" xfId="0" applyNumberFormat="1" applyFont="1" applyFill="1" applyBorder="1" applyAlignment="1">
      <alignment horizontal="center" vertical="center"/>
    </xf>
    <xf numFmtId="178" fontId="15" fillId="0" borderId="0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181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2" fillId="0" borderId="0" xfId="0" applyFont="1" applyBorder="1">
      <alignment vertical="center"/>
    </xf>
    <xf numFmtId="58" fontId="7" fillId="0" borderId="0" xfId="0" applyNumberFormat="1" applyFont="1" applyBorder="1" applyAlignment="1">
      <alignment horizontal="left" vertical="center"/>
    </xf>
    <xf numFmtId="181" fontId="7" fillId="0" borderId="0" xfId="0" applyNumberFormat="1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53" applyFont="1" applyBorder="1" applyAlignment="1">
      <alignment horizontal="left" vertical="center"/>
    </xf>
    <xf numFmtId="177" fontId="7" fillId="0" borderId="0" xfId="0" applyNumberFormat="1" applyFont="1" applyFill="1" applyBorder="1" applyAlignment="1">
      <alignment horizontal="center" vertical="center"/>
    </xf>
    <xf numFmtId="178" fontId="7" fillId="0" borderId="0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Border="1" applyAlignment="1">
      <alignment horizontal="left" vertical="center"/>
    </xf>
    <xf numFmtId="0" fontId="16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7" fillId="0" borderId="0" xfId="0" applyFont="1">
      <alignment vertical="center"/>
    </xf>
    <xf numFmtId="58" fontId="18" fillId="0" borderId="0" xfId="0" applyNumberFormat="1" applyFont="1" applyBorder="1" applyAlignment="1">
      <alignment horizontal="left" vertical="center"/>
    </xf>
    <xf numFmtId="181" fontId="18" fillId="0" borderId="0" xfId="0" applyNumberFormat="1" applyFont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0" xfId="53" applyFont="1" applyBorder="1" applyAlignment="1">
      <alignment horizontal="left" vertical="center"/>
    </xf>
    <xf numFmtId="177" fontId="18" fillId="0" borderId="0" xfId="0" applyNumberFormat="1" applyFont="1" applyFill="1" applyBorder="1" applyAlignment="1">
      <alignment horizontal="center" vertical="center"/>
    </xf>
    <xf numFmtId="178" fontId="18" fillId="0" borderId="0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58" fontId="1" fillId="0" borderId="0" xfId="0" applyNumberFormat="1" applyFont="1" applyBorder="1" applyAlignment="1">
      <alignment horizontal="center" vertical="center" wrapText="1"/>
    </xf>
    <xf numFmtId="0" fontId="0" fillId="0" borderId="0" xfId="0" applyFont="1">
      <alignment vertical="center"/>
    </xf>
    <xf numFmtId="58" fontId="3" fillId="0" borderId="0" xfId="0" applyNumberFormat="1" applyFont="1" applyBorder="1" applyAlignment="1">
      <alignment horizontal="center" vertical="center" wrapText="1"/>
    </xf>
    <xf numFmtId="0" fontId="20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1" fillId="0" borderId="0" xfId="0" applyFont="1">
      <alignment vertical="center"/>
    </xf>
    <xf numFmtId="58" fontId="15" fillId="0" borderId="0" xfId="0" applyNumberFormat="1" applyFont="1" applyBorder="1">
      <alignment vertical="center"/>
    </xf>
    <xf numFmtId="0" fontId="15" fillId="0" borderId="0" xfId="0" applyFont="1" applyBorder="1">
      <alignment vertical="center"/>
    </xf>
    <xf numFmtId="0" fontId="15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textRotation="255" wrapText="1"/>
    </xf>
    <xf numFmtId="0" fontId="22" fillId="0" borderId="0" xfId="0" applyFont="1">
      <alignment vertical="center"/>
    </xf>
    <xf numFmtId="0" fontId="3" fillId="0" borderId="0" xfId="0" applyFont="1" applyBorder="1" applyAlignment="1" quotePrefix="1">
      <alignment horizontal="center" vertical="center"/>
    </xf>
    <xf numFmtId="0" fontId="1" fillId="0" borderId="0" xfId="0" applyFont="1" applyBorder="1" applyAlignment="1" quotePrefix="1">
      <alignment horizontal="center" vertical="center"/>
    </xf>
    <xf numFmtId="0" fontId="3" fillId="0" borderId="4" xfId="0" applyFont="1" applyBorder="1" applyAlignment="1" quotePrefix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9" xfId="49"/>
    <cellStyle name="适中 2 4 2" xfId="50"/>
    <cellStyle name="常规 33" xfId="51"/>
    <cellStyle name="常规 38 2" xfId="52"/>
    <cellStyle name="常规 5 2" xfId="53"/>
    <cellStyle name="货币 4 3 2" xfId="54"/>
  </cellStyles>
  <tableStyles count="1" defaultTableStyle="TableStyleMedium9" defaultPivotStyle="PivotStyleLight16">
    <tableStyle name="表样式 1" pivot="0" count="0" xr9:uid="{1B9D787A-3658-495F-956D-4B9570C360A5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5"/>
  <sheetViews>
    <sheetView topLeftCell="A194" workbookViewId="0">
      <selection activeCell="R209" sqref="R209"/>
    </sheetView>
  </sheetViews>
  <sheetFormatPr defaultColWidth="9" defaultRowHeight="20.25"/>
  <cols>
    <col min="1" max="1" width="12.625" style="7"/>
    <col min="2" max="2" width="9" style="7"/>
    <col min="3" max="5" width="5.625" style="7" customWidth="1"/>
    <col min="6" max="6" width="27.625" style="7" customWidth="1"/>
    <col min="7" max="10" width="11.625" style="7" customWidth="1"/>
    <col min="11" max="13" width="15.625" style="7" customWidth="1"/>
  </cols>
  <sheetData>
    <row r="1" s="40" customFormat="1" spans="1:13">
      <c r="A1" s="50"/>
      <c r="B1" s="51"/>
      <c r="C1" s="52"/>
      <c r="D1" s="52"/>
      <c r="E1" s="52"/>
      <c r="F1" s="53"/>
      <c r="G1" s="54"/>
      <c r="H1" s="54"/>
      <c r="I1" s="54"/>
      <c r="J1" s="55"/>
      <c r="K1" s="56"/>
      <c r="L1" s="7"/>
      <c r="M1" s="54"/>
    </row>
    <row r="2" s="40" customFormat="1" spans="1:13">
      <c r="A2" s="50" t="s">
        <v>0</v>
      </c>
      <c r="B2" s="51" t="s">
        <v>1</v>
      </c>
      <c r="C2" s="57" t="s">
        <v>2</v>
      </c>
      <c r="D2" s="58"/>
      <c r="E2" s="58"/>
      <c r="F2" s="9" t="s">
        <v>3</v>
      </c>
      <c r="G2" s="59" t="s">
        <v>4</v>
      </c>
      <c r="H2" s="54" t="s">
        <v>5</v>
      </c>
      <c r="I2" s="54" t="s">
        <v>6</v>
      </c>
      <c r="J2" s="56" t="s">
        <v>7</v>
      </c>
      <c r="K2" s="56" t="s">
        <v>8</v>
      </c>
      <c r="L2" s="60" t="s">
        <v>9</v>
      </c>
      <c r="M2" s="54" t="s">
        <v>10</v>
      </c>
    </row>
    <row r="3" s="41" customFormat="1" spans="1:13">
      <c r="A3" s="61">
        <v>45705</v>
      </c>
      <c r="B3" s="62">
        <v>5</v>
      </c>
      <c r="C3" s="63">
        <v>9804</v>
      </c>
      <c r="D3" s="52"/>
      <c r="E3" s="52"/>
      <c r="F3" s="64" t="s">
        <v>11</v>
      </c>
      <c r="G3" s="65">
        <v>10</v>
      </c>
      <c r="H3" s="66">
        <v>28</v>
      </c>
      <c r="I3" s="66">
        <f t="shared" ref="I3:I43" si="0">G3*H3</f>
        <v>280</v>
      </c>
      <c r="J3" s="67">
        <v>9</v>
      </c>
      <c r="K3" s="67">
        <f t="shared" ref="K3:K16" si="1">I3*J3</f>
        <v>2520</v>
      </c>
      <c r="L3" s="68"/>
      <c r="M3" s="66"/>
    </row>
    <row r="4" s="42" customFormat="1" spans="1:13">
      <c r="A4" s="61">
        <v>45705</v>
      </c>
      <c r="B4" s="62">
        <v>5</v>
      </c>
      <c r="C4" s="66" t="s">
        <v>12</v>
      </c>
      <c r="D4" s="66"/>
      <c r="E4" s="66"/>
      <c r="F4" s="68" t="s">
        <v>13</v>
      </c>
      <c r="G4" s="65">
        <v>3</v>
      </c>
      <c r="H4" s="66">
        <v>25</v>
      </c>
      <c r="I4" s="66">
        <f t="shared" si="0"/>
        <v>75</v>
      </c>
      <c r="J4" s="67">
        <v>11</v>
      </c>
      <c r="K4" s="67">
        <f t="shared" si="1"/>
        <v>825</v>
      </c>
      <c r="L4" s="69"/>
      <c r="M4" s="66">
        <f>SUM(K3:K4)</f>
        <v>3345</v>
      </c>
    </row>
    <row r="5" s="43" customFormat="1" spans="1:13">
      <c r="A5" s="50">
        <v>45705</v>
      </c>
      <c r="B5" s="51">
        <v>6</v>
      </c>
      <c r="C5" s="54" t="s">
        <v>14</v>
      </c>
      <c r="D5" s="54"/>
      <c r="E5" s="54"/>
      <c r="F5" s="60" t="s">
        <v>15</v>
      </c>
      <c r="G5" s="59">
        <v>5</v>
      </c>
      <c r="H5" s="54">
        <v>20</v>
      </c>
      <c r="I5" s="54">
        <f t="shared" si="0"/>
        <v>100</v>
      </c>
      <c r="J5" s="56">
        <v>17</v>
      </c>
      <c r="K5" s="56">
        <f t="shared" si="1"/>
        <v>1700</v>
      </c>
      <c r="L5" s="70"/>
      <c r="M5" s="54">
        <f>SUM(K3:K5)</f>
        <v>5045</v>
      </c>
    </row>
    <row r="6" s="41" customFormat="1" spans="1:13">
      <c r="A6" s="61">
        <v>45709</v>
      </c>
      <c r="B6" s="62">
        <v>32</v>
      </c>
      <c r="C6" s="66" t="s">
        <v>16</v>
      </c>
      <c r="D6" s="66"/>
      <c r="E6" s="66"/>
      <c r="F6" s="71" t="s">
        <v>17</v>
      </c>
      <c r="G6" s="65">
        <v>4</v>
      </c>
      <c r="H6" s="66">
        <v>25</v>
      </c>
      <c r="I6" s="66">
        <f t="shared" si="0"/>
        <v>100</v>
      </c>
      <c r="J6" s="67">
        <v>17</v>
      </c>
      <c r="K6" s="67">
        <f t="shared" si="1"/>
        <v>1700</v>
      </c>
      <c r="L6" s="72"/>
      <c r="M6" s="66"/>
    </row>
    <row r="7" s="41" customFormat="1" spans="1:13">
      <c r="A7" s="61">
        <v>45709</v>
      </c>
      <c r="B7" s="62">
        <v>32</v>
      </c>
      <c r="C7" s="66" t="s">
        <v>16</v>
      </c>
      <c r="D7" s="66"/>
      <c r="E7" s="66"/>
      <c r="F7" s="71" t="s">
        <v>17</v>
      </c>
      <c r="G7" s="65">
        <v>1</v>
      </c>
      <c r="H7" s="66">
        <v>26</v>
      </c>
      <c r="I7" s="66">
        <f t="shared" si="0"/>
        <v>26</v>
      </c>
      <c r="J7" s="67">
        <v>17</v>
      </c>
      <c r="K7" s="67">
        <f t="shared" si="1"/>
        <v>442</v>
      </c>
      <c r="L7" s="72"/>
      <c r="M7" s="66"/>
    </row>
    <row r="8" s="41" customFormat="1" spans="1:13">
      <c r="A8" s="61">
        <v>45709</v>
      </c>
      <c r="B8" s="62">
        <v>32</v>
      </c>
      <c r="C8" s="66">
        <v>10545</v>
      </c>
      <c r="D8" s="66"/>
      <c r="E8" s="66"/>
      <c r="F8" s="68" t="s">
        <v>18</v>
      </c>
      <c r="G8" s="65">
        <v>2</v>
      </c>
      <c r="H8" s="66">
        <v>21</v>
      </c>
      <c r="I8" s="66">
        <f t="shared" si="0"/>
        <v>42</v>
      </c>
      <c r="J8" s="67">
        <v>23</v>
      </c>
      <c r="K8" s="67">
        <f t="shared" si="1"/>
        <v>966</v>
      </c>
      <c r="L8" s="73" t="s">
        <v>19</v>
      </c>
      <c r="M8" s="66"/>
    </row>
    <row r="9" s="42" customFormat="1" spans="1:13">
      <c r="A9" s="61">
        <v>45709</v>
      </c>
      <c r="B9" s="62">
        <v>32</v>
      </c>
      <c r="C9" s="66" t="s">
        <v>20</v>
      </c>
      <c r="D9" s="66"/>
      <c r="E9" s="66"/>
      <c r="F9" s="68" t="s">
        <v>21</v>
      </c>
      <c r="G9" s="65">
        <v>5</v>
      </c>
      <c r="H9" s="66">
        <v>20</v>
      </c>
      <c r="I9" s="66">
        <f t="shared" si="0"/>
        <v>100</v>
      </c>
      <c r="J9" s="67">
        <v>17</v>
      </c>
      <c r="K9" s="67">
        <f t="shared" si="1"/>
        <v>1700</v>
      </c>
      <c r="L9" s="69"/>
      <c r="M9" s="66"/>
    </row>
    <row r="10" s="42" customFormat="1" spans="1:13">
      <c r="A10" s="61">
        <v>45709</v>
      </c>
      <c r="B10" s="62">
        <v>32</v>
      </c>
      <c r="C10" s="66" t="s">
        <v>14</v>
      </c>
      <c r="D10" s="66"/>
      <c r="E10" s="66"/>
      <c r="F10" s="68" t="s">
        <v>15</v>
      </c>
      <c r="G10" s="65">
        <v>2</v>
      </c>
      <c r="H10" s="66">
        <v>20</v>
      </c>
      <c r="I10" s="66">
        <f t="shared" si="0"/>
        <v>40</v>
      </c>
      <c r="J10" s="67">
        <v>17</v>
      </c>
      <c r="K10" s="67">
        <f t="shared" si="1"/>
        <v>680</v>
      </c>
      <c r="L10" s="69"/>
      <c r="M10" s="66">
        <f>SUM(K6:K10)</f>
        <v>5488</v>
      </c>
    </row>
    <row r="11" s="40" customFormat="1" spans="1:13">
      <c r="A11" s="50">
        <v>45718</v>
      </c>
      <c r="B11" s="51">
        <v>4</v>
      </c>
      <c r="C11" s="57">
        <v>9804</v>
      </c>
      <c r="D11" s="58"/>
      <c r="E11" s="58"/>
      <c r="F11" s="9" t="s">
        <v>11</v>
      </c>
      <c r="G11" s="59">
        <v>10</v>
      </c>
      <c r="H11" s="54">
        <v>28</v>
      </c>
      <c r="I11" s="54">
        <f t="shared" si="0"/>
        <v>280</v>
      </c>
      <c r="J11" s="56">
        <v>9</v>
      </c>
      <c r="K11" s="56">
        <f t="shared" si="1"/>
        <v>2520</v>
      </c>
      <c r="L11" s="60"/>
      <c r="M11" s="54"/>
    </row>
    <row r="12" s="43" customFormat="1" spans="1:13">
      <c r="A12" s="50">
        <v>45718</v>
      </c>
      <c r="B12" s="51">
        <v>4</v>
      </c>
      <c r="C12" s="54" t="s">
        <v>12</v>
      </c>
      <c r="D12" s="54"/>
      <c r="E12" s="54"/>
      <c r="F12" s="60" t="s">
        <v>13</v>
      </c>
      <c r="G12" s="59">
        <v>5</v>
      </c>
      <c r="H12" s="54">
        <v>25</v>
      </c>
      <c r="I12" s="54">
        <f t="shared" si="0"/>
        <v>125</v>
      </c>
      <c r="J12" s="56">
        <v>11</v>
      </c>
      <c r="K12" s="56">
        <f t="shared" si="1"/>
        <v>1375</v>
      </c>
      <c r="L12" s="70" t="s">
        <v>22</v>
      </c>
      <c r="M12" s="54">
        <f>SUM(K11:K12)</f>
        <v>3895</v>
      </c>
    </row>
    <row r="13" s="41" customFormat="1" spans="1:13">
      <c r="A13" s="61">
        <v>45724</v>
      </c>
      <c r="B13" s="62">
        <v>26</v>
      </c>
      <c r="C13" s="66">
        <v>11132</v>
      </c>
      <c r="D13" s="66"/>
      <c r="E13" s="66"/>
      <c r="F13" s="71" t="s">
        <v>23</v>
      </c>
      <c r="G13" s="65">
        <v>1</v>
      </c>
      <c r="H13" s="66">
        <v>20</v>
      </c>
      <c r="I13" s="66">
        <f t="shared" si="0"/>
        <v>20</v>
      </c>
      <c r="J13" s="67">
        <v>20</v>
      </c>
      <c r="K13" s="67">
        <f t="shared" si="1"/>
        <v>400</v>
      </c>
      <c r="L13" s="72" t="s">
        <v>24</v>
      </c>
      <c r="M13" s="66"/>
    </row>
    <row r="14" s="41" customFormat="1" spans="1:13">
      <c r="A14" s="61">
        <v>45724</v>
      </c>
      <c r="B14" s="62">
        <v>26</v>
      </c>
      <c r="C14" s="66">
        <v>11133</v>
      </c>
      <c r="D14" s="66"/>
      <c r="E14" s="66"/>
      <c r="F14" s="71" t="s">
        <v>25</v>
      </c>
      <c r="G14" s="65">
        <v>1</v>
      </c>
      <c r="H14" s="66">
        <v>18</v>
      </c>
      <c r="I14" s="66">
        <f t="shared" si="0"/>
        <v>18</v>
      </c>
      <c r="J14" s="67">
        <v>17</v>
      </c>
      <c r="K14" s="67">
        <f t="shared" si="1"/>
        <v>306</v>
      </c>
      <c r="L14" s="72" t="s">
        <v>24</v>
      </c>
      <c r="M14" s="66"/>
    </row>
    <row r="15" s="41" customFormat="1" spans="1:13">
      <c r="A15" s="61">
        <v>45724</v>
      </c>
      <c r="B15" s="62">
        <v>26</v>
      </c>
      <c r="C15" s="66">
        <v>11134</v>
      </c>
      <c r="D15" s="66"/>
      <c r="E15" s="66"/>
      <c r="F15" s="71" t="s">
        <v>26</v>
      </c>
      <c r="G15" s="65">
        <v>1</v>
      </c>
      <c r="H15" s="66">
        <v>20</v>
      </c>
      <c r="I15" s="66">
        <f t="shared" si="0"/>
        <v>20</v>
      </c>
      <c r="J15" s="67">
        <v>17</v>
      </c>
      <c r="K15" s="67">
        <f t="shared" si="1"/>
        <v>340</v>
      </c>
      <c r="L15" s="72" t="s">
        <v>24</v>
      </c>
      <c r="M15" s="66"/>
    </row>
    <row r="16" s="41" customFormat="1" spans="1:13">
      <c r="A16" s="61">
        <v>45724</v>
      </c>
      <c r="B16" s="62">
        <v>26</v>
      </c>
      <c r="C16" s="66">
        <v>11134</v>
      </c>
      <c r="D16" s="66"/>
      <c r="E16" s="66"/>
      <c r="F16" s="71" t="s">
        <v>26</v>
      </c>
      <c r="G16" s="65">
        <v>1</v>
      </c>
      <c r="H16" s="66">
        <v>15</v>
      </c>
      <c r="I16" s="66">
        <f t="shared" si="0"/>
        <v>15</v>
      </c>
      <c r="J16" s="67">
        <v>17</v>
      </c>
      <c r="K16" s="67">
        <f t="shared" si="1"/>
        <v>255</v>
      </c>
      <c r="L16" s="72" t="s">
        <v>24</v>
      </c>
      <c r="M16" s="66"/>
    </row>
    <row r="17" s="41" customFormat="1" spans="1:13">
      <c r="A17" s="61">
        <v>45724</v>
      </c>
      <c r="B17" s="62">
        <v>26</v>
      </c>
      <c r="C17" s="66">
        <v>11134</v>
      </c>
      <c r="D17" s="66"/>
      <c r="E17" s="66"/>
      <c r="F17" s="71" t="s">
        <v>26</v>
      </c>
      <c r="G17" s="65">
        <v>1</v>
      </c>
      <c r="H17" s="66">
        <v>3</v>
      </c>
      <c r="I17" s="66">
        <f t="shared" si="0"/>
        <v>3</v>
      </c>
      <c r="J17" s="67"/>
      <c r="K17" s="67"/>
      <c r="L17" s="72" t="s">
        <v>27</v>
      </c>
      <c r="M17" s="66"/>
    </row>
    <row r="18" s="42" customFormat="1" spans="1:13">
      <c r="A18" s="61">
        <v>45724</v>
      </c>
      <c r="B18" s="62">
        <v>26</v>
      </c>
      <c r="C18" s="66" t="s">
        <v>20</v>
      </c>
      <c r="D18" s="66"/>
      <c r="E18" s="66"/>
      <c r="F18" s="68" t="s">
        <v>21</v>
      </c>
      <c r="G18" s="65">
        <v>2</v>
      </c>
      <c r="H18" s="66">
        <v>20</v>
      </c>
      <c r="I18" s="66">
        <f t="shared" si="0"/>
        <v>40</v>
      </c>
      <c r="J18" s="67">
        <v>17</v>
      </c>
      <c r="K18" s="67">
        <f t="shared" ref="K18:K32" si="2">I18*J18</f>
        <v>680</v>
      </c>
      <c r="L18" s="69"/>
      <c r="M18" s="66"/>
    </row>
    <row r="19" s="41" customFormat="1" spans="1:13">
      <c r="A19" s="61">
        <v>45724</v>
      </c>
      <c r="B19" s="62">
        <v>26</v>
      </c>
      <c r="C19" s="63">
        <v>9804</v>
      </c>
      <c r="D19" s="52"/>
      <c r="E19" s="52"/>
      <c r="F19" s="64" t="s">
        <v>11</v>
      </c>
      <c r="G19" s="65">
        <v>10</v>
      </c>
      <c r="H19" s="66">
        <v>28</v>
      </c>
      <c r="I19" s="66">
        <f t="shared" si="0"/>
        <v>280</v>
      </c>
      <c r="J19" s="67">
        <v>9</v>
      </c>
      <c r="K19" s="67">
        <f t="shared" si="2"/>
        <v>2520</v>
      </c>
      <c r="L19" s="68"/>
      <c r="M19" s="66"/>
    </row>
    <row r="20" s="40" customFormat="1" spans="1:13">
      <c r="A20" s="50">
        <v>45732</v>
      </c>
      <c r="B20" s="51">
        <v>61</v>
      </c>
      <c r="C20" s="54">
        <v>2271</v>
      </c>
      <c r="D20" s="54"/>
      <c r="E20" s="54"/>
      <c r="F20" s="74" t="s">
        <v>28</v>
      </c>
      <c r="G20" s="59">
        <v>3</v>
      </c>
      <c r="H20" s="54">
        <v>25</v>
      </c>
      <c r="I20" s="54">
        <f t="shared" si="0"/>
        <v>75</v>
      </c>
      <c r="J20" s="56">
        <v>17</v>
      </c>
      <c r="K20" s="56">
        <f t="shared" si="2"/>
        <v>1275</v>
      </c>
      <c r="L20" s="7" t="s">
        <v>24</v>
      </c>
      <c r="M20" s="54"/>
    </row>
    <row r="21" s="43" customFormat="1" spans="1:13">
      <c r="A21" s="50">
        <v>45732</v>
      </c>
      <c r="B21" s="51">
        <v>61</v>
      </c>
      <c r="C21" s="54" t="s">
        <v>14</v>
      </c>
      <c r="D21" s="54"/>
      <c r="E21" s="54"/>
      <c r="F21" s="60" t="s">
        <v>15</v>
      </c>
      <c r="G21" s="59">
        <v>3</v>
      </c>
      <c r="H21" s="54">
        <v>20</v>
      </c>
      <c r="I21" s="54">
        <f t="shared" si="0"/>
        <v>60</v>
      </c>
      <c r="J21" s="56">
        <v>17</v>
      </c>
      <c r="K21" s="56">
        <f t="shared" si="2"/>
        <v>1020</v>
      </c>
      <c r="L21" s="70"/>
      <c r="M21" s="54"/>
    </row>
    <row r="22" s="41" customFormat="1" spans="1:13">
      <c r="A22" s="61">
        <v>45734</v>
      </c>
      <c r="B22" s="62">
        <v>62</v>
      </c>
      <c r="C22" s="66">
        <v>2269</v>
      </c>
      <c r="D22" s="66"/>
      <c r="E22" s="66"/>
      <c r="F22" s="71" t="s">
        <v>29</v>
      </c>
      <c r="G22" s="65">
        <v>3</v>
      </c>
      <c r="H22" s="66">
        <v>25</v>
      </c>
      <c r="I22" s="66">
        <f t="shared" si="0"/>
        <v>75</v>
      </c>
      <c r="J22" s="67">
        <v>17</v>
      </c>
      <c r="K22" s="67">
        <f t="shared" si="2"/>
        <v>1275</v>
      </c>
      <c r="L22" s="72" t="s">
        <v>24</v>
      </c>
      <c r="M22" s="66"/>
    </row>
    <row r="23" s="41" customFormat="1" spans="1:13">
      <c r="A23" s="61">
        <v>45734</v>
      </c>
      <c r="B23" s="62">
        <v>62</v>
      </c>
      <c r="C23" s="66">
        <v>2270</v>
      </c>
      <c r="D23" s="66"/>
      <c r="E23" s="66"/>
      <c r="F23" s="71" t="s">
        <v>30</v>
      </c>
      <c r="G23" s="65">
        <v>3</v>
      </c>
      <c r="H23" s="66">
        <v>25</v>
      </c>
      <c r="I23" s="66">
        <f t="shared" si="0"/>
        <v>75</v>
      </c>
      <c r="J23" s="67">
        <v>17</v>
      </c>
      <c r="K23" s="67">
        <f t="shared" si="2"/>
        <v>1275</v>
      </c>
      <c r="L23" s="72" t="s">
        <v>24</v>
      </c>
      <c r="M23" s="66"/>
    </row>
    <row r="24" s="42" customFormat="1" spans="1:13">
      <c r="A24" s="61">
        <v>45734</v>
      </c>
      <c r="B24" s="62">
        <v>62</v>
      </c>
      <c r="C24" s="66" t="s">
        <v>14</v>
      </c>
      <c r="D24" s="66"/>
      <c r="E24" s="66"/>
      <c r="F24" s="68" t="s">
        <v>15</v>
      </c>
      <c r="G24" s="65">
        <v>6</v>
      </c>
      <c r="H24" s="66">
        <v>20</v>
      </c>
      <c r="I24" s="66">
        <f t="shared" si="0"/>
        <v>120</v>
      </c>
      <c r="J24" s="67">
        <v>17</v>
      </c>
      <c r="K24" s="67">
        <f t="shared" si="2"/>
        <v>2040</v>
      </c>
      <c r="L24" s="69"/>
      <c r="M24" s="66">
        <f>SUM(K22:K24)</f>
        <v>4590</v>
      </c>
    </row>
    <row r="25" s="40" customFormat="1" spans="1:13">
      <c r="A25" s="50">
        <v>45734</v>
      </c>
      <c r="B25" s="51">
        <v>66</v>
      </c>
      <c r="C25" s="57">
        <v>9804</v>
      </c>
      <c r="D25" s="58"/>
      <c r="E25" s="58"/>
      <c r="F25" s="9" t="s">
        <v>11</v>
      </c>
      <c r="G25" s="59">
        <v>5</v>
      </c>
      <c r="H25" s="54">
        <v>28</v>
      </c>
      <c r="I25" s="54">
        <f t="shared" si="0"/>
        <v>140</v>
      </c>
      <c r="J25" s="56">
        <v>9</v>
      </c>
      <c r="K25" s="56">
        <f t="shared" si="2"/>
        <v>1260</v>
      </c>
      <c r="L25" s="60"/>
      <c r="M25" s="54"/>
    </row>
    <row r="26" s="43" customFormat="1" spans="1:13">
      <c r="A26" s="50">
        <v>45734</v>
      </c>
      <c r="B26" s="51">
        <v>66</v>
      </c>
      <c r="C26" s="54" t="s">
        <v>12</v>
      </c>
      <c r="D26" s="54"/>
      <c r="E26" s="54"/>
      <c r="F26" s="60" t="s">
        <v>13</v>
      </c>
      <c r="G26" s="59">
        <v>5</v>
      </c>
      <c r="H26" s="54">
        <v>25</v>
      </c>
      <c r="I26" s="54">
        <f t="shared" si="0"/>
        <v>125</v>
      </c>
      <c r="J26" s="56">
        <v>11</v>
      </c>
      <c r="K26" s="56">
        <f t="shared" si="2"/>
        <v>1375</v>
      </c>
      <c r="L26" s="70" t="s">
        <v>22</v>
      </c>
      <c r="M26" s="54">
        <f>SUM(K25:K26)</f>
        <v>2635</v>
      </c>
    </row>
    <row r="27" s="41" customFormat="1" spans="1:13">
      <c r="A27" s="61">
        <v>45736</v>
      </c>
      <c r="B27" s="62">
        <v>76</v>
      </c>
      <c r="C27" s="66">
        <v>2269</v>
      </c>
      <c r="D27" s="66"/>
      <c r="E27" s="66"/>
      <c r="F27" s="71" t="s">
        <v>29</v>
      </c>
      <c r="G27" s="65">
        <v>3</v>
      </c>
      <c r="H27" s="66">
        <v>25</v>
      </c>
      <c r="I27" s="66">
        <f t="shared" si="0"/>
        <v>75</v>
      </c>
      <c r="J27" s="67">
        <v>17</v>
      </c>
      <c r="K27" s="67">
        <f t="shared" si="2"/>
        <v>1275</v>
      </c>
      <c r="L27" s="72" t="s">
        <v>24</v>
      </c>
      <c r="M27" s="66"/>
    </row>
    <row r="28" s="42" customFormat="1" spans="1:13">
      <c r="A28" s="61">
        <v>45736</v>
      </c>
      <c r="B28" s="62">
        <v>76</v>
      </c>
      <c r="C28" s="66" t="s">
        <v>14</v>
      </c>
      <c r="D28" s="66"/>
      <c r="E28" s="66"/>
      <c r="F28" s="68" t="s">
        <v>15</v>
      </c>
      <c r="G28" s="65">
        <v>3</v>
      </c>
      <c r="H28" s="66">
        <v>20</v>
      </c>
      <c r="I28" s="66">
        <f t="shared" si="0"/>
        <v>60</v>
      </c>
      <c r="J28" s="67">
        <v>17</v>
      </c>
      <c r="K28" s="67">
        <f t="shared" si="2"/>
        <v>1020</v>
      </c>
      <c r="L28" s="69"/>
      <c r="M28" s="66">
        <f>SUM(K27:K28)</f>
        <v>2295</v>
      </c>
    </row>
    <row r="29" s="40" customFormat="1" spans="1:13">
      <c r="A29" s="50">
        <v>45738</v>
      </c>
      <c r="B29" s="51">
        <v>85</v>
      </c>
      <c r="C29" s="57">
        <v>9804</v>
      </c>
      <c r="D29" s="58"/>
      <c r="E29" s="58"/>
      <c r="F29" s="9" t="s">
        <v>11</v>
      </c>
      <c r="G29" s="59">
        <v>10</v>
      </c>
      <c r="H29" s="54">
        <v>28</v>
      </c>
      <c r="I29" s="54">
        <f t="shared" si="0"/>
        <v>280</v>
      </c>
      <c r="J29" s="56">
        <v>9</v>
      </c>
      <c r="K29" s="56">
        <f t="shared" si="2"/>
        <v>2520</v>
      </c>
      <c r="L29" s="60"/>
      <c r="M29" s="54"/>
    </row>
    <row r="30" s="41" customFormat="1" spans="1:13">
      <c r="A30" s="61">
        <v>45742</v>
      </c>
      <c r="B30" s="62">
        <v>110</v>
      </c>
      <c r="C30" s="66">
        <v>2271</v>
      </c>
      <c r="D30" s="66"/>
      <c r="E30" s="66"/>
      <c r="F30" s="71" t="s">
        <v>28</v>
      </c>
      <c r="G30" s="65">
        <v>1</v>
      </c>
      <c r="H30" s="66">
        <v>22</v>
      </c>
      <c r="I30" s="66">
        <f t="shared" si="0"/>
        <v>22</v>
      </c>
      <c r="J30" s="67">
        <v>17</v>
      </c>
      <c r="K30" s="67">
        <f t="shared" si="2"/>
        <v>374</v>
      </c>
      <c r="L30" s="72" t="s">
        <v>24</v>
      </c>
      <c r="M30" s="66"/>
    </row>
    <row r="31" s="41" customFormat="1" spans="1:13">
      <c r="A31" s="61">
        <v>45742</v>
      </c>
      <c r="B31" s="62">
        <v>110</v>
      </c>
      <c r="C31" s="66">
        <v>2271</v>
      </c>
      <c r="D31" s="66"/>
      <c r="E31" s="66"/>
      <c r="F31" s="71" t="s">
        <v>28</v>
      </c>
      <c r="G31" s="65">
        <v>1</v>
      </c>
      <c r="H31" s="66">
        <v>50</v>
      </c>
      <c r="I31" s="66">
        <f t="shared" si="0"/>
        <v>50</v>
      </c>
      <c r="J31" s="67"/>
      <c r="K31" s="67"/>
      <c r="L31" s="72" t="s">
        <v>31</v>
      </c>
      <c r="M31" s="66"/>
    </row>
    <row r="32" s="41" customFormat="1" spans="1:13">
      <c r="A32" s="61">
        <v>45742</v>
      </c>
      <c r="B32" s="62">
        <v>110</v>
      </c>
      <c r="C32" s="66">
        <v>2270</v>
      </c>
      <c r="D32" s="66"/>
      <c r="E32" s="66"/>
      <c r="F32" s="71" t="s">
        <v>30</v>
      </c>
      <c r="G32" s="65">
        <v>3</v>
      </c>
      <c r="H32" s="66">
        <v>26</v>
      </c>
      <c r="I32" s="66">
        <f t="shared" si="0"/>
        <v>78</v>
      </c>
      <c r="J32" s="67">
        <v>17</v>
      </c>
      <c r="K32" s="67">
        <f t="shared" ref="K32:K43" si="3">I32*J32</f>
        <v>1326</v>
      </c>
      <c r="L32" s="72" t="s">
        <v>24</v>
      </c>
      <c r="M32" s="66"/>
    </row>
    <row r="33" s="42" customFormat="1" spans="1:13">
      <c r="A33" s="61">
        <v>45742</v>
      </c>
      <c r="B33" s="62">
        <v>110</v>
      </c>
      <c r="C33" s="66" t="s">
        <v>14</v>
      </c>
      <c r="D33" s="66"/>
      <c r="E33" s="66"/>
      <c r="F33" s="68" t="s">
        <v>15</v>
      </c>
      <c r="G33" s="65">
        <v>6</v>
      </c>
      <c r="H33" s="66">
        <v>20</v>
      </c>
      <c r="I33" s="66">
        <f t="shared" si="0"/>
        <v>120</v>
      </c>
      <c r="J33" s="67">
        <v>17</v>
      </c>
      <c r="K33" s="67">
        <f t="shared" si="3"/>
        <v>2040</v>
      </c>
      <c r="L33" s="69"/>
      <c r="M33" s="66">
        <f>SUM(K30:K33)</f>
        <v>3740</v>
      </c>
    </row>
    <row r="34" s="40" customFormat="1" spans="1:13">
      <c r="A34" s="50">
        <v>45744</v>
      </c>
      <c r="B34" s="51">
        <v>119</v>
      </c>
      <c r="C34" s="54">
        <v>4680</v>
      </c>
      <c r="D34" s="54"/>
      <c r="E34" s="54"/>
      <c r="F34" s="74" t="s">
        <v>32</v>
      </c>
      <c r="G34" s="59">
        <v>4</v>
      </c>
      <c r="H34" s="54">
        <v>25</v>
      </c>
      <c r="I34" s="54">
        <f t="shared" si="0"/>
        <v>100</v>
      </c>
      <c r="J34" s="56">
        <v>17</v>
      </c>
      <c r="K34" s="56">
        <f t="shared" si="3"/>
        <v>1700</v>
      </c>
      <c r="L34" s="7" t="s">
        <v>24</v>
      </c>
      <c r="M34" s="54"/>
    </row>
    <row r="35" s="43" customFormat="1" spans="1:13">
      <c r="A35" s="50">
        <v>45744</v>
      </c>
      <c r="B35" s="51">
        <v>119</v>
      </c>
      <c r="C35" s="54" t="s">
        <v>20</v>
      </c>
      <c r="D35" s="54"/>
      <c r="E35" s="54"/>
      <c r="F35" s="60" t="s">
        <v>21</v>
      </c>
      <c r="G35" s="59">
        <v>2</v>
      </c>
      <c r="H35" s="54">
        <v>20</v>
      </c>
      <c r="I35" s="54">
        <f t="shared" si="0"/>
        <v>40</v>
      </c>
      <c r="J35" s="56">
        <v>17</v>
      </c>
      <c r="K35" s="56">
        <f t="shared" si="3"/>
        <v>680</v>
      </c>
      <c r="L35" s="70"/>
      <c r="M35" s="54">
        <f>SUM(K34:K35)</f>
        <v>2380</v>
      </c>
    </row>
    <row r="36" s="44" customFormat="1" spans="1:13">
      <c r="A36" s="75">
        <v>45745</v>
      </c>
      <c r="B36" s="76">
        <v>125</v>
      </c>
      <c r="C36" s="77">
        <v>9804</v>
      </c>
      <c r="D36" s="78"/>
      <c r="E36" s="78"/>
      <c r="F36" s="79" t="s">
        <v>11</v>
      </c>
      <c r="G36" s="80">
        <v>5</v>
      </c>
      <c r="H36" s="81">
        <v>28</v>
      </c>
      <c r="I36" s="81">
        <f t="shared" si="0"/>
        <v>140</v>
      </c>
      <c r="J36" s="82">
        <v>9</v>
      </c>
      <c r="K36" s="82">
        <f t="shared" si="3"/>
        <v>1260</v>
      </c>
      <c r="L36" s="53"/>
      <c r="M36" s="81"/>
    </row>
    <row r="37" s="40" customFormat="1" spans="1:13">
      <c r="A37" s="50">
        <v>45756</v>
      </c>
      <c r="B37" s="51">
        <v>25</v>
      </c>
      <c r="C37" s="57">
        <v>9804</v>
      </c>
      <c r="D37" s="58"/>
      <c r="E37" s="58"/>
      <c r="F37" s="9" t="s">
        <v>11</v>
      </c>
      <c r="G37" s="59">
        <v>10</v>
      </c>
      <c r="H37" s="54">
        <v>28</v>
      </c>
      <c r="I37" s="54">
        <f t="shared" si="0"/>
        <v>280</v>
      </c>
      <c r="J37" s="56">
        <v>9</v>
      </c>
      <c r="K37" s="56">
        <f t="shared" si="3"/>
        <v>2520</v>
      </c>
      <c r="L37" s="60"/>
      <c r="M37" s="54"/>
    </row>
    <row r="38" s="43" customFormat="1" spans="1:13">
      <c r="A38" s="50">
        <v>45756</v>
      </c>
      <c r="B38" s="51">
        <v>25</v>
      </c>
      <c r="C38" s="54" t="s">
        <v>12</v>
      </c>
      <c r="D38" s="54"/>
      <c r="E38" s="54"/>
      <c r="F38" s="60" t="s">
        <v>13</v>
      </c>
      <c r="G38" s="59">
        <v>5</v>
      </c>
      <c r="H38" s="54">
        <v>25</v>
      </c>
      <c r="I38" s="54">
        <f t="shared" si="0"/>
        <v>125</v>
      </c>
      <c r="J38" s="56">
        <v>11</v>
      </c>
      <c r="K38" s="56">
        <f t="shared" si="3"/>
        <v>1375</v>
      </c>
      <c r="L38" s="70" t="s">
        <v>22</v>
      </c>
      <c r="M38" s="54"/>
    </row>
    <row r="39" s="43" customFormat="1" spans="1:13">
      <c r="A39" s="50">
        <v>45756</v>
      </c>
      <c r="B39" s="51">
        <v>25</v>
      </c>
      <c r="C39" s="54" t="s">
        <v>33</v>
      </c>
      <c r="D39" s="54"/>
      <c r="E39" s="54"/>
      <c r="F39" s="74" t="s">
        <v>34</v>
      </c>
      <c r="G39" s="59">
        <v>1</v>
      </c>
      <c r="H39" s="54">
        <v>21</v>
      </c>
      <c r="I39" s="54">
        <f t="shared" si="0"/>
        <v>21</v>
      </c>
      <c r="J39" s="56">
        <v>23</v>
      </c>
      <c r="K39" s="56">
        <f t="shared" si="3"/>
        <v>483</v>
      </c>
      <c r="L39" s="70"/>
      <c r="M39" s="54"/>
    </row>
    <row r="40" s="43" customFormat="1" spans="1:13">
      <c r="A40" s="50">
        <v>45756</v>
      </c>
      <c r="B40" s="51">
        <v>25</v>
      </c>
      <c r="C40" s="54" t="s">
        <v>35</v>
      </c>
      <c r="D40" s="54"/>
      <c r="E40" s="54"/>
      <c r="F40" s="74" t="s">
        <v>36</v>
      </c>
      <c r="G40" s="59">
        <v>1</v>
      </c>
      <c r="H40" s="54">
        <v>4</v>
      </c>
      <c r="I40" s="54">
        <f t="shared" si="0"/>
        <v>4</v>
      </c>
      <c r="J40" s="56">
        <v>23</v>
      </c>
      <c r="K40" s="56">
        <f t="shared" si="3"/>
        <v>92</v>
      </c>
      <c r="L40" s="70"/>
      <c r="M40" s="54"/>
    </row>
    <row r="41" s="43" customFormat="1" spans="1:13">
      <c r="A41" s="50">
        <v>45756</v>
      </c>
      <c r="B41" s="51">
        <v>25</v>
      </c>
      <c r="C41" s="54" t="s">
        <v>20</v>
      </c>
      <c r="D41" s="54"/>
      <c r="E41" s="54"/>
      <c r="F41" s="60" t="s">
        <v>21</v>
      </c>
      <c r="G41" s="59">
        <v>1</v>
      </c>
      <c r="H41" s="54">
        <v>20</v>
      </c>
      <c r="I41" s="54">
        <f t="shared" si="0"/>
        <v>20</v>
      </c>
      <c r="J41" s="56">
        <v>17</v>
      </c>
      <c r="K41" s="56">
        <f t="shared" si="3"/>
        <v>340</v>
      </c>
      <c r="L41" s="70"/>
      <c r="M41" s="54">
        <f>SUM(K37:K41)</f>
        <v>4810</v>
      </c>
    </row>
    <row r="42" s="41" customFormat="1" spans="1:13">
      <c r="A42" s="61">
        <v>45761</v>
      </c>
      <c r="B42" s="62">
        <v>42</v>
      </c>
      <c r="C42" s="63">
        <v>9804</v>
      </c>
      <c r="D42" s="52"/>
      <c r="E42" s="52"/>
      <c r="F42" s="64" t="s">
        <v>11</v>
      </c>
      <c r="G42" s="65">
        <v>10</v>
      </c>
      <c r="H42" s="66">
        <v>28</v>
      </c>
      <c r="I42" s="66">
        <f t="shared" si="0"/>
        <v>280</v>
      </c>
      <c r="J42" s="67">
        <v>9</v>
      </c>
      <c r="K42" s="67">
        <f t="shared" si="3"/>
        <v>2520</v>
      </c>
      <c r="L42" s="68"/>
      <c r="M42" s="66"/>
    </row>
    <row r="43" s="41" customFormat="1" spans="1:13">
      <c r="A43" s="61">
        <v>45761</v>
      </c>
      <c r="B43" s="62">
        <v>42</v>
      </c>
      <c r="C43" s="66">
        <v>2269</v>
      </c>
      <c r="D43" s="66"/>
      <c r="E43" s="66"/>
      <c r="F43" s="71" t="s">
        <v>29</v>
      </c>
      <c r="G43" s="65">
        <v>2</v>
      </c>
      <c r="H43" s="66">
        <v>26</v>
      </c>
      <c r="I43" s="66">
        <f t="shared" si="0"/>
        <v>52</v>
      </c>
      <c r="J43" s="67">
        <v>17</v>
      </c>
      <c r="K43" s="67">
        <f t="shared" si="3"/>
        <v>884</v>
      </c>
      <c r="L43" s="72" t="s">
        <v>24</v>
      </c>
      <c r="M43" s="66"/>
    </row>
    <row r="44" s="42" customFormat="1" spans="1:13">
      <c r="A44" s="61">
        <v>45761</v>
      </c>
      <c r="B44" s="62">
        <v>42</v>
      </c>
      <c r="C44" s="66">
        <v>2269</v>
      </c>
      <c r="D44" s="66"/>
      <c r="E44" s="66"/>
      <c r="F44" s="71" t="s">
        <v>29</v>
      </c>
      <c r="G44" s="65">
        <v>3</v>
      </c>
      <c r="H44" s="66">
        <v>25</v>
      </c>
      <c r="I44" s="66">
        <f t="shared" ref="I44:I107" si="4">G44*H44</f>
        <v>75</v>
      </c>
      <c r="J44" s="67">
        <v>17</v>
      </c>
      <c r="K44" s="67">
        <f t="shared" ref="K44:K105" si="5">I44*J44</f>
        <v>1275</v>
      </c>
      <c r="L44" s="69"/>
      <c r="M44" s="66"/>
    </row>
    <row r="45" s="42" customFormat="1" spans="1:13">
      <c r="A45" s="61">
        <v>45761</v>
      </c>
      <c r="B45" s="62">
        <v>42</v>
      </c>
      <c r="C45" s="123" t="s">
        <v>37</v>
      </c>
      <c r="D45" s="66"/>
      <c r="E45" s="66"/>
      <c r="F45" s="71" t="s">
        <v>38</v>
      </c>
      <c r="G45" s="65">
        <v>1</v>
      </c>
      <c r="H45" s="66">
        <v>26</v>
      </c>
      <c r="I45" s="66">
        <f t="shared" si="4"/>
        <v>26</v>
      </c>
      <c r="J45" s="67">
        <v>17</v>
      </c>
      <c r="K45" s="67">
        <f t="shared" si="5"/>
        <v>442</v>
      </c>
      <c r="L45" s="69"/>
      <c r="M45" s="66"/>
    </row>
    <row r="46" s="42" customFormat="1" spans="1:13">
      <c r="A46" s="61">
        <v>45761</v>
      </c>
      <c r="B46" s="62">
        <v>42</v>
      </c>
      <c r="C46" s="123" t="s">
        <v>39</v>
      </c>
      <c r="D46" s="66"/>
      <c r="E46" s="66"/>
      <c r="F46" s="68" t="s">
        <v>40</v>
      </c>
      <c r="G46" s="65">
        <v>1</v>
      </c>
      <c r="H46" s="66">
        <v>13</v>
      </c>
      <c r="I46" s="66">
        <f t="shared" si="4"/>
        <v>13</v>
      </c>
      <c r="J46" s="67">
        <v>23</v>
      </c>
      <c r="K46" s="67">
        <f t="shared" si="5"/>
        <v>299</v>
      </c>
      <c r="L46" s="72" t="s">
        <v>24</v>
      </c>
      <c r="M46" s="66"/>
    </row>
    <row r="47" s="42" customFormat="1" spans="1:13">
      <c r="A47" s="61">
        <v>45761</v>
      </c>
      <c r="B47" s="62">
        <v>42</v>
      </c>
      <c r="C47" s="66" t="s">
        <v>41</v>
      </c>
      <c r="D47" s="66"/>
      <c r="E47" s="66"/>
      <c r="F47" s="68" t="s">
        <v>42</v>
      </c>
      <c r="G47" s="65">
        <v>1</v>
      </c>
      <c r="H47" s="66">
        <v>18</v>
      </c>
      <c r="I47" s="66">
        <f t="shared" si="4"/>
        <v>18</v>
      </c>
      <c r="J47" s="67">
        <v>9.5</v>
      </c>
      <c r="K47" s="67">
        <f t="shared" si="5"/>
        <v>171</v>
      </c>
      <c r="L47" s="69"/>
      <c r="M47" s="66"/>
    </row>
    <row r="48" s="42" customFormat="1" spans="1:13">
      <c r="A48" s="61">
        <v>45761</v>
      </c>
      <c r="B48" s="62">
        <v>42</v>
      </c>
      <c r="C48" s="66" t="s">
        <v>14</v>
      </c>
      <c r="D48" s="66"/>
      <c r="E48" s="66"/>
      <c r="F48" s="68" t="s">
        <v>15</v>
      </c>
      <c r="G48" s="65">
        <v>6</v>
      </c>
      <c r="H48" s="66">
        <v>20</v>
      </c>
      <c r="I48" s="66">
        <f t="shared" si="4"/>
        <v>120</v>
      </c>
      <c r="J48" s="67">
        <v>17</v>
      </c>
      <c r="K48" s="67">
        <f t="shared" si="5"/>
        <v>2040</v>
      </c>
      <c r="L48" s="69"/>
      <c r="M48" s="66">
        <f>SUM(K42:K48)</f>
        <v>7631</v>
      </c>
    </row>
    <row r="49" s="40" customFormat="1" spans="1:13">
      <c r="A49" s="50">
        <v>45724</v>
      </c>
      <c r="B49" s="51">
        <v>26</v>
      </c>
      <c r="C49" s="54" t="s">
        <v>43</v>
      </c>
      <c r="D49" s="54"/>
      <c r="E49" s="54"/>
      <c r="F49" s="74" t="s">
        <v>44</v>
      </c>
      <c r="G49" s="59">
        <v>1</v>
      </c>
      <c r="H49" s="54">
        <v>21</v>
      </c>
      <c r="I49" s="54">
        <f t="shared" si="4"/>
        <v>21</v>
      </c>
      <c r="J49" s="56">
        <v>20</v>
      </c>
      <c r="K49" s="56">
        <f t="shared" si="5"/>
        <v>420</v>
      </c>
      <c r="L49" s="7" t="s">
        <v>24</v>
      </c>
      <c r="M49" s="54"/>
    </row>
    <row r="50" s="40" customFormat="1" spans="1:13">
      <c r="A50" s="50">
        <v>45724</v>
      </c>
      <c r="B50" s="51">
        <v>26</v>
      </c>
      <c r="C50" s="54" t="s">
        <v>45</v>
      </c>
      <c r="D50" s="54"/>
      <c r="E50" s="54"/>
      <c r="F50" s="74" t="s">
        <v>46</v>
      </c>
      <c r="G50" s="59">
        <v>1</v>
      </c>
      <c r="H50" s="54">
        <v>20</v>
      </c>
      <c r="I50" s="54">
        <f t="shared" si="4"/>
        <v>20</v>
      </c>
      <c r="J50" s="56">
        <v>20</v>
      </c>
      <c r="K50" s="56">
        <f t="shared" si="5"/>
        <v>400</v>
      </c>
      <c r="L50" s="7" t="s">
        <v>24</v>
      </c>
      <c r="M50" s="54"/>
    </row>
    <row r="51" s="43" customFormat="1" spans="1:13">
      <c r="A51" s="50">
        <v>45756</v>
      </c>
      <c r="B51" s="51">
        <v>25</v>
      </c>
      <c r="C51" s="54" t="s">
        <v>20</v>
      </c>
      <c r="D51" s="54"/>
      <c r="E51" s="54"/>
      <c r="F51" s="60" t="s">
        <v>21</v>
      </c>
      <c r="G51" s="59">
        <v>1</v>
      </c>
      <c r="H51" s="54">
        <v>20</v>
      </c>
      <c r="I51" s="54">
        <f t="shared" si="4"/>
        <v>20</v>
      </c>
      <c r="J51" s="56">
        <v>17</v>
      </c>
      <c r="K51" s="56">
        <f t="shared" si="5"/>
        <v>340</v>
      </c>
      <c r="L51" s="70"/>
      <c r="M51" s="54">
        <f>SUM(K49:K51)</f>
        <v>1160</v>
      </c>
    </row>
    <row r="52" s="41" customFormat="1" spans="1:13">
      <c r="A52" s="61">
        <v>45775</v>
      </c>
      <c r="B52" s="62">
        <v>95</v>
      </c>
      <c r="C52" s="63">
        <v>9804</v>
      </c>
      <c r="D52" s="52"/>
      <c r="E52" s="52"/>
      <c r="F52" s="64" t="s">
        <v>11</v>
      </c>
      <c r="G52" s="65">
        <v>5</v>
      </c>
      <c r="H52" s="66">
        <v>28</v>
      </c>
      <c r="I52" s="66">
        <f t="shared" si="4"/>
        <v>140</v>
      </c>
      <c r="J52" s="67">
        <v>9</v>
      </c>
      <c r="K52" s="67">
        <f t="shared" si="5"/>
        <v>1260</v>
      </c>
      <c r="L52" s="68"/>
      <c r="M52" s="66"/>
    </row>
    <row r="53" s="41" customFormat="1" spans="1:13">
      <c r="A53" s="61">
        <v>45775</v>
      </c>
      <c r="B53" s="62">
        <v>95</v>
      </c>
      <c r="C53" s="66"/>
      <c r="D53" s="66"/>
      <c r="E53" s="66"/>
      <c r="F53" s="71" t="s">
        <v>47</v>
      </c>
      <c r="G53" s="65">
        <v>1</v>
      </c>
      <c r="H53" s="66">
        <v>4</v>
      </c>
      <c r="I53" s="66">
        <f t="shared" si="4"/>
        <v>4</v>
      </c>
      <c r="J53" s="67">
        <v>17</v>
      </c>
      <c r="K53" s="67">
        <f t="shared" si="5"/>
        <v>68</v>
      </c>
      <c r="L53" s="72"/>
      <c r="M53" s="66"/>
    </row>
    <row r="54" s="40" customFormat="1" spans="1:13">
      <c r="A54" s="50">
        <v>45777</v>
      </c>
      <c r="B54" s="51">
        <v>100</v>
      </c>
      <c r="C54" s="54" t="s">
        <v>48</v>
      </c>
      <c r="D54" s="54"/>
      <c r="E54" s="54"/>
      <c r="F54" s="74" t="s">
        <v>49</v>
      </c>
      <c r="G54" s="59">
        <v>1</v>
      </c>
      <c r="H54" s="54">
        <v>25</v>
      </c>
      <c r="I54" s="54">
        <f t="shared" si="4"/>
        <v>25</v>
      </c>
      <c r="J54" s="56">
        <v>17</v>
      </c>
      <c r="K54" s="56">
        <f t="shared" si="5"/>
        <v>425</v>
      </c>
      <c r="L54" s="7" t="s">
        <v>24</v>
      </c>
      <c r="M54" s="54"/>
    </row>
    <row r="55" s="43" customFormat="1" spans="1:13">
      <c r="A55" s="50">
        <v>45777</v>
      </c>
      <c r="B55" s="51">
        <v>100</v>
      </c>
      <c r="C55" s="54">
        <v>10337</v>
      </c>
      <c r="D55" s="54"/>
      <c r="E55" s="54"/>
      <c r="F55" s="74" t="s">
        <v>38</v>
      </c>
      <c r="G55" s="59">
        <v>1</v>
      </c>
      <c r="H55" s="54">
        <v>25</v>
      </c>
      <c r="I55" s="54">
        <f t="shared" si="4"/>
        <v>25</v>
      </c>
      <c r="J55" s="56">
        <v>17</v>
      </c>
      <c r="K55" s="56">
        <f t="shared" si="5"/>
        <v>425</v>
      </c>
      <c r="L55" s="70"/>
      <c r="M55" s="54"/>
    </row>
    <row r="56" s="43" customFormat="1" spans="1:13">
      <c r="A56" s="50">
        <v>45777</v>
      </c>
      <c r="B56" s="51">
        <v>100</v>
      </c>
      <c r="C56" s="54" t="s">
        <v>50</v>
      </c>
      <c r="D56" s="54"/>
      <c r="E56" s="54"/>
      <c r="F56" s="74" t="s">
        <v>51</v>
      </c>
      <c r="G56" s="59">
        <v>1</v>
      </c>
      <c r="H56" s="54">
        <v>23</v>
      </c>
      <c r="I56" s="54">
        <f t="shared" si="4"/>
        <v>23</v>
      </c>
      <c r="J56" s="56">
        <v>17</v>
      </c>
      <c r="K56" s="56">
        <f t="shared" si="5"/>
        <v>391</v>
      </c>
      <c r="L56" s="70"/>
      <c r="M56" s="54"/>
    </row>
    <row r="57" s="43" customFormat="1" spans="1:13">
      <c r="A57" s="50">
        <v>45777</v>
      </c>
      <c r="B57" s="51">
        <v>100</v>
      </c>
      <c r="C57" s="54"/>
      <c r="D57" s="54"/>
      <c r="E57" s="54"/>
      <c r="F57" s="60" t="s">
        <v>52</v>
      </c>
      <c r="G57" s="59">
        <v>1</v>
      </c>
      <c r="H57" s="54">
        <v>4</v>
      </c>
      <c r="I57" s="54">
        <f t="shared" si="4"/>
        <v>4</v>
      </c>
      <c r="J57" s="56">
        <v>20</v>
      </c>
      <c r="K57" s="56">
        <f t="shared" si="5"/>
        <v>80</v>
      </c>
      <c r="L57" s="7" t="s">
        <v>24</v>
      </c>
      <c r="M57" s="54"/>
    </row>
    <row r="58" s="43" customFormat="1" spans="1:13">
      <c r="A58" s="50">
        <v>45777</v>
      </c>
      <c r="B58" s="51">
        <v>100</v>
      </c>
      <c r="C58" s="54" t="s">
        <v>14</v>
      </c>
      <c r="D58" s="54"/>
      <c r="E58" s="54"/>
      <c r="F58" s="60" t="s">
        <v>15</v>
      </c>
      <c r="G58" s="59">
        <v>3</v>
      </c>
      <c r="H58" s="54">
        <v>20</v>
      </c>
      <c r="I58" s="54">
        <f t="shared" si="4"/>
        <v>60</v>
      </c>
      <c r="J58" s="56">
        <v>17</v>
      </c>
      <c r="K58" s="56">
        <f t="shared" si="5"/>
        <v>1020</v>
      </c>
      <c r="L58" s="70"/>
      <c r="M58" s="54">
        <f>SUM(K54:K58)</f>
        <v>2341</v>
      </c>
    </row>
    <row r="59" s="42" customFormat="1" spans="1:13">
      <c r="A59" s="61">
        <v>45785</v>
      </c>
      <c r="B59" s="62">
        <v>14</v>
      </c>
      <c r="C59" s="66">
        <v>10337</v>
      </c>
      <c r="D59" s="66"/>
      <c r="E59" s="66"/>
      <c r="F59" s="71" t="s">
        <v>38</v>
      </c>
      <c r="G59" s="65">
        <v>1</v>
      </c>
      <c r="H59" s="66">
        <v>26</v>
      </c>
      <c r="I59" s="66">
        <f t="shared" si="4"/>
        <v>26</v>
      </c>
      <c r="J59" s="67">
        <v>17</v>
      </c>
      <c r="K59" s="67">
        <f t="shared" si="5"/>
        <v>442</v>
      </c>
      <c r="L59" s="69"/>
      <c r="M59" s="66"/>
    </row>
    <row r="60" s="42" customFormat="1" spans="1:13">
      <c r="A60" s="61">
        <v>45785</v>
      </c>
      <c r="B60" s="62">
        <v>14</v>
      </c>
      <c r="C60" s="66" t="s">
        <v>14</v>
      </c>
      <c r="D60" s="66"/>
      <c r="E60" s="66"/>
      <c r="F60" s="68" t="s">
        <v>15</v>
      </c>
      <c r="G60" s="65">
        <v>1</v>
      </c>
      <c r="H60" s="66">
        <v>20</v>
      </c>
      <c r="I60" s="66">
        <f t="shared" si="4"/>
        <v>20</v>
      </c>
      <c r="J60" s="67">
        <v>17</v>
      </c>
      <c r="K60" s="67">
        <f t="shared" si="5"/>
        <v>340</v>
      </c>
      <c r="L60" s="69"/>
      <c r="M60" s="66">
        <f>SUM(K56:K60)</f>
        <v>2273</v>
      </c>
    </row>
    <row r="61" s="40" customFormat="1" spans="1:13">
      <c r="A61" s="50">
        <v>45789</v>
      </c>
      <c r="B61" s="51">
        <v>22</v>
      </c>
      <c r="C61" s="57">
        <v>9804</v>
      </c>
      <c r="D61" s="58"/>
      <c r="E61" s="58"/>
      <c r="F61" s="9" t="s">
        <v>11</v>
      </c>
      <c r="G61" s="59">
        <v>10</v>
      </c>
      <c r="H61" s="54">
        <v>28</v>
      </c>
      <c r="I61" s="54">
        <f t="shared" si="4"/>
        <v>280</v>
      </c>
      <c r="J61" s="56">
        <v>9</v>
      </c>
      <c r="K61" s="56">
        <f t="shared" si="5"/>
        <v>2520</v>
      </c>
      <c r="L61" s="60"/>
      <c r="M61" s="54"/>
    </row>
    <row r="62" s="41" customFormat="1" spans="1:13">
      <c r="A62" s="61">
        <v>45796</v>
      </c>
      <c r="B62" s="62">
        <v>51</v>
      </c>
      <c r="C62" s="66">
        <v>2270</v>
      </c>
      <c r="D62" s="66"/>
      <c r="E62" s="66"/>
      <c r="F62" s="71" t="s">
        <v>30</v>
      </c>
      <c r="G62" s="65">
        <v>3</v>
      </c>
      <c r="H62" s="66">
        <v>25</v>
      </c>
      <c r="I62" s="66">
        <f t="shared" si="4"/>
        <v>75</v>
      </c>
      <c r="J62" s="67">
        <v>17</v>
      </c>
      <c r="K62" s="67">
        <f t="shared" si="5"/>
        <v>1275</v>
      </c>
      <c r="L62" s="72" t="s">
        <v>24</v>
      </c>
      <c r="M62" s="66"/>
    </row>
    <row r="63" s="42" customFormat="1" spans="1:13">
      <c r="A63" s="61">
        <v>45796</v>
      </c>
      <c r="B63" s="62">
        <v>51</v>
      </c>
      <c r="C63" s="66" t="s">
        <v>14</v>
      </c>
      <c r="D63" s="66"/>
      <c r="E63" s="66"/>
      <c r="F63" s="68" t="s">
        <v>15</v>
      </c>
      <c r="G63" s="65">
        <v>3</v>
      </c>
      <c r="H63" s="66">
        <v>20</v>
      </c>
      <c r="I63" s="66">
        <f t="shared" si="4"/>
        <v>60</v>
      </c>
      <c r="J63" s="67">
        <v>17</v>
      </c>
      <c r="K63" s="67">
        <f t="shared" si="5"/>
        <v>1020</v>
      </c>
      <c r="L63" s="69"/>
      <c r="M63" s="66">
        <f>SUM(K62:K64)</f>
        <v>3670</v>
      </c>
    </row>
    <row r="64" s="42" customFormat="1" spans="1:13">
      <c r="A64" s="61">
        <v>45796</v>
      </c>
      <c r="B64" s="62">
        <v>51</v>
      </c>
      <c r="C64" s="66" t="s">
        <v>12</v>
      </c>
      <c r="D64" s="66"/>
      <c r="E64" s="66"/>
      <c r="F64" s="68" t="s">
        <v>13</v>
      </c>
      <c r="G64" s="65">
        <v>5</v>
      </c>
      <c r="H64" s="66">
        <v>25</v>
      </c>
      <c r="I64" s="66">
        <f t="shared" si="4"/>
        <v>125</v>
      </c>
      <c r="J64" s="67">
        <v>11</v>
      </c>
      <c r="K64" s="67">
        <f t="shared" si="5"/>
        <v>1375</v>
      </c>
      <c r="L64" s="69" t="s">
        <v>22</v>
      </c>
      <c r="M64" s="66"/>
    </row>
    <row r="65" s="40" customFormat="1" spans="1:13">
      <c r="A65" s="50">
        <v>45803</v>
      </c>
      <c r="B65" s="51">
        <v>64</v>
      </c>
      <c r="C65" s="54" t="s">
        <v>53</v>
      </c>
      <c r="D65" s="54"/>
      <c r="E65" s="54"/>
      <c r="F65" s="74" t="s">
        <v>38</v>
      </c>
      <c r="G65" s="59">
        <v>1</v>
      </c>
      <c r="H65" s="54">
        <v>2</v>
      </c>
      <c r="I65" s="54">
        <f t="shared" si="4"/>
        <v>2</v>
      </c>
      <c r="J65" s="56">
        <v>17</v>
      </c>
      <c r="K65" s="56">
        <f t="shared" si="5"/>
        <v>34</v>
      </c>
      <c r="L65" s="7" t="s">
        <v>54</v>
      </c>
      <c r="M65" s="54"/>
    </row>
    <row r="66" s="40" customFormat="1" spans="1:13">
      <c r="A66" s="50">
        <v>45803</v>
      </c>
      <c r="B66" s="51">
        <v>64</v>
      </c>
      <c r="C66" s="54" t="s">
        <v>53</v>
      </c>
      <c r="D66" s="54"/>
      <c r="E66" s="54"/>
      <c r="F66" s="74" t="s">
        <v>38</v>
      </c>
      <c r="G66" s="59">
        <v>1</v>
      </c>
      <c r="H66" s="54">
        <v>25</v>
      </c>
      <c r="I66" s="54">
        <f t="shared" si="4"/>
        <v>25</v>
      </c>
      <c r="J66" s="56">
        <v>17</v>
      </c>
      <c r="K66" s="56">
        <f t="shared" si="5"/>
        <v>425</v>
      </c>
      <c r="L66" s="7" t="s">
        <v>55</v>
      </c>
      <c r="M66" s="54"/>
    </row>
    <row r="67" s="43" customFormat="1" spans="1:13">
      <c r="A67" s="50">
        <v>45803</v>
      </c>
      <c r="B67" s="51">
        <v>64</v>
      </c>
      <c r="C67" s="54" t="s">
        <v>14</v>
      </c>
      <c r="D67" s="54"/>
      <c r="E67" s="54"/>
      <c r="F67" s="60" t="s">
        <v>15</v>
      </c>
      <c r="G67" s="59">
        <v>1</v>
      </c>
      <c r="H67" s="54">
        <v>20</v>
      </c>
      <c r="I67" s="54">
        <f t="shared" si="4"/>
        <v>20</v>
      </c>
      <c r="J67" s="56">
        <v>17</v>
      </c>
      <c r="K67" s="56">
        <f t="shared" si="5"/>
        <v>340</v>
      </c>
      <c r="L67" s="70"/>
      <c r="M67" s="54">
        <f>SUM(K63:K67)</f>
        <v>3194</v>
      </c>
    </row>
    <row r="68" s="44" customFormat="1" spans="1:13">
      <c r="A68" s="83">
        <v>45803</v>
      </c>
      <c r="B68" s="84" t="s">
        <v>56</v>
      </c>
      <c r="C68" s="85"/>
      <c r="D68" s="85"/>
      <c r="E68" s="85"/>
      <c r="F68" s="86" t="s">
        <v>51</v>
      </c>
      <c r="G68" s="87">
        <v>-1</v>
      </c>
      <c r="H68" s="85">
        <v>21</v>
      </c>
      <c r="I68" s="85">
        <f t="shared" si="4"/>
        <v>-21</v>
      </c>
      <c r="J68" s="88">
        <v>17</v>
      </c>
      <c r="K68" s="88"/>
      <c r="L68" s="89" t="s">
        <v>57</v>
      </c>
      <c r="M68" s="81"/>
    </row>
    <row r="69" s="40" customFormat="1" spans="1:13">
      <c r="A69" s="50">
        <v>45812</v>
      </c>
      <c r="B69" s="51">
        <v>8</v>
      </c>
      <c r="C69" s="57">
        <v>9804</v>
      </c>
      <c r="D69" s="58"/>
      <c r="E69" s="58"/>
      <c r="F69" s="9" t="s">
        <v>11</v>
      </c>
      <c r="G69" s="59">
        <v>10</v>
      </c>
      <c r="H69" s="54">
        <v>28</v>
      </c>
      <c r="I69" s="54">
        <f t="shared" si="4"/>
        <v>280</v>
      </c>
      <c r="J69" s="56">
        <v>9</v>
      </c>
      <c r="K69" s="56">
        <f t="shared" si="5"/>
        <v>2520</v>
      </c>
      <c r="L69" s="60"/>
      <c r="M69" s="54"/>
    </row>
    <row r="70" s="42" customFormat="1" spans="1:13">
      <c r="A70" s="61">
        <v>45812</v>
      </c>
      <c r="B70" s="62">
        <v>12</v>
      </c>
      <c r="C70" s="66">
        <v>2269</v>
      </c>
      <c r="D70" s="66"/>
      <c r="E70" s="66"/>
      <c r="F70" s="71" t="s">
        <v>29</v>
      </c>
      <c r="G70" s="65">
        <v>3</v>
      </c>
      <c r="H70" s="66">
        <v>25</v>
      </c>
      <c r="I70" s="66">
        <f t="shared" si="4"/>
        <v>75</v>
      </c>
      <c r="J70" s="67">
        <v>17</v>
      </c>
      <c r="K70" s="67">
        <f t="shared" si="5"/>
        <v>1275</v>
      </c>
      <c r="L70" s="69"/>
      <c r="M70" s="66"/>
    </row>
    <row r="71" s="42" customFormat="1" spans="1:13">
      <c r="A71" s="61">
        <v>45812</v>
      </c>
      <c r="B71" s="62">
        <v>12</v>
      </c>
      <c r="C71" s="66" t="s">
        <v>14</v>
      </c>
      <c r="D71" s="66"/>
      <c r="E71" s="66"/>
      <c r="F71" s="68" t="s">
        <v>15</v>
      </c>
      <c r="G71" s="65">
        <v>3</v>
      </c>
      <c r="H71" s="66">
        <v>20</v>
      </c>
      <c r="I71" s="66">
        <f t="shared" si="4"/>
        <v>60</v>
      </c>
      <c r="J71" s="67">
        <v>17</v>
      </c>
      <c r="K71" s="67">
        <f t="shared" si="5"/>
        <v>1020</v>
      </c>
      <c r="L71" s="69"/>
      <c r="M71" s="66">
        <f>SUM(K70:K72)</f>
        <v>1938</v>
      </c>
    </row>
    <row r="72" s="44" customFormat="1" spans="1:13">
      <c r="A72" s="61">
        <v>45812</v>
      </c>
      <c r="B72" s="62">
        <v>12</v>
      </c>
      <c r="C72" s="85" t="s">
        <v>56</v>
      </c>
      <c r="D72" s="85"/>
      <c r="E72" s="85"/>
      <c r="F72" s="86" t="s">
        <v>51</v>
      </c>
      <c r="G72" s="87">
        <v>-1</v>
      </c>
      <c r="H72" s="85">
        <v>21</v>
      </c>
      <c r="I72" s="85">
        <f t="shared" si="4"/>
        <v>-21</v>
      </c>
      <c r="J72" s="88">
        <v>17</v>
      </c>
      <c r="K72" s="88">
        <f t="shared" si="5"/>
        <v>-357</v>
      </c>
      <c r="L72" s="89" t="s">
        <v>58</v>
      </c>
      <c r="M72" s="81"/>
    </row>
    <row r="73" s="40" customFormat="1" spans="1:13">
      <c r="A73" s="50">
        <v>45820</v>
      </c>
      <c r="B73" s="51">
        <v>38</v>
      </c>
      <c r="C73" s="54" t="s">
        <v>53</v>
      </c>
      <c r="D73" s="54"/>
      <c r="E73" s="54"/>
      <c r="F73" s="74" t="s">
        <v>38</v>
      </c>
      <c r="G73" s="59">
        <v>1</v>
      </c>
      <c r="H73" s="54">
        <v>2</v>
      </c>
      <c r="I73" s="54">
        <f t="shared" si="4"/>
        <v>2</v>
      </c>
      <c r="J73" s="56">
        <v>17</v>
      </c>
      <c r="K73" s="56">
        <f t="shared" si="5"/>
        <v>34</v>
      </c>
      <c r="L73" s="7" t="s">
        <v>59</v>
      </c>
      <c r="M73" s="54"/>
    </row>
    <row r="74" s="40" customFormat="1" spans="1:13">
      <c r="A74" s="50">
        <v>45820</v>
      </c>
      <c r="B74" s="51">
        <v>38</v>
      </c>
      <c r="C74" s="54" t="s">
        <v>45</v>
      </c>
      <c r="D74" s="54"/>
      <c r="E74" s="54"/>
      <c r="F74" s="74" t="s">
        <v>46</v>
      </c>
      <c r="G74" s="59">
        <v>1</v>
      </c>
      <c r="H74" s="54">
        <v>4</v>
      </c>
      <c r="I74" s="54">
        <f t="shared" si="4"/>
        <v>4</v>
      </c>
      <c r="J74" s="56">
        <v>20</v>
      </c>
      <c r="K74" s="56">
        <f t="shared" si="5"/>
        <v>80</v>
      </c>
      <c r="L74" s="7" t="s">
        <v>24</v>
      </c>
      <c r="M74" s="54"/>
    </row>
    <row r="75" s="41" customFormat="1" spans="1:13">
      <c r="A75" s="61">
        <v>45832</v>
      </c>
      <c r="B75" s="90">
        <v>73</v>
      </c>
      <c r="C75" s="91">
        <v>9804</v>
      </c>
      <c r="D75" s="66"/>
      <c r="E75" s="66"/>
      <c r="F75" s="64" t="s">
        <v>11</v>
      </c>
      <c r="G75" s="65">
        <v>10</v>
      </c>
      <c r="H75" s="66">
        <v>28</v>
      </c>
      <c r="I75" s="66">
        <f t="shared" si="4"/>
        <v>280</v>
      </c>
      <c r="J75" s="67">
        <v>9</v>
      </c>
      <c r="K75" s="67">
        <f t="shared" si="5"/>
        <v>2520</v>
      </c>
      <c r="L75" s="68"/>
      <c r="M75" s="66"/>
    </row>
    <row r="76" s="42" customFormat="1" spans="1:13">
      <c r="A76" s="61">
        <v>45832</v>
      </c>
      <c r="B76" s="90">
        <v>73</v>
      </c>
      <c r="C76" s="66" t="s">
        <v>12</v>
      </c>
      <c r="D76" s="66"/>
      <c r="E76" s="66"/>
      <c r="F76" s="68" t="s">
        <v>13</v>
      </c>
      <c r="G76" s="65">
        <v>5</v>
      </c>
      <c r="H76" s="66">
        <v>25</v>
      </c>
      <c r="I76" s="66">
        <f t="shared" si="4"/>
        <v>125</v>
      </c>
      <c r="J76" s="67">
        <v>11</v>
      </c>
      <c r="K76" s="67">
        <f t="shared" si="5"/>
        <v>1375</v>
      </c>
      <c r="L76" s="92" t="s">
        <v>22</v>
      </c>
      <c r="M76" s="66"/>
    </row>
    <row r="77" s="43" customFormat="1" spans="1:13">
      <c r="A77" s="50">
        <v>45834</v>
      </c>
      <c r="B77" s="51">
        <v>83</v>
      </c>
      <c r="C77" s="54">
        <v>2269</v>
      </c>
      <c r="D77" s="54"/>
      <c r="E77" s="54"/>
      <c r="F77" s="74" t="s">
        <v>29</v>
      </c>
      <c r="G77" s="59">
        <v>5</v>
      </c>
      <c r="H77" s="54">
        <v>25</v>
      </c>
      <c r="I77" s="54">
        <f t="shared" si="4"/>
        <v>125</v>
      </c>
      <c r="J77" s="56">
        <v>17</v>
      </c>
      <c r="K77" s="56">
        <f t="shared" si="5"/>
        <v>2125</v>
      </c>
      <c r="L77" s="70"/>
      <c r="M77" s="54"/>
    </row>
    <row r="78" s="43" customFormat="1" spans="1:13">
      <c r="A78" s="50">
        <v>45834</v>
      </c>
      <c r="B78" s="51">
        <v>83</v>
      </c>
      <c r="C78" s="54">
        <v>2269</v>
      </c>
      <c r="D78" s="54"/>
      <c r="E78" s="54"/>
      <c r="F78" s="74" t="s">
        <v>29</v>
      </c>
      <c r="G78" s="59">
        <v>1</v>
      </c>
      <c r="H78" s="54">
        <v>22</v>
      </c>
      <c r="I78" s="54">
        <f t="shared" si="4"/>
        <v>22</v>
      </c>
      <c r="J78" s="56">
        <v>17</v>
      </c>
      <c r="K78" s="56">
        <f t="shared" si="5"/>
        <v>374</v>
      </c>
      <c r="L78" s="70"/>
      <c r="M78" s="54"/>
    </row>
    <row r="79" s="43" customFormat="1" spans="1:13">
      <c r="A79" s="50">
        <v>45834</v>
      </c>
      <c r="B79" s="51">
        <v>83</v>
      </c>
      <c r="C79" s="54" t="s">
        <v>14</v>
      </c>
      <c r="D79" s="54"/>
      <c r="E79" s="54"/>
      <c r="F79" s="60" t="s">
        <v>15</v>
      </c>
      <c r="G79" s="59">
        <v>6</v>
      </c>
      <c r="H79" s="54">
        <v>20</v>
      </c>
      <c r="I79" s="54">
        <f t="shared" si="4"/>
        <v>120</v>
      </c>
      <c r="J79" s="56">
        <v>17</v>
      </c>
      <c r="K79" s="56">
        <f t="shared" si="5"/>
        <v>2040</v>
      </c>
      <c r="L79" s="70"/>
      <c r="M79" s="54">
        <f>SUM(K77:K82)</f>
        <v>6919</v>
      </c>
    </row>
    <row r="80" s="41" customFormat="1" spans="1:13">
      <c r="A80" s="61">
        <v>45835</v>
      </c>
      <c r="B80" s="62">
        <v>88</v>
      </c>
      <c r="C80" s="66">
        <v>2270</v>
      </c>
      <c r="D80" s="66"/>
      <c r="E80" s="66"/>
      <c r="F80" s="71" t="s">
        <v>30</v>
      </c>
      <c r="G80" s="65">
        <v>2</v>
      </c>
      <c r="H80" s="66">
        <v>25</v>
      </c>
      <c r="I80" s="66">
        <f t="shared" si="4"/>
        <v>50</v>
      </c>
      <c r="J80" s="67">
        <v>17</v>
      </c>
      <c r="K80" s="67">
        <f t="shared" si="5"/>
        <v>850</v>
      </c>
      <c r="L80" s="72" t="s">
        <v>24</v>
      </c>
      <c r="M80" s="66"/>
    </row>
    <row r="81" s="42" customFormat="1" spans="1:13">
      <c r="A81" s="61">
        <v>45835</v>
      </c>
      <c r="B81" s="62">
        <v>88</v>
      </c>
      <c r="C81" s="66" t="s">
        <v>14</v>
      </c>
      <c r="D81" s="66"/>
      <c r="E81" s="66"/>
      <c r="F81" s="68" t="s">
        <v>15</v>
      </c>
      <c r="G81" s="65">
        <v>2</v>
      </c>
      <c r="H81" s="66">
        <v>20</v>
      </c>
      <c r="I81" s="66">
        <f t="shared" si="4"/>
        <v>40</v>
      </c>
      <c r="J81" s="67">
        <v>17</v>
      </c>
      <c r="K81" s="67">
        <f t="shared" si="5"/>
        <v>680</v>
      </c>
      <c r="L81" s="69"/>
      <c r="M81" s="66">
        <f>SUM(K80:K81)</f>
        <v>1530</v>
      </c>
    </row>
    <row r="82" s="40" customFormat="1" spans="1:13">
      <c r="A82" s="50">
        <v>45836</v>
      </c>
      <c r="B82" s="51">
        <v>93</v>
      </c>
      <c r="C82" s="54" t="s">
        <v>53</v>
      </c>
      <c r="D82" s="54"/>
      <c r="E82" s="54"/>
      <c r="F82" s="74" t="s">
        <v>38</v>
      </c>
      <c r="G82" s="59">
        <v>2</v>
      </c>
      <c r="H82" s="54">
        <v>25</v>
      </c>
      <c r="I82" s="54">
        <f t="shared" si="4"/>
        <v>50</v>
      </c>
      <c r="J82" s="56">
        <v>17</v>
      </c>
      <c r="K82" s="56">
        <f t="shared" si="5"/>
        <v>850</v>
      </c>
      <c r="L82" s="7" t="s">
        <v>59</v>
      </c>
      <c r="M82" s="54"/>
    </row>
    <row r="83" s="43" customFormat="1" spans="1:13">
      <c r="A83" s="50">
        <v>45836</v>
      </c>
      <c r="B83" s="51">
        <v>93</v>
      </c>
      <c r="C83" s="54" t="s">
        <v>14</v>
      </c>
      <c r="D83" s="54"/>
      <c r="E83" s="54"/>
      <c r="F83" s="60" t="s">
        <v>15</v>
      </c>
      <c r="G83" s="59">
        <v>2</v>
      </c>
      <c r="H83" s="54">
        <v>20</v>
      </c>
      <c r="I83" s="54">
        <f t="shared" si="4"/>
        <v>40</v>
      </c>
      <c r="J83" s="56">
        <v>17</v>
      </c>
      <c r="K83" s="56">
        <f t="shared" si="5"/>
        <v>680</v>
      </c>
      <c r="L83" s="70"/>
      <c r="M83" s="54">
        <f>SUM(K82:K83)</f>
        <v>1530</v>
      </c>
    </row>
    <row r="84" s="45" customFormat="1" spans="1:13">
      <c r="A84" s="93">
        <v>45846</v>
      </c>
      <c r="B84" s="94">
        <v>27</v>
      </c>
      <c r="C84" s="95">
        <v>2271</v>
      </c>
      <c r="D84" s="95"/>
      <c r="E84" s="95"/>
      <c r="F84" s="96" t="s">
        <v>28</v>
      </c>
      <c r="G84" s="97">
        <v>3</v>
      </c>
      <c r="H84" s="95">
        <v>26</v>
      </c>
      <c r="I84" s="95">
        <f t="shared" si="4"/>
        <v>78</v>
      </c>
      <c r="J84" s="98">
        <v>17</v>
      </c>
      <c r="K84" s="98">
        <f t="shared" si="5"/>
        <v>1326</v>
      </c>
      <c r="L84" s="99" t="s">
        <v>24</v>
      </c>
      <c r="M84" s="95"/>
    </row>
    <row r="85" s="46" customFormat="1" spans="1:13">
      <c r="A85" s="93">
        <v>45846</v>
      </c>
      <c r="B85" s="94">
        <v>27</v>
      </c>
      <c r="C85" s="95" t="s">
        <v>14</v>
      </c>
      <c r="D85" s="95"/>
      <c r="E85" s="95"/>
      <c r="F85" s="100" t="s">
        <v>15</v>
      </c>
      <c r="G85" s="97">
        <v>4</v>
      </c>
      <c r="H85" s="95">
        <v>20</v>
      </c>
      <c r="I85" s="95">
        <f t="shared" si="4"/>
        <v>80</v>
      </c>
      <c r="J85" s="98">
        <v>17</v>
      </c>
      <c r="K85" s="98">
        <f t="shared" si="5"/>
        <v>1360</v>
      </c>
      <c r="L85" s="101"/>
      <c r="M85" s="95">
        <f>SUM(K84:K88)</f>
        <v>6940</v>
      </c>
    </row>
    <row r="86" s="41" customFormat="1" spans="1:13">
      <c r="A86" s="61">
        <v>45847</v>
      </c>
      <c r="B86" s="90">
        <v>31</v>
      </c>
      <c r="C86" s="91">
        <v>9804</v>
      </c>
      <c r="D86" s="66"/>
      <c r="E86" s="66"/>
      <c r="F86" s="64" t="s">
        <v>11</v>
      </c>
      <c r="G86" s="65">
        <v>10</v>
      </c>
      <c r="H86" s="66">
        <v>28</v>
      </c>
      <c r="I86" s="66">
        <f t="shared" si="4"/>
        <v>280</v>
      </c>
      <c r="J86" s="67">
        <v>9</v>
      </c>
      <c r="K86" s="67">
        <f t="shared" si="5"/>
        <v>2520</v>
      </c>
      <c r="L86" s="68"/>
      <c r="M86" s="66"/>
    </row>
    <row r="87" s="40" customFormat="1" spans="1:13">
      <c r="A87" s="50">
        <v>45853</v>
      </c>
      <c r="B87" s="51">
        <v>53</v>
      </c>
      <c r="C87" s="54" t="s">
        <v>48</v>
      </c>
      <c r="D87" s="54"/>
      <c r="E87" s="54"/>
      <c r="F87" s="74" t="s">
        <v>49</v>
      </c>
      <c r="G87" s="59">
        <v>2</v>
      </c>
      <c r="H87" s="54">
        <v>26</v>
      </c>
      <c r="I87" s="54">
        <f t="shared" si="4"/>
        <v>52</v>
      </c>
      <c r="J87" s="56">
        <v>17</v>
      </c>
      <c r="K87" s="56">
        <f t="shared" si="5"/>
        <v>884</v>
      </c>
      <c r="L87" s="7" t="s">
        <v>24</v>
      </c>
      <c r="M87" s="54"/>
    </row>
    <row r="88" s="43" customFormat="1" spans="1:13">
      <c r="A88" s="50">
        <v>45853</v>
      </c>
      <c r="B88" s="51">
        <v>53</v>
      </c>
      <c r="C88" s="54">
        <v>10337</v>
      </c>
      <c r="D88" s="54"/>
      <c r="E88" s="54"/>
      <c r="F88" s="74" t="s">
        <v>38</v>
      </c>
      <c r="G88" s="59">
        <v>2</v>
      </c>
      <c r="H88" s="54">
        <v>25</v>
      </c>
      <c r="I88" s="54">
        <f t="shared" si="4"/>
        <v>50</v>
      </c>
      <c r="J88" s="56">
        <v>17</v>
      </c>
      <c r="K88" s="56">
        <f t="shared" si="5"/>
        <v>850</v>
      </c>
      <c r="L88" s="70"/>
      <c r="M88" s="54"/>
    </row>
    <row r="89" s="46" customFormat="1" spans="1:13">
      <c r="A89" s="50">
        <v>45853</v>
      </c>
      <c r="B89" s="51">
        <v>53</v>
      </c>
      <c r="C89" s="54" t="s">
        <v>14</v>
      </c>
      <c r="D89" s="54"/>
      <c r="E89" s="54"/>
      <c r="F89" s="60" t="s">
        <v>15</v>
      </c>
      <c r="G89" s="59">
        <v>2</v>
      </c>
      <c r="H89" s="54">
        <v>20</v>
      </c>
      <c r="I89" s="54">
        <f t="shared" si="4"/>
        <v>40</v>
      </c>
      <c r="J89" s="56">
        <v>17</v>
      </c>
      <c r="K89" s="56">
        <f t="shared" si="5"/>
        <v>680</v>
      </c>
      <c r="L89" s="101"/>
      <c r="M89" s="95">
        <f>SUM(K87:K89)</f>
        <v>2414</v>
      </c>
    </row>
    <row r="90" s="41" customFormat="1" spans="1:13">
      <c r="A90" s="61">
        <v>45856</v>
      </c>
      <c r="B90" s="62">
        <v>65</v>
      </c>
      <c r="C90" s="66">
        <v>2270</v>
      </c>
      <c r="D90" s="66"/>
      <c r="E90" s="66"/>
      <c r="F90" s="71" t="s">
        <v>30</v>
      </c>
      <c r="G90" s="65">
        <v>5</v>
      </c>
      <c r="H90" s="66">
        <v>26</v>
      </c>
      <c r="I90" s="66">
        <f t="shared" si="4"/>
        <v>130</v>
      </c>
      <c r="J90" s="67">
        <v>17</v>
      </c>
      <c r="K90" s="67">
        <f t="shared" si="5"/>
        <v>2210</v>
      </c>
      <c r="L90" s="72" t="s">
        <v>24</v>
      </c>
      <c r="M90" s="66"/>
    </row>
    <row r="91" s="42" customFormat="1" spans="1:13">
      <c r="A91" s="61">
        <v>45856</v>
      </c>
      <c r="B91" s="62">
        <v>65</v>
      </c>
      <c r="C91" s="66" t="s">
        <v>14</v>
      </c>
      <c r="D91" s="66"/>
      <c r="E91" s="66"/>
      <c r="F91" s="68" t="s">
        <v>15</v>
      </c>
      <c r="G91" s="65">
        <v>3</v>
      </c>
      <c r="H91" s="66">
        <v>20</v>
      </c>
      <c r="I91" s="66">
        <f t="shared" si="4"/>
        <v>60</v>
      </c>
      <c r="J91" s="67">
        <v>17</v>
      </c>
      <c r="K91" s="67">
        <f t="shared" si="5"/>
        <v>1020</v>
      </c>
      <c r="L91" s="69"/>
      <c r="M91" s="66">
        <f>SUM(K90:K91)</f>
        <v>3230</v>
      </c>
    </row>
    <row r="92" s="44" customFormat="1" spans="1:13">
      <c r="A92" s="50">
        <v>45864</v>
      </c>
      <c r="B92" s="51">
        <v>86</v>
      </c>
      <c r="C92" s="54" t="s">
        <v>53</v>
      </c>
      <c r="D92" s="54"/>
      <c r="E92" s="54"/>
      <c r="F92" s="74" t="s">
        <v>38</v>
      </c>
      <c r="G92" s="59">
        <v>1</v>
      </c>
      <c r="H92" s="54">
        <v>28</v>
      </c>
      <c r="I92" s="54">
        <f t="shared" si="4"/>
        <v>28</v>
      </c>
      <c r="J92" s="56">
        <v>17</v>
      </c>
      <c r="K92" s="56">
        <f t="shared" si="5"/>
        <v>476</v>
      </c>
      <c r="L92" s="102" t="s">
        <v>60</v>
      </c>
      <c r="M92" s="81"/>
    </row>
    <row r="93" s="44" customFormat="1" spans="1:13">
      <c r="A93" s="50">
        <v>45864</v>
      </c>
      <c r="B93" s="51">
        <v>86</v>
      </c>
      <c r="C93" s="103">
        <v>9804</v>
      </c>
      <c r="D93" s="54"/>
      <c r="E93" s="54"/>
      <c r="F93" s="9" t="s">
        <v>11</v>
      </c>
      <c r="G93" s="59">
        <v>2</v>
      </c>
      <c r="H93" s="54">
        <v>28</v>
      </c>
      <c r="I93" s="54">
        <f t="shared" si="4"/>
        <v>56</v>
      </c>
      <c r="J93" s="56">
        <v>9</v>
      </c>
      <c r="K93" s="56">
        <f t="shared" si="5"/>
        <v>504</v>
      </c>
      <c r="L93" s="53" t="s">
        <v>61</v>
      </c>
      <c r="M93" s="81"/>
    </row>
    <row r="94" s="44" customFormat="1" spans="1:13">
      <c r="A94" s="50">
        <v>45864</v>
      </c>
      <c r="B94" s="51">
        <v>86</v>
      </c>
      <c r="C94" s="103">
        <v>9804</v>
      </c>
      <c r="D94" s="54"/>
      <c r="E94" s="54"/>
      <c r="F94" s="9" t="s">
        <v>11</v>
      </c>
      <c r="G94" s="59">
        <v>8</v>
      </c>
      <c r="H94" s="54">
        <v>28</v>
      </c>
      <c r="I94" s="54">
        <f t="shared" si="4"/>
        <v>224</v>
      </c>
      <c r="J94" s="56">
        <v>9</v>
      </c>
      <c r="K94" s="56">
        <f t="shared" si="5"/>
        <v>2016</v>
      </c>
      <c r="L94" s="53"/>
      <c r="M94" s="81"/>
    </row>
    <row r="95" s="47" customFormat="1" spans="1:13">
      <c r="A95" s="50">
        <v>45864</v>
      </c>
      <c r="B95" s="51">
        <v>86</v>
      </c>
      <c r="C95" s="54" t="s">
        <v>12</v>
      </c>
      <c r="D95" s="54"/>
      <c r="E95" s="54"/>
      <c r="F95" s="60" t="s">
        <v>13</v>
      </c>
      <c r="G95" s="59">
        <v>5</v>
      </c>
      <c r="H95" s="54">
        <v>25</v>
      </c>
      <c r="I95" s="54">
        <f t="shared" si="4"/>
        <v>125</v>
      </c>
      <c r="J95" s="56">
        <v>11</v>
      </c>
      <c r="K95" s="56">
        <f t="shared" si="5"/>
        <v>1375</v>
      </c>
      <c r="L95" s="104" t="s">
        <v>22</v>
      </c>
      <c r="M95" s="81">
        <f>SUM(K92:K95)</f>
        <v>4371</v>
      </c>
    </row>
    <row r="96" s="42" customFormat="1" spans="1:13">
      <c r="A96" s="61">
        <v>45868</v>
      </c>
      <c r="B96" s="62" t="s">
        <v>62</v>
      </c>
      <c r="C96" s="66">
        <v>2269</v>
      </c>
      <c r="D96" s="66"/>
      <c r="E96" s="66"/>
      <c r="F96" s="71" t="s">
        <v>29</v>
      </c>
      <c r="G96" s="65">
        <v>5</v>
      </c>
      <c r="H96" s="66">
        <v>25</v>
      </c>
      <c r="I96" s="66">
        <f t="shared" si="4"/>
        <v>125</v>
      </c>
      <c r="J96" s="67">
        <v>17</v>
      </c>
      <c r="K96" s="67">
        <f t="shared" si="5"/>
        <v>2125</v>
      </c>
      <c r="L96" s="69"/>
      <c r="M96" s="66"/>
    </row>
    <row r="97" s="42" customFormat="1" spans="1:13">
      <c r="A97" s="61">
        <v>45868</v>
      </c>
      <c r="B97" s="62" t="s">
        <v>62</v>
      </c>
      <c r="C97" s="66" t="s">
        <v>14</v>
      </c>
      <c r="D97" s="66"/>
      <c r="E97" s="66"/>
      <c r="F97" s="68" t="s">
        <v>15</v>
      </c>
      <c r="G97" s="65">
        <v>5</v>
      </c>
      <c r="H97" s="66">
        <v>20</v>
      </c>
      <c r="I97" s="66">
        <f t="shared" si="4"/>
        <v>100</v>
      </c>
      <c r="J97" s="67">
        <v>17</v>
      </c>
      <c r="K97" s="67">
        <f t="shared" si="5"/>
        <v>1700</v>
      </c>
      <c r="L97" s="69"/>
      <c r="M97" s="66">
        <f>SUM(K95:K100)</f>
        <v>7822</v>
      </c>
    </row>
    <row r="98" s="40" customFormat="1" spans="1:13">
      <c r="A98" s="50">
        <v>45880</v>
      </c>
      <c r="B98" s="51">
        <v>23</v>
      </c>
      <c r="C98" s="103">
        <v>9804</v>
      </c>
      <c r="D98" s="54"/>
      <c r="E98" s="54"/>
      <c r="F98" s="9" t="s">
        <v>11</v>
      </c>
      <c r="G98" s="59">
        <v>10</v>
      </c>
      <c r="H98" s="54">
        <v>28</v>
      </c>
      <c r="I98" s="54">
        <f t="shared" si="4"/>
        <v>280</v>
      </c>
      <c r="J98" s="56">
        <v>9</v>
      </c>
      <c r="K98" s="56">
        <f t="shared" si="5"/>
        <v>2520</v>
      </c>
      <c r="L98" s="60"/>
      <c r="M98" s="54"/>
    </row>
    <row r="99" s="42" customFormat="1" spans="1:13">
      <c r="A99" s="61">
        <v>45881</v>
      </c>
      <c r="B99" s="62">
        <v>25</v>
      </c>
      <c r="C99" s="66" t="s">
        <v>63</v>
      </c>
      <c r="D99" s="66"/>
      <c r="E99" s="66"/>
      <c r="F99" s="71" t="s">
        <v>64</v>
      </c>
      <c r="G99" s="65">
        <v>1</v>
      </c>
      <c r="H99" s="66">
        <v>2</v>
      </c>
      <c r="I99" s="66">
        <f t="shared" si="4"/>
        <v>2</v>
      </c>
      <c r="J99" s="67">
        <v>17</v>
      </c>
      <c r="K99" s="67">
        <f t="shared" si="5"/>
        <v>34</v>
      </c>
      <c r="L99" s="69"/>
      <c r="M99" s="66"/>
    </row>
    <row r="100" s="42" customFormat="1" spans="1:13">
      <c r="A100" s="61">
        <v>45881</v>
      </c>
      <c r="B100" s="62">
        <v>25</v>
      </c>
      <c r="C100" s="66" t="s">
        <v>63</v>
      </c>
      <c r="D100" s="66"/>
      <c r="E100" s="66"/>
      <c r="F100" s="71" t="s">
        <v>65</v>
      </c>
      <c r="G100" s="65">
        <v>1</v>
      </c>
      <c r="H100" s="66">
        <v>4</v>
      </c>
      <c r="I100" s="66">
        <f t="shared" si="4"/>
        <v>4</v>
      </c>
      <c r="J100" s="67">
        <v>17</v>
      </c>
      <c r="K100" s="67">
        <f t="shared" si="5"/>
        <v>68</v>
      </c>
      <c r="L100" s="69"/>
      <c r="M100" s="66"/>
    </row>
    <row r="101" s="48" customFormat="1" spans="1:13">
      <c r="A101" s="105">
        <v>45887</v>
      </c>
      <c r="B101" s="106">
        <v>46</v>
      </c>
      <c r="C101" s="107">
        <v>24810</v>
      </c>
      <c r="D101" s="107"/>
      <c r="E101" s="107"/>
      <c r="F101" s="108" t="s">
        <v>66</v>
      </c>
      <c r="G101" s="109">
        <v>1</v>
      </c>
      <c r="H101" s="107">
        <v>4</v>
      </c>
      <c r="I101" s="107">
        <f t="shared" si="4"/>
        <v>4</v>
      </c>
      <c r="J101" s="110">
        <v>17</v>
      </c>
      <c r="K101" s="110">
        <f t="shared" si="5"/>
        <v>68</v>
      </c>
      <c r="L101" s="111"/>
      <c r="M101" s="107"/>
    </row>
    <row r="102" s="42" customFormat="1" spans="1:13">
      <c r="A102" s="61">
        <v>45890</v>
      </c>
      <c r="B102" s="62">
        <v>52</v>
      </c>
      <c r="C102" s="123" t="s">
        <v>37</v>
      </c>
      <c r="D102" s="66"/>
      <c r="E102" s="66"/>
      <c r="F102" s="71" t="s">
        <v>38</v>
      </c>
      <c r="G102" s="65">
        <v>1</v>
      </c>
      <c r="H102" s="66">
        <v>25</v>
      </c>
      <c r="I102" s="66">
        <f t="shared" si="4"/>
        <v>25</v>
      </c>
      <c r="J102" s="67">
        <v>17</v>
      </c>
      <c r="K102" s="67">
        <f t="shared" si="5"/>
        <v>425</v>
      </c>
      <c r="L102" s="69"/>
      <c r="M102" s="66"/>
    </row>
    <row r="103" s="41" customFormat="1" spans="1:13">
      <c r="A103" s="61">
        <v>45890</v>
      </c>
      <c r="B103" s="62">
        <v>52</v>
      </c>
      <c r="C103" s="123" t="s">
        <v>67</v>
      </c>
      <c r="D103" s="66"/>
      <c r="E103" s="66"/>
      <c r="F103" s="71" t="s">
        <v>32</v>
      </c>
      <c r="G103" s="65">
        <v>1</v>
      </c>
      <c r="H103" s="66">
        <v>25</v>
      </c>
      <c r="I103" s="66">
        <f t="shared" si="4"/>
        <v>25</v>
      </c>
      <c r="J103" s="67">
        <v>17</v>
      </c>
      <c r="K103" s="67">
        <f t="shared" si="5"/>
        <v>425</v>
      </c>
      <c r="L103" s="72" t="s">
        <v>68</v>
      </c>
      <c r="M103" s="66"/>
    </row>
    <row r="104" s="41" customFormat="1" spans="1:13">
      <c r="A104" s="61">
        <v>45890</v>
      </c>
      <c r="B104" s="62">
        <v>52</v>
      </c>
      <c r="C104" s="123" t="s">
        <v>67</v>
      </c>
      <c r="D104" s="66"/>
      <c r="E104" s="66"/>
      <c r="F104" s="71" t="s">
        <v>32</v>
      </c>
      <c r="G104" s="65">
        <v>1</v>
      </c>
      <c r="H104" s="66">
        <v>7</v>
      </c>
      <c r="I104" s="66">
        <f t="shared" si="4"/>
        <v>7</v>
      </c>
      <c r="J104" s="67">
        <v>17</v>
      </c>
      <c r="K104" s="67">
        <f t="shared" si="5"/>
        <v>119</v>
      </c>
      <c r="L104" s="72" t="s">
        <v>68</v>
      </c>
      <c r="M104" s="66"/>
    </row>
    <row r="105" s="41" customFormat="1" spans="1:13">
      <c r="A105" s="61">
        <v>45890</v>
      </c>
      <c r="B105" s="62">
        <v>52</v>
      </c>
      <c r="C105" s="123" t="s">
        <v>67</v>
      </c>
      <c r="D105" s="66"/>
      <c r="E105" s="66"/>
      <c r="F105" s="71" t="s">
        <v>32</v>
      </c>
      <c r="G105" s="65">
        <v>1</v>
      </c>
      <c r="H105" s="66">
        <v>3</v>
      </c>
      <c r="I105" s="66">
        <f t="shared" si="4"/>
        <v>3</v>
      </c>
      <c r="J105" s="67">
        <v>17</v>
      </c>
      <c r="K105" s="67"/>
      <c r="L105" s="72" t="s">
        <v>27</v>
      </c>
      <c r="M105" s="66"/>
    </row>
    <row r="106" s="42" customFormat="1" spans="1:13">
      <c r="A106" s="61">
        <v>45890</v>
      </c>
      <c r="B106" s="62">
        <v>52</v>
      </c>
      <c r="C106" s="66" t="s">
        <v>14</v>
      </c>
      <c r="D106" s="66"/>
      <c r="E106" s="66"/>
      <c r="F106" s="68" t="s">
        <v>15</v>
      </c>
      <c r="G106" s="65">
        <v>2</v>
      </c>
      <c r="H106" s="66">
        <v>20</v>
      </c>
      <c r="I106" s="66">
        <f t="shared" si="4"/>
        <v>40</v>
      </c>
      <c r="J106" s="67">
        <v>17</v>
      </c>
      <c r="K106" s="67">
        <f t="shared" ref="K106:K145" si="6">I106*J106</f>
        <v>680</v>
      </c>
      <c r="L106" s="69"/>
      <c r="M106" s="66">
        <f>SUM(K101:K110)</f>
        <v>5712</v>
      </c>
    </row>
    <row r="107" s="43" customFormat="1" spans="1:13">
      <c r="A107" s="50">
        <v>45895</v>
      </c>
      <c r="B107" s="51">
        <v>70</v>
      </c>
      <c r="C107" s="54" t="s">
        <v>14</v>
      </c>
      <c r="D107" s="54"/>
      <c r="E107" s="54"/>
      <c r="F107" s="60" t="s">
        <v>15</v>
      </c>
      <c r="G107" s="59">
        <v>2</v>
      </c>
      <c r="H107" s="54">
        <v>20</v>
      </c>
      <c r="I107" s="54">
        <f t="shared" si="4"/>
        <v>40</v>
      </c>
      <c r="J107" s="56">
        <v>17</v>
      </c>
      <c r="K107" s="56">
        <f t="shared" si="6"/>
        <v>680</v>
      </c>
      <c r="L107" s="70"/>
      <c r="M107" s="54">
        <f>SUM(K105:K110)</f>
        <v>4675</v>
      </c>
    </row>
    <row r="108" s="41" customFormat="1" spans="1:13">
      <c r="A108" s="61">
        <v>45896</v>
      </c>
      <c r="B108" s="62">
        <v>73</v>
      </c>
      <c r="C108" s="91">
        <v>9804</v>
      </c>
      <c r="D108" s="66"/>
      <c r="E108" s="66"/>
      <c r="F108" s="64" t="s">
        <v>11</v>
      </c>
      <c r="G108" s="65">
        <v>5</v>
      </c>
      <c r="H108" s="66">
        <v>28</v>
      </c>
      <c r="I108" s="66">
        <f t="shared" ref="I108:I146" si="7">G108*H108</f>
        <v>140</v>
      </c>
      <c r="J108" s="67">
        <v>9</v>
      </c>
      <c r="K108" s="67">
        <f t="shared" si="6"/>
        <v>1260</v>
      </c>
      <c r="L108" s="68"/>
      <c r="M108" s="66"/>
    </row>
    <row r="109" s="42" customFormat="1" spans="1:13">
      <c r="A109" s="61">
        <v>45896</v>
      </c>
      <c r="B109" s="62">
        <v>73</v>
      </c>
      <c r="C109" s="66" t="s">
        <v>12</v>
      </c>
      <c r="D109" s="66"/>
      <c r="E109" s="66"/>
      <c r="F109" s="68" t="s">
        <v>13</v>
      </c>
      <c r="G109" s="65">
        <v>5</v>
      </c>
      <c r="H109" s="66">
        <v>25</v>
      </c>
      <c r="I109" s="66">
        <f t="shared" si="7"/>
        <v>125</v>
      </c>
      <c r="J109" s="67">
        <v>11</v>
      </c>
      <c r="K109" s="67">
        <f t="shared" si="6"/>
        <v>1375</v>
      </c>
      <c r="L109" s="69" t="s">
        <v>22</v>
      </c>
      <c r="M109" s="66"/>
    </row>
    <row r="110" s="42" customFormat="1" spans="1:13">
      <c r="A110" s="61">
        <v>45896</v>
      </c>
      <c r="B110" s="62">
        <v>73</v>
      </c>
      <c r="C110" s="66" t="s">
        <v>14</v>
      </c>
      <c r="D110" s="66"/>
      <c r="E110" s="66"/>
      <c r="F110" s="68" t="s">
        <v>15</v>
      </c>
      <c r="G110" s="65">
        <v>2</v>
      </c>
      <c r="H110" s="66">
        <v>20</v>
      </c>
      <c r="I110" s="66">
        <f t="shared" si="7"/>
        <v>40</v>
      </c>
      <c r="J110" s="67">
        <v>17</v>
      </c>
      <c r="K110" s="67">
        <f t="shared" si="6"/>
        <v>680</v>
      </c>
      <c r="L110" s="69"/>
      <c r="M110" s="66"/>
    </row>
    <row r="111" s="42" customFormat="1" spans="1:13">
      <c r="A111" s="61">
        <v>45896</v>
      </c>
      <c r="B111" s="62">
        <v>73</v>
      </c>
      <c r="C111" s="66" t="s">
        <v>20</v>
      </c>
      <c r="D111" s="66"/>
      <c r="E111" s="66"/>
      <c r="F111" s="68" t="s">
        <v>21</v>
      </c>
      <c r="G111" s="65">
        <v>2</v>
      </c>
      <c r="H111" s="66">
        <v>20</v>
      </c>
      <c r="I111" s="66">
        <f t="shared" si="7"/>
        <v>40</v>
      </c>
      <c r="J111" s="67">
        <v>17</v>
      </c>
      <c r="K111" s="67">
        <f t="shared" si="6"/>
        <v>680</v>
      </c>
      <c r="L111" s="69">
        <f>SUM(K108:K111)</f>
        <v>3995</v>
      </c>
      <c r="M111" s="66"/>
    </row>
    <row r="112" s="40" customFormat="1" spans="1:13">
      <c r="A112" s="50">
        <v>45899</v>
      </c>
      <c r="B112" s="51">
        <v>85</v>
      </c>
      <c r="C112" s="124" t="s">
        <v>67</v>
      </c>
      <c r="D112" s="54"/>
      <c r="E112" s="54"/>
      <c r="F112" s="74" t="s">
        <v>32</v>
      </c>
      <c r="G112" s="59">
        <v>1</v>
      </c>
      <c r="H112" s="54">
        <v>6</v>
      </c>
      <c r="I112" s="54">
        <f t="shared" si="7"/>
        <v>6</v>
      </c>
      <c r="J112" s="56">
        <v>17</v>
      </c>
      <c r="K112" s="56">
        <f t="shared" si="6"/>
        <v>102</v>
      </c>
      <c r="L112" s="7" t="s">
        <v>68</v>
      </c>
      <c r="M112" s="54"/>
    </row>
    <row r="113" s="41" customFormat="1" spans="1:13">
      <c r="A113" s="61">
        <v>45899</v>
      </c>
      <c r="B113" s="62">
        <v>90</v>
      </c>
      <c r="C113" s="123" t="s">
        <v>67</v>
      </c>
      <c r="D113" s="66"/>
      <c r="E113" s="66"/>
      <c r="F113" s="71" t="s">
        <v>32</v>
      </c>
      <c r="G113" s="65">
        <v>1</v>
      </c>
      <c r="H113" s="66">
        <v>25</v>
      </c>
      <c r="I113" s="66">
        <f t="shared" si="7"/>
        <v>25</v>
      </c>
      <c r="J113" s="67">
        <v>17</v>
      </c>
      <c r="K113" s="67">
        <f t="shared" si="6"/>
        <v>425</v>
      </c>
      <c r="L113" s="72" t="s">
        <v>68</v>
      </c>
      <c r="M113" s="66"/>
    </row>
    <row r="114" s="42" customFormat="1" spans="1:13">
      <c r="A114" s="61">
        <v>45899</v>
      </c>
      <c r="B114" s="62">
        <v>90</v>
      </c>
      <c r="C114" s="66" t="s">
        <v>14</v>
      </c>
      <c r="D114" s="66"/>
      <c r="E114" s="66"/>
      <c r="F114" s="68" t="s">
        <v>15</v>
      </c>
      <c r="G114" s="65">
        <v>1</v>
      </c>
      <c r="H114" s="66">
        <v>20</v>
      </c>
      <c r="I114" s="66">
        <f t="shared" si="7"/>
        <v>20</v>
      </c>
      <c r="J114" s="67">
        <v>17</v>
      </c>
      <c r="K114" s="67">
        <f t="shared" si="6"/>
        <v>340</v>
      </c>
      <c r="L114" s="69"/>
      <c r="M114" s="66"/>
    </row>
    <row r="115" s="40" customFormat="1" spans="1:13">
      <c r="A115" s="50">
        <v>45903</v>
      </c>
      <c r="B115" s="51">
        <v>9</v>
      </c>
      <c r="C115" s="54">
        <v>2269</v>
      </c>
      <c r="D115" s="54"/>
      <c r="E115" s="54"/>
      <c r="F115" s="74" t="s">
        <v>29</v>
      </c>
      <c r="G115" s="59">
        <v>5</v>
      </c>
      <c r="H115" s="54">
        <v>25</v>
      </c>
      <c r="I115" s="54">
        <f t="shared" si="7"/>
        <v>125</v>
      </c>
      <c r="J115" s="56">
        <v>17</v>
      </c>
      <c r="K115" s="56">
        <f t="shared" si="6"/>
        <v>2125</v>
      </c>
      <c r="L115" s="7" t="s">
        <v>24</v>
      </c>
      <c r="M115" s="54"/>
    </row>
    <row r="116" s="40" customFormat="1" spans="1:13">
      <c r="A116" s="50">
        <v>45903</v>
      </c>
      <c r="B116" s="51">
        <v>9</v>
      </c>
      <c r="C116" s="54">
        <v>2270</v>
      </c>
      <c r="D116" s="54"/>
      <c r="E116" s="54"/>
      <c r="F116" s="74" t="s">
        <v>30</v>
      </c>
      <c r="G116" s="59">
        <v>5</v>
      </c>
      <c r="H116" s="54">
        <v>25</v>
      </c>
      <c r="I116" s="54">
        <f t="shared" si="7"/>
        <v>125</v>
      </c>
      <c r="J116" s="56">
        <v>17</v>
      </c>
      <c r="K116" s="56">
        <f t="shared" si="6"/>
        <v>2125</v>
      </c>
      <c r="L116" s="7" t="s">
        <v>24</v>
      </c>
      <c r="M116" s="54"/>
    </row>
    <row r="117" s="40" customFormat="1" spans="1:13">
      <c r="A117" s="50">
        <v>45903</v>
      </c>
      <c r="B117" s="51">
        <v>9</v>
      </c>
      <c r="C117" s="54">
        <v>2271</v>
      </c>
      <c r="D117" s="54"/>
      <c r="E117" s="54"/>
      <c r="F117" s="74" t="s">
        <v>28</v>
      </c>
      <c r="G117" s="59">
        <v>4</v>
      </c>
      <c r="H117" s="54">
        <v>26</v>
      </c>
      <c r="I117" s="54">
        <f t="shared" si="7"/>
        <v>104</v>
      </c>
      <c r="J117" s="56">
        <v>17</v>
      </c>
      <c r="K117" s="56">
        <f t="shared" si="6"/>
        <v>1768</v>
      </c>
      <c r="L117" s="7" t="s">
        <v>24</v>
      </c>
      <c r="M117" s="54"/>
    </row>
    <row r="118" s="40" customFormat="1" spans="1:13">
      <c r="A118" s="50">
        <v>45903</v>
      </c>
      <c r="B118" s="51">
        <v>9</v>
      </c>
      <c r="C118" s="54">
        <v>2271</v>
      </c>
      <c r="D118" s="54"/>
      <c r="E118" s="54"/>
      <c r="F118" s="74" t="s">
        <v>28</v>
      </c>
      <c r="G118" s="59">
        <v>1</v>
      </c>
      <c r="H118" s="54">
        <v>25</v>
      </c>
      <c r="I118" s="54">
        <f t="shared" si="7"/>
        <v>25</v>
      </c>
      <c r="J118" s="56">
        <v>17</v>
      </c>
      <c r="K118" s="56">
        <f t="shared" si="6"/>
        <v>425</v>
      </c>
      <c r="L118" s="7" t="s">
        <v>24</v>
      </c>
      <c r="M118" s="54"/>
    </row>
    <row r="119" s="43" customFormat="1" spans="1:13">
      <c r="A119" s="50">
        <v>45903</v>
      </c>
      <c r="B119" s="51">
        <v>9</v>
      </c>
      <c r="C119" s="54" t="s">
        <v>14</v>
      </c>
      <c r="D119" s="54"/>
      <c r="E119" s="54"/>
      <c r="F119" s="60" t="s">
        <v>15</v>
      </c>
      <c r="G119" s="59">
        <v>10</v>
      </c>
      <c r="H119" s="54">
        <v>20</v>
      </c>
      <c r="I119" s="54">
        <f t="shared" si="7"/>
        <v>200</v>
      </c>
      <c r="J119" s="56">
        <v>17</v>
      </c>
      <c r="K119" s="56">
        <f t="shared" si="6"/>
        <v>3400</v>
      </c>
      <c r="L119" s="70"/>
      <c r="M119" s="54">
        <f>SUM(K115:K119)</f>
        <v>9843</v>
      </c>
    </row>
    <row r="120" s="41" customFormat="1" spans="1:13">
      <c r="A120" s="61">
        <v>45905</v>
      </c>
      <c r="B120" s="62">
        <v>11</v>
      </c>
      <c r="C120" s="91">
        <v>9804</v>
      </c>
      <c r="D120" s="66"/>
      <c r="E120" s="66"/>
      <c r="F120" s="64" t="s">
        <v>11</v>
      </c>
      <c r="G120" s="65">
        <v>10</v>
      </c>
      <c r="H120" s="66">
        <v>28</v>
      </c>
      <c r="I120" s="66">
        <f t="shared" si="7"/>
        <v>280</v>
      </c>
      <c r="J120" s="67">
        <v>9</v>
      </c>
      <c r="K120" s="67">
        <f t="shared" si="6"/>
        <v>2520</v>
      </c>
      <c r="L120" s="68"/>
      <c r="M120" s="66"/>
    </row>
    <row r="121" s="40" customFormat="1" spans="1:13">
      <c r="A121" s="50">
        <v>45926</v>
      </c>
      <c r="B121" s="51">
        <v>74</v>
      </c>
      <c r="C121" s="112">
        <v>45912</v>
      </c>
      <c r="D121" s="54"/>
      <c r="E121" s="54"/>
      <c r="F121" s="9" t="s">
        <v>69</v>
      </c>
      <c r="G121" s="59">
        <v>1</v>
      </c>
      <c r="H121" s="54">
        <v>2</v>
      </c>
      <c r="I121" s="54">
        <f t="shared" si="7"/>
        <v>2</v>
      </c>
      <c r="J121" s="56">
        <v>17</v>
      </c>
      <c r="K121" s="56">
        <f t="shared" si="6"/>
        <v>34</v>
      </c>
      <c r="L121" s="60"/>
      <c r="M121" s="54"/>
    </row>
    <row r="122" s="40" customFormat="1" spans="1:13">
      <c r="A122" s="50">
        <v>45926</v>
      </c>
      <c r="B122" s="51">
        <v>74</v>
      </c>
      <c r="C122" s="103">
        <v>9804</v>
      </c>
      <c r="D122" s="54"/>
      <c r="E122" s="54"/>
      <c r="F122" s="9" t="s">
        <v>11</v>
      </c>
      <c r="G122" s="59">
        <v>5</v>
      </c>
      <c r="H122" s="54">
        <v>28</v>
      </c>
      <c r="I122" s="54">
        <f t="shared" si="7"/>
        <v>140</v>
      </c>
      <c r="J122" s="56">
        <v>9</v>
      </c>
      <c r="K122" s="56">
        <f t="shared" si="6"/>
        <v>1260</v>
      </c>
      <c r="L122" s="60"/>
      <c r="M122" s="54"/>
    </row>
    <row r="123" s="41" customFormat="1" spans="1:13">
      <c r="A123" s="61">
        <v>45926</v>
      </c>
      <c r="B123" s="62">
        <v>78</v>
      </c>
      <c r="C123" s="91" t="s">
        <v>70</v>
      </c>
      <c r="D123" s="66"/>
      <c r="E123" s="66"/>
      <c r="F123" s="64" t="s">
        <v>71</v>
      </c>
      <c r="G123" s="65">
        <v>1</v>
      </c>
      <c r="H123" s="66">
        <v>180</v>
      </c>
      <c r="I123" s="66">
        <f t="shared" si="7"/>
        <v>180</v>
      </c>
      <c r="J123" s="67">
        <v>5.6</v>
      </c>
      <c r="K123" s="67">
        <f t="shared" si="6"/>
        <v>1008</v>
      </c>
      <c r="L123" s="68"/>
      <c r="M123" s="66"/>
    </row>
    <row r="124" s="40" customFormat="1" spans="1:13">
      <c r="A124" s="50">
        <v>45927</v>
      </c>
      <c r="B124" s="51">
        <v>82</v>
      </c>
      <c r="C124" s="54" t="s">
        <v>43</v>
      </c>
      <c r="D124" s="54"/>
      <c r="E124" s="54"/>
      <c r="F124" s="74" t="s">
        <v>44</v>
      </c>
      <c r="G124" s="59">
        <v>1</v>
      </c>
      <c r="H124" s="54">
        <v>15</v>
      </c>
      <c r="I124" s="66">
        <f t="shared" si="7"/>
        <v>15</v>
      </c>
      <c r="J124" s="56">
        <v>20</v>
      </c>
      <c r="K124" s="67">
        <f t="shared" si="6"/>
        <v>300</v>
      </c>
      <c r="L124" s="7" t="s">
        <v>24</v>
      </c>
      <c r="M124" s="54"/>
    </row>
    <row r="125" s="40" customFormat="1" spans="1:13">
      <c r="A125" s="50">
        <v>45927</v>
      </c>
      <c r="B125" s="51">
        <v>82</v>
      </c>
      <c r="C125" s="54" t="s">
        <v>43</v>
      </c>
      <c r="D125" s="54"/>
      <c r="E125" s="54"/>
      <c r="F125" s="74" t="s">
        <v>44</v>
      </c>
      <c r="G125" s="59">
        <v>1</v>
      </c>
      <c r="H125" s="54">
        <v>15</v>
      </c>
      <c r="I125" s="66">
        <f t="shared" si="7"/>
        <v>15</v>
      </c>
      <c r="J125" s="56">
        <v>20</v>
      </c>
      <c r="K125" s="67">
        <f t="shared" si="6"/>
        <v>300</v>
      </c>
      <c r="L125" s="7" t="s">
        <v>24</v>
      </c>
      <c r="M125" s="54"/>
    </row>
    <row r="126" s="40" customFormat="1" spans="1:13">
      <c r="A126" s="50">
        <v>45927</v>
      </c>
      <c r="B126" s="51">
        <v>82</v>
      </c>
      <c r="C126" s="54" t="s">
        <v>45</v>
      </c>
      <c r="D126" s="54"/>
      <c r="E126" s="54"/>
      <c r="F126" s="74" t="s">
        <v>46</v>
      </c>
      <c r="G126" s="59">
        <v>1</v>
      </c>
      <c r="H126" s="54">
        <v>20</v>
      </c>
      <c r="I126" s="66">
        <f t="shared" si="7"/>
        <v>20</v>
      </c>
      <c r="J126" s="56">
        <v>20</v>
      </c>
      <c r="K126" s="67">
        <f t="shared" si="6"/>
        <v>400</v>
      </c>
      <c r="L126" s="7" t="s">
        <v>24</v>
      </c>
      <c r="M126" s="54"/>
    </row>
    <row r="127" s="43" customFormat="1" spans="1:13">
      <c r="A127" s="50">
        <v>45927</v>
      </c>
      <c r="B127" s="51">
        <v>82</v>
      </c>
      <c r="C127" s="54">
        <v>10337</v>
      </c>
      <c r="D127" s="54"/>
      <c r="E127" s="54"/>
      <c r="F127" s="74" t="s">
        <v>38</v>
      </c>
      <c r="G127" s="59">
        <v>3</v>
      </c>
      <c r="H127" s="54">
        <v>25</v>
      </c>
      <c r="I127" s="66">
        <f t="shared" si="7"/>
        <v>75</v>
      </c>
      <c r="J127" s="56">
        <v>17</v>
      </c>
      <c r="K127" s="67">
        <f t="shared" si="6"/>
        <v>1275</v>
      </c>
      <c r="L127" s="70"/>
      <c r="M127" s="54"/>
    </row>
    <row r="128" s="43" customFormat="1" spans="1:13">
      <c r="A128" s="50">
        <v>45927</v>
      </c>
      <c r="B128" s="51">
        <v>82</v>
      </c>
      <c r="C128" s="54" t="s">
        <v>14</v>
      </c>
      <c r="D128" s="54"/>
      <c r="E128" s="54"/>
      <c r="F128" s="60" t="s">
        <v>15</v>
      </c>
      <c r="G128" s="59">
        <v>3</v>
      </c>
      <c r="H128" s="54">
        <v>20</v>
      </c>
      <c r="I128" s="66">
        <f t="shared" si="7"/>
        <v>60</v>
      </c>
      <c r="J128" s="56">
        <v>17</v>
      </c>
      <c r="K128" s="67">
        <f t="shared" si="6"/>
        <v>1020</v>
      </c>
      <c r="L128" s="70"/>
      <c r="M128" s="54">
        <f>SUM(K124:K130)</f>
        <v>4525</v>
      </c>
    </row>
    <row r="129" s="43" customFormat="1" spans="1:13">
      <c r="A129" s="50">
        <v>45927</v>
      </c>
      <c r="B129" s="51">
        <v>82</v>
      </c>
      <c r="C129" s="54" t="s">
        <v>20</v>
      </c>
      <c r="D129" s="54"/>
      <c r="E129" s="54"/>
      <c r="F129" s="60" t="s">
        <v>21</v>
      </c>
      <c r="G129" s="59">
        <v>2</v>
      </c>
      <c r="H129" s="54">
        <v>20</v>
      </c>
      <c r="I129" s="66">
        <f t="shared" si="7"/>
        <v>40</v>
      </c>
      <c r="J129" s="56">
        <v>17</v>
      </c>
      <c r="K129" s="67">
        <f t="shared" si="6"/>
        <v>680</v>
      </c>
      <c r="L129" s="70"/>
      <c r="M129" s="54"/>
    </row>
    <row r="130" s="43" customFormat="1" spans="1:13">
      <c r="A130" s="50">
        <v>45927</v>
      </c>
      <c r="B130" s="51">
        <v>82</v>
      </c>
      <c r="C130" s="54" t="s">
        <v>12</v>
      </c>
      <c r="D130" s="54"/>
      <c r="E130" s="54"/>
      <c r="F130" s="60" t="s">
        <v>13</v>
      </c>
      <c r="G130" s="59">
        <v>2</v>
      </c>
      <c r="H130" s="54">
        <v>25</v>
      </c>
      <c r="I130" s="66">
        <f t="shared" si="7"/>
        <v>50</v>
      </c>
      <c r="J130" s="56">
        <v>11</v>
      </c>
      <c r="K130" s="67">
        <f t="shared" si="6"/>
        <v>550</v>
      </c>
      <c r="L130" s="70" t="s">
        <v>22</v>
      </c>
      <c r="M130" s="54"/>
    </row>
    <row r="131" s="41" customFormat="1" spans="1:13">
      <c r="A131" s="61">
        <v>45937</v>
      </c>
      <c r="B131" s="62">
        <v>4</v>
      </c>
      <c r="C131" s="91">
        <v>9804</v>
      </c>
      <c r="D131" s="66"/>
      <c r="E131" s="66"/>
      <c r="F131" s="64" t="s">
        <v>11</v>
      </c>
      <c r="G131" s="65">
        <v>10</v>
      </c>
      <c r="H131" s="66">
        <v>28</v>
      </c>
      <c r="I131" s="66">
        <f t="shared" si="7"/>
        <v>280</v>
      </c>
      <c r="J131" s="67">
        <v>9</v>
      </c>
      <c r="K131" s="67">
        <f t="shared" si="6"/>
        <v>2520</v>
      </c>
      <c r="L131" s="68"/>
      <c r="M131" s="66"/>
    </row>
    <row r="132" s="42" customFormat="1" spans="1:13">
      <c r="A132" s="61">
        <v>45937</v>
      </c>
      <c r="B132" s="62">
        <v>4</v>
      </c>
      <c r="C132" s="66" t="s">
        <v>12</v>
      </c>
      <c r="D132" s="66"/>
      <c r="E132" s="66"/>
      <c r="F132" s="68" t="s">
        <v>13</v>
      </c>
      <c r="G132" s="65">
        <v>5</v>
      </c>
      <c r="H132" s="66">
        <v>25</v>
      </c>
      <c r="I132" s="66">
        <f t="shared" si="7"/>
        <v>125</v>
      </c>
      <c r="J132" s="67">
        <v>11</v>
      </c>
      <c r="K132" s="67">
        <f t="shared" si="6"/>
        <v>1375</v>
      </c>
      <c r="L132" s="69" t="s">
        <v>22</v>
      </c>
      <c r="M132" s="66"/>
    </row>
    <row r="133" s="43" customFormat="1" spans="1:13">
      <c r="A133" s="50">
        <v>45952</v>
      </c>
      <c r="B133" s="51" t="s">
        <v>72</v>
      </c>
      <c r="C133" s="54" t="s">
        <v>73</v>
      </c>
      <c r="D133" s="54"/>
      <c r="E133" s="54"/>
      <c r="F133" s="74" t="s">
        <v>74</v>
      </c>
      <c r="G133" s="59">
        <v>1</v>
      </c>
      <c r="H133" s="54">
        <v>4</v>
      </c>
      <c r="I133" s="54">
        <f t="shared" si="7"/>
        <v>4</v>
      </c>
      <c r="J133" s="56">
        <v>17</v>
      </c>
      <c r="K133" s="56">
        <f t="shared" si="6"/>
        <v>68</v>
      </c>
      <c r="L133" s="70" t="s">
        <v>75</v>
      </c>
      <c r="M133" s="54"/>
    </row>
    <row r="134" s="40" customFormat="1" spans="1:13">
      <c r="A134" s="50">
        <v>45952</v>
      </c>
      <c r="B134" s="51" t="s">
        <v>72</v>
      </c>
      <c r="C134" s="54">
        <v>10545</v>
      </c>
      <c r="D134" s="54"/>
      <c r="E134" s="54"/>
      <c r="F134" s="60" t="s">
        <v>18</v>
      </c>
      <c r="G134" s="59">
        <v>3</v>
      </c>
      <c r="H134" s="54">
        <v>20</v>
      </c>
      <c r="I134" s="54">
        <f t="shared" si="7"/>
        <v>60</v>
      </c>
      <c r="J134" s="56">
        <v>23</v>
      </c>
      <c r="K134" s="56">
        <f t="shared" si="6"/>
        <v>1380</v>
      </c>
      <c r="L134" s="113" t="s">
        <v>76</v>
      </c>
      <c r="M134" s="54"/>
    </row>
    <row r="135" s="40" customFormat="1" spans="1:13">
      <c r="A135" s="50">
        <v>45952</v>
      </c>
      <c r="B135" s="51" t="s">
        <v>72</v>
      </c>
      <c r="C135" s="103">
        <v>9804</v>
      </c>
      <c r="D135" s="54"/>
      <c r="E135" s="54"/>
      <c r="F135" s="9" t="s">
        <v>11</v>
      </c>
      <c r="G135" s="59">
        <v>5</v>
      </c>
      <c r="H135" s="54">
        <v>28</v>
      </c>
      <c r="I135" s="54">
        <f t="shared" si="7"/>
        <v>140</v>
      </c>
      <c r="J135" s="56">
        <v>9</v>
      </c>
      <c r="K135" s="56">
        <f t="shared" si="6"/>
        <v>1260</v>
      </c>
      <c r="L135" s="60"/>
      <c r="M135" s="54"/>
    </row>
    <row r="136" s="43" customFormat="1" spans="1:13">
      <c r="A136" s="50">
        <v>45952</v>
      </c>
      <c r="B136" s="51" t="s">
        <v>72</v>
      </c>
      <c r="C136" s="54" t="s">
        <v>12</v>
      </c>
      <c r="D136" s="54"/>
      <c r="E136" s="54"/>
      <c r="F136" s="60" t="s">
        <v>13</v>
      </c>
      <c r="G136" s="59">
        <v>2</v>
      </c>
      <c r="H136" s="54">
        <v>25</v>
      </c>
      <c r="I136" s="54">
        <f t="shared" si="7"/>
        <v>50</v>
      </c>
      <c r="J136" s="56">
        <v>11</v>
      </c>
      <c r="K136" s="56">
        <f t="shared" si="6"/>
        <v>550</v>
      </c>
      <c r="L136" s="70" t="s">
        <v>22</v>
      </c>
      <c r="M136" s="54"/>
    </row>
    <row r="137" s="43" customFormat="1" spans="1:13">
      <c r="A137" s="50">
        <v>45952</v>
      </c>
      <c r="B137" s="51" t="s">
        <v>72</v>
      </c>
      <c r="C137" s="54" t="s">
        <v>20</v>
      </c>
      <c r="D137" s="54"/>
      <c r="E137" s="54"/>
      <c r="F137" s="60" t="s">
        <v>21</v>
      </c>
      <c r="G137" s="59">
        <v>1</v>
      </c>
      <c r="H137" s="54">
        <v>20</v>
      </c>
      <c r="I137" s="54">
        <f t="shared" si="7"/>
        <v>20</v>
      </c>
      <c r="J137" s="56">
        <v>17</v>
      </c>
      <c r="K137" s="56">
        <f t="shared" si="6"/>
        <v>340</v>
      </c>
      <c r="L137" s="70">
        <f>SUM(K133:K137)</f>
        <v>3598</v>
      </c>
      <c r="M137" s="54"/>
    </row>
    <row r="138" s="41" customFormat="1" spans="1:13">
      <c r="A138" s="61">
        <v>45964</v>
      </c>
      <c r="B138" s="62">
        <v>6</v>
      </c>
      <c r="C138" s="114">
        <v>45955</v>
      </c>
      <c r="D138" s="66"/>
      <c r="E138" s="66"/>
      <c r="F138" s="64" t="s">
        <v>77</v>
      </c>
      <c r="G138" s="65">
        <v>1</v>
      </c>
      <c r="H138" s="66">
        <v>4</v>
      </c>
      <c r="I138" s="66">
        <f t="shared" si="7"/>
        <v>4</v>
      </c>
      <c r="J138" s="67">
        <v>17</v>
      </c>
      <c r="K138" s="67">
        <f t="shared" si="6"/>
        <v>68</v>
      </c>
      <c r="L138" s="68" t="s">
        <v>78</v>
      </c>
      <c r="M138" s="66"/>
    </row>
    <row r="139" s="41" customFormat="1" spans="1:13">
      <c r="A139" s="61">
        <v>45964</v>
      </c>
      <c r="B139" s="62">
        <v>6</v>
      </c>
      <c r="C139" s="91">
        <v>9804</v>
      </c>
      <c r="D139" s="66"/>
      <c r="E139" s="66"/>
      <c r="F139" s="64" t="s">
        <v>11</v>
      </c>
      <c r="G139" s="65">
        <v>10</v>
      </c>
      <c r="H139" s="66">
        <v>28</v>
      </c>
      <c r="I139" s="66">
        <f t="shared" si="7"/>
        <v>280</v>
      </c>
      <c r="J139" s="67">
        <v>9</v>
      </c>
      <c r="K139" s="67">
        <f t="shared" si="6"/>
        <v>2520</v>
      </c>
      <c r="L139" s="68"/>
      <c r="M139" s="66"/>
    </row>
    <row r="140" s="42" customFormat="1" spans="1:13">
      <c r="A140" s="61">
        <v>45964</v>
      </c>
      <c r="B140" s="62">
        <v>6</v>
      </c>
      <c r="C140" s="66">
        <v>2269</v>
      </c>
      <c r="D140" s="66"/>
      <c r="E140" s="66"/>
      <c r="F140" s="71" t="s">
        <v>29</v>
      </c>
      <c r="G140" s="65">
        <v>5</v>
      </c>
      <c r="H140" s="66">
        <v>25</v>
      </c>
      <c r="I140" s="66">
        <f t="shared" si="7"/>
        <v>125</v>
      </c>
      <c r="J140" s="67">
        <v>17</v>
      </c>
      <c r="K140" s="67">
        <f t="shared" si="6"/>
        <v>2125</v>
      </c>
      <c r="L140" s="69"/>
      <c r="M140" s="66"/>
    </row>
    <row r="141" s="43" customFormat="1" spans="1:13">
      <c r="A141" s="61">
        <v>45964</v>
      </c>
      <c r="B141" s="62">
        <v>6</v>
      </c>
      <c r="C141" s="66" t="s">
        <v>14</v>
      </c>
      <c r="D141" s="66"/>
      <c r="E141" s="66"/>
      <c r="F141" s="68" t="s">
        <v>15</v>
      </c>
      <c r="G141" s="65">
        <v>5</v>
      </c>
      <c r="H141" s="66">
        <v>20</v>
      </c>
      <c r="I141" s="66">
        <f t="shared" si="7"/>
        <v>100</v>
      </c>
      <c r="J141" s="67">
        <v>17</v>
      </c>
      <c r="K141" s="67">
        <f t="shared" si="6"/>
        <v>1700</v>
      </c>
      <c r="L141" s="70"/>
      <c r="M141" s="54"/>
    </row>
    <row r="142" s="42" customFormat="1" spans="1:13">
      <c r="A142" s="61">
        <v>45964</v>
      </c>
      <c r="B142" s="62">
        <v>6</v>
      </c>
      <c r="C142" s="123" t="s">
        <v>37</v>
      </c>
      <c r="D142" s="66"/>
      <c r="E142" s="66"/>
      <c r="F142" s="71" t="s">
        <v>38</v>
      </c>
      <c r="G142" s="65">
        <v>1</v>
      </c>
      <c r="H142" s="66">
        <v>25</v>
      </c>
      <c r="I142" s="66">
        <f t="shared" si="7"/>
        <v>25</v>
      </c>
      <c r="J142" s="67">
        <v>17</v>
      </c>
      <c r="K142" s="67">
        <f t="shared" si="6"/>
        <v>425</v>
      </c>
      <c r="L142" s="69"/>
      <c r="M142" s="66"/>
    </row>
    <row r="143" s="42" customFormat="1" spans="1:13">
      <c r="A143" s="61">
        <v>45964</v>
      </c>
      <c r="B143" s="62">
        <v>6</v>
      </c>
      <c r="C143" s="66" t="s">
        <v>41</v>
      </c>
      <c r="D143" s="66"/>
      <c r="E143" s="66"/>
      <c r="F143" s="68" t="s">
        <v>42</v>
      </c>
      <c r="G143" s="65">
        <v>1</v>
      </c>
      <c r="H143" s="66">
        <v>18</v>
      </c>
      <c r="I143" s="66">
        <f t="shared" si="7"/>
        <v>18</v>
      </c>
      <c r="J143" s="67">
        <v>9.5</v>
      </c>
      <c r="K143" s="67">
        <f t="shared" si="6"/>
        <v>171</v>
      </c>
      <c r="L143" s="69" t="s">
        <v>79</v>
      </c>
      <c r="M143" s="66"/>
    </row>
    <row r="144" s="42" customFormat="1" spans="1:13">
      <c r="A144" s="61">
        <v>45964</v>
      </c>
      <c r="B144" s="62">
        <v>6</v>
      </c>
      <c r="C144" s="123" t="s">
        <v>80</v>
      </c>
      <c r="D144" s="66"/>
      <c r="E144" s="66"/>
      <c r="F144" s="68" t="s">
        <v>40</v>
      </c>
      <c r="G144" s="65">
        <v>1</v>
      </c>
      <c r="H144" s="66">
        <v>7</v>
      </c>
      <c r="I144" s="66">
        <f t="shared" si="7"/>
        <v>7</v>
      </c>
      <c r="J144" s="67">
        <v>23</v>
      </c>
      <c r="K144" s="67">
        <f t="shared" si="6"/>
        <v>161</v>
      </c>
      <c r="L144" s="72" t="s">
        <v>81</v>
      </c>
      <c r="M144" s="66"/>
    </row>
    <row r="145" s="42" customFormat="1" spans="1:13">
      <c r="A145" s="61">
        <v>45964</v>
      </c>
      <c r="B145" s="62">
        <v>6</v>
      </c>
      <c r="C145" s="66" t="s">
        <v>82</v>
      </c>
      <c r="D145" s="66"/>
      <c r="E145" s="66"/>
      <c r="F145" s="68" t="s">
        <v>83</v>
      </c>
      <c r="G145" s="65">
        <v>1</v>
      </c>
      <c r="H145" s="66">
        <v>5</v>
      </c>
      <c r="I145" s="66">
        <f t="shared" si="7"/>
        <v>5</v>
      </c>
      <c r="J145" s="67">
        <v>23</v>
      </c>
      <c r="K145" s="67">
        <f t="shared" si="6"/>
        <v>115</v>
      </c>
      <c r="L145" s="72"/>
      <c r="M145" s="66"/>
    </row>
    <row r="146" s="42" customFormat="1" spans="1:13">
      <c r="A146" s="61">
        <v>45964</v>
      </c>
      <c r="B146" s="62">
        <v>6</v>
      </c>
      <c r="C146" s="66" t="s">
        <v>82</v>
      </c>
      <c r="D146" s="66"/>
      <c r="E146" s="66"/>
      <c r="F146" s="68" t="s">
        <v>83</v>
      </c>
      <c r="G146" s="65">
        <v>1</v>
      </c>
      <c r="H146" s="66">
        <v>5</v>
      </c>
      <c r="I146" s="66">
        <f t="shared" si="7"/>
        <v>5</v>
      </c>
      <c r="J146" s="67"/>
      <c r="K146" s="67"/>
      <c r="L146" s="72" t="s">
        <v>27</v>
      </c>
      <c r="M146" s="66">
        <f>SUM(K138:K145)</f>
        <v>7285</v>
      </c>
    </row>
    <row r="147" s="43" customFormat="1" spans="1:13">
      <c r="A147" s="50">
        <v>45965</v>
      </c>
      <c r="B147" s="51">
        <v>8</v>
      </c>
      <c r="C147" s="54" t="s">
        <v>84</v>
      </c>
      <c r="D147" s="54"/>
      <c r="E147" s="54"/>
      <c r="F147" s="60" t="s">
        <v>85</v>
      </c>
      <c r="G147" s="59">
        <v>1</v>
      </c>
      <c r="H147" s="54">
        <v>20</v>
      </c>
      <c r="I147" s="54">
        <f t="shared" ref="I147:I175" si="8">G147*H147</f>
        <v>20</v>
      </c>
      <c r="J147" s="56">
        <v>22</v>
      </c>
      <c r="K147" s="56">
        <f t="shared" ref="K147:K152" si="9">I147*J147</f>
        <v>440</v>
      </c>
      <c r="L147" s="7" t="s">
        <v>86</v>
      </c>
      <c r="M147" s="54"/>
    </row>
    <row r="148" s="43" customFormat="1" spans="1:13">
      <c r="A148" s="50">
        <v>45965</v>
      </c>
      <c r="B148" s="51">
        <v>8</v>
      </c>
      <c r="C148" s="54" t="s">
        <v>84</v>
      </c>
      <c r="D148" s="54"/>
      <c r="E148" s="54"/>
      <c r="F148" s="60" t="s">
        <v>85</v>
      </c>
      <c r="G148" s="59">
        <v>1</v>
      </c>
      <c r="H148" s="54">
        <v>3</v>
      </c>
      <c r="I148" s="54">
        <f t="shared" si="8"/>
        <v>3</v>
      </c>
      <c r="J148" s="56"/>
      <c r="K148" s="56"/>
      <c r="L148" s="7" t="s">
        <v>27</v>
      </c>
      <c r="M148" s="54"/>
    </row>
    <row r="149" s="43" customFormat="1" spans="1:13">
      <c r="A149" s="50">
        <v>45965</v>
      </c>
      <c r="B149" s="51">
        <v>8</v>
      </c>
      <c r="C149" s="124" t="s">
        <v>80</v>
      </c>
      <c r="D149" s="54"/>
      <c r="E149" s="54"/>
      <c r="F149" s="60" t="s">
        <v>40</v>
      </c>
      <c r="G149" s="59">
        <v>1</v>
      </c>
      <c r="H149" s="54">
        <v>5</v>
      </c>
      <c r="I149" s="54">
        <f t="shared" si="8"/>
        <v>5</v>
      </c>
      <c r="J149" s="56">
        <v>23</v>
      </c>
      <c r="K149" s="56">
        <f t="shared" si="9"/>
        <v>115</v>
      </c>
      <c r="L149" s="7" t="s">
        <v>81</v>
      </c>
      <c r="M149" s="54"/>
    </row>
    <row r="150" s="42" customFormat="1" spans="1:13">
      <c r="A150" s="50">
        <v>45965</v>
      </c>
      <c r="B150" s="51">
        <v>8</v>
      </c>
      <c r="C150" s="54" t="s">
        <v>87</v>
      </c>
      <c r="D150" s="54"/>
      <c r="E150" s="54"/>
      <c r="F150" s="60" t="s">
        <v>88</v>
      </c>
      <c r="G150" s="59">
        <v>-1</v>
      </c>
      <c r="H150" s="54">
        <v>20</v>
      </c>
      <c r="I150" s="54">
        <f t="shared" si="8"/>
        <v>-20</v>
      </c>
      <c r="J150" s="56">
        <v>16</v>
      </c>
      <c r="K150" s="56">
        <f t="shared" si="9"/>
        <v>-320</v>
      </c>
      <c r="L150" s="72"/>
      <c r="M150" s="66">
        <f>SUM(K147:K150)</f>
        <v>235</v>
      </c>
    </row>
    <row r="151" s="41" customFormat="1" spans="1:13">
      <c r="A151" s="61">
        <v>45968</v>
      </c>
      <c r="B151" s="62">
        <v>20</v>
      </c>
      <c r="C151" s="91" t="s">
        <v>70</v>
      </c>
      <c r="D151" s="66"/>
      <c r="E151" s="66"/>
      <c r="F151" s="64" t="s">
        <v>71</v>
      </c>
      <c r="G151" s="65">
        <v>1</v>
      </c>
      <c r="H151" s="66">
        <v>180</v>
      </c>
      <c r="I151" s="66">
        <f t="shared" si="8"/>
        <v>180</v>
      </c>
      <c r="J151" s="67">
        <v>5.6</v>
      </c>
      <c r="K151" s="67">
        <f t="shared" si="9"/>
        <v>1008</v>
      </c>
      <c r="L151" s="68"/>
      <c r="M151" s="66"/>
    </row>
    <row r="152" s="43" customFormat="1" spans="1:13">
      <c r="A152" s="50">
        <v>45969</v>
      </c>
      <c r="B152" s="51"/>
      <c r="C152" s="54">
        <v>2269</v>
      </c>
      <c r="D152" s="54"/>
      <c r="E152" s="54"/>
      <c r="F152" s="74" t="s">
        <v>29</v>
      </c>
      <c r="G152" s="59">
        <v>4</v>
      </c>
      <c r="H152" s="54">
        <v>25</v>
      </c>
      <c r="I152" s="54">
        <f t="shared" si="8"/>
        <v>100</v>
      </c>
      <c r="J152" s="56"/>
      <c r="K152" s="56"/>
      <c r="L152" s="70" t="s">
        <v>89</v>
      </c>
      <c r="M152" s="54"/>
    </row>
    <row r="153" s="41" customFormat="1" spans="1:13">
      <c r="A153" s="61">
        <v>45976</v>
      </c>
      <c r="B153" s="62">
        <v>41</v>
      </c>
      <c r="C153" s="66">
        <v>2270</v>
      </c>
      <c r="D153" s="66"/>
      <c r="E153" s="66"/>
      <c r="F153" s="71" t="s">
        <v>30</v>
      </c>
      <c r="G153" s="65">
        <v>1</v>
      </c>
      <c r="H153" s="66">
        <v>24</v>
      </c>
      <c r="I153" s="66">
        <f t="shared" si="8"/>
        <v>24</v>
      </c>
      <c r="J153" s="67">
        <v>17</v>
      </c>
      <c r="K153" s="67">
        <f t="shared" ref="K153:K158" si="10">I153*J153</f>
        <v>408</v>
      </c>
      <c r="L153" s="72" t="s">
        <v>24</v>
      </c>
      <c r="M153" s="66"/>
    </row>
    <row r="154" s="41" customFormat="1" spans="1:13">
      <c r="A154" s="61">
        <v>45976</v>
      </c>
      <c r="B154" s="62">
        <v>41</v>
      </c>
      <c r="C154" s="66">
        <v>2270</v>
      </c>
      <c r="D154" s="66"/>
      <c r="E154" s="66"/>
      <c r="F154" s="71" t="s">
        <v>30</v>
      </c>
      <c r="G154" s="65">
        <v>3</v>
      </c>
      <c r="H154" s="66">
        <v>25</v>
      </c>
      <c r="I154" s="66">
        <f t="shared" si="8"/>
        <v>75</v>
      </c>
      <c r="J154" s="67">
        <v>17</v>
      </c>
      <c r="K154" s="67">
        <f t="shared" si="10"/>
        <v>1275</v>
      </c>
      <c r="L154" s="72" t="s">
        <v>24</v>
      </c>
      <c r="M154" s="66"/>
    </row>
    <row r="155" s="42" customFormat="1" spans="1:13">
      <c r="A155" s="61">
        <v>45976</v>
      </c>
      <c r="B155" s="62">
        <v>41</v>
      </c>
      <c r="C155" s="66" t="s">
        <v>14</v>
      </c>
      <c r="D155" s="66"/>
      <c r="E155" s="66"/>
      <c r="F155" s="68" t="s">
        <v>15</v>
      </c>
      <c r="G155" s="65">
        <v>4</v>
      </c>
      <c r="H155" s="66">
        <v>20</v>
      </c>
      <c r="I155" s="66">
        <f t="shared" si="8"/>
        <v>80</v>
      </c>
      <c r="J155" s="67">
        <v>17</v>
      </c>
      <c r="K155" s="67">
        <f t="shared" si="10"/>
        <v>1360</v>
      </c>
      <c r="L155" s="69"/>
      <c r="M155" s="66"/>
    </row>
    <row r="156" s="40" customFormat="1" spans="1:13">
      <c r="A156" s="50">
        <v>45978</v>
      </c>
      <c r="B156" s="51">
        <v>47</v>
      </c>
      <c r="C156" s="103">
        <v>9804</v>
      </c>
      <c r="D156" s="54"/>
      <c r="E156" s="54"/>
      <c r="F156" s="9" t="s">
        <v>11</v>
      </c>
      <c r="G156" s="59">
        <v>10</v>
      </c>
      <c r="H156" s="54">
        <v>28</v>
      </c>
      <c r="I156" s="54">
        <f t="shared" si="8"/>
        <v>280</v>
      </c>
      <c r="J156" s="56">
        <v>9</v>
      </c>
      <c r="K156" s="56">
        <f t="shared" si="10"/>
        <v>2520</v>
      </c>
      <c r="L156" s="60"/>
      <c r="M156" s="54"/>
    </row>
    <row r="157" s="43" customFormat="1" spans="1:13">
      <c r="A157" s="50">
        <v>45978</v>
      </c>
      <c r="B157" s="51">
        <v>47</v>
      </c>
      <c r="C157" s="54" t="s">
        <v>12</v>
      </c>
      <c r="D157" s="54"/>
      <c r="E157" s="54"/>
      <c r="F157" s="60" t="s">
        <v>13</v>
      </c>
      <c r="G157" s="59">
        <v>5</v>
      </c>
      <c r="H157" s="54">
        <v>25</v>
      </c>
      <c r="I157" s="54">
        <f t="shared" si="8"/>
        <v>125</v>
      </c>
      <c r="J157" s="56">
        <v>11</v>
      </c>
      <c r="K157" s="56">
        <f t="shared" si="10"/>
        <v>1375</v>
      </c>
      <c r="L157" s="70" t="s">
        <v>22</v>
      </c>
      <c r="M157" s="54">
        <f>SUM(K156:K157)</f>
        <v>3895</v>
      </c>
    </row>
    <row r="158" s="41" customFormat="1" spans="1:13">
      <c r="A158" s="61">
        <v>45985</v>
      </c>
      <c r="B158" s="62">
        <v>72</v>
      </c>
      <c r="C158" s="66" t="s">
        <v>16</v>
      </c>
      <c r="D158" s="66"/>
      <c r="E158" s="66"/>
      <c r="F158" s="71" t="s">
        <v>17</v>
      </c>
      <c r="G158" s="65">
        <v>1</v>
      </c>
      <c r="H158" s="66">
        <v>35</v>
      </c>
      <c r="I158" s="66">
        <f t="shared" si="8"/>
        <v>35</v>
      </c>
      <c r="J158" s="67">
        <v>17</v>
      </c>
      <c r="K158" s="67">
        <f t="shared" si="10"/>
        <v>595</v>
      </c>
      <c r="L158" s="72"/>
      <c r="M158" s="66"/>
    </row>
    <row r="159" s="42" customFormat="1" spans="1:13">
      <c r="A159" s="61">
        <v>45985</v>
      </c>
      <c r="B159" s="62">
        <v>72</v>
      </c>
      <c r="C159" s="66" t="s">
        <v>16</v>
      </c>
      <c r="D159" s="66"/>
      <c r="E159" s="66"/>
      <c r="F159" s="71" t="s">
        <v>17</v>
      </c>
      <c r="G159" s="65">
        <v>1</v>
      </c>
      <c r="H159" s="66">
        <v>65</v>
      </c>
      <c r="I159" s="66">
        <f t="shared" si="8"/>
        <v>65</v>
      </c>
      <c r="J159" s="67"/>
      <c r="K159" s="67"/>
      <c r="L159" s="72" t="s">
        <v>31</v>
      </c>
      <c r="M159" s="66"/>
    </row>
    <row r="160" s="42" customFormat="1" spans="1:13">
      <c r="A160" s="61">
        <v>45985</v>
      </c>
      <c r="B160" s="62">
        <v>72</v>
      </c>
      <c r="C160" s="66">
        <v>2269</v>
      </c>
      <c r="D160" s="66"/>
      <c r="E160" s="66"/>
      <c r="F160" s="71" t="s">
        <v>29</v>
      </c>
      <c r="G160" s="65">
        <v>4</v>
      </c>
      <c r="H160" s="66">
        <v>25</v>
      </c>
      <c r="I160" s="66">
        <f t="shared" si="8"/>
        <v>100</v>
      </c>
      <c r="J160" s="67">
        <v>17</v>
      </c>
      <c r="K160" s="67">
        <f t="shared" ref="K160:K175" si="11">I160*J160</f>
        <v>1700</v>
      </c>
      <c r="L160" s="69"/>
      <c r="M160" s="66"/>
    </row>
    <row r="161" s="42" customFormat="1" spans="1:13">
      <c r="A161" s="61">
        <v>45985</v>
      </c>
      <c r="B161" s="62">
        <v>72</v>
      </c>
      <c r="C161" s="66">
        <v>2269</v>
      </c>
      <c r="D161" s="66"/>
      <c r="E161" s="66"/>
      <c r="F161" s="71" t="s">
        <v>29</v>
      </c>
      <c r="G161" s="65">
        <v>1</v>
      </c>
      <c r="H161" s="66">
        <v>26</v>
      </c>
      <c r="I161" s="66">
        <f t="shared" si="8"/>
        <v>26</v>
      </c>
      <c r="J161" s="67">
        <v>17</v>
      </c>
      <c r="K161" s="67">
        <f t="shared" si="11"/>
        <v>442</v>
      </c>
      <c r="L161" s="69"/>
      <c r="M161" s="66"/>
    </row>
    <row r="162" s="42" customFormat="1" spans="1:13">
      <c r="A162" s="61">
        <v>45985</v>
      </c>
      <c r="B162" s="62">
        <v>72</v>
      </c>
      <c r="C162" s="66" t="s">
        <v>14</v>
      </c>
      <c r="D162" s="66"/>
      <c r="E162" s="66"/>
      <c r="F162" s="68" t="s">
        <v>15</v>
      </c>
      <c r="G162" s="65">
        <v>4</v>
      </c>
      <c r="H162" s="66">
        <v>20</v>
      </c>
      <c r="I162" s="66">
        <f t="shared" si="8"/>
        <v>80</v>
      </c>
      <c r="J162" s="67">
        <v>17</v>
      </c>
      <c r="K162" s="67">
        <f t="shared" si="11"/>
        <v>1360</v>
      </c>
      <c r="L162" s="69"/>
      <c r="M162" s="66"/>
    </row>
    <row r="163" s="42" customFormat="1" spans="1:13">
      <c r="A163" s="61">
        <v>45985</v>
      </c>
      <c r="B163" s="62">
        <v>72</v>
      </c>
      <c r="C163" s="66" t="s">
        <v>20</v>
      </c>
      <c r="D163" s="66"/>
      <c r="E163" s="66"/>
      <c r="F163" s="68" t="s">
        <v>21</v>
      </c>
      <c r="G163" s="65">
        <v>1</v>
      </c>
      <c r="H163" s="66">
        <v>20</v>
      </c>
      <c r="I163" s="66">
        <f t="shared" si="8"/>
        <v>20</v>
      </c>
      <c r="J163" s="67">
        <v>17</v>
      </c>
      <c r="K163" s="67">
        <f t="shared" si="11"/>
        <v>340</v>
      </c>
      <c r="L163" s="115">
        <f>SUM(K158:K163)</f>
        <v>4437</v>
      </c>
      <c r="M163" s="66"/>
    </row>
    <row r="164" s="40" customFormat="1" spans="1:13">
      <c r="A164" s="50">
        <v>45987</v>
      </c>
      <c r="B164" s="51">
        <v>76</v>
      </c>
      <c r="C164" s="103" t="s">
        <v>70</v>
      </c>
      <c r="D164" s="54"/>
      <c r="E164" s="54"/>
      <c r="F164" s="9" t="s">
        <v>71</v>
      </c>
      <c r="G164" s="59">
        <v>1</v>
      </c>
      <c r="H164" s="54">
        <v>180</v>
      </c>
      <c r="I164" s="54">
        <f t="shared" si="8"/>
        <v>180</v>
      </c>
      <c r="J164" s="56">
        <v>5.6</v>
      </c>
      <c r="K164" s="56">
        <f t="shared" si="11"/>
        <v>1008</v>
      </c>
      <c r="L164" s="60"/>
      <c r="M164" s="54"/>
    </row>
    <row r="165" s="41" customFormat="1" spans="1:13">
      <c r="A165" s="61">
        <v>45995</v>
      </c>
      <c r="B165" s="62">
        <v>10</v>
      </c>
      <c r="C165" s="91" t="s">
        <v>70</v>
      </c>
      <c r="D165" s="66"/>
      <c r="E165" s="66"/>
      <c r="F165" s="64" t="s">
        <v>71</v>
      </c>
      <c r="G165" s="65">
        <v>2</v>
      </c>
      <c r="H165" s="66">
        <v>180</v>
      </c>
      <c r="I165" s="66">
        <f t="shared" si="8"/>
        <v>360</v>
      </c>
      <c r="J165" s="67">
        <v>5.6</v>
      </c>
      <c r="K165" s="67">
        <f t="shared" si="11"/>
        <v>2016</v>
      </c>
      <c r="L165" s="68"/>
      <c r="M165" s="66"/>
    </row>
    <row r="166" s="40" customFormat="1" spans="1:13">
      <c r="A166" s="50">
        <v>45999</v>
      </c>
      <c r="B166" s="51">
        <v>18</v>
      </c>
      <c r="C166" s="103">
        <v>9804</v>
      </c>
      <c r="D166" s="54"/>
      <c r="E166" s="54"/>
      <c r="F166" s="9" t="s">
        <v>11</v>
      </c>
      <c r="G166" s="59">
        <v>10</v>
      </c>
      <c r="H166" s="54">
        <v>28</v>
      </c>
      <c r="I166" s="54">
        <f t="shared" si="8"/>
        <v>280</v>
      </c>
      <c r="J166" s="56">
        <v>9</v>
      </c>
      <c r="K166" s="56">
        <f t="shared" si="11"/>
        <v>2520</v>
      </c>
      <c r="L166" s="60"/>
      <c r="M166" s="54"/>
    </row>
    <row r="167" s="43" customFormat="1" spans="1:13">
      <c r="A167" s="50">
        <v>45999</v>
      </c>
      <c r="B167" s="51">
        <v>18</v>
      </c>
      <c r="C167" s="54" t="s">
        <v>12</v>
      </c>
      <c r="D167" s="54"/>
      <c r="E167" s="54"/>
      <c r="F167" s="60" t="s">
        <v>13</v>
      </c>
      <c r="G167" s="59">
        <v>5</v>
      </c>
      <c r="H167" s="54">
        <v>25</v>
      </c>
      <c r="I167" s="54">
        <f t="shared" si="8"/>
        <v>125</v>
      </c>
      <c r="J167" s="56">
        <v>11</v>
      </c>
      <c r="K167" s="56">
        <f t="shared" si="11"/>
        <v>1375</v>
      </c>
      <c r="L167" s="70" t="s">
        <v>22</v>
      </c>
      <c r="M167" s="54">
        <f>SUM(K166:K167)</f>
        <v>3895</v>
      </c>
    </row>
    <row r="168" s="41" customFormat="1" spans="1:13">
      <c r="A168" s="61">
        <v>46008</v>
      </c>
      <c r="B168" s="62">
        <v>42</v>
      </c>
      <c r="C168" s="66" t="s">
        <v>53</v>
      </c>
      <c r="D168" s="66"/>
      <c r="E168" s="66"/>
      <c r="F168" s="71" t="s">
        <v>38</v>
      </c>
      <c r="G168" s="65">
        <v>1</v>
      </c>
      <c r="H168" s="66"/>
      <c r="I168" s="66">
        <f t="shared" si="8"/>
        <v>0</v>
      </c>
      <c r="J168" s="67">
        <v>17</v>
      </c>
      <c r="K168" s="67">
        <f t="shared" si="11"/>
        <v>0</v>
      </c>
      <c r="L168" s="72" t="s">
        <v>60</v>
      </c>
      <c r="M168" s="66"/>
    </row>
    <row r="169" s="42" customFormat="1" spans="1:13">
      <c r="A169" s="61">
        <v>46008</v>
      </c>
      <c r="B169" s="62">
        <v>42</v>
      </c>
      <c r="C169" s="66" t="s">
        <v>14</v>
      </c>
      <c r="D169" s="66"/>
      <c r="E169" s="66"/>
      <c r="F169" s="68" t="s">
        <v>15</v>
      </c>
      <c r="G169" s="65">
        <v>1</v>
      </c>
      <c r="H169" s="66">
        <v>20</v>
      </c>
      <c r="I169" s="66">
        <f t="shared" si="8"/>
        <v>20</v>
      </c>
      <c r="J169" s="67">
        <v>17</v>
      </c>
      <c r="K169" s="67">
        <f t="shared" si="11"/>
        <v>340</v>
      </c>
      <c r="L169" s="69"/>
      <c r="M169" s="66"/>
    </row>
    <row r="170" s="40" customFormat="1" spans="1:13">
      <c r="A170" s="50">
        <v>46016</v>
      </c>
      <c r="B170" s="51">
        <v>65</v>
      </c>
      <c r="C170" s="103">
        <v>9804</v>
      </c>
      <c r="D170" s="54"/>
      <c r="E170" s="54"/>
      <c r="F170" s="9" t="s">
        <v>11</v>
      </c>
      <c r="G170" s="59">
        <v>10</v>
      </c>
      <c r="H170" s="54">
        <v>28</v>
      </c>
      <c r="I170" s="54">
        <f t="shared" si="8"/>
        <v>280</v>
      </c>
      <c r="J170" s="56">
        <v>9</v>
      </c>
      <c r="K170" s="56">
        <f t="shared" si="11"/>
        <v>2520</v>
      </c>
      <c r="L170" s="60"/>
      <c r="M170" s="54"/>
    </row>
    <row r="171" s="43" customFormat="1" spans="1:13">
      <c r="A171" s="50">
        <v>46016</v>
      </c>
      <c r="B171" s="51">
        <v>65</v>
      </c>
      <c r="C171" s="54">
        <v>2269</v>
      </c>
      <c r="D171" s="54"/>
      <c r="E171" s="54"/>
      <c r="F171" s="74" t="s">
        <v>29</v>
      </c>
      <c r="G171" s="59">
        <v>5</v>
      </c>
      <c r="H171" s="54">
        <v>25</v>
      </c>
      <c r="I171" s="54">
        <f t="shared" ref="I171:I185" si="12">G171*H171</f>
        <v>125</v>
      </c>
      <c r="J171" s="56">
        <v>17</v>
      </c>
      <c r="K171" s="56">
        <f t="shared" ref="K171:K179" si="13">I171*J171</f>
        <v>2125</v>
      </c>
      <c r="L171" s="70"/>
      <c r="M171" s="54"/>
    </row>
    <row r="172" s="40" customFormat="1" spans="1:13">
      <c r="A172" s="50">
        <v>46016</v>
      </c>
      <c r="B172" s="51">
        <v>65</v>
      </c>
      <c r="C172" s="54">
        <v>2270</v>
      </c>
      <c r="D172" s="54"/>
      <c r="E172" s="54"/>
      <c r="F172" s="74" t="s">
        <v>30</v>
      </c>
      <c r="G172" s="59">
        <v>3</v>
      </c>
      <c r="H172" s="54">
        <v>26</v>
      </c>
      <c r="I172" s="54">
        <f t="shared" si="12"/>
        <v>78</v>
      </c>
      <c r="J172" s="56">
        <v>17</v>
      </c>
      <c r="K172" s="56">
        <f t="shared" si="13"/>
        <v>1326</v>
      </c>
      <c r="L172" s="7" t="s">
        <v>24</v>
      </c>
      <c r="M172" s="54"/>
    </row>
    <row r="173" s="40" customFormat="1" spans="1:13">
      <c r="A173" s="50">
        <v>46016</v>
      </c>
      <c r="B173" s="51">
        <v>65</v>
      </c>
      <c r="C173" s="54">
        <v>2270</v>
      </c>
      <c r="D173" s="54"/>
      <c r="E173" s="54"/>
      <c r="F173" s="74" t="s">
        <v>30</v>
      </c>
      <c r="G173" s="59">
        <v>2</v>
      </c>
      <c r="H173" s="54">
        <v>25</v>
      </c>
      <c r="I173" s="54">
        <f t="shared" si="12"/>
        <v>50</v>
      </c>
      <c r="J173" s="56">
        <v>17</v>
      </c>
      <c r="K173" s="56">
        <f t="shared" si="13"/>
        <v>850</v>
      </c>
      <c r="L173" s="7" t="s">
        <v>24</v>
      </c>
      <c r="M173" s="54"/>
    </row>
    <row r="174" s="43" customFormat="1" spans="1:13">
      <c r="A174" s="50">
        <v>46016</v>
      </c>
      <c r="B174" s="51">
        <v>65</v>
      </c>
      <c r="C174" s="54">
        <v>10337</v>
      </c>
      <c r="D174" s="54"/>
      <c r="E174" s="54"/>
      <c r="F174" s="74" t="s">
        <v>38</v>
      </c>
      <c r="G174" s="59">
        <v>1</v>
      </c>
      <c r="H174" s="54">
        <v>25</v>
      </c>
      <c r="I174" s="54">
        <f t="shared" si="12"/>
        <v>25</v>
      </c>
      <c r="J174" s="56">
        <v>17</v>
      </c>
      <c r="K174" s="56">
        <f t="shared" si="13"/>
        <v>425</v>
      </c>
      <c r="L174" s="70"/>
      <c r="M174" s="54"/>
    </row>
    <row r="175" s="43" customFormat="1" spans="1:13">
      <c r="A175" s="50">
        <v>46016</v>
      </c>
      <c r="B175" s="51">
        <v>65</v>
      </c>
      <c r="C175" s="54" t="s">
        <v>14</v>
      </c>
      <c r="D175" s="54"/>
      <c r="E175" s="54"/>
      <c r="F175" s="60" t="s">
        <v>15</v>
      </c>
      <c r="G175" s="59">
        <v>7</v>
      </c>
      <c r="H175" s="54">
        <v>20</v>
      </c>
      <c r="I175" s="54">
        <f t="shared" si="12"/>
        <v>140</v>
      </c>
      <c r="J175" s="56">
        <v>17</v>
      </c>
      <c r="K175" s="56">
        <f t="shared" si="13"/>
        <v>2380</v>
      </c>
      <c r="L175" s="70"/>
      <c r="M175" s="54"/>
    </row>
    <row r="176" s="44" customFormat="1" spans="1:13">
      <c r="A176" s="61">
        <v>46021</v>
      </c>
      <c r="B176" s="62">
        <v>84</v>
      </c>
      <c r="C176" s="66" t="s">
        <v>45</v>
      </c>
      <c r="D176" s="66"/>
      <c r="E176" s="66"/>
      <c r="F176" s="71" t="s">
        <v>46</v>
      </c>
      <c r="G176" s="65">
        <v>1</v>
      </c>
      <c r="H176" s="66">
        <v>20</v>
      </c>
      <c r="I176" s="66">
        <f t="shared" si="12"/>
        <v>20</v>
      </c>
      <c r="J176" s="67">
        <v>20</v>
      </c>
      <c r="K176" s="67">
        <f t="shared" si="13"/>
        <v>400</v>
      </c>
      <c r="L176" s="102"/>
      <c r="M176" s="81"/>
    </row>
    <row r="177" s="44" customFormat="1" spans="1:13">
      <c r="A177" s="61">
        <v>46021</v>
      </c>
      <c r="B177" s="62">
        <v>84</v>
      </c>
      <c r="C177" s="66" t="s">
        <v>43</v>
      </c>
      <c r="D177" s="66"/>
      <c r="E177" s="66"/>
      <c r="F177" s="71" t="s">
        <v>44</v>
      </c>
      <c r="G177" s="65">
        <v>1</v>
      </c>
      <c r="H177" s="66">
        <v>20</v>
      </c>
      <c r="I177" s="66">
        <f t="shared" si="12"/>
        <v>20</v>
      </c>
      <c r="J177" s="67">
        <v>20</v>
      </c>
      <c r="K177" s="67">
        <f t="shared" si="13"/>
        <v>400</v>
      </c>
      <c r="L177" s="102"/>
      <c r="M177" s="81"/>
    </row>
    <row r="178" s="44" customFormat="1" spans="1:13">
      <c r="A178" s="61">
        <v>46021</v>
      </c>
      <c r="B178" s="62">
        <v>84</v>
      </c>
      <c r="C178" s="66">
        <v>10545</v>
      </c>
      <c r="D178" s="66"/>
      <c r="E178" s="66"/>
      <c r="F178" s="68" t="s">
        <v>18</v>
      </c>
      <c r="G178" s="65">
        <v>1</v>
      </c>
      <c r="H178" s="66">
        <v>20</v>
      </c>
      <c r="I178" s="66">
        <f t="shared" si="12"/>
        <v>20</v>
      </c>
      <c r="J178" s="67">
        <v>23</v>
      </c>
      <c r="K178" s="67">
        <f t="shared" si="13"/>
        <v>460</v>
      </c>
      <c r="L178" s="73" t="s">
        <v>90</v>
      </c>
      <c r="M178" s="81"/>
    </row>
    <row r="179" s="44" customFormat="1" spans="1:13">
      <c r="A179" s="61">
        <v>46021</v>
      </c>
      <c r="B179" s="62">
        <v>84</v>
      </c>
      <c r="C179" s="66">
        <v>10545</v>
      </c>
      <c r="D179" s="66"/>
      <c r="E179" s="66"/>
      <c r="F179" s="68" t="s">
        <v>18</v>
      </c>
      <c r="G179" s="65">
        <v>1</v>
      </c>
      <c r="H179" s="66">
        <v>22</v>
      </c>
      <c r="I179" s="66">
        <f t="shared" si="12"/>
        <v>22</v>
      </c>
      <c r="J179" s="67"/>
      <c r="K179" s="67"/>
      <c r="L179" s="73" t="s">
        <v>91</v>
      </c>
      <c r="M179" s="81"/>
    </row>
    <row r="180" s="42" customFormat="1" spans="1:13">
      <c r="A180" s="61">
        <v>46021</v>
      </c>
      <c r="B180" s="62">
        <v>84</v>
      </c>
      <c r="C180" s="66" t="s">
        <v>20</v>
      </c>
      <c r="D180" s="66"/>
      <c r="E180" s="66"/>
      <c r="F180" s="68" t="s">
        <v>21</v>
      </c>
      <c r="G180" s="65">
        <v>1</v>
      </c>
      <c r="H180" s="66">
        <v>20</v>
      </c>
      <c r="I180" s="66">
        <f t="shared" si="12"/>
        <v>20</v>
      </c>
      <c r="J180" s="67">
        <v>17</v>
      </c>
      <c r="K180" s="67">
        <f>I180*J180</f>
        <v>340</v>
      </c>
      <c r="L180" s="115">
        <f>SUM(K176:K181)</f>
        <v>3616</v>
      </c>
      <c r="M180" s="66"/>
    </row>
    <row r="181" s="41" customFormat="1" spans="1:13">
      <c r="A181" s="61">
        <v>46021</v>
      </c>
      <c r="B181" s="62">
        <v>84</v>
      </c>
      <c r="C181" s="91" t="s">
        <v>70</v>
      </c>
      <c r="D181" s="66"/>
      <c r="E181" s="66"/>
      <c r="F181" s="64" t="s">
        <v>71</v>
      </c>
      <c r="G181" s="65">
        <v>2</v>
      </c>
      <c r="H181" s="66">
        <v>180</v>
      </c>
      <c r="I181" s="66">
        <f t="shared" si="12"/>
        <v>360</v>
      </c>
      <c r="J181" s="67">
        <v>5.6</v>
      </c>
      <c r="K181" s="67">
        <f>I181*J181</f>
        <v>2016</v>
      </c>
      <c r="L181" s="68"/>
      <c r="M181" s="66"/>
    </row>
    <row r="182" s="41" customFormat="1" spans="1:13">
      <c r="A182" s="61"/>
      <c r="B182" s="62"/>
      <c r="C182" s="91"/>
      <c r="D182" s="66"/>
      <c r="E182" s="66"/>
      <c r="F182" s="64" t="s">
        <v>92</v>
      </c>
      <c r="G182" s="65"/>
      <c r="H182" s="66"/>
      <c r="I182" s="66"/>
      <c r="J182" s="67"/>
      <c r="K182" s="67"/>
      <c r="L182" s="116"/>
      <c r="M182" s="66"/>
    </row>
    <row r="183" s="40" customFormat="1" spans="1:13">
      <c r="A183" s="50">
        <v>46024</v>
      </c>
      <c r="B183" s="51">
        <v>3</v>
      </c>
      <c r="C183" s="54" t="s">
        <v>43</v>
      </c>
      <c r="D183" s="54"/>
      <c r="E183" s="54"/>
      <c r="F183" s="74" t="s">
        <v>44</v>
      </c>
      <c r="G183" s="59">
        <v>1</v>
      </c>
      <c r="H183" s="54">
        <v>16</v>
      </c>
      <c r="I183" s="54">
        <f>G183*H183</f>
        <v>16</v>
      </c>
      <c r="J183" s="56">
        <v>20</v>
      </c>
      <c r="K183" s="56">
        <f>I183*J183</f>
        <v>320</v>
      </c>
      <c r="L183" s="7"/>
      <c r="M183" s="54"/>
    </row>
    <row r="184" s="40" customFormat="1" spans="1:13">
      <c r="A184" s="50">
        <v>46024</v>
      </c>
      <c r="B184" s="51">
        <v>3</v>
      </c>
      <c r="C184" s="54">
        <v>4680</v>
      </c>
      <c r="D184" s="54"/>
      <c r="E184" s="54"/>
      <c r="F184" s="74" t="s">
        <v>32</v>
      </c>
      <c r="G184" s="59">
        <v>4</v>
      </c>
      <c r="H184" s="54">
        <v>26</v>
      </c>
      <c r="I184" s="54">
        <f>G184*H184</f>
        <v>104</v>
      </c>
      <c r="J184" s="56">
        <v>17</v>
      </c>
      <c r="K184" s="56">
        <f>I184*J184</f>
        <v>1768</v>
      </c>
      <c r="L184" s="7" t="s">
        <v>24</v>
      </c>
      <c r="M184" s="54"/>
    </row>
    <row r="185" s="43" customFormat="1" spans="1:13">
      <c r="A185" s="50">
        <v>46024</v>
      </c>
      <c r="B185" s="51">
        <v>3</v>
      </c>
      <c r="C185" s="54" t="s">
        <v>14</v>
      </c>
      <c r="D185" s="54"/>
      <c r="E185" s="54"/>
      <c r="F185" s="60" t="s">
        <v>15</v>
      </c>
      <c r="G185" s="59">
        <v>2</v>
      </c>
      <c r="H185" s="54">
        <v>20</v>
      </c>
      <c r="I185" s="54">
        <f t="shared" ref="I185:I190" si="14">G185*H185</f>
        <v>40</v>
      </c>
      <c r="J185" s="56">
        <v>17</v>
      </c>
      <c r="K185" s="56">
        <f t="shared" ref="K185:K190" si="15">I185*J185</f>
        <v>680</v>
      </c>
      <c r="L185" s="70"/>
      <c r="M185" s="54"/>
    </row>
    <row r="186" s="43" customFormat="1" spans="1:13">
      <c r="A186" s="50">
        <v>46024</v>
      </c>
      <c r="B186" s="51">
        <v>3</v>
      </c>
      <c r="C186" s="54" t="s">
        <v>20</v>
      </c>
      <c r="D186" s="54"/>
      <c r="E186" s="54"/>
      <c r="F186" s="60" t="s">
        <v>21</v>
      </c>
      <c r="G186" s="59">
        <v>3</v>
      </c>
      <c r="H186" s="54">
        <v>20</v>
      </c>
      <c r="I186" s="54">
        <f t="shared" si="14"/>
        <v>60</v>
      </c>
      <c r="J186" s="56">
        <v>17</v>
      </c>
      <c r="K186" s="56">
        <f t="shared" si="15"/>
        <v>1020</v>
      </c>
      <c r="L186" s="117">
        <f>SUM(K183:K186)</f>
        <v>3788</v>
      </c>
      <c r="M186" s="54"/>
    </row>
    <row r="187" s="41" customFormat="1" spans="1:13">
      <c r="A187" s="61">
        <v>46025</v>
      </c>
      <c r="B187" s="62">
        <v>7</v>
      </c>
      <c r="C187" s="66" t="s">
        <v>73</v>
      </c>
      <c r="D187" s="66"/>
      <c r="E187" s="66"/>
      <c r="F187" s="71" t="s">
        <v>74</v>
      </c>
      <c r="G187" s="65">
        <v>1</v>
      </c>
      <c r="H187" s="66">
        <v>4</v>
      </c>
      <c r="I187" s="66">
        <f t="shared" si="14"/>
        <v>4</v>
      </c>
      <c r="J187" s="67">
        <v>17</v>
      </c>
      <c r="K187" s="67">
        <f t="shared" si="15"/>
        <v>68</v>
      </c>
      <c r="L187" s="69" t="s">
        <v>75</v>
      </c>
      <c r="M187" s="66"/>
    </row>
    <row r="188" s="41" customFormat="1" spans="1:13">
      <c r="A188" s="61">
        <v>46025</v>
      </c>
      <c r="B188" s="62">
        <v>7</v>
      </c>
      <c r="C188" s="66"/>
      <c r="D188" s="66"/>
      <c r="E188" s="66"/>
      <c r="F188" s="71" t="s">
        <v>47</v>
      </c>
      <c r="G188" s="65">
        <v>1</v>
      </c>
      <c r="H188" s="66">
        <v>4</v>
      </c>
      <c r="I188" s="66">
        <f t="shared" si="14"/>
        <v>4</v>
      </c>
      <c r="J188" s="67">
        <v>17</v>
      </c>
      <c r="K188" s="67">
        <f t="shared" si="15"/>
        <v>68</v>
      </c>
      <c r="L188" s="72" t="s">
        <v>63</v>
      </c>
      <c r="M188" s="66"/>
    </row>
    <row r="189" s="41" customFormat="1" spans="1:13">
      <c r="A189" s="61">
        <v>46025</v>
      </c>
      <c r="B189" s="62">
        <v>7</v>
      </c>
      <c r="C189" s="91"/>
      <c r="D189" s="66"/>
      <c r="E189" s="66"/>
      <c r="F189" s="64" t="s">
        <v>93</v>
      </c>
      <c r="G189" s="65">
        <v>1</v>
      </c>
      <c r="H189" s="66">
        <v>18</v>
      </c>
      <c r="I189" s="66">
        <f t="shared" si="14"/>
        <v>18</v>
      </c>
      <c r="J189" s="67">
        <v>7</v>
      </c>
      <c r="K189" s="67">
        <f t="shared" si="15"/>
        <v>126</v>
      </c>
      <c r="L189" s="68" t="s">
        <v>94</v>
      </c>
      <c r="M189" s="66"/>
    </row>
    <row r="190" s="49" customFormat="1" spans="1:13">
      <c r="A190" s="118">
        <v>46029</v>
      </c>
      <c r="B190" s="119" t="s">
        <v>95</v>
      </c>
      <c r="C190" s="85" t="s">
        <v>12</v>
      </c>
      <c r="D190" s="85"/>
      <c r="E190" s="85"/>
      <c r="F190" s="120" t="s">
        <v>13</v>
      </c>
      <c r="G190" s="87">
        <v>5</v>
      </c>
      <c r="H190" s="85">
        <v>25</v>
      </c>
      <c r="I190" s="85">
        <f t="shared" si="14"/>
        <v>125</v>
      </c>
      <c r="J190" s="88">
        <v>11</v>
      </c>
      <c r="K190" s="88">
        <f t="shared" si="15"/>
        <v>1375</v>
      </c>
      <c r="L190" s="88"/>
      <c r="M190" s="119"/>
    </row>
    <row r="191" s="43" customFormat="1" spans="1:13">
      <c r="A191" s="50">
        <v>46037</v>
      </c>
      <c r="B191" s="51">
        <v>40</v>
      </c>
      <c r="C191" s="54">
        <v>10337</v>
      </c>
      <c r="D191" s="54"/>
      <c r="E191" s="54"/>
      <c r="F191" s="74" t="s">
        <v>38</v>
      </c>
      <c r="G191" s="59">
        <v>2</v>
      </c>
      <c r="H191" s="54">
        <v>25</v>
      </c>
      <c r="I191" s="54">
        <f t="shared" ref="I191:I215" si="16">G191*H191</f>
        <v>50</v>
      </c>
      <c r="J191" s="56">
        <v>17</v>
      </c>
      <c r="K191" s="56">
        <f t="shared" ref="K191:K203" si="17">I191*J191</f>
        <v>850</v>
      </c>
      <c r="L191" s="70"/>
      <c r="M191" s="54"/>
    </row>
    <row r="192" s="40" customFormat="1" spans="1:13">
      <c r="A192" s="50">
        <v>46037</v>
      </c>
      <c r="B192" s="51">
        <v>40</v>
      </c>
      <c r="C192" s="54" t="s">
        <v>48</v>
      </c>
      <c r="D192" s="54"/>
      <c r="E192" s="54"/>
      <c r="F192" s="74" t="s">
        <v>49</v>
      </c>
      <c r="G192" s="59">
        <v>1</v>
      </c>
      <c r="H192" s="54">
        <v>25</v>
      </c>
      <c r="I192" s="54">
        <f t="shared" si="16"/>
        <v>25</v>
      </c>
      <c r="J192" s="56">
        <v>17</v>
      </c>
      <c r="K192" s="56">
        <f t="shared" si="17"/>
        <v>425</v>
      </c>
      <c r="L192" s="7" t="s">
        <v>24</v>
      </c>
      <c r="M192" s="54"/>
    </row>
    <row r="193" s="43" customFormat="1" spans="1:13">
      <c r="A193" s="50">
        <v>46037</v>
      </c>
      <c r="B193" s="51">
        <v>40</v>
      </c>
      <c r="C193" s="54" t="s">
        <v>14</v>
      </c>
      <c r="D193" s="54"/>
      <c r="E193" s="54"/>
      <c r="F193" s="60" t="s">
        <v>15</v>
      </c>
      <c r="G193" s="59">
        <v>4</v>
      </c>
      <c r="H193" s="54">
        <v>20</v>
      </c>
      <c r="I193" s="54">
        <f t="shared" si="16"/>
        <v>80</v>
      </c>
      <c r="J193" s="56">
        <v>17</v>
      </c>
      <c r="K193" s="56">
        <f t="shared" si="17"/>
        <v>1360</v>
      </c>
      <c r="L193" s="70"/>
      <c r="M193" s="54"/>
    </row>
    <row r="194" s="41" customFormat="1" spans="1:13">
      <c r="A194" s="61">
        <v>46038</v>
      </c>
      <c r="B194" s="62">
        <v>43</v>
      </c>
      <c r="C194" s="91">
        <v>9804</v>
      </c>
      <c r="D194" s="66"/>
      <c r="E194" s="66"/>
      <c r="F194" s="64" t="s">
        <v>11</v>
      </c>
      <c r="G194" s="65">
        <v>7</v>
      </c>
      <c r="H194" s="66">
        <v>28</v>
      </c>
      <c r="I194" s="66">
        <f t="shared" si="16"/>
        <v>196</v>
      </c>
      <c r="J194" s="67">
        <v>9</v>
      </c>
      <c r="K194" s="67">
        <f t="shared" si="17"/>
        <v>1764</v>
      </c>
      <c r="L194" s="68"/>
      <c r="M194" s="66"/>
    </row>
    <row r="195" s="41" customFormat="1" spans="1:13">
      <c r="A195" s="61">
        <v>46038</v>
      </c>
      <c r="B195" s="62">
        <v>43</v>
      </c>
      <c r="C195" s="91">
        <v>9804</v>
      </c>
      <c r="D195" s="66"/>
      <c r="E195" s="66"/>
      <c r="F195" s="64" t="s">
        <v>11</v>
      </c>
      <c r="G195" s="65">
        <v>3</v>
      </c>
      <c r="H195" s="66">
        <v>28</v>
      </c>
      <c r="I195" s="66">
        <f t="shared" si="16"/>
        <v>84</v>
      </c>
      <c r="J195" s="67"/>
      <c r="K195" s="67">
        <f t="shared" si="17"/>
        <v>0</v>
      </c>
      <c r="L195" s="68" t="s">
        <v>96</v>
      </c>
      <c r="M195" s="66"/>
    </row>
    <row r="196" s="43" customFormat="1" spans="1:13">
      <c r="A196" s="50">
        <v>46041</v>
      </c>
      <c r="B196" s="51">
        <v>52</v>
      </c>
      <c r="C196" s="54">
        <v>2269</v>
      </c>
      <c r="D196" s="54"/>
      <c r="E196" s="54"/>
      <c r="F196" s="74" t="s">
        <v>29</v>
      </c>
      <c r="G196" s="59">
        <v>2</v>
      </c>
      <c r="H196" s="54">
        <v>25</v>
      </c>
      <c r="I196" s="54">
        <f t="shared" si="16"/>
        <v>50</v>
      </c>
      <c r="J196" s="56">
        <v>17</v>
      </c>
      <c r="K196" s="56">
        <f t="shared" si="17"/>
        <v>850</v>
      </c>
      <c r="L196" s="58" t="s">
        <v>97</v>
      </c>
      <c r="M196" s="54"/>
    </row>
    <row r="197" s="43" customFormat="1" spans="1:13">
      <c r="A197" s="50">
        <v>46041</v>
      </c>
      <c r="B197" s="51">
        <v>52</v>
      </c>
      <c r="C197" s="54">
        <v>2269</v>
      </c>
      <c r="D197" s="54"/>
      <c r="E197" s="54"/>
      <c r="F197" s="74" t="s">
        <v>29</v>
      </c>
      <c r="G197" s="59">
        <v>1</v>
      </c>
      <c r="H197" s="54">
        <v>24</v>
      </c>
      <c r="I197" s="54">
        <f t="shared" si="16"/>
        <v>24</v>
      </c>
      <c r="J197" s="56">
        <v>17</v>
      </c>
      <c r="K197" s="56">
        <f t="shared" si="17"/>
        <v>408</v>
      </c>
      <c r="L197" s="58" t="s">
        <v>97</v>
      </c>
      <c r="M197" s="54"/>
    </row>
    <row r="198" s="40" customFormat="1" spans="1:13">
      <c r="A198" s="50">
        <v>46041</v>
      </c>
      <c r="B198" s="51">
        <v>52</v>
      </c>
      <c r="C198" s="54">
        <v>2270</v>
      </c>
      <c r="D198" s="54"/>
      <c r="E198" s="54"/>
      <c r="F198" s="74" t="s">
        <v>30</v>
      </c>
      <c r="G198" s="59">
        <v>4</v>
      </c>
      <c r="H198" s="54">
        <v>25</v>
      </c>
      <c r="I198" s="54">
        <f t="shared" si="16"/>
        <v>100</v>
      </c>
      <c r="J198" s="56">
        <v>17</v>
      </c>
      <c r="K198" s="56">
        <f t="shared" si="17"/>
        <v>1700</v>
      </c>
      <c r="L198" s="58"/>
      <c r="M198" s="54"/>
    </row>
    <row r="199" s="40" customFormat="1" spans="1:13">
      <c r="A199" s="50">
        <v>46041</v>
      </c>
      <c r="B199" s="51">
        <v>52</v>
      </c>
      <c r="C199" s="54">
        <v>2271</v>
      </c>
      <c r="D199" s="54"/>
      <c r="E199" s="54"/>
      <c r="F199" s="74" t="s">
        <v>28</v>
      </c>
      <c r="G199" s="59">
        <v>2</v>
      </c>
      <c r="H199" s="54">
        <v>26</v>
      </c>
      <c r="I199" s="54">
        <f t="shared" si="16"/>
        <v>52</v>
      </c>
      <c r="J199" s="56">
        <v>17</v>
      </c>
      <c r="K199" s="56">
        <f t="shared" si="17"/>
        <v>884</v>
      </c>
      <c r="L199" s="58"/>
      <c r="M199" s="54">
        <f>SUM(K196:K200)</f>
        <v>6902</v>
      </c>
    </row>
    <row r="200" s="43" customFormat="1" spans="1:13">
      <c r="A200" s="50">
        <v>46041</v>
      </c>
      <c r="B200" s="51">
        <v>52</v>
      </c>
      <c r="C200" s="54" t="s">
        <v>14</v>
      </c>
      <c r="D200" s="54"/>
      <c r="E200" s="54"/>
      <c r="F200" s="60" t="s">
        <v>15</v>
      </c>
      <c r="G200" s="59">
        <v>9</v>
      </c>
      <c r="H200" s="54">
        <v>20</v>
      </c>
      <c r="I200" s="54">
        <f t="shared" si="16"/>
        <v>180</v>
      </c>
      <c r="J200" s="56">
        <v>17</v>
      </c>
      <c r="K200" s="56">
        <f t="shared" si="17"/>
        <v>3060</v>
      </c>
      <c r="L200" s="58"/>
      <c r="M200" s="54"/>
    </row>
    <row r="201" s="42" customFormat="1" spans="1:13">
      <c r="A201" s="61">
        <v>46043</v>
      </c>
      <c r="B201" s="62">
        <v>59</v>
      </c>
      <c r="C201" s="66">
        <v>2269</v>
      </c>
      <c r="D201" s="66"/>
      <c r="E201" s="66"/>
      <c r="F201" s="71" t="s">
        <v>29</v>
      </c>
      <c r="G201" s="65">
        <v>5</v>
      </c>
      <c r="H201" s="66">
        <v>25</v>
      </c>
      <c r="I201" s="66">
        <f t="shared" si="16"/>
        <v>125</v>
      </c>
      <c r="J201" s="67">
        <v>17</v>
      </c>
      <c r="K201" s="67">
        <f t="shared" si="17"/>
        <v>2125</v>
      </c>
      <c r="L201" s="121" t="s">
        <v>98</v>
      </c>
      <c r="M201" s="66"/>
    </row>
    <row r="202" s="41" customFormat="1" spans="1:13">
      <c r="A202" s="61">
        <v>46043</v>
      </c>
      <c r="B202" s="62">
        <v>59</v>
      </c>
      <c r="C202" s="66">
        <v>2270</v>
      </c>
      <c r="D202" s="66"/>
      <c r="E202" s="66"/>
      <c r="F202" s="71" t="s">
        <v>30</v>
      </c>
      <c r="G202" s="65">
        <v>1</v>
      </c>
      <c r="H202" s="66">
        <v>26</v>
      </c>
      <c r="I202" s="66">
        <f t="shared" si="16"/>
        <v>26</v>
      </c>
      <c r="J202" s="67">
        <v>17</v>
      </c>
      <c r="K202" s="67">
        <f t="shared" ref="K202:K216" si="18">I202*J202</f>
        <v>442</v>
      </c>
      <c r="L202" s="121"/>
      <c r="M202" s="66"/>
    </row>
    <row r="203" s="41" customFormat="1" spans="1:13">
      <c r="A203" s="61">
        <v>46043</v>
      </c>
      <c r="B203" s="62">
        <v>59</v>
      </c>
      <c r="C203" s="66">
        <v>2271</v>
      </c>
      <c r="D203" s="66"/>
      <c r="E203" s="66"/>
      <c r="F203" s="71" t="s">
        <v>28</v>
      </c>
      <c r="G203" s="65">
        <v>2</v>
      </c>
      <c r="H203" s="66">
        <v>24</v>
      </c>
      <c r="I203" s="66">
        <f t="shared" si="16"/>
        <v>48</v>
      </c>
      <c r="J203" s="67">
        <v>17</v>
      </c>
      <c r="K203" s="67">
        <f t="shared" si="18"/>
        <v>816</v>
      </c>
      <c r="L203" s="121"/>
      <c r="M203" s="66">
        <f>SUM(K201:K215)</f>
        <v>13362</v>
      </c>
    </row>
    <row r="204" s="42" customFormat="1" spans="1:13">
      <c r="A204" s="61">
        <v>46043</v>
      </c>
      <c r="B204" s="62">
        <v>59</v>
      </c>
      <c r="C204" s="123" t="s">
        <v>37</v>
      </c>
      <c r="D204" s="66"/>
      <c r="E204" s="66"/>
      <c r="F204" s="71" t="s">
        <v>38</v>
      </c>
      <c r="G204" s="65">
        <v>2</v>
      </c>
      <c r="H204" s="66">
        <v>25</v>
      </c>
      <c r="I204" s="66">
        <f t="shared" si="16"/>
        <v>50</v>
      </c>
      <c r="J204" s="67">
        <v>17</v>
      </c>
      <c r="K204" s="67">
        <f t="shared" si="18"/>
        <v>850</v>
      </c>
      <c r="L204" s="121"/>
      <c r="M204" s="66"/>
    </row>
    <row r="205" s="41" customFormat="1" spans="1:13">
      <c r="A205" s="61">
        <v>46043</v>
      </c>
      <c r="B205" s="62">
        <v>59</v>
      </c>
      <c r="C205" s="66" t="s">
        <v>16</v>
      </c>
      <c r="D205" s="66"/>
      <c r="E205" s="66"/>
      <c r="F205" s="71" t="s">
        <v>17</v>
      </c>
      <c r="G205" s="65">
        <v>1</v>
      </c>
      <c r="H205" s="66">
        <v>25</v>
      </c>
      <c r="I205" s="66">
        <f t="shared" si="16"/>
        <v>25</v>
      </c>
      <c r="J205" s="67">
        <v>17</v>
      </c>
      <c r="K205" s="67">
        <f t="shared" si="18"/>
        <v>425</v>
      </c>
      <c r="L205" s="121"/>
      <c r="M205" s="66"/>
    </row>
    <row r="206" s="41" customFormat="1" spans="1:13">
      <c r="A206" s="61">
        <v>46043</v>
      </c>
      <c r="B206" s="62">
        <v>59</v>
      </c>
      <c r="C206" s="66" t="s">
        <v>16</v>
      </c>
      <c r="D206" s="66"/>
      <c r="E206" s="66"/>
      <c r="F206" s="71" t="s">
        <v>17</v>
      </c>
      <c r="G206" s="65">
        <v>1</v>
      </c>
      <c r="H206" s="66">
        <v>24</v>
      </c>
      <c r="I206" s="66">
        <f t="shared" si="16"/>
        <v>24</v>
      </c>
      <c r="J206" s="67">
        <v>17</v>
      </c>
      <c r="K206" s="67">
        <f t="shared" si="18"/>
        <v>408</v>
      </c>
      <c r="L206" s="121"/>
      <c r="M206" s="66"/>
    </row>
    <row r="207" s="42" customFormat="1" spans="1:13">
      <c r="A207" s="61">
        <v>46043</v>
      </c>
      <c r="B207" s="62">
        <v>59</v>
      </c>
      <c r="C207" s="123" t="s">
        <v>39</v>
      </c>
      <c r="D207" s="66"/>
      <c r="E207" s="66"/>
      <c r="F207" s="68" t="s">
        <v>40</v>
      </c>
      <c r="G207" s="65">
        <v>1</v>
      </c>
      <c r="H207" s="66">
        <v>15</v>
      </c>
      <c r="I207" s="66">
        <f t="shared" si="16"/>
        <v>15</v>
      </c>
      <c r="J207" s="67">
        <v>23</v>
      </c>
      <c r="K207" s="67">
        <f t="shared" si="18"/>
        <v>345</v>
      </c>
      <c r="L207" s="121"/>
      <c r="M207" s="66"/>
    </row>
    <row r="208" s="42" customFormat="1" spans="1:13">
      <c r="A208" s="61">
        <v>46043</v>
      </c>
      <c r="B208" s="62">
        <v>59</v>
      </c>
      <c r="C208" s="123" t="s">
        <v>99</v>
      </c>
      <c r="D208" s="66"/>
      <c r="E208" s="66"/>
      <c r="F208" s="68" t="s">
        <v>83</v>
      </c>
      <c r="G208" s="65">
        <v>1</v>
      </c>
      <c r="H208" s="66">
        <v>10</v>
      </c>
      <c r="I208" s="66">
        <f t="shared" si="16"/>
        <v>10</v>
      </c>
      <c r="J208" s="67">
        <v>23</v>
      </c>
      <c r="K208" s="67">
        <f t="shared" si="18"/>
        <v>230</v>
      </c>
      <c r="L208" s="121"/>
      <c r="M208" s="66"/>
    </row>
    <row r="209" s="42" customFormat="1" spans="1:19">
      <c r="A209" s="61">
        <v>46043</v>
      </c>
      <c r="B209" s="62">
        <v>59</v>
      </c>
      <c r="C209" s="66" t="s">
        <v>41</v>
      </c>
      <c r="D209" s="66"/>
      <c r="E209" s="66"/>
      <c r="F209" s="68" t="s">
        <v>42</v>
      </c>
      <c r="G209" s="65">
        <v>1</v>
      </c>
      <c r="H209" s="66">
        <v>18</v>
      </c>
      <c r="I209" s="66">
        <f t="shared" si="16"/>
        <v>18</v>
      </c>
      <c r="J209" s="67">
        <v>9.5</v>
      </c>
      <c r="K209" s="67">
        <f t="shared" si="18"/>
        <v>171</v>
      </c>
      <c r="L209" s="121"/>
      <c r="M209" s="66"/>
    </row>
    <row r="210" s="41" customFormat="1" spans="1:19">
      <c r="A210" s="61">
        <v>46043</v>
      </c>
      <c r="B210" s="62">
        <v>59</v>
      </c>
      <c r="C210" s="66">
        <v>10545</v>
      </c>
      <c r="D210" s="66"/>
      <c r="E210" s="66"/>
      <c r="F210" s="68" t="s">
        <v>18</v>
      </c>
      <c r="G210" s="65">
        <v>2</v>
      </c>
      <c r="H210" s="66">
        <v>20</v>
      </c>
      <c r="I210" s="66">
        <f t="shared" si="16"/>
        <v>40</v>
      </c>
      <c r="J210" s="67">
        <v>23</v>
      </c>
      <c r="K210" s="67">
        <f t="shared" si="18"/>
        <v>920</v>
      </c>
      <c r="L210" s="121"/>
      <c r="M210" s="66"/>
    </row>
    <row r="211" s="43" customFormat="1" spans="1:19">
      <c r="A211" s="61">
        <v>46043</v>
      </c>
      <c r="B211" s="62">
        <v>59</v>
      </c>
      <c r="C211" s="91"/>
      <c r="D211" s="66"/>
      <c r="E211" s="66"/>
      <c r="F211" s="64" t="s">
        <v>93</v>
      </c>
      <c r="G211" s="65">
        <v>1</v>
      </c>
      <c r="H211" s="66">
        <v>180</v>
      </c>
      <c r="I211" s="66">
        <f t="shared" si="16"/>
        <v>180</v>
      </c>
      <c r="J211" s="67">
        <v>8.5</v>
      </c>
      <c r="K211" s="67">
        <f t="shared" si="18"/>
        <v>1530</v>
      </c>
      <c r="L211" s="121"/>
      <c r="M211" s="68" t="s">
        <v>100</v>
      </c>
      <c r="N211" s="41"/>
      <c r="O211" s="41"/>
      <c r="P211" s="41"/>
      <c r="Q211" s="41"/>
      <c r="R211" s="41"/>
      <c r="S211" s="41"/>
    </row>
    <row r="212" s="43" customFormat="1" spans="1:19">
      <c r="A212" s="61">
        <v>46043</v>
      </c>
      <c r="B212" s="62">
        <v>52</v>
      </c>
      <c r="C212" s="66" t="s">
        <v>14</v>
      </c>
      <c r="D212" s="66"/>
      <c r="E212" s="66"/>
      <c r="F212" s="68" t="s">
        <v>15</v>
      </c>
      <c r="G212" s="65">
        <v>12</v>
      </c>
      <c r="H212" s="66">
        <v>20</v>
      </c>
      <c r="I212" s="66">
        <f t="shared" si="16"/>
        <v>240</v>
      </c>
      <c r="J212" s="67">
        <v>17</v>
      </c>
      <c r="K212" s="67">
        <f t="shared" si="18"/>
        <v>4080</v>
      </c>
      <c r="L212" s="58"/>
      <c r="M212" s="54"/>
    </row>
    <row r="213" s="43" customFormat="1" spans="1:19">
      <c r="A213" s="61">
        <v>46043</v>
      </c>
      <c r="B213" s="62">
        <v>3</v>
      </c>
      <c r="C213" s="66" t="s">
        <v>20</v>
      </c>
      <c r="D213" s="66"/>
      <c r="E213" s="66"/>
      <c r="F213" s="68" t="s">
        <v>21</v>
      </c>
      <c r="G213" s="65">
        <v>3</v>
      </c>
      <c r="H213" s="66">
        <v>20</v>
      </c>
      <c r="I213" s="66">
        <f t="shared" si="16"/>
        <v>60</v>
      </c>
      <c r="J213" s="67">
        <v>17</v>
      </c>
      <c r="K213" s="67">
        <f t="shared" si="18"/>
        <v>1020</v>
      </c>
      <c r="L213" s="117">
        <f>SUM(K211:K213)</f>
        <v>6630</v>
      </c>
      <c r="M213" s="54"/>
    </row>
    <row r="214" s="43" customFormat="1" spans="1:19">
      <c r="A214" s="61">
        <v>46043</v>
      </c>
      <c r="B214" s="62">
        <v>59</v>
      </c>
      <c r="C214" s="81" t="s">
        <v>101</v>
      </c>
      <c r="D214" s="81"/>
      <c r="E214" s="81"/>
      <c r="F214" s="53" t="s">
        <v>102</v>
      </c>
      <c r="G214" s="65">
        <v>1</v>
      </c>
      <c r="H214" s="66">
        <v>13</v>
      </c>
      <c r="I214" s="66">
        <f t="shared" si="16"/>
        <v>13</v>
      </c>
      <c r="J214" s="67"/>
      <c r="K214" s="67"/>
      <c r="L214" s="121"/>
      <c r="M214" s="44" t="s">
        <v>103</v>
      </c>
      <c r="N214" s="54"/>
    </row>
    <row r="215" s="41" customFormat="1" spans="1:19">
      <c r="A215" s="61">
        <v>46043</v>
      </c>
      <c r="B215" s="62">
        <v>59</v>
      </c>
      <c r="C215" s="81" t="s">
        <v>84</v>
      </c>
      <c r="D215" s="81"/>
      <c r="E215" s="81"/>
      <c r="F215" s="53" t="s">
        <v>85</v>
      </c>
      <c r="G215" s="65">
        <v>1</v>
      </c>
      <c r="H215" s="66">
        <v>10.5</v>
      </c>
      <c r="I215" s="66">
        <f t="shared" si="16"/>
        <v>10.5</v>
      </c>
      <c r="J215" s="67"/>
      <c r="K215" s="67"/>
      <c r="L215" s="121"/>
      <c r="M215" s="102" t="s">
        <v>104</v>
      </c>
      <c r="N215" s="43"/>
      <c r="O215" s="43"/>
      <c r="P215" s="43"/>
      <c r="Q215" s="43"/>
      <c r="R215" s="43"/>
      <c r="S215" s="43"/>
    </row>
    <row r="216" s="41" customFormat="1" spans="1:19">
      <c r="A216" s="61"/>
      <c r="B216" s="62"/>
      <c r="C216" s="91"/>
      <c r="D216" s="66"/>
      <c r="E216" s="66"/>
      <c r="F216" s="64"/>
      <c r="G216" s="65">
        <f>SUM(G201:G215)</f>
        <v>35</v>
      </c>
      <c r="H216" s="66"/>
      <c r="I216" s="66"/>
      <c r="J216" s="67"/>
      <c r="K216" s="67"/>
      <c r="L216" s="68"/>
      <c r="M216" s="66"/>
    </row>
    <row r="217" s="41" customFormat="1" spans="1:19">
      <c r="A217" s="61"/>
      <c r="B217" s="62"/>
      <c r="C217" s="91"/>
      <c r="D217" s="66"/>
      <c r="E217" s="66"/>
      <c r="F217" s="64"/>
      <c r="G217" s="65"/>
      <c r="H217" s="66"/>
      <c r="I217" s="66"/>
      <c r="J217" s="67"/>
      <c r="K217" s="67"/>
      <c r="L217" s="68"/>
      <c r="M217" s="66"/>
    </row>
    <row r="218" s="41" customFormat="1" spans="1:19">
      <c r="A218" s="61"/>
      <c r="B218" s="62"/>
      <c r="C218" s="91"/>
      <c r="D218" s="66"/>
      <c r="E218" s="66"/>
      <c r="F218" s="64"/>
      <c r="G218" s="65"/>
      <c r="H218" s="66"/>
      <c r="I218" s="66"/>
      <c r="J218" s="67"/>
      <c r="K218" s="67"/>
      <c r="L218" s="68"/>
      <c r="M218" s="66"/>
    </row>
    <row r="219" s="41" customFormat="1" spans="1:19">
      <c r="A219" s="61"/>
      <c r="B219" s="62"/>
      <c r="C219" s="91"/>
      <c r="D219" s="66"/>
      <c r="E219" s="66"/>
      <c r="F219" s="64"/>
      <c r="G219" s="65"/>
      <c r="H219" s="66"/>
      <c r="I219" s="66"/>
      <c r="J219" s="67"/>
      <c r="K219" s="67"/>
      <c r="L219" s="68"/>
      <c r="M219" s="66"/>
    </row>
    <row r="220" s="41" customFormat="1" spans="1:19">
      <c r="A220" s="61"/>
      <c r="B220" s="62"/>
      <c r="C220" s="91"/>
      <c r="D220" s="66"/>
      <c r="E220" s="66"/>
      <c r="F220" s="64"/>
      <c r="G220" s="65"/>
      <c r="H220" s="66"/>
      <c r="I220" s="66"/>
      <c r="J220" s="67"/>
      <c r="K220" s="67"/>
      <c r="L220" s="68"/>
      <c r="M220" s="66"/>
    </row>
    <row r="221" s="41" customFormat="1" spans="1:19">
      <c r="A221" s="61"/>
      <c r="B221" s="62"/>
      <c r="C221" s="91"/>
      <c r="D221" s="66"/>
      <c r="E221" s="66"/>
      <c r="F221" s="64"/>
      <c r="G221" s="65"/>
      <c r="H221" s="66"/>
      <c r="I221" s="66"/>
      <c r="J221" s="67"/>
      <c r="K221" s="67"/>
      <c r="L221" s="68"/>
      <c r="M221" s="66"/>
    </row>
    <row r="222" s="41" customFormat="1" spans="1:19">
      <c r="A222" s="61"/>
      <c r="B222" s="62"/>
      <c r="C222" s="91"/>
      <c r="D222" s="66"/>
      <c r="E222" s="66"/>
      <c r="F222" s="64"/>
      <c r="G222" s="65"/>
      <c r="H222" s="66"/>
      <c r="I222" s="66"/>
      <c r="J222" s="67"/>
      <c r="K222" s="67"/>
      <c r="L222" s="68"/>
      <c r="M222" s="66"/>
    </row>
    <row r="223" s="41" customFormat="1" spans="1:19">
      <c r="A223" s="61"/>
      <c r="B223" s="62"/>
      <c r="C223" s="91"/>
      <c r="D223" s="66"/>
      <c r="E223" s="66"/>
      <c r="F223" s="64"/>
      <c r="G223" s="65"/>
      <c r="H223" s="66"/>
      <c r="I223" s="66"/>
      <c r="J223" s="67"/>
      <c r="K223" s="67"/>
      <c r="L223" s="116"/>
      <c r="M223" s="66"/>
    </row>
    <row r="224" s="41" customFormat="1" spans="1:19">
      <c r="A224" s="61">
        <v>46042</v>
      </c>
      <c r="B224" s="62"/>
      <c r="C224" s="66">
        <v>10545</v>
      </c>
      <c r="D224" s="66"/>
      <c r="E224" s="66"/>
      <c r="F224" s="68" t="s">
        <v>18</v>
      </c>
      <c r="G224" s="65">
        <v>1</v>
      </c>
      <c r="H224" s="66">
        <v>20</v>
      </c>
      <c r="I224" s="66">
        <f>G224*H224</f>
        <v>20</v>
      </c>
      <c r="J224" s="67">
        <v>23</v>
      </c>
      <c r="K224" s="67">
        <f>I224*J224</f>
        <v>460</v>
      </c>
      <c r="L224" s="122" t="s">
        <v>105</v>
      </c>
      <c r="M224" s="66"/>
    </row>
    <row r="225" s="41" customFormat="1" spans="1:13">
      <c r="A225" s="61"/>
      <c r="B225" s="62"/>
      <c r="C225" s="66"/>
      <c r="D225" s="66"/>
      <c r="E225" s="66"/>
      <c r="F225" s="68"/>
      <c r="G225" s="65"/>
      <c r="H225" s="66"/>
      <c r="I225" s="66"/>
      <c r="J225" s="67"/>
      <c r="K225" s="67"/>
      <c r="L225" s="122"/>
      <c r="M225" s="66"/>
    </row>
  </sheetData>
  <autoFilter xmlns:etc="http://www.wps.cn/officeDocument/2017/etCustomData" ref="A2:M225" etc:filterBottomFollowUsedRange="0">
    <extLst/>
  </autoFilter>
  <mergeCells count="225">
    <mergeCell ref="C1:E1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4:E224"/>
    <mergeCell ref="C225:E225"/>
    <mergeCell ref="L196:L200"/>
    <mergeCell ref="L201:L215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6"/>
  <sheetViews>
    <sheetView tabSelected="1" workbookViewId="0">
      <selection activeCell="N13" sqref="N13"/>
    </sheetView>
  </sheetViews>
  <sheetFormatPr defaultColWidth="9" defaultRowHeight="14.25"/>
  <cols>
    <col min="1" max="1" width="3.50833333333333" customWidth="1"/>
    <col min="2" max="2" width="2.25833333333333" customWidth="1"/>
    <col min="3" max="3" width="13.375" customWidth="1"/>
    <col min="4" max="4" width="27.875" customWidth="1"/>
    <col min="5" max="5" width="11.7583333333333" customWidth="1"/>
    <col min="6" max="6" width="12.0083333333333" customWidth="1"/>
    <col min="7" max="7" width="12.875" customWidth="1"/>
    <col min="8" max="8" width="11.625" customWidth="1"/>
    <col min="9" max="9" width="18.5083333333333" customWidth="1"/>
    <col min="10" max="10" width="13.75" customWidth="1"/>
    <col min="13" max="13" width="11.375"/>
  </cols>
  <sheetData>
    <row r="1" s="5" customFormat="1" ht="34" customHeight="1" spans="1:13">
      <c r="A1" s="8" t="s">
        <v>106</v>
      </c>
      <c r="B1" s="8"/>
      <c r="C1" s="8"/>
      <c r="D1" s="8"/>
      <c r="E1" s="8"/>
      <c r="F1" s="8"/>
      <c r="G1" s="8"/>
      <c r="H1" s="8"/>
      <c r="I1" s="8"/>
      <c r="J1" s="8"/>
    </row>
    <row r="2" s="6" customFormat="1" ht="34" customHeight="1" spans="1:13">
      <c r="A2" s="9" t="s">
        <v>107</v>
      </c>
      <c r="B2" s="9"/>
      <c r="C2" s="9"/>
      <c r="D2" s="9"/>
      <c r="E2" s="9"/>
      <c r="F2" s="9"/>
      <c r="G2" s="9"/>
      <c r="H2" s="9"/>
      <c r="I2" s="9"/>
      <c r="J2" s="9"/>
      <c r="M2" s="5"/>
    </row>
    <row r="3" s="7" customFormat="1" ht="26" customHeight="1" spans="1:13">
      <c r="A3" s="10" t="s">
        <v>108</v>
      </c>
      <c r="B3" s="10"/>
      <c r="C3" s="10"/>
      <c r="D3" s="11" t="s">
        <v>109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110</v>
      </c>
      <c r="M3" s="5"/>
    </row>
    <row r="4" s="7" customFormat="1" ht="24" customHeight="1" spans="1:13">
      <c r="A4" s="12">
        <v>2269</v>
      </c>
      <c r="B4" s="12"/>
      <c r="C4" s="12"/>
      <c r="D4" s="13" t="s">
        <v>29</v>
      </c>
      <c r="E4" s="14">
        <v>5</v>
      </c>
      <c r="F4" s="12">
        <v>25</v>
      </c>
      <c r="G4" s="12">
        <f>E4*F4</f>
        <v>125</v>
      </c>
      <c r="H4" s="15">
        <v>17</v>
      </c>
      <c r="I4" s="15">
        <f>G4*H4</f>
        <v>2125</v>
      </c>
      <c r="J4" s="16" t="s">
        <v>111</v>
      </c>
      <c r="M4" s="5"/>
    </row>
    <row r="5" s="7" customFormat="1" ht="24" customHeight="1" spans="1:13">
      <c r="A5" s="12">
        <v>2270</v>
      </c>
      <c r="B5" s="12"/>
      <c r="C5" s="12"/>
      <c r="D5" s="13" t="s">
        <v>30</v>
      </c>
      <c r="E5" s="14">
        <v>1</v>
      </c>
      <c r="F5" s="12">
        <v>26</v>
      </c>
      <c r="G5" s="12">
        <f t="shared" ref="G5:G18" si="0">E5*F5</f>
        <v>26</v>
      </c>
      <c r="H5" s="15">
        <v>17</v>
      </c>
      <c r="I5" s="15">
        <f t="shared" ref="I5:I18" si="1">G5*H5</f>
        <v>442</v>
      </c>
      <c r="J5" s="17"/>
      <c r="M5" s="5"/>
    </row>
    <row r="6" s="7" customFormat="1" ht="24" customHeight="1" spans="1:13">
      <c r="A6" s="12">
        <v>2271</v>
      </c>
      <c r="B6" s="12"/>
      <c r="C6" s="12"/>
      <c r="D6" s="13" t="s">
        <v>28</v>
      </c>
      <c r="E6" s="14">
        <v>2</v>
      </c>
      <c r="F6" s="12">
        <v>24</v>
      </c>
      <c r="G6" s="12">
        <f t="shared" si="0"/>
        <v>48</v>
      </c>
      <c r="H6" s="15">
        <v>17</v>
      </c>
      <c r="I6" s="15">
        <f t="shared" si="1"/>
        <v>816</v>
      </c>
      <c r="J6" s="17"/>
    </row>
    <row r="7" s="7" customFormat="1" ht="24" customHeight="1" spans="1:13">
      <c r="A7" s="125" t="s">
        <v>37</v>
      </c>
      <c r="B7" s="12"/>
      <c r="C7" s="12"/>
      <c r="D7" s="13" t="s">
        <v>38</v>
      </c>
      <c r="E7" s="14">
        <v>2</v>
      </c>
      <c r="F7" s="12">
        <v>25</v>
      </c>
      <c r="G7" s="12">
        <f t="shared" si="0"/>
        <v>50</v>
      </c>
      <c r="H7" s="15">
        <v>17</v>
      </c>
      <c r="I7" s="15">
        <f t="shared" si="1"/>
        <v>850</v>
      </c>
      <c r="J7" s="17"/>
    </row>
    <row r="8" s="7" customFormat="1" ht="24" customHeight="1" spans="1:13">
      <c r="A8" s="12" t="s">
        <v>16</v>
      </c>
      <c r="B8" s="12"/>
      <c r="C8" s="12"/>
      <c r="D8" s="13" t="s">
        <v>17</v>
      </c>
      <c r="E8" s="14">
        <v>1</v>
      </c>
      <c r="F8" s="12">
        <v>25</v>
      </c>
      <c r="G8" s="12">
        <f t="shared" si="0"/>
        <v>25</v>
      </c>
      <c r="H8" s="15">
        <v>17</v>
      </c>
      <c r="I8" s="15">
        <f t="shared" si="1"/>
        <v>425</v>
      </c>
      <c r="J8" s="17"/>
    </row>
    <row r="9" s="7" customFormat="1" ht="24" customHeight="1" spans="1:13">
      <c r="A9" s="12" t="s">
        <v>16</v>
      </c>
      <c r="B9" s="12"/>
      <c r="C9" s="12"/>
      <c r="D9" s="13" t="s">
        <v>17</v>
      </c>
      <c r="E9" s="14">
        <v>1</v>
      </c>
      <c r="F9" s="12">
        <v>24</v>
      </c>
      <c r="G9" s="12">
        <f t="shared" si="0"/>
        <v>24</v>
      </c>
      <c r="H9" s="15">
        <v>17</v>
      </c>
      <c r="I9" s="15">
        <f t="shared" si="1"/>
        <v>408</v>
      </c>
      <c r="J9" s="17"/>
    </row>
    <row r="10" s="7" customFormat="1" ht="24" customHeight="1" spans="1:13">
      <c r="A10" s="125" t="s">
        <v>39</v>
      </c>
      <c r="B10" s="12"/>
      <c r="C10" s="12"/>
      <c r="D10" s="18" t="s">
        <v>40</v>
      </c>
      <c r="E10" s="14">
        <v>1</v>
      </c>
      <c r="F10" s="12">
        <v>15</v>
      </c>
      <c r="G10" s="12">
        <f t="shared" si="0"/>
        <v>15</v>
      </c>
      <c r="H10" s="15">
        <v>23</v>
      </c>
      <c r="I10" s="15">
        <f t="shared" si="1"/>
        <v>345</v>
      </c>
      <c r="J10" s="17"/>
    </row>
    <row r="11" s="7" customFormat="1" ht="24" customHeight="1" spans="1:13">
      <c r="A11" s="125" t="s">
        <v>99</v>
      </c>
      <c r="B11" s="12"/>
      <c r="C11" s="12"/>
      <c r="D11" s="18" t="s">
        <v>83</v>
      </c>
      <c r="E11" s="14">
        <v>1</v>
      </c>
      <c r="F11" s="12">
        <v>10</v>
      </c>
      <c r="G11" s="12">
        <f t="shared" si="0"/>
        <v>10</v>
      </c>
      <c r="H11" s="15">
        <v>23</v>
      </c>
      <c r="I11" s="15">
        <f t="shared" si="1"/>
        <v>230</v>
      </c>
      <c r="J11" s="17"/>
    </row>
    <row r="12" s="7" customFormat="1" ht="24" customHeight="1" spans="1:13">
      <c r="A12" s="12" t="s">
        <v>41</v>
      </c>
      <c r="B12" s="12"/>
      <c r="C12" s="12"/>
      <c r="D12" s="18" t="s">
        <v>42</v>
      </c>
      <c r="E12" s="14">
        <v>1</v>
      </c>
      <c r="F12" s="12">
        <v>18</v>
      </c>
      <c r="G12" s="12">
        <f t="shared" si="0"/>
        <v>18</v>
      </c>
      <c r="H12" s="15">
        <v>9.5</v>
      </c>
      <c r="I12" s="15">
        <f t="shared" si="1"/>
        <v>171</v>
      </c>
      <c r="J12" s="17"/>
    </row>
    <row r="13" s="7" customFormat="1" ht="24" customHeight="1" spans="1:13">
      <c r="A13" s="12">
        <v>10545</v>
      </c>
      <c r="B13" s="12"/>
      <c r="C13" s="12"/>
      <c r="D13" s="18" t="s">
        <v>18</v>
      </c>
      <c r="E13" s="14">
        <v>2</v>
      </c>
      <c r="F13" s="12">
        <v>20</v>
      </c>
      <c r="G13" s="12">
        <f t="shared" si="0"/>
        <v>40</v>
      </c>
      <c r="H13" s="15">
        <v>23</v>
      </c>
      <c r="I13" s="15">
        <f t="shared" si="1"/>
        <v>920</v>
      </c>
      <c r="J13" s="17"/>
    </row>
    <row r="14" s="7" customFormat="1" ht="24" customHeight="1" spans="1:13">
      <c r="A14" s="19"/>
      <c r="B14" s="12"/>
      <c r="C14" s="12"/>
      <c r="D14" s="20" t="s">
        <v>112</v>
      </c>
      <c r="E14" s="14">
        <v>1</v>
      </c>
      <c r="F14" s="12">
        <v>180</v>
      </c>
      <c r="G14" s="12">
        <f t="shared" si="0"/>
        <v>180</v>
      </c>
      <c r="H14" s="15">
        <v>8.5</v>
      </c>
      <c r="I14" s="15">
        <f t="shared" si="1"/>
        <v>1530</v>
      </c>
      <c r="J14" s="17"/>
    </row>
    <row r="15" s="7" customFormat="1" ht="24" customHeight="1" spans="1:13">
      <c r="A15" s="12" t="s">
        <v>14</v>
      </c>
      <c r="B15" s="12"/>
      <c r="C15" s="12"/>
      <c r="D15" s="18" t="s">
        <v>15</v>
      </c>
      <c r="E15" s="14">
        <v>12</v>
      </c>
      <c r="F15" s="12">
        <v>20</v>
      </c>
      <c r="G15" s="12">
        <f t="shared" si="0"/>
        <v>240</v>
      </c>
      <c r="H15" s="15">
        <v>17</v>
      </c>
      <c r="I15" s="15">
        <f t="shared" si="1"/>
        <v>4080</v>
      </c>
      <c r="J15" s="17"/>
    </row>
    <row r="16" s="7" customFormat="1" ht="24" customHeight="1" spans="1:13">
      <c r="A16" s="12" t="s">
        <v>20</v>
      </c>
      <c r="B16" s="12"/>
      <c r="C16" s="12"/>
      <c r="D16" s="18" t="s">
        <v>21</v>
      </c>
      <c r="E16" s="14">
        <v>3</v>
      </c>
      <c r="F16" s="12">
        <v>20</v>
      </c>
      <c r="G16" s="12">
        <f t="shared" si="0"/>
        <v>60</v>
      </c>
      <c r="H16" s="15">
        <v>17</v>
      </c>
      <c r="I16" s="15">
        <f t="shared" si="1"/>
        <v>1020</v>
      </c>
      <c r="J16" s="21"/>
    </row>
    <row r="17" s="7" customFormat="1" ht="24" customHeight="1" spans="1:10">
      <c r="A17" s="22" t="s">
        <v>101</v>
      </c>
      <c r="B17" s="22"/>
      <c r="C17" s="22"/>
      <c r="D17" s="23" t="s">
        <v>102</v>
      </c>
      <c r="E17" s="14">
        <v>1</v>
      </c>
      <c r="F17" s="12">
        <v>13</v>
      </c>
      <c r="G17" s="12">
        <f t="shared" si="0"/>
        <v>13</v>
      </c>
      <c r="H17" s="15">
        <v>17</v>
      </c>
      <c r="I17" s="15"/>
      <c r="J17" s="24"/>
    </row>
    <row r="18" s="7" customFormat="1" ht="24" customHeight="1" spans="1:10">
      <c r="A18" s="22" t="s">
        <v>84</v>
      </c>
      <c r="B18" s="22"/>
      <c r="C18" s="22"/>
      <c r="D18" s="23" t="s">
        <v>85</v>
      </c>
      <c r="E18" s="14">
        <v>1</v>
      </c>
      <c r="F18" s="12">
        <v>10.5</v>
      </c>
      <c r="G18" s="12">
        <f t="shared" si="0"/>
        <v>10.5</v>
      </c>
      <c r="H18" s="15">
        <v>23</v>
      </c>
      <c r="I18" s="15"/>
      <c r="J18" s="24"/>
    </row>
    <row r="19" s="7" customFormat="1" ht="24" customHeight="1" spans="1:10">
      <c r="A19" s="12"/>
      <c r="B19" s="12"/>
      <c r="C19" s="12"/>
      <c r="D19" s="18"/>
      <c r="E19" s="14">
        <f>SUM(E4:E18)</f>
        <v>35</v>
      </c>
      <c r="F19" s="12"/>
      <c r="G19" s="12"/>
      <c r="H19" s="25"/>
      <c r="I19" s="15"/>
      <c r="J19" s="26"/>
    </row>
    <row r="20" s="7" customFormat="1" ht="24" customHeight="1" spans="1:10">
      <c r="A20" s="27" t="s">
        <v>113</v>
      </c>
      <c r="B20" s="27"/>
      <c r="C20" s="27"/>
      <c r="D20" s="28">
        <f>I20</f>
        <v>13362</v>
      </c>
      <c r="E20" s="28"/>
      <c r="F20" s="28"/>
      <c r="G20" s="28"/>
      <c r="H20" s="28"/>
      <c r="I20" s="29">
        <f>SUM(I4:I18)</f>
        <v>13362</v>
      </c>
      <c r="J20" s="30"/>
    </row>
    <row r="21" ht="20" customHeight="1" spans="1:10">
      <c r="A21" s="31" t="s">
        <v>114</v>
      </c>
      <c r="B21" s="32" t="s">
        <v>115</v>
      </c>
      <c r="C21" s="32"/>
      <c r="D21" s="32"/>
      <c r="E21" s="32"/>
      <c r="F21" s="32"/>
      <c r="G21" s="32"/>
      <c r="H21" s="32"/>
      <c r="I21" s="32"/>
      <c r="J21" s="33"/>
    </row>
    <row r="22" ht="20" customHeight="1" spans="1:10">
      <c r="A22" s="34"/>
      <c r="B22" s="35" t="s">
        <v>116</v>
      </c>
      <c r="C22" s="35"/>
      <c r="D22" s="35"/>
      <c r="E22" s="35"/>
      <c r="F22" s="35"/>
      <c r="G22" s="35"/>
      <c r="H22" s="35"/>
      <c r="I22" s="35"/>
      <c r="J22" s="33"/>
    </row>
    <row r="23" ht="20" customHeight="1" spans="1:10">
      <c r="A23" s="34"/>
      <c r="B23" s="35"/>
      <c r="C23" s="35" t="s">
        <v>117</v>
      </c>
      <c r="D23" s="35"/>
      <c r="E23" s="35"/>
      <c r="F23" s="35"/>
      <c r="G23" s="35"/>
      <c r="H23" s="35"/>
      <c r="I23" s="35"/>
      <c r="J23" s="33"/>
    </row>
    <row r="24" ht="20" customHeight="1" spans="1:10">
      <c r="A24" s="36"/>
      <c r="B24" s="37" t="s">
        <v>118</v>
      </c>
      <c r="C24" s="37"/>
      <c r="D24" s="37"/>
      <c r="E24" s="37"/>
      <c r="F24" s="37"/>
      <c r="G24" s="37"/>
      <c r="H24" s="37"/>
      <c r="I24" s="37"/>
      <c r="J24" s="38"/>
    </row>
    <row r="25" ht="20" customHeight="1" spans="1:10">
      <c r="A25" s="39" t="s">
        <v>119</v>
      </c>
      <c r="B25" s="39"/>
      <c r="C25" s="39"/>
      <c r="D25" s="39"/>
      <c r="E25" s="39"/>
      <c r="F25" s="39"/>
      <c r="G25" s="39"/>
      <c r="H25" s="39"/>
      <c r="I25" s="39"/>
      <c r="J25" s="39"/>
    </row>
    <row r="26" ht="20" customHeight="1" spans="1:10">
      <c r="A26" s="39" t="s">
        <v>120</v>
      </c>
      <c r="B26" s="39"/>
      <c r="C26" s="39"/>
      <c r="D26" s="39"/>
      <c r="E26" s="39"/>
      <c r="F26" s="39"/>
      <c r="G26" s="39"/>
      <c r="H26" s="39"/>
      <c r="I26" s="39"/>
      <c r="J26" s="39"/>
    </row>
  </sheetData>
  <mergeCells count="30">
    <mergeCell ref="A1:J1"/>
    <mergeCell ref="A2:J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D20:H20"/>
    <mergeCell ref="B21:J21"/>
    <mergeCell ref="B22:J22"/>
    <mergeCell ref="C23:J23"/>
    <mergeCell ref="B24:J24"/>
    <mergeCell ref="A25:J25"/>
    <mergeCell ref="A26:J26"/>
    <mergeCell ref="A21:A24"/>
    <mergeCell ref="J4:J16"/>
    <mergeCell ref="J17:J18"/>
  </mergeCells>
  <printOptions horizontalCentered="1"/>
  <pageMargins left="0.393055555555556" right="0.196527777777778" top="0.196527777777778" bottom="0.590277777777778" header="0.393055555555556" footer="0.393055555555556"/>
  <pageSetup paperSize="9" scale="71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K29" sqref="K29"/>
    </sheetView>
  </sheetViews>
  <sheetFormatPr defaultColWidth="9" defaultRowHeight="14.25" outlineLevelCol="4"/>
  <cols>
    <col min="2" max="2" width="16.875" customWidth="1"/>
  </cols>
  <sheetData>
    <row r="1" spans="1:5">
      <c r="A1" s="1"/>
      <c r="B1" s="2"/>
      <c r="C1" s="2"/>
      <c r="D1" s="2"/>
      <c r="E1" s="3"/>
    </row>
    <row r="2" spans="1:5">
      <c r="A2" s="4" t="s">
        <v>121</v>
      </c>
      <c r="B2" s="4" t="s">
        <v>122</v>
      </c>
      <c r="C2" s="4" t="s">
        <v>123</v>
      </c>
      <c r="D2" s="4" t="s">
        <v>124</v>
      </c>
      <c r="E2" s="4" t="s">
        <v>9</v>
      </c>
    </row>
    <row r="3" spans="1:5">
      <c r="A3" s="4">
        <v>9804</v>
      </c>
      <c r="B3" s="4" t="s">
        <v>125</v>
      </c>
      <c r="C3" s="4">
        <v>28</v>
      </c>
      <c r="D3" s="4">
        <v>9</v>
      </c>
      <c r="E3" s="4"/>
    </row>
    <row r="4" spans="1:5">
      <c r="A4" s="4" t="s">
        <v>12</v>
      </c>
      <c r="B4" s="4" t="s">
        <v>13</v>
      </c>
      <c r="C4" s="4">
        <v>25</v>
      </c>
      <c r="D4" s="4">
        <v>11</v>
      </c>
      <c r="E4" s="4"/>
    </row>
    <row r="5" spans="1:5">
      <c r="A5" s="4"/>
      <c r="B5" s="4" t="s">
        <v>126</v>
      </c>
      <c r="C5" s="4">
        <v>25</v>
      </c>
      <c r="D5" s="4">
        <v>17</v>
      </c>
      <c r="E5" s="4"/>
    </row>
    <row r="6" spans="1:5">
      <c r="A6" s="4"/>
      <c r="B6" s="4" t="s">
        <v>127</v>
      </c>
      <c r="C6" s="4">
        <v>20</v>
      </c>
      <c r="D6" s="4">
        <v>17</v>
      </c>
      <c r="E6" s="4"/>
    </row>
    <row r="7" spans="1:5">
      <c r="A7" s="4"/>
      <c r="B7" s="4" t="s">
        <v>128</v>
      </c>
      <c r="C7" s="4">
        <v>20</v>
      </c>
      <c r="D7" s="4">
        <v>20</v>
      </c>
      <c r="E7" s="4"/>
    </row>
    <row r="8" spans="1:5">
      <c r="A8" s="4"/>
      <c r="B8" s="4" t="s">
        <v>129</v>
      </c>
      <c r="C8" s="4">
        <v>20</v>
      </c>
      <c r="D8" s="4">
        <v>23</v>
      </c>
      <c r="E8" s="4"/>
    </row>
    <row r="9" spans="1:5">
      <c r="A9" s="4"/>
      <c r="B9" s="4"/>
      <c r="C9" s="4"/>
      <c r="D9" s="4"/>
      <c r="E9" s="4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出货</vt:lpstr>
      <vt:lpstr>迎扬电视墙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2022-07-18T03:23:00Z</cp:lastPrinted>
  <dcterms:modified xsi:type="dcterms:W3CDTF">2026-01-22T01:06:56Z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EA715C62F0D04256AE1D18ADE692D8B5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