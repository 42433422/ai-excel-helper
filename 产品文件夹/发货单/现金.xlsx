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现金" sheetId="1" r:id="rId1"/>
    <sheet name="24出货" sheetId="7" state="hidden" r:id="rId2"/>
    <sheet name="出货" sheetId="8" r:id="rId3"/>
    <sheet name="陈洪强" sheetId="9" r:id="rId4"/>
    <sheet name="陈洪强回款明细" sheetId="10" r:id="rId5"/>
  </sheets>
  <definedNames>
    <definedName name="_xlnm._FilterDatabase" localSheetId="1" hidden="1">'24出货'!$2:$97</definedName>
    <definedName name="_xlnm._FilterDatabase" localSheetId="2" hidden="1">出货!$A$2:$O$95</definedName>
    <definedName name="_xlnm.Print_Area" localSheetId="0">现金!$A$1:$J$14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<sst xmlns="http://schemas.openxmlformats.org/spreadsheetml/2006/main" count="704" uniqueCount="235">
  <si>
    <t>成都国圣工业有限公司（五星花）送货单</t>
  </si>
  <si>
    <t>购货单位（乙）：陈洪强     联系人：陈总          2026年01月20日     订单编号：26-0100055A</t>
  </si>
  <si>
    <t>顺达化工</t>
  </si>
  <si>
    <t>杨姐</t>
  </si>
  <si>
    <t xml:space="preserve"> 产 品 型 号</t>
  </si>
  <si>
    <t xml:space="preserve"> 产 品 名 称</t>
  </si>
  <si>
    <t>数量/件</t>
  </si>
  <si>
    <t>规格/KG</t>
  </si>
  <si>
    <t>数量/KG</t>
  </si>
  <si>
    <t>单价/元</t>
  </si>
  <si>
    <t>金额/元</t>
  </si>
  <si>
    <t>备  注</t>
  </si>
  <si>
    <t>购5L圆罐</t>
  </si>
  <si>
    <t>合计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</si>
  <si>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</si>
  <si>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</si>
  <si>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</si>
  <si>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</si>
  <si>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 xml:space="preserve"> 法律效力，必须按期付清货款（月结三十天），如有争议和纠纷，由甲方所在地方人民法院受理起诉。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</si>
  <si>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</si>
  <si>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</si>
  <si>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</si>
  <si>
    <t>购货单位（乙）:陈洪强      联系人：陈总            2025年08月31日        订单编号：25080090A</t>
  </si>
  <si>
    <t>PE特底漆</t>
  </si>
  <si>
    <t>不含蓝白水、包装</t>
  </si>
  <si>
    <t>未付尾款</t>
  </si>
  <si>
    <t>出货</t>
  </si>
  <si>
    <t>金额总计</t>
  </si>
  <si>
    <t>厂名</t>
  </si>
  <si>
    <t>日期</t>
  </si>
  <si>
    <t>单号</t>
  </si>
  <si>
    <t>产品型号</t>
  </si>
  <si>
    <t>产品名称</t>
  </si>
  <si>
    <t>备注</t>
  </si>
  <si>
    <t>金额合计</t>
  </si>
  <si>
    <t>24出货</t>
  </si>
  <si>
    <t>陈鑫强</t>
  </si>
  <si>
    <t>滑石粉</t>
  </si>
  <si>
    <t>杰妮熊</t>
  </si>
  <si>
    <t>PU亮光大红色漆</t>
  </si>
  <si>
    <t>元：用3706A:1KG+1KG耐晒红色浆</t>
  </si>
  <si>
    <t>外加工</t>
  </si>
  <si>
    <t>PU哑光深灰色漆</t>
  </si>
  <si>
    <t>元：干板样现金</t>
  </si>
  <si>
    <t>另加包装费</t>
  </si>
  <si>
    <t>元现金</t>
  </si>
  <si>
    <t>24057*</t>
  </si>
  <si>
    <t>PU亮光浅黄色漆</t>
  </si>
  <si>
    <t>样油现金</t>
  </si>
  <si>
    <t>PU哑光浅灰色漆</t>
  </si>
  <si>
    <t>净味基料调的干板现金：样品未编号</t>
  </si>
  <si>
    <t>现金</t>
  </si>
  <si>
    <t>708-2</t>
  </si>
  <si>
    <t>PU哑光咖啡银珠漆</t>
  </si>
  <si>
    <t>708-1</t>
  </si>
  <si>
    <t>PU哑光灰蓝银珠漆</t>
  </si>
  <si>
    <t>（用3706A+1017银粉+色浆）+哑光固化剂喷</t>
  </si>
  <si>
    <t>PU面漆稀释剂（黑面专用）</t>
  </si>
  <si>
    <t>718*</t>
  </si>
  <si>
    <t>PU五分光红棕修色油</t>
  </si>
  <si>
    <t>杨眼镜</t>
  </si>
  <si>
    <t>NC</t>
  </si>
  <si>
    <t>NC清面漆</t>
  </si>
  <si>
    <t>未付款</t>
  </si>
  <si>
    <t>JNX6827B</t>
  </si>
  <si>
    <t>PE封固底漆</t>
  </si>
  <si>
    <t>JNX6821</t>
  </si>
  <si>
    <t>PE白底漆</t>
  </si>
  <si>
    <t>元AA</t>
  </si>
  <si>
    <t>黑色浆</t>
  </si>
  <si>
    <t>JNX793</t>
  </si>
  <si>
    <t>PU亮光白面漆</t>
  </si>
  <si>
    <t>元：GAA纯白面加3KG白浆）</t>
  </si>
  <si>
    <t>PU亮光黑面漆</t>
  </si>
  <si>
    <t>元3706:15kg+5KG国圣色浆</t>
  </si>
  <si>
    <t>JNX525</t>
  </si>
  <si>
    <t>PU亮光固化剂</t>
  </si>
  <si>
    <t>元525</t>
  </si>
  <si>
    <t>PU亮光黑面专用固化剂</t>
  </si>
  <si>
    <t>元 (525:18KG,2KGL-75)</t>
  </si>
  <si>
    <t>哑光固化剂</t>
  </si>
  <si>
    <t>温总货24/9已付</t>
  </si>
  <si>
    <t>酞青蓝色浆小样</t>
  </si>
  <si>
    <t>刘英</t>
  </si>
  <si>
    <t>玻璃漆调色的加工费</t>
  </si>
  <si>
    <t>元3706:16.5kg+3.5KG国圣色浆</t>
  </si>
  <si>
    <t>元9805</t>
  </si>
  <si>
    <r>
      <rPr>
        <sz val="16"/>
        <color rgb="FF00B0F0"/>
        <rFont val="宋体"/>
        <charset val="134"/>
      </rPr>
      <t>减退货</t>
    </r>
    <r>
      <rPr>
        <sz val="12"/>
        <color rgb="FF00B0F0"/>
        <rFont val="宋体"/>
        <charset val="134"/>
      </rPr>
      <t>（以前亮黑面：无光）</t>
    </r>
  </si>
  <si>
    <t>购20L白大口</t>
  </si>
  <si>
    <t>蕊芯客户</t>
  </si>
  <si>
    <t>24-4-8*</t>
  </si>
  <si>
    <t>PU哑光浅灰银珠漆</t>
  </si>
  <si>
    <t>常用：</t>
  </si>
  <si>
    <t>RX901F</t>
  </si>
  <si>
    <t>PU净味面漆稀释剂</t>
  </si>
  <si>
    <t>PU净味哑光固化剂</t>
  </si>
  <si>
    <t>LF</t>
  </si>
  <si>
    <t>RX3712</t>
  </si>
  <si>
    <t>PU白底漆</t>
  </si>
  <si>
    <t>元:</t>
  </si>
  <si>
    <t>303货24/10付</t>
  </si>
  <si>
    <t>购20L白小口</t>
  </si>
  <si>
    <r>
      <rPr>
        <sz val="16"/>
        <color rgb="FF00B0F0"/>
        <rFont val="宋体"/>
        <charset val="134"/>
      </rPr>
      <t>购75</t>
    </r>
    <r>
      <rPr>
        <i/>
        <sz val="16"/>
        <color rgb="FF00B0F0"/>
        <rFont val="宋体"/>
        <charset val="134"/>
      </rPr>
      <t>#</t>
    </r>
  </si>
  <si>
    <t>购6827A</t>
  </si>
  <si>
    <t>PE底漆稀料</t>
  </si>
  <si>
    <t>另加包装费：4L</t>
  </si>
  <si>
    <t>JNX303</t>
  </si>
  <si>
    <t>PU哑光固化剂</t>
  </si>
  <si>
    <t>购铁黄浆</t>
  </si>
  <si>
    <t>哑光固化剂10KG</t>
  </si>
  <si>
    <t>钛白粉</t>
  </si>
  <si>
    <t>普三胺板修边漆</t>
  </si>
  <si>
    <t>元 无样板</t>
  </si>
  <si>
    <t>元9805现金</t>
  </si>
  <si>
    <t>对面邻居：</t>
  </si>
  <si>
    <t>9000FA</t>
  </si>
  <si>
    <t>PU面漆稀释剂</t>
  </si>
  <si>
    <t xml:space="preserve">    ben本:5.9</t>
  </si>
  <si>
    <t>PU亮光浅灰色漆</t>
  </si>
  <si>
    <t>天意退货元：GAA纯白面加3KG白浆）</t>
  </si>
  <si>
    <t>干板样</t>
  </si>
  <si>
    <t>棕灰修边漆</t>
  </si>
  <si>
    <t>PU亮光黑面固化剂</t>
  </si>
  <si>
    <t>购PU催干剂</t>
  </si>
  <si>
    <t>有机胺</t>
  </si>
  <si>
    <t>PU哑光象牙白漆</t>
  </si>
  <si>
    <t>PU五分光修色油</t>
  </si>
  <si>
    <t>843#黄色浆</t>
  </si>
  <si>
    <t>3075固化剂</t>
  </si>
  <si>
    <t>对面邻居：龙总</t>
  </si>
  <si>
    <t>二甲</t>
  </si>
  <si>
    <t>大空桶</t>
  </si>
  <si>
    <t>21/10刘英：净味哑光清面漆小样</t>
  </si>
  <si>
    <t>21/10刘英：净味哑光固化剂</t>
  </si>
  <si>
    <t>21/10刘英：净味哑光稀释剂剂</t>
  </si>
  <si>
    <t>自干型</t>
  </si>
  <si>
    <t>修边漆</t>
  </si>
  <si>
    <t>龙总</t>
  </si>
  <si>
    <t>未开单</t>
  </si>
  <si>
    <t>贺已计入杂费</t>
  </si>
  <si>
    <t>购买空桶</t>
  </si>
  <si>
    <t>贺现金</t>
  </si>
  <si>
    <t>购白大口桶</t>
  </si>
  <si>
    <t>退龙总货</t>
  </si>
  <si>
    <t>802B</t>
  </si>
  <si>
    <t>JNX850F</t>
  </si>
  <si>
    <t>PU五分光白面漆</t>
  </si>
  <si>
    <t>元：加3KG白浆/桶：3735做纯白面3分光的普哑</t>
  </si>
  <si>
    <t>棕色修色油</t>
  </si>
  <si>
    <t>购圆罐：4L</t>
  </si>
  <si>
    <t>PU哑光棕色修色油</t>
  </si>
  <si>
    <t>元</t>
  </si>
  <si>
    <t>元303</t>
  </si>
  <si>
    <t>杨总客户</t>
  </si>
  <si>
    <t>购A-200</t>
  </si>
  <si>
    <t>现金：蓉已交账</t>
  </si>
  <si>
    <t>1351-4</t>
  </si>
  <si>
    <t>PU哑光中灰色漆</t>
  </si>
  <si>
    <t>购二甲苯</t>
  </si>
  <si>
    <t>元不含蓝白水：陈鑫强</t>
  </si>
  <si>
    <t>购蓝水方瓶</t>
  </si>
  <si>
    <t>温总货</t>
  </si>
  <si>
    <t>807B</t>
  </si>
  <si>
    <t>购空桶</t>
  </si>
  <si>
    <t>销固化剂铁桶</t>
  </si>
  <si>
    <t>不含包装、蓝白水</t>
  </si>
  <si>
    <t>PU全哑白面漆</t>
  </si>
  <si>
    <t>含包装（本10.7）不含包装：普哑白24.2+0.8:100C</t>
  </si>
  <si>
    <t>6827B:不含蓝白水</t>
  </si>
  <si>
    <t>PU哑光象牙白色漆</t>
  </si>
  <si>
    <t>元不含蓝白水和包装陈鑫强</t>
  </si>
  <si>
    <t>购买二甲苯</t>
  </si>
  <si>
    <t>李总购混合剂</t>
  </si>
  <si>
    <t>PU哑光清面漆</t>
  </si>
  <si>
    <t>元不含包装：70FB</t>
  </si>
  <si>
    <t>购样品罐</t>
  </si>
  <si>
    <t>李借4L方罐</t>
  </si>
  <si>
    <t>蓉经手</t>
  </si>
  <si>
    <t>净味（含包装本10.7）不含包装：普哑白24.2+0.8:100C</t>
  </si>
  <si>
    <t>PU全哑清面漆</t>
  </si>
  <si>
    <t>净味（含包装本12）不含包装：70FA24.3+0.7:100C</t>
  </si>
  <si>
    <t>龙总材料单</t>
  </si>
  <si>
    <t>李总购白大口15L</t>
  </si>
  <si>
    <t>李总购白大口18L</t>
  </si>
  <si>
    <t>099*</t>
  </si>
  <si>
    <t>PU哑光米白色漆</t>
  </si>
  <si>
    <t>购空桶：铁桶</t>
  </si>
  <si>
    <t>购龙总材料：814</t>
  </si>
  <si>
    <t>PU亮光灰色漆</t>
  </si>
  <si>
    <t>蒋总</t>
  </si>
  <si>
    <t>50F</t>
  </si>
  <si>
    <t>元50FB</t>
  </si>
  <si>
    <t>澜宇货</t>
  </si>
  <si>
    <t>龙总借李总样品罐</t>
  </si>
  <si>
    <t>李总退货混合剂</t>
  </si>
  <si>
    <t>李总借混本</t>
  </si>
  <si>
    <t>蓝水瓶</t>
  </si>
  <si>
    <t>购18L白小口</t>
  </si>
  <si>
    <t>乙醇</t>
  </si>
  <si>
    <t>废桶</t>
  </si>
  <si>
    <t>96号</t>
  </si>
  <si>
    <t>购买样品罐</t>
  </si>
  <si>
    <t>12月31</t>
  </si>
  <si>
    <t>购333助剂</t>
  </si>
  <si>
    <t>已计入原材料</t>
  </si>
  <si>
    <t>12月</t>
  </si>
  <si>
    <t>009</t>
  </si>
  <si>
    <t>25年起陈购货明细</t>
  </si>
  <si>
    <t>16/7：</t>
  </si>
  <si>
    <t>已付2100=3020</t>
  </si>
  <si>
    <t>净味（含包装本10.7）不含包装：普哑白24.3+0.7:100C</t>
  </si>
  <si>
    <t>购PMA</t>
  </si>
  <si>
    <t>陈洪强</t>
  </si>
  <si>
    <t>不开单</t>
  </si>
  <si>
    <t>购黑色浆</t>
  </si>
  <si>
    <t>换货自备包装</t>
  </si>
  <si>
    <t>贺收</t>
  </si>
  <si>
    <t>2026/1/17前</t>
  </si>
  <si>
    <t>借大铁桶6个</t>
  </si>
  <si>
    <t>借丁酯、仲丁酯、75A和50B各一桶</t>
  </si>
  <si>
    <t>25年陈总6月回款明细</t>
  </si>
  <si>
    <t>购货应付款金额总计/元</t>
  </si>
  <si>
    <t>已付款金额/元</t>
  </si>
  <si>
    <t>余款合计金额/元</t>
  </si>
  <si>
    <t>明细如下：</t>
  </si>
  <si>
    <t>随机单号</t>
  </si>
  <si>
    <t>摘要</t>
  </si>
  <si>
    <t>金额</t>
  </si>
  <si>
    <t>已付金额</t>
  </si>
  <si>
    <t>下欠款结存</t>
  </si>
  <si>
    <t>购货</t>
  </si>
  <si>
    <t>微转老板</t>
  </si>
  <si>
    <t>10月</t>
  </si>
  <si>
    <t>微转</t>
  </si>
  <si>
    <t>26.1.17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</si>
</sst>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_ "/>
    <numFmt numFmtId="178" formatCode="m&quot;月&quot;d&quot;日&quot;;@"/>
    <numFmt numFmtId="179" formatCode="General&quot;号&quot;"/>
    <numFmt numFmtId="180" formatCode="0.0_ "/>
    <numFmt numFmtId="181" formatCode="General&quot;桶&quot;"/>
    <numFmt numFmtId="182" formatCode="0.00_ "/>
    <numFmt numFmtId="183" formatCode="General&quot;个&quot;"/>
    <numFmt numFmtId="184" formatCode="General&quot;件&quot;"/>
    <numFmt numFmtId="185" formatCode="General&quot;罐&quot;"/>
    <numFmt numFmtId="186" formatCode="000000"/>
    <numFmt numFmtId="187" formatCode="[DBNum2][$RMB]General;[Red][DBNum2][$RMB]General"/>
  </numFmts>
  <fonts count="52">
    <font>
      <sz val="12"/>
      <name val="宋体"/>
      <charset val="134"/>
    </font>
    <font>
      <sz val="12"/>
      <color rgb="FF00B0F0"/>
      <name val="宋体"/>
      <charset val="134"/>
    </font>
    <font>
      <b/>
      <sz val="20"/>
      <name val="宋体"/>
      <charset val="134"/>
    </font>
    <font>
      <b/>
      <sz val="14"/>
      <name val="宋体"/>
      <charset val="134"/>
    </font>
    <font>
      <b/>
      <sz val="16"/>
      <color rgb="FF00B0F0"/>
      <name val="宋体"/>
      <charset val="134"/>
    </font>
    <font>
      <b/>
      <sz val="16"/>
      <name val="宋体"/>
      <charset val="134"/>
    </font>
    <font>
      <b/>
      <sz val="14"/>
      <color rgb="FF00B0F0"/>
      <name val="宋体"/>
      <charset val="134"/>
    </font>
    <font>
      <b/>
      <sz val="12"/>
      <color rgb="FF00B0F0"/>
      <name val="宋体"/>
      <charset val="134"/>
    </font>
    <font>
      <b/>
      <sz val="12"/>
      <name val="宋体"/>
      <charset val="134"/>
    </font>
    <font>
      <sz val="16"/>
      <name val="宋体"/>
      <charset val="134"/>
    </font>
    <font>
      <sz val="16"/>
      <color rgb="FF00B0F0"/>
      <name val="宋体"/>
      <charset val="134"/>
    </font>
    <font>
      <sz val="16"/>
      <color rgb="FFFF0000"/>
      <name val="宋体"/>
      <charset val="134"/>
    </font>
    <font>
      <sz val="10"/>
      <name val="宋体"/>
      <charset val="134"/>
    </font>
    <font>
      <sz val="12"/>
      <color rgb="FFFF0000"/>
      <name val="宋体"/>
      <charset val="134"/>
    </font>
    <font>
      <sz val="14"/>
      <color rgb="FFFF0000"/>
      <name val="宋体"/>
      <charset val="134"/>
    </font>
    <font>
      <sz val="9"/>
      <color rgb="FF00B0F0"/>
      <name val="宋体"/>
      <charset val="134"/>
    </font>
    <font>
      <sz val="9"/>
      <color rgb="FFFF0000"/>
      <name val="宋体"/>
      <charset val="134"/>
    </font>
    <font>
      <sz val="9"/>
      <name val="宋体"/>
      <charset val="134"/>
    </font>
    <font>
      <sz val="14"/>
      <name val="宋体"/>
      <charset val="134"/>
    </font>
    <font>
      <sz val="14"/>
      <color rgb="FF00B0F0"/>
      <name val="宋体"/>
      <charset val="134"/>
    </font>
    <font>
      <sz val="12"/>
      <color rgb="FF7030A0"/>
      <name val="宋体"/>
      <charset val="134"/>
    </font>
    <font>
      <sz val="16"/>
      <color rgb="FF7030A0"/>
      <name val="宋体"/>
      <charset val="134"/>
    </font>
    <font>
      <sz val="10"/>
      <color rgb="FFFF0000"/>
      <name val="宋体"/>
      <charset val="134"/>
    </font>
    <font>
      <sz val="10"/>
      <color rgb="FF00B0F0"/>
      <name val="宋体"/>
      <charset val="134"/>
    </font>
    <font>
      <sz val="18"/>
      <name val="宋体"/>
      <charset val="134"/>
    </font>
    <font>
      <sz val="24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6"/>
      <color rgb="FF00B0F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5" borderId="13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" borderId="16" applyNumberFormat="0" applyAlignment="0" applyProtection="0">
      <alignment vertical="center"/>
    </xf>
    <xf numFmtId="0" fontId="38" fillId="7" borderId="17" applyNumberFormat="0" applyAlignment="0" applyProtection="0">
      <alignment vertical="center"/>
    </xf>
    <xf numFmtId="0" fontId="39" fillId="7" borderId="16" applyNumberFormat="0" applyAlignment="0" applyProtection="0">
      <alignment vertical="center"/>
    </xf>
    <xf numFmtId="0" fontId="40" fillId="8" borderId="18" applyNumberFormat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0" fillId="0" borderId="0"/>
    <xf numFmtId="0" fontId="4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0"/>
    <xf numFmtId="0" fontId="28" fillId="0" borderId="0">
      <alignment vertical="center"/>
    </xf>
    <xf numFmtId="0" fontId="50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</cellStyleXfs>
  <cellXfs count="16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1" xfId="51" applyFont="1" applyBorder="1" applyAlignment="1">
      <alignment horizontal="center"/>
    </xf>
    <xf numFmtId="0" fontId="2" fillId="2" borderId="1" xfId="51" applyFont="1" applyFill="1" applyBorder="1" applyAlignment="1">
      <alignment horizontal="center"/>
    </xf>
    <xf numFmtId="0" fontId="3" fillId="2" borderId="1" xfId="51" applyFont="1" applyFill="1" applyBorder="1" applyAlignment="1">
      <alignment horizontal="center" vertical="center" textRotation="255"/>
    </xf>
    <xf numFmtId="0" fontId="4" fillId="2" borderId="1" xfId="51" applyFont="1" applyFill="1" applyBorder="1" applyAlignment="1">
      <alignment horizontal="center"/>
    </xf>
    <xf numFmtId="177" fontId="4" fillId="2" borderId="1" xfId="51" applyNumberFormat="1" applyFont="1" applyFill="1" applyBorder="1" applyAlignment="1">
      <alignment horizontal="center" vertical="center"/>
    </xf>
    <xf numFmtId="0" fontId="4" fillId="2" borderId="1" xfId="51" applyFont="1" applyFill="1" applyBorder="1" applyAlignment="1">
      <alignment horizontal="center" vertical="center"/>
    </xf>
    <xf numFmtId="177" fontId="4" fillId="2" borderId="2" xfId="51" applyNumberFormat="1" applyFont="1" applyFill="1" applyBorder="1" applyAlignment="1">
      <alignment horizontal="center" vertical="center"/>
    </xf>
    <xf numFmtId="0" fontId="4" fillId="2" borderId="2" xfId="51" applyFont="1" applyFill="1" applyBorder="1" applyAlignment="1">
      <alignment horizontal="center" vertical="center"/>
    </xf>
    <xf numFmtId="0" fontId="3" fillId="2" borderId="3" xfId="51" applyFont="1" applyFill="1" applyBorder="1" applyAlignment="1">
      <alignment horizontal="center" vertical="center" textRotation="255"/>
    </xf>
    <xf numFmtId="177" fontId="5" fillId="2" borderId="4" xfId="51" applyNumberFormat="1" applyFont="1" applyFill="1" applyBorder="1" applyAlignment="1">
      <alignment horizontal="left" vertical="center"/>
    </xf>
    <xf numFmtId="177" fontId="5" fillId="2" borderId="5" xfId="51" applyNumberFormat="1" applyFont="1" applyFill="1" applyBorder="1" applyAlignment="1">
      <alignment horizontal="left" vertical="center"/>
    </xf>
    <xf numFmtId="177" fontId="5" fillId="2" borderId="6" xfId="51" applyNumberFormat="1" applyFont="1" applyFill="1" applyBorder="1" applyAlignment="1">
      <alignment horizontal="left" vertical="center"/>
    </xf>
    <xf numFmtId="0" fontId="3" fillId="2" borderId="7" xfId="51" applyFont="1" applyFill="1" applyBorder="1" applyAlignment="1">
      <alignment horizontal="center" vertical="center" textRotation="255"/>
    </xf>
    <xf numFmtId="0" fontId="3" fillId="2" borderId="1" xfId="51" applyFont="1" applyFill="1" applyBorder="1" applyAlignment="1">
      <alignment horizontal="center"/>
    </xf>
    <xf numFmtId="178" fontId="6" fillId="2" borderId="1" xfId="51" applyNumberFormat="1" applyFont="1" applyFill="1" applyBorder="1" applyAlignment="1">
      <alignment horizontal="center" vertical="center"/>
    </xf>
    <xf numFmtId="179" fontId="6" fillId="2" borderId="1" xfId="0" applyNumberFormat="1" applyFont="1" applyFill="1" applyBorder="1" applyAlignment="1">
      <alignment horizontal="center" vertical="center"/>
    </xf>
    <xf numFmtId="179" fontId="7" fillId="2" borderId="1" xfId="0" applyNumberFormat="1" applyFont="1" applyFill="1" applyBorder="1" applyAlignment="1">
      <alignment horizontal="center" vertical="center"/>
    </xf>
    <xf numFmtId="0" fontId="6" fillId="2" borderId="1" xfId="53" applyFont="1" applyFill="1" applyBorder="1" applyAlignment="1">
      <alignment horizontal="center" vertical="center"/>
    </xf>
    <xf numFmtId="0" fontId="6" fillId="2" borderId="1" xfId="51" applyFont="1" applyFill="1" applyBorder="1" applyAlignment="1">
      <alignment horizontal="center" vertical="center"/>
    </xf>
    <xf numFmtId="180" fontId="6" fillId="2" borderId="1" xfId="51" applyNumberFormat="1" applyFont="1" applyFill="1" applyBorder="1" applyAlignment="1">
      <alignment horizontal="center" vertical="center"/>
    </xf>
    <xf numFmtId="0" fontId="6" fillId="2" borderId="1" xfId="51" applyFont="1" applyFill="1" applyBorder="1" applyAlignment="1">
      <alignment vertical="center"/>
    </xf>
    <xf numFmtId="178" fontId="3" fillId="2" borderId="1" xfId="51" applyNumberFormat="1" applyFont="1" applyFill="1" applyBorder="1" applyAlignment="1">
      <alignment horizontal="center" vertical="center"/>
    </xf>
    <xf numFmtId="179" fontId="3" fillId="2" borderId="1" xfId="0" applyNumberFormat="1" applyFont="1" applyFill="1" applyBorder="1" applyAlignment="1">
      <alignment horizontal="center" vertical="center"/>
    </xf>
    <xf numFmtId="179" fontId="8" fillId="2" borderId="1" xfId="0" applyNumberFormat="1" applyFont="1" applyFill="1" applyBorder="1" applyAlignment="1">
      <alignment horizontal="center" vertical="center"/>
    </xf>
    <xf numFmtId="0" fontId="3" fillId="2" borderId="1" xfId="53" applyFont="1" applyFill="1" applyBorder="1" applyAlignment="1">
      <alignment horizontal="center" vertical="center"/>
    </xf>
    <xf numFmtId="0" fontId="3" fillId="2" borderId="1" xfId="51" applyFont="1" applyFill="1" applyBorder="1" applyAlignment="1">
      <alignment horizontal="center" vertical="center"/>
    </xf>
    <xf numFmtId="180" fontId="3" fillId="2" borderId="1" xfId="51" applyNumberFormat="1" applyFont="1" applyFill="1" applyBorder="1" applyAlignment="1">
      <alignment horizontal="center" vertical="center"/>
    </xf>
    <xf numFmtId="0" fontId="3" fillId="2" borderId="1" xfId="51" applyFont="1" applyFill="1" applyBorder="1" applyAlignment="1">
      <alignment vertical="center"/>
    </xf>
    <xf numFmtId="0" fontId="9" fillId="0" borderId="0" xfId="0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58" fontId="9" fillId="0" borderId="0" xfId="0" applyNumberFormat="1" applyFont="1" applyBorder="1" applyAlignment="1">
      <alignment horizontal="left" vertical="center"/>
    </xf>
    <xf numFmtId="179" fontId="9" fillId="0" borderId="0" xfId="0" applyNumberFormat="1" applyFont="1" applyAlignment="1">
      <alignment horizontal="center" vertical="center"/>
    </xf>
    <xf numFmtId="58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181" fontId="9" fillId="0" borderId="0" xfId="0" applyNumberFormat="1" applyFont="1" applyFill="1" applyBorder="1" applyAlignment="1">
      <alignment horizontal="center" vertical="center"/>
    </xf>
    <xf numFmtId="182" fontId="9" fillId="0" borderId="0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58" fontId="10" fillId="0" borderId="0" xfId="0" applyNumberFormat="1" applyFont="1" applyBorder="1" applyAlignment="1">
      <alignment horizontal="left" vertical="center"/>
    </xf>
    <xf numFmtId="179" fontId="10" fillId="0" borderId="0" xfId="0" applyNumberFormat="1" applyFont="1" applyAlignment="1">
      <alignment horizontal="center" vertical="center"/>
    </xf>
    <xf numFmtId="58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181" fontId="10" fillId="0" borderId="0" xfId="0" applyNumberFormat="1" applyFont="1" applyFill="1" applyBorder="1" applyAlignment="1">
      <alignment horizontal="center" vertical="center"/>
    </xf>
    <xf numFmtId="182" fontId="10" fillId="0" borderId="0" xfId="0" applyNumberFormat="1" applyFont="1" applyBorder="1" applyAlignment="1">
      <alignment horizontal="center" vertical="center"/>
    </xf>
    <xf numFmtId="0" fontId="12" fillId="0" borderId="8" xfId="0" applyNumberFormat="1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0" fontId="11" fillId="0" borderId="0" xfId="0" applyFont="1" applyBorder="1">
      <alignment vertical="center"/>
    </xf>
    <xf numFmtId="0" fontId="0" fillId="0" borderId="0" xfId="0" applyFont="1" applyAlignment="1">
      <alignment vertical="center"/>
    </xf>
    <xf numFmtId="58" fontId="11" fillId="0" borderId="0" xfId="0" applyNumberFormat="1" applyFont="1" applyBorder="1" applyAlignment="1">
      <alignment horizontal="left" vertical="center"/>
    </xf>
    <xf numFmtId="179" fontId="11" fillId="0" borderId="0" xfId="0" applyNumberFormat="1" applyFont="1" applyAlignment="1">
      <alignment horizontal="center" vertical="center"/>
    </xf>
    <xf numFmtId="58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182" fontId="11" fillId="0" borderId="0" xfId="0" applyNumberFormat="1" applyFont="1" applyBorder="1" applyAlignment="1">
      <alignment horizontal="center" vertical="center"/>
    </xf>
    <xf numFmtId="0" fontId="13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5" fillId="0" borderId="0" xfId="0" applyFont="1">
      <alignment vertical="center"/>
    </xf>
    <xf numFmtId="181" fontId="11" fillId="0" borderId="0" xfId="0" applyNumberFormat="1" applyFont="1" applyFill="1" applyBorder="1" applyAlignment="1">
      <alignment horizontal="center" vertical="center"/>
    </xf>
    <xf numFmtId="183" fontId="10" fillId="0" borderId="0" xfId="0" applyNumberFormat="1" applyFont="1" applyFill="1" applyBorder="1" applyAlignment="1">
      <alignment horizontal="center" vertical="center"/>
    </xf>
    <xf numFmtId="183" fontId="9" fillId="0" borderId="0" xfId="0" applyNumberFormat="1" applyFont="1" applyFill="1" applyBorder="1" applyAlignment="1">
      <alignment horizontal="center" vertical="center"/>
    </xf>
    <xf numFmtId="0" fontId="16" fillId="0" borderId="0" xfId="0" applyFont="1">
      <alignment vertical="center"/>
    </xf>
    <xf numFmtId="177" fontId="10" fillId="0" borderId="0" xfId="0" applyNumberFormat="1" applyFont="1" applyBorder="1" applyAlignment="1">
      <alignment horizontal="center" vertical="center"/>
    </xf>
    <xf numFmtId="58" fontId="9" fillId="0" borderId="0" xfId="0" applyNumberFormat="1" applyFont="1" applyAlignment="1">
      <alignment horizontal="left" vertical="center"/>
    </xf>
    <xf numFmtId="177" fontId="9" fillId="0" borderId="0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184" fontId="11" fillId="0" borderId="0" xfId="0" applyNumberFormat="1" applyFont="1" applyFill="1" applyBorder="1" applyAlignment="1">
      <alignment horizontal="center" vertical="center"/>
    </xf>
    <xf numFmtId="183" fontId="11" fillId="0" borderId="0" xfId="0" applyNumberFormat="1" applyFont="1" applyFill="1" applyBorder="1" applyAlignment="1">
      <alignment horizontal="center" vertical="center"/>
    </xf>
    <xf numFmtId="184" fontId="9" fillId="0" borderId="0" xfId="0" applyNumberFormat="1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Border="1">
      <alignment vertical="center"/>
    </xf>
    <xf numFmtId="0" fontId="19" fillId="0" borderId="0" xfId="0" applyFont="1" applyBorder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/>
    </xf>
    <xf numFmtId="0" fontId="22" fillId="0" borderId="0" xfId="0" applyFont="1" applyBorder="1">
      <alignment vertical="center"/>
    </xf>
    <xf numFmtId="178" fontId="11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78" fontId="9" fillId="0" borderId="0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58" fontId="10" fillId="0" borderId="0" xfId="0" applyNumberFormat="1" applyFont="1">
      <alignment vertical="center"/>
    </xf>
    <xf numFmtId="179" fontId="10" fillId="0" borderId="0" xfId="0" applyNumberFormat="1" applyFont="1" applyBorder="1" applyAlignment="1">
      <alignment horizontal="center" vertical="center"/>
    </xf>
    <xf numFmtId="182" fontId="10" fillId="0" borderId="0" xfId="0" applyNumberFormat="1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82" fontId="10" fillId="0" borderId="0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78" fontId="10" fillId="0" borderId="0" xfId="0" applyNumberFormat="1" applyFont="1" applyBorder="1" applyAlignment="1">
      <alignment horizontal="center" vertical="center"/>
    </xf>
    <xf numFmtId="185" fontId="9" fillId="0" borderId="0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58" fontId="21" fillId="0" borderId="0" xfId="0" applyNumberFormat="1" applyFont="1" applyBorder="1" applyAlignment="1">
      <alignment horizontal="center" vertical="center"/>
    </xf>
    <xf numFmtId="179" fontId="21" fillId="0" borderId="0" xfId="0" applyNumberFormat="1" applyFont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181" fontId="21" fillId="0" borderId="0" xfId="0" applyNumberFormat="1" applyFont="1" applyFill="1" applyBorder="1" applyAlignment="1">
      <alignment horizontal="center" vertical="center"/>
    </xf>
    <xf numFmtId="182" fontId="2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9" fillId="0" borderId="1" xfId="0" applyNumberFormat="1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6" xfId="0" applyNumberFormat="1" applyFont="1" applyFill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82" fontId="10" fillId="0" borderId="1" xfId="0" applyNumberFormat="1" applyFont="1" applyBorder="1" applyAlignment="1">
      <alignment horizontal="center" vertical="center"/>
    </xf>
    <xf numFmtId="181" fontId="10" fillId="0" borderId="1" xfId="0" applyNumberFormat="1" applyFont="1" applyFill="1" applyBorder="1" applyAlignment="1">
      <alignment horizontal="center" vertical="center"/>
    </xf>
    <xf numFmtId="0" fontId="9" fillId="0" borderId="8" xfId="0" applyNumberFormat="1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/>
    </xf>
    <xf numFmtId="183" fontId="9" fillId="0" borderId="1" xfId="0" applyNumberFormat="1" applyFont="1" applyBorder="1" applyAlignment="1">
      <alignment horizontal="center" vertical="center"/>
    </xf>
    <xf numFmtId="186" fontId="9" fillId="0" borderId="1" xfId="0" applyNumberFormat="1" applyFont="1" applyFill="1" applyBorder="1" applyAlignment="1">
      <alignment horizontal="left" vertical="center"/>
    </xf>
    <xf numFmtId="187" fontId="9" fillId="0" borderId="1" xfId="0" applyNumberFormat="1" applyFont="1" applyFill="1" applyBorder="1" applyAlignment="1">
      <alignment horizontal="left" vertical="center"/>
    </xf>
    <xf numFmtId="177" fontId="9" fillId="0" borderId="1" xfId="0" applyNumberFormat="1" applyFont="1" applyBorder="1" applyAlignment="1">
      <alignment horizontal="center" vertical="center"/>
    </xf>
    <xf numFmtId="0" fontId="9" fillId="0" borderId="9" xfId="0" applyNumberFormat="1" applyFont="1" applyFill="1" applyBorder="1" applyAlignment="1">
      <alignment vertical="center"/>
    </xf>
    <xf numFmtId="0" fontId="18" fillId="0" borderId="4" xfId="0" applyFont="1" applyFill="1" applyBorder="1" applyAlignment="1">
      <alignment horizontal="left" vertical="center" textRotation="255"/>
    </xf>
    <xf numFmtId="0" fontId="18" fillId="0" borderId="5" xfId="0" applyFont="1" applyFill="1" applyBorder="1" applyAlignment="1">
      <alignment horizontal="left" vertical="center" wrapText="1" readingOrder="1"/>
    </xf>
    <xf numFmtId="0" fontId="18" fillId="0" borderId="6" xfId="0" applyFont="1" applyFill="1" applyBorder="1" applyAlignment="1">
      <alignment horizontal="left" vertical="center" wrapText="1" readingOrder="1"/>
    </xf>
    <xf numFmtId="0" fontId="18" fillId="0" borderId="10" xfId="0" applyFont="1" applyFill="1" applyBorder="1" applyAlignment="1">
      <alignment horizontal="left" vertical="center" textRotation="255"/>
    </xf>
    <xf numFmtId="0" fontId="18" fillId="0" borderId="0" xfId="0" applyFont="1" applyFill="1" applyBorder="1" applyAlignment="1">
      <alignment horizontal="left" vertical="center" wrapText="1" readingOrder="1"/>
    </xf>
    <xf numFmtId="0" fontId="18" fillId="0" borderId="8" xfId="0" applyFont="1" applyFill="1" applyBorder="1" applyAlignment="1">
      <alignment horizontal="left" vertical="center" wrapText="1" readingOrder="1"/>
    </xf>
    <xf numFmtId="0" fontId="18" fillId="0" borderId="11" xfId="0" applyFont="1" applyFill="1" applyBorder="1" applyAlignment="1">
      <alignment horizontal="left" vertical="center" textRotation="255"/>
    </xf>
    <xf numFmtId="0" fontId="18" fillId="0" borderId="12" xfId="0" applyFont="1" applyFill="1" applyBorder="1" applyAlignment="1">
      <alignment horizontal="left" vertical="center" wrapText="1" readingOrder="1"/>
    </xf>
    <xf numFmtId="0" fontId="18" fillId="0" borderId="9" xfId="0" applyFont="1" applyFill="1" applyBorder="1" applyAlignment="1">
      <alignment horizontal="left" vertical="center" wrapText="1" readingOrder="1"/>
    </xf>
    <xf numFmtId="0" fontId="18" fillId="0" borderId="0" xfId="0" applyFont="1" applyFill="1" applyBorder="1" applyAlignment="1">
      <alignment horizontal="left" vertical="center"/>
    </xf>
    <xf numFmtId="58" fontId="26" fillId="0" borderId="0" xfId="0" applyNumberFormat="1" applyFont="1" applyFill="1" applyAlignment="1">
      <alignment vertical="center"/>
    </xf>
    <xf numFmtId="0" fontId="0" fillId="0" borderId="0" xfId="0" applyFont="1" applyAlignment="1">
      <alignment horizontal="left" vertical="center"/>
    </xf>
    <xf numFmtId="0" fontId="27" fillId="0" borderId="0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left" vertical="center"/>
    </xf>
    <xf numFmtId="0" fontId="27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7" fontId="27" fillId="0" borderId="0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177" fontId="27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58" fontId="9" fillId="0" borderId="1" xfId="0" applyNumberFormat="1" applyFont="1" applyBorder="1" applyAlignment="1">
      <alignment horizontal="center" vertical="center"/>
    </xf>
    <xf numFmtId="181" fontId="9" fillId="0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10" fillId="0" borderId="0" xfId="0" applyFont="1" applyBorder="1" applyAlignment="1" quotePrefix="1">
      <alignment horizontal="center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货币 3 12 2" xfId="49"/>
    <cellStyle name="适中 2 4 2" xfId="50"/>
    <cellStyle name="常规 10" xfId="51"/>
    <cellStyle name="差 2" xfId="52"/>
    <cellStyle name="常规 8" xfId="53"/>
    <cellStyle name="常规 33" xfId="54"/>
    <cellStyle name="常规 38 5" xfId="55"/>
    <cellStyle name="好_2020前期总表" xfId="56"/>
    <cellStyle name="货币 4 3" xfId="57"/>
  </cellStyles>
  <tableStyles count="1" defaultTableStyle="TableStyleMedium9" defaultPivotStyle="PivotStyleLight16">
    <tableStyle name="表样式 1" pivot="0" count="0" xr9:uid="{C72024FB-E153-49FF-B804-40EF001FE1D7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P51"/>
  <sheetViews>
    <sheetView tabSelected="1" workbookViewId="0">
      <selection activeCell="O10" sqref="O10"/>
    </sheetView>
  </sheetViews>
  <sheetFormatPr defaultColWidth="9" defaultRowHeight="14.25"/>
  <cols>
    <col min="1" max="1" width="3.50833333333333" style="113" customWidth="1"/>
    <col min="2" max="2" width="2.25833333333333" style="113" customWidth="1"/>
    <col min="3" max="3" width="15.25" style="113" customWidth="1"/>
    <col min="4" max="4" width="25.125" style="113" customWidth="1"/>
    <col min="5" max="5" width="11.7583333333333" style="113" customWidth="1"/>
    <col min="6" max="6" width="12.0083333333333" style="113" customWidth="1"/>
    <col min="7" max="7" width="12.875" style="113" customWidth="1"/>
    <col min="8" max="8" width="11.625" style="113" customWidth="1"/>
    <col min="9" max="9" width="18.5083333333333" style="113" customWidth="1"/>
    <col min="10" max="10" width="11.625" style="113" customWidth="1"/>
    <col min="11" max="12" width="9" style="114"/>
  </cols>
  <sheetData>
    <row r="1" s="111" customFormat="1" ht="34" customHeight="1" spans="1:13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</row>
    <row r="2" s="112" customFormat="1" ht="34" customHeight="1" spans="1:13">
      <c r="A2" s="116" t="s">
        <v>1</v>
      </c>
      <c r="B2" s="116"/>
      <c r="C2" s="116"/>
      <c r="D2" s="116"/>
      <c r="E2" s="116"/>
      <c r="F2" s="116"/>
      <c r="G2" s="116"/>
      <c r="H2" s="116"/>
      <c r="I2" s="116"/>
      <c r="J2" s="116"/>
      <c r="K2" s="117" t="s">
        <v>2</v>
      </c>
      <c r="M2" s="112" t="s">
        <v>3</v>
      </c>
    </row>
    <row r="3" s="32" customFormat="1" ht="26" customHeight="1" spans="1:13">
      <c r="A3" s="118" t="s">
        <v>4</v>
      </c>
      <c r="B3" s="118"/>
      <c r="C3" s="118"/>
      <c r="D3" s="119" t="s">
        <v>5</v>
      </c>
      <c r="E3" s="119" t="s">
        <v>6</v>
      </c>
      <c r="F3" s="119" t="s">
        <v>7</v>
      </c>
      <c r="G3" s="119" t="s">
        <v>8</v>
      </c>
      <c r="H3" s="119" t="s">
        <v>9</v>
      </c>
      <c r="I3" s="119" t="s">
        <v>10</v>
      </c>
      <c r="J3" s="120" t="s">
        <v>11</v>
      </c>
    </row>
    <row r="4" s="32" customFormat="1" ht="24" customHeight="1" spans="1:13">
      <c r="A4" s="121">
        <v>46025</v>
      </c>
      <c r="B4" s="122"/>
      <c r="C4" s="122"/>
      <c r="D4" s="123" t="s">
        <v>12</v>
      </c>
      <c r="E4" s="122">
        <v>2</v>
      </c>
      <c r="F4" s="122">
        <v>1</v>
      </c>
      <c r="G4" s="122">
        <f>E4*F4</f>
        <v>2</v>
      </c>
      <c r="H4" s="124">
        <v>7</v>
      </c>
      <c r="I4" s="124">
        <f>G4*H4</f>
        <v>14</v>
      </c>
      <c r="J4" s="52"/>
      <c r="L4" s="44"/>
    </row>
    <row r="5" s="32" customFormat="1" ht="24" customHeight="1" spans="1:13">
      <c r="A5" s="122"/>
      <c r="B5" s="122"/>
      <c r="C5" s="122"/>
      <c r="D5" s="123"/>
      <c r="E5" s="125"/>
      <c r="F5" s="122"/>
      <c r="G5" s="122"/>
      <c r="H5" s="124"/>
      <c r="I5" s="124"/>
      <c r="J5" s="126"/>
      <c r="L5" s="44"/>
    </row>
    <row r="6" customFormat="1" ht="24" customHeight="1" spans="1:13">
      <c r="A6" s="122"/>
      <c r="B6" s="122"/>
      <c r="C6" s="122"/>
      <c r="D6" s="123"/>
      <c r="E6" s="125"/>
      <c r="F6" s="122"/>
      <c r="G6" s="122"/>
      <c r="H6" s="124"/>
      <c r="I6" s="124"/>
      <c r="J6" s="126"/>
    </row>
    <row r="7" customFormat="1" ht="24" customHeight="1" spans="1:13">
      <c r="A7" s="121"/>
      <c r="B7" s="122"/>
      <c r="C7" s="122"/>
      <c r="D7" s="123"/>
      <c r="E7" s="125"/>
      <c r="F7" s="122"/>
      <c r="G7" s="122"/>
      <c r="H7" s="124"/>
      <c r="I7" s="124"/>
      <c r="J7" s="126"/>
    </row>
    <row r="8" customFormat="1" ht="24" customHeight="1" spans="1:13">
      <c r="A8" s="122"/>
      <c r="B8" s="122"/>
      <c r="C8" s="122"/>
      <c r="D8" s="123"/>
      <c r="E8" s="125"/>
      <c r="F8" s="122"/>
      <c r="G8" s="122"/>
      <c r="H8" s="124"/>
      <c r="I8" s="124"/>
      <c r="J8" s="126"/>
    </row>
    <row r="9" customFormat="1" ht="24" customHeight="1" spans="1:13">
      <c r="A9" s="122"/>
      <c r="B9" s="122"/>
      <c r="C9" s="122"/>
      <c r="D9" s="123"/>
      <c r="E9" s="125"/>
      <c r="F9" s="122"/>
      <c r="G9" s="122"/>
      <c r="H9" s="124"/>
      <c r="I9" s="124"/>
      <c r="J9" s="126"/>
    </row>
    <row r="10" customFormat="1" ht="24" customHeight="1" spans="1:13">
      <c r="A10" s="122"/>
      <c r="B10" s="122"/>
      <c r="C10" s="122"/>
      <c r="D10" s="123"/>
      <c r="E10" s="125"/>
      <c r="F10" s="122"/>
      <c r="G10" s="122"/>
      <c r="H10" s="124"/>
      <c r="I10" s="124"/>
      <c r="J10" s="126"/>
    </row>
    <row r="11" customFormat="1" ht="24" customHeight="1" spans="1:13">
      <c r="A11" s="122"/>
      <c r="B11" s="122"/>
      <c r="C11" s="122"/>
      <c r="D11" s="123"/>
      <c r="E11" s="125"/>
      <c r="F11" s="122"/>
      <c r="G11" s="122"/>
      <c r="H11" s="124"/>
      <c r="I11" s="124"/>
      <c r="J11" s="126"/>
    </row>
    <row r="12" customFormat="1" ht="24" customHeight="1" spans="1:13">
      <c r="A12" s="127"/>
      <c r="B12" s="127"/>
      <c r="C12" s="127"/>
      <c r="D12" s="128"/>
      <c r="E12" s="129"/>
      <c r="F12" s="130"/>
      <c r="G12" s="129"/>
      <c r="H12" s="131"/>
      <c r="I12" s="131"/>
      <c r="J12" s="126"/>
    </row>
    <row r="13" customFormat="1" ht="24" customHeight="1" spans="1:13">
      <c r="A13" s="119" t="s">
        <v>13</v>
      </c>
      <c r="B13" s="119"/>
      <c r="C13" s="119"/>
      <c r="D13" s="128"/>
      <c r="E13" s="132"/>
      <c r="F13" s="129"/>
      <c r="G13" s="132"/>
      <c r="H13" s="131"/>
      <c r="I13" s="131"/>
      <c r="J13" s="126"/>
    </row>
    <row r="14" customFormat="1" ht="24" customHeight="1" spans="1:13">
      <c r="A14" s="133" t="s">
        <v>14</v>
      </c>
      <c r="B14" s="133"/>
      <c r="C14" s="133"/>
      <c r="D14" s="134">
        <f>I14</f>
        <v>14</v>
      </c>
      <c r="E14" s="134"/>
      <c r="F14" s="134"/>
      <c r="G14" s="134"/>
      <c r="H14" s="134"/>
      <c r="I14" s="135">
        <f>SUM(I4:I13)</f>
        <v>14</v>
      </c>
      <c r="J14" s="136"/>
    </row>
    <row r="15" customFormat="1" ht="20" customHeight="1" spans="1:13">
      <c r="A15" s="137" t="s">
        <v>15</v>
      </c>
      <c r="B15" s="138" t="s">
        <v>16</v>
      </c>
      <c r="C15" s="138"/>
      <c r="D15" s="138"/>
      <c r="E15" s="138"/>
      <c r="F15" s="138"/>
      <c r="G15" s="138"/>
      <c r="H15" s="138"/>
      <c r="I15" s="138"/>
      <c r="J15" s="139"/>
    </row>
    <row r="16" customFormat="1" ht="20" customHeight="1" spans="1:13">
      <c r="A16" s="140"/>
      <c r="B16" s="141" t="s">
        <v>17</v>
      </c>
      <c r="C16" s="141"/>
      <c r="D16" s="141"/>
      <c r="E16" s="141"/>
      <c r="F16" s="141"/>
      <c r="G16" s="141"/>
      <c r="H16" s="141"/>
      <c r="I16" s="141"/>
      <c r="J16" s="142"/>
    </row>
    <row r="17" customFormat="1" ht="20" customHeight="1" spans="1:16">
      <c r="A17" s="140"/>
      <c r="B17" s="141"/>
      <c r="C17" s="141" t="s">
        <v>18</v>
      </c>
      <c r="D17" s="141"/>
      <c r="E17" s="141"/>
      <c r="F17" s="141"/>
      <c r="G17" s="141"/>
      <c r="H17" s="141"/>
      <c r="I17" s="141"/>
      <c r="J17" s="142"/>
    </row>
    <row r="18" customFormat="1" ht="20" customHeight="1" spans="1:16">
      <c r="A18" s="143"/>
      <c r="B18" s="144" t="s">
        <v>19</v>
      </c>
      <c r="C18" s="144"/>
      <c r="D18" s="144"/>
      <c r="E18" s="144"/>
      <c r="F18" s="144"/>
      <c r="G18" s="144"/>
      <c r="H18" s="144"/>
      <c r="I18" s="144"/>
      <c r="J18" s="145"/>
    </row>
    <row r="19" customFormat="1" ht="20" customHeight="1" spans="1:16">
      <c r="A19" s="146" t="s">
        <v>20</v>
      </c>
      <c r="B19" s="146"/>
      <c r="C19" s="146"/>
      <c r="D19" s="146"/>
      <c r="E19" s="146"/>
      <c r="F19" s="146"/>
      <c r="G19" s="146"/>
      <c r="H19" s="146"/>
      <c r="I19" s="146"/>
      <c r="J19" s="146"/>
    </row>
    <row r="20" customFormat="1" ht="20" customHeight="1" spans="1:16">
      <c r="A20" s="146" t="s">
        <v>21</v>
      </c>
      <c r="B20" s="146"/>
      <c r="C20" s="146"/>
      <c r="D20" s="146"/>
      <c r="E20" s="146"/>
      <c r="F20" s="146"/>
      <c r="G20" s="146"/>
      <c r="H20" s="146"/>
      <c r="I20" s="146"/>
      <c r="J20" s="146"/>
    </row>
    <row r="21" ht="23.25" customHeight="1" spans="1:16">
      <c r="A21" s="147"/>
      <c r="B21" s="148"/>
      <c r="C21" s="149"/>
      <c r="D21" s="150"/>
      <c r="E21" s="151"/>
      <c r="F21" s="152"/>
      <c r="G21" s="152"/>
      <c r="H21" s="151"/>
      <c r="I21" s="153"/>
      <c r="J21" s="150"/>
      <c r="K21" s="151"/>
      <c r="L21" s="151"/>
    </row>
    <row r="22" ht="19" customHeight="1" spans="1:16">
      <c r="A22" s="115" t="s">
        <v>0</v>
      </c>
      <c r="B22" s="115"/>
      <c r="C22" s="115"/>
      <c r="D22" s="115"/>
      <c r="E22" s="115"/>
      <c r="F22" s="115"/>
      <c r="G22" s="115"/>
      <c r="H22" s="115"/>
      <c r="I22" s="115"/>
      <c r="J22" s="115"/>
      <c r="K22" s="154"/>
      <c r="L22" s="151"/>
    </row>
    <row r="23" s="113" customFormat="1" ht="20" customHeight="1" spans="1:16">
      <c r="A23" s="116" t="s">
        <v>22</v>
      </c>
      <c r="B23" s="116"/>
      <c r="C23" s="116"/>
      <c r="D23" s="116"/>
      <c r="E23" s="116"/>
      <c r="F23" s="116"/>
      <c r="G23" s="116"/>
      <c r="H23" s="116"/>
      <c r="I23" s="116"/>
      <c r="J23" s="116"/>
      <c r="K23" s="155"/>
      <c r="L23" s="150"/>
      <c r="P23"/>
    </row>
    <row r="24" ht="20.25" spans="1:16">
      <c r="A24" s="118" t="s">
        <v>4</v>
      </c>
      <c r="B24" s="118"/>
      <c r="C24" s="118"/>
      <c r="D24" s="119" t="s">
        <v>5</v>
      </c>
      <c r="E24" s="119" t="s">
        <v>6</v>
      </c>
      <c r="F24" s="119" t="s">
        <v>7</v>
      </c>
      <c r="G24" s="119" t="s">
        <v>8</v>
      </c>
      <c r="H24" s="119" t="s">
        <v>9</v>
      </c>
      <c r="I24" s="119" t="s">
        <v>10</v>
      </c>
      <c r="J24" s="120" t="s">
        <v>11</v>
      </c>
      <c r="K24" s="156"/>
      <c r="L24" s="157"/>
    </row>
    <row r="25" ht="20.25" spans="1:16">
      <c r="A25" s="158">
        <v>45900</v>
      </c>
      <c r="B25" s="129"/>
      <c r="C25" s="129"/>
      <c r="D25" s="128" t="s">
        <v>23</v>
      </c>
      <c r="E25" s="159">
        <v>3</v>
      </c>
      <c r="F25" s="129">
        <v>25</v>
      </c>
      <c r="G25" s="129">
        <f>E25*F25</f>
        <v>75</v>
      </c>
      <c r="H25" s="131">
        <v>8.5</v>
      </c>
      <c r="I25" s="131">
        <f>G25*H25</f>
        <v>637.5</v>
      </c>
      <c r="J25" s="52" t="s">
        <v>24</v>
      </c>
      <c r="K25" s="156"/>
      <c r="L25" s="157"/>
    </row>
    <row r="26" ht="20.25" spans="1:16">
      <c r="A26" s="122"/>
      <c r="B26" s="122"/>
      <c r="C26" s="122"/>
      <c r="D26" s="123"/>
      <c r="E26" s="125"/>
      <c r="F26" s="122"/>
      <c r="G26" s="122"/>
      <c r="H26" s="124"/>
      <c r="I26" s="124"/>
      <c r="J26" s="126"/>
      <c r="K26" s="156"/>
      <c r="L26" s="157"/>
    </row>
    <row r="27" ht="20.25" spans="1:16">
      <c r="A27" s="129"/>
      <c r="B27" s="129"/>
      <c r="C27" s="129"/>
      <c r="D27" s="128"/>
      <c r="E27" s="159"/>
      <c r="F27" s="129"/>
      <c r="G27" s="129"/>
      <c r="H27" s="131"/>
      <c r="I27" s="131"/>
      <c r="J27" s="126"/>
      <c r="K27" s="156"/>
      <c r="L27" s="157"/>
    </row>
    <row r="28" ht="20.25" spans="1:16">
      <c r="A28" s="158"/>
      <c r="B28" s="129"/>
      <c r="C28" s="129"/>
      <c r="D28" s="128"/>
      <c r="E28" s="129"/>
      <c r="F28" s="129"/>
      <c r="G28" s="129"/>
      <c r="H28" s="131"/>
      <c r="I28" s="131"/>
      <c r="J28" s="126"/>
      <c r="K28" s="156"/>
      <c r="L28" s="157"/>
    </row>
    <row r="29" ht="20.25" spans="1:16">
      <c r="A29" s="121"/>
      <c r="B29" s="122"/>
      <c r="C29" s="122"/>
      <c r="D29" s="128"/>
      <c r="E29" s="125"/>
      <c r="F29" s="122"/>
      <c r="G29" s="122"/>
      <c r="H29" s="124"/>
      <c r="I29" s="124"/>
      <c r="J29" s="126"/>
      <c r="K29" s="156"/>
      <c r="L29" s="157"/>
    </row>
    <row r="30" ht="20.25" spans="1:16">
      <c r="A30" s="121">
        <v>45887</v>
      </c>
      <c r="B30" s="122"/>
      <c r="C30" s="122"/>
      <c r="D30" s="123" t="s">
        <v>25</v>
      </c>
      <c r="E30" s="125"/>
      <c r="F30" s="122"/>
      <c r="G30" s="122"/>
      <c r="H30" s="124"/>
      <c r="I30" s="124">
        <v>4063</v>
      </c>
      <c r="J30" s="126"/>
      <c r="K30" s="156"/>
      <c r="L30" s="157"/>
    </row>
    <row r="31" ht="20.25" spans="1:16">
      <c r="A31" s="122"/>
      <c r="B31" s="122"/>
      <c r="C31" s="122"/>
      <c r="D31" s="123"/>
      <c r="E31" s="125"/>
      <c r="F31" s="122"/>
      <c r="G31" s="122"/>
      <c r="H31" s="124"/>
      <c r="I31" s="124"/>
      <c r="J31" s="126"/>
      <c r="K31" s="156"/>
      <c r="L31" s="157"/>
    </row>
    <row r="32" ht="20.25" spans="1:16">
      <c r="A32" s="122"/>
      <c r="B32" s="122"/>
      <c r="C32" s="122"/>
      <c r="D32" s="123"/>
      <c r="E32" s="125"/>
      <c r="F32" s="122"/>
      <c r="G32" s="122"/>
      <c r="H32" s="124"/>
      <c r="I32" s="124"/>
      <c r="J32" s="126"/>
      <c r="L32" s="157"/>
    </row>
    <row r="33" ht="20.25" spans="1:12">
      <c r="A33" s="127"/>
      <c r="B33" s="127"/>
      <c r="C33" s="127"/>
      <c r="D33" s="128"/>
      <c r="E33" s="129"/>
      <c r="F33" s="130"/>
      <c r="G33" s="129"/>
      <c r="H33" s="131"/>
      <c r="I33" s="131"/>
      <c r="J33" s="126"/>
      <c r="L33" s="157"/>
    </row>
    <row r="34" ht="20.25" spans="1:12">
      <c r="A34" s="119" t="s">
        <v>13</v>
      </c>
      <c r="B34" s="119"/>
      <c r="C34" s="119"/>
      <c r="D34" s="128"/>
      <c r="E34" s="132"/>
      <c r="F34" s="129"/>
      <c r="G34" s="132"/>
      <c r="H34" s="131"/>
      <c r="I34" s="131"/>
      <c r="J34" s="126"/>
      <c r="L34" s="157"/>
    </row>
    <row r="35" ht="20.25" spans="1:12">
      <c r="A35" s="133" t="s">
        <v>14</v>
      </c>
      <c r="B35" s="133"/>
      <c r="C35" s="133"/>
      <c r="D35" s="134">
        <f>I35</f>
        <v>4700.5</v>
      </c>
      <c r="E35" s="134"/>
      <c r="F35" s="134"/>
      <c r="G35" s="134"/>
      <c r="H35" s="134"/>
      <c r="I35" s="135">
        <f>SUM(I25:I34)</f>
        <v>4700.5</v>
      </c>
      <c r="J35" s="136"/>
      <c r="L35" s="157"/>
    </row>
    <row r="36" ht="18.75" spans="1:12">
      <c r="A36" s="137" t="s">
        <v>15</v>
      </c>
      <c r="B36" s="138" t="s">
        <v>16</v>
      </c>
      <c r="C36" s="138"/>
      <c r="D36" s="138"/>
      <c r="E36" s="138"/>
      <c r="F36" s="138"/>
      <c r="G36" s="138"/>
      <c r="H36" s="138"/>
      <c r="I36" s="138"/>
      <c r="J36" s="139"/>
      <c r="L36" s="157"/>
    </row>
    <row r="37" ht="18.75" spans="1:12">
      <c r="A37" s="140"/>
      <c r="B37" s="141" t="s">
        <v>17</v>
      </c>
      <c r="C37" s="141"/>
      <c r="D37" s="141"/>
      <c r="E37" s="141"/>
      <c r="F37" s="141"/>
      <c r="G37" s="141"/>
      <c r="H37" s="141"/>
      <c r="I37" s="141"/>
      <c r="J37" s="142"/>
    </row>
    <row r="38" ht="18.75" spans="1:12">
      <c r="A38" s="140"/>
      <c r="B38" s="141"/>
      <c r="C38" s="141" t="s">
        <v>18</v>
      </c>
      <c r="D38" s="141"/>
      <c r="E38" s="141"/>
      <c r="F38" s="141"/>
      <c r="G38" s="141"/>
      <c r="H38" s="141"/>
      <c r="I38" s="141"/>
      <c r="J38" s="142"/>
    </row>
    <row r="39" ht="18.75" spans="1:12">
      <c r="A39" s="143"/>
      <c r="B39" s="144" t="s">
        <v>19</v>
      </c>
      <c r="C39" s="144"/>
      <c r="D39" s="144"/>
      <c r="E39" s="144"/>
      <c r="F39" s="144"/>
      <c r="G39" s="144"/>
      <c r="H39" s="144"/>
      <c r="I39" s="144"/>
      <c r="J39" s="145"/>
    </row>
    <row r="40" ht="18.75" spans="1:12">
      <c r="A40" s="146" t="s">
        <v>20</v>
      </c>
      <c r="B40" s="146"/>
      <c r="C40" s="146"/>
      <c r="D40" s="146"/>
      <c r="E40" s="146"/>
      <c r="F40" s="146"/>
      <c r="G40" s="146"/>
      <c r="H40" s="146"/>
      <c r="I40" s="146"/>
      <c r="J40" s="146"/>
    </row>
    <row r="41" ht="18.75" spans="1:12">
      <c r="A41" s="146" t="s">
        <v>21</v>
      </c>
      <c r="B41" s="146"/>
      <c r="C41" s="146"/>
      <c r="D41" s="146"/>
      <c r="E41" s="146"/>
      <c r="F41" s="146"/>
      <c r="G41" s="146"/>
      <c r="H41" s="146"/>
      <c r="I41" s="146"/>
      <c r="J41" s="146"/>
    </row>
    <row r="42" spans="1:12">
      <c r="A42" s="147"/>
      <c r="B42" s="148"/>
      <c r="C42" s="149"/>
      <c r="D42" s="150"/>
      <c r="E42" s="151"/>
      <c r="F42" s="152"/>
      <c r="G42" s="152"/>
      <c r="H42" s="151"/>
      <c r="I42" s="153"/>
      <c r="J42" s="150"/>
    </row>
    <row r="43" spans="1:12">
      <c r="A43" s="160"/>
      <c r="B43" s="161"/>
      <c r="C43" s="161"/>
      <c r="D43" s="161"/>
      <c r="E43" s="161"/>
      <c r="F43" s="161"/>
      <c r="G43" s="161"/>
      <c r="H43" s="161"/>
      <c r="I43" s="161"/>
      <c r="J43" s="150"/>
    </row>
    <row r="44" spans="1:12">
      <c r="A44" s="162"/>
      <c r="B44" s="160"/>
      <c r="C44" s="160"/>
      <c r="D44" s="160"/>
      <c r="E44" s="160"/>
      <c r="F44" s="160"/>
      <c r="G44" s="160"/>
      <c r="H44" s="160"/>
      <c r="I44" s="160"/>
      <c r="J44" s="160"/>
    </row>
    <row r="45" spans="1:12">
      <c r="A45" s="162"/>
      <c r="B45" s="160"/>
      <c r="C45" s="160"/>
      <c r="D45" s="160"/>
      <c r="E45" s="160"/>
      <c r="F45" s="160"/>
      <c r="G45" s="160"/>
      <c r="H45" s="160"/>
      <c r="I45" s="160"/>
      <c r="J45" s="160"/>
    </row>
    <row r="46" spans="1:12">
      <c r="A46" s="162"/>
      <c r="B46" s="160"/>
      <c r="C46" s="160"/>
      <c r="D46" s="160"/>
      <c r="E46" s="160"/>
      <c r="F46" s="160"/>
      <c r="G46" s="160"/>
      <c r="H46" s="160"/>
      <c r="I46" s="160"/>
      <c r="J46" s="160"/>
    </row>
    <row r="47" spans="1:12">
      <c r="A47" s="162"/>
      <c r="B47" s="160"/>
      <c r="C47" s="160"/>
      <c r="D47" s="160"/>
      <c r="E47" s="160"/>
      <c r="F47" s="160"/>
      <c r="G47" s="160"/>
      <c r="H47" s="160"/>
      <c r="I47" s="160"/>
      <c r="J47" s="160"/>
    </row>
    <row r="48" spans="1:12">
      <c r="A48" s="162"/>
      <c r="B48" s="160"/>
      <c r="C48" s="160"/>
      <c r="D48" s="160"/>
      <c r="E48" s="160"/>
      <c r="F48" s="160"/>
      <c r="G48" s="160"/>
      <c r="H48" s="160"/>
      <c r="I48" s="160"/>
      <c r="J48" s="160"/>
    </row>
    <row r="49" spans="1:10">
      <c r="A49" s="162"/>
      <c r="B49" s="160"/>
      <c r="C49" s="160"/>
      <c r="D49" s="160"/>
      <c r="E49" s="160"/>
      <c r="F49" s="160"/>
      <c r="G49" s="160"/>
      <c r="H49" s="160"/>
      <c r="I49" s="160"/>
      <c r="J49" s="160"/>
    </row>
    <row r="50" spans="1:10">
      <c r="A50" s="162"/>
      <c r="B50" s="160"/>
      <c r="C50" s="160"/>
      <c r="D50" s="160"/>
      <c r="E50" s="160"/>
      <c r="F50" s="160"/>
      <c r="G50" s="160"/>
      <c r="H50" s="160"/>
      <c r="I50" s="160"/>
      <c r="J50" s="160"/>
    </row>
    <row r="51" spans="1:10">
      <c r="A51" s="162"/>
      <c r="B51" s="160"/>
      <c r="C51" s="160"/>
      <c r="D51" s="160"/>
      <c r="E51" s="160"/>
      <c r="F51" s="160"/>
      <c r="G51" s="160"/>
      <c r="H51" s="160"/>
      <c r="I51" s="160"/>
      <c r="J51" s="160"/>
    </row>
  </sheetData>
  <mergeCells count="46">
    <mergeCell ref="A1:J1"/>
    <mergeCell ref="A2:J2"/>
    <mergeCell ref="K2:L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D14:H14"/>
    <mergeCell ref="B15:J15"/>
    <mergeCell ref="B16:J16"/>
    <mergeCell ref="C17:J17"/>
    <mergeCell ref="B18:J18"/>
    <mergeCell ref="A19:J19"/>
    <mergeCell ref="A20:J20"/>
    <mergeCell ref="A22:J22"/>
    <mergeCell ref="A23:J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D35:H35"/>
    <mergeCell ref="B36:J36"/>
    <mergeCell ref="B37:J37"/>
    <mergeCell ref="C38:J38"/>
    <mergeCell ref="B39:J39"/>
    <mergeCell ref="A40:J40"/>
    <mergeCell ref="A41:J41"/>
    <mergeCell ref="B43:I43"/>
    <mergeCell ref="A15:A18"/>
    <mergeCell ref="A36:A39"/>
  </mergeCells>
  <printOptions horizontalCentered="1"/>
  <pageMargins left="0.393055555555556" right="0.196527777777778" top="0.196527777777778" bottom="0.393055555555556" header="0.196527777777778" footer="0.393055555555556"/>
  <pageSetup paperSize="9" scale="73" orientation="portrait" horizontalDpi="600" verticalDpi="18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9"/>
  <sheetViews>
    <sheetView topLeftCell="A71" workbookViewId="0">
      <pane xSplit="1" topLeftCell="B1" activePane="topRight" state="frozen"/>
      <selection/>
      <selection pane="topRight" activeCell="G90" sqref="G90"/>
    </sheetView>
  </sheetViews>
  <sheetFormatPr defaultColWidth="9" defaultRowHeight="20.25"/>
  <cols>
    <col min="1" max="1" width="19.375" style="32" customWidth="1"/>
    <col min="2" max="2" width="12.625" style="32"/>
    <col min="3" max="3" width="9" style="32"/>
    <col min="4" max="4" width="11.125" style="32"/>
    <col min="5" max="5" width="4.5" style="32" customWidth="1"/>
    <col min="6" max="6" width="1.375" style="32" customWidth="1"/>
    <col min="7" max="7" width="35.875" style="32" customWidth="1"/>
    <col min="8" max="8" width="13.125" style="32" customWidth="1"/>
    <col min="9" max="9" width="11" style="32" customWidth="1"/>
    <col min="10" max="10" width="11.375" style="32"/>
    <col min="11" max="11" width="12.25" style="32" customWidth="1"/>
    <col min="12" max="12" width="14.5" style="32" customWidth="1"/>
    <col min="13" max="13" width="16.875" style="32" customWidth="1"/>
    <col min="14" max="14" width="15.25" style="32" customWidth="1"/>
    <col min="15" max="15" width="9.875"/>
    <col min="16" max="16" width="11.375"/>
  </cols>
  <sheetData>
    <row r="1" s="79" customFormat="1" ht="21" customHeight="1" spans="1:14">
      <c r="A1" s="32"/>
      <c r="B1" s="44" t="s">
        <v>26</v>
      </c>
      <c r="C1" s="44"/>
      <c r="D1" s="44"/>
      <c r="E1" s="44"/>
      <c r="F1" s="44"/>
      <c r="G1" s="44"/>
      <c r="H1" s="44"/>
      <c r="I1" s="44"/>
      <c r="J1" s="44"/>
      <c r="K1" s="44" t="s">
        <v>27</v>
      </c>
      <c r="L1" s="44">
        <f>SUM(L3:L201)</f>
        <v>35292</v>
      </c>
      <c r="M1" s="32"/>
      <c r="N1" s="44"/>
    </row>
    <row r="2" s="79" customFormat="1" spans="1:14">
      <c r="A2" s="85" t="s">
        <v>28</v>
      </c>
      <c r="B2" s="86" t="s">
        <v>29</v>
      </c>
      <c r="C2" s="86" t="s">
        <v>30</v>
      </c>
      <c r="D2" s="87" t="s">
        <v>31</v>
      </c>
      <c r="E2" s="87"/>
      <c r="F2" s="87"/>
      <c r="G2" s="88" t="s">
        <v>32</v>
      </c>
      <c r="H2" s="87" t="s">
        <v>6</v>
      </c>
      <c r="I2" s="87" t="s">
        <v>7</v>
      </c>
      <c r="J2" s="87" t="s">
        <v>8</v>
      </c>
      <c r="K2" s="87" t="s">
        <v>9</v>
      </c>
      <c r="L2" s="87" t="s">
        <v>10</v>
      </c>
      <c r="M2" s="87" t="s">
        <v>33</v>
      </c>
      <c r="N2" s="87" t="s">
        <v>34</v>
      </c>
    </row>
    <row r="3" s="55" customFormat="1" spans="1:14">
      <c r="A3" s="89" t="s">
        <v>35</v>
      </c>
      <c r="B3" s="90"/>
      <c r="C3" s="58"/>
      <c r="D3" s="91"/>
      <c r="E3" s="91"/>
      <c r="F3" s="91"/>
      <c r="G3" s="35"/>
      <c r="H3" s="60"/>
      <c r="I3" s="60"/>
      <c r="J3" s="60"/>
      <c r="K3" s="64"/>
      <c r="L3" s="62"/>
      <c r="M3" s="35"/>
      <c r="N3" s="61"/>
    </row>
    <row r="4" s="31" customFormat="1" spans="1:14">
      <c r="A4" s="31" t="s">
        <v>36</v>
      </c>
      <c r="B4" s="92">
        <v>45388</v>
      </c>
      <c r="C4" s="38">
        <v>14</v>
      </c>
      <c r="D4" s="40"/>
      <c r="E4" s="40"/>
      <c r="F4" s="40"/>
      <c r="G4" s="32" t="s">
        <v>37</v>
      </c>
      <c r="H4" s="40">
        <v>1</v>
      </c>
      <c r="I4" s="40">
        <v>25</v>
      </c>
      <c r="J4" s="48">
        <f t="shared" ref="J4:J26" si="0">H4*I4</f>
        <v>25</v>
      </c>
      <c r="K4" s="44">
        <v>1.2</v>
      </c>
      <c r="L4" s="51">
        <f t="shared" ref="L4:L26" si="1">J4*K4</f>
        <v>30</v>
      </c>
      <c r="M4" s="32">
        <f>SUM(L3:L4)</f>
        <v>30</v>
      </c>
      <c r="N4" s="61"/>
    </row>
    <row r="5" s="80" customFormat="1" spans="1:14">
      <c r="A5" s="32" t="s">
        <v>38</v>
      </c>
      <c r="B5" s="39">
        <v>45402</v>
      </c>
      <c r="C5" s="38">
        <v>64</v>
      </c>
      <c r="D5" s="40"/>
      <c r="E5" s="40"/>
      <c r="F5" s="40"/>
      <c r="G5" s="41" t="s">
        <v>39</v>
      </c>
      <c r="H5" s="42">
        <v>1</v>
      </c>
      <c r="I5" s="40">
        <v>2</v>
      </c>
      <c r="J5" s="40">
        <f t="shared" si="0"/>
        <v>2</v>
      </c>
      <c r="K5" s="43">
        <v>23</v>
      </c>
      <c r="L5" s="43">
        <f t="shared" si="1"/>
        <v>46</v>
      </c>
      <c r="M5" s="32" t="s">
        <v>40</v>
      </c>
      <c r="N5" s="40"/>
    </row>
    <row r="6" s="81" customFormat="1" spans="1:14">
      <c r="A6" s="34" t="s">
        <v>38</v>
      </c>
      <c r="B6" s="47">
        <v>45411</v>
      </c>
      <c r="C6" s="46">
        <v>103</v>
      </c>
      <c r="D6" s="48" t="s">
        <v>41</v>
      </c>
      <c r="E6" s="48"/>
      <c r="F6" s="48"/>
      <c r="G6" s="49" t="s">
        <v>42</v>
      </c>
      <c r="H6" s="50">
        <v>1</v>
      </c>
      <c r="I6" s="48">
        <v>2</v>
      </c>
      <c r="J6" s="48">
        <f t="shared" si="0"/>
        <v>2</v>
      </c>
      <c r="K6" s="51">
        <v>19</v>
      </c>
      <c r="L6" s="51">
        <f t="shared" si="1"/>
        <v>38</v>
      </c>
      <c r="M6" s="34" t="s">
        <v>43</v>
      </c>
      <c r="N6" s="48"/>
    </row>
    <row r="7" s="1" customFormat="1" spans="1:14">
      <c r="A7" s="34" t="s">
        <v>38</v>
      </c>
      <c r="B7" s="47">
        <v>45411</v>
      </c>
      <c r="C7" s="46">
        <v>103</v>
      </c>
      <c r="D7" s="48" t="s">
        <v>41</v>
      </c>
      <c r="E7" s="48"/>
      <c r="F7" s="48"/>
      <c r="G7" s="34" t="s">
        <v>44</v>
      </c>
      <c r="H7" s="68">
        <v>1</v>
      </c>
      <c r="I7" s="53">
        <v>1</v>
      </c>
      <c r="J7" s="68">
        <f t="shared" si="0"/>
        <v>1</v>
      </c>
      <c r="K7" s="53">
        <v>6</v>
      </c>
      <c r="L7" s="51">
        <f t="shared" si="1"/>
        <v>6</v>
      </c>
      <c r="M7" s="34" t="s">
        <v>45</v>
      </c>
      <c r="N7" s="34"/>
    </row>
    <row r="8" spans="1:14">
      <c r="A8" s="32" t="s">
        <v>38</v>
      </c>
      <c r="B8" s="39">
        <v>45419</v>
      </c>
      <c r="C8" s="38">
        <v>5</v>
      </c>
      <c r="D8" s="39" t="s">
        <v>46</v>
      </c>
      <c r="E8" s="40"/>
      <c r="F8" s="40"/>
      <c r="G8" s="41" t="s">
        <v>47</v>
      </c>
      <c r="H8" s="42">
        <v>1</v>
      </c>
      <c r="I8" s="40">
        <v>13</v>
      </c>
      <c r="J8" s="40">
        <f t="shared" si="0"/>
        <v>13</v>
      </c>
      <c r="K8" s="43">
        <v>19</v>
      </c>
      <c r="L8" s="43">
        <f t="shared" si="1"/>
        <v>247</v>
      </c>
      <c r="M8" s="32" t="s">
        <v>48</v>
      </c>
    </row>
    <row r="9" s="1" customFormat="1" spans="1:14">
      <c r="A9" s="34" t="s">
        <v>38</v>
      </c>
      <c r="B9" s="47">
        <v>45465</v>
      </c>
      <c r="C9" s="46">
        <v>66</v>
      </c>
      <c r="D9" s="47">
        <v>240622</v>
      </c>
      <c r="E9" s="48"/>
      <c r="F9" s="48"/>
      <c r="G9" s="49" t="s">
        <v>49</v>
      </c>
      <c r="H9" s="50">
        <v>1</v>
      </c>
      <c r="I9" s="48">
        <v>5</v>
      </c>
      <c r="J9" s="48">
        <f t="shared" si="0"/>
        <v>5</v>
      </c>
      <c r="K9" s="51">
        <v>19</v>
      </c>
      <c r="L9" s="51">
        <f t="shared" si="1"/>
        <v>95</v>
      </c>
      <c r="M9" s="34" t="s">
        <v>50</v>
      </c>
      <c r="N9" s="34"/>
    </row>
    <row r="10" s="2" customFormat="1" spans="1:14">
      <c r="A10" s="32" t="s">
        <v>36</v>
      </c>
      <c r="B10" s="39">
        <v>45481</v>
      </c>
      <c r="C10" s="38">
        <v>25</v>
      </c>
      <c r="D10" s="39"/>
      <c r="E10" s="40"/>
      <c r="F10" s="40"/>
      <c r="G10" s="41" t="s">
        <v>12</v>
      </c>
      <c r="H10" s="69">
        <v>2</v>
      </c>
      <c r="I10" s="40">
        <v>1</v>
      </c>
      <c r="J10" s="40">
        <f t="shared" si="0"/>
        <v>2</v>
      </c>
      <c r="K10" s="43">
        <v>7</v>
      </c>
      <c r="L10" s="43">
        <f t="shared" si="1"/>
        <v>14</v>
      </c>
      <c r="M10" s="32" t="s">
        <v>51</v>
      </c>
    </row>
    <row r="11" s="1" customFormat="1" spans="1:14">
      <c r="A11" s="34" t="s">
        <v>38</v>
      </c>
      <c r="B11" s="47">
        <v>45481</v>
      </c>
      <c r="C11" s="46">
        <v>26</v>
      </c>
      <c r="D11" s="47" t="s">
        <v>52</v>
      </c>
      <c r="E11" s="48"/>
      <c r="F11" s="48"/>
      <c r="G11" s="49" t="s">
        <v>53</v>
      </c>
      <c r="H11" s="50">
        <v>1</v>
      </c>
      <c r="I11" s="48">
        <v>5</v>
      </c>
      <c r="J11" s="48">
        <f t="shared" si="0"/>
        <v>5</v>
      </c>
      <c r="K11" s="51">
        <v>25</v>
      </c>
      <c r="L11" s="51">
        <f t="shared" si="1"/>
        <v>125</v>
      </c>
      <c r="M11" s="34"/>
      <c r="N11" s="34"/>
    </row>
    <row r="12" s="1" customFormat="1" spans="1:14">
      <c r="A12" s="34" t="s">
        <v>38</v>
      </c>
      <c r="B12" s="47">
        <v>45481</v>
      </c>
      <c r="C12" s="46">
        <v>26</v>
      </c>
      <c r="D12" s="47" t="s">
        <v>54</v>
      </c>
      <c r="E12" s="48"/>
      <c r="F12" s="48"/>
      <c r="G12" s="49" t="s">
        <v>55</v>
      </c>
      <c r="H12" s="50">
        <v>1</v>
      </c>
      <c r="I12" s="48">
        <v>2</v>
      </c>
      <c r="J12" s="48">
        <f t="shared" si="0"/>
        <v>2</v>
      </c>
      <c r="K12" s="51">
        <v>25</v>
      </c>
      <c r="L12" s="51">
        <f t="shared" si="1"/>
        <v>50</v>
      </c>
      <c r="M12" s="93" t="s">
        <v>56</v>
      </c>
      <c r="N12" s="34"/>
    </row>
    <row r="13" customFormat="1" spans="1:14">
      <c r="A13" s="32" t="s">
        <v>38</v>
      </c>
      <c r="B13" s="39">
        <v>45484</v>
      </c>
      <c r="C13" s="38">
        <v>37</v>
      </c>
      <c r="D13" s="39" t="s">
        <v>46</v>
      </c>
      <c r="E13" s="40"/>
      <c r="F13" s="40"/>
      <c r="G13" s="41" t="s">
        <v>47</v>
      </c>
      <c r="H13" s="42">
        <v>1</v>
      </c>
      <c r="I13" s="40">
        <v>26</v>
      </c>
      <c r="J13" s="40">
        <f t="shared" si="0"/>
        <v>26</v>
      </c>
      <c r="K13" s="43">
        <v>19</v>
      </c>
      <c r="L13" s="43">
        <f t="shared" si="1"/>
        <v>494</v>
      </c>
      <c r="M13" s="32" t="s">
        <v>51</v>
      </c>
      <c r="N13" s="32"/>
    </row>
    <row r="14" s="1" customFormat="1" spans="1:14">
      <c r="A14" s="34" t="s">
        <v>38</v>
      </c>
      <c r="B14" s="47">
        <v>45491</v>
      </c>
      <c r="C14" s="46">
        <v>63</v>
      </c>
      <c r="D14" s="47">
        <v>45485</v>
      </c>
      <c r="E14" s="48"/>
      <c r="F14" s="48"/>
      <c r="G14" s="49" t="s">
        <v>57</v>
      </c>
      <c r="H14" s="50">
        <v>1</v>
      </c>
      <c r="I14" s="48">
        <v>18</v>
      </c>
      <c r="J14" s="48">
        <f t="shared" si="0"/>
        <v>18</v>
      </c>
      <c r="K14" s="51">
        <v>8.5</v>
      </c>
      <c r="L14" s="51">
        <f t="shared" si="1"/>
        <v>153</v>
      </c>
      <c r="M14" s="32" t="s">
        <v>51</v>
      </c>
      <c r="N14" s="34"/>
    </row>
    <row r="15" ht="19" customHeight="1" spans="1:14">
      <c r="A15" s="34" t="s">
        <v>38</v>
      </c>
      <c r="B15" s="47">
        <v>45491</v>
      </c>
      <c r="C15" s="46">
        <v>63</v>
      </c>
      <c r="D15" s="48" t="s">
        <v>58</v>
      </c>
      <c r="E15" s="48"/>
      <c r="F15" s="48"/>
      <c r="G15" s="49" t="s">
        <v>59</v>
      </c>
      <c r="H15" s="50">
        <v>1</v>
      </c>
      <c r="I15" s="48">
        <v>3</v>
      </c>
      <c r="J15" s="48">
        <f t="shared" si="0"/>
        <v>3</v>
      </c>
      <c r="K15" s="51">
        <v>19</v>
      </c>
      <c r="L15" s="51">
        <f t="shared" si="1"/>
        <v>57</v>
      </c>
      <c r="M15" s="32" t="s">
        <v>51</v>
      </c>
    </row>
    <row r="16" s="2" customFormat="1" ht="19" customHeight="1" spans="1:14">
      <c r="A16" s="32" t="s">
        <v>60</v>
      </c>
      <c r="B16" s="39">
        <v>45493</v>
      </c>
      <c r="C16" s="38">
        <v>72</v>
      </c>
      <c r="D16" s="40" t="s">
        <v>61</v>
      </c>
      <c r="E16" s="40"/>
      <c r="F16" s="40"/>
      <c r="G16" s="41" t="s">
        <v>62</v>
      </c>
      <c r="H16" s="42">
        <v>1</v>
      </c>
      <c r="I16" s="40">
        <v>20</v>
      </c>
      <c r="J16" s="40">
        <f t="shared" si="0"/>
        <v>20</v>
      </c>
      <c r="K16" s="43">
        <v>12</v>
      </c>
      <c r="L16" s="43">
        <f t="shared" si="1"/>
        <v>240</v>
      </c>
      <c r="M16" s="32" t="s">
        <v>63</v>
      </c>
    </row>
    <row r="17" s="1" customFormat="1" ht="19" customHeight="1" spans="1:15">
      <c r="A17" s="34" t="s">
        <v>60</v>
      </c>
      <c r="B17" s="47">
        <v>45507</v>
      </c>
      <c r="C17" s="46">
        <v>4</v>
      </c>
      <c r="D17" s="48" t="s">
        <v>61</v>
      </c>
      <c r="E17" s="48"/>
      <c r="F17" s="48"/>
      <c r="G17" s="49" t="s">
        <v>62</v>
      </c>
      <c r="H17" s="50">
        <v>1</v>
      </c>
      <c r="I17" s="48">
        <v>20</v>
      </c>
      <c r="J17" s="48">
        <f t="shared" si="0"/>
        <v>20</v>
      </c>
      <c r="K17" s="51">
        <v>12</v>
      </c>
      <c r="L17" s="51">
        <f t="shared" si="1"/>
        <v>240</v>
      </c>
      <c r="M17" s="34" t="s">
        <v>63</v>
      </c>
      <c r="N17" s="34"/>
    </row>
    <row r="18" s="33" customFormat="1" spans="1:15">
      <c r="A18" s="34" t="s">
        <v>38</v>
      </c>
      <c r="B18" s="45">
        <v>45514</v>
      </c>
      <c r="C18" s="46">
        <v>21</v>
      </c>
      <c r="D18" s="48" t="s">
        <v>64</v>
      </c>
      <c r="E18" s="48"/>
      <c r="F18" s="48"/>
      <c r="G18" s="49" t="s">
        <v>65</v>
      </c>
      <c r="H18" s="50">
        <v>1</v>
      </c>
      <c r="I18" s="48">
        <v>25</v>
      </c>
      <c r="J18" s="48">
        <f t="shared" si="0"/>
        <v>25</v>
      </c>
      <c r="K18" s="51">
        <v>13.5</v>
      </c>
      <c r="L18" s="51">
        <f t="shared" si="1"/>
        <v>337.5</v>
      </c>
      <c r="M18" s="34"/>
      <c r="N18" s="48"/>
    </row>
    <row r="19" s="33" customFormat="1" spans="1:15">
      <c r="A19" s="34" t="s">
        <v>38</v>
      </c>
      <c r="B19" s="45">
        <v>45514</v>
      </c>
      <c r="C19" s="46">
        <v>21</v>
      </c>
      <c r="D19" s="48" t="s">
        <v>66</v>
      </c>
      <c r="E19" s="48"/>
      <c r="F19" s="48"/>
      <c r="G19" s="49" t="s">
        <v>67</v>
      </c>
      <c r="H19" s="50">
        <v>5</v>
      </c>
      <c r="I19" s="48">
        <v>28</v>
      </c>
      <c r="J19" s="48">
        <f t="shared" si="0"/>
        <v>140</v>
      </c>
      <c r="K19" s="51">
        <v>9.5</v>
      </c>
      <c r="L19" s="51">
        <f t="shared" si="1"/>
        <v>1330</v>
      </c>
      <c r="M19" s="1" t="s">
        <v>68</v>
      </c>
      <c r="N19" s="60">
        <f>SUM(L18:L19)</f>
        <v>1667.5</v>
      </c>
      <c r="O19" s="55" t="s">
        <v>51</v>
      </c>
    </row>
    <row r="20" s="31" customFormat="1" spans="1:15">
      <c r="A20" s="31" t="s">
        <v>36</v>
      </c>
      <c r="B20" s="92">
        <v>45517</v>
      </c>
      <c r="C20" s="38">
        <v>36</v>
      </c>
      <c r="D20" s="40"/>
      <c r="E20" s="40"/>
      <c r="F20" s="40"/>
      <c r="G20" s="32" t="s">
        <v>69</v>
      </c>
      <c r="H20" s="40">
        <v>1</v>
      </c>
      <c r="I20" s="40">
        <v>15</v>
      </c>
      <c r="J20" s="40">
        <f t="shared" si="0"/>
        <v>15</v>
      </c>
      <c r="K20" s="44">
        <v>22</v>
      </c>
      <c r="L20" s="43">
        <f t="shared" si="1"/>
        <v>330</v>
      </c>
      <c r="M20" s="32"/>
      <c r="N20" s="41"/>
    </row>
    <row r="21" s="2" customFormat="1" ht="19" customHeight="1" spans="1:15">
      <c r="A21" s="31" t="s">
        <v>36</v>
      </c>
      <c r="B21" s="92">
        <v>45517</v>
      </c>
      <c r="C21" s="38">
        <v>36</v>
      </c>
      <c r="D21" s="40"/>
      <c r="E21" s="40"/>
      <c r="F21" s="40"/>
      <c r="G21" s="41" t="s">
        <v>12</v>
      </c>
      <c r="H21" s="69">
        <v>1</v>
      </c>
      <c r="I21" s="40">
        <v>1</v>
      </c>
      <c r="J21" s="40">
        <f t="shared" si="0"/>
        <v>1</v>
      </c>
      <c r="K21" s="43">
        <v>7</v>
      </c>
      <c r="L21" s="43">
        <f t="shared" si="1"/>
        <v>7</v>
      </c>
      <c r="M21" s="32">
        <f>SUM(L20:L21)</f>
        <v>337</v>
      </c>
    </row>
    <row r="22" s="33" customFormat="1" spans="1:15">
      <c r="A22" s="34" t="s">
        <v>38</v>
      </c>
      <c r="B22" s="45">
        <v>45524</v>
      </c>
      <c r="C22" s="46">
        <v>69</v>
      </c>
      <c r="D22" s="48" t="s">
        <v>70</v>
      </c>
      <c r="E22" s="48"/>
      <c r="F22" s="48"/>
      <c r="G22" s="49" t="s">
        <v>71</v>
      </c>
      <c r="H22" s="50">
        <v>2</v>
      </c>
      <c r="I22" s="48">
        <v>25</v>
      </c>
      <c r="J22" s="48">
        <f t="shared" si="0"/>
        <v>50</v>
      </c>
      <c r="K22" s="51">
        <v>19</v>
      </c>
      <c r="L22" s="51">
        <f t="shared" si="1"/>
        <v>950</v>
      </c>
      <c r="M22" s="66" t="s">
        <v>72</v>
      </c>
      <c r="N22" s="48"/>
    </row>
    <row r="23" s="33" customFormat="1" spans="1:15">
      <c r="A23" s="34" t="s">
        <v>38</v>
      </c>
      <c r="B23" s="45">
        <v>45524</v>
      </c>
      <c r="C23" s="46">
        <v>69</v>
      </c>
      <c r="D23" s="48"/>
      <c r="E23" s="48"/>
      <c r="F23" s="48"/>
      <c r="G23" s="49" t="s">
        <v>73</v>
      </c>
      <c r="H23" s="50">
        <v>2</v>
      </c>
      <c r="I23" s="48">
        <v>20</v>
      </c>
      <c r="J23" s="48">
        <f t="shared" si="0"/>
        <v>40</v>
      </c>
      <c r="K23" s="51">
        <v>19</v>
      </c>
      <c r="L23" s="51">
        <f t="shared" si="1"/>
        <v>760</v>
      </c>
      <c r="M23" s="66" t="s">
        <v>74</v>
      </c>
      <c r="N23" s="48"/>
    </row>
    <row r="24" s="33" customFormat="1" spans="1:15">
      <c r="A24" s="34" t="s">
        <v>38</v>
      </c>
      <c r="B24" s="45">
        <v>45524</v>
      </c>
      <c r="C24" s="46">
        <v>69</v>
      </c>
      <c r="D24" s="48" t="s">
        <v>75</v>
      </c>
      <c r="E24" s="48"/>
      <c r="F24" s="48"/>
      <c r="G24" s="49" t="s">
        <v>76</v>
      </c>
      <c r="H24" s="50">
        <v>2</v>
      </c>
      <c r="I24" s="48">
        <v>20</v>
      </c>
      <c r="J24" s="48">
        <f t="shared" si="0"/>
        <v>40</v>
      </c>
      <c r="K24" s="51">
        <v>19</v>
      </c>
      <c r="L24" s="51">
        <f t="shared" si="1"/>
        <v>760</v>
      </c>
      <c r="M24" s="1" t="s">
        <v>77</v>
      </c>
      <c r="N24" s="48" t="s">
        <v>51</v>
      </c>
    </row>
    <row r="25" s="33" customFormat="1" spans="1:15">
      <c r="A25" s="34" t="s">
        <v>38</v>
      </c>
      <c r="B25" s="45">
        <v>45524</v>
      </c>
      <c r="C25" s="46">
        <v>69</v>
      </c>
      <c r="D25" s="48"/>
      <c r="E25" s="48"/>
      <c r="F25" s="48"/>
      <c r="G25" s="49" t="s">
        <v>78</v>
      </c>
      <c r="H25" s="50">
        <v>2</v>
      </c>
      <c r="I25" s="48">
        <v>20</v>
      </c>
      <c r="J25" s="48">
        <f t="shared" si="0"/>
        <v>40</v>
      </c>
      <c r="K25" s="51">
        <v>19</v>
      </c>
      <c r="L25" s="51">
        <f t="shared" si="1"/>
        <v>760</v>
      </c>
      <c r="M25" s="1" t="s">
        <v>79</v>
      </c>
      <c r="N25" s="48">
        <f>SUM(L22:L25)</f>
        <v>3230</v>
      </c>
    </row>
    <row r="26" s="2" customFormat="1" ht="19" customHeight="1" spans="1:15">
      <c r="A26" s="32" t="s">
        <v>60</v>
      </c>
      <c r="B26" s="39">
        <v>45538</v>
      </c>
      <c r="C26" s="38">
        <v>4</v>
      </c>
      <c r="D26" s="40"/>
      <c r="E26" s="40"/>
      <c r="F26" s="40"/>
      <c r="G26" s="41" t="s">
        <v>80</v>
      </c>
      <c r="H26" s="42">
        <v>1</v>
      </c>
      <c r="I26" s="40">
        <v>10</v>
      </c>
      <c r="J26" s="40">
        <f t="shared" si="0"/>
        <v>10</v>
      </c>
      <c r="K26" s="43">
        <v>15</v>
      </c>
      <c r="L26" s="43">
        <f t="shared" si="1"/>
        <v>150</v>
      </c>
      <c r="M26" s="74" t="s">
        <v>81</v>
      </c>
    </row>
    <row r="27" s="2" customFormat="1" ht="19" customHeight="1" spans="1:15">
      <c r="A27" s="32" t="s">
        <v>60</v>
      </c>
      <c r="B27" s="39">
        <v>45538</v>
      </c>
      <c r="C27" s="38">
        <v>4</v>
      </c>
      <c r="D27" s="40"/>
      <c r="E27" s="40"/>
      <c r="F27" s="40"/>
      <c r="G27" s="41" t="s">
        <v>82</v>
      </c>
      <c r="H27" s="42"/>
      <c r="I27" s="40"/>
      <c r="J27" s="40"/>
      <c r="K27" s="43"/>
      <c r="L27" s="43"/>
      <c r="M27" s="32"/>
    </row>
    <row r="28" s="63" customFormat="1" ht="19" customHeight="1" spans="1:15">
      <c r="A28" s="35" t="s">
        <v>83</v>
      </c>
      <c r="B28" s="59">
        <v>45542</v>
      </c>
      <c r="C28" s="58">
        <v>23</v>
      </c>
      <c r="D28" s="59">
        <v>45541</v>
      </c>
      <c r="E28" s="60"/>
      <c r="F28" s="60"/>
      <c r="G28" s="61" t="s">
        <v>84</v>
      </c>
      <c r="H28" s="67">
        <v>1</v>
      </c>
      <c r="I28" s="60">
        <v>52</v>
      </c>
      <c r="J28" s="60">
        <f t="shared" ref="J28:J58" si="2">H28*I28</f>
        <v>52</v>
      </c>
      <c r="K28" s="62">
        <v>1</v>
      </c>
      <c r="L28" s="62">
        <f t="shared" ref="L28:L58" si="3">J28*K28</f>
        <v>52</v>
      </c>
      <c r="M28" s="35" t="s">
        <v>51</v>
      </c>
      <c r="N28" s="35"/>
    </row>
    <row r="29" s="1" customFormat="1" ht="19" customHeight="1" spans="1:15">
      <c r="A29" s="34" t="s">
        <v>38</v>
      </c>
      <c r="B29" s="47">
        <v>45544</v>
      </c>
      <c r="C29" s="46">
        <v>31</v>
      </c>
      <c r="D29" s="48" t="s">
        <v>70</v>
      </c>
      <c r="E29" s="48"/>
      <c r="F29" s="48"/>
      <c r="G29" s="49" t="s">
        <v>71</v>
      </c>
      <c r="H29" s="50">
        <v>3</v>
      </c>
      <c r="I29" s="48">
        <v>25</v>
      </c>
      <c r="J29" s="48">
        <f t="shared" si="2"/>
        <v>75</v>
      </c>
      <c r="K29" s="51">
        <v>19</v>
      </c>
      <c r="L29" s="51">
        <f t="shared" si="3"/>
        <v>1425</v>
      </c>
      <c r="M29" s="34" t="s">
        <v>72</v>
      </c>
      <c r="N29" s="34"/>
    </row>
    <row r="30" s="1" customFormat="1" ht="19" customHeight="1" spans="1:15">
      <c r="A30" s="34" t="s">
        <v>38</v>
      </c>
      <c r="B30" s="47">
        <v>45544</v>
      </c>
      <c r="C30" s="46">
        <v>31</v>
      </c>
      <c r="D30" s="48"/>
      <c r="E30" s="48"/>
      <c r="F30" s="48"/>
      <c r="G30" s="49" t="s">
        <v>73</v>
      </c>
      <c r="H30" s="50">
        <v>3</v>
      </c>
      <c r="I30" s="48">
        <v>20</v>
      </c>
      <c r="J30" s="48">
        <f t="shared" si="2"/>
        <v>60</v>
      </c>
      <c r="K30" s="51">
        <v>19</v>
      </c>
      <c r="L30" s="51">
        <f t="shared" si="3"/>
        <v>1140</v>
      </c>
      <c r="M30" s="34" t="s">
        <v>85</v>
      </c>
      <c r="N30" s="34"/>
    </row>
    <row r="31" s="1" customFormat="1" ht="19" customHeight="1" spans="1:15">
      <c r="A31" s="34" t="s">
        <v>38</v>
      </c>
      <c r="B31" s="47">
        <v>45544</v>
      </c>
      <c r="C31" s="46">
        <v>31</v>
      </c>
      <c r="D31" s="48" t="s">
        <v>75</v>
      </c>
      <c r="E31" s="48"/>
      <c r="F31" s="48"/>
      <c r="G31" s="49" t="s">
        <v>76</v>
      </c>
      <c r="H31" s="50">
        <v>3</v>
      </c>
      <c r="I31" s="48">
        <v>20</v>
      </c>
      <c r="J31" s="48">
        <f t="shared" si="2"/>
        <v>60</v>
      </c>
      <c r="K31" s="51">
        <v>19</v>
      </c>
      <c r="L31" s="51">
        <f t="shared" si="3"/>
        <v>1140</v>
      </c>
      <c r="M31" s="34" t="s">
        <v>77</v>
      </c>
      <c r="N31" s="63" t="s">
        <v>51</v>
      </c>
    </row>
    <row r="32" s="33" customFormat="1" spans="1:15">
      <c r="A32" s="34" t="s">
        <v>38</v>
      </c>
      <c r="B32" s="47">
        <v>45544</v>
      </c>
      <c r="C32" s="46">
        <v>31</v>
      </c>
      <c r="D32" s="48" t="s">
        <v>66</v>
      </c>
      <c r="E32" s="48"/>
      <c r="F32" s="48"/>
      <c r="G32" s="49" t="s">
        <v>67</v>
      </c>
      <c r="H32" s="50">
        <v>5</v>
      </c>
      <c r="I32" s="48">
        <v>28</v>
      </c>
      <c r="J32" s="48">
        <f t="shared" si="2"/>
        <v>140</v>
      </c>
      <c r="K32" s="51">
        <v>9.5</v>
      </c>
      <c r="L32" s="51">
        <f t="shared" si="3"/>
        <v>1330</v>
      </c>
      <c r="M32" s="1" t="s">
        <v>86</v>
      </c>
      <c r="N32" s="60">
        <f>SUM(L29:L33)</f>
        <v>3895</v>
      </c>
      <c r="O32" s="33" t="s">
        <v>51</v>
      </c>
    </row>
    <row r="33" s="1" customFormat="1" ht="19" customHeight="1" spans="1:17">
      <c r="A33" s="34" t="s">
        <v>38</v>
      </c>
      <c r="B33" s="47">
        <v>45544</v>
      </c>
      <c r="C33" s="46">
        <v>31</v>
      </c>
      <c r="D33" s="48"/>
      <c r="E33" s="48"/>
      <c r="F33" s="48"/>
      <c r="G33" s="49" t="s">
        <v>87</v>
      </c>
      <c r="H33" s="50">
        <v>-3</v>
      </c>
      <c r="I33" s="48">
        <v>20</v>
      </c>
      <c r="J33" s="48">
        <f t="shared" si="2"/>
        <v>-60</v>
      </c>
      <c r="K33" s="51">
        <v>19</v>
      </c>
      <c r="L33" s="51">
        <f t="shared" si="3"/>
        <v>-1140</v>
      </c>
      <c r="M33" s="34"/>
      <c r="N33" s="34"/>
    </row>
    <row r="34" s="63" customFormat="1" ht="19" customHeight="1" spans="1:17">
      <c r="A34" s="55" t="s">
        <v>36</v>
      </c>
      <c r="B34" s="90">
        <v>45547</v>
      </c>
      <c r="C34" s="58">
        <v>43</v>
      </c>
      <c r="D34" s="60"/>
      <c r="E34" s="60"/>
      <c r="F34" s="60"/>
      <c r="G34" s="61" t="s">
        <v>88</v>
      </c>
      <c r="H34" s="77">
        <v>10</v>
      </c>
      <c r="I34" s="60">
        <v>1</v>
      </c>
      <c r="J34" s="60">
        <f t="shared" si="2"/>
        <v>10</v>
      </c>
      <c r="K34" s="62">
        <v>12</v>
      </c>
      <c r="L34" s="62">
        <f t="shared" si="3"/>
        <v>120</v>
      </c>
      <c r="M34" s="35"/>
      <c r="N34" s="35"/>
    </row>
    <row r="35" s="82" customFormat="1" spans="1:17">
      <c r="A35" s="34" t="s">
        <v>89</v>
      </c>
      <c r="B35" s="94">
        <v>45556</v>
      </c>
      <c r="C35" s="95">
        <v>65</v>
      </c>
      <c r="D35" s="53" t="s">
        <v>90</v>
      </c>
      <c r="E35" s="53"/>
      <c r="F35" s="53"/>
      <c r="G35" s="49" t="s">
        <v>91</v>
      </c>
      <c r="H35" s="53">
        <v>1</v>
      </c>
      <c r="I35" s="53">
        <v>5</v>
      </c>
      <c r="J35" s="48">
        <f t="shared" si="2"/>
        <v>5</v>
      </c>
      <c r="K35" s="51">
        <v>28</v>
      </c>
      <c r="L35" s="96">
        <f t="shared" si="3"/>
        <v>140</v>
      </c>
      <c r="M35" s="93" t="s">
        <v>92</v>
      </c>
      <c r="N35" s="97"/>
      <c r="O35" s="51">
        <v>28</v>
      </c>
      <c r="P35" s="98">
        <f t="shared" ref="P35:P38" si="4">J35*O35</f>
        <v>140</v>
      </c>
      <c r="Q35" s="99">
        <v>820</v>
      </c>
    </row>
    <row r="36" s="34" customFormat="1" spans="1:17">
      <c r="A36" s="34" t="s">
        <v>89</v>
      </c>
      <c r="B36" s="94">
        <v>45556</v>
      </c>
      <c r="C36" s="95">
        <v>65</v>
      </c>
      <c r="D36" s="53" t="s">
        <v>93</v>
      </c>
      <c r="E36" s="53"/>
      <c r="F36" s="53"/>
      <c r="G36" s="49" t="s">
        <v>94</v>
      </c>
      <c r="H36" s="53">
        <v>1</v>
      </c>
      <c r="I36" s="53">
        <v>10</v>
      </c>
      <c r="J36" s="48">
        <f t="shared" si="2"/>
        <v>10</v>
      </c>
      <c r="K36" s="51">
        <v>10.5</v>
      </c>
      <c r="L36" s="96">
        <f t="shared" si="3"/>
        <v>105</v>
      </c>
      <c r="M36" s="53"/>
      <c r="N36" s="97"/>
      <c r="O36" s="98">
        <v>10.5</v>
      </c>
      <c r="P36" s="98">
        <f t="shared" si="4"/>
        <v>105</v>
      </c>
      <c r="Q36" s="99"/>
    </row>
    <row r="37" s="34" customFormat="1" spans="1:17">
      <c r="A37" s="34" t="s">
        <v>89</v>
      </c>
      <c r="B37" s="94">
        <v>45556</v>
      </c>
      <c r="C37" s="95">
        <v>65</v>
      </c>
      <c r="D37" s="53"/>
      <c r="E37" s="53"/>
      <c r="F37" s="53"/>
      <c r="G37" s="49" t="s">
        <v>95</v>
      </c>
      <c r="H37" s="53">
        <v>1</v>
      </c>
      <c r="I37" s="48">
        <v>10</v>
      </c>
      <c r="J37" s="48">
        <f t="shared" si="2"/>
        <v>10</v>
      </c>
      <c r="K37" s="51">
        <v>22.5</v>
      </c>
      <c r="L37" s="96">
        <f t="shared" si="3"/>
        <v>225</v>
      </c>
      <c r="M37" s="100" t="s">
        <v>96</v>
      </c>
      <c r="N37" s="97"/>
      <c r="O37" s="51">
        <v>22.5</v>
      </c>
      <c r="P37" s="98">
        <f t="shared" si="4"/>
        <v>225</v>
      </c>
      <c r="Q37" s="99">
        <f>SUM(P35:P37)</f>
        <v>470</v>
      </c>
    </row>
    <row r="38" s="34" customFormat="1" spans="1:17">
      <c r="A38" s="34" t="s">
        <v>89</v>
      </c>
      <c r="B38" s="94">
        <v>45556</v>
      </c>
      <c r="C38" s="95">
        <v>65</v>
      </c>
      <c r="D38" s="53" t="s">
        <v>97</v>
      </c>
      <c r="E38" s="53"/>
      <c r="F38" s="53"/>
      <c r="G38" s="49" t="s">
        <v>98</v>
      </c>
      <c r="H38" s="48">
        <v>1</v>
      </c>
      <c r="I38" s="53">
        <v>10</v>
      </c>
      <c r="J38" s="48">
        <f t="shared" si="2"/>
        <v>10</v>
      </c>
      <c r="K38" s="51">
        <v>16</v>
      </c>
      <c r="L38" s="96">
        <f t="shared" si="3"/>
        <v>160</v>
      </c>
      <c r="M38" s="49" t="s">
        <v>99</v>
      </c>
      <c r="N38" s="97"/>
      <c r="O38" s="51">
        <v>16</v>
      </c>
      <c r="P38" s="98">
        <f t="shared" si="4"/>
        <v>160</v>
      </c>
      <c r="Q38" s="99"/>
    </row>
    <row r="39" s="2" customFormat="1" ht="19" customHeight="1" spans="1:17">
      <c r="A39" s="32" t="s">
        <v>60</v>
      </c>
      <c r="B39" s="39">
        <v>45559</v>
      </c>
      <c r="C39" s="38">
        <v>79</v>
      </c>
      <c r="D39" s="40"/>
      <c r="E39" s="40"/>
      <c r="F39" s="40"/>
      <c r="G39" s="41" t="s">
        <v>80</v>
      </c>
      <c r="H39" s="42">
        <v>1</v>
      </c>
      <c r="I39" s="40">
        <v>10</v>
      </c>
      <c r="J39" s="40">
        <f t="shared" si="2"/>
        <v>10</v>
      </c>
      <c r="K39" s="43">
        <v>14</v>
      </c>
      <c r="L39" s="96">
        <f t="shared" si="3"/>
        <v>140</v>
      </c>
      <c r="M39" s="74" t="s">
        <v>100</v>
      </c>
    </row>
    <row r="40" s="1" customFormat="1" ht="19" customHeight="1" spans="1:17">
      <c r="A40" s="33" t="s">
        <v>36</v>
      </c>
      <c r="B40" s="101">
        <v>45545</v>
      </c>
      <c r="C40" s="46">
        <v>85</v>
      </c>
      <c r="D40" s="47">
        <v>45560</v>
      </c>
      <c r="E40" s="48"/>
      <c r="F40" s="48"/>
      <c r="G40" s="49" t="s">
        <v>88</v>
      </c>
      <c r="H40" s="68">
        <v>10</v>
      </c>
      <c r="I40" s="48">
        <v>1</v>
      </c>
      <c r="J40" s="48">
        <f t="shared" si="2"/>
        <v>10</v>
      </c>
      <c r="K40" s="51">
        <v>12</v>
      </c>
      <c r="L40" s="51">
        <f t="shared" si="3"/>
        <v>120</v>
      </c>
      <c r="M40" s="34"/>
      <c r="N40" s="34"/>
    </row>
    <row r="41" s="1" customFormat="1" ht="19" customHeight="1" spans="1:17">
      <c r="A41" s="33" t="s">
        <v>36</v>
      </c>
      <c r="B41" s="101">
        <v>45545</v>
      </c>
      <c r="C41" s="46">
        <v>85</v>
      </c>
      <c r="D41" s="47">
        <v>45560</v>
      </c>
      <c r="E41" s="48"/>
      <c r="F41" s="48"/>
      <c r="G41" s="49" t="s">
        <v>101</v>
      </c>
      <c r="H41" s="68">
        <v>4</v>
      </c>
      <c r="I41" s="48">
        <v>1</v>
      </c>
      <c r="J41" s="48">
        <f t="shared" si="2"/>
        <v>4</v>
      </c>
      <c r="K41" s="51">
        <v>11.5</v>
      </c>
      <c r="L41" s="51">
        <f t="shared" si="3"/>
        <v>46</v>
      </c>
      <c r="M41" s="34"/>
      <c r="N41" s="34">
        <f>SUM(L40:L42)</f>
        <v>1111</v>
      </c>
    </row>
    <row r="42" s="1" customFormat="1" ht="19" customHeight="1" spans="1:17">
      <c r="A42" s="33" t="s">
        <v>36</v>
      </c>
      <c r="B42" s="101">
        <v>45545</v>
      </c>
      <c r="C42" s="46">
        <v>85</v>
      </c>
      <c r="D42" s="47">
        <v>45560</v>
      </c>
      <c r="E42" s="48"/>
      <c r="F42" s="48"/>
      <c r="G42" s="49" t="s">
        <v>102</v>
      </c>
      <c r="H42" s="68">
        <v>1</v>
      </c>
      <c r="I42" s="48">
        <v>75</v>
      </c>
      <c r="J42" s="48">
        <f t="shared" si="2"/>
        <v>75</v>
      </c>
      <c r="K42" s="51">
        <v>12.6</v>
      </c>
      <c r="L42" s="51">
        <f t="shared" si="3"/>
        <v>945</v>
      </c>
      <c r="M42" s="34"/>
      <c r="N42" s="34"/>
    </row>
    <row r="43" s="2" customFormat="1" ht="19" customHeight="1" spans="1:17">
      <c r="A43" s="32" t="s">
        <v>83</v>
      </c>
      <c r="B43" s="39">
        <v>45563</v>
      </c>
      <c r="C43" s="38">
        <v>94</v>
      </c>
      <c r="D43" s="39">
        <v>45563</v>
      </c>
      <c r="E43" s="40"/>
      <c r="F43" s="40"/>
      <c r="G43" s="41" t="s">
        <v>103</v>
      </c>
      <c r="H43" s="102">
        <v>1</v>
      </c>
      <c r="I43" s="40">
        <v>1.5</v>
      </c>
      <c r="J43" s="40">
        <f t="shared" si="2"/>
        <v>1.5</v>
      </c>
      <c r="K43" s="43">
        <v>12</v>
      </c>
      <c r="L43" s="43">
        <f t="shared" si="3"/>
        <v>18</v>
      </c>
      <c r="M43" s="35" t="s">
        <v>51</v>
      </c>
      <c r="N43" s="32"/>
    </row>
    <row r="44" s="2" customFormat="1" ht="19" customHeight="1" spans="1:17">
      <c r="A44" s="32" t="s">
        <v>83</v>
      </c>
      <c r="B44" s="39">
        <v>45563</v>
      </c>
      <c r="C44" s="38">
        <v>94</v>
      </c>
      <c r="D44" s="39">
        <v>45563</v>
      </c>
      <c r="E44" s="40"/>
      <c r="F44" s="40"/>
      <c r="G44" s="41" t="s">
        <v>104</v>
      </c>
      <c r="H44" s="42">
        <v>1</v>
      </c>
      <c r="I44" s="40">
        <v>1</v>
      </c>
      <c r="J44" s="40">
        <f t="shared" si="2"/>
        <v>1</v>
      </c>
      <c r="K44" s="43">
        <v>6.5</v>
      </c>
      <c r="L44" s="43">
        <f t="shared" si="3"/>
        <v>6.5</v>
      </c>
      <c r="M44" s="35" t="s">
        <v>51</v>
      </c>
      <c r="N44" s="32"/>
    </row>
    <row r="45" s="2" customFormat="1" ht="19" customHeight="1" spans="1:17">
      <c r="A45" s="32" t="s">
        <v>83</v>
      </c>
      <c r="B45" s="39">
        <v>45563</v>
      </c>
      <c r="C45" s="38">
        <v>94</v>
      </c>
      <c r="D45" s="39">
        <v>45563</v>
      </c>
      <c r="E45" s="40"/>
      <c r="F45" s="40"/>
      <c r="G45" s="41" t="s">
        <v>105</v>
      </c>
      <c r="H45" s="69">
        <v>1</v>
      </c>
      <c r="I45" s="40">
        <v>1</v>
      </c>
      <c r="J45" s="40">
        <f t="shared" si="2"/>
        <v>1</v>
      </c>
      <c r="K45" s="43">
        <v>5</v>
      </c>
      <c r="L45" s="43">
        <f t="shared" si="3"/>
        <v>5</v>
      </c>
      <c r="M45" s="35" t="s">
        <v>51</v>
      </c>
      <c r="N45" s="32">
        <f>SUM(L43:L45)</f>
        <v>29.5</v>
      </c>
    </row>
    <row r="46" s="1" customFormat="1" ht="19" customHeight="1" spans="1:17">
      <c r="A46" s="33" t="s">
        <v>36</v>
      </c>
      <c r="B46" s="101">
        <v>45571</v>
      </c>
      <c r="C46" s="46">
        <v>7</v>
      </c>
      <c r="D46" s="47">
        <v>45571</v>
      </c>
      <c r="E46" s="48"/>
      <c r="F46" s="48"/>
      <c r="G46" s="49" t="s">
        <v>88</v>
      </c>
      <c r="H46" s="68">
        <v>6</v>
      </c>
      <c r="I46" s="48">
        <v>1</v>
      </c>
      <c r="J46" s="48">
        <f t="shared" si="2"/>
        <v>6</v>
      </c>
      <c r="K46" s="51">
        <v>12</v>
      </c>
      <c r="L46" s="51">
        <f t="shared" si="3"/>
        <v>72</v>
      </c>
      <c r="M46" s="34"/>
      <c r="N46" s="34"/>
    </row>
    <row r="47" s="1" customFormat="1" ht="19" customHeight="1" spans="1:17">
      <c r="A47" s="33" t="s">
        <v>36</v>
      </c>
      <c r="B47" s="101">
        <v>45571</v>
      </c>
      <c r="C47" s="46">
        <v>7</v>
      </c>
      <c r="D47" s="47">
        <v>45571</v>
      </c>
      <c r="E47" s="48"/>
      <c r="F47" s="48"/>
      <c r="G47" s="49" t="s">
        <v>101</v>
      </c>
      <c r="H47" s="68">
        <v>16</v>
      </c>
      <c r="I47" s="48">
        <v>1</v>
      </c>
      <c r="J47" s="48">
        <f t="shared" si="2"/>
        <v>16</v>
      </c>
      <c r="K47" s="51">
        <v>11.5</v>
      </c>
      <c r="L47" s="51">
        <f t="shared" si="3"/>
        <v>184</v>
      </c>
      <c r="M47" s="34">
        <f>SUM(L46:L47)</f>
        <v>256</v>
      </c>
      <c r="N47" s="34">
        <f>SUM(L46:L48)</f>
        <v>428</v>
      </c>
    </row>
    <row r="48" s="63" customFormat="1" ht="19" customHeight="1" spans="1:17">
      <c r="A48" s="35" t="s">
        <v>83</v>
      </c>
      <c r="B48" s="59">
        <v>45571</v>
      </c>
      <c r="C48" s="58">
        <v>8</v>
      </c>
      <c r="D48" s="59">
        <v>45565</v>
      </c>
      <c r="E48" s="60"/>
      <c r="F48" s="60"/>
      <c r="G48" s="61" t="s">
        <v>84</v>
      </c>
      <c r="H48" s="67">
        <v>1</v>
      </c>
      <c r="I48" s="60">
        <v>172</v>
      </c>
      <c r="J48" s="60">
        <f t="shared" si="2"/>
        <v>172</v>
      </c>
      <c r="K48" s="62">
        <v>1</v>
      </c>
      <c r="L48" s="62">
        <f t="shared" si="3"/>
        <v>172</v>
      </c>
      <c r="M48" s="35" t="s">
        <v>51</v>
      </c>
      <c r="N48" s="35"/>
    </row>
    <row r="49" s="2" customFormat="1" spans="1:15">
      <c r="A49" s="32" t="s">
        <v>38</v>
      </c>
      <c r="B49" s="39">
        <v>45577</v>
      </c>
      <c r="C49" s="38">
        <v>33</v>
      </c>
      <c r="D49" s="39" t="s">
        <v>46</v>
      </c>
      <c r="E49" s="40"/>
      <c r="F49" s="40"/>
      <c r="G49" s="41" t="s">
        <v>47</v>
      </c>
      <c r="H49" s="42">
        <v>1</v>
      </c>
      <c r="I49" s="40">
        <v>20</v>
      </c>
      <c r="J49" s="40">
        <f t="shared" si="2"/>
        <v>20</v>
      </c>
      <c r="K49" s="43">
        <v>19</v>
      </c>
      <c r="L49" s="43">
        <f t="shared" si="3"/>
        <v>380</v>
      </c>
      <c r="M49" s="32"/>
      <c r="N49" s="32"/>
    </row>
    <row r="50" s="2" customFormat="1" ht="19" customHeight="1" spans="1:15">
      <c r="A50" s="32" t="s">
        <v>38</v>
      </c>
      <c r="B50" s="39">
        <v>45577</v>
      </c>
      <c r="C50" s="38">
        <v>33</v>
      </c>
      <c r="D50" s="40" t="s">
        <v>106</v>
      </c>
      <c r="E50" s="40"/>
      <c r="F50" s="40"/>
      <c r="G50" s="41" t="s">
        <v>107</v>
      </c>
      <c r="H50" s="42">
        <v>1</v>
      </c>
      <c r="I50" s="40">
        <v>10</v>
      </c>
      <c r="J50" s="40">
        <f t="shared" si="2"/>
        <v>10</v>
      </c>
      <c r="K50" s="43">
        <v>19</v>
      </c>
      <c r="L50" s="43">
        <f t="shared" si="3"/>
        <v>190</v>
      </c>
      <c r="M50" s="74">
        <v>303</v>
      </c>
      <c r="N50" s="63" t="s">
        <v>51</v>
      </c>
    </row>
    <row r="51" s="31" customFormat="1" spans="1:15">
      <c r="A51" s="32" t="s">
        <v>38</v>
      </c>
      <c r="B51" s="39">
        <v>45577</v>
      </c>
      <c r="C51" s="38">
        <v>33</v>
      </c>
      <c r="D51" s="40"/>
      <c r="E51" s="40"/>
      <c r="F51" s="40"/>
      <c r="G51" s="41" t="s">
        <v>78</v>
      </c>
      <c r="H51" s="42">
        <v>2</v>
      </c>
      <c r="I51" s="40">
        <v>20</v>
      </c>
      <c r="J51" s="40">
        <f t="shared" si="2"/>
        <v>40</v>
      </c>
      <c r="K51" s="43">
        <v>19</v>
      </c>
      <c r="L51" s="43">
        <f t="shared" si="3"/>
        <v>760</v>
      </c>
      <c r="M51" s="2" t="s">
        <v>79</v>
      </c>
      <c r="N51" s="40">
        <f>SUM(L49:L51)</f>
        <v>1330</v>
      </c>
    </row>
    <row r="52" s="83" customFormat="1" ht="19" customHeight="1" spans="1:15">
      <c r="A52" s="103" t="s">
        <v>83</v>
      </c>
      <c r="B52" s="104">
        <v>45579</v>
      </c>
      <c r="C52" s="105">
        <v>39</v>
      </c>
      <c r="D52" s="104">
        <v>45575</v>
      </c>
      <c r="E52" s="106"/>
      <c r="F52" s="106"/>
      <c r="G52" s="107" t="s">
        <v>84</v>
      </c>
      <c r="H52" s="108">
        <v>1</v>
      </c>
      <c r="I52" s="106">
        <v>100</v>
      </c>
      <c r="J52" s="106">
        <f t="shared" si="2"/>
        <v>100</v>
      </c>
      <c r="K52" s="109">
        <v>1</v>
      </c>
      <c r="L52" s="109">
        <f t="shared" si="3"/>
        <v>100</v>
      </c>
      <c r="M52" s="103" t="s">
        <v>51</v>
      </c>
      <c r="N52" s="103"/>
    </row>
    <row r="53" s="1" customFormat="1" spans="1:15">
      <c r="A53" s="53" t="s">
        <v>38</v>
      </c>
      <c r="B53" s="45">
        <v>45582</v>
      </c>
      <c r="C53" s="46">
        <v>46</v>
      </c>
      <c r="D53" s="48" t="s">
        <v>66</v>
      </c>
      <c r="E53" s="48"/>
      <c r="F53" s="48"/>
      <c r="G53" s="49" t="s">
        <v>67</v>
      </c>
      <c r="H53" s="50">
        <v>6</v>
      </c>
      <c r="I53" s="48">
        <v>28</v>
      </c>
      <c r="J53" s="48">
        <f t="shared" si="2"/>
        <v>168</v>
      </c>
      <c r="K53" s="51">
        <v>9.5</v>
      </c>
      <c r="L53" s="51">
        <f t="shared" si="3"/>
        <v>1596</v>
      </c>
      <c r="M53" s="34" t="s">
        <v>51</v>
      </c>
      <c r="N53" s="34"/>
    </row>
    <row r="54" s="1" customFormat="1" spans="1:15">
      <c r="A54" s="53" t="s">
        <v>38</v>
      </c>
      <c r="B54" s="45">
        <v>45582</v>
      </c>
      <c r="C54" s="46">
        <v>46</v>
      </c>
      <c r="D54" s="48" t="s">
        <v>64</v>
      </c>
      <c r="E54" s="48"/>
      <c r="F54" s="48"/>
      <c r="G54" s="49" t="s">
        <v>65</v>
      </c>
      <c r="H54" s="50">
        <v>2</v>
      </c>
      <c r="I54" s="48">
        <v>25</v>
      </c>
      <c r="J54" s="48">
        <f t="shared" si="2"/>
        <v>50</v>
      </c>
      <c r="K54" s="51">
        <v>13.5</v>
      </c>
      <c r="L54" s="51">
        <f t="shared" si="3"/>
        <v>675</v>
      </c>
      <c r="M54" s="34" t="s">
        <v>51</v>
      </c>
      <c r="N54" s="34">
        <f>SUM(L53:L54)</f>
        <v>2271</v>
      </c>
    </row>
    <row r="55" s="2" customFormat="1" ht="19" customHeight="1" spans="1:15">
      <c r="A55" s="31" t="s">
        <v>36</v>
      </c>
      <c r="B55" s="92">
        <v>45588</v>
      </c>
      <c r="C55" s="38">
        <v>67</v>
      </c>
      <c r="D55" s="39">
        <v>45588</v>
      </c>
      <c r="E55" s="40"/>
      <c r="F55" s="40"/>
      <c r="G55" s="41" t="s">
        <v>88</v>
      </c>
      <c r="H55" s="69">
        <v>1</v>
      </c>
      <c r="I55" s="40">
        <v>1</v>
      </c>
      <c r="J55" s="40">
        <f t="shared" si="2"/>
        <v>1</v>
      </c>
      <c r="K55" s="43">
        <v>12</v>
      </c>
      <c r="L55" s="43">
        <f t="shared" si="3"/>
        <v>12</v>
      </c>
      <c r="M55" s="32"/>
      <c r="N55" s="32"/>
    </row>
    <row r="56" s="2" customFormat="1" ht="19" customHeight="1" spans="1:15">
      <c r="A56" s="31" t="s">
        <v>36</v>
      </c>
      <c r="B56" s="92">
        <v>45588</v>
      </c>
      <c r="C56" s="38">
        <v>67</v>
      </c>
      <c r="D56" s="39">
        <v>45588</v>
      </c>
      <c r="E56" s="40"/>
      <c r="F56" s="40"/>
      <c r="G56" s="41" t="s">
        <v>101</v>
      </c>
      <c r="H56" s="69">
        <v>12</v>
      </c>
      <c r="I56" s="40">
        <v>1</v>
      </c>
      <c r="J56" s="40">
        <f t="shared" si="2"/>
        <v>12</v>
      </c>
      <c r="K56" s="43">
        <v>11.5</v>
      </c>
      <c r="L56" s="43">
        <f t="shared" si="3"/>
        <v>138</v>
      </c>
      <c r="M56" s="32"/>
      <c r="N56" s="32">
        <f>SUM(L55:L57)</f>
        <v>420</v>
      </c>
    </row>
    <row r="57" s="1" customFormat="1" spans="1:15">
      <c r="A57" s="31" t="s">
        <v>36</v>
      </c>
      <c r="B57" s="92">
        <v>45588</v>
      </c>
      <c r="C57" s="38">
        <v>67</v>
      </c>
      <c r="D57" s="39">
        <v>45588</v>
      </c>
      <c r="E57" s="40"/>
      <c r="F57" s="40"/>
      <c r="G57" s="41" t="s">
        <v>108</v>
      </c>
      <c r="H57" s="42">
        <v>1</v>
      </c>
      <c r="I57" s="40">
        <v>15</v>
      </c>
      <c r="J57" s="40">
        <f t="shared" si="2"/>
        <v>15</v>
      </c>
      <c r="K57" s="43">
        <v>18</v>
      </c>
      <c r="L57" s="43">
        <f t="shared" si="3"/>
        <v>270</v>
      </c>
      <c r="M57" s="34">
        <f>SUM(L55:L57)</f>
        <v>420</v>
      </c>
      <c r="N57" s="34"/>
    </row>
    <row r="58" s="1" customFormat="1" spans="1:15">
      <c r="A58" s="34" t="s">
        <v>60</v>
      </c>
      <c r="B58" s="47">
        <v>45589</v>
      </c>
      <c r="C58" s="46">
        <v>69</v>
      </c>
      <c r="D58" s="47">
        <v>45559</v>
      </c>
      <c r="E58" s="48"/>
      <c r="F58" s="48"/>
      <c r="G58" s="49" t="s">
        <v>109</v>
      </c>
      <c r="H58" s="50"/>
      <c r="I58" s="48"/>
      <c r="J58" s="48"/>
      <c r="K58" s="51"/>
      <c r="L58" s="51">
        <v>140</v>
      </c>
      <c r="M58" s="34"/>
      <c r="N58" s="34"/>
    </row>
    <row r="59" s="1" customFormat="1" ht="19" customHeight="1" spans="1:15">
      <c r="A59" s="34" t="s">
        <v>60</v>
      </c>
      <c r="B59" s="47">
        <v>45589</v>
      </c>
      <c r="C59" s="46">
        <v>69</v>
      </c>
      <c r="D59" s="48"/>
      <c r="E59" s="48"/>
      <c r="F59" s="48"/>
      <c r="G59" s="49" t="s">
        <v>80</v>
      </c>
      <c r="H59" s="50">
        <v>1</v>
      </c>
      <c r="I59" s="48">
        <v>10</v>
      </c>
      <c r="J59" s="48">
        <f t="shared" ref="J59:J85" si="5">H59*I59</f>
        <v>10</v>
      </c>
      <c r="K59" s="51">
        <v>14</v>
      </c>
      <c r="L59" s="51">
        <f t="shared" ref="L59:L85" si="6">J59*K59</f>
        <v>140</v>
      </c>
      <c r="M59" s="100" t="s">
        <v>100</v>
      </c>
      <c r="N59" s="34"/>
    </row>
    <row r="60" s="1" customFormat="1" spans="1:15">
      <c r="A60" s="34" t="s">
        <v>60</v>
      </c>
      <c r="B60" s="47">
        <v>45589</v>
      </c>
      <c r="C60" s="46">
        <v>69</v>
      </c>
      <c r="D60" s="47">
        <v>45589</v>
      </c>
      <c r="E60" s="48"/>
      <c r="F60" s="48"/>
      <c r="G60" s="49" t="s">
        <v>110</v>
      </c>
      <c r="H60" s="50">
        <v>1</v>
      </c>
      <c r="I60" s="48">
        <v>4</v>
      </c>
      <c r="J60" s="48">
        <f t="shared" si="5"/>
        <v>4</v>
      </c>
      <c r="K60" s="51">
        <v>16.5</v>
      </c>
      <c r="L60" s="51">
        <f t="shared" si="6"/>
        <v>66</v>
      </c>
      <c r="M60" s="34"/>
      <c r="N60" s="34"/>
    </row>
    <row r="61" s="2" customFormat="1" ht="19" customHeight="1" spans="1:15">
      <c r="A61" s="32" t="s">
        <v>83</v>
      </c>
      <c r="B61" s="39">
        <v>45598</v>
      </c>
      <c r="C61" s="38">
        <v>2</v>
      </c>
      <c r="D61" s="39">
        <v>45598</v>
      </c>
      <c r="E61" s="40"/>
      <c r="F61" s="40"/>
      <c r="G61" s="41" t="s">
        <v>84</v>
      </c>
      <c r="H61" s="42">
        <v>7</v>
      </c>
      <c r="I61" s="40">
        <v>25</v>
      </c>
      <c r="J61" s="40">
        <f t="shared" si="5"/>
        <v>175</v>
      </c>
      <c r="K61" s="43">
        <v>1</v>
      </c>
      <c r="L61" s="43">
        <f t="shared" si="6"/>
        <v>175</v>
      </c>
      <c r="M61" s="32" t="s">
        <v>51</v>
      </c>
      <c r="N61" s="32"/>
    </row>
    <row r="62" s="84" customFormat="1" spans="1:15">
      <c r="A62" s="103" t="s">
        <v>38</v>
      </c>
      <c r="B62" s="104">
        <v>45604</v>
      </c>
      <c r="C62" s="105">
        <v>22</v>
      </c>
      <c r="D62" s="106"/>
      <c r="E62" s="106"/>
      <c r="F62" s="106"/>
      <c r="G62" s="107" t="s">
        <v>111</v>
      </c>
      <c r="H62" s="108">
        <v>1</v>
      </c>
      <c r="I62" s="106">
        <v>5</v>
      </c>
      <c r="J62" s="106">
        <f t="shared" si="5"/>
        <v>5</v>
      </c>
      <c r="K62" s="109">
        <v>19</v>
      </c>
      <c r="L62" s="109">
        <f t="shared" si="6"/>
        <v>95</v>
      </c>
      <c r="M62" s="83" t="s">
        <v>112</v>
      </c>
      <c r="N62" s="106">
        <f>SUM(L62:L62)</f>
        <v>95</v>
      </c>
    </row>
    <row r="63" s="33" customFormat="1" spans="1:15">
      <c r="A63" s="34" t="s">
        <v>38</v>
      </c>
      <c r="B63" s="47">
        <v>45615</v>
      </c>
      <c r="C63" s="46">
        <v>53</v>
      </c>
      <c r="D63" s="48" t="s">
        <v>66</v>
      </c>
      <c r="E63" s="48"/>
      <c r="F63" s="48"/>
      <c r="G63" s="49" t="s">
        <v>67</v>
      </c>
      <c r="H63" s="50">
        <v>5</v>
      </c>
      <c r="I63" s="48">
        <v>28</v>
      </c>
      <c r="J63" s="48">
        <f t="shared" si="5"/>
        <v>140</v>
      </c>
      <c r="K63" s="51">
        <v>9.5</v>
      </c>
      <c r="L63" s="51">
        <f t="shared" si="6"/>
        <v>1330</v>
      </c>
      <c r="M63" s="1" t="s">
        <v>113</v>
      </c>
      <c r="N63" s="60">
        <f>SUM(L62:L73)</f>
        <v>10577</v>
      </c>
      <c r="O63" s="33" t="s">
        <v>51</v>
      </c>
    </row>
    <row r="64" s="55" customFormat="1" spans="1:15">
      <c r="A64" s="35" t="s">
        <v>114</v>
      </c>
      <c r="B64" s="59">
        <v>45616</v>
      </c>
      <c r="C64" s="58">
        <v>56</v>
      </c>
      <c r="D64" s="60" t="s">
        <v>115</v>
      </c>
      <c r="E64" s="60"/>
      <c r="F64" s="60"/>
      <c r="G64" s="61" t="s">
        <v>116</v>
      </c>
      <c r="H64" s="67">
        <v>10</v>
      </c>
      <c r="I64" s="60">
        <v>15</v>
      </c>
      <c r="J64" s="60">
        <f t="shared" si="5"/>
        <v>150</v>
      </c>
      <c r="K64" s="62">
        <v>6.8</v>
      </c>
      <c r="L64" s="62">
        <f t="shared" si="6"/>
        <v>1020</v>
      </c>
      <c r="M64" s="83" t="s">
        <v>117</v>
      </c>
      <c r="N64" s="60"/>
    </row>
    <row r="65" s="33" customFormat="1" spans="1:15">
      <c r="A65" s="100" t="s">
        <v>38</v>
      </c>
      <c r="B65" s="47">
        <v>45616</v>
      </c>
      <c r="C65" s="46">
        <v>59</v>
      </c>
      <c r="D65" s="48">
        <v>230408</v>
      </c>
      <c r="E65" s="48"/>
      <c r="F65" s="48"/>
      <c r="G65" s="49" t="s">
        <v>118</v>
      </c>
      <c r="H65" s="50">
        <v>2</v>
      </c>
      <c r="I65" s="48">
        <v>25</v>
      </c>
      <c r="J65" s="48">
        <f t="shared" si="5"/>
        <v>50</v>
      </c>
      <c r="K65" s="51">
        <v>19</v>
      </c>
      <c r="L65" s="51">
        <f t="shared" si="6"/>
        <v>950</v>
      </c>
      <c r="M65" s="34"/>
      <c r="N65" s="48"/>
    </row>
    <row r="66" s="1" customFormat="1" ht="19" customHeight="1" spans="1:15">
      <c r="A66" s="100" t="s">
        <v>38</v>
      </c>
      <c r="B66" s="47">
        <v>45616</v>
      </c>
      <c r="C66" s="46">
        <v>59</v>
      </c>
      <c r="D66" s="48" t="s">
        <v>70</v>
      </c>
      <c r="E66" s="48"/>
      <c r="F66" s="48"/>
      <c r="G66" s="49" t="s">
        <v>71</v>
      </c>
      <c r="H66" s="50">
        <v>2</v>
      </c>
      <c r="I66" s="48">
        <v>25</v>
      </c>
      <c r="J66" s="48">
        <f t="shared" si="5"/>
        <v>50</v>
      </c>
      <c r="K66" s="51">
        <v>19</v>
      </c>
      <c r="L66" s="51">
        <f t="shared" si="6"/>
        <v>950</v>
      </c>
      <c r="M66" s="34" t="s">
        <v>119</v>
      </c>
      <c r="N66" s="34"/>
    </row>
    <row r="67" s="1" customFormat="1" ht="19" customHeight="1" spans="1:15">
      <c r="A67" s="100" t="s">
        <v>38</v>
      </c>
      <c r="B67" s="47">
        <v>45616</v>
      </c>
      <c r="C67" s="46">
        <v>59</v>
      </c>
      <c r="D67" s="48" t="s">
        <v>75</v>
      </c>
      <c r="E67" s="48"/>
      <c r="F67" s="48"/>
      <c r="G67" s="49" t="s">
        <v>76</v>
      </c>
      <c r="H67" s="50">
        <v>4</v>
      </c>
      <c r="I67" s="48">
        <v>20</v>
      </c>
      <c r="J67" s="48">
        <f t="shared" si="5"/>
        <v>80</v>
      </c>
      <c r="K67" s="51">
        <v>19</v>
      </c>
      <c r="L67" s="51">
        <f t="shared" si="6"/>
        <v>1520</v>
      </c>
      <c r="M67" s="34" t="s">
        <v>77</v>
      </c>
      <c r="N67" s="1">
        <f>SUM(L65:L67)</f>
        <v>3420</v>
      </c>
    </row>
    <row r="68" s="31" customFormat="1" spans="1:15">
      <c r="A68" s="32" t="s">
        <v>38</v>
      </c>
      <c r="B68" s="39">
        <v>45639</v>
      </c>
      <c r="C68" s="38">
        <v>40</v>
      </c>
      <c r="D68" s="40" t="s">
        <v>66</v>
      </c>
      <c r="E68" s="40"/>
      <c r="F68" s="40"/>
      <c r="G68" s="41" t="s">
        <v>67</v>
      </c>
      <c r="H68" s="42">
        <v>5</v>
      </c>
      <c r="I68" s="40">
        <v>28</v>
      </c>
      <c r="J68" s="40">
        <f t="shared" si="5"/>
        <v>140</v>
      </c>
      <c r="K68" s="43">
        <v>9.5</v>
      </c>
      <c r="L68" s="43">
        <f t="shared" si="6"/>
        <v>1330</v>
      </c>
      <c r="M68" s="2" t="s">
        <v>113</v>
      </c>
      <c r="N68" s="40"/>
    </row>
    <row r="69" s="2" customFormat="1" ht="19" customHeight="1" spans="1:15">
      <c r="A69" s="32" t="s">
        <v>38</v>
      </c>
      <c r="B69" s="39">
        <v>45639</v>
      </c>
      <c r="C69" s="38">
        <v>40</v>
      </c>
      <c r="D69" s="40"/>
      <c r="E69" s="40"/>
      <c r="F69" s="40"/>
      <c r="G69" s="41" t="s">
        <v>73</v>
      </c>
      <c r="H69" s="42">
        <v>1</v>
      </c>
      <c r="I69" s="40">
        <v>20</v>
      </c>
      <c r="J69" s="40">
        <f t="shared" si="5"/>
        <v>20</v>
      </c>
      <c r="K69" s="43">
        <v>19</v>
      </c>
      <c r="L69" s="43">
        <f t="shared" si="6"/>
        <v>380</v>
      </c>
      <c r="M69" s="32" t="s">
        <v>85</v>
      </c>
      <c r="N69" s="32"/>
    </row>
    <row r="70" s="2" customFormat="1" ht="19" customHeight="1" spans="1:15">
      <c r="A70" s="74" t="s">
        <v>38</v>
      </c>
      <c r="B70" s="39">
        <v>45639</v>
      </c>
      <c r="C70" s="38">
        <v>40</v>
      </c>
      <c r="D70" s="40" t="s">
        <v>70</v>
      </c>
      <c r="E70" s="40"/>
      <c r="F70" s="40"/>
      <c r="G70" s="41" t="s">
        <v>71</v>
      </c>
      <c r="H70" s="42">
        <v>3</v>
      </c>
      <c r="I70" s="40">
        <v>25</v>
      </c>
      <c r="J70" s="40">
        <f t="shared" si="5"/>
        <v>75</v>
      </c>
      <c r="K70" s="43">
        <v>19</v>
      </c>
      <c r="L70" s="43">
        <f t="shared" si="6"/>
        <v>1425</v>
      </c>
      <c r="M70" s="32"/>
      <c r="N70" s="32"/>
    </row>
    <row r="71" s="33" customFormat="1" spans="1:15">
      <c r="A71" s="74" t="s">
        <v>38</v>
      </c>
      <c r="B71" s="39">
        <v>45639</v>
      </c>
      <c r="C71" s="38">
        <v>40</v>
      </c>
      <c r="D71" s="40" t="s">
        <v>75</v>
      </c>
      <c r="E71" s="40"/>
      <c r="F71" s="40"/>
      <c r="G71" s="41" t="s">
        <v>76</v>
      </c>
      <c r="H71" s="42">
        <v>3</v>
      </c>
      <c r="I71" s="40">
        <v>20</v>
      </c>
      <c r="J71" s="40">
        <f t="shared" si="5"/>
        <v>60</v>
      </c>
      <c r="K71" s="43">
        <v>19</v>
      </c>
      <c r="L71" s="43">
        <f t="shared" si="6"/>
        <v>1140</v>
      </c>
      <c r="M71" s="1"/>
      <c r="N71" s="40">
        <f>SUM(L68:L71)</f>
        <v>4275</v>
      </c>
      <c r="O71" s="31" t="s">
        <v>51</v>
      </c>
    </row>
    <row r="72" s="33" customFormat="1" spans="1:15">
      <c r="A72" s="34" t="s">
        <v>38</v>
      </c>
      <c r="B72" s="47">
        <v>45640</v>
      </c>
      <c r="C72" s="46">
        <v>45</v>
      </c>
      <c r="D72" s="48" t="s">
        <v>120</v>
      </c>
      <c r="E72" s="48"/>
      <c r="F72" s="48"/>
      <c r="G72" s="49" t="s">
        <v>121</v>
      </c>
      <c r="H72" s="50">
        <v>1</v>
      </c>
      <c r="I72" s="48">
        <v>3</v>
      </c>
      <c r="J72" s="48">
        <f t="shared" si="5"/>
        <v>3</v>
      </c>
      <c r="K72" s="51">
        <v>19</v>
      </c>
      <c r="L72" s="51">
        <f t="shared" si="6"/>
        <v>57</v>
      </c>
      <c r="M72" s="1"/>
      <c r="N72" s="48">
        <f>SUM(L72:L72)</f>
        <v>57</v>
      </c>
    </row>
    <row r="73" s="33" customFormat="1" spans="1:15">
      <c r="A73" s="100" t="s">
        <v>38</v>
      </c>
      <c r="B73" s="47">
        <v>45640</v>
      </c>
      <c r="C73" s="46">
        <v>45</v>
      </c>
      <c r="D73" s="48"/>
      <c r="E73" s="48"/>
      <c r="F73" s="48"/>
      <c r="G73" s="49" t="s">
        <v>122</v>
      </c>
      <c r="H73" s="50">
        <v>1</v>
      </c>
      <c r="I73" s="48">
        <v>20</v>
      </c>
      <c r="J73" s="48">
        <f t="shared" si="5"/>
        <v>20</v>
      </c>
      <c r="K73" s="51">
        <v>19</v>
      </c>
      <c r="L73" s="51">
        <f t="shared" si="6"/>
        <v>380</v>
      </c>
      <c r="M73" s="1">
        <f>SUM(L72:L73)</f>
        <v>437</v>
      </c>
      <c r="N73" s="48"/>
    </row>
    <row r="74" s="31" customFormat="1" spans="1:15">
      <c r="A74" s="31" t="s">
        <v>36</v>
      </c>
      <c r="B74" s="92">
        <v>45643</v>
      </c>
      <c r="C74" s="38">
        <v>56</v>
      </c>
      <c r="D74" s="39">
        <v>45642</v>
      </c>
      <c r="E74" s="40"/>
      <c r="F74" s="40"/>
      <c r="G74" s="32" t="s">
        <v>123</v>
      </c>
      <c r="H74" s="40">
        <v>1</v>
      </c>
      <c r="I74" s="40">
        <v>3.6</v>
      </c>
      <c r="J74" s="40">
        <f t="shared" si="5"/>
        <v>3.6</v>
      </c>
      <c r="K74" s="44">
        <v>55</v>
      </c>
      <c r="L74" s="43">
        <f t="shared" si="6"/>
        <v>198</v>
      </c>
      <c r="M74" s="32" t="s">
        <v>124</v>
      </c>
      <c r="N74" s="41"/>
    </row>
    <row r="75" s="33" customFormat="1" spans="1:15">
      <c r="A75" s="100" t="s">
        <v>38</v>
      </c>
      <c r="B75" s="47">
        <v>45656</v>
      </c>
      <c r="C75" s="46">
        <v>100</v>
      </c>
      <c r="D75" s="48"/>
      <c r="E75" s="48"/>
      <c r="F75" s="48"/>
      <c r="G75" s="49" t="s">
        <v>125</v>
      </c>
      <c r="H75" s="50">
        <v>1</v>
      </c>
      <c r="I75" s="48">
        <v>15</v>
      </c>
      <c r="J75" s="48">
        <f t="shared" si="5"/>
        <v>15</v>
      </c>
      <c r="K75" s="51">
        <v>19</v>
      </c>
      <c r="L75" s="51">
        <f t="shared" si="6"/>
        <v>285</v>
      </c>
      <c r="M75" s="34" t="s">
        <v>48</v>
      </c>
      <c r="N75" s="48"/>
    </row>
    <row r="76" s="1" customFormat="1" ht="19" customHeight="1" spans="1:15">
      <c r="A76" s="100" t="s">
        <v>38</v>
      </c>
      <c r="B76" s="47">
        <v>45656</v>
      </c>
      <c r="C76" s="46">
        <v>100</v>
      </c>
      <c r="D76" s="48">
        <v>718</v>
      </c>
      <c r="E76" s="48"/>
      <c r="F76" s="48"/>
      <c r="G76" s="49" t="s">
        <v>126</v>
      </c>
      <c r="H76" s="50">
        <v>1</v>
      </c>
      <c r="I76" s="48">
        <v>3</v>
      </c>
      <c r="J76" s="48">
        <f t="shared" si="5"/>
        <v>3</v>
      </c>
      <c r="K76" s="51">
        <v>19</v>
      </c>
      <c r="L76" s="51">
        <f t="shared" si="6"/>
        <v>57</v>
      </c>
      <c r="M76" s="34" t="s">
        <v>48</v>
      </c>
      <c r="N76" s="34"/>
    </row>
    <row r="77" s="31" customFormat="1" spans="1:15">
      <c r="A77" s="31" t="s">
        <v>36</v>
      </c>
      <c r="B77" s="92">
        <v>46021</v>
      </c>
      <c r="C77" s="38">
        <v>58</v>
      </c>
      <c r="D77" s="39">
        <v>45656</v>
      </c>
      <c r="E77" s="40"/>
      <c r="F77" s="40"/>
      <c r="G77" s="32" t="s">
        <v>123</v>
      </c>
      <c r="H77" s="40">
        <v>1</v>
      </c>
      <c r="I77" s="40">
        <v>1</v>
      </c>
      <c r="J77" s="48">
        <f t="shared" si="5"/>
        <v>1</v>
      </c>
      <c r="K77" s="44">
        <v>105</v>
      </c>
      <c r="L77" s="43">
        <f t="shared" si="6"/>
        <v>105</v>
      </c>
      <c r="M77" s="32"/>
      <c r="N77" s="41"/>
    </row>
    <row r="78" s="34" customFormat="1" spans="1:15">
      <c r="A78" s="33" t="s">
        <v>36</v>
      </c>
      <c r="B78" s="47">
        <v>45663</v>
      </c>
      <c r="C78" s="46">
        <v>14</v>
      </c>
      <c r="D78" s="47">
        <v>45660</v>
      </c>
      <c r="E78" s="48"/>
      <c r="F78" s="48"/>
      <c r="G78" s="49" t="s">
        <v>127</v>
      </c>
      <c r="H78" s="48">
        <v>1</v>
      </c>
      <c r="I78" s="48">
        <v>1</v>
      </c>
      <c r="J78" s="48">
        <f t="shared" si="5"/>
        <v>1</v>
      </c>
      <c r="K78" s="51">
        <v>25</v>
      </c>
      <c r="L78" s="51">
        <f t="shared" si="6"/>
        <v>25</v>
      </c>
      <c r="M78" s="1"/>
      <c r="N78" s="53"/>
    </row>
    <row r="79" s="34" customFormat="1" spans="1:15">
      <c r="A79" s="33" t="s">
        <v>36</v>
      </c>
      <c r="B79" s="47">
        <v>45663</v>
      </c>
      <c r="C79" s="46">
        <v>14</v>
      </c>
      <c r="D79" s="47">
        <v>45660</v>
      </c>
      <c r="E79" s="48"/>
      <c r="F79" s="48"/>
      <c r="G79" s="49" t="s">
        <v>12</v>
      </c>
      <c r="H79" s="48">
        <v>2</v>
      </c>
      <c r="I79" s="48">
        <v>1</v>
      </c>
      <c r="J79" s="48">
        <f t="shared" si="5"/>
        <v>2</v>
      </c>
      <c r="K79" s="51">
        <v>7</v>
      </c>
      <c r="L79" s="51">
        <f t="shared" si="6"/>
        <v>14</v>
      </c>
      <c r="M79" s="1"/>
      <c r="N79" s="53"/>
    </row>
    <row r="80" s="34" customFormat="1" spans="1:15">
      <c r="A80" s="33" t="s">
        <v>36</v>
      </c>
      <c r="B80" s="47">
        <v>45663</v>
      </c>
      <c r="C80" s="46">
        <v>14</v>
      </c>
      <c r="D80" s="47">
        <v>45663</v>
      </c>
      <c r="E80" s="48"/>
      <c r="F80" s="48"/>
      <c r="G80" s="49" t="s">
        <v>12</v>
      </c>
      <c r="H80" s="48">
        <v>1</v>
      </c>
      <c r="I80" s="48">
        <v>1</v>
      </c>
      <c r="J80" s="48">
        <f t="shared" si="5"/>
        <v>1</v>
      </c>
      <c r="K80" s="51">
        <v>7</v>
      </c>
      <c r="L80" s="51">
        <f t="shared" si="6"/>
        <v>7</v>
      </c>
      <c r="M80" s="1"/>
      <c r="N80" s="53"/>
    </row>
    <row r="81" s="34" customFormat="1" spans="1:14">
      <c r="A81" s="33" t="s">
        <v>36</v>
      </c>
      <c r="B81" s="47">
        <v>45663</v>
      </c>
      <c r="C81" s="46">
        <v>14</v>
      </c>
      <c r="D81" s="47">
        <v>45660</v>
      </c>
      <c r="E81" s="48"/>
      <c r="F81" s="48"/>
      <c r="G81" s="49" t="s">
        <v>128</v>
      </c>
      <c r="H81" s="48">
        <v>1</v>
      </c>
      <c r="I81" s="48">
        <v>220</v>
      </c>
      <c r="J81" s="48">
        <f t="shared" si="5"/>
        <v>220</v>
      </c>
      <c r="K81" s="51">
        <v>11.3</v>
      </c>
      <c r="L81" s="51">
        <f t="shared" si="6"/>
        <v>2486</v>
      </c>
      <c r="M81" s="1">
        <f>SUM(L78:L81)</f>
        <v>2532</v>
      </c>
      <c r="N81" s="53"/>
    </row>
    <row r="82" s="32" customFormat="1" spans="1:14">
      <c r="A82" s="31" t="s">
        <v>129</v>
      </c>
      <c r="B82" s="39">
        <v>45661</v>
      </c>
      <c r="C82" s="38">
        <v>22</v>
      </c>
      <c r="D82" s="39">
        <v>45661</v>
      </c>
      <c r="E82" s="40"/>
      <c r="F82" s="40"/>
      <c r="G82" s="41" t="s">
        <v>130</v>
      </c>
      <c r="H82" s="40">
        <v>2</v>
      </c>
      <c r="I82" s="40">
        <v>180</v>
      </c>
      <c r="J82" s="40">
        <f t="shared" si="5"/>
        <v>360</v>
      </c>
      <c r="K82" s="43">
        <v>7.1</v>
      </c>
      <c r="L82" s="43">
        <f t="shared" si="6"/>
        <v>2556</v>
      </c>
      <c r="M82" s="2"/>
      <c r="N82" s="44"/>
    </row>
    <row r="83" s="32" customFormat="1" spans="1:14">
      <c r="A83" s="31" t="s">
        <v>129</v>
      </c>
      <c r="B83" s="39">
        <v>45661</v>
      </c>
      <c r="C83" s="38">
        <v>22</v>
      </c>
      <c r="D83" s="39">
        <v>45661</v>
      </c>
      <c r="E83" s="40"/>
      <c r="F83" s="40"/>
      <c r="G83" s="41" t="s">
        <v>131</v>
      </c>
      <c r="H83" s="40">
        <v>8</v>
      </c>
      <c r="I83" s="40">
        <v>1</v>
      </c>
      <c r="J83" s="40">
        <f t="shared" si="5"/>
        <v>8</v>
      </c>
      <c r="K83" s="43">
        <v>30</v>
      </c>
      <c r="L83" s="43">
        <f t="shared" si="6"/>
        <v>240</v>
      </c>
      <c r="M83" s="2">
        <f>SUM(L82:L83)</f>
        <v>2796</v>
      </c>
      <c r="N83" s="44"/>
    </row>
    <row r="84" s="1" customFormat="1" spans="1:14">
      <c r="A84" s="34" t="s">
        <v>38</v>
      </c>
      <c r="B84" s="47">
        <v>45664</v>
      </c>
      <c r="C84" s="46">
        <v>30</v>
      </c>
      <c r="D84" s="47" t="s">
        <v>46</v>
      </c>
      <c r="E84" s="48"/>
      <c r="F84" s="48"/>
      <c r="G84" s="49" t="s">
        <v>47</v>
      </c>
      <c r="H84" s="50">
        <v>1</v>
      </c>
      <c r="I84" s="48">
        <v>25</v>
      </c>
      <c r="J84" s="48">
        <f t="shared" si="5"/>
        <v>25</v>
      </c>
      <c r="K84" s="51">
        <v>19</v>
      </c>
      <c r="L84" s="51">
        <f t="shared" si="6"/>
        <v>475</v>
      </c>
      <c r="M84" s="34"/>
      <c r="N84" s="34"/>
    </row>
    <row r="85" s="32" customFormat="1" spans="1:14">
      <c r="A85" s="31"/>
      <c r="B85" s="39"/>
      <c r="C85" s="38"/>
      <c r="D85" s="39"/>
      <c r="E85" s="40"/>
      <c r="F85" s="40"/>
      <c r="G85" s="41"/>
      <c r="H85" s="40"/>
      <c r="I85" s="40"/>
      <c r="J85" s="40"/>
      <c r="K85" s="43"/>
      <c r="L85" s="43"/>
      <c r="M85" s="2"/>
      <c r="N85" s="44"/>
    </row>
    <row r="86" s="34" customFormat="1" spans="1:14">
      <c r="A86" s="33"/>
      <c r="B86" s="47"/>
      <c r="C86" s="46"/>
      <c r="D86" s="47"/>
      <c r="E86" s="48"/>
      <c r="F86" s="48"/>
      <c r="G86" s="49"/>
      <c r="H86" s="48"/>
      <c r="I86" s="48"/>
      <c r="J86" s="48"/>
      <c r="K86" s="51"/>
      <c r="L86" s="51"/>
      <c r="M86" s="1"/>
      <c r="N86" s="53"/>
    </row>
    <row r="87" s="34" customFormat="1" spans="1:14">
      <c r="A87" s="33"/>
      <c r="B87" s="47"/>
      <c r="C87" s="46"/>
      <c r="D87" s="47"/>
      <c r="E87" s="48"/>
      <c r="F87" s="48"/>
      <c r="G87" s="49"/>
      <c r="H87" s="48"/>
      <c r="I87" s="48"/>
      <c r="J87" s="48"/>
      <c r="K87" s="51"/>
      <c r="L87" s="51"/>
      <c r="M87" s="1"/>
      <c r="N87" s="53"/>
    </row>
    <row r="88" s="34" customFormat="1" spans="1:14">
      <c r="A88" s="33"/>
      <c r="B88" s="47"/>
      <c r="C88" s="46"/>
      <c r="D88" s="47"/>
      <c r="E88" s="48"/>
      <c r="F88" s="48"/>
      <c r="G88" s="49"/>
      <c r="H88" s="48"/>
      <c r="I88" s="48"/>
      <c r="J88" s="48"/>
      <c r="K88" s="51"/>
      <c r="L88" s="51"/>
      <c r="M88" s="1"/>
      <c r="N88" s="53"/>
    </row>
    <row r="89" s="34" customFormat="1" spans="1:14">
      <c r="A89" s="33"/>
      <c r="B89" s="47"/>
      <c r="C89" s="46"/>
      <c r="D89" s="47"/>
      <c r="E89" s="48"/>
      <c r="F89" s="48"/>
      <c r="G89" s="49"/>
      <c r="H89" s="48"/>
      <c r="I89" s="48"/>
      <c r="J89" s="48"/>
      <c r="K89" s="51"/>
      <c r="L89" s="51"/>
      <c r="M89" s="1"/>
      <c r="N89" s="53"/>
    </row>
    <row r="90" s="34" customFormat="1" spans="1:14">
      <c r="A90" s="33"/>
      <c r="B90" s="47"/>
      <c r="C90" s="46"/>
      <c r="D90" s="47"/>
      <c r="E90" s="48"/>
      <c r="F90" s="48"/>
      <c r="G90" s="49"/>
      <c r="H90" s="48"/>
      <c r="I90" s="48"/>
      <c r="J90" s="48"/>
      <c r="K90" s="51"/>
      <c r="L90" s="51"/>
      <c r="M90" s="1"/>
      <c r="N90" s="53"/>
    </row>
    <row r="91" s="34" customFormat="1" spans="1:14">
      <c r="A91" s="33"/>
      <c r="B91" s="47"/>
      <c r="C91" s="46"/>
      <c r="D91" s="47"/>
      <c r="E91" s="48"/>
      <c r="F91" s="48"/>
      <c r="G91" s="49"/>
      <c r="H91" s="48"/>
      <c r="I91" s="48"/>
      <c r="J91" s="48"/>
      <c r="K91" s="51"/>
      <c r="L91" s="51"/>
      <c r="M91" s="1"/>
      <c r="N91" s="53"/>
    </row>
    <row r="92" s="34" customFormat="1" spans="1:14">
      <c r="A92" s="33"/>
      <c r="B92" s="47"/>
      <c r="C92" s="46"/>
      <c r="D92" s="47"/>
      <c r="E92" s="48"/>
      <c r="F92" s="48"/>
      <c r="G92" s="49"/>
      <c r="H92" s="48"/>
      <c r="I92" s="48"/>
      <c r="J92" s="48"/>
      <c r="K92" s="51"/>
      <c r="L92" s="51"/>
      <c r="M92" s="1"/>
      <c r="N92" s="53"/>
    </row>
    <row r="93" s="34" customFormat="1" spans="1:14">
      <c r="A93" s="33"/>
      <c r="B93" s="47"/>
      <c r="C93" s="46"/>
      <c r="D93" s="47"/>
      <c r="E93" s="48"/>
      <c r="F93" s="48"/>
      <c r="G93" s="49"/>
      <c r="H93" s="48"/>
      <c r="I93" s="48"/>
      <c r="J93" s="48"/>
      <c r="K93" s="51"/>
      <c r="L93" s="51"/>
      <c r="M93" s="1"/>
      <c r="N93" s="53"/>
    </row>
    <row r="94" s="34" customFormat="1" spans="1:14">
      <c r="A94" s="33"/>
      <c r="B94" s="47"/>
      <c r="C94" s="46"/>
      <c r="D94" s="47"/>
      <c r="E94" s="48"/>
      <c r="F94" s="48"/>
      <c r="G94" s="49"/>
      <c r="H94" s="48"/>
      <c r="I94" s="48"/>
      <c r="J94" s="48"/>
      <c r="K94" s="51"/>
      <c r="L94" s="51"/>
      <c r="M94" s="1"/>
      <c r="N94" s="53"/>
    </row>
    <row r="95" s="1" customFormat="1" spans="1:14">
      <c r="A95" s="53"/>
      <c r="B95" s="45"/>
      <c r="C95" s="46"/>
      <c r="D95" s="39"/>
      <c r="E95" s="40"/>
      <c r="F95" s="40"/>
      <c r="G95" s="110" t="s">
        <v>132</v>
      </c>
      <c r="H95" s="50"/>
      <c r="I95" s="48"/>
      <c r="J95" s="48"/>
      <c r="K95" s="51"/>
      <c r="L95" s="51"/>
      <c r="M95" s="34"/>
      <c r="N95" s="34"/>
    </row>
    <row r="96" s="1" customFormat="1" spans="1:14">
      <c r="A96" s="53"/>
      <c r="B96" s="45"/>
      <c r="C96" s="46"/>
      <c r="D96" s="48"/>
      <c r="E96" s="48"/>
      <c r="F96" s="48"/>
      <c r="G96" s="110" t="s">
        <v>133</v>
      </c>
      <c r="H96" s="50"/>
      <c r="I96" s="48"/>
      <c r="J96" s="48"/>
      <c r="K96" s="51"/>
      <c r="L96" s="51"/>
      <c r="M96" s="34"/>
      <c r="N96" s="34"/>
    </row>
    <row r="97" s="1" customFormat="1" spans="1:14">
      <c r="A97" s="53"/>
      <c r="B97" s="45"/>
      <c r="C97" s="46"/>
      <c r="D97" s="48"/>
      <c r="E97" s="48"/>
      <c r="F97" s="48"/>
      <c r="G97" s="110" t="s">
        <v>134</v>
      </c>
      <c r="H97" s="50"/>
      <c r="I97" s="48"/>
      <c r="J97" s="48"/>
      <c r="K97" s="51"/>
      <c r="L97" s="51"/>
      <c r="M97" s="34"/>
      <c r="N97" s="34"/>
    </row>
    <row r="98" s="1" customFormat="1" spans="1:14">
      <c r="A98" s="53"/>
      <c r="B98" s="45"/>
      <c r="C98" s="46"/>
      <c r="D98" s="48"/>
      <c r="E98" s="48"/>
      <c r="F98" s="48"/>
      <c r="G98" s="49"/>
      <c r="H98" s="50"/>
      <c r="I98" s="48"/>
      <c r="J98" s="48"/>
      <c r="K98" s="51"/>
      <c r="L98" s="51"/>
      <c r="M98" s="34"/>
      <c r="N98" s="34"/>
    </row>
    <row r="99" s="1" customFormat="1" spans="1:14">
      <c r="A99" s="53"/>
      <c r="B99" s="45"/>
      <c r="C99" s="46"/>
      <c r="D99" s="48"/>
      <c r="E99" s="48"/>
      <c r="F99" s="48"/>
      <c r="G99" s="49"/>
      <c r="H99" s="50"/>
      <c r="I99" s="48"/>
      <c r="J99" s="48"/>
      <c r="K99" s="51"/>
      <c r="L99" s="51"/>
      <c r="M99" s="34"/>
      <c r="N99" s="34"/>
    </row>
  </sheetData>
  <autoFilter xmlns:etc="http://www.wps.cn/officeDocument/2017/etCustomData" ref="A2:XFD97" etc:filterBottomFollowUsedRange="0">
    <extLst/>
  </autoFilter>
  <mergeCells count="98">
    <mergeCell ref="B1:J1"/>
    <mergeCell ref="D2:F2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95"/>
  <sheetViews>
    <sheetView topLeftCell="A51" workbookViewId="0">
      <selection activeCell="D94" sqref="D94:L95"/>
    </sheetView>
  </sheetViews>
  <sheetFormatPr defaultColWidth="9" defaultRowHeight="14.25"/>
  <cols>
    <col min="1" max="1" width="19.375" customWidth="1"/>
    <col min="2" max="2" width="12.625"/>
    <col min="4" max="4" width="11.125"/>
    <col min="5" max="5" width="4.5" customWidth="1"/>
    <col min="6" max="6" width="1.375" customWidth="1"/>
    <col min="7" max="7" width="35.875" customWidth="1"/>
    <col min="8" max="8" width="13.125" customWidth="1"/>
    <col min="9" max="9" width="11" customWidth="1"/>
    <col min="10" max="10" width="11.375"/>
    <col min="11" max="11" width="12.25" customWidth="1"/>
    <col min="12" max="12" width="14.5" customWidth="1"/>
    <col min="13" max="13" width="16.875" customWidth="1"/>
    <col min="14" max="14" width="15.25" customWidth="1"/>
    <col min="15" max="15" width="9.875"/>
    <col min="16" max="16" width="11.375"/>
  </cols>
  <sheetData>
    <row r="2" s="33" customFormat="1" ht="20.25" spans="1:15">
      <c r="A2" s="34" t="s">
        <v>38</v>
      </c>
      <c r="B2" s="45">
        <v>45715</v>
      </c>
      <c r="C2" s="46">
        <v>49</v>
      </c>
      <c r="D2" s="48" t="s">
        <v>64</v>
      </c>
      <c r="E2" s="48"/>
      <c r="F2" s="48"/>
      <c r="G2" s="49" t="s">
        <v>65</v>
      </c>
      <c r="H2" s="50">
        <v>2</v>
      </c>
      <c r="I2" s="48">
        <v>25</v>
      </c>
      <c r="J2" s="48">
        <f t="shared" ref="J2:J13" si="0">H2*I2</f>
        <v>50</v>
      </c>
      <c r="K2" s="51">
        <v>13.5</v>
      </c>
      <c r="L2" s="51">
        <f t="shared" ref="L2:L13" si="1">J2*K2</f>
        <v>675</v>
      </c>
      <c r="M2" s="34"/>
      <c r="N2" s="48"/>
    </row>
    <row r="3" s="33" customFormat="1" ht="20.25" spans="1:15">
      <c r="A3" s="34" t="s">
        <v>38</v>
      </c>
      <c r="B3" s="45">
        <v>45715</v>
      </c>
      <c r="C3" s="46">
        <v>49</v>
      </c>
      <c r="D3" s="48" t="s">
        <v>66</v>
      </c>
      <c r="E3" s="48"/>
      <c r="F3" s="48"/>
      <c r="G3" s="49" t="s">
        <v>67</v>
      </c>
      <c r="H3" s="50">
        <v>6</v>
      </c>
      <c r="I3" s="48">
        <v>28</v>
      </c>
      <c r="J3" s="48">
        <f t="shared" si="0"/>
        <v>168</v>
      </c>
      <c r="K3" s="51">
        <v>9.5</v>
      </c>
      <c r="L3" s="51">
        <f t="shared" si="1"/>
        <v>1596</v>
      </c>
      <c r="M3" s="1" t="s">
        <v>68</v>
      </c>
      <c r="N3" s="60"/>
      <c r="O3" s="55" t="s">
        <v>51</v>
      </c>
    </row>
    <row r="4" s="33" customFormat="1" ht="20.25" spans="1:15">
      <c r="A4" s="34" t="s">
        <v>38</v>
      </c>
      <c r="B4" s="45">
        <v>45715</v>
      </c>
      <c r="C4" s="46">
        <v>49</v>
      </c>
      <c r="D4" s="48" t="s">
        <v>70</v>
      </c>
      <c r="E4" s="48"/>
      <c r="F4" s="48"/>
      <c r="G4" s="49" t="s">
        <v>71</v>
      </c>
      <c r="H4" s="50">
        <v>2</v>
      </c>
      <c r="I4" s="48">
        <v>25</v>
      </c>
      <c r="J4" s="48">
        <f t="shared" si="0"/>
        <v>50</v>
      </c>
      <c r="K4" s="51">
        <v>19</v>
      </c>
      <c r="L4" s="51">
        <f t="shared" si="1"/>
        <v>950</v>
      </c>
      <c r="M4" s="66" t="s">
        <v>72</v>
      </c>
      <c r="N4" s="48"/>
    </row>
    <row r="5" s="33" customFormat="1" ht="20.25" spans="1:15">
      <c r="A5" s="34" t="s">
        <v>38</v>
      </c>
      <c r="B5" s="45">
        <v>45715</v>
      </c>
      <c r="C5" s="46">
        <v>49</v>
      </c>
      <c r="D5" s="48" t="s">
        <v>70</v>
      </c>
      <c r="E5" s="48"/>
      <c r="F5" s="48"/>
      <c r="G5" s="49" t="s">
        <v>71</v>
      </c>
      <c r="H5" s="50">
        <v>1</v>
      </c>
      <c r="I5" s="48">
        <v>26</v>
      </c>
      <c r="J5" s="48">
        <f t="shared" si="0"/>
        <v>26</v>
      </c>
      <c r="K5" s="51">
        <v>19</v>
      </c>
      <c r="L5" s="51">
        <f t="shared" si="1"/>
        <v>494</v>
      </c>
      <c r="M5" s="66" t="s">
        <v>72</v>
      </c>
      <c r="N5" s="48"/>
    </row>
    <row r="6" s="33" customFormat="1" ht="20.25" spans="1:15">
      <c r="A6" s="34" t="s">
        <v>38</v>
      </c>
      <c r="B6" s="45">
        <v>45715</v>
      </c>
      <c r="C6" s="46">
        <v>49</v>
      </c>
      <c r="D6" s="48"/>
      <c r="E6" s="48"/>
      <c r="F6" s="48"/>
      <c r="G6" s="49" t="s">
        <v>73</v>
      </c>
      <c r="H6" s="50">
        <v>2</v>
      </c>
      <c r="I6" s="48">
        <v>20</v>
      </c>
      <c r="J6" s="48">
        <f t="shared" si="0"/>
        <v>40</v>
      </c>
      <c r="K6" s="51">
        <v>19</v>
      </c>
      <c r="L6" s="51">
        <f t="shared" si="1"/>
        <v>760</v>
      </c>
      <c r="M6" s="66" t="s">
        <v>74</v>
      </c>
      <c r="N6" s="48"/>
    </row>
    <row r="7" s="33" customFormat="1" ht="20.25" spans="1:15">
      <c r="A7" s="34" t="s">
        <v>38</v>
      </c>
      <c r="B7" s="45">
        <v>45715</v>
      </c>
      <c r="C7" s="46">
        <v>49</v>
      </c>
      <c r="D7" s="48" t="s">
        <v>75</v>
      </c>
      <c r="E7" s="48"/>
      <c r="F7" s="48"/>
      <c r="G7" s="49" t="s">
        <v>76</v>
      </c>
      <c r="H7" s="50">
        <v>3</v>
      </c>
      <c r="I7" s="48">
        <v>20</v>
      </c>
      <c r="J7" s="48">
        <f t="shared" si="0"/>
        <v>60</v>
      </c>
      <c r="K7" s="51">
        <v>19</v>
      </c>
      <c r="L7" s="51">
        <f t="shared" si="1"/>
        <v>1140</v>
      </c>
      <c r="M7" s="1" t="s">
        <v>77</v>
      </c>
      <c r="N7" s="48" t="s">
        <v>63</v>
      </c>
    </row>
    <row r="8" s="33" customFormat="1" ht="20.25" spans="1:15">
      <c r="A8" s="34" t="s">
        <v>38</v>
      </c>
      <c r="B8" s="45">
        <v>45715</v>
      </c>
      <c r="C8" s="46">
        <v>49</v>
      </c>
      <c r="D8" s="48"/>
      <c r="E8" s="48"/>
      <c r="F8" s="48"/>
      <c r="G8" s="49" t="s">
        <v>78</v>
      </c>
      <c r="H8" s="50">
        <v>2</v>
      </c>
      <c r="I8" s="48">
        <v>20</v>
      </c>
      <c r="J8" s="48">
        <f t="shared" si="0"/>
        <v>40</v>
      </c>
      <c r="K8" s="51">
        <v>19</v>
      </c>
      <c r="L8" s="51">
        <f t="shared" si="1"/>
        <v>760</v>
      </c>
      <c r="M8" s="1" t="s">
        <v>79</v>
      </c>
      <c r="N8" s="48">
        <f>SUM(L2:L8)</f>
        <v>6375</v>
      </c>
    </row>
    <row r="9" s="35" customFormat="1" ht="20.25" spans="1:15">
      <c r="A9" s="35" t="s">
        <v>38</v>
      </c>
      <c r="B9" s="59">
        <v>45721</v>
      </c>
      <c r="C9" s="58">
        <v>17</v>
      </c>
      <c r="D9" s="59" t="s">
        <v>135</v>
      </c>
      <c r="E9" s="60"/>
      <c r="F9" s="60"/>
      <c r="G9" s="61" t="s">
        <v>136</v>
      </c>
      <c r="H9" s="67">
        <v>1</v>
      </c>
      <c r="I9" s="60">
        <v>4</v>
      </c>
      <c r="J9" s="60">
        <f t="shared" si="0"/>
        <v>4</v>
      </c>
      <c r="K9" s="62">
        <v>19</v>
      </c>
      <c r="L9" s="62">
        <f t="shared" si="1"/>
        <v>76</v>
      </c>
      <c r="M9" s="63" t="s">
        <v>51</v>
      </c>
      <c r="N9" s="64"/>
    </row>
    <row r="10" s="34" customFormat="1" ht="20.25" spans="1:15">
      <c r="A10" s="34" t="s">
        <v>137</v>
      </c>
      <c r="B10" s="47">
        <v>45724</v>
      </c>
      <c r="C10" s="46" t="s">
        <v>138</v>
      </c>
      <c r="D10" s="47" t="s">
        <v>139</v>
      </c>
      <c r="E10" s="48"/>
      <c r="F10" s="48"/>
      <c r="G10" s="49" t="s">
        <v>140</v>
      </c>
      <c r="H10" s="68">
        <v>14</v>
      </c>
      <c r="I10" s="48">
        <v>1</v>
      </c>
      <c r="J10" s="48">
        <f t="shared" si="0"/>
        <v>14</v>
      </c>
      <c r="K10" s="51">
        <v>30</v>
      </c>
      <c r="L10" s="51">
        <f t="shared" si="1"/>
        <v>420</v>
      </c>
      <c r="M10" s="1" t="s">
        <v>141</v>
      </c>
      <c r="N10" s="53"/>
    </row>
    <row r="11" s="32" customFormat="1" ht="20.25" spans="1:15">
      <c r="A11" s="32" t="s">
        <v>137</v>
      </c>
      <c r="B11" s="39">
        <v>45744</v>
      </c>
      <c r="C11" s="38">
        <v>118</v>
      </c>
      <c r="D11" s="39"/>
      <c r="E11" s="40"/>
      <c r="F11" s="40"/>
      <c r="G11" s="41" t="s">
        <v>140</v>
      </c>
      <c r="H11" s="69">
        <v>5</v>
      </c>
      <c r="I11" s="40">
        <v>1</v>
      </c>
      <c r="J11" s="40">
        <f t="shared" si="0"/>
        <v>5</v>
      </c>
      <c r="K11" s="43">
        <v>30</v>
      </c>
      <c r="L11" s="43">
        <f t="shared" si="1"/>
        <v>150</v>
      </c>
      <c r="M11" s="2" t="s">
        <v>51</v>
      </c>
      <c r="N11" s="44"/>
    </row>
    <row r="12" s="34" customFormat="1" ht="20.25" spans="1:15">
      <c r="A12" s="33" t="s">
        <v>60</v>
      </c>
      <c r="B12" s="47">
        <v>45747</v>
      </c>
      <c r="C12" s="46">
        <v>127</v>
      </c>
      <c r="D12" s="47"/>
      <c r="E12" s="48"/>
      <c r="F12" s="48"/>
      <c r="G12" s="49" t="s">
        <v>142</v>
      </c>
      <c r="H12" s="48">
        <v>3</v>
      </c>
      <c r="I12" s="48">
        <v>1</v>
      </c>
      <c r="J12" s="40">
        <f t="shared" si="0"/>
        <v>3</v>
      </c>
      <c r="K12" s="51">
        <v>12</v>
      </c>
      <c r="L12" s="43">
        <f t="shared" si="1"/>
        <v>36</v>
      </c>
      <c r="M12" s="1" t="s">
        <v>51</v>
      </c>
      <c r="N12" s="53"/>
    </row>
    <row r="13" s="34" customFormat="1" ht="20.25" spans="1:15">
      <c r="A13" s="32" t="s">
        <v>137</v>
      </c>
      <c r="B13" s="39">
        <v>45749</v>
      </c>
      <c r="C13" s="38">
        <v>13</v>
      </c>
      <c r="D13" s="39" t="s">
        <v>143</v>
      </c>
      <c r="E13" s="40"/>
      <c r="F13" s="40"/>
      <c r="G13" s="41" t="s">
        <v>144</v>
      </c>
      <c r="H13" s="69">
        <v>1</v>
      </c>
      <c r="I13" s="40">
        <v>63</v>
      </c>
      <c r="J13" s="40">
        <f t="shared" si="0"/>
        <v>63</v>
      </c>
      <c r="K13" s="43">
        <v>4.5</v>
      </c>
      <c r="L13" s="43">
        <f t="shared" si="1"/>
        <v>283.5</v>
      </c>
      <c r="M13" s="1" t="s">
        <v>51</v>
      </c>
      <c r="N13" s="53"/>
    </row>
    <row r="14" s="33" customFormat="1" ht="20.25" spans="1:15">
      <c r="A14" s="53" t="s">
        <v>38</v>
      </c>
      <c r="B14" s="45">
        <v>45749</v>
      </c>
      <c r="C14" s="46">
        <v>14</v>
      </c>
      <c r="D14" s="48" t="s">
        <v>145</v>
      </c>
      <c r="E14" s="48"/>
      <c r="F14" s="48"/>
      <c r="G14" s="49" t="s">
        <v>146</v>
      </c>
      <c r="H14" s="50">
        <v>1</v>
      </c>
      <c r="I14" s="48">
        <v>25</v>
      </c>
      <c r="J14" s="48">
        <f t="shared" ref="J14:J26" si="2">H14*I14</f>
        <v>25</v>
      </c>
      <c r="K14" s="51">
        <v>19</v>
      </c>
      <c r="L14" s="51">
        <f t="shared" ref="L14:L26" si="3">J14*K14</f>
        <v>475</v>
      </c>
      <c r="M14" s="34" t="s">
        <v>147</v>
      </c>
      <c r="N14" s="48"/>
    </row>
    <row r="15" s="33" customFormat="1" ht="20.25" spans="1:15">
      <c r="A15" s="34" t="s">
        <v>38</v>
      </c>
      <c r="B15" s="45">
        <v>45749</v>
      </c>
      <c r="C15" s="46">
        <v>14</v>
      </c>
      <c r="D15" s="48">
        <v>24057</v>
      </c>
      <c r="E15" s="48"/>
      <c r="F15" s="48"/>
      <c r="G15" s="49" t="s">
        <v>47</v>
      </c>
      <c r="H15" s="50">
        <v>1</v>
      </c>
      <c r="I15" s="48">
        <v>25</v>
      </c>
      <c r="J15" s="48">
        <f t="shared" si="2"/>
        <v>25</v>
      </c>
      <c r="K15" s="51">
        <v>19</v>
      </c>
      <c r="L15" s="51">
        <f t="shared" si="3"/>
        <v>475</v>
      </c>
      <c r="M15" s="66">
        <f>SUM(L14:L16)</f>
        <v>1140</v>
      </c>
      <c r="N15" s="48"/>
    </row>
    <row r="16" s="33" customFormat="1" ht="20.25" spans="1:15">
      <c r="A16" s="34" t="s">
        <v>38</v>
      </c>
      <c r="B16" s="45">
        <v>45749</v>
      </c>
      <c r="C16" s="46">
        <v>14</v>
      </c>
      <c r="D16" s="48" t="s">
        <v>106</v>
      </c>
      <c r="E16" s="48"/>
      <c r="F16" s="48"/>
      <c r="G16" s="49" t="s">
        <v>107</v>
      </c>
      <c r="H16" s="50">
        <v>1</v>
      </c>
      <c r="I16" s="48">
        <v>10</v>
      </c>
      <c r="J16" s="48">
        <f t="shared" si="2"/>
        <v>10</v>
      </c>
      <c r="K16" s="51">
        <v>19</v>
      </c>
      <c r="L16" s="51">
        <f t="shared" si="3"/>
        <v>190</v>
      </c>
      <c r="M16" s="1" t="s">
        <v>77</v>
      </c>
      <c r="N16" s="48" t="s">
        <v>63</v>
      </c>
    </row>
    <row r="17" s="34" customFormat="1" ht="20.25" spans="1:15">
      <c r="A17" s="33"/>
      <c r="B17" s="45">
        <v>45749</v>
      </c>
      <c r="C17" s="46">
        <v>14</v>
      </c>
      <c r="D17" s="47"/>
      <c r="E17" s="48"/>
      <c r="F17" s="48"/>
      <c r="G17" s="49" t="s">
        <v>148</v>
      </c>
      <c r="H17" s="48">
        <v>1</v>
      </c>
      <c r="I17" s="48">
        <v>5</v>
      </c>
      <c r="J17" s="48">
        <f t="shared" si="2"/>
        <v>5</v>
      </c>
      <c r="K17" s="51">
        <v>19</v>
      </c>
      <c r="L17" s="51">
        <f t="shared" si="3"/>
        <v>95</v>
      </c>
      <c r="M17" s="1"/>
      <c r="N17" s="53"/>
    </row>
    <row r="18" s="32" customFormat="1" ht="20.25" spans="1:15">
      <c r="A18" s="32" t="s">
        <v>137</v>
      </c>
      <c r="B18" s="39">
        <v>45756</v>
      </c>
      <c r="C18" s="38">
        <v>22</v>
      </c>
      <c r="D18" s="39" t="s">
        <v>137</v>
      </c>
      <c r="E18" s="40">
        <v>45749</v>
      </c>
      <c r="F18" s="40">
        <v>13</v>
      </c>
      <c r="G18" s="41" t="s">
        <v>140</v>
      </c>
      <c r="H18" s="40">
        <v>24</v>
      </c>
      <c r="I18" s="40">
        <v>1</v>
      </c>
      <c r="J18" s="40">
        <f t="shared" si="2"/>
        <v>24</v>
      </c>
      <c r="K18" s="43">
        <v>30</v>
      </c>
      <c r="L18" s="43">
        <f t="shared" si="3"/>
        <v>720</v>
      </c>
      <c r="M18" s="2"/>
      <c r="N18" s="44"/>
    </row>
    <row r="19" s="32" customFormat="1" ht="20.25" spans="1:15">
      <c r="A19" s="32" t="s">
        <v>137</v>
      </c>
      <c r="B19" s="39">
        <v>45756</v>
      </c>
      <c r="C19" s="38">
        <v>22</v>
      </c>
      <c r="D19" s="39" t="s">
        <v>83</v>
      </c>
      <c r="E19" s="40"/>
      <c r="F19" s="40"/>
      <c r="G19" s="41" t="s">
        <v>149</v>
      </c>
      <c r="H19" s="40">
        <v>2</v>
      </c>
      <c r="I19" s="40">
        <v>1</v>
      </c>
      <c r="J19" s="40">
        <f t="shared" si="2"/>
        <v>2</v>
      </c>
      <c r="K19" s="43">
        <v>5.5</v>
      </c>
      <c r="L19" s="43">
        <f t="shared" si="3"/>
        <v>11</v>
      </c>
      <c r="M19" s="2">
        <f>SUM(L18:L19)</f>
        <v>731</v>
      </c>
      <c r="N19" s="44"/>
    </row>
    <row r="20" s="33" customFormat="1" ht="20.25" spans="1:15">
      <c r="A20" s="34" t="s">
        <v>38</v>
      </c>
      <c r="B20" s="45">
        <v>45764</v>
      </c>
      <c r="C20" s="46">
        <v>52</v>
      </c>
      <c r="D20" s="48" t="s">
        <v>64</v>
      </c>
      <c r="E20" s="48"/>
      <c r="F20" s="48"/>
      <c r="G20" s="49" t="s">
        <v>65</v>
      </c>
      <c r="H20" s="50">
        <v>2</v>
      </c>
      <c r="I20" s="48">
        <v>25</v>
      </c>
      <c r="J20" s="48">
        <f t="shared" si="2"/>
        <v>50</v>
      </c>
      <c r="K20" s="51">
        <v>13.5</v>
      </c>
      <c r="L20" s="51">
        <f t="shared" si="3"/>
        <v>675</v>
      </c>
      <c r="M20" s="34"/>
      <c r="N20" s="48"/>
    </row>
    <row r="21" s="33" customFormat="1" ht="20.25" spans="1:15">
      <c r="A21" s="34" t="s">
        <v>38</v>
      </c>
      <c r="B21" s="45">
        <v>45764</v>
      </c>
      <c r="C21" s="46">
        <v>52</v>
      </c>
      <c r="D21" s="48" t="s">
        <v>66</v>
      </c>
      <c r="E21" s="48"/>
      <c r="F21" s="48"/>
      <c r="G21" s="49" t="s">
        <v>67</v>
      </c>
      <c r="H21" s="50">
        <v>2</v>
      </c>
      <c r="I21" s="48">
        <v>28</v>
      </c>
      <c r="J21" s="48">
        <f t="shared" si="2"/>
        <v>56</v>
      </c>
      <c r="K21" s="51">
        <v>9.5</v>
      </c>
      <c r="L21" s="51">
        <f t="shared" ref="L21:L36" si="4">J21*K21</f>
        <v>532</v>
      </c>
      <c r="M21" s="1" t="s">
        <v>68</v>
      </c>
      <c r="N21" s="60"/>
      <c r="O21" s="55" t="s">
        <v>51</v>
      </c>
    </row>
    <row r="22" s="33" customFormat="1" ht="20.25" spans="1:15">
      <c r="A22" s="34" t="s">
        <v>38</v>
      </c>
      <c r="B22" s="45">
        <v>45764</v>
      </c>
      <c r="C22" s="46">
        <v>52</v>
      </c>
      <c r="D22" s="48" t="s">
        <v>70</v>
      </c>
      <c r="E22" s="48"/>
      <c r="F22" s="48"/>
      <c r="G22" s="49" t="s">
        <v>71</v>
      </c>
      <c r="H22" s="50">
        <v>3</v>
      </c>
      <c r="I22" s="48">
        <v>25</v>
      </c>
      <c r="J22" s="48">
        <f t="shared" si="2"/>
        <v>75</v>
      </c>
      <c r="K22" s="51">
        <v>19</v>
      </c>
      <c r="L22" s="51">
        <f t="shared" si="4"/>
        <v>1425</v>
      </c>
      <c r="M22" s="66" t="s">
        <v>72</v>
      </c>
      <c r="N22" s="48"/>
    </row>
    <row r="23" s="33" customFormat="1" ht="20.25" spans="1:15">
      <c r="A23" s="34" t="s">
        <v>38</v>
      </c>
      <c r="B23" s="45">
        <v>45764</v>
      </c>
      <c r="C23" s="46">
        <v>52</v>
      </c>
      <c r="D23" s="48"/>
      <c r="E23" s="48"/>
      <c r="F23" s="48"/>
      <c r="G23" s="49" t="s">
        <v>73</v>
      </c>
      <c r="H23" s="50">
        <v>2</v>
      </c>
      <c r="I23" s="48">
        <v>20</v>
      </c>
      <c r="J23" s="48">
        <f t="shared" ref="J23:J36" si="5">H23*I23</f>
        <v>40</v>
      </c>
      <c r="K23" s="51">
        <v>19</v>
      </c>
      <c r="L23" s="51">
        <f t="shared" si="4"/>
        <v>760</v>
      </c>
      <c r="M23" s="70" t="s">
        <v>85</v>
      </c>
      <c r="N23" s="48"/>
    </row>
    <row r="24" s="33" customFormat="1" ht="20.25" spans="1:15">
      <c r="A24" s="34" t="s">
        <v>38</v>
      </c>
      <c r="B24" s="45">
        <v>45764</v>
      </c>
      <c r="C24" s="46">
        <v>52</v>
      </c>
      <c r="D24" s="48" t="s">
        <v>75</v>
      </c>
      <c r="E24" s="48"/>
      <c r="F24" s="48"/>
      <c r="G24" s="49" t="s">
        <v>76</v>
      </c>
      <c r="H24" s="50">
        <v>3</v>
      </c>
      <c r="I24" s="48">
        <v>20</v>
      </c>
      <c r="J24" s="48">
        <f t="shared" si="5"/>
        <v>60</v>
      </c>
      <c r="K24" s="51">
        <v>19</v>
      </c>
      <c r="L24" s="51">
        <f t="shared" si="4"/>
        <v>1140</v>
      </c>
      <c r="M24" s="1" t="s">
        <v>77</v>
      </c>
      <c r="N24" s="48"/>
    </row>
    <row r="25" s="33" customFormat="1" ht="20.25" spans="1:15">
      <c r="A25" s="34" t="s">
        <v>38</v>
      </c>
      <c r="B25" s="45">
        <v>45764</v>
      </c>
      <c r="C25" s="46">
        <v>52</v>
      </c>
      <c r="D25" s="48"/>
      <c r="E25" s="48"/>
      <c r="F25" s="48"/>
      <c r="G25" s="49" t="s">
        <v>78</v>
      </c>
      <c r="H25" s="50">
        <v>2</v>
      </c>
      <c r="I25" s="48">
        <v>20</v>
      </c>
      <c r="J25" s="48">
        <f t="shared" si="5"/>
        <v>40</v>
      </c>
      <c r="K25" s="51">
        <v>19</v>
      </c>
      <c r="L25" s="51">
        <f t="shared" si="4"/>
        <v>760</v>
      </c>
      <c r="M25" s="1" t="s">
        <v>79</v>
      </c>
      <c r="N25" s="48"/>
    </row>
    <row r="26" s="33" customFormat="1" ht="20.25" spans="1:15">
      <c r="A26" s="34" t="s">
        <v>38</v>
      </c>
      <c r="B26" s="45">
        <v>45764</v>
      </c>
      <c r="C26" s="46">
        <v>52</v>
      </c>
      <c r="D26" s="48"/>
      <c r="E26" s="48"/>
      <c r="F26" s="48"/>
      <c r="G26" s="49" t="s">
        <v>150</v>
      </c>
      <c r="H26" s="50">
        <v>1</v>
      </c>
      <c r="I26" s="48">
        <v>6</v>
      </c>
      <c r="J26" s="48">
        <f t="shared" si="5"/>
        <v>6</v>
      </c>
      <c r="K26" s="51">
        <v>19</v>
      </c>
      <c r="L26" s="51">
        <f t="shared" si="4"/>
        <v>114</v>
      </c>
      <c r="M26" s="1" t="s">
        <v>151</v>
      </c>
      <c r="N26" s="48"/>
    </row>
    <row r="27" s="33" customFormat="1" ht="20.25" spans="1:15">
      <c r="A27" s="34" t="s">
        <v>38</v>
      </c>
      <c r="B27" s="45">
        <v>45764</v>
      </c>
      <c r="C27" s="46">
        <v>52</v>
      </c>
      <c r="D27" s="48" t="s">
        <v>106</v>
      </c>
      <c r="E27" s="48"/>
      <c r="F27" s="48"/>
      <c r="G27" s="49" t="s">
        <v>107</v>
      </c>
      <c r="H27" s="50">
        <v>2</v>
      </c>
      <c r="I27" s="48">
        <v>10</v>
      </c>
      <c r="J27" s="48">
        <f t="shared" si="5"/>
        <v>20</v>
      </c>
      <c r="K27" s="51">
        <v>19</v>
      </c>
      <c r="L27" s="51">
        <f t="shared" si="4"/>
        <v>380</v>
      </c>
      <c r="M27" s="1" t="s">
        <v>152</v>
      </c>
      <c r="N27" s="48">
        <f>SUM(L20:L27)</f>
        <v>5786</v>
      </c>
    </row>
    <row r="28" s="32" customFormat="1" ht="20.25" spans="1:15">
      <c r="A28" s="31" t="s">
        <v>153</v>
      </c>
      <c r="B28" s="39">
        <v>45783</v>
      </c>
      <c r="C28" s="38">
        <v>7</v>
      </c>
      <c r="D28" s="39">
        <v>45782</v>
      </c>
      <c r="E28" s="40"/>
      <c r="F28" s="40"/>
      <c r="G28" s="41" t="s">
        <v>154</v>
      </c>
      <c r="H28" s="40">
        <v>1</v>
      </c>
      <c r="I28" s="40">
        <v>10</v>
      </c>
      <c r="J28" s="40">
        <f t="shared" si="5"/>
        <v>10</v>
      </c>
      <c r="K28" s="43">
        <v>50</v>
      </c>
      <c r="L28" s="43">
        <f t="shared" si="4"/>
        <v>500</v>
      </c>
      <c r="M28" s="2" t="s">
        <v>155</v>
      </c>
      <c r="N28" s="44"/>
    </row>
    <row r="29" s="33" customFormat="1" ht="20.25" spans="1:15">
      <c r="A29" s="34" t="s">
        <v>38</v>
      </c>
      <c r="B29" s="45">
        <v>45764</v>
      </c>
      <c r="C29" s="46">
        <v>52</v>
      </c>
      <c r="D29" s="48" t="s">
        <v>66</v>
      </c>
      <c r="E29" s="48"/>
      <c r="F29" s="48"/>
      <c r="G29" s="49" t="s">
        <v>67</v>
      </c>
      <c r="H29" s="50">
        <v>5</v>
      </c>
      <c r="I29" s="48">
        <v>28</v>
      </c>
      <c r="J29" s="48">
        <f t="shared" si="5"/>
        <v>140</v>
      </c>
      <c r="K29" s="51">
        <v>9.5</v>
      </c>
      <c r="L29" s="51">
        <f t="shared" si="4"/>
        <v>1330</v>
      </c>
      <c r="M29" s="1" t="s">
        <v>68</v>
      </c>
      <c r="N29" s="60"/>
      <c r="O29" s="55" t="s">
        <v>51</v>
      </c>
    </row>
    <row r="30" s="33" customFormat="1" ht="20.25" spans="1:15">
      <c r="A30" s="34" t="s">
        <v>38</v>
      </c>
      <c r="B30" s="45">
        <v>45764</v>
      </c>
      <c r="C30" s="46">
        <v>52</v>
      </c>
      <c r="D30" s="48" t="s">
        <v>156</v>
      </c>
      <c r="E30" s="48"/>
      <c r="F30" s="48"/>
      <c r="G30" s="49" t="s">
        <v>157</v>
      </c>
      <c r="H30" s="50">
        <v>1</v>
      </c>
      <c r="I30" s="48">
        <v>25</v>
      </c>
      <c r="J30" s="48">
        <f t="shared" si="5"/>
        <v>25</v>
      </c>
      <c r="K30" s="51">
        <v>19</v>
      </c>
      <c r="L30" s="51">
        <f t="shared" si="4"/>
        <v>475</v>
      </c>
      <c r="M30" s="1" t="s">
        <v>152</v>
      </c>
      <c r="N30" s="48"/>
    </row>
    <row r="31" s="33" customFormat="1" ht="20.25" spans="1:15">
      <c r="A31" s="34" t="s">
        <v>38</v>
      </c>
      <c r="B31" s="45">
        <v>45764</v>
      </c>
      <c r="C31" s="46">
        <v>52</v>
      </c>
      <c r="D31" s="48" t="s">
        <v>106</v>
      </c>
      <c r="E31" s="48"/>
      <c r="F31" s="48"/>
      <c r="G31" s="49" t="s">
        <v>107</v>
      </c>
      <c r="H31" s="50">
        <v>1</v>
      </c>
      <c r="I31" s="48">
        <v>10</v>
      </c>
      <c r="J31" s="48">
        <f t="shared" si="5"/>
        <v>10</v>
      </c>
      <c r="K31" s="51">
        <v>19</v>
      </c>
      <c r="L31" s="51">
        <f t="shared" si="4"/>
        <v>190</v>
      </c>
      <c r="M31" s="1" t="s">
        <v>152</v>
      </c>
      <c r="N31" s="48">
        <f>SUM(L29:L31)</f>
        <v>1995</v>
      </c>
    </row>
    <row r="32" s="32" customFormat="1" ht="20.25" spans="1:15">
      <c r="A32" s="32" t="s">
        <v>137</v>
      </c>
      <c r="B32" s="39">
        <v>45805</v>
      </c>
      <c r="C32" s="38">
        <v>22</v>
      </c>
      <c r="D32" s="39"/>
      <c r="E32" s="40"/>
      <c r="F32" s="40"/>
      <c r="G32" s="41" t="s">
        <v>140</v>
      </c>
      <c r="H32" s="40">
        <v>6</v>
      </c>
      <c r="I32" s="40">
        <v>1</v>
      </c>
      <c r="J32" s="40">
        <f t="shared" si="5"/>
        <v>6</v>
      </c>
      <c r="K32" s="43">
        <v>30</v>
      </c>
      <c r="L32" s="43">
        <f t="shared" si="4"/>
        <v>180</v>
      </c>
      <c r="M32" s="2"/>
      <c r="N32" s="44"/>
    </row>
    <row r="33" s="32" customFormat="1" ht="20.25" spans="1:15">
      <c r="A33" s="32" t="s">
        <v>137</v>
      </c>
      <c r="B33" s="39">
        <v>45805</v>
      </c>
      <c r="C33" s="38">
        <v>22</v>
      </c>
      <c r="D33" s="39"/>
      <c r="E33" s="40"/>
      <c r="F33" s="40"/>
      <c r="G33" s="41" t="s">
        <v>158</v>
      </c>
      <c r="H33" s="40">
        <v>1</v>
      </c>
      <c r="I33" s="40">
        <v>180</v>
      </c>
      <c r="J33" s="40">
        <f t="shared" si="5"/>
        <v>180</v>
      </c>
      <c r="K33" s="43">
        <v>6.7</v>
      </c>
      <c r="L33" s="43">
        <f t="shared" si="4"/>
        <v>1206</v>
      </c>
      <c r="M33" s="2">
        <f>SUM(L32:L33)</f>
        <v>1386</v>
      </c>
      <c r="N33" s="44"/>
    </row>
    <row r="34" s="33" customFormat="1" ht="20.25" spans="1:15">
      <c r="A34" s="34" t="s">
        <v>38</v>
      </c>
      <c r="B34" s="45">
        <v>45812</v>
      </c>
      <c r="C34" s="46">
        <v>7</v>
      </c>
      <c r="D34" s="48" t="s">
        <v>156</v>
      </c>
      <c r="E34" s="48"/>
      <c r="F34" s="48"/>
      <c r="G34" s="49" t="s">
        <v>157</v>
      </c>
      <c r="H34" s="50">
        <v>1</v>
      </c>
      <c r="I34" s="48">
        <v>26</v>
      </c>
      <c r="J34" s="48">
        <f t="shared" si="5"/>
        <v>26</v>
      </c>
      <c r="K34" s="51">
        <v>19</v>
      </c>
      <c r="L34" s="51">
        <f t="shared" si="4"/>
        <v>494</v>
      </c>
      <c r="M34" s="1" t="s">
        <v>152</v>
      </c>
      <c r="N34" s="48">
        <f t="shared" ref="N34:N36" si="6">SUM(L27:L34)</f>
        <v>4755</v>
      </c>
    </row>
    <row r="35" s="33" customFormat="1" ht="20.25" spans="1:15">
      <c r="A35" s="34" t="s">
        <v>38</v>
      </c>
      <c r="B35" s="45">
        <v>45812</v>
      </c>
      <c r="C35" s="46">
        <v>7</v>
      </c>
      <c r="D35" s="48" t="s">
        <v>106</v>
      </c>
      <c r="E35" s="48"/>
      <c r="F35" s="48"/>
      <c r="G35" s="49" t="s">
        <v>107</v>
      </c>
      <c r="H35" s="50">
        <v>1</v>
      </c>
      <c r="I35" s="48">
        <v>10</v>
      </c>
      <c r="J35" s="48">
        <f t="shared" si="5"/>
        <v>10</v>
      </c>
      <c r="K35" s="51">
        <v>19</v>
      </c>
      <c r="L35" s="51">
        <f t="shared" si="4"/>
        <v>190</v>
      </c>
      <c r="M35" s="1" t="s">
        <v>152</v>
      </c>
      <c r="N35" s="48">
        <f>SUBTOTAL(9,L34:L35)</f>
        <v>684</v>
      </c>
    </row>
    <row r="36" s="31" customFormat="1" ht="20.25" spans="1:15">
      <c r="A36" s="32" t="s">
        <v>36</v>
      </c>
      <c r="B36" s="37">
        <v>45817</v>
      </c>
      <c r="C36" s="38">
        <v>23</v>
      </c>
      <c r="D36" s="39">
        <v>45816</v>
      </c>
      <c r="E36" s="40"/>
      <c r="F36" s="40"/>
      <c r="G36" s="41" t="s">
        <v>67</v>
      </c>
      <c r="H36" s="42">
        <v>2</v>
      </c>
      <c r="I36" s="40">
        <v>25</v>
      </c>
      <c r="J36" s="40">
        <f t="shared" si="5"/>
        <v>50</v>
      </c>
      <c r="K36" s="43">
        <v>8</v>
      </c>
      <c r="L36" s="43">
        <f t="shared" si="4"/>
        <v>400</v>
      </c>
      <c r="M36" s="2" t="s">
        <v>159</v>
      </c>
      <c r="N36" s="40"/>
    </row>
    <row r="37" s="32" customFormat="1" ht="20.25" spans="1:15">
      <c r="A37" s="32" t="s">
        <v>36</v>
      </c>
      <c r="B37" s="37">
        <v>45817</v>
      </c>
      <c r="C37" s="38">
        <v>23</v>
      </c>
      <c r="D37" s="39"/>
      <c r="E37" s="40"/>
      <c r="F37" s="40"/>
      <c r="G37" s="41" t="s">
        <v>160</v>
      </c>
      <c r="H37" s="40">
        <v>20</v>
      </c>
      <c r="I37" s="40">
        <v>1</v>
      </c>
      <c r="J37" s="40">
        <f t="shared" ref="J37:J95" si="7">H37*I37</f>
        <v>20</v>
      </c>
      <c r="K37" s="43">
        <v>0.85</v>
      </c>
      <c r="L37" s="43">
        <f t="shared" ref="L37:L95" si="8">J37*K37</f>
        <v>17</v>
      </c>
      <c r="M37" s="2" t="s">
        <v>161</v>
      </c>
      <c r="N37" s="44"/>
    </row>
    <row r="38" s="32" customFormat="1" ht="20.25" spans="1:15">
      <c r="A38" s="32" t="s">
        <v>36</v>
      </c>
      <c r="B38" s="37">
        <v>45817</v>
      </c>
      <c r="C38" s="38">
        <v>23</v>
      </c>
      <c r="D38" s="39"/>
      <c r="E38" s="40"/>
      <c r="F38" s="40"/>
      <c r="G38" s="41" t="s">
        <v>12</v>
      </c>
      <c r="H38" s="40">
        <v>1</v>
      </c>
      <c r="I38" s="40">
        <v>1</v>
      </c>
      <c r="J38" s="40">
        <f t="shared" si="7"/>
        <v>1</v>
      </c>
      <c r="K38" s="43">
        <v>6.6</v>
      </c>
      <c r="L38" s="43">
        <f t="shared" si="8"/>
        <v>6.6</v>
      </c>
      <c r="M38" s="2">
        <f>SUM(L36:L38)</f>
        <v>423.6</v>
      </c>
      <c r="N38" s="44"/>
    </row>
    <row r="39" s="34" customFormat="1" ht="20.25" spans="1:15">
      <c r="A39" s="34" t="s">
        <v>137</v>
      </c>
      <c r="B39" s="47">
        <v>45818</v>
      </c>
      <c r="C39" s="46">
        <v>32</v>
      </c>
      <c r="D39" s="47" t="s">
        <v>143</v>
      </c>
      <c r="E39" s="48"/>
      <c r="F39" s="48"/>
      <c r="G39" s="49" t="s">
        <v>162</v>
      </c>
      <c r="H39" s="48">
        <v>1</v>
      </c>
      <c r="I39" s="48">
        <v>74</v>
      </c>
      <c r="J39" s="48">
        <f t="shared" si="7"/>
        <v>74</v>
      </c>
      <c r="K39" s="51">
        <v>5.4</v>
      </c>
      <c r="L39" s="71">
        <f t="shared" si="8"/>
        <v>399.6</v>
      </c>
      <c r="M39" s="1" t="s">
        <v>51</v>
      </c>
      <c r="N39" s="53"/>
    </row>
    <row r="40" s="34" customFormat="1" ht="20.25" spans="1:15">
      <c r="A40" s="34" t="s">
        <v>137</v>
      </c>
      <c r="B40" s="47">
        <v>45818</v>
      </c>
      <c r="C40" s="46">
        <v>32</v>
      </c>
      <c r="D40" s="47"/>
      <c r="E40" s="48"/>
      <c r="F40" s="48"/>
      <c r="G40" s="49" t="s">
        <v>163</v>
      </c>
      <c r="H40" s="48">
        <v>2</v>
      </c>
      <c r="I40" s="48">
        <v>1</v>
      </c>
      <c r="J40" s="48">
        <f t="shared" si="7"/>
        <v>2</v>
      </c>
      <c r="K40" s="51">
        <v>30</v>
      </c>
      <c r="L40" s="71">
        <f t="shared" si="8"/>
        <v>60</v>
      </c>
      <c r="M40" s="1"/>
      <c r="N40" s="53"/>
    </row>
    <row r="41" s="32" customFormat="1" ht="20.25" spans="1:15">
      <c r="A41" s="72">
        <v>45818</v>
      </c>
      <c r="B41" s="39">
        <v>45818</v>
      </c>
      <c r="C41" s="38">
        <v>33</v>
      </c>
      <c r="D41" s="39"/>
      <c r="E41" s="40"/>
      <c r="F41" s="40"/>
      <c r="G41" s="41" t="s">
        <v>164</v>
      </c>
      <c r="H41" s="40">
        <v>35</v>
      </c>
      <c r="I41" s="40">
        <v>1</v>
      </c>
      <c r="J41" s="40">
        <f t="shared" si="7"/>
        <v>35</v>
      </c>
      <c r="K41" s="43">
        <v>20</v>
      </c>
      <c r="L41" s="73">
        <f t="shared" si="8"/>
        <v>700</v>
      </c>
      <c r="M41" s="2"/>
      <c r="N41" s="44"/>
    </row>
    <row r="42" s="33" customFormat="1" ht="20.25" spans="1:15">
      <c r="A42" s="34" t="s">
        <v>36</v>
      </c>
      <c r="B42" s="45">
        <v>45827</v>
      </c>
      <c r="C42" s="46">
        <v>46</v>
      </c>
      <c r="D42" s="47">
        <v>45824</v>
      </c>
      <c r="E42" s="48"/>
      <c r="F42" s="48"/>
      <c r="G42" s="49" t="s">
        <v>67</v>
      </c>
      <c r="H42" s="50">
        <v>2</v>
      </c>
      <c r="I42" s="48">
        <v>25</v>
      </c>
      <c r="J42" s="48">
        <f t="shared" si="7"/>
        <v>50</v>
      </c>
      <c r="K42" s="51">
        <v>7.6</v>
      </c>
      <c r="L42" s="51">
        <f t="shared" si="8"/>
        <v>380</v>
      </c>
      <c r="M42" s="52" t="s">
        <v>165</v>
      </c>
      <c r="N42" s="48"/>
    </row>
    <row r="43" s="34" customFormat="1" ht="20.25" spans="1:15">
      <c r="A43" s="34" t="s">
        <v>36</v>
      </c>
      <c r="B43" s="45">
        <v>45827</v>
      </c>
      <c r="C43" s="46">
        <v>46</v>
      </c>
      <c r="D43" s="47">
        <v>45824</v>
      </c>
      <c r="E43" s="48"/>
      <c r="F43" s="48"/>
      <c r="G43" s="49" t="s">
        <v>12</v>
      </c>
      <c r="H43" s="48">
        <v>1</v>
      </c>
      <c r="I43" s="48">
        <v>1</v>
      </c>
      <c r="J43" s="48">
        <f t="shared" si="7"/>
        <v>1</v>
      </c>
      <c r="K43" s="51">
        <v>6.6</v>
      </c>
      <c r="L43" s="51">
        <f t="shared" si="8"/>
        <v>6.6</v>
      </c>
      <c r="M43" s="1"/>
      <c r="N43" s="53"/>
    </row>
    <row r="44" s="34" customFormat="1" ht="20.25" spans="1:15">
      <c r="A44" s="34" t="s">
        <v>36</v>
      </c>
      <c r="B44" s="45">
        <v>45827</v>
      </c>
      <c r="C44" s="46">
        <v>46</v>
      </c>
      <c r="D44" s="47">
        <v>45826</v>
      </c>
      <c r="E44" s="48"/>
      <c r="F44" s="48"/>
      <c r="G44" s="49" t="s">
        <v>166</v>
      </c>
      <c r="H44" s="48">
        <v>2</v>
      </c>
      <c r="I44" s="48">
        <v>25</v>
      </c>
      <c r="J44" s="48">
        <f t="shared" si="7"/>
        <v>50</v>
      </c>
      <c r="K44" s="51">
        <v>13</v>
      </c>
      <c r="L44" s="51">
        <f t="shared" si="8"/>
        <v>650</v>
      </c>
      <c r="M44" s="1" t="s">
        <v>167</v>
      </c>
      <c r="N44" s="53"/>
    </row>
    <row r="45" s="34" customFormat="1" ht="20.25" spans="1:15">
      <c r="A45" s="34" t="s">
        <v>36</v>
      </c>
      <c r="B45" s="45">
        <v>45827</v>
      </c>
      <c r="C45" s="46">
        <v>46</v>
      </c>
      <c r="D45" s="47">
        <v>45827</v>
      </c>
      <c r="E45" s="48"/>
      <c r="F45" s="48"/>
      <c r="G45" s="49" t="s">
        <v>65</v>
      </c>
      <c r="H45" s="48">
        <v>6</v>
      </c>
      <c r="I45" s="48">
        <v>25</v>
      </c>
      <c r="J45" s="48">
        <f t="shared" si="7"/>
        <v>150</v>
      </c>
      <c r="K45" s="51">
        <v>8.2</v>
      </c>
      <c r="L45" s="51">
        <f t="shared" si="8"/>
        <v>1230</v>
      </c>
      <c r="M45" s="1" t="s">
        <v>168</v>
      </c>
      <c r="N45" s="53">
        <f>SUM(L42:L45)</f>
        <v>2266.6</v>
      </c>
    </row>
    <row r="46" s="31" customFormat="1" ht="20.25" spans="1:15">
      <c r="A46" s="32" t="s">
        <v>38</v>
      </c>
      <c r="B46" s="37">
        <v>45829</v>
      </c>
      <c r="C46" s="38">
        <v>64</v>
      </c>
      <c r="D46" s="40" t="s">
        <v>66</v>
      </c>
      <c r="E46" s="40"/>
      <c r="F46" s="40"/>
      <c r="G46" s="41" t="s">
        <v>67</v>
      </c>
      <c r="H46" s="42">
        <v>5</v>
      </c>
      <c r="I46" s="40">
        <v>28</v>
      </c>
      <c r="J46" s="40">
        <f t="shared" si="7"/>
        <v>140</v>
      </c>
      <c r="K46" s="43">
        <v>9.5</v>
      </c>
      <c r="L46" s="43">
        <f t="shared" si="8"/>
        <v>1330</v>
      </c>
      <c r="M46" s="2" t="s">
        <v>68</v>
      </c>
      <c r="N46" s="40"/>
      <c r="O46" s="31" t="s">
        <v>51</v>
      </c>
    </row>
    <row r="47" s="31" customFormat="1" ht="20.25" spans="1:15">
      <c r="A47" s="74" t="s">
        <v>38</v>
      </c>
      <c r="B47" s="37">
        <v>45829</v>
      </c>
      <c r="C47" s="38">
        <v>64</v>
      </c>
      <c r="D47" s="40" t="s">
        <v>145</v>
      </c>
      <c r="E47" s="40"/>
      <c r="F47" s="40"/>
      <c r="G47" s="41" t="s">
        <v>146</v>
      </c>
      <c r="H47" s="42">
        <v>1</v>
      </c>
      <c r="I47" s="40">
        <v>25</v>
      </c>
      <c r="J47" s="40">
        <f t="shared" si="7"/>
        <v>25</v>
      </c>
      <c r="K47" s="43">
        <v>19</v>
      </c>
      <c r="L47" s="43">
        <f t="shared" si="8"/>
        <v>475</v>
      </c>
      <c r="M47" s="32" t="s">
        <v>147</v>
      </c>
      <c r="N47" s="40"/>
    </row>
    <row r="48" s="31" customFormat="1" ht="20.25" spans="1:15">
      <c r="A48" s="32" t="s">
        <v>38</v>
      </c>
      <c r="B48" s="37">
        <v>45829</v>
      </c>
      <c r="C48" s="38">
        <v>64</v>
      </c>
      <c r="D48" s="40">
        <v>1230</v>
      </c>
      <c r="E48" s="40"/>
      <c r="F48" s="40"/>
      <c r="G48" s="41" t="s">
        <v>169</v>
      </c>
      <c r="H48" s="42">
        <v>1</v>
      </c>
      <c r="I48" s="40">
        <v>15</v>
      </c>
      <c r="J48" s="40">
        <f t="shared" si="7"/>
        <v>15</v>
      </c>
      <c r="K48" s="43">
        <v>19</v>
      </c>
      <c r="L48" s="43">
        <f t="shared" si="8"/>
        <v>285</v>
      </c>
      <c r="M48" s="75">
        <f>SUBTOTAL(9,L46:L63)</f>
        <v>9975.5</v>
      </c>
      <c r="N48" s="40"/>
    </row>
    <row r="49" s="31" customFormat="1" ht="20.25" spans="1:14">
      <c r="A49" s="74" t="s">
        <v>38</v>
      </c>
      <c r="B49" s="37">
        <v>45829</v>
      </c>
      <c r="C49" s="38">
        <v>64</v>
      </c>
      <c r="D49" s="40" t="s">
        <v>106</v>
      </c>
      <c r="E49" s="40"/>
      <c r="F49" s="40"/>
      <c r="G49" s="41" t="s">
        <v>107</v>
      </c>
      <c r="H49" s="42">
        <v>2</v>
      </c>
      <c r="I49" s="40">
        <v>10</v>
      </c>
      <c r="J49" s="40">
        <f t="shared" si="7"/>
        <v>20</v>
      </c>
      <c r="K49" s="43">
        <v>19</v>
      </c>
      <c r="L49" s="43">
        <f t="shared" si="8"/>
        <v>380</v>
      </c>
      <c r="M49" s="2" t="s">
        <v>152</v>
      </c>
      <c r="N49" s="40"/>
    </row>
    <row r="50" s="55" customFormat="1" ht="20.25" spans="1:14">
      <c r="A50" s="35" t="s">
        <v>36</v>
      </c>
      <c r="B50" s="57">
        <v>45850</v>
      </c>
      <c r="C50" s="58">
        <v>44</v>
      </c>
      <c r="D50" s="59">
        <v>45848</v>
      </c>
      <c r="E50" s="60"/>
      <c r="F50" s="60"/>
      <c r="G50" s="61" t="s">
        <v>23</v>
      </c>
      <c r="H50" s="67">
        <v>1</v>
      </c>
      <c r="I50" s="60">
        <v>25</v>
      </c>
      <c r="J50" s="60">
        <f t="shared" si="7"/>
        <v>25</v>
      </c>
      <c r="K50" s="62">
        <v>8.5</v>
      </c>
      <c r="L50" s="62">
        <f t="shared" si="8"/>
        <v>212.5</v>
      </c>
      <c r="M50" s="63" t="s">
        <v>170</v>
      </c>
      <c r="N50" s="60"/>
    </row>
    <row r="51" s="32" customFormat="1" ht="20.25" spans="1:14">
      <c r="A51" s="32" t="s">
        <v>137</v>
      </c>
      <c r="B51" s="39">
        <v>45850</v>
      </c>
      <c r="C51" s="38">
        <v>46</v>
      </c>
      <c r="D51" s="39"/>
      <c r="E51" s="40"/>
      <c r="F51" s="40"/>
      <c r="G51" s="41" t="s">
        <v>171</v>
      </c>
      <c r="H51" s="40">
        <v>1</v>
      </c>
      <c r="I51" s="40">
        <v>180</v>
      </c>
      <c r="J51" s="40">
        <f t="shared" si="7"/>
        <v>180</v>
      </c>
      <c r="K51" s="43">
        <v>6.7</v>
      </c>
      <c r="L51" s="43">
        <f t="shared" si="8"/>
        <v>1206</v>
      </c>
      <c r="M51" s="2"/>
      <c r="N51" s="44"/>
    </row>
    <row r="52" s="32" customFormat="1" ht="20.25" spans="1:14">
      <c r="A52" s="32" t="s">
        <v>137</v>
      </c>
      <c r="B52" s="39">
        <v>45850</v>
      </c>
      <c r="C52" s="38">
        <v>46</v>
      </c>
      <c r="D52" s="39"/>
      <c r="E52" s="40"/>
      <c r="F52" s="40"/>
      <c r="G52" s="41" t="s">
        <v>172</v>
      </c>
      <c r="H52" s="40">
        <v>-1</v>
      </c>
      <c r="I52" s="40">
        <v>164</v>
      </c>
      <c r="J52" s="40">
        <f t="shared" si="7"/>
        <v>-164</v>
      </c>
      <c r="K52" s="43">
        <v>1.8</v>
      </c>
      <c r="L52" s="43">
        <f t="shared" si="8"/>
        <v>-295.2</v>
      </c>
      <c r="M52" s="2">
        <f>SUM(L51:L52)</f>
        <v>910.8</v>
      </c>
      <c r="N52" s="44"/>
    </row>
    <row r="53" s="33" customFormat="1" ht="20.25" spans="1:14">
      <c r="A53" s="34" t="s">
        <v>36</v>
      </c>
      <c r="B53" s="45">
        <v>45854</v>
      </c>
      <c r="C53" s="46">
        <v>61</v>
      </c>
      <c r="D53" s="47">
        <v>45854</v>
      </c>
      <c r="E53" s="48"/>
      <c r="F53" s="48"/>
      <c r="G53" s="49" t="s">
        <v>173</v>
      </c>
      <c r="H53" s="50">
        <v>10</v>
      </c>
      <c r="I53" s="48">
        <v>20</v>
      </c>
      <c r="J53" s="48">
        <f t="shared" si="7"/>
        <v>200</v>
      </c>
      <c r="K53" s="51">
        <v>13.5</v>
      </c>
      <c r="L53" s="51">
        <f t="shared" si="8"/>
        <v>2700</v>
      </c>
      <c r="M53" s="1" t="s">
        <v>174</v>
      </c>
      <c r="N53" s="48"/>
    </row>
    <row r="54" s="55" customFormat="1" ht="20.25" spans="1:14">
      <c r="A54" s="35" t="s">
        <v>137</v>
      </c>
      <c r="B54" s="57">
        <v>45877</v>
      </c>
      <c r="C54" s="58">
        <v>14</v>
      </c>
      <c r="D54" s="59">
        <v>45867</v>
      </c>
      <c r="E54" s="60"/>
      <c r="F54" s="60"/>
      <c r="G54" s="61" t="s">
        <v>175</v>
      </c>
      <c r="H54" s="76">
        <v>1</v>
      </c>
      <c r="I54" s="60">
        <v>24</v>
      </c>
      <c r="J54" s="60">
        <f t="shared" si="7"/>
        <v>24</v>
      </c>
      <c r="K54" s="62">
        <v>1.8</v>
      </c>
      <c r="L54" s="62">
        <f t="shared" si="8"/>
        <v>43.2</v>
      </c>
      <c r="M54" s="63"/>
      <c r="N54" s="60"/>
    </row>
    <row r="55" s="55" customFormat="1" ht="20.25" spans="1:14">
      <c r="A55" s="35" t="s">
        <v>137</v>
      </c>
      <c r="B55" s="57">
        <v>45877</v>
      </c>
      <c r="C55" s="58">
        <v>14</v>
      </c>
      <c r="D55" s="59">
        <v>45874</v>
      </c>
      <c r="E55" s="60"/>
      <c r="F55" s="60"/>
      <c r="G55" s="61" t="s">
        <v>158</v>
      </c>
      <c r="H55" s="50">
        <v>1</v>
      </c>
      <c r="I55" s="60">
        <v>180</v>
      </c>
      <c r="J55" s="60">
        <f t="shared" si="7"/>
        <v>180</v>
      </c>
      <c r="K55" s="62">
        <v>6.5</v>
      </c>
      <c r="L55" s="62">
        <f t="shared" si="8"/>
        <v>1170</v>
      </c>
      <c r="M55" s="63">
        <f>SUM(L54:L55)</f>
        <v>1213.2</v>
      </c>
      <c r="N55" s="60"/>
    </row>
    <row r="56" s="55" customFormat="1" ht="20.25" spans="1:14">
      <c r="A56" s="35" t="s">
        <v>137</v>
      </c>
      <c r="B56" s="57">
        <v>45877</v>
      </c>
      <c r="C56" s="58">
        <v>14</v>
      </c>
      <c r="D56" s="59">
        <v>45864</v>
      </c>
      <c r="E56" s="60"/>
      <c r="F56" s="60"/>
      <c r="G56" s="61" t="s">
        <v>176</v>
      </c>
      <c r="H56" s="77">
        <v>-20</v>
      </c>
      <c r="I56" s="60">
        <v>1</v>
      </c>
      <c r="J56" s="60">
        <f t="shared" si="7"/>
        <v>-20</v>
      </c>
      <c r="K56" s="62">
        <v>4.5</v>
      </c>
      <c r="L56" s="62">
        <f t="shared" si="8"/>
        <v>-90</v>
      </c>
      <c r="M56" s="63" t="s">
        <v>177</v>
      </c>
      <c r="N56" s="60"/>
    </row>
    <row r="57" s="32" customFormat="1" ht="20.25" spans="1:14">
      <c r="A57" s="35" t="s">
        <v>137</v>
      </c>
      <c r="B57" s="57">
        <v>45877</v>
      </c>
      <c r="C57" s="58">
        <v>14</v>
      </c>
      <c r="D57" s="39"/>
      <c r="E57" s="40"/>
      <c r="F57" s="40"/>
      <c r="G57" s="41" t="s">
        <v>172</v>
      </c>
      <c r="H57" s="40">
        <v>-2</v>
      </c>
      <c r="I57" s="40">
        <v>180</v>
      </c>
      <c r="J57" s="40">
        <f t="shared" si="7"/>
        <v>-360</v>
      </c>
      <c r="K57" s="43">
        <v>1.8</v>
      </c>
      <c r="L57" s="43">
        <f t="shared" si="8"/>
        <v>-648</v>
      </c>
      <c r="M57" s="2">
        <f>SUM(L54:L57)</f>
        <v>475.2</v>
      </c>
      <c r="N57" s="44"/>
    </row>
    <row r="58" s="34" customFormat="1" ht="20.25" spans="1:14">
      <c r="A58" s="34" t="s">
        <v>36</v>
      </c>
      <c r="B58" s="45">
        <v>45883</v>
      </c>
      <c r="C58" s="46"/>
      <c r="D58" s="47">
        <v>45883</v>
      </c>
      <c r="E58" s="48">
        <v>45883</v>
      </c>
      <c r="F58" s="48">
        <v>45883</v>
      </c>
      <c r="G58" s="49" t="s">
        <v>166</v>
      </c>
      <c r="H58" s="48">
        <v>4</v>
      </c>
      <c r="I58" s="48">
        <v>25</v>
      </c>
      <c r="J58" s="48">
        <f t="shared" si="7"/>
        <v>100</v>
      </c>
      <c r="K58" s="51">
        <v>13</v>
      </c>
      <c r="L58" s="51">
        <f t="shared" si="8"/>
        <v>1300</v>
      </c>
      <c r="M58" s="1" t="s">
        <v>178</v>
      </c>
      <c r="N58" s="53"/>
    </row>
    <row r="59" s="34" customFormat="1" ht="20.25" spans="1:14">
      <c r="A59" s="34" t="s">
        <v>36</v>
      </c>
      <c r="B59" s="45">
        <v>45883</v>
      </c>
      <c r="C59" s="46"/>
      <c r="D59" s="47">
        <v>45883</v>
      </c>
      <c r="E59" s="48">
        <v>45883</v>
      </c>
      <c r="F59" s="48">
        <v>45883</v>
      </c>
      <c r="G59" s="49" t="s">
        <v>179</v>
      </c>
      <c r="H59" s="48">
        <v>3</v>
      </c>
      <c r="I59" s="48">
        <v>20</v>
      </c>
      <c r="J59" s="48">
        <f t="shared" si="7"/>
        <v>60</v>
      </c>
      <c r="K59" s="51">
        <v>14</v>
      </c>
      <c r="L59" s="51">
        <f t="shared" si="8"/>
        <v>840</v>
      </c>
      <c r="M59" s="1" t="s">
        <v>180</v>
      </c>
      <c r="N59" s="53"/>
    </row>
    <row r="60" s="32" customFormat="1" ht="20.25" spans="1:14">
      <c r="A60" s="35" t="s">
        <v>137</v>
      </c>
      <c r="B60" s="57">
        <v>45887</v>
      </c>
      <c r="C60" s="58"/>
      <c r="D60" s="39" t="s">
        <v>181</v>
      </c>
      <c r="E60" s="40"/>
      <c r="F60" s="40"/>
      <c r="G60" s="41" t="s">
        <v>172</v>
      </c>
      <c r="H60" s="40">
        <v>2</v>
      </c>
      <c r="I60" s="40">
        <v>180</v>
      </c>
      <c r="J60" s="40">
        <f t="shared" si="7"/>
        <v>360</v>
      </c>
      <c r="K60" s="43">
        <v>1.8</v>
      </c>
      <c r="L60" s="43">
        <f t="shared" si="8"/>
        <v>648</v>
      </c>
      <c r="M60" s="2"/>
      <c r="N60" s="44"/>
    </row>
    <row r="61" s="32" customFormat="1" ht="20.25" spans="1:14">
      <c r="A61" s="35" t="s">
        <v>137</v>
      </c>
      <c r="B61" s="57">
        <v>45887</v>
      </c>
      <c r="C61" s="58"/>
      <c r="D61" s="39" t="s">
        <v>181</v>
      </c>
      <c r="E61" s="40"/>
      <c r="F61" s="40"/>
      <c r="G61" s="41" t="s">
        <v>182</v>
      </c>
      <c r="H61" s="40">
        <v>3</v>
      </c>
      <c r="I61" s="40">
        <v>1</v>
      </c>
      <c r="J61" s="40">
        <f t="shared" si="7"/>
        <v>3</v>
      </c>
      <c r="K61" s="43">
        <v>7</v>
      </c>
      <c r="L61" s="43">
        <f t="shared" si="8"/>
        <v>21</v>
      </c>
      <c r="M61" s="2"/>
      <c r="N61" s="44"/>
    </row>
    <row r="62" s="32" customFormat="1" ht="20.25" spans="1:14">
      <c r="A62" s="35" t="s">
        <v>137</v>
      </c>
      <c r="B62" s="57">
        <v>45887</v>
      </c>
      <c r="C62" s="58"/>
      <c r="D62" s="39" t="s">
        <v>181</v>
      </c>
      <c r="E62" s="40"/>
      <c r="F62" s="40"/>
      <c r="G62" s="41" t="s">
        <v>183</v>
      </c>
      <c r="H62" s="40">
        <v>2</v>
      </c>
      <c r="I62" s="40">
        <v>1</v>
      </c>
      <c r="J62" s="40">
        <f t="shared" si="7"/>
        <v>2</v>
      </c>
      <c r="K62" s="43">
        <v>9</v>
      </c>
      <c r="L62" s="43">
        <f t="shared" si="8"/>
        <v>18</v>
      </c>
      <c r="M62" s="2">
        <f>SUM(L60:L62)</f>
        <v>687</v>
      </c>
      <c r="N62" s="44"/>
    </row>
    <row r="63" s="31" customFormat="1" ht="20.25" spans="1:14">
      <c r="A63" s="74" t="s">
        <v>38</v>
      </c>
      <c r="B63" s="37">
        <v>45829</v>
      </c>
      <c r="C63" s="38">
        <v>64</v>
      </c>
      <c r="D63" s="40" t="s">
        <v>75</v>
      </c>
      <c r="E63" s="40"/>
      <c r="F63" s="40"/>
      <c r="G63" s="41" t="s">
        <v>107</v>
      </c>
      <c r="H63" s="42">
        <v>1</v>
      </c>
      <c r="I63" s="40">
        <v>20</v>
      </c>
      <c r="J63" s="40">
        <f t="shared" si="7"/>
        <v>20</v>
      </c>
      <c r="K63" s="43">
        <v>19</v>
      </c>
      <c r="L63" s="43">
        <f t="shared" si="8"/>
        <v>380</v>
      </c>
      <c r="M63" s="2" t="s">
        <v>77</v>
      </c>
      <c r="N63" s="40"/>
    </row>
    <row r="64" s="33" customFormat="1" ht="20.25" spans="1:14">
      <c r="A64" s="34" t="s">
        <v>38</v>
      </c>
      <c r="B64" s="45">
        <v>45894</v>
      </c>
      <c r="C64" s="46">
        <v>64</v>
      </c>
      <c r="D64" s="48" t="s">
        <v>70</v>
      </c>
      <c r="E64" s="48"/>
      <c r="F64" s="48"/>
      <c r="G64" s="49" t="s">
        <v>71</v>
      </c>
      <c r="H64" s="50">
        <v>3</v>
      </c>
      <c r="I64" s="48">
        <v>25</v>
      </c>
      <c r="J64" s="48">
        <f t="shared" si="7"/>
        <v>75</v>
      </c>
      <c r="K64" s="51">
        <v>19</v>
      </c>
      <c r="L64" s="51">
        <f t="shared" si="8"/>
        <v>1425</v>
      </c>
      <c r="M64" s="66" t="s">
        <v>72</v>
      </c>
      <c r="N64" s="48"/>
    </row>
    <row r="65" s="33" customFormat="1" ht="20.25" spans="1:15">
      <c r="A65" s="34" t="s">
        <v>38</v>
      </c>
      <c r="B65" s="45">
        <v>45894</v>
      </c>
      <c r="C65" s="46">
        <v>64</v>
      </c>
      <c r="D65" s="48" t="s">
        <v>75</v>
      </c>
      <c r="E65" s="48"/>
      <c r="F65" s="48"/>
      <c r="G65" s="49" t="s">
        <v>76</v>
      </c>
      <c r="H65" s="50">
        <v>3</v>
      </c>
      <c r="I65" s="48">
        <v>20</v>
      </c>
      <c r="J65" s="48">
        <f t="shared" si="7"/>
        <v>60</v>
      </c>
      <c r="K65" s="51">
        <v>19</v>
      </c>
      <c r="L65" s="51">
        <f t="shared" si="8"/>
        <v>1140</v>
      </c>
      <c r="M65" s="1" t="s">
        <v>77</v>
      </c>
      <c r="N65" s="48">
        <f>SUM(L64:L66)</f>
        <v>3363</v>
      </c>
    </row>
    <row r="66" s="33" customFormat="1" ht="20.25" spans="1:15">
      <c r="A66" s="34" t="s">
        <v>38</v>
      </c>
      <c r="B66" s="45">
        <v>45894</v>
      </c>
      <c r="C66" s="46">
        <v>64</v>
      </c>
      <c r="D66" s="48" t="s">
        <v>66</v>
      </c>
      <c r="E66" s="48"/>
      <c r="F66" s="48"/>
      <c r="G66" s="49" t="s">
        <v>67</v>
      </c>
      <c r="H66" s="50">
        <v>3</v>
      </c>
      <c r="I66" s="48">
        <v>28</v>
      </c>
      <c r="J66" s="48">
        <f t="shared" si="7"/>
        <v>84</v>
      </c>
      <c r="K66" s="51">
        <v>9.5</v>
      </c>
      <c r="L66" s="51">
        <f t="shared" si="8"/>
        <v>798</v>
      </c>
      <c r="M66" s="1"/>
      <c r="N66" s="48" t="s">
        <v>63</v>
      </c>
    </row>
    <row r="67" s="31" customFormat="1" ht="20.25" spans="1:15">
      <c r="A67" s="32" t="s">
        <v>38</v>
      </c>
      <c r="B67" s="37">
        <v>45909</v>
      </c>
      <c r="C67" s="38">
        <v>23</v>
      </c>
      <c r="D67" s="40" t="s">
        <v>184</v>
      </c>
      <c r="E67" s="40"/>
      <c r="F67" s="40"/>
      <c r="G67" s="41" t="s">
        <v>185</v>
      </c>
      <c r="H67" s="42">
        <v>1</v>
      </c>
      <c r="I67" s="40">
        <v>10</v>
      </c>
      <c r="J67" s="40">
        <f t="shared" si="7"/>
        <v>10</v>
      </c>
      <c r="K67" s="43">
        <v>19</v>
      </c>
      <c r="L67" s="43">
        <f t="shared" si="8"/>
        <v>190</v>
      </c>
      <c r="M67" s="75">
        <f>SUM(L65:L68)</f>
        <v>2248</v>
      </c>
      <c r="N67" s="40"/>
    </row>
    <row r="68" s="33" customFormat="1" ht="20.25" spans="1:15">
      <c r="A68" s="34" t="s">
        <v>137</v>
      </c>
      <c r="B68" s="45">
        <v>45919</v>
      </c>
      <c r="C68" s="46">
        <v>54</v>
      </c>
      <c r="D68" s="47">
        <v>45918</v>
      </c>
      <c r="E68" s="48"/>
      <c r="F68" s="48"/>
      <c r="G68" s="49" t="s">
        <v>186</v>
      </c>
      <c r="H68" s="50">
        <v>4</v>
      </c>
      <c r="I68" s="48">
        <v>1</v>
      </c>
      <c r="J68" s="48">
        <f t="shared" si="7"/>
        <v>4</v>
      </c>
      <c r="K68" s="51">
        <v>30</v>
      </c>
      <c r="L68" s="51">
        <f t="shared" si="8"/>
        <v>120</v>
      </c>
      <c r="M68" s="1"/>
      <c r="N68" s="48"/>
    </row>
    <row r="69" s="31" customFormat="1" ht="20.25" spans="1:15">
      <c r="A69" s="32" t="s">
        <v>137</v>
      </c>
      <c r="B69" s="37">
        <v>45924</v>
      </c>
      <c r="C69" s="38">
        <v>59</v>
      </c>
      <c r="D69" s="39">
        <v>45922</v>
      </c>
      <c r="E69" s="40"/>
      <c r="F69" s="40"/>
      <c r="G69" s="41" t="s">
        <v>186</v>
      </c>
      <c r="H69" s="78">
        <v>10</v>
      </c>
      <c r="I69" s="40">
        <v>1</v>
      </c>
      <c r="J69" s="40">
        <f t="shared" si="7"/>
        <v>10</v>
      </c>
      <c r="K69" s="43">
        <v>30</v>
      </c>
      <c r="L69" s="43">
        <f t="shared" si="8"/>
        <v>300</v>
      </c>
      <c r="M69" s="2"/>
      <c r="N69" s="40"/>
    </row>
    <row r="70" s="31" customFormat="1" ht="20.25" spans="1:15">
      <c r="A70" s="32" t="s">
        <v>137</v>
      </c>
      <c r="B70" s="37">
        <v>45924</v>
      </c>
      <c r="C70" s="38">
        <v>59</v>
      </c>
      <c r="D70" s="39">
        <v>45922</v>
      </c>
      <c r="E70" s="40"/>
      <c r="F70" s="40"/>
      <c r="G70" s="41" t="s">
        <v>158</v>
      </c>
      <c r="H70" s="42">
        <v>1</v>
      </c>
      <c r="I70" s="40">
        <v>180</v>
      </c>
      <c r="J70" s="40">
        <f t="shared" si="7"/>
        <v>180</v>
      </c>
      <c r="K70" s="43">
        <v>6.4</v>
      </c>
      <c r="L70" s="43">
        <f t="shared" si="8"/>
        <v>1152</v>
      </c>
      <c r="M70" s="2">
        <f>SUM(L69:L71)</f>
        <v>804</v>
      </c>
      <c r="N70" s="40"/>
    </row>
    <row r="71" s="31" customFormat="1" ht="20.25" spans="1:15">
      <c r="A71" s="32" t="s">
        <v>137</v>
      </c>
      <c r="B71" s="37">
        <v>45924</v>
      </c>
      <c r="C71" s="38">
        <v>59</v>
      </c>
      <c r="D71" s="39">
        <v>45924</v>
      </c>
      <c r="E71" s="40"/>
      <c r="F71" s="40"/>
      <c r="G71" s="41" t="s">
        <v>187</v>
      </c>
      <c r="H71" s="42">
        <v>-2</v>
      </c>
      <c r="I71" s="40">
        <v>180</v>
      </c>
      <c r="J71" s="40">
        <f t="shared" si="7"/>
        <v>-360</v>
      </c>
      <c r="K71" s="43">
        <v>1.8</v>
      </c>
      <c r="L71" s="43">
        <f t="shared" si="8"/>
        <v>-648</v>
      </c>
      <c r="M71" s="2"/>
      <c r="N71" s="40"/>
    </row>
    <row r="72" s="32" customFormat="1" ht="20.25" spans="1:15">
      <c r="A72" s="32" t="s">
        <v>137</v>
      </c>
      <c r="B72" s="37">
        <v>45887</v>
      </c>
      <c r="C72" s="38">
        <v>59</v>
      </c>
      <c r="D72" s="39">
        <v>45925</v>
      </c>
      <c r="E72" s="40"/>
      <c r="F72" s="40"/>
      <c r="G72" s="41" t="s">
        <v>182</v>
      </c>
      <c r="H72" s="40">
        <v>-1</v>
      </c>
      <c r="I72" s="40">
        <v>1</v>
      </c>
      <c r="J72" s="40">
        <f t="shared" si="7"/>
        <v>-1</v>
      </c>
      <c r="K72" s="43">
        <v>7</v>
      </c>
      <c r="L72" s="43">
        <f t="shared" si="8"/>
        <v>-7</v>
      </c>
      <c r="M72" s="2">
        <f>SUM(L69:L72)</f>
        <v>797</v>
      </c>
      <c r="N72" s="44"/>
    </row>
    <row r="73" s="33" customFormat="1" ht="19" customHeight="1" spans="1:15">
      <c r="A73" s="34" t="s">
        <v>38</v>
      </c>
      <c r="B73" s="45">
        <v>45924</v>
      </c>
      <c r="C73" s="46">
        <v>70</v>
      </c>
      <c r="D73" s="48" t="s">
        <v>120</v>
      </c>
      <c r="E73" s="48"/>
      <c r="F73" s="48"/>
      <c r="G73" s="49" t="s">
        <v>188</v>
      </c>
      <c r="H73" s="50">
        <v>1</v>
      </c>
      <c r="I73" s="48">
        <v>2</v>
      </c>
      <c r="J73" s="48">
        <f t="shared" si="7"/>
        <v>2</v>
      </c>
      <c r="K73" s="51">
        <v>19</v>
      </c>
      <c r="L73" s="51">
        <f t="shared" si="8"/>
        <v>38</v>
      </c>
      <c r="M73" s="70" t="s">
        <v>51</v>
      </c>
      <c r="N73" s="48"/>
    </row>
    <row r="74" s="55" customFormat="1" ht="20.25" spans="1:15">
      <c r="A74" s="35" t="s">
        <v>189</v>
      </c>
      <c r="B74" s="57">
        <v>45894</v>
      </c>
      <c r="C74" s="58">
        <v>71</v>
      </c>
      <c r="D74" s="60" t="s">
        <v>190</v>
      </c>
      <c r="E74" s="60"/>
      <c r="F74" s="60"/>
      <c r="G74" s="61" t="s">
        <v>173</v>
      </c>
      <c r="H74" s="67">
        <v>1</v>
      </c>
      <c r="I74" s="60">
        <v>20</v>
      </c>
      <c r="J74" s="60">
        <f t="shared" si="7"/>
        <v>20</v>
      </c>
      <c r="K74" s="62">
        <v>14.5</v>
      </c>
      <c r="L74" s="62">
        <f t="shared" si="8"/>
        <v>290</v>
      </c>
      <c r="M74" s="70" t="s">
        <v>191</v>
      </c>
      <c r="N74" s="60"/>
    </row>
    <row r="75" s="55" customFormat="1" ht="20.25" spans="1:15">
      <c r="A75" s="35" t="s">
        <v>189</v>
      </c>
      <c r="B75" s="57">
        <v>45894</v>
      </c>
      <c r="C75" s="58">
        <v>71</v>
      </c>
      <c r="D75" s="60"/>
      <c r="E75" s="60"/>
      <c r="F75" s="60"/>
      <c r="G75" s="61" t="s">
        <v>107</v>
      </c>
      <c r="H75" s="67">
        <v>1</v>
      </c>
      <c r="I75" s="60">
        <v>10</v>
      </c>
      <c r="J75" s="60">
        <f t="shared" si="7"/>
        <v>10</v>
      </c>
      <c r="K75" s="62">
        <v>14.5</v>
      </c>
      <c r="L75" s="62">
        <f t="shared" si="8"/>
        <v>145</v>
      </c>
      <c r="M75" s="63" t="s">
        <v>152</v>
      </c>
      <c r="N75" s="60">
        <f>SUM(L74:L76)</f>
        <v>547.5</v>
      </c>
    </row>
    <row r="76" s="55" customFormat="1" ht="20.25" spans="1:15">
      <c r="A76" s="35" t="s">
        <v>189</v>
      </c>
      <c r="B76" s="57">
        <v>45894</v>
      </c>
      <c r="C76" s="58">
        <v>71</v>
      </c>
      <c r="D76" s="60"/>
      <c r="E76" s="60"/>
      <c r="F76" s="60"/>
      <c r="G76" s="61" t="s">
        <v>116</v>
      </c>
      <c r="H76" s="67">
        <v>1</v>
      </c>
      <c r="I76" s="60">
        <v>15</v>
      </c>
      <c r="J76" s="60">
        <f t="shared" si="7"/>
        <v>15</v>
      </c>
      <c r="K76" s="62">
        <v>7.5</v>
      </c>
      <c r="L76" s="62">
        <f t="shared" si="8"/>
        <v>112.5</v>
      </c>
      <c r="M76" s="70" t="s">
        <v>192</v>
      </c>
      <c r="N76" s="60"/>
    </row>
    <row r="77" s="33" customFormat="1" ht="20.25" spans="1:15">
      <c r="A77" s="34" t="s">
        <v>38</v>
      </c>
      <c r="B77" s="45">
        <v>45943</v>
      </c>
      <c r="C77" s="46">
        <v>27</v>
      </c>
      <c r="D77" s="48" t="s">
        <v>66</v>
      </c>
      <c r="E77" s="48"/>
      <c r="F77" s="48"/>
      <c r="G77" s="49" t="s">
        <v>67</v>
      </c>
      <c r="H77" s="50">
        <v>4</v>
      </c>
      <c r="I77" s="48">
        <v>28</v>
      </c>
      <c r="J77" s="48">
        <f t="shared" si="7"/>
        <v>112</v>
      </c>
      <c r="K77" s="51">
        <v>9.5</v>
      </c>
      <c r="L77" s="51">
        <f t="shared" si="8"/>
        <v>1064</v>
      </c>
      <c r="M77" s="1" t="s">
        <v>68</v>
      </c>
      <c r="N77" s="60"/>
      <c r="O77" s="55" t="s">
        <v>51</v>
      </c>
    </row>
    <row r="78" s="33" customFormat="1" ht="20.25" spans="1:15">
      <c r="A78" s="34" t="s">
        <v>38</v>
      </c>
      <c r="B78" s="45">
        <v>45943</v>
      </c>
      <c r="C78" s="46">
        <v>27</v>
      </c>
      <c r="D78" s="48" t="s">
        <v>70</v>
      </c>
      <c r="E78" s="48"/>
      <c r="F78" s="48"/>
      <c r="G78" s="49" t="s">
        <v>71</v>
      </c>
      <c r="H78" s="50">
        <v>3</v>
      </c>
      <c r="I78" s="48">
        <v>25</v>
      </c>
      <c r="J78" s="48">
        <f t="shared" si="7"/>
        <v>75</v>
      </c>
      <c r="K78" s="51">
        <v>19</v>
      </c>
      <c r="L78" s="51">
        <f t="shared" si="8"/>
        <v>1425</v>
      </c>
      <c r="M78" s="66" t="s">
        <v>72</v>
      </c>
      <c r="N78" s="48"/>
    </row>
    <row r="79" s="33" customFormat="1" ht="20.25" spans="1:15">
      <c r="A79" s="34" t="s">
        <v>38</v>
      </c>
      <c r="B79" s="45">
        <v>45943</v>
      </c>
      <c r="C79" s="46">
        <v>27</v>
      </c>
      <c r="D79" s="48" t="s">
        <v>75</v>
      </c>
      <c r="E79" s="48"/>
      <c r="F79" s="48"/>
      <c r="G79" s="49" t="s">
        <v>76</v>
      </c>
      <c r="H79" s="50">
        <v>3</v>
      </c>
      <c r="I79" s="48">
        <v>20</v>
      </c>
      <c r="J79" s="48">
        <f t="shared" si="7"/>
        <v>60</v>
      </c>
      <c r="K79" s="51">
        <v>19</v>
      </c>
      <c r="L79" s="51">
        <f t="shared" si="8"/>
        <v>1140</v>
      </c>
      <c r="M79" s="1" t="s">
        <v>77</v>
      </c>
      <c r="N79" s="48"/>
    </row>
    <row r="80" s="31" customFormat="1" ht="20.25" spans="1:15">
      <c r="A80" s="32" t="s">
        <v>137</v>
      </c>
      <c r="B80" s="37">
        <v>45948</v>
      </c>
      <c r="C80" s="38">
        <v>46</v>
      </c>
      <c r="D80" s="39">
        <v>45943</v>
      </c>
      <c r="E80" s="40"/>
      <c r="F80" s="40"/>
      <c r="G80" s="41" t="s">
        <v>193</v>
      </c>
      <c r="H80" s="78">
        <v>1</v>
      </c>
      <c r="I80" s="40">
        <v>19</v>
      </c>
      <c r="J80" s="40">
        <f t="shared" si="7"/>
        <v>19</v>
      </c>
      <c r="K80" s="43">
        <v>1.8</v>
      </c>
      <c r="L80" s="43">
        <f t="shared" si="8"/>
        <v>34.2</v>
      </c>
      <c r="M80" s="2"/>
      <c r="N80" s="40"/>
    </row>
    <row r="81" s="32" customFormat="1" ht="20.25" spans="1:14">
      <c r="A81" s="32" t="s">
        <v>137</v>
      </c>
      <c r="B81" s="37">
        <v>45948</v>
      </c>
      <c r="C81" s="38">
        <v>46</v>
      </c>
      <c r="D81" s="39"/>
      <c r="E81" s="40"/>
      <c r="F81" s="40"/>
      <c r="G81" s="41" t="s">
        <v>194</v>
      </c>
      <c r="H81" s="40">
        <v>1</v>
      </c>
      <c r="I81" s="40">
        <v>110</v>
      </c>
      <c r="J81" s="40">
        <f t="shared" si="7"/>
        <v>110</v>
      </c>
      <c r="K81" s="43">
        <v>1.8</v>
      </c>
      <c r="L81" s="43">
        <f t="shared" si="8"/>
        <v>198</v>
      </c>
      <c r="M81" s="2">
        <v>475.2</v>
      </c>
      <c r="N81" s="44"/>
    </row>
    <row r="82" s="32" customFormat="1" ht="20.25" spans="1:14">
      <c r="A82" s="32" t="s">
        <v>137</v>
      </c>
      <c r="B82" s="37">
        <v>45948</v>
      </c>
      <c r="C82" s="38">
        <v>46</v>
      </c>
      <c r="D82" s="39">
        <v>45943</v>
      </c>
      <c r="E82" s="40"/>
      <c r="F82" s="40"/>
      <c r="G82" s="41" t="s">
        <v>172</v>
      </c>
      <c r="H82" s="40">
        <v>-4</v>
      </c>
      <c r="I82" s="40">
        <v>180</v>
      </c>
      <c r="J82" s="40">
        <f t="shared" si="7"/>
        <v>-720</v>
      </c>
      <c r="K82" s="43">
        <v>1.8</v>
      </c>
      <c r="L82" s="43">
        <f t="shared" si="8"/>
        <v>-1296</v>
      </c>
      <c r="M82" s="2"/>
      <c r="N82" s="44"/>
    </row>
    <row r="83" s="34" customFormat="1" ht="20.25" spans="1:14">
      <c r="A83" s="34" t="s">
        <v>137</v>
      </c>
      <c r="B83" s="45">
        <v>45953</v>
      </c>
      <c r="C83" s="46">
        <v>68</v>
      </c>
      <c r="D83" s="47"/>
      <c r="E83" s="48"/>
      <c r="F83" s="48"/>
      <c r="G83" s="49" t="s">
        <v>195</v>
      </c>
      <c r="H83" s="48">
        <v>-2</v>
      </c>
      <c r="I83" s="48">
        <v>180</v>
      </c>
      <c r="J83" s="48">
        <f t="shared" si="7"/>
        <v>-360</v>
      </c>
      <c r="K83" s="51">
        <v>4.5</v>
      </c>
      <c r="L83" s="51">
        <f t="shared" si="8"/>
        <v>-1620</v>
      </c>
      <c r="M83" s="1" t="s">
        <v>51</v>
      </c>
      <c r="N83" s="53"/>
    </row>
    <row r="84" s="34" customFormat="1" ht="20.25" spans="1:14">
      <c r="A84" s="34" t="s">
        <v>137</v>
      </c>
      <c r="B84" s="45">
        <v>45953</v>
      </c>
      <c r="C84" s="46">
        <v>68</v>
      </c>
      <c r="D84" s="47"/>
      <c r="E84" s="48"/>
      <c r="F84" s="48"/>
      <c r="G84" s="49" t="s">
        <v>196</v>
      </c>
      <c r="H84" s="48">
        <v>-1</v>
      </c>
      <c r="I84" s="48">
        <v>1</v>
      </c>
      <c r="J84" s="48">
        <f t="shared" si="7"/>
        <v>-1</v>
      </c>
      <c r="K84" s="51">
        <v>200</v>
      </c>
      <c r="L84" s="51">
        <f t="shared" si="8"/>
        <v>-200</v>
      </c>
      <c r="M84" s="1" t="s">
        <v>51</v>
      </c>
      <c r="N84" s="53"/>
    </row>
    <row r="85" s="32" customFormat="1" ht="20.25" spans="1:14">
      <c r="A85" s="32" t="s">
        <v>137</v>
      </c>
      <c r="B85" s="37">
        <v>45959</v>
      </c>
      <c r="C85" s="38">
        <v>95</v>
      </c>
      <c r="D85" s="39">
        <v>45959</v>
      </c>
      <c r="E85" s="40"/>
      <c r="F85" s="40"/>
      <c r="G85" s="41" t="s">
        <v>197</v>
      </c>
      <c r="H85" s="40">
        <v>15</v>
      </c>
      <c r="I85" s="40">
        <v>1</v>
      </c>
      <c r="J85" s="40">
        <f t="shared" si="7"/>
        <v>15</v>
      </c>
      <c r="K85" s="43">
        <v>9</v>
      </c>
      <c r="L85" s="43">
        <f t="shared" si="8"/>
        <v>135</v>
      </c>
      <c r="M85" s="2"/>
      <c r="N85" s="44"/>
    </row>
    <row r="86" s="32" customFormat="1" ht="20.25" spans="1:14">
      <c r="A86" s="32" t="s">
        <v>137</v>
      </c>
      <c r="B86" s="37">
        <v>45959</v>
      </c>
      <c r="C86" s="38">
        <v>95</v>
      </c>
      <c r="D86" s="39">
        <v>45959</v>
      </c>
      <c r="E86" s="40"/>
      <c r="F86" s="40"/>
      <c r="G86" s="41" t="s">
        <v>198</v>
      </c>
      <c r="H86" s="40">
        <v>1</v>
      </c>
      <c r="I86" s="40">
        <v>14</v>
      </c>
      <c r="J86" s="40">
        <f t="shared" si="7"/>
        <v>14</v>
      </c>
      <c r="K86" s="43">
        <v>7</v>
      </c>
      <c r="L86" s="43">
        <f t="shared" si="8"/>
        <v>98</v>
      </c>
      <c r="M86" s="2">
        <f>SUM(L85:L86)</f>
        <v>233</v>
      </c>
      <c r="N86" s="44"/>
    </row>
    <row r="87" s="34" customFormat="1" ht="20.25" spans="1:14">
      <c r="A87" s="34" t="s">
        <v>199</v>
      </c>
      <c r="B87" s="45">
        <v>45959</v>
      </c>
      <c r="C87" s="46" t="s">
        <v>200</v>
      </c>
      <c r="D87" s="47">
        <v>45959</v>
      </c>
      <c r="E87" s="48"/>
      <c r="F87" s="48"/>
      <c r="G87" s="49" t="s">
        <v>199</v>
      </c>
      <c r="H87" s="48">
        <v>40</v>
      </c>
      <c r="I87" s="48">
        <v>1</v>
      </c>
      <c r="J87" s="48">
        <f t="shared" si="7"/>
        <v>40</v>
      </c>
      <c r="K87" s="51">
        <v>20</v>
      </c>
      <c r="L87" s="51">
        <f t="shared" si="8"/>
        <v>800</v>
      </c>
      <c r="M87" s="1"/>
      <c r="N87" s="53"/>
    </row>
    <row r="88" s="32" customFormat="1" ht="20.25" spans="1:14">
      <c r="A88" s="31" t="s">
        <v>129</v>
      </c>
      <c r="B88" s="39">
        <v>45978</v>
      </c>
      <c r="C88" s="38">
        <v>51</v>
      </c>
      <c r="D88" s="39">
        <v>45978</v>
      </c>
      <c r="E88" s="40"/>
      <c r="F88" s="40"/>
      <c r="G88" s="41" t="s">
        <v>201</v>
      </c>
      <c r="H88" s="40">
        <v>20</v>
      </c>
      <c r="I88" s="40">
        <v>1</v>
      </c>
      <c r="J88" s="40">
        <f t="shared" si="7"/>
        <v>20</v>
      </c>
      <c r="K88" s="43">
        <v>1.7</v>
      </c>
      <c r="L88" s="43">
        <f t="shared" si="8"/>
        <v>34</v>
      </c>
      <c r="M88" s="2"/>
      <c r="N88" s="44"/>
    </row>
    <row r="89" s="33" customFormat="1" ht="20.25" spans="1:14">
      <c r="A89" s="34" t="s">
        <v>38</v>
      </c>
      <c r="B89" s="45">
        <v>46015</v>
      </c>
      <c r="C89" s="46">
        <v>59</v>
      </c>
      <c r="D89" s="48" t="s">
        <v>70</v>
      </c>
      <c r="E89" s="48"/>
      <c r="F89" s="48"/>
      <c r="G89" s="49" t="s">
        <v>71</v>
      </c>
      <c r="H89" s="50">
        <v>3</v>
      </c>
      <c r="I89" s="48">
        <v>25</v>
      </c>
      <c r="J89" s="48">
        <f t="shared" si="7"/>
        <v>75</v>
      </c>
      <c r="K89" s="51">
        <v>19</v>
      </c>
      <c r="L89" s="51">
        <f t="shared" si="8"/>
        <v>1425</v>
      </c>
      <c r="M89" s="66" t="s">
        <v>72</v>
      </c>
      <c r="N89" s="48"/>
    </row>
    <row r="90" s="33" customFormat="1" ht="20.25" spans="1:14">
      <c r="A90" s="34" t="s">
        <v>38</v>
      </c>
      <c r="B90" s="45">
        <v>46015</v>
      </c>
      <c r="C90" s="46">
        <v>59</v>
      </c>
      <c r="D90" s="48" t="s">
        <v>75</v>
      </c>
      <c r="E90" s="48"/>
      <c r="F90" s="48"/>
      <c r="G90" s="49" t="s">
        <v>76</v>
      </c>
      <c r="H90" s="50">
        <v>3</v>
      </c>
      <c r="I90" s="48">
        <v>20</v>
      </c>
      <c r="J90" s="48">
        <f t="shared" si="7"/>
        <v>60</v>
      </c>
      <c r="K90" s="51">
        <v>19</v>
      </c>
      <c r="L90" s="51">
        <f t="shared" si="8"/>
        <v>1140</v>
      </c>
      <c r="M90" s="1" t="s">
        <v>77</v>
      </c>
      <c r="N90" s="48">
        <f>SUM(L89:L91)</f>
        <v>3363</v>
      </c>
    </row>
    <row r="91" s="33" customFormat="1" ht="20.25" spans="1:14">
      <c r="A91" s="34" t="s">
        <v>38</v>
      </c>
      <c r="B91" s="45">
        <v>46015</v>
      </c>
      <c r="C91" s="46">
        <v>59</v>
      </c>
      <c r="D91" s="48" t="s">
        <v>66</v>
      </c>
      <c r="E91" s="48"/>
      <c r="F91" s="48"/>
      <c r="G91" s="49" t="s">
        <v>67</v>
      </c>
      <c r="H91" s="50">
        <v>3</v>
      </c>
      <c r="I91" s="48">
        <v>28</v>
      </c>
      <c r="J91" s="48">
        <f t="shared" si="7"/>
        <v>84</v>
      </c>
      <c r="K91" s="51">
        <v>9.5</v>
      </c>
      <c r="L91" s="51">
        <f t="shared" si="8"/>
        <v>798</v>
      </c>
      <c r="M91" s="1"/>
      <c r="N91" s="48" t="s">
        <v>63</v>
      </c>
    </row>
    <row r="92" s="35" customFormat="1" ht="20.25" spans="1:14">
      <c r="A92" s="35" t="s">
        <v>137</v>
      </c>
      <c r="B92" s="57" t="s">
        <v>202</v>
      </c>
      <c r="C92" s="58">
        <v>89</v>
      </c>
      <c r="D92" s="59">
        <v>46008</v>
      </c>
      <c r="E92" s="60"/>
      <c r="F92" s="60"/>
      <c r="G92" s="61" t="s">
        <v>203</v>
      </c>
      <c r="H92" s="60">
        <v>1</v>
      </c>
      <c r="I92" s="60">
        <v>1.5</v>
      </c>
      <c r="J92" s="60">
        <f t="shared" si="7"/>
        <v>1.5</v>
      </c>
      <c r="K92" s="62">
        <v>40</v>
      </c>
      <c r="L92" s="62">
        <f t="shared" si="8"/>
        <v>60</v>
      </c>
      <c r="M92" s="63" t="s">
        <v>204</v>
      </c>
      <c r="N92" s="64"/>
    </row>
    <row r="93" s="35" customFormat="1" ht="20.25" spans="1:14">
      <c r="A93" s="35" t="s">
        <v>137</v>
      </c>
      <c r="B93" s="57" t="s">
        <v>202</v>
      </c>
      <c r="C93" s="58">
        <v>89</v>
      </c>
      <c r="D93" s="59" t="s">
        <v>205</v>
      </c>
      <c r="E93" s="60"/>
      <c r="F93" s="60"/>
      <c r="G93" s="61" t="s">
        <v>187</v>
      </c>
      <c r="H93" s="60">
        <v>-2</v>
      </c>
      <c r="I93" s="60">
        <v>180</v>
      </c>
      <c r="J93" s="60">
        <f t="shared" si="7"/>
        <v>-360</v>
      </c>
      <c r="K93" s="62">
        <v>1.8</v>
      </c>
      <c r="L93" s="62">
        <f t="shared" si="8"/>
        <v>-648</v>
      </c>
      <c r="M93" s="63" t="s">
        <v>204</v>
      </c>
      <c r="N93" s="64"/>
    </row>
    <row r="94" s="33" customFormat="1" ht="20.25" spans="1:14">
      <c r="A94" s="34" t="s">
        <v>38</v>
      </c>
      <c r="B94" s="45">
        <v>46042</v>
      </c>
      <c r="C94" s="46">
        <v>54</v>
      </c>
      <c r="D94" s="163" t="s">
        <v>206</v>
      </c>
      <c r="E94" s="48"/>
      <c r="F94" s="48"/>
      <c r="G94" s="49" t="s">
        <v>185</v>
      </c>
      <c r="H94" s="50">
        <v>1</v>
      </c>
      <c r="I94" s="48">
        <v>12</v>
      </c>
      <c r="J94" s="48">
        <f t="shared" si="7"/>
        <v>12</v>
      </c>
      <c r="K94" s="51">
        <v>19</v>
      </c>
      <c r="L94" s="51">
        <f t="shared" si="8"/>
        <v>228</v>
      </c>
      <c r="M94" s="66" t="s">
        <v>72</v>
      </c>
      <c r="N94" s="48"/>
    </row>
    <row r="95" s="33" customFormat="1" ht="20.25" spans="1:14">
      <c r="A95" s="34" t="s">
        <v>38</v>
      </c>
      <c r="B95" s="45">
        <v>46042</v>
      </c>
      <c r="C95" s="46">
        <v>54</v>
      </c>
      <c r="D95" s="48"/>
      <c r="E95" s="48"/>
      <c r="F95" s="48"/>
      <c r="G95" s="49" t="s">
        <v>107</v>
      </c>
      <c r="H95" s="50">
        <v>1</v>
      </c>
      <c r="I95" s="48">
        <v>10</v>
      </c>
      <c r="J95" s="48">
        <f t="shared" si="7"/>
        <v>10</v>
      </c>
      <c r="K95" s="51">
        <v>19</v>
      </c>
      <c r="L95" s="51">
        <f t="shared" si="8"/>
        <v>190</v>
      </c>
      <c r="M95" s="1" t="s">
        <v>77</v>
      </c>
      <c r="N95" s="48"/>
    </row>
  </sheetData>
  <autoFilter xmlns:etc="http://www.wps.cn/officeDocument/2017/etCustomData" ref="A2:O95" etc:filterBottomFollowUsedRange="0">
    <extLst/>
  </autoFilter>
  <mergeCells count="94"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topLeftCell="A3" workbookViewId="0">
      <selection activeCell="D20" sqref="D20:L20"/>
    </sheetView>
  </sheetViews>
  <sheetFormatPr defaultColWidth="9" defaultRowHeight="14.25"/>
  <cols>
    <col min="1" max="1" width="19.375" customWidth="1"/>
    <col min="2" max="2" width="12.625"/>
    <col min="4" max="4" width="11.125"/>
    <col min="5" max="5" width="4.5" customWidth="1"/>
    <col min="6" max="6" width="1.375" customWidth="1"/>
    <col min="7" max="7" width="35.875" customWidth="1"/>
    <col min="8" max="8" width="13.125" customWidth="1"/>
    <col min="9" max="9" width="11" customWidth="1"/>
    <col min="10" max="10" width="11.375"/>
    <col min="11" max="11" width="12.25" customWidth="1"/>
    <col min="12" max="12" width="14.5" customWidth="1"/>
    <col min="13" max="13" width="16.875" customWidth="1"/>
    <col min="14" max="14" width="15.25" customWidth="1"/>
    <col min="15" max="15" width="9.875"/>
    <col min="16" max="16" width="11.375"/>
  </cols>
  <sheetData>
    <row r="1" ht="19" customHeight="1" spans="1:16">
      <c r="A1" s="36" t="s">
        <v>207</v>
      </c>
      <c r="B1" s="36"/>
      <c r="C1" s="36"/>
      <c r="D1" s="36"/>
      <c r="E1" s="36"/>
      <c r="F1" s="36"/>
      <c r="G1" s="36"/>
      <c r="H1" s="36"/>
      <c r="I1" s="36"/>
    </row>
    <row r="2" s="31" customFormat="1" ht="20.25" spans="1:16">
      <c r="A2" s="32" t="s">
        <v>36</v>
      </c>
      <c r="B2" s="37">
        <v>45817</v>
      </c>
      <c r="C2" s="38">
        <v>23</v>
      </c>
      <c r="D2" s="39">
        <v>45816</v>
      </c>
      <c r="E2" s="40"/>
      <c r="F2" s="40"/>
      <c r="G2" s="41" t="s">
        <v>67</v>
      </c>
      <c r="H2" s="42">
        <v>2</v>
      </c>
      <c r="I2" s="40">
        <v>25</v>
      </c>
      <c r="J2" s="40">
        <f t="shared" ref="J2:J20" si="0">H2*I2</f>
        <v>50</v>
      </c>
      <c r="K2" s="43">
        <v>8</v>
      </c>
      <c r="L2" s="43">
        <f t="shared" ref="L2:L19" si="1">J2*K2</f>
        <v>400</v>
      </c>
      <c r="M2" s="2" t="s">
        <v>159</v>
      </c>
      <c r="N2" s="40"/>
    </row>
    <row r="3" s="32" customFormat="1" ht="20.25" spans="1:16">
      <c r="A3" s="32" t="s">
        <v>36</v>
      </c>
      <c r="B3" s="37">
        <v>45817</v>
      </c>
      <c r="C3" s="38">
        <v>23</v>
      </c>
      <c r="D3" s="39"/>
      <c r="E3" s="40"/>
      <c r="F3" s="40"/>
      <c r="G3" s="41" t="s">
        <v>160</v>
      </c>
      <c r="H3" s="40">
        <v>20</v>
      </c>
      <c r="I3" s="40">
        <v>1</v>
      </c>
      <c r="J3" s="40">
        <f t="shared" si="0"/>
        <v>20</v>
      </c>
      <c r="K3" s="43">
        <v>0.85</v>
      </c>
      <c r="L3" s="43">
        <f t="shared" si="1"/>
        <v>17</v>
      </c>
      <c r="M3" s="2" t="s">
        <v>161</v>
      </c>
      <c r="N3" s="44"/>
    </row>
    <row r="4" s="32" customFormat="1" ht="20.25" spans="1:16">
      <c r="A4" s="32" t="s">
        <v>36</v>
      </c>
      <c r="B4" s="37">
        <v>45817</v>
      </c>
      <c r="C4" s="38">
        <v>23</v>
      </c>
      <c r="D4" s="39"/>
      <c r="E4" s="40"/>
      <c r="F4" s="40"/>
      <c r="G4" s="41" t="s">
        <v>12</v>
      </c>
      <c r="H4" s="40">
        <v>1</v>
      </c>
      <c r="I4" s="40">
        <v>1</v>
      </c>
      <c r="J4" s="40">
        <f t="shared" si="0"/>
        <v>1</v>
      </c>
      <c r="K4" s="43">
        <v>6.6</v>
      </c>
      <c r="L4" s="43">
        <f t="shared" si="1"/>
        <v>6.6</v>
      </c>
      <c r="M4" s="2">
        <f>SUM(L2:L4)</f>
        <v>423.6</v>
      </c>
      <c r="N4" s="44"/>
    </row>
    <row r="5" s="33" customFormat="1" ht="20.25" spans="1:16">
      <c r="A5" s="34" t="s">
        <v>36</v>
      </c>
      <c r="B5" s="45">
        <v>45827</v>
      </c>
      <c r="C5" s="46">
        <v>46</v>
      </c>
      <c r="D5" s="47">
        <v>45824</v>
      </c>
      <c r="E5" s="48"/>
      <c r="F5" s="48"/>
      <c r="G5" s="49" t="s">
        <v>67</v>
      </c>
      <c r="H5" s="50">
        <v>2</v>
      </c>
      <c r="I5" s="48">
        <v>25</v>
      </c>
      <c r="J5" s="48">
        <f t="shared" si="0"/>
        <v>50</v>
      </c>
      <c r="K5" s="51">
        <v>7.6</v>
      </c>
      <c r="L5" s="51">
        <f t="shared" si="1"/>
        <v>380</v>
      </c>
      <c r="M5" s="52" t="s">
        <v>165</v>
      </c>
      <c r="N5" s="48"/>
    </row>
    <row r="6" s="34" customFormat="1" ht="20.25" spans="1:16">
      <c r="A6" s="34" t="s">
        <v>36</v>
      </c>
      <c r="B6" s="45">
        <v>45827</v>
      </c>
      <c r="C6" s="46">
        <v>46</v>
      </c>
      <c r="D6" s="47">
        <v>45824</v>
      </c>
      <c r="E6" s="48"/>
      <c r="F6" s="48"/>
      <c r="G6" s="49" t="s">
        <v>12</v>
      </c>
      <c r="H6" s="48">
        <v>1</v>
      </c>
      <c r="I6" s="48">
        <v>1</v>
      </c>
      <c r="J6" s="48">
        <f t="shared" si="0"/>
        <v>1</v>
      </c>
      <c r="K6" s="51">
        <v>6.6</v>
      </c>
      <c r="L6" s="51">
        <f t="shared" si="1"/>
        <v>6.6</v>
      </c>
      <c r="M6" s="1"/>
      <c r="N6" s="53"/>
    </row>
    <row r="7" s="34" customFormat="1" ht="20.25" spans="1:16">
      <c r="A7" s="34" t="s">
        <v>36</v>
      </c>
      <c r="B7" s="45">
        <v>45827</v>
      </c>
      <c r="C7" s="46">
        <v>46</v>
      </c>
      <c r="D7" s="47">
        <v>45826</v>
      </c>
      <c r="E7" s="48"/>
      <c r="F7" s="48"/>
      <c r="G7" s="49" t="s">
        <v>166</v>
      </c>
      <c r="H7" s="48">
        <v>2</v>
      </c>
      <c r="I7" s="48">
        <v>25</v>
      </c>
      <c r="J7" s="48">
        <f t="shared" si="0"/>
        <v>50</v>
      </c>
      <c r="K7" s="51">
        <v>13</v>
      </c>
      <c r="L7" s="51">
        <f t="shared" si="1"/>
        <v>650</v>
      </c>
      <c r="M7" s="1" t="s">
        <v>167</v>
      </c>
      <c r="N7" s="53"/>
    </row>
    <row r="8" s="34" customFormat="1" ht="20.25" spans="1:16">
      <c r="A8" s="34" t="s">
        <v>36</v>
      </c>
      <c r="B8" s="45">
        <v>45827</v>
      </c>
      <c r="C8" s="46">
        <v>46</v>
      </c>
      <c r="D8" s="47">
        <v>45827</v>
      </c>
      <c r="E8" s="48"/>
      <c r="F8" s="48"/>
      <c r="G8" s="49" t="s">
        <v>65</v>
      </c>
      <c r="H8" s="48">
        <v>6</v>
      </c>
      <c r="I8" s="48">
        <v>25</v>
      </c>
      <c r="J8" s="48">
        <f t="shared" si="0"/>
        <v>150</v>
      </c>
      <c r="K8" s="51">
        <v>8.2</v>
      </c>
      <c r="L8" s="51">
        <f t="shared" si="1"/>
        <v>1230</v>
      </c>
      <c r="M8" s="1" t="s">
        <v>168</v>
      </c>
      <c r="N8" s="53">
        <f>SUM(L5:L8)</f>
        <v>2266.6</v>
      </c>
    </row>
    <row r="9" s="31" customFormat="1" ht="20.25" spans="1:16">
      <c r="A9" s="32" t="s">
        <v>36</v>
      </c>
      <c r="B9" s="37">
        <v>45850</v>
      </c>
      <c r="C9" s="38">
        <v>44</v>
      </c>
      <c r="D9" s="39">
        <v>45848</v>
      </c>
      <c r="E9" s="40"/>
      <c r="F9" s="40"/>
      <c r="G9" s="41" t="s">
        <v>23</v>
      </c>
      <c r="H9" s="42">
        <v>1</v>
      </c>
      <c r="I9" s="40">
        <v>25</v>
      </c>
      <c r="J9" s="40">
        <f t="shared" si="0"/>
        <v>25</v>
      </c>
      <c r="K9" s="43">
        <v>8.5</v>
      </c>
      <c r="L9" s="43">
        <f t="shared" si="1"/>
        <v>212.5</v>
      </c>
      <c r="M9" s="2" t="s">
        <v>170</v>
      </c>
      <c r="N9" s="40"/>
    </row>
    <row r="10" s="33" customFormat="1" ht="20.25" spans="1:16">
      <c r="A10" s="34" t="s">
        <v>36</v>
      </c>
      <c r="B10" s="45">
        <v>45854</v>
      </c>
      <c r="C10" s="46">
        <v>61</v>
      </c>
      <c r="D10" s="47">
        <v>45854</v>
      </c>
      <c r="E10" s="48"/>
      <c r="F10" s="48"/>
      <c r="G10" s="49" t="s">
        <v>173</v>
      </c>
      <c r="H10" s="50">
        <v>10</v>
      </c>
      <c r="I10" s="48">
        <v>20</v>
      </c>
      <c r="J10" s="48">
        <f t="shared" si="0"/>
        <v>200</v>
      </c>
      <c r="K10" s="51">
        <v>13.2</v>
      </c>
      <c r="L10" s="51">
        <f t="shared" si="1"/>
        <v>2640</v>
      </c>
      <c r="M10" s="1" t="s">
        <v>174</v>
      </c>
      <c r="N10" s="54" t="s">
        <v>208</v>
      </c>
      <c r="O10" s="55">
        <f>SUM(L5:L10)</f>
        <v>5119.1</v>
      </c>
      <c r="P10" s="55" t="s">
        <v>209</v>
      </c>
    </row>
    <row r="11" s="32" customFormat="1" ht="20.25" spans="1:16">
      <c r="A11" s="32" t="s">
        <v>36</v>
      </c>
      <c r="B11" s="37">
        <v>45883</v>
      </c>
      <c r="C11" s="38">
        <v>32</v>
      </c>
      <c r="D11" s="39">
        <v>45883</v>
      </c>
      <c r="E11" s="40"/>
      <c r="F11" s="40"/>
      <c r="G11" s="41" t="s">
        <v>166</v>
      </c>
      <c r="H11" s="40">
        <v>4</v>
      </c>
      <c r="I11" s="40">
        <v>25</v>
      </c>
      <c r="J11" s="40">
        <f t="shared" si="0"/>
        <v>100</v>
      </c>
      <c r="K11" s="43">
        <v>13</v>
      </c>
      <c r="L11" s="43">
        <f t="shared" si="1"/>
        <v>1300</v>
      </c>
      <c r="M11" s="56" t="s">
        <v>210</v>
      </c>
      <c r="N11" s="56"/>
      <c r="O11" s="56"/>
      <c r="P11" s="56"/>
    </row>
    <row r="12" s="32" customFormat="1" ht="20.25" spans="1:16">
      <c r="A12" s="32" t="s">
        <v>36</v>
      </c>
      <c r="B12" s="37">
        <v>45883</v>
      </c>
      <c r="C12" s="38">
        <v>32</v>
      </c>
      <c r="D12" s="39">
        <v>45883</v>
      </c>
      <c r="E12" s="40"/>
      <c r="F12" s="40"/>
      <c r="G12" s="41" t="s">
        <v>179</v>
      </c>
      <c r="H12" s="40">
        <v>3</v>
      </c>
      <c r="I12" s="40">
        <v>20</v>
      </c>
      <c r="J12" s="40">
        <f t="shared" si="0"/>
        <v>60</v>
      </c>
      <c r="K12" s="43">
        <v>14</v>
      </c>
      <c r="L12" s="43">
        <f t="shared" si="1"/>
        <v>840</v>
      </c>
      <c r="M12" s="2" t="s">
        <v>180</v>
      </c>
      <c r="N12" s="44"/>
    </row>
    <row r="13" s="33" customFormat="1" ht="20.25" spans="1:16">
      <c r="A13" s="34" t="s">
        <v>36</v>
      </c>
      <c r="B13" s="45">
        <v>45887</v>
      </c>
      <c r="C13" s="46">
        <v>43</v>
      </c>
      <c r="D13" s="47">
        <v>45886</v>
      </c>
      <c r="E13" s="48"/>
      <c r="F13" s="48"/>
      <c r="G13" s="49" t="s">
        <v>23</v>
      </c>
      <c r="H13" s="50">
        <v>5</v>
      </c>
      <c r="I13" s="48">
        <v>25</v>
      </c>
      <c r="J13" s="48">
        <f t="shared" si="0"/>
        <v>125</v>
      </c>
      <c r="K13" s="51">
        <v>8.5</v>
      </c>
      <c r="L13" s="51">
        <f t="shared" si="1"/>
        <v>1062.5</v>
      </c>
      <c r="M13" s="1" t="s">
        <v>170</v>
      </c>
      <c r="N13" s="48"/>
    </row>
    <row r="14" s="31" customFormat="1" ht="20.25" spans="1:16">
      <c r="A14" s="32" t="s">
        <v>36</v>
      </c>
      <c r="B14" s="37">
        <v>45900</v>
      </c>
      <c r="C14" s="38">
        <v>90</v>
      </c>
      <c r="D14" s="39">
        <v>45900</v>
      </c>
      <c r="E14" s="40"/>
      <c r="F14" s="40"/>
      <c r="G14" s="41" t="s">
        <v>23</v>
      </c>
      <c r="H14" s="42">
        <v>3</v>
      </c>
      <c r="I14" s="40">
        <v>25</v>
      </c>
      <c r="J14" s="40">
        <f t="shared" si="0"/>
        <v>75</v>
      </c>
      <c r="K14" s="43">
        <v>8.5</v>
      </c>
      <c r="L14" s="43">
        <f t="shared" si="1"/>
        <v>637.5</v>
      </c>
      <c r="M14" s="2" t="s">
        <v>170</v>
      </c>
      <c r="N14" s="40"/>
    </row>
    <row r="15" s="33" customFormat="1" ht="20.25" spans="1:16">
      <c r="A15" s="34" t="s">
        <v>36</v>
      </c>
      <c r="B15" s="45">
        <v>45910</v>
      </c>
      <c r="C15" s="46">
        <v>21</v>
      </c>
      <c r="D15" s="47">
        <v>45906</v>
      </c>
      <c r="E15" s="48"/>
      <c r="F15" s="48"/>
      <c r="G15" s="49" t="s">
        <v>67</v>
      </c>
      <c r="H15" s="50">
        <v>1</v>
      </c>
      <c r="I15" s="48">
        <v>25</v>
      </c>
      <c r="J15" s="48">
        <f t="shared" si="0"/>
        <v>25</v>
      </c>
      <c r="K15" s="51">
        <v>8</v>
      </c>
      <c r="L15" s="51">
        <f t="shared" si="1"/>
        <v>200</v>
      </c>
      <c r="M15" s="1" t="s">
        <v>159</v>
      </c>
      <c r="N15" s="48"/>
    </row>
    <row r="16" s="34" customFormat="1" ht="20.25" spans="1:16">
      <c r="A16" s="34" t="s">
        <v>36</v>
      </c>
      <c r="B16" s="45">
        <v>45910</v>
      </c>
      <c r="C16" s="46">
        <v>21</v>
      </c>
      <c r="D16" s="47">
        <v>45906</v>
      </c>
      <c r="E16" s="48"/>
      <c r="F16" s="48"/>
      <c r="G16" s="49" t="s">
        <v>211</v>
      </c>
      <c r="H16" s="48">
        <v>1</v>
      </c>
      <c r="I16" s="48">
        <v>200</v>
      </c>
      <c r="J16" s="48">
        <f t="shared" si="0"/>
        <v>200</v>
      </c>
      <c r="K16" s="51">
        <v>7.6</v>
      </c>
      <c r="L16" s="51">
        <f t="shared" si="1"/>
        <v>1520</v>
      </c>
      <c r="M16" s="1"/>
      <c r="N16" s="53"/>
    </row>
    <row r="17" s="31" customFormat="1" ht="20.25" spans="1:14">
      <c r="A17" s="32" t="s">
        <v>36</v>
      </c>
      <c r="B17" s="37">
        <v>45955</v>
      </c>
      <c r="C17" s="38">
        <v>78</v>
      </c>
      <c r="D17" s="39">
        <v>45955</v>
      </c>
      <c r="E17" s="40"/>
      <c r="F17" s="40"/>
      <c r="G17" s="41" t="s">
        <v>67</v>
      </c>
      <c r="H17" s="42">
        <v>2</v>
      </c>
      <c r="I17" s="40">
        <v>25</v>
      </c>
      <c r="J17" s="40">
        <f t="shared" si="0"/>
        <v>50</v>
      </c>
      <c r="K17" s="43">
        <v>7.6</v>
      </c>
      <c r="L17" s="43">
        <f t="shared" si="1"/>
        <v>380</v>
      </c>
      <c r="M17" s="52" t="s">
        <v>165</v>
      </c>
      <c r="N17" s="40"/>
    </row>
    <row r="18" s="34" customFormat="1" ht="20.25" spans="1:14">
      <c r="A18" s="34" t="s">
        <v>36</v>
      </c>
      <c r="B18" s="45">
        <v>45957</v>
      </c>
      <c r="C18" s="46">
        <v>89</v>
      </c>
      <c r="D18" s="47">
        <v>45957</v>
      </c>
      <c r="E18" s="48"/>
      <c r="F18" s="48"/>
      <c r="G18" s="49" t="s">
        <v>67</v>
      </c>
      <c r="H18" s="48">
        <v>2</v>
      </c>
      <c r="I18" s="48">
        <v>25</v>
      </c>
      <c r="J18" s="48">
        <f t="shared" si="0"/>
        <v>50</v>
      </c>
      <c r="K18" s="51">
        <v>7.6</v>
      </c>
      <c r="L18" s="51">
        <f t="shared" si="1"/>
        <v>380</v>
      </c>
      <c r="M18" s="1" t="s">
        <v>165</v>
      </c>
      <c r="N18" s="53"/>
    </row>
    <row r="19" s="32" customFormat="1" ht="20.25" spans="1:14">
      <c r="A19" s="32" t="s">
        <v>212</v>
      </c>
      <c r="B19" s="37">
        <v>45975</v>
      </c>
      <c r="C19" s="38" t="s">
        <v>213</v>
      </c>
      <c r="D19" s="39">
        <v>45965</v>
      </c>
      <c r="E19" s="40"/>
      <c r="F19" s="40"/>
      <c r="G19" s="41" t="s">
        <v>214</v>
      </c>
      <c r="H19" s="40">
        <v>1</v>
      </c>
      <c r="I19" s="40">
        <v>2</v>
      </c>
      <c r="J19" s="40">
        <f t="shared" si="0"/>
        <v>2</v>
      </c>
      <c r="K19" s="43">
        <v>25</v>
      </c>
      <c r="L19" s="43"/>
      <c r="M19" s="2" t="s">
        <v>215</v>
      </c>
      <c r="N19" s="44"/>
    </row>
    <row r="20" s="34" customFormat="1" ht="20.25" spans="1:14">
      <c r="A20" s="34" t="s">
        <v>212</v>
      </c>
      <c r="B20" s="45">
        <v>46042</v>
      </c>
      <c r="C20" s="46">
        <v>55</v>
      </c>
      <c r="D20" s="47">
        <v>46025</v>
      </c>
      <c r="E20" s="48"/>
      <c r="F20" s="48"/>
      <c r="G20" s="49" t="s">
        <v>12</v>
      </c>
      <c r="H20" s="48">
        <v>2</v>
      </c>
      <c r="I20" s="48">
        <v>1</v>
      </c>
      <c r="J20" s="48">
        <f t="shared" si="0"/>
        <v>2</v>
      </c>
      <c r="K20" s="51">
        <v>7</v>
      </c>
      <c r="L20" s="51">
        <f>J20*K20</f>
        <v>14</v>
      </c>
      <c r="M20" s="1" t="s">
        <v>216</v>
      </c>
      <c r="N20" s="53"/>
    </row>
    <row r="21" s="35" customFormat="1" ht="20.25" spans="1:14">
      <c r="B21" s="57"/>
      <c r="C21" s="58"/>
      <c r="D21" s="59"/>
      <c r="E21" s="60"/>
      <c r="F21" s="60"/>
      <c r="G21" s="61"/>
      <c r="H21" s="60"/>
      <c r="I21" s="60"/>
      <c r="J21" s="60"/>
      <c r="K21" s="62"/>
      <c r="L21" s="62"/>
      <c r="M21" s="63"/>
      <c r="N21" s="64"/>
    </row>
    <row r="22" s="35" customFormat="1" ht="20.25" spans="1:14">
      <c r="B22" s="57"/>
      <c r="C22" s="58"/>
      <c r="D22" s="59"/>
      <c r="E22" s="60"/>
      <c r="F22" s="60"/>
      <c r="G22" s="61"/>
      <c r="H22" s="60"/>
      <c r="I22" s="60"/>
      <c r="J22" s="60"/>
      <c r="K22" s="62"/>
      <c r="L22" s="62"/>
      <c r="M22" s="63"/>
      <c r="N22" s="64"/>
    </row>
    <row r="23" s="35" customFormat="1" ht="20.25" spans="1:14">
      <c r="B23" s="57"/>
      <c r="C23" s="58"/>
      <c r="D23" s="59"/>
      <c r="E23" s="60"/>
      <c r="F23" s="60"/>
      <c r="G23" s="61"/>
      <c r="H23" s="60"/>
      <c r="I23" s="60"/>
      <c r="J23" s="60"/>
      <c r="K23" s="62"/>
      <c r="L23" s="62"/>
      <c r="M23" s="63"/>
      <c r="N23" s="64"/>
    </row>
    <row r="24" s="32" customFormat="1" ht="20.25" spans="1:14">
      <c r="B24" s="37"/>
      <c r="C24" s="38"/>
      <c r="D24" s="39"/>
      <c r="E24" s="40"/>
      <c r="F24" s="40"/>
      <c r="G24" s="41"/>
      <c r="H24" s="40"/>
      <c r="I24" s="40"/>
      <c r="J24" s="40"/>
      <c r="K24" s="43"/>
      <c r="L24" s="43"/>
      <c r="M24" s="2"/>
      <c r="N24" s="44"/>
    </row>
    <row r="25" s="35" customFormat="1" ht="20.25" spans="1:14">
      <c r="A25" s="35" t="s">
        <v>212</v>
      </c>
      <c r="B25" s="57">
        <v>46039</v>
      </c>
      <c r="C25" s="58" t="s">
        <v>138</v>
      </c>
      <c r="D25" s="59" t="s">
        <v>217</v>
      </c>
      <c r="E25" s="60"/>
      <c r="F25" s="60"/>
      <c r="G25" s="61" t="s">
        <v>218</v>
      </c>
      <c r="H25" s="60"/>
      <c r="I25" s="60"/>
      <c r="J25" s="60"/>
      <c r="K25" s="62"/>
      <c r="L25" s="51"/>
      <c r="M25" s="63"/>
      <c r="N25" s="64"/>
    </row>
    <row r="26" s="35" customFormat="1" ht="20.25" spans="1:14">
      <c r="A26" s="35" t="s">
        <v>212</v>
      </c>
      <c r="B26" s="57">
        <v>46039</v>
      </c>
      <c r="C26" s="58" t="s">
        <v>138</v>
      </c>
      <c r="D26" s="59">
        <v>46039</v>
      </c>
      <c r="E26" s="60"/>
      <c r="F26" s="60"/>
      <c r="G26" s="65" t="s">
        <v>219</v>
      </c>
      <c r="H26" s="60"/>
      <c r="I26" s="60"/>
      <c r="J26" s="60"/>
      <c r="K26" s="62"/>
      <c r="L26" s="51"/>
      <c r="M26" s="63"/>
      <c r="N26" s="64"/>
    </row>
    <row r="27" s="35" customFormat="1" ht="20.25" spans="1:14">
      <c r="B27" s="57"/>
      <c r="C27" s="58"/>
      <c r="D27" s="59"/>
      <c r="E27" s="60"/>
      <c r="F27" s="60"/>
      <c r="G27" s="61"/>
      <c r="H27" s="60"/>
      <c r="I27" s="60"/>
      <c r="J27" s="60"/>
      <c r="K27" s="62"/>
      <c r="L27" s="51"/>
      <c r="M27" s="63"/>
      <c r="N27" s="64"/>
    </row>
  </sheetData>
  <mergeCells count="27">
    <mergeCell ref="A1:I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D27" sqref="D27"/>
    </sheetView>
  </sheetViews>
  <sheetFormatPr defaultColWidth="9" defaultRowHeight="14.25" outlineLevelCol="6"/>
  <cols>
    <col min="1" max="1" width="11.875" customWidth="1"/>
    <col min="2" max="2" width="11.75" customWidth="1"/>
    <col min="3" max="3" width="23.625" customWidth="1"/>
    <col min="4" max="4" width="13.5" customWidth="1"/>
    <col min="5" max="5" width="18.625" customWidth="1"/>
    <col min="6" max="6" width="23" customWidth="1"/>
    <col min="7" max="7" width="7.625" customWidth="1"/>
  </cols>
  <sheetData>
    <row r="1" ht="25.5" spans="1:7">
      <c r="A1" s="3" t="s">
        <v>220</v>
      </c>
      <c r="B1" s="4"/>
      <c r="C1" s="4"/>
      <c r="D1" s="4"/>
      <c r="E1" s="3"/>
      <c r="F1" s="3"/>
      <c r="G1" s="3"/>
    </row>
    <row r="2" ht="20.25" spans="1:7">
      <c r="A2" s="5" t="s">
        <v>29</v>
      </c>
      <c r="B2" s="6" t="s">
        <v>221</v>
      </c>
      <c r="C2" s="6"/>
      <c r="D2" s="6"/>
      <c r="E2" s="6" t="s">
        <v>222</v>
      </c>
      <c r="F2" s="6" t="s">
        <v>223</v>
      </c>
      <c r="G2" s="5" t="s">
        <v>33</v>
      </c>
    </row>
    <row r="3" spans="1:7">
      <c r="A3" s="5"/>
      <c r="B3" s="7">
        <f>SUM(D7:D20)</f>
        <v>11878.5</v>
      </c>
      <c r="C3" s="7"/>
      <c r="D3" s="7"/>
      <c r="E3" s="8">
        <f>SUM(E7:E20)</f>
        <v>6684</v>
      </c>
      <c r="F3" s="7">
        <f>B3-E3</f>
        <v>5194.5</v>
      </c>
      <c r="G3" s="5"/>
    </row>
    <row r="4" spans="1:7">
      <c r="A4" s="5"/>
      <c r="B4" s="9"/>
      <c r="C4" s="9"/>
      <c r="D4" s="9"/>
      <c r="E4" s="10"/>
      <c r="F4" s="9"/>
      <c r="G4" s="5"/>
    </row>
    <row r="5" ht="20.25" spans="1:7">
      <c r="A5" s="11"/>
      <c r="B5" s="12" t="s">
        <v>224</v>
      </c>
      <c r="C5" s="13"/>
      <c r="D5" s="13"/>
      <c r="E5" s="13"/>
      <c r="F5" s="14"/>
      <c r="G5" s="15"/>
    </row>
    <row r="6" ht="18.75" spans="1:7">
      <c r="A6" s="11"/>
      <c r="B6" s="16" t="s">
        <v>225</v>
      </c>
      <c r="C6" s="16" t="s">
        <v>226</v>
      </c>
      <c r="D6" s="16" t="s">
        <v>227</v>
      </c>
      <c r="E6" s="16" t="s">
        <v>228</v>
      </c>
      <c r="F6" s="16" t="s">
        <v>229</v>
      </c>
      <c r="G6" s="15"/>
    </row>
    <row r="7" ht="18.75" spans="1:7">
      <c r="A7" s="17">
        <v>45817</v>
      </c>
      <c r="B7" s="18">
        <v>23</v>
      </c>
      <c r="C7" s="19" t="s">
        <v>230</v>
      </c>
      <c r="D7" s="20">
        <v>424</v>
      </c>
      <c r="E7" s="21">
        <v>424</v>
      </c>
      <c r="F7" s="22">
        <f>D7-E7</f>
        <v>0</v>
      </c>
      <c r="G7" s="23"/>
    </row>
    <row r="8" ht="18.75" spans="1:7">
      <c r="A8" s="17">
        <v>45827</v>
      </c>
      <c r="B8" s="18">
        <v>46</v>
      </c>
      <c r="C8" s="19" t="s">
        <v>230</v>
      </c>
      <c r="D8" s="20">
        <v>2267</v>
      </c>
      <c r="E8" s="21"/>
      <c r="F8" s="22">
        <f>F7+D8-E8</f>
        <v>2267</v>
      </c>
      <c r="G8" s="23"/>
    </row>
    <row r="9" ht="18.75" spans="1:7">
      <c r="A9" s="24">
        <v>45850</v>
      </c>
      <c r="B9" s="25">
        <v>44</v>
      </c>
      <c r="C9" s="26" t="s">
        <v>230</v>
      </c>
      <c r="D9" s="27">
        <v>213</v>
      </c>
      <c r="E9" s="28"/>
      <c r="F9" s="29">
        <f>F8+D9-E9</f>
        <v>2480</v>
      </c>
      <c r="G9" s="23"/>
    </row>
    <row r="10" ht="18.75" spans="1:7">
      <c r="A10" s="24">
        <v>45854</v>
      </c>
      <c r="B10" s="25">
        <v>61</v>
      </c>
      <c r="C10" s="26" t="s">
        <v>230</v>
      </c>
      <c r="D10" s="27">
        <v>2640</v>
      </c>
      <c r="E10" s="28"/>
      <c r="F10" s="29">
        <f>F9+D10-E10</f>
        <v>5120</v>
      </c>
      <c r="G10" s="23"/>
    </row>
    <row r="11" ht="18.75" spans="1:7">
      <c r="A11" s="17"/>
      <c r="B11" s="18"/>
      <c r="C11" s="19" t="s">
        <v>231</v>
      </c>
      <c r="D11" s="20"/>
      <c r="E11" s="21">
        <v>2100</v>
      </c>
      <c r="F11" s="22">
        <f t="shared" ref="F11:F16" si="0">F10+D11-E11</f>
        <v>3020</v>
      </c>
      <c r="G11" s="23"/>
    </row>
    <row r="12" s="1" customFormat="1" ht="18.75" spans="1:7">
      <c r="A12" s="17">
        <v>45883</v>
      </c>
      <c r="B12" s="18">
        <v>32</v>
      </c>
      <c r="C12" s="19" t="s">
        <v>230</v>
      </c>
      <c r="D12" s="20">
        <v>2140</v>
      </c>
      <c r="E12" s="21"/>
      <c r="F12" s="22">
        <f t="shared" si="0"/>
        <v>5160</v>
      </c>
      <c r="G12" s="23"/>
    </row>
    <row r="13" s="1" customFormat="1" ht="18.75" spans="1:7">
      <c r="A13" s="17">
        <v>45884</v>
      </c>
      <c r="B13" s="18"/>
      <c r="C13" s="19" t="s">
        <v>231</v>
      </c>
      <c r="D13" s="20"/>
      <c r="E13" s="21">
        <v>2160</v>
      </c>
      <c r="F13" s="22">
        <f t="shared" si="0"/>
        <v>3000</v>
      </c>
      <c r="G13" s="23"/>
    </row>
    <row r="14" s="1" customFormat="1" ht="18.75" spans="1:7">
      <c r="A14" s="17">
        <v>45887</v>
      </c>
      <c r="B14" s="18">
        <v>43</v>
      </c>
      <c r="C14" s="19" t="s">
        <v>230</v>
      </c>
      <c r="D14" s="20">
        <v>1063</v>
      </c>
      <c r="E14" s="21"/>
      <c r="F14" s="22">
        <f t="shared" si="0"/>
        <v>4063</v>
      </c>
      <c r="G14" s="23"/>
    </row>
    <row r="15" s="1" customFormat="1" ht="18.75" spans="1:7">
      <c r="A15" s="17">
        <v>45900</v>
      </c>
      <c r="B15" s="18">
        <v>90</v>
      </c>
      <c r="C15" s="19" t="s">
        <v>230</v>
      </c>
      <c r="D15" s="20">
        <v>637.5</v>
      </c>
      <c r="E15" s="21"/>
      <c r="F15" s="22">
        <f t="shared" si="0"/>
        <v>4700.5</v>
      </c>
      <c r="G15" s="23"/>
    </row>
    <row r="16" s="2" customFormat="1" ht="18.75" spans="1:7">
      <c r="A16" s="24">
        <v>45910</v>
      </c>
      <c r="B16" s="25">
        <v>21</v>
      </c>
      <c r="C16" s="26" t="s">
        <v>230</v>
      </c>
      <c r="D16" s="27">
        <v>1720</v>
      </c>
      <c r="E16" s="28"/>
      <c r="F16" s="29">
        <f t="shared" si="0"/>
        <v>6420.5</v>
      </c>
      <c r="G16" s="30"/>
    </row>
    <row r="17" s="2" customFormat="1" ht="18.75" spans="1:7">
      <c r="A17" s="24">
        <v>45955</v>
      </c>
      <c r="B17" s="25">
        <v>78</v>
      </c>
      <c r="C17" s="26" t="s">
        <v>230</v>
      </c>
      <c r="D17" s="27">
        <v>380</v>
      </c>
      <c r="E17" s="28"/>
      <c r="F17" s="29">
        <f t="shared" ref="F11:F23" si="1">F16+D17-E17</f>
        <v>6800.5</v>
      </c>
      <c r="G17" s="30"/>
    </row>
    <row r="18" s="2" customFormat="1" ht="18.75" spans="1:7">
      <c r="A18" s="24">
        <v>45957</v>
      </c>
      <c r="B18" s="25">
        <v>89</v>
      </c>
      <c r="C18" s="26" t="s">
        <v>230</v>
      </c>
      <c r="D18" s="27">
        <v>380</v>
      </c>
      <c r="E18" s="28"/>
      <c r="F18" s="29">
        <f t="shared" si="1"/>
        <v>7180.5</v>
      </c>
      <c r="G18" s="30"/>
    </row>
    <row r="19" ht="18.75" spans="1:7">
      <c r="A19" s="24" t="s">
        <v>232</v>
      </c>
      <c r="B19" s="25"/>
      <c r="C19" s="26" t="s">
        <v>233</v>
      </c>
      <c r="D19" s="27"/>
      <c r="E19" s="28">
        <v>2000</v>
      </c>
      <c r="F19" s="22">
        <f t="shared" si="1"/>
        <v>5180.5</v>
      </c>
      <c r="G19" s="23"/>
    </row>
    <row r="20" ht="18.75" spans="1:7">
      <c r="A20" s="24" t="s">
        <v>234</v>
      </c>
      <c r="B20" s="25">
        <v>47</v>
      </c>
      <c r="C20" s="26" t="s">
        <v>230</v>
      </c>
      <c r="D20" s="27">
        <v>14</v>
      </c>
      <c r="E20" s="28"/>
      <c r="F20" s="22">
        <f t="shared" si="1"/>
        <v>5194.5</v>
      </c>
      <c r="G20" s="23"/>
    </row>
    <row r="21" ht="18.75" spans="1:7">
      <c r="A21" s="24"/>
      <c r="B21" s="25"/>
      <c r="C21" s="26"/>
      <c r="D21" s="27"/>
      <c r="E21" s="21"/>
      <c r="F21" s="22">
        <f t="shared" si="1"/>
        <v>5194.5</v>
      </c>
      <c r="G21" s="23"/>
    </row>
    <row r="22" ht="18.75" spans="1:7">
      <c r="A22" s="24"/>
      <c r="B22" s="25"/>
      <c r="C22" s="26"/>
      <c r="D22" s="27"/>
      <c r="E22" s="21"/>
      <c r="F22" s="22">
        <f t="shared" si="1"/>
        <v>5194.5</v>
      </c>
      <c r="G22" s="23"/>
    </row>
    <row r="23" ht="18.75" spans="1:7">
      <c r="A23" s="24"/>
      <c r="B23" s="25"/>
      <c r="C23" s="26"/>
      <c r="D23" s="27"/>
      <c r="E23" s="21"/>
      <c r="F23" s="22">
        <f t="shared" si="1"/>
        <v>5194.5</v>
      </c>
      <c r="G23" s="23"/>
    </row>
  </sheetData>
  <mergeCells count="8">
    <mergeCell ref="A1:G1"/>
    <mergeCell ref="B2:D2"/>
    <mergeCell ref="B5:F5"/>
    <mergeCell ref="A2:A6"/>
    <mergeCell ref="E3:E4"/>
    <mergeCell ref="F3:F4"/>
    <mergeCell ref="G2:G6"/>
    <mergeCell ref="B3:D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现金</vt:lpstr>
      <vt:lpstr>24出货</vt:lpstr>
      <vt:lpstr>出货</vt:lpstr>
      <vt:lpstr>陈洪强</vt:lpstr>
      <vt:lpstr>陈洪强回款明细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2022-07-02T02:26:00Z</cp:lastPrinted>
  <dcterms:modified xsi:type="dcterms:W3CDTF">2026-01-20T04:04:48Z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C376BF1CEB134138BC77D4DAFFCA6C26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