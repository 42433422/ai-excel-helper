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1" activeTab="1"/>
  </bookViews>
  <sheets>
    <sheet name="出货" sheetId="24" state="hidden" r:id="rId1"/>
    <sheet name="25年" sheetId="25" r:id="rId2"/>
    <sheet name="志泓" sheetId="23" r:id="rId3"/>
  </sheets>
  <definedNames>
    <definedName name="_xlnm._FilterDatabase" localSheetId="0" hidden="1">出货!$A$2:$M$249</definedName>
    <definedName name="_xlnm._FilterDatabase" localSheetId="1" hidden="1">'25年'!$A$2:$N$198</definedName>
    <definedName name="_xlnm.Print_Area" localSheetId="2">志泓!$A$1:$J$21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<sst xmlns="http://schemas.openxmlformats.org/spreadsheetml/2006/main" count="1152" uniqueCount="309">
  <si>
    <t>24出货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</si>
  <si>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</si>
  <si>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</si>
  <si>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</si>
  <si>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</si>
  <si>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</si>
  <si>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</si>
  <si>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</si>
  <si>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</si>
  <si>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</si>
  <si>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</si>
  <si>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</si>
  <si>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26号灰</t>
  </si>
  <si>
    <t>PU哑光26号灰色漆</t>
  </si>
  <si>
    <t>净味基料</t>
  </si>
  <si>
    <t>535F</t>
  </si>
  <si>
    <t>PU哑光固化剂</t>
  </si>
  <si>
    <t>LF</t>
  </si>
  <si>
    <t>24-4-13*</t>
  </si>
  <si>
    <t>PU哑光浅蓝色小样</t>
  </si>
  <si>
    <t>干板样</t>
  </si>
  <si>
    <t>ZH*AA</t>
  </si>
  <si>
    <t>PE白底漆</t>
  </si>
  <si>
    <t>107妆台</t>
  </si>
  <si>
    <t>PU哑光浅香槟色漆</t>
  </si>
  <si>
    <t>康美62#</t>
  </si>
  <si>
    <t>PU哑光深灰色漆</t>
  </si>
  <si>
    <t>欧曼506</t>
  </si>
  <si>
    <t>PU哑光浅综灰色漆</t>
  </si>
  <si>
    <t>ZH-309</t>
  </si>
  <si>
    <t>PU底漆固化剂</t>
  </si>
  <si>
    <t>309AB</t>
  </si>
  <si>
    <t>115#</t>
  </si>
  <si>
    <t>PU哑光棕灰色漆</t>
  </si>
  <si>
    <t>PU哑光金桃色漆</t>
  </si>
  <si>
    <t>05#布衣天使</t>
  </si>
  <si>
    <t>A387</t>
  </si>
  <si>
    <t>PU哑光驼灰色漆</t>
  </si>
  <si>
    <t>0510-5</t>
  </si>
  <si>
    <t>PU哑光浅灰色漆：小样</t>
  </si>
  <si>
    <t>PU哑光棕灰色漆：小样</t>
  </si>
  <si>
    <t>05010-2</t>
  </si>
  <si>
    <t>PU哑光米白色漆</t>
  </si>
  <si>
    <t>05015-3</t>
  </si>
  <si>
    <t>PU哑光香槟色漆</t>
  </si>
  <si>
    <t>A-366</t>
  </si>
  <si>
    <t>PU哑光冬至色漆</t>
  </si>
  <si>
    <t>22A</t>
  </si>
  <si>
    <t>PU哑光青竹兰色漆</t>
  </si>
  <si>
    <t>22B</t>
  </si>
  <si>
    <t>PU哑光橙黄色漆</t>
  </si>
  <si>
    <t>时代橡木1#</t>
  </si>
  <si>
    <t>PU哑光橡木色漆</t>
  </si>
  <si>
    <t>PU哑光奶白色漆</t>
  </si>
  <si>
    <t>7#</t>
  </si>
  <si>
    <t>PU哑光深灰银珠漆</t>
  </si>
  <si>
    <t>N112</t>
  </si>
  <si>
    <t>PU哑光橄榄绿色漆</t>
  </si>
  <si>
    <t>PU哑光黑面漆</t>
  </si>
  <si>
    <t>ZH08A</t>
  </si>
  <si>
    <t>PE白底漆稀释剂</t>
  </si>
  <si>
    <t>6808A</t>
  </si>
  <si>
    <t>ZH900A</t>
  </si>
  <si>
    <t>PU底漆稀释剂</t>
  </si>
  <si>
    <t>9000A</t>
  </si>
  <si>
    <t>ZH900F</t>
  </si>
  <si>
    <t>PU面漆稀释剂</t>
  </si>
  <si>
    <t>S20</t>
  </si>
  <si>
    <t>样油</t>
  </si>
  <si>
    <t>慢干水</t>
  </si>
  <si>
    <t>PU哑光古象牙白色漆</t>
  </si>
  <si>
    <t>202#</t>
  </si>
  <si>
    <t>PU哑光灰蓝色漆</t>
  </si>
  <si>
    <t>已留样</t>
  </si>
  <si>
    <t>08#(天宫）</t>
  </si>
  <si>
    <t>PU哑光咖啡色漆</t>
  </si>
  <si>
    <t>PU哑光白面漆</t>
  </si>
  <si>
    <t>加白浆4KG，哑粉0.2KG</t>
  </si>
  <si>
    <t>蕊芯一样</t>
  </si>
  <si>
    <t>17#</t>
  </si>
  <si>
    <t>ZH70FA</t>
  </si>
  <si>
    <t>PU哑光清面漆</t>
  </si>
  <si>
    <t>70FA</t>
  </si>
  <si>
    <t>黑色精</t>
  </si>
  <si>
    <t>26号双色</t>
  </si>
  <si>
    <t>PU哑光26号双色漆</t>
  </si>
  <si>
    <t>18号灰</t>
  </si>
  <si>
    <t>PU哑光18号灰色漆</t>
  </si>
  <si>
    <t>原油改色</t>
  </si>
  <si>
    <t>ZH50FA</t>
  </si>
  <si>
    <t>PU五分光清面漆</t>
  </si>
  <si>
    <t>50FA</t>
  </si>
  <si>
    <t>24-6*</t>
  </si>
  <si>
    <t>NC银珠漆</t>
  </si>
  <si>
    <t>样油、干板</t>
  </si>
  <si>
    <t>8038A（402A)</t>
  </si>
  <si>
    <t>8038B（402B)</t>
  </si>
  <si>
    <t>PU哑光深灰蓝色漆</t>
  </si>
  <si>
    <t>0529*</t>
  </si>
  <si>
    <t>PU全哑浅香槟肤感漆</t>
  </si>
  <si>
    <t>抽屉样：配比和哑光一样</t>
  </si>
  <si>
    <t>25-1-020203</t>
  </si>
  <si>
    <t>PU哑光肤感黑面漆</t>
  </si>
  <si>
    <t>配比和哑光一样</t>
  </si>
  <si>
    <t>（配比和哑光一样）</t>
  </si>
  <si>
    <t>29#</t>
  </si>
  <si>
    <t>PU哑光象牙白色漆</t>
  </si>
  <si>
    <t>5/6取柜身样</t>
  </si>
  <si>
    <t>PU哑光麦芽黄色漆</t>
  </si>
  <si>
    <t>5/6取抽屉样</t>
  </si>
  <si>
    <r>
      <rPr>
        <sz val="16"/>
        <color rgb="FF00B0F0"/>
        <rFont val="宋体"/>
        <charset val="134"/>
      </rPr>
      <t>烟熏色精小样：</t>
    </r>
    <r>
      <rPr>
        <sz val="9"/>
        <color rgb="FF00B0F0"/>
        <rFont val="宋体"/>
        <charset val="134"/>
      </rPr>
      <t>国圣货</t>
    </r>
  </si>
  <si>
    <t>换货见7/6配方为准，配比：1:0.5:0.7-0.8</t>
  </si>
  <si>
    <t>PU肤感漆专用固化剂</t>
  </si>
  <si>
    <t>定制</t>
  </si>
  <si>
    <t>配方已调整15/6：全哑清面8.5+0.25：1/2浆+1.3（1160浆）</t>
  </si>
  <si>
    <t>成：20.6</t>
  </si>
  <si>
    <t>303B</t>
  </si>
  <si>
    <t>面漆配比：1:0.6:0.2</t>
  </si>
  <si>
    <t>PU肤感漆稀释剂</t>
  </si>
  <si>
    <t>15/6配方</t>
  </si>
  <si>
    <t>成：8.5</t>
  </si>
  <si>
    <t>退货</t>
  </si>
  <si>
    <t>15/6退</t>
  </si>
  <si>
    <t>15/6退    定制货</t>
  </si>
  <si>
    <t>从6月24已改编号</t>
  </si>
  <si>
    <t>8048A</t>
  </si>
  <si>
    <t>柜子样</t>
  </si>
  <si>
    <t>8048B</t>
  </si>
  <si>
    <t>8026A*</t>
  </si>
  <si>
    <t>PU哑光灰绿色漆</t>
  </si>
  <si>
    <t>抽屉样</t>
  </si>
  <si>
    <t>PU哑光浅灰色漆</t>
  </si>
  <si>
    <t>抽屉样：样品写的8036-25</t>
  </si>
  <si>
    <r>
      <rPr>
        <sz val="16"/>
        <rFont val="宋体"/>
        <charset val="134"/>
      </rPr>
      <t>68</t>
    </r>
    <r>
      <rPr>
        <i/>
        <sz val="16"/>
        <rFont val="宋体"/>
        <charset val="134"/>
      </rPr>
      <t>#</t>
    </r>
  </si>
  <si>
    <t>2024.7.4</t>
  </si>
  <si>
    <t>原油、柜身样</t>
  </si>
  <si>
    <t>蓝水：3瓶</t>
  </si>
  <si>
    <t>PU5分光清面漆</t>
  </si>
  <si>
    <t>PU5分光黑面漆</t>
  </si>
  <si>
    <t>PU哑光深暖色漆</t>
  </si>
  <si>
    <t>PU亮光奶油白色漆</t>
  </si>
  <si>
    <t>PU亮光固化剂</t>
  </si>
  <si>
    <t>小桶</t>
  </si>
  <si>
    <t>PU亮光面漆稀释剂</t>
  </si>
  <si>
    <t>PU面漆稀释剂（慢干型）</t>
  </si>
  <si>
    <t>ZH871M</t>
  </si>
  <si>
    <t>PU透明底漆</t>
  </si>
  <si>
    <t>1871M</t>
  </si>
  <si>
    <t>15/7退货：加防白水的</t>
  </si>
  <si>
    <t>8040抽面</t>
  </si>
  <si>
    <t>PU哑光米黄色漆</t>
  </si>
  <si>
    <t>8026B抽面</t>
  </si>
  <si>
    <t>8029A抽面</t>
  </si>
  <si>
    <t>8029B柜身</t>
  </si>
  <si>
    <t>不开单</t>
  </si>
  <si>
    <t>PMA:3kg+1kg：808</t>
  </si>
  <si>
    <t>9805:加2KG988/桶</t>
  </si>
  <si>
    <t>6824A</t>
  </si>
  <si>
    <t>PE封固底漆</t>
  </si>
  <si>
    <t>擦色剂：小样</t>
  </si>
  <si>
    <t>修色剂小样；1瓶加0.2哑清面加面稀</t>
  </si>
  <si>
    <t>PU哑光榄肤色漆</t>
  </si>
  <si>
    <t>26/9哑深暖色已改成榄肤色</t>
  </si>
  <si>
    <t>NC8029A抽面</t>
  </si>
  <si>
    <t>NC浅灰色漆小样</t>
  </si>
  <si>
    <t>NC8050</t>
  </si>
  <si>
    <t>NC深暖色漆小样</t>
  </si>
  <si>
    <t>NC8026A*</t>
  </si>
  <si>
    <t>NC灰绿色漆小样</t>
  </si>
  <si>
    <t>NC8026B抽面</t>
  </si>
  <si>
    <t>NC浅香槟色漆小样</t>
  </si>
  <si>
    <t>NC康美62#</t>
  </si>
  <si>
    <t>NC深灰色漆小样</t>
  </si>
  <si>
    <t>面稀本：5.82</t>
  </si>
  <si>
    <t>16#灰</t>
  </si>
  <si>
    <t>PU哑光16#灰色漆</t>
  </si>
  <si>
    <t>8026C</t>
  </si>
  <si>
    <t>PU哑光浅绿色漆</t>
  </si>
  <si>
    <t>6827B</t>
  </si>
  <si>
    <t>6827B:统货</t>
  </si>
  <si>
    <t>6808A换货</t>
  </si>
  <si>
    <t>11-10*</t>
  </si>
  <si>
    <t>PU哑光铁红色漆</t>
  </si>
  <si>
    <t>透明腻子</t>
  </si>
  <si>
    <t>地坪底漆</t>
  </si>
  <si>
    <t>地坪底漆固化剂</t>
  </si>
  <si>
    <t>地坪面漆</t>
  </si>
  <si>
    <t>地坪面漆固化剂</t>
  </si>
  <si>
    <t>地坪漆稀释剂</t>
  </si>
  <si>
    <t>黑色显木纹样</t>
  </si>
  <si>
    <t>腿底</t>
  </si>
  <si>
    <t>底色精：小样</t>
  </si>
  <si>
    <t>色精：稀料=0.5-1:10</t>
  </si>
  <si>
    <t>修色漆：小样</t>
  </si>
  <si>
    <t>修色漆：稀料：固化剂=1:10:0.5</t>
  </si>
  <si>
    <t>换货（ZH-309=303B:18kg+2kg：50B)</t>
  </si>
  <si>
    <t>9804：换货</t>
  </si>
  <si>
    <t>（ZH-309=303B:18kg+2kg：50B)</t>
  </si>
  <si>
    <t>减15/1月退货</t>
  </si>
  <si>
    <t>8029A抽面：哑浅灰</t>
  </si>
  <si>
    <t>打样</t>
  </si>
  <si>
    <t>1:0.5:0.5-0.7</t>
  </si>
  <si>
    <t>PU浅香槟金属漆1KG</t>
  </si>
  <si>
    <t>PU亮光香槟色漆</t>
  </si>
  <si>
    <t>PU浅香槟金属漆</t>
  </si>
  <si>
    <t>101银粉0.6+0.8珠光粉8400</t>
  </si>
  <si>
    <t>大桶</t>
  </si>
  <si>
    <t>PU哑光红棕修色油</t>
  </si>
  <si>
    <t>换货七彩乐园第一批:货</t>
  </si>
  <si>
    <t>未开单换货：干得太快</t>
  </si>
  <si>
    <t>红棕色精</t>
  </si>
  <si>
    <t>PU哑光浅香槟金属漆</t>
  </si>
  <si>
    <t>28/3已改成亮光</t>
  </si>
  <si>
    <t>原油改色常用</t>
  </si>
  <si>
    <t>4025*</t>
  </si>
  <si>
    <t>PU哑光浅黄色漆</t>
  </si>
  <si>
    <t>3/4皮样打样</t>
  </si>
  <si>
    <t>70FA:16.6+2.8:3735C+0.6:807A</t>
  </si>
  <si>
    <t>ZH900F(慢干型）</t>
  </si>
  <si>
    <t>亮光常用</t>
  </si>
  <si>
    <t>PU哑光黑红棕色漆</t>
  </si>
  <si>
    <t>于21/5编号已改成8062</t>
  </si>
  <si>
    <t>PU哑光米色色漆</t>
  </si>
  <si>
    <t>PU哑光卡其色漆</t>
  </si>
  <si>
    <t>PU哑光白色漆</t>
  </si>
  <si>
    <t>PU哑光绿色漆</t>
  </si>
  <si>
    <t>PU哑光蓝色漆</t>
  </si>
  <si>
    <t>从8/5起面漆稀释剂下调1.0元/KG</t>
  </si>
  <si>
    <t>PU哑光黑红棕色漆（修色油）</t>
  </si>
  <si>
    <t>21/5将419已改成8062</t>
  </si>
  <si>
    <t>直接出R0709货</t>
  </si>
  <si>
    <t>已降价</t>
  </si>
  <si>
    <t>PU哑光半透修色漆</t>
  </si>
  <si>
    <t>PU哑光黑色修色油</t>
  </si>
  <si>
    <t>8/6已送</t>
  </si>
  <si>
    <t>8067B</t>
  </si>
  <si>
    <t>PU亮光银珠漆</t>
  </si>
  <si>
    <t>25067于11/7日改成8067B</t>
  </si>
  <si>
    <t>黑棕格丽斯</t>
  </si>
  <si>
    <t>普通的和色漆差不多</t>
  </si>
  <si>
    <t>25-6-9*</t>
  </si>
  <si>
    <t>哑光浅色修色漆</t>
  </si>
  <si>
    <t>哑光黑磨砂面漆</t>
  </si>
  <si>
    <t>25-6-12*</t>
  </si>
  <si>
    <t>PU哑光军绿色漆</t>
  </si>
  <si>
    <t>PU哑光黑珠光漆</t>
  </si>
  <si>
    <t>25-6-13于11/7日改成8069</t>
  </si>
  <si>
    <t>8067A</t>
  </si>
  <si>
    <t>PU哑光银珠漆</t>
  </si>
  <si>
    <t>518-28于11/7日改成8067A</t>
  </si>
  <si>
    <t>3706A</t>
  </si>
  <si>
    <t>P亮光清面漆</t>
  </si>
  <si>
    <t>柜身从6月24已改编号</t>
  </si>
  <si>
    <t>25-6-30*</t>
  </si>
  <si>
    <t>亮光常用：亮光配比</t>
  </si>
  <si>
    <t>编号变动</t>
  </si>
  <si>
    <t>25-6-13改成8069:哑光黑珠光</t>
  </si>
  <si>
    <t>25067改成8067A：亮光银珠</t>
  </si>
  <si>
    <t>518-2B改成8067B：哑光银珠</t>
  </si>
  <si>
    <t>25-6-13*于11/7日改成8069</t>
  </si>
  <si>
    <t>原油 518-2B于11/7日改成8067A</t>
  </si>
  <si>
    <t>原油 3KG  518-2B于11/7日改成8067A</t>
  </si>
  <si>
    <t>GS306A</t>
  </si>
  <si>
    <t>PU亮光清面漆</t>
  </si>
  <si>
    <t xml:space="preserve">  518-2B于11/7日改成8067A</t>
  </si>
  <si>
    <t>面板色   25067于11/7日改成8067B</t>
  </si>
  <si>
    <t>PU哑光浅色修色油</t>
  </si>
  <si>
    <t>12/8原油改色（要改成深色）：商标代号和名称未改</t>
  </si>
  <si>
    <t>309A</t>
  </si>
  <si>
    <t>6808A:已调价</t>
  </si>
  <si>
    <t>底稀本：3.82</t>
  </si>
  <si>
    <t>802A:6+4:PM</t>
  </si>
  <si>
    <t>修色精油</t>
  </si>
  <si>
    <t>油性</t>
  </si>
  <si>
    <t>已退回：240</t>
  </si>
  <si>
    <t>25-1219*</t>
  </si>
  <si>
    <t>哑光奶白色漆</t>
  </si>
  <si>
    <t>80F:3.75+1.25:黑浆（80F=70FA:10+0.2:100C)</t>
  </si>
  <si>
    <t>PU泥黄底漆</t>
  </si>
  <si>
    <t>25-1222</t>
  </si>
  <si>
    <t>PU哑光粉色色漆</t>
  </si>
  <si>
    <t>3#</t>
  </si>
  <si>
    <t>格丽斯</t>
  </si>
  <si>
    <t>有留样</t>
  </si>
  <si>
    <t>56号</t>
  </si>
  <si>
    <t>25-1223</t>
  </si>
  <si>
    <t>PU全哑光浅黄色漆</t>
  </si>
  <si>
    <t>格丽斯稀释剂</t>
  </si>
  <si>
    <t>802A货</t>
  </si>
  <si>
    <t>修色水</t>
  </si>
  <si>
    <t>底得宝：1.2+0.3修色精（志泓）+2.5:807A</t>
  </si>
  <si>
    <t>18号</t>
  </si>
  <si>
    <t>红棕修色水（床边专用）</t>
  </si>
  <si>
    <t>8067B-1</t>
  </si>
  <si>
    <t>PU哑光银珠漆小样</t>
  </si>
  <si>
    <t>成都国圣工业有限公司（五星花）送货单</t>
  </si>
  <si>
    <t>购货单位（乙方）：志泓家私    联系人：李总     日期：2026年01月12日     订单编号：26-010030A</t>
  </si>
  <si>
    <t xml:space="preserve"> 产 品 型 号</t>
  </si>
  <si>
    <t xml:space="preserve"> 产 品 名 称</t>
  </si>
  <si>
    <t>备  注</t>
  </si>
  <si>
    <r>
      <rPr>
        <sz val="16"/>
        <color rgb="FF00B0F0"/>
        <rFont val="宋体"/>
        <charset val="134"/>
      </rPr>
      <t>红棕修色水</t>
    </r>
    <r>
      <rPr>
        <sz val="14"/>
        <color rgb="FF00B0F0"/>
        <rFont val="宋体"/>
        <charset val="134"/>
      </rPr>
      <t>（床边专用）</t>
    </r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</si>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</sst>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General&quot;桶&quot;"/>
    <numFmt numFmtId="178" formatCode="0.0_);[Red]\(0.0\)"/>
    <numFmt numFmtId="179" formatCode="0.00_ "/>
    <numFmt numFmtId="180" formatCode="000000"/>
    <numFmt numFmtId="181" formatCode="[DBNum2][$RMB]General;[Red][DBNum2][$RMB]General"/>
    <numFmt numFmtId="182" formatCode="General&quot;号&quot;"/>
  </numFmts>
  <fonts count="41">
    <font>
      <sz val="12"/>
      <name val="宋体"/>
      <charset val="134"/>
    </font>
    <font>
      <sz val="16"/>
      <name val="宋体"/>
      <charset val="134"/>
    </font>
    <font>
      <sz val="24"/>
      <name val="宋体"/>
      <charset val="134"/>
    </font>
    <font>
      <sz val="16"/>
      <color rgb="FF00B0F0"/>
      <name val="宋体"/>
      <charset val="134"/>
    </font>
    <font>
      <sz val="16"/>
      <color rgb="FFFF0000"/>
      <name val="宋体"/>
      <charset val="134"/>
    </font>
    <font>
      <sz val="14"/>
      <name val="宋体"/>
      <charset val="134"/>
    </font>
    <font>
      <sz val="10"/>
      <name val="宋体"/>
      <charset val="134"/>
    </font>
    <font>
      <sz val="12"/>
      <color rgb="FF00B0F0"/>
      <name val="宋体"/>
      <charset val="134"/>
    </font>
    <font>
      <sz val="16"/>
      <color rgb="FF7030A0"/>
      <name val="宋体"/>
      <charset val="134"/>
    </font>
    <font>
      <sz val="11"/>
      <color rgb="FF00B0F0"/>
      <name val="宋体"/>
      <charset val="134"/>
    </font>
    <font>
      <sz val="12"/>
      <color rgb="FFFF0000"/>
      <name val="宋体"/>
      <charset val="134"/>
    </font>
    <font>
      <b/>
      <sz val="12"/>
      <color rgb="FFFF0000"/>
      <name val="宋体"/>
      <charset val="134"/>
    </font>
    <font>
      <sz val="16"/>
      <color theme="9" tint="-0.25"/>
      <name val="宋体"/>
      <charset val="134"/>
    </font>
    <font>
      <sz val="10"/>
      <color rgb="FF00B0F0"/>
      <name val="宋体"/>
      <charset val="134"/>
    </font>
    <font>
      <sz val="10"/>
      <color rgb="FFFF0000"/>
      <name val="宋体"/>
      <charset val="134"/>
    </font>
    <font>
      <sz val="9"/>
      <color rgb="FF00B0F0"/>
      <name val="宋体"/>
      <charset val="134"/>
    </font>
    <font>
      <sz val="9"/>
      <name val="宋体"/>
      <charset val="134"/>
    </font>
    <font>
      <sz val="10"/>
      <color theme="9" tint="-0.25"/>
      <name val="宋体"/>
      <charset val="134"/>
    </font>
    <font>
      <sz val="14"/>
      <color rgb="FF00B0F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i/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4" applyNumberFormat="0" applyAlignment="0" applyProtection="0">
      <alignment vertical="center"/>
    </xf>
    <xf numFmtId="0" fontId="29" fillId="4" borderId="15" applyNumberFormat="0" applyAlignment="0" applyProtection="0">
      <alignment vertical="center"/>
    </xf>
    <xf numFmtId="0" fontId="30" fillId="4" borderId="14" applyNumberFormat="0" applyAlignment="0" applyProtection="0">
      <alignment vertical="center"/>
    </xf>
    <xf numFmtId="0" fontId="31" fillId="5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0" fillId="0" borderId="0"/>
    <xf numFmtId="0" fontId="39" fillId="8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176" fontId="0" fillId="0" borderId="0" applyFont="0" applyFill="0" applyBorder="0" applyAlignment="0" applyProtection="0"/>
  </cellStyleXfs>
  <cellXfs count="12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left" vertical="center"/>
    </xf>
    <xf numFmtId="181" fontId="1" fillId="0" borderId="1" xfId="0" applyNumberFormat="1" applyFont="1" applyFill="1" applyBorder="1" applyAlignment="1">
      <alignment horizontal="left" vertical="center"/>
    </xf>
    <xf numFmtId="7" fontId="1" fillId="0" borderId="1" xfId="0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textRotation="255"/>
    </xf>
    <xf numFmtId="0" fontId="5" fillId="0" borderId="3" xfId="0" applyFont="1" applyFill="1" applyBorder="1" applyAlignment="1">
      <alignment horizontal="left" vertical="center" wrapText="1" readingOrder="1"/>
    </xf>
    <xf numFmtId="0" fontId="5" fillId="0" borderId="4" xfId="0" applyFont="1" applyFill="1" applyBorder="1" applyAlignment="1">
      <alignment horizontal="left" vertical="center" wrapText="1" readingOrder="1"/>
    </xf>
    <xf numFmtId="0" fontId="5" fillId="0" borderId="5" xfId="0" applyFont="1" applyFill="1" applyBorder="1" applyAlignment="1">
      <alignment horizontal="left" vertical="center" textRotation="255"/>
    </xf>
    <xf numFmtId="0" fontId="5" fillId="0" borderId="0" xfId="0" applyFont="1" applyFill="1" applyBorder="1" applyAlignment="1">
      <alignment horizontal="left" vertical="center" wrapText="1" readingOrder="1"/>
    </xf>
    <xf numFmtId="0" fontId="5" fillId="0" borderId="6" xfId="0" applyFont="1" applyFill="1" applyBorder="1" applyAlignment="1">
      <alignment horizontal="left" vertical="center" wrapText="1" readingOrder="1"/>
    </xf>
    <xf numFmtId="0" fontId="5" fillId="0" borderId="7" xfId="0" applyFont="1" applyFill="1" applyBorder="1" applyAlignment="1">
      <alignment horizontal="left" vertical="center" textRotation="255"/>
    </xf>
    <xf numFmtId="0" fontId="5" fillId="0" borderId="8" xfId="0" applyFont="1" applyFill="1" applyBorder="1" applyAlignment="1">
      <alignment horizontal="left" vertical="center" wrapText="1" readingOrder="1"/>
    </xf>
    <xf numFmtId="0" fontId="5" fillId="0" borderId="9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Border="1">
      <alignment vertical="center"/>
    </xf>
    <xf numFmtId="0" fontId="6" fillId="0" borderId="0" xfId="0" applyFont="1">
      <alignment vertical="center"/>
    </xf>
    <xf numFmtId="0" fontId="3" fillId="0" borderId="0" xfId="0" applyFont="1" applyBorder="1">
      <alignment vertical="center"/>
    </xf>
    <xf numFmtId="0" fontId="7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 applyBorder="1">
      <alignment vertical="center"/>
    </xf>
    <xf numFmtId="0" fontId="8" fillId="0" borderId="0" xfId="0" applyFont="1" applyBorder="1">
      <alignment vertical="center"/>
    </xf>
    <xf numFmtId="58" fontId="1" fillId="0" borderId="0" xfId="0" applyNumberFormat="1" applyFont="1" applyBorder="1" applyAlignment="1">
      <alignment horizontal="left" vertical="center"/>
    </xf>
    <xf numFmtId="18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9" fontId="1" fillId="0" borderId="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/>
    </xf>
    <xf numFmtId="58" fontId="3" fillId="0" borderId="0" xfId="0" applyNumberFormat="1" applyFont="1" applyBorder="1" applyAlignment="1">
      <alignment horizontal="left" vertical="center"/>
    </xf>
    <xf numFmtId="182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77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179" fontId="3" fillId="0" borderId="0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77" fontId="1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77" fontId="8" fillId="0" borderId="0" xfId="0" applyNumberFormat="1" applyFont="1" applyBorder="1" applyAlignment="1">
      <alignment horizontal="center" vertical="center"/>
    </xf>
    <xf numFmtId="178" fontId="8" fillId="0" borderId="0" xfId="0" applyNumberFormat="1" applyFont="1" applyBorder="1" applyAlignment="1">
      <alignment horizontal="center" vertical="center"/>
    </xf>
    <xf numFmtId="179" fontId="8" fillId="0" borderId="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78" fontId="4" fillId="0" borderId="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58" fontId="4" fillId="0" borderId="0" xfId="0" applyNumberFormat="1" applyFont="1" applyBorder="1" applyAlignment="1">
      <alignment horizontal="left" vertical="center"/>
    </xf>
    <xf numFmtId="18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9" fontId="4" fillId="0" borderId="0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4" fontId="12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82" fontId="4" fillId="0" borderId="0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6" fillId="0" borderId="0" xfId="0" applyFont="1" applyBorder="1">
      <alignment vertical="center"/>
    </xf>
    <xf numFmtId="0" fontId="13" fillId="0" borderId="0" xfId="0" applyFont="1" applyBorder="1">
      <alignment vertical="center"/>
    </xf>
    <xf numFmtId="182" fontId="1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4" fillId="0" borderId="0" xfId="0" applyFont="1" applyBorder="1">
      <alignment vertical="center"/>
    </xf>
    <xf numFmtId="14" fontId="1" fillId="0" borderId="0" xfId="0" applyNumberFormat="1" applyFont="1" applyBorder="1" applyAlignment="1">
      <alignment horizontal="center" vertical="center"/>
    </xf>
    <xf numFmtId="58" fontId="4" fillId="0" borderId="0" xfId="0" applyNumberFormat="1" applyFont="1" applyAlignment="1">
      <alignment horizontal="center" vertical="center"/>
    </xf>
    <xf numFmtId="0" fontId="12" fillId="0" borderId="0" xfId="0" applyFont="1" applyBorder="1">
      <alignment vertical="center"/>
    </xf>
    <xf numFmtId="0" fontId="15" fillId="0" borderId="0" xfId="0" applyFont="1" applyAlignment="1">
      <alignment horizontal="left" vertical="center"/>
    </xf>
    <xf numFmtId="58" fontId="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58" fontId="12" fillId="0" borderId="0" xfId="0" applyNumberFormat="1" applyFont="1" applyBorder="1" applyAlignment="1">
      <alignment horizontal="left" vertical="center"/>
    </xf>
    <xf numFmtId="182" fontId="12" fillId="0" borderId="0" xfId="0" applyNumberFormat="1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177" fontId="12" fillId="0" borderId="0" xfId="0" applyNumberFormat="1" applyFont="1" applyBorder="1" applyAlignment="1">
      <alignment horizontal="center" vertical="center"/>
    </xf>
    <xf numFmtId="178" fontId="12" fillId="0" borderId="0" xfId="0" applyNumberFormat="1" applyFont="1" applyBorder="1" applyAlignment="1">
      <alignment horizontal="center" vertical="center"/>
    </xf>
    <xf numFmtId="179" fontId="12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Border="1">
      <alignment vertical="center"/>
    </xf>
    <xf numFmtId="0" fontId="1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9" xfId="49"/>
    <cellStyle name="适中 2 4 2" xfId="50"/>
    <cellStyle name="常规 33" xfId="51"/>
    <cellStyle name="常规 38 2" xfId="52"/>
    <cellStyle name="货币 4 3 2" xfId="53"/>
  </cellStyles>
  <tableStyles count="1" defaultTableStyle="TableStyleMedium9" defaultPivotStyle="PivotStyleLight16">
    <tableStyle name="表样式 1" pivot="0" count="0" xr9:uid="{2F086433-CD05-429A-BBB9-AF86FCA10F20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2"/>
  <sheetViews>
    <sheetView topLeftCell="A231" workbookViewId="0">
      <selection activeCell="M20" sqref="M20"/>
    </sheetView>
  </sheetViews>
  <sheetFormatPr defaultColWidth="9" defaultRowHeight="20.25"/>
  <cols>
    <col min="1" max="1" width="12.625" style="3"/>
    <col min="2" max="2" width="9" style="3"/>
    <col min="3" max="5" width="5.625" style="3" customWidth="1"/>
    <col min="6" max="6" width="27.625" style="3" customWidth="1"/>
    <col min="7" max="10" width="11.625" style="3" customWidth="1"/>
    <col min="11" max="11" width="15.625" style="3" customWidth="1"/>
    <col min="12" max="12" width="26" style="3" customWidth="1"/>
    <col min="13" max="13" width="15.625" style="3" customWidth="1"/>
  </cols>
  <sheetData>
    <row r="1" s="37" customFormat="1" spans="1:13">
      <c r="A1" s="44" t="s">
        <v>0</v>
      </c>
      <c r="B1" s="45"/>
      <c r="C1" s="46"/>
      <c r="D1" s="46"/>
      <c r="E1" s="46"/>
      <c r="F1" s="47"/>
      <c r="G1" s="48"/>
      <c r="H1" s="48"/>
      <c r="I1" s="48"/>
      <c r="J1" s="49"/>
      <c r="K1" s="50"/>
      <c r="L1" s="3"/>
      <c r="M1" s="48"/>
    </row>
    <row r="2" s="38" customFormat="1" ht="12" spans="1:13">
      <c r="A2" s="51" t="s">
        <v>1</v>
      </c>
      <c r="B2" s="51" t="s">
        <v>2</v>
      </c>
      <c r="C2" s="52" t="s">
        <v>3</v>
      </c>
      <c r="D2" s="52"/>
      <c r="E2" s="52"/>
      <c r="F2" s="53" t="s">
        <v>4</v>
      </c>
      <c r="G2" s="52" t="s">
        <v>5</v>
      </c>
      <c r="H2" s="52" t="s">
        <v>6</v>
      </c>
      <c r="I2" s="52" t="s">
        <v>7</v>
      </c>
      <c r="J2" s="52" t="s">
        <v>8</v>
      </c>
      <c r="K2" s="52" t="s">
        <v>9</v>
      </c>
      <c r="L2" s="52" t="s">
        <v>10</v>
      </c>
      <c r="M2" s="52" t="s">
        <v>11</v>
      </c>
    </row>
    <row r="3" s="37" customFormat="1" spans="1:13">
      <c r="A3" s="44">
        <v>45395</v>
      </c>
      <c r="B3" s="45">
        <v>45</v>
      </c>
      <c r="C3" s="66" t="s">
        <v>12</v>
      </c>
      <c r="D3" s="66"/>
      <c r="E3" s="66"/>
      <c r="F3" s="57" t="s">
        <v>13</v>
      </c>
      <c r="G3" s="64">
        <v>2</v>
      </c>
      <c r="H3" s="48">
        <v>24</v>
      </c>
      <c r="I3" s="48">
        <f>G3*H3</f>
        <v>48</v>
      </c>
      <c r="J3" s="49">
        <v>19</v>
      </c>
      <c r="K3" s="50">
        <f>I3*J3</f>
        <v>912</v>
      </c>
      <c r="L3" s="3" t="s">
        <v>14</v>
      </c>
      <c r="M3" s="48"/>
    </row>
    <row r="4" s="37" customFormat="1" spans="1:13">
      <c r="A4" s="44">
        <v>45395</v>
      </c>
      <c r="B4" s="45">
        <v>45</v>
      </c>
      <c r="C4" s="66" t="s">
        <v>15</v>
      </c>
      <c r="D4" s="66"/>
      <c r="E4" s="66"/>
      <c r="F4" s="63" t="s">
        <v>16</v>
      </c>
      <c r="G4" s="64">
        <v>2</v>
      </c>
      <c r="H4" s="48">
        <v>10</v>
      </c>
      <c r="I4" s="48">
        <f>G4*H4</f>
        <v>20</v>
      </c>
      <c r="J4" s="49">
        <v>19</v>
      </c>
      <c r="K4" s="50">
        <f>I4*J4</f>
        <v>380</v>
      </c>
      <c r="L4" s="65" t="s">
        <v>17</v>
      </c>
      <c r="M4" s="48"/>
    </row>
    <row r="5" s="37" customFormat="1" spans="1:13">
      <c r="A5" s="44">
        <v>45395</v>
      </c>
      <c r="B5" s="45">
        <v>45</v>
      </c>
      <c r="C5" s="90" t="s">
        <v>18</v>
      </c>
      <c r="D5" s="66"/>
      <c r="E5" s="66"/>
      <c r="F5" s="63" t="s">
        <v>19</v>
      </c>
      <c r="G5" s="64">
        <v>1</v>
      </c>
      <c r="H5" s="48"/>
      <c r="I5" s="48"/>
      <c r="J5" s="49"/>
      <c r="K5" s="50">
        <f>I5*J5</f>
        <v>0</v>
      </c>
      <c r="L5" s="3" t="s">
        <v>20</v>
      </c>
      <c r="M5" s="48">
        <f>SUM(K3:K5)</f>
        <v>1292</v>
      </c>
    </row>
    <row r="6" s="39" customFormat="1" spans="1:13">
      <c r="A6" s="54">
        <v>45397</v>
      </c>
      <c r="B6" s="55">
        <v>48</v>
      </c>
      <c r="C6" s="46" t="s">
        <v>21</v>
      </c>
      <c r="D6" s="46"/>
      <c r="E6" s="46"/>
      <c r="F6" s="57" t="s">
        <v>22</v>
      </c>
      <c r="G6" s="58">
        <v>5</v>
      </c>
      <c r="H6" s="59">
        <v>28</v>
      </c>
      <c r="I6" s="59">
        <f t="shared" ref="I6:I22" si="0">G6*H6</f>
        <v>140</v>
      </c>
      <c r="J6" s="60">
        <v>10</v>
      </c>
      <c r="K6" s="61">
        <f>I6*J6</f>
        <v>1400</v>
      </c>
      <c r="L6" s="110">
        <v>9804</v>
      </c>
      <c r="M6" s="59"/>
    </row>
    <row r="7" s="37" customFormat="1" spans="1:13">
      <c r="A7" s="44">
        <v>45400</v>
      </c>
      <c r="B7" s="45">
        <v>60</v>
      </c>
      <c r="C7" s="66" t="s">
        <v>23</v>
      </c>
      <c r="D7" s="66"/>
      <c r="E7" s="66"/>
      <c r="F7" s="63" t="s">
        <v>24</v>
      </c>
      <c r="G7" s="64">
        <v>2</v>
      </c>
      <c r="H7" s="48">
        <v>25</v>
      </c>
      <c r="I7" s="48">
        <f t="shared" si="0"/>
        <v>50</v>
      </c>
      <c r="J7" s="49">
        <v>19</v>
      </c>
      <c r="K7" s="50">
        <f>I7*J7</f>
        <v>950</v>
      </c>
      <c r="L7" s="3"/>
      <c r="M7" s="48"/>
    </row>
    <row r="8" s="37" customFormat="1" spans="1:13">
      <c r="A8" s="44">
        <v>45400</v>
      </c>
      <c r="B8" s="45">
        <v>60</v>
      </c>
      <c r="C8" s="80" t="s">
        <v>25</v>
      </c>
      <c r="D8" s="80"/>
      <c r="E8" s="80"/>
      <c r="F8" s="63" t="s">
        <v>26</v>
      </c>
      <c r="G8" s="64">
        <v>1</v>
      </c>
      <c r="H8" s="48">
        <v>10</v>
      </c>
      <c r="I8" s="48">
        <f t="shared" si="0"/>
        <v>10</v>
      </c>
      <c r="J8" s="49">
        <v>19</v>
      </c>
      <c r="K8" s="50">
        <f t="shared" ref="K8:K22" si="1">I8*J8</f>
        <v>190</v>
      </c>
      <c r="L8" s="3"/>
      <c r="M8" s="48"/>
    </row>
    <row r="9" s="37" customFormat="1" spans="1:13">
      <c r="A9" s="44">
        <v>45400</v>
      </c>
      <c r="B9" s="45">
        <v>60</v>
      </c>
      <c r="C9" s="66" t="s">
        <v>27</v>
      </c>
      <c r="D9" s="66"/>
      <c r="E9" s="66"/>
      <c r="F9" s="63" t="s">
        <v>28</v>
      </c>
      <c r="G9" s="64">
        <v>1</v>
      </c>
      <c r="H9" s="48">
        <v>10</v>
      </c>
      <c r="I9" s="48">
        <f t="shared" si="0"/>
        <v>10</v>
      </c>
      <c r="J9" s="49">
        <v>19</v>
      </c>
      <c r="K9" s="50">
        <f t="shared" si="1"/>
        <v>190</v>
      </c>
      <c r="L9" s="3"/>
      <c r="M9" s="48"/>
    </row>
    <row r="10" s="37" customFormat="1" spans="1:13">
      <c r="A10" s="44">
        <v>45400</v>
      </c>
      <c r="B10" s="45">
        <v>60</v>
      </c>
      <c r="C10" s="66" t="s">
        <v>15</v>
      </c>
      <c r="D10" s="66"/>
      <c r="E10" s="66"/>
      <c r="F10" s="63" t="s">
        <v>16</v>
      </c>
      <c r="G10" s="64">
        <v>4</v>
      </c>
      <c r="H10" s="48">
        <v>10</v>
      </c>
      <c r="I10" s="48">
        <f t="shared" si="0"/>
        <v>40</v>
      </c>
      <c r="J10" s="49">
        <v>19</v>
      </c>
      <c r="K10" s="50">
        <f t="shared" si="1"/>
        <v>760</v>
      </c>
      <c r="L10" s="65" t="s">
        <v>17</v>
      </c>
      <c r="M10" s="48"/>
    </row>
    <row r="11" s="37" customFormat="1" spans="1:13">
      <c r="A11" s="44">
        <v>45400</v>
      </c>
      <c r="B11" s="45">
        <v>60</v>
      </c>
      <c r="C11" s="66" t="s">
        <v>29</v>
      </c>
      <c r="D11" s="66"/>
      <c r="E11" s="66"/>
      <c r="F11" s="63" t="s">
        <v>30</v>
      </c>
      <c r="G11" s="64">
        <v>2</v>
      </c>
      <c r="H11" s="48">
        <v>20</v>
      </c>
      <c r="I11" s="48">
        <f t="shared" si="0"/>
        <v>40</v>
      </c>
      <c r="J11" s="49">
        <v>16.5</v>
      </c>
      <c r="K11" s="50">
        <f t="shared" si="1"/>
        <v>660</v>
      </c>
      <c r="L11" s="3" t="s">
        <v>31</v>
      </c>
      <c r="M11" s="48"/>
    </row>
    <row r="12" s="39" customFormat="1" spans="1:13">
      <c r="A12" s="54">
        <v>45401</v>
      </c>
      <c r="B12" s="55">
        <v>64</v>
      </c>
      <c r="C12" s="46" t="s">
        <v>32</v>
      </c>
      <c r="D12" s="46"/>
      <c r="E12" s="46"/>
      <c r="F12" s="57" t="s">
        <v>33</v>
      </c>
      <c r="G12" s="58">
        <v>1</v>
      </c>
      <c r="H12" s="59">
        <v>25</v>
      </c>
      <c r="I12" s="59">
        <f t="shared" si="0"/>
        <v>25</v>
      </c>
      <c r="J12" s="60">
        <v>19</v>
      </c>
      <c r="K12" s="61">
        <f t="shared" si="1"/>
        <v>475</v>
      </c>
      <c r="L12" s="62" t="s">
        <v>14</v>
      </c>
      <c r="M12" s="59"/>
    </row>
    <row r="13" s="39" customFormat="1" spans="1:13">
      <c r="A13" s="54">
        <v>45401</v>
      </c>
      <c r="B13" s="55">
        <v>64</v>
      </c>
      <c r="C13" s="46" t="s">
        <v>32</v>
      </c>
      <c r="D13" s="46"/>
      <c r="E13" s="46"/>
      <c r="F13" s="57" t="s">
        <v>33</v>
      </c>
      <c r="G13" s="58">
        <v>1</v>
      </c>
      <c r="H13" s="59">
        <v>26</v>
      </c>
      <c r="I13" s="59">
        <f t="shared" si="0"/>
        <v>26</v>
      </c>
      <c r="J13" s="60">
        <v>19</v>
      </c>
      <c r="K13" s="61">
        <f t="shared" si="1"/>
        <v>494</v>
      </c>
      <c r="L13" s="62" t="s">
        <v>14</v>
      </c>
      <c r="M13" s="59"/>
    </row>
    <row r="14" s="39" customFormat="1" spans="1:13">
      <c r="A14" s="54">
        <v>45401</v>
      </c>
      <c r="B14" s="55">
        <v>64</v>
      </c>
      <c r="C14" s="46"/>
      <c r="D14" s="46"/>
      <c r="E14" s="46"/>
      <c r="F14" s="57" t="s">
        <v>34</v>
      </c>
      <c r="G14" s="58">
        <v>1</v>
      </c>
      <c r="H14" s="59">
        <v>6</v>
      </c>
      <c r="I14" s="59">
        <f t="shared" si="0"/>
        <v>6</v>
      </c>
      <c r="J14" s="60">
        <v>19</v>
      </c>
      <c r="K14" s="61">
        <f t="shared" si="1"/>
        <v>114</v>
      </c>
      <c r="L14" s="62" t="s">
        <v>14</v>
      </c>
      <c r="M14" s="59"/>
    </row>
    <row r="15" s="37" customFormat="1" spans="1:13">
      <c r="A15" s="44">
        <v>45402</v>
      </c>
      <c r="B15" s="45">
        <v>67</v>
      </c>
      <c r="C15" s="66" t="s">
        <v>35</v>
      </c>
      <c r="D15" s="66"/>
      <c r="E15" s="66"/>
      <c r="F15" s="63" t="s">
        <v>33</v>
      </c>
      <c r="G15" s="64">
        <v>1</v>
      </c>
      <c r="H15" s="48">
        <v>8</v>
      </c>
      <c r="I15" s="48">
        <f t="shared" si="0"/>
        <v>8</v>
      </c>
      <c r="J15" s="49">
        <v>19</v>
      </c>
      <c r="K15" s="50">
        <f t="shared" si="1"/>
        <v>152</v>
      </c>
      <c r="L15" s="3" t="s">
        <v>14</v>
      </c>
      <c r="M15" s="48"/>
    </row>
    <row r="16" s="37" customFormat="1" spans="1:13">
      <c r="A16" s="44">
        <v>45402</v>
      </c>
      <c r="B16" s="45">
        <v>67</v>
      </c>
      <c r="C16" s="66" t="s">
        <v>36</v>
      </c>
      <c r="D16" s="66"/>
      <c r="E16" s="66"/>
      <c r="F16" s="63" t="s">
        <v>37</v>
      </c>
      <c r="G16" s="64">
        <v>1</v>
      </c>
      <c r="H16" s="48">
        <v>1.5</v>
      </c>
      <c r="I16" s="48">
        <f t="shared" si="0"/>
        <v>1.5</v>
      </c>
      <c r="J16" s="49">
        <v>19</v>
      </c>
      <c r="K16" s="50">
        <f t="shared" ref="K16:K33" si="2">I16*J16</f>
        <v>28.5</v>
      </c>
      <c r="L16" s="3" t="s">
        <v>14</v>
      </c>
      <c r="M16" s="48"/>
    </row>
    <row r="17" s="37" customFormat="1" spans="1:13">
      <c r="A17" s="44">
        <v>45402</v>
      </c>
      <c r="B17" s="45">
        <v>67</v>
      </c>
      <c r="C17" s="66" t="s">
        <v>38</v>
      </c>
      <c r="D17" s="66"/>
      <c r="E17" s="66"/>
      <c r="F17" s="63" t="s">
        <v>39</v>
      </c>
      <c r="G17" s="64">
        <v>1</v>
      </c>
      <c r="H17" s="48"/>
      <c r="I17" s="48"/>
      <c r="J17" s="49"/>
      <c r="K17" s="50">
        <f t="shared" si="2"/>
        <v>0</v>
      </c>
      <c r="L17" s="3"/>
      <c r="M17" s="48"/>
    </row>
    <row r="18" s="37" customFormat="1" spans="1:13">
      <c r="A18" s="44">
        <v>45402</v>
      </c>
      <c r="B18" s="45">
        <v>67</v>
      </c>
      <c r="C18" s="66">
        <v>2301028</v>
      </c>
      <c r="D18" s="66"/>
      <c r="E18" s="66"/>
      <c r="F18" s="63" t="s">
        <v>40</v>
      </c>
      <c r="G18" s="64">
        <v>1</v>
      </c>
      <c r="H18" s="48"/>
      <c r="I18" s="48"/>
      <c r="J18" s="49"/>
      <c r="K18" s="50">
        <f t="shared" si="2"/>
        <v>0</v>
      </c>
      <c r="L18" s="3"/>
      <c r="M18" s="48"/>
    </row>
    <row r="19" s="37" customFormat="1" spans="1:13">
      <c r="A19" s="44">
        <v>45402</v>
      </c>
      <c r="B19" s="45">
        <v>67</v>
      </c>
      <c r="C19" s="66" t="s">
        <v>41</v>
      </c>
      <c r="D19" s="66"/>
      <c r="E19" s="66"/>
      <c r="F19" s="63" t="s">
        <v>42</v>
      </c>
      <c r="G19" s="64">
        <v>1</v>
      </c>
      <c r="H19" s="48">
        <v>5</v>
      </c>
      <c r="I19" s="48">
        <f t="shared" ref="I19:I49" si="3">G19*H19</f>
        <v>5</v>
      </c>
      <c r="J19" s="49">
        <v>19</v>
      </c>
      <c r="K19" s="50">
        <f t="shared" si="2"/>
        <v>95</v>
      </c>
      <c r="L19" s="3" t="s">
        <v>14</v>
      </c>
      <c r="M19" s="48"/>
    </row>
    <row r="20" s="37" customFormat="1" spans="1:13">
      <c r="A20" s="44">
        <v>45402</v>
      </c>
      <c r="B20" s="45">
        <v>67</v>
      </c>
      <c r="C20" s="66" t="s">
        <v>43</v>
      </c>
      <c r="D20" s="66"/>
      <c r="E20" s="66"/>
      <c r="F20" s="63" t="s">
        <v>44</v>
      </c>
      <c r="G20" s="64">
        <v>1</v>
      </c>
      <c r="H20" s="48">
        <v>5</v>
      </c>
      <c r="I20" s="48">
        <f t="shared" si="3"/>
        <v>5</v>
      </c>
      <c r="J20" s="49">
        <v>19</v>
      </c>
      <c r="K20" s="50">
        <f t="shared" si="2"/>
        <v>95</v>
      </c>
      <c r="L20" s="3" t="s">
        <v>14</v>
      </c>
      <c r="M20" s="48"/>
    </row>
    <row r="21" s="37" customFormat="1" spans="1:13">
      <c r="A21" s="44">
        <v>45402</v>
      </c>
      <c r="B21" s="45">
        <v>67</v>
      </c>
      <c r="C21" s="66" t="s">
        <v>45</v>
      </c>
      <c r="D21" s="66"/>
      <c r="E21" s="66"/>
      <c r="F21" s="63" t="s">
        <v>46</v>
      </c>
      <c r="G21" s="64">
        <v>1</v>
      </c>
      <c r="H21" s="48">
        <v>2</v>
      </c>
      <c r="I21" s="48">
        <f t="shared" si="3"/>
        <v>2</v>
      </c>
      <c r="J21" s="49">
        <v>19</v>
      </c>
      <c r="K21" s="50">
        <f t="shared" si="2"/>
        <v>38</v>
      </c>
      <c r="L21" s="3" t="s">
        <v>14</v>
      </c>
      <c r="M21" s="48"/>
    </row>
    <row r="22" s="37" customFormat="1" spans="1:13">
      <c r="A22" s="44">
        <v>45402</v>
      </c>
      <c r="B22" s="45">
        <v>67</v>
      </c>
      <c r="C22" s="111" t="s">
        <v>47</v>
      </c>
      <c r="D22" s="66"/>
      <c r="E22" s="66"/>
      <c r="F22" s="63" t="s">
        <v>48</v>
      </c>
      <c r="G22" s="64">
        <v>1</v>
      </c>
      <c r="H22" s="48">
        <v>5</v>
      </c>
      <c r="I22" s="48">
        <f t="shared" si="3"/>
        <v>5</v>
      </c>
      <c r="J22" s="49">
        <v>19</v>
      </c>
      <c r="K22" s="50">
        <f t="shared" si="2"/>
        <v>95</v>
      </c>
      <c r="L22" s="3" t="s">
        <v>14</v>
      </c>
      <c r="M22" s="48"/>
    </row>
    <row r="23" s="37" customFormat="1" spans="1:13">
      <c r="A23" s="44">
        <v>45402</v>
      </c>
      <c r="B23" s="45">
        <v>67</v>
      </c>
      <c r="C23" s="111" t="s">
        <v>49</v>
      </c>
      <c r="D23" s="66"/>
      <c r="E23" s="66"/>
      <c r="F23" s="63" t="s">
        <v>50</v>
      </c>
      <c r="G23" s="64">
        <v>1</v>
      </c>
      <c r="H23" s="48">
        <v>4</v>
      </c>
      <c r="I23" s="48">
        <f t="shared" si="3"/>
        <v>4</v>
      </c>
      <c r="J23" s="49">
        <v>22</v>
      </c>
      <c r="K23" s="50">
        <f t="shared" si="2"/>
        <v>88</v>
      </c>
      <c r="L23" s="3" t="s">
        <v>14</v>
      </c>
      <c r="M23" s="48"/>
    </row>
    <row r="24" s="37" customFormat="1" spans="1:13">
      <c r="A24" s="44">
        <v>45402</v>
      </c>
      <c r="B24" s="45">
        <v>67</v>
      </c>
      <c r="C24" s="66" t="s">
        <v>51</v>
      </c>
      <c r="D24" s="66"/>
      <c r="E24" s="66"/>
      <c r="F24" s="63" t="s">
        <v>52</v>
      </c>
      <c r="G24" s="64">
        <v>1</v>
      </c>
      <c r="H24" s="48">
        <v>1</v>
      </c>
      <c r="I24" s="48">
        <f t="shared" si="3"/>
        <v>1</v>
      </c>
      <c r="J24" s="49">
        <v>19</v>
      </c>
      <c r="K24" s="50">
        <f t="shared" si="2"/>
        <v>19</v>
      </c>
      <c r="L24" s="3" t="s">
        <v>14</v>
      </c>
      <c r="M24" s="48"/>
    </row>
    <row r="25" s="37" customFormat="1" spans="1:13">
      <c r="A25" s="44">
        <v>45402</v>
      </c>
      <c r="B25" s="45">
        <v>67</v>
      </c>
      <c r="C25" s="66" t="s">
        <v>15</v>
      </c>
      <c r="D25" s="66"/>
      <c r="E25" s="66"/>
      <c r="F25" s="63" t="s">
        <v>16</v>
      </c>
      <c r="G25" s="64">
        <v>5</v>
      </c>
      <c r="H25" s="48">
        <v>10</v>
      </c>
      <c r="I25" s="48">
        <f t="shared" si="3"/>
        <v>50</v>
      </c>
      <c r="J25" s="49">
        <v>19</v>
      </c>
      <c r="K25" s="50">
        <f t="shared" si="2"/>
        <v>950</v>
      </c>
      <c r="L25" s="65" t="s">
        <v>17</v>
      </c>
      <c r="M25" s="48">
        <f>SUM(K12:K25)</f>
        <v>2643.5</v>
      </c>
    </row>
    <row r="26" s="39" customFormat="1" spans="1:13">
      <c r="A26" s="54">
        <v>45409</v>
      </c>
      <c r="B26" s="55">
        <v>96</v>
      </c>
      <c r="C26" s="46" t="s">
        <v>21</v>
      </c>
      <c r="D26" s="46"/>
      <c r="E26" s="46"/>
      <c r="F26" s="57" t="s">
        <v>22</v>
      </c>
      <c r="G26" s="58">
        <v>5</v>
      </c>
      <c r="H26" s="59">
        <v>28</v>
      </c>
      <c r="I26" s="59">
        <f t="shared" si="3"/>
        <v>140</v>
      </c>
      <c r="J26" s="60">
        <v>10</v>
      </c>
      <c r="K26" s="61">
        <f t="shared" si="2"/>
        <v>1400</v>
      </c>
      <c r="L26" s="110">
        <v>9804</v>
      </c>
      <c r="M26" s="59"/>
    </row>
    <row r="27" s="39" customFormat="1" spans="1:13">
      <c r="A27" s="54">
        <v>45409</v>
      </c>
      <c r="B27" s="55">
        <v>96</v>
      </c>
      <c r="C27" s="46">
        <v>4027</v>
      </c>
      <c r="D27" s="46"/>
      <c r="E27" s="46"/>
      <c r="F27" s="57" t="s">
        <v>53</v>
      </c>
      <c r="G27" s="58">
        <v>2</v>
      </c>
      <c r="H27" s="59">
        <v>25</v>
      </c>
      <c r="I27" s="59">
        <f t="shared" si="3"/>
        <v>50</v>
      </c>
      <c r="J27" s="60">
        <v>19</v>
      </c>
      <c r="K27" s="61">
        <f t="shared" ref="K27:K37" si="4">I27*J27</f>
        <v>950</v>
      </c>
      <c r="L27" s="62"/>
      <c r="M27" s="59"/>
    </row>
    <row r="28" s="39" customFormat="1" spans="1:13">
      <c r="A28" s="54">
        <v>45409</v>
      </c>
      <c r="B28" s="55">
        <v>96</v>
      </c>
      <c r="C28" s="46" t="s">
        <v>54</v>
      </c>
      <c r="D28" s="46"/>
      <c r="E28" s="46"/>
      <c r="F28" s="57" t="s">
        <v>55</v>
      </c>
      <c r="G28" s="58">
        <v>1</v>
      </c>
      <c r="H28" s="59">
        <v>21</v>
      </c>
      <c r="I28" s="59">
        <f t="shared" si="3"/>
        <v>21</v>
      </c>
      <c r="J28" s="74">
        <v>24</v>
      </c>
      <c r="K28" s="61">
        <f t="shared" si="4"/>
        <v>504</v>
      </c>
      <c r="L28" s="62"/>
      <c r="M28" s="59"/>
    </row>
    <row r="29" s="39" customFormat="1" spans="1:13">
      <c r="A29" s="54">
        <v>45409</v>
      </c>
      <c r="B29" s="55">
        <v>96</v>
      </c>
      <c r="C29" s="46" t="s">
        <v>56</v>
      </c>
      <c r="D29" s="46"/>
      <c r="E29" s="46"/>
      <c r="F29" s="57" t="s">
        <v>57</v>
      </c>
      <c r="G29" s="58">
        <v>1</v>
      </c>
      <c r="H29" s="59">
        <v>4</v>
      </c>
      <c r="I29" s="59">
        <f t="shared" si="3"/>
        <v>4</v>
      </c>
      <c r="J29" s="60">
        <v>19</v>
      </c>
      <c r="K29" s="61">
        <f t="shared" si="4"/>
        <v>76</v>
      </c>
      <c r="L29" s="62"/>
      <c r="M29" s="59"/>
    </row>
    <row r="30" s="39" customFormat="1" spans="1:13">
      <c r="A30" s="54">
        <v>45409</v>
      </c>
      <c r="B30" s="55">
        <v>96</v>
      </c>
      <c r="C30" s="46"/>
      <c r="D30" s="46"/>
      <c r="E30" s="46"/>
      <c r="F30" s="57" t="s">
        <v>58</v>
      </c>
      <c r="G30" s="58">
        <v>1</v>
      </c>
      <c r="H30" s="59">
        <v>4</v>
      </c>
      <c r="I30" s="59">
        <f t="shared" si="3"/>
        <v>4</v>
      </c>
      <c r="J30" s="60">
        <v>19</v>
      </c>
      <c r="K30" s="61">
        <f t="shared" si="4"/>
        <v>76</v>
      </c>
      <c r="L30" s="62"/>
      <c r="M30" s="59"/>
    </row>
    <row r="31" s="39" customFormat="1" spans="1:13">
      <c r="A31" s="54">
        <v>45409</v>
      </c>
      <c r="B31" s="55">
        <v>96</v>
      </c>
      <c r="C31" s="46" t="s">
        <v>15</v>
      </c>
      <c r="D31" s="46"/>
      <c r="E31" s="46"/>
      <c r="F31" s="57" t="s">
        <v>16</v>
      </c>
      <c r="G31" s="58">
        <v>3</v>
      </c>
      <c r="H31" s="59">
        <v>10</v>
      </c>
      <c r="I31" s="59">
        <f t="shared" si="3"/>
        <v>30</v>
      </c>
      <c r="J31" s="60">
        <v>19</v>
      </c>
      <c r="K31" s="61">
        <f t="shared" si="4"/>
        <v>570</v>
      </c>
      <c r="L31" s="67" t="s">
        <v>17</v>
      </c>
      <c r="M31" s="59"/>
    </row>
    <row r="32" s="39" customFormat="1" spans="1:13">
      <c r="A32" s="54">
        <v>45409</v>
      </c>
      <c r="B32" s="55">
        <v>96</v>
      </c>
      <c r="C32" s="46" t="s">
        <v>59</v>
      </c>
      <c r="D32" s="46"/>
      <c r="E32" s="46"/>
      <c r="F32" s="57" t="s">
        <v>60</v>
      </c>
      <c r="G32" s="58">
        <v>1</v>
      </c>
      <c r="H32" s="59">
        <v>180</v>
      </c>
      <c r="I32" s="59">
        <f t="shared" si="3"/>
        <v>180</v>
      </c>
      <c r="J32" s="74">
        <v>6.5</v>
      </c>
      <c r="K32" s="61">
        <f t="shared" si="4"/>
        <v>1170</v>
      </c>
      <c r="L32" s="67" t="s">
        <v>61</v>
      </c>
      <c r="M32" s="59"/>
    </row>
    <row r="33" s="39" customFormat="1" spans="1:14">
      <c r="A33" s="54">
        <v>45409</v>
      </c>
      <c r="B33" s="55">
        <v>96</v>
      </c>
      <c r="C33" s="46" t="s">
        <v>62</v>
      </c>
      <c r="D33" s="46"/>
      <c r="E33" s="46"/>
      <c r="F33" s="57" t="s">
        <v>63</v>
      </c>
      <c r="G33" s="58">
        <v>1</v>
      </c>
      <c r="H33" s="59">
        <v>180</v>
      </c>
      <c r="I33" s="59">
        <f t="shared" si="3"/>
        <v>180</v>
      </c>
      <c r="J33" s="74">
        <v>8</v>
      </c>
      <c r="K33" s="61">
        <f t="shared" si="4"/>
        <v>1440</v>
      </c>
      <c r="L33" s="67" t="s">
        <v>64</v>
      </c>
      <c r="M33" s="59">
        <f>SUM(K26:K33)</f>
        <v>6186</v>
      </c>
    </row>
    <row r="34" s="37" customFormat="1" spans="1:14">
      <c r="A34" s="44">
        <v>45421</v>
      </c>
      <c r="B34" s="45">
        <v>15</v>
      </c>
      <c r="C34" s="66" t="s">
        <v>21</v>
      </c>
      <c r="D34" s="66"/>
      <c r="E34" s="66"/>
      <c r="F34" s="63" t="s">
        <v>22</v>
      </c>
      <c r="G34" s="64">
        <v>5</v>
      </c>
      <c r="H34" s="48">
        <v>28</v>
      </c>
      <c r="I34" s="48">
        <f t="shared" si="3"/>
        <v>140</v>
      </c>
      <c r="J34" s="49">
        <v>10</v>
      </c>
      <c r="K34" s="50">
        <f t="shared" si="4"/>
        <v>1400</v>
      </c>
      <c r="L34" s="112">
        <v>9804</v>
      </c>
      <c r="M34" s="48"/>
    </row>
    <row r="35" s="37" customFormat="1" spans="1:14">
      <c r="A35" s="44">
        <v>45421</v>
      </c>
      <c r="B35" s="45">
        <v>15</v>
      </c>
      <c r="C35" s="66" t="s">
        <v>65</v>
      </c>
      <c r="D35" s="66"/>
      <c r="E35" s="66"/>
      <c r="F35" s="63" t="s">
        <v>66</v>
      </c>
      <c r="G35" s="64">
        <v>1</v>
      </c>
      <c r="H35" s="48">
        <v>180</v>
      </c>
      <c r="I35" s="48">
        <f t="shared" si="3"/>
        <v>180</v>
      </c>
      <c r="J35" s="49">
        <v>11</v>
      </c>
      <c r="K35" s="50">
        <f t="shared" si="4"/>
        <v>1980</v>
      </c>
      <c r="L35" s="65" t="s">
        <v>64</v>
      </c>
      <c r="M35" s="48">
        <f>SUM(K34:K35)</f>
        <v>3380</v>
      </c>
    </row>
    <row r="36" s="39" customFormat="1" spans="1:14">
      <c r="A36" s="54">
        <v>45422</v>
      </c>
      <c r="B36" s="55">
        <v>18</v>
      </c>
      <c r="C36" s="46" t="s">
        <v>67</v>
      </c>
      <c r="D36" s="46"/>
      <c r="E36" s="46"/>
      <c r="F36" s="57" t="s">
        <v>42</v>
      </c>
      <c r="G36" s="58">
        <v>1</v>
      </c>
      <c r="H36" s="59">
        <v>25</v>
      </c>
      <c r="I36" s="59">
        <f t="shared" si="3"/>
        <v>25</v>
      </c>
      <c r="J36" s="60">
        <v>19</v>
      </c>
      <c r="K36" s="61">
        <f t="shared" si="4"/>
        <v>475</v>
      </c>
      <c r="L36" s="62" t="s">
        <v>68</v>
      </c>
      <c r="M36" s="59"/>
    </row>
    <row r="37" s="39" customFormat="1" spans="1:14">
      <c r="A37" s="54">
        <v>45422</v>
      </c>
      <c r="B37" s="55">
        <v>18</v>
      </c>
      <c r="C37" s="46" t="s">
        <v>15</v>
      </c>
      <c r="D37" s="46"/>
      <c r="E37" s="46"/>
      <c r="F37" s="57" t="s">
        <v>16</v>
      </c>
      <c r="G37" s="58">
        <v>1</v>
      </c>
      <c r="H37" s="59">
        <v>10</v>
      </c>
      <c r="I37" s="59">
        <f t="shared" si="3"/>
        <v>10</v>
      </c>
      <c r="J37" s="60">
        <v>19</v>
      </c>
      <c r="K37" s="61">
        <f t="shared" si="4"/>
        <v>190</v>
      </c>
      <c r="L37" s="67" t="s">
        <v>17</v>
      </c>
      <c r="M37" s="59"/>
    </row>
    <row r="38" s="37" customFormat="1" spans="1:14">
      <c r="A38" s="54">
        <v>45422</v>
      </c>
      <c r="B38" s="55">
        <v>18</v>
      </c>
      <c r="C38" s="46" t="s">
        <v>15</v>
      </c>
      <c r="D38" s="46"/>
      <c r="E38" s="46"/>
      <c r="F38" s="63" t="s">
        <v>69</v>
      </c>
      <c r="G38" s="64">
        <v>1</v>
      </c>
      <c r="H38" s="48">
        <v>3</v>
      </c>
      <c r="I38" s="59">
        <f t="shared" si="3"/>
        <v>3</v>
      </c>
      <c r="J38" s="49"/>
      <c r="K38" s="50"/>
      <c r="L38" s="65"/>
      <c r="M38" s="48">
        <f>SUM(K36:K38)</f>
        <v>665</v>
      </c>
    </row>
    <row r="39" s="37" customFormat="1" spans="1:14">
      <c r="A39" s="44">
        <v>45427</v>
      </c>
      <c r="B39" s="45">
        <v>40</v>
      </c>
      <c r="C39" s="66">
        <v>240515</v>
      </c>
      <c r="D39" s="66"/>
      <c r="E39" s="66"/>
      <c r="F39" s="63" t="s">
        <v>70</v>
      </c>
      <c r="G39" s="64">
        <v>2</v>
      </c>
      <c r="H39" s="48">
        <v>25</v>
      </c>
      <c r="I39" s="48">
        <f t="shared" si="3"/>
        <v>50</v>
      </c>
      <c r="J39" s="49">
        <v>19</v>
      </c>
      <c r="K39" s="50">
        <f t="shared" ref="K39:K49" si="5">I39*J39</f>
        <v>950</v>
      </c>
      <c r="L39" s="3"/>
      <c r="M39" s="48"/>
    </row>
    <row r="40" s="37" customFormat="1" spans="1:14">
      <c r="A40" s="44">
        <v>45427</v>
      </c>
      <c r="B40" s="45">
        <v>40</v>
      </c>
      <c r="C40" s="66" t="s">
        <v>15</v>
      </c>
      <c r="D40" s="66"/>
      <c r="E40" s="66"/>
      <c r="F40" s="63" t="s">
        <v>16</v>
      </c>
      <c r="G40" s="64">
        <v>2</v>
      </c>
      <c r="H40" s="48">
        <v>10</v>
      </c>
      <c r="I40" s="48">
        <f t="shared" si="3"/>
        <v>20</v>
      </c>
      <c r="J40" s="49">
        <v>19</v>
      </c>
      <c r="K40" s="50">
        <f t="shared" si="5"/>
        <v>380</v>
      </c>
      <c r="L40" s="65" t="s">
        <v>17</v>
      </c>
      <c r="M40" s="48"/>
    </row>
    <row r="41" s="39" customFormat="1" spans="1:14">
      <c r="A41" s="54">
        <v>45427</v>
      </c>
      <c r="B41" s="55"/>
      <c r="C41" s="46" t="s">
        <v>71</v>
      </c>
      <c r="D41" s="46"/>
      <c r="E41" s="46"/>
      <c r="F41" s="57" t="s">
        <v>72</v>
      </c>
      <c r="G41" s="58">
        <v>1</v>
      </c>
      <c r="H41" s="59">
        <v>1</v>
      </c>
      <c r="I41" s="59">
        <f t="shared" si="3"/>
        <v>1</v>
      </c>
      <c r="J41" s="60"/>
      <c r="K41" s="61">
        <f t="shared" si="5"/>
        <v>0</v>
      </c>
      <c r="L41" s="67" t="s">
        <v>73</v>
      </c>
      <c r="M41" s="59"/>
    </row>
    <row r="42" s="39" customFormat="1" spans="1:14">
      <c r="A42" s="54">
        <v>45427</v>
      </c>
      <c r="B42" s="55"/>
      <c r="C42" s="46" t="s">
        <v>74</v>
      </c>
      <c r="D42" s="46"/>
      <c r="E42" s="46"/>
      <c r="F42" s="57" t="s">
        <v>75</v>
      </c>
      <c r="G42" s="58">
        <v>1</v>
      </c>
      <c r="H42" s="59">
        <v>2</v>
      </c>
      <c r="I42" s="59">
        <f t="shared" si="3"/>
        <v>2</v>
      </c>
      <c r="J42" s="60">
        <v>19</v>
      </c>
      <c r="K42" s="61">
        <f t="shared" si="5"/>
        <v>38</v>
      </c>
      <c r="L42" s="67" t="s">
        <v>73</v>
      </c>
      <c r="M42" s="59"/>
    </row>
    <row r="43" s="39" customFormat="1" spans="1:14">
      <c r="A43" s="54">
        <v>45427</v>
      </c>
      <c r="B43" s="55"/>
      <c r="C43" s="46">
        <v>99006</v>
      </c>
      <c r="D43" s="46"/>
      <c r="E43" s="46"/>
      <c r="F43" s="57" t="s">
        <v>44</v>
      </c>
      <c r="G43" s="58">
        <v>1</v>
      </c>
      <c r="H43" s="59">
        <v>2</v>
      </c>
      <c r="I43" s="59">
        <f t="shared" si="3"/>
        <v>2</v>
      </c>
      <c r="J43" s="60">
        <v>19</v>
      </c>
      <c r="K43" s="61">
        <f t="shared" si="5"/>
        <v>38</v>
      </c>
      <c r="L43" s="67">
        <f>SUM(K41:K43)</f>
        <v>76</v>
      </c>
      <c r="M43" s="67" t="s">
        <v>73</v>
      </c>
    </row>
    <row r="44" s="37" customFormat="1" spans="1:14">
      <c r="A44" s="44">
        <v>45434</v>
      </c>
      <c r="B44" s="45">
        <v>67</v>
      </c>
      <c r="C44" s="66"/>
      <c r="D44" s="66"/>
      <c r="E44" s="66"/>
      <c r="F44" s="63" t="s">
        <v>76</v>
      </c>
      <c r="G44" s="64">
        <v>2</v>
      </c>
      <c r="H44" s="48">
        <v>25</v>
      </c>
      <c r="I44" s="48">
        <f t="shared" si="3"/>
        <v>50</v>
      </c>
      <c r="J44" s="49">
        <v>19</v>
      </c>
      <c r="K44" s="50">
        <f t="shared" si="5"/>
        <v>950</v>
      </c>
      <c r="L44" s="3" t="s">
        <v>77</v>
      </c>
      <c r="M44" s="48"/>
      <c r="N44" s="37" t="s">
        <v>78</v>
      </c>
    </row>
    <row r="45" s="37" customFormat="1" spans="1:14">
      <c r="A45" s="44">
        <v>45434</v>
      </c>
      <c r="B45" s="45">
        <v>67</v>
      </c>
      <c r="C45" s="66" t="s">
        <v>15</v>
      </c>
      <c r="D45" s="66"/>
      <c r="E45" s="66"/>
      <c r="F45" s="63" t="s">
        <v>16</v>
      </c>
      <c r="G45" s="64">
        <v>2</v>
      </c>
      <c r="H45" s="48">
        <v>10</v>
      </c>
      <c r="I45" s="48">
        <f t="shared" ref="I45:I70" si="6">G45*H45</f>
        <v>20</v>
      </c>
      <c r="J45" s="49">
        <v>19</v>
      </c>
      <c r="K45" s="50">
        <f t="shared" ref="K45:K55" si="7">I45*J45</f>
        <v>380</v>
      </c>
      <c r="L45" s="65" t="s">
        <v>17</v>
      </c>
      <c r="M45" s="48"/>
    </row>
    <row r="46" s="37" customFormat="1" spans="1:14">
      <c r="A46" s="44">
        <v>45434</v>
      </c>
      <c r="B46" s="45">
        <v>67</v>
      </c>
      <c r="C46" s="66" t="s">
        <v>74</v>
      </c>
      <c r="D46" s="66"/>
      <c r="E46" s="66"/>
      <c r="F46" s="63" t="s">
        <v>75</v>
      </c>
      <c r="G46" s="64">
        <v>1</v>
      </c>
      <c r="H46" s="48">
        <v>3</v>
      </c>
      <c r="I46" s="48">
        <f t="shared" si="6"/>
        <v>3</v>
      </c>
      <c r="J46" s="49">
        <v>19</v>
      </c>
      <c r="K46" s="50">
        <f t="shared" si="7"/>
        <v>57</v>
      </c>
      <c r="L46" s="65" t="s">
        <v>73</v>
      </c>
      <c r="M46" s="48"/>
    </row>
    <row r="47" s="37" customFormat="1" spans="1:14">
      <c r="A47" s="44">
        <v>45434</v>
      </c>
      <c r="B47" s="45">
        <v>67</v>
      </c>
      <c r="C47" s="66">
        <v>99006</v>
      </c>
      <c r="D47" s="66"/>
      <c r="E47" s="66"/>
      <c r="F47" s="63" t="s">
        <v>44</v>
      </c>
      <c r="G47" s="64">
        <v>1</v>
      </c>
      <c r="H47" s="48">
        <v>3</v>
      </c>
      <c r="I47" s="48">
        <f t="shared" si="6"/>
        <v>3</v>
      </c>
      <c r="J47" s="49">
        <v>19</v>
      </c>
      <c r="K47" s="50">
        <f t="shared" si="7"/>
        <v>57</v>
      </c>
      <c r="L47" s="65"/>
      <c r="M47" s="65" t="s">
        <v>73</v>
      </c>
    </row>
    <row r="48" s="37" customFormat="1" spans="1:14">
      <c r="A48" s="44">
        <v>45434</v>
      </c>
      <c r="B48" s="45">
        <v>67</v>
      </c>
      <c r="C48" s="66" t="s">
        <v>79</v>
      </c>
      <c r="D48" s="66"/>
      <c r="E48" s="66"/>
      <c r="F48" s="63" t="s">
        <v>42</v>
      </c>
      <c r="G48" s="64">
        <v>1</v>
      </c>
      <c r="H48" s="48">
        <v>26</v>
      </c>
      <c r="I48" s="48">
        <f t="shared" si="6"/>
        <v>26</v>
      </c>
      <c r="J48" s="49">
        <v>19</v>
      </c>
      <c r="K48" s="50">
        <f t="shared" si="7"/>
        <v>494</v>
      </c>
      <c r="L48" s="65" t="s">
        <v>68</v>
      </c>
      <c r="M48" s="65" t="s">
        <v>73</v>
      </c>
    </row>
    <row r="49" s="37" customFormat="1" spans="1:13">
      <c r="A49" s="44">
        <v>45434</v>
      </c>
      <c r="B49" s="45">
        <v>67</v>
      </c>
      <c r="C49" s="66" t="s">
        <v>80</v>
      </c>
      <c r="D49" s="66"/>
      <c r="E49" s="66"/>
      <c r="F49" s="63" t="s">
        <v>81</v>
      </c>
      <c r="G49" s="64">
        <v>1</v>
      </c>
      <c r="H49" s="48">
        <v>10</v>
      </c>
      <c r="I49" s="48">
        <f t="shared" si="6"/>
        <v>10</v>
      </c>
      <c r="J49" s="74">
        <v>18</v>
      </c>
      <c r="K49" s="50">
        <f t="shared" si="7"/>
        <v>180</v>
      </c>
      <c r="L49" s="65" t="s">
        <v>82</v>
      </c>
      <c r="M49" s="65"/>
    </row>
    <row r="50" s="37" customFormat="1" spans="1:13">
      <c r="A50" s="44">
        <v>45434</v>
      </c>
      <c r="B50" s="45">
        <v>67</v>
      </c>
      <c r="C50" s="66" t="s">
        <v>29</v>
      </c>
      <c r="D50" s="66"/>
      <c r="E50" s="66"/>
      <c r="F50" s="63" t="s">
        <v>30</v>
      </c>
      <c r="G50" s="64">
        <v>4</v>
      </c>
      <c r="H50" s="48">
        <v>10</v>
      </c>
      <c r="I50" s="48">
        <f t="shared" si="6"/>
        <v>40</v>
      </c>
      <c r="J50" s="49">
        <v>16.5</v>
      </c>
      <c r="K50" s="50">
        <f t="shared" si="7"/>
        <v>660</v>
      </c>
      <c r="L50" s="3" t="s">
        <v>31</v>
      </c>
      <c r="M50" s="48"/>
    </row>
    <row r="51" s="37" customFormat="1" spans="1:13">
      <c r="A51" s="44">
        <v>45434</v>
      </c>
      <c r="B51" s="45">
        <v>67</v>
      </c>
      <c r="C51" s="66"/>
      <c r="D51" s="66"/>
      <c r="E51" s="66"/>
      <c r="F51" s="63" t="s">
        <v>83</v>
      </c>
      <c r="G51" s="64">
        <v>1</v>
      </c>
      <c r="H51" s="48">
        <v>3</v>
      </c>
      <c r="I51" s="48">
        <f t="shared" si="6"/>
        <v>3</v>
      </c>
      <c r="J51" s="49">
        <v>35</v>
      </c>
      <c r="K51" s="50">
        <f t="shared" si="7"/>
        <v>105</v>
      </c>
      <c r="L51" s="65"/>
      <c r="M51" s="65">
        <f>SUM(K44:K51)</f>
        <v>2883</v>
      </c>
    </row>
    <row r="52" s="39" customFormat="1" spans="1:13">
      <c r="A52" s="54">
        <v>45436</v>
      </c>
      <c r="B52" s="55">
        <v>72</v>
      </c>
      <c r="C52" s="46" t="s">
        <v>84</v>
      </c>
      <c r="D52" s="46"/>
      <c r="E52" s="46"/>
      <c r="F52" s="57" t="s">
        <v>85</v>
      </c>
      <c r="G52" s="58">
        <v>1</v>
      </c>
      <c r="H52" s="59">
        <v>24</v>
      </c>
      <c r="I52" s="59">
        <f t="shared" si="6"/>
        <v>24</v>
      </c>
      <c r="J52" s="60">
        <v>19</v>
      </c>
      <c r="K52" s="61">
        <f t="shared" si="7"/>
        <v>456</v>
      </c>
      <c r="L52" s="62" t="s">
        <v>14</v>
      </c>
      <c r="M52" s="59"/>
    </row>
    <row r="53" s="39" customFormat="1" spans="1:13">
      <c r="A53" s="54">
        <v>45436</v>
      </c>
      <c r="B53" s="55">
        <v>72</v>
      </c>
      <c r="C53" s="46" t="s">
        <v>86</v>
      </c>
      <c r="D53" s="46"/>
      <c r="E53" s="46"/>
      <c r="F53" s="57" t="s">
        <v>87</v>
      </c>
      <c r="G53" s="58">
        <v>1</v>
      </c>
      <c r="H53" s="59">
        <v>25</v>
      </c>
      <c r="I53" s="59">
        <f t="shared" si="6"/>
        <v>25</v>
      </c>
      <c r="J53" s="60">
        <v>19</v>
      </c>
      <c r="K53" s="61">
        <f t="shared" si="7"/>
        <v>475</v>
      </c>
      <c r="M53" s="59"/>
    </row>
    <row r="54" s="39" customFormat="1" spans="1:13">
      <c r="A54" s="54">
        <v>45436</v>
      </c>
      <c r="B54" s="55">
        <v>72</v>
      </c>
      <c r="C54" s="46" t="s">
        <v>54</v>
      </c>
      <c r="D54" s="46"/>
      <c r="E54" s="46"/>
      <c r="F54" s="57" t="s">
        <v>55</v>
      </c>
      <c r="G54" s="58">
        <v>1</v>
      </c>
      <c r="H54" s="59"/>
      <c r="I54" s="59">
        <f t="shared" si="6"/>
        <v>0</v>
      </c>
      <c r="J54" s="60">
        <v>24</v>
      </c>
      <c r="K54" s="61"/>
      <c r="L54" s="62" t="s">
        <v>88</v>
      </c>
      <c r="M54" s="59"/>
    </row>
    <row r="55" s="39" customFormat="1" spans="1:13">
      <c r="A55" s="54">
        <v>45436</v>
      </c>
      <c r="B55" s="55">
        <v>72</v>
      </c>
      <c r="C55" s="46" t="s">
        <v>15</v>
      </c>
      <c r="D55" s="46"/>
      <c r="E55" s="46"/>
      <c r="F55" s="57" t="s">
        <v>16</v>
      </c>
      <c r="G55" s="58">
        <v>2</v>
      </c>
      <c r="H55" s="59">
        <v>10</v>
      </c>
      <c r="I55" s="59">
        <f t="shared" si="6"/>
        <v>20</v>
      </c>
      <c r="J55" s="60">
        <v>19</v>
      </c>
      <c r="K55" s="61">
        <f t="shared" ref="K55:K70" si="8">I55*J55</f>
        <v>380</v>
      </c>
      <c r="L55" s="62" t="s">
        <v>17</v>
      </c>
      <c r="M55" s="59">
        <f>SUM(K52:K55)</f>
        <v>1311</v>
      </c>
    </row>
    <row r="56" s="37" customFormat="1" spans="1:13">
      <c r="A56" s="44">
        <v>45437</v>
      </c>
      <c r="B56" s="45">
        <v>75</v>
      </c>
      <c r="C56" s="66" t="s">
        <v>89</v>
      </c>
      <c r="D56" s="66"/>
      <c r="E56" s="66"/>
      <c r="F56" s="63" t="s">
        <v>90</v>
      </c>
      <c r="G56" s="64">
        <v>1</v>
      </c>
      <c r="H56" s="48">
        <v>10</v>
      </c>
      <c r="I56" s="48">
        <f t="shared" si="6"/>
        <v>10</v>
      </c>
      <c r="J56" s="49">
        <v>18</v>
      </c>
      <c r="K56" s="50">
        <f t="shared" si="8"/>
        <v>180</v>
      </c>
      <c r="L56" s="65" t="s">
        <v>91</v>
      </c>
      <c r="M56" s="65"/>
    </row>
    <row r="57" s="37" customFormat="1" spans="1:13">
      <c r="A57" s="44">
        <v>45437</v>
      </c>
      <c r="B57" s="45">
        <v>75</v>
      </c>
      <c r="C57" s="111" t="s">
        <v>92</v>
      </c>
      <c r="D57" s="66"/>
      <c r="E57" s="66"/>
      <c r="F57" s="63" t="s">
        <v>93</v>
      </c>
      <c r="G57" s="64">
        <v>1</v>
      </c>
      <c r="H57" s="48">
        <v>11</v>
      </c>
      <c r="I57" s="48">
        <f t="shared" si="6"/>
        <v>11</v>
      </c>
      <c r="J57" s="49">
        <v>24</v>
      </c>
      <c r="K57" s="50">
        <f t="shared" si="8"/>
        <v>264</v>
      </c>
      <c r="L57" s="3" t="s">
        <v>94</v>
      </c>
      <c r="M57" s="48">
        <f>SUM(K56:K57)</f>
        <v>444</v>
      </c>
    </row>
    <row r="58" s="39" customFormat="1" spans="1:13">
      <c r="A58" s="54">
        <v>45441</v>
      </c>
      <c r="B58" s="55">
        <v>82</v>
      </c>
      <c r="C58" s="80" t="s">
        <v>95</v>
      </c>
      <c r="D58" s="80"/>
      <c r="E58" s="80"/>
      <c r="F58" s="57" t="s">
        <v>24</v>
      </c>
      <c r="G58" s="58">
        <v>2</v>
      </c>
      <c r="H58" s="59">
        <v>22</v>
      </c>
      <c r="I58" s="59">
        <f t="shared" si="6"/>
        <v>44</v>
      </c>
      <c r="J58" s="60">
        <v>19</v>
      </c>
      <c r="K58" s="61">
        <f t="shared" si="8"/>
        <v>836</v>
      </c>
      <c r="L58" s="67"/>
      <c r="M58" s="67" t="s">
        <v>73</v>
      </c>
    </row>
    <row r="59" s="39" customFormat="1" spans="1:13">
      <c r="A59" s="54">
        <v>45441</v>
      </c>
      <c r="B59" s="55">
        <v>82</v>
      </c>
      <c r="C59" s="80" t="s">
        <v>96</v>
      </c>
      <c r="D59" s="80"/>
      <c r="E59" s="80"/>
      <c r="F59" s="57" t="s">
        <v>97</v>
      </c>
      <c r="G59" s="58">
        <v>1</v>
      </c>
      <c r="H59" s="59">
        <v>5</v>
      </c>
      <c r="I59" s="59">
        <f t="shared" si="6"/>
        <v>5</v>
      </c>
      <c r="J59" s="60">
        <v>19</v>
      </c>
      <c r="K59" s="61">
        <f t="shared" si="8"/>
        <v>95</v>
      </c>
      <c r="L59" s="67" t="s">
        <v>68</v>
      </c>
      <c r="M59" s="67" t="s">
        <v>73</v>
      </c>
    </row>
    <row r="60" s="39" customFormat="1" spans="1:13">
      <c r="A60" s="54">
        <v>45441</v>
      </c>
      <c r="B60" s="55">
        <v>82</v>
      </c>
      <c r="C60" s="46" t="s">
        <v>15</v>
      </c>
      <c r="D60" s="46"/>
      <c r="E60" s="46"/>
      <c r="F60" s="57" t="s">
        <v>16</v>
      </c>
      <c r="G60" s="58">
        <v>2</v>
      </c>
      <c r="H60" s="59">
        <v>10</v>
      </c>
      <c r="I60" s="59">
        <f t="shared" si="6"/>
        <v>20</v>
      </c>
      <c r="J60" s="60">
        <v>19</v>
      </c>
      <c r="K60" s="61">
        <f t="shared" si="8"/>
        <v>380</v>
      </c>
      <c r="L60" s="67" t="s">
        <v>17</v>
      </c>
      <c r="M60" s="59"/>
    </row>
    <row r="61" s="109" customFormat="1" spans="1:13">
      <c r="A61" s="113">
        <v>45442</v>
      </c>
      <c r="B61" s="114">
        <v>85</v>
      </c>
      <c r="C61" s="86" t="s">
        <v>98</v>
      </c>
      <c r="D61" s="86"/>
      <c r="E61" s="86"/>
      <c r="F61" s="115" t="s">
        <v>99</v>
      </c>
      <c r="G61" s="116">
        <v>1</v>
      </c>
      <c r="H61" s="89">
        <v>13</v>
      </c>
      <c r="I61" s="89">
        <f t="shared" si="6"/>
        <v>13</v>
      </c>
      <c r="J61" s="117">
        <v>23</v>
      </c>
      <c r="K61" s="118">
        <f t="shared" si="8"/>
        <v>299</v>
      </c>
      <c r="L61" s="87" t="s">
        <v>100</v>
      </c>
      <c r="M61" s="87"/>
    </row>
    <row r="62" s="109" customFormat="1" spans="1:13">
      <c r="A62" s="113">
        <v>45442</v>
      </c>
      <c r="B62" s="114">
        <v>85</v>
      </c>
      <c r="C62" s="86" t="s">
        <v>101</v>
      </c>
      <c r="D62" s="86"/>
      <c r="E62" s="86"/>
      <c r="F62" s="115" t="s">
        <v>102</v>
      </c>
      <c r="G62" s="116">
        <v>1</v>
      </c>
      <c r="H62" s="89">
        <v>11</v>
      </c>
      <c r="I62" s="89">
        <f t="shared" si="6"/>
        <v>11</v>
      </c>
      <c r="J62" s="117">
        <v>23</v>
      </c>
      <c r="K62" s="118">
        <f t="shared" si="8"/>
        <v>253</v>
      </c>
      <c r="L62" s="87" t="s">
        <v>103</v>
      </c>
      <c r="M62" s="65">
        <f t="shared" ref="M62:M66" si="9">SUM(K61:K62)</f>
        <v>552</v>
      </c>
    </row>
    <row r="63" s="37" customFormat="1" spans="1:13">
      <c r="A63" s="44">
        <v>45448</v>
      </c>
      <c r="B63" s="45">
        <v>12</v>
      </c>
      <c r="C63" s="66" t="s">
        <v>59</v>
      </c>
      <c r="D63" s="66"/>
      <c r="E63" s="66"/>
      <c r="F63" s="63" t="s">
        <v>60</v>
      </c>
      <c r="G63" s="64">
        <v>1</v>
      </c>
      <c r="H63" s="48">
        <v>180</v>
      </c>
      <c r="I63" s="48">
        <f t="shared" si="6"/>
        <v>180</v>
      </c>
      <c r="J63" s="49">
        <v>6.5</v>
      </c>
      <c r="K63" s="50">
        <f t="shared" si="8"/>
        <v>1170</v>
      </c>
      <c r="L63" s="65" t="s">
        <v>61</v>
      </c>
      <c r="M63" s="48"/>
    </row>
    <row r="64" s="37" customFormat="1" spans="1:13">
      <c r="A64" s="44">
        <v>45448</v>
      </c>
      <c r="B64" s="45">
        <v>12</v>
      </c>
      <c r="C64" s="66" t="s">
        <v>65</v>
      </c>
      <c r="D64" s="66"/>
      <c r="E64" s="66"/>
      <c r="F64" s="63" t="s">
        <v>66</v>
      </c>
      <c r="G64" s="64">
        <v>1</v>
      </c>
      <c r="H64" s="48">
        <v>180</v>
      </c>
      <c r="I64" s="48">
        <f t="shared" si="6"/>
        <v>180</v>
      </c>
      <c r="J64" s="49">
        <v>11</v>
      </c>
      <c r="K64" s="50">
        <f t="shared" si="8"/>
        <v>1980</v>
      </c>
      <c r="L64" s="65"/>
      <c r="M64" s="48">
        <f t="shared" si="9"/>
        <v>3150</v>
      </c>
    </row>
    <row r="65" s="39" customFormat="1" spans="1:14">
      <c r="A65" s="54">
        <v>45449</v>
      </c>
      <c r="B65" s="55">
        <v>15</v>
      </c>
      <c r="C65" s="46" t="s">
        <v>98</v>
      </c>
      <c r="D65" s="46"/>
      <c r="E65" s="46"/>
      <c r="F65" s="57" t="s">
        <v>99</v>
      </c>
      <c r="G65" s="58">
        <v>1</v>
      </c>
      <c r="H65" s="59">
        <v>11</v>
      </c>
      <c r="I65" s="59">
        <f t="shared" si="6"/>
        <v>11</v>
      </c>
      <c r="J65" s="60">
        <v>23</v>
      </c>
      <c r="K65" s="61">
        <f t="shared" si="8"/>
        <v>253</v>
      </c>
      <c r="L65" s="67" t="s">
        <v>100</v>
      </c>
      <c r="M65" s="67"/>
    </row>
    <row r="66" s="39" customFormat="1" ht="21" customHeight="1" spans="1:14">
      <c r="A66" s="54">
        <v>45449</v>
      </c>
      <c r="B66" s="55">
        <v>15</v>
      </c>
      <c r="C66" s="46" t="s">
        <v>101</v>
      </c>
      <c r="D66" s="46"/>
      <c r="E66" s="46"/>
      <c r="F66" s="57" t="s">
        <v>102</v>
      </c>
      <c r="G66" s="58">
        <v>1</v>
      </c>
      <c r="H66" s="59">
        <v>11</v>
      </c>
      <c r="I66" s="59">
        <f t="shared" si="6"/>
        <v>11</v>
      </c>
      <c r="J66" s="60">
        <v>23</v>
      </c>
      <c r="K66" s="61">
        <f t="shared" si="8"/>
        <v>253</v>
      </c>
      <c r="L66" s="67" t="s">
        <v>104</v>
      </c>
      <c r="M66" s="67">
        <f t="shared" si="9"/>
        <v>506</v>
      </c>
    </row>
    <row r="67" s="39" customFormat="1" spans="1:14">
      <c r="A67" s="54">
        <v>45449</v>
      </c>
      <c r="B67" s="55">
        <v>15</v>
      </c>
      <c r="C67" s="46" t="s">
        <v>105</v>
      </c>
      <c r="D67" s="46"/>
      <c r="E67" s="46"/>
      <c r="F67" s="57" t="s">
        <v>106</v>
      </c>
      <c r="G67" s="58">
        <v>1</v>
      </c>
      <c r="H67" s="59">
        <v>26</v>
      </c>
      <c r="I67" s="59">
        <f t="shared" si="6"/>
        <v>26</v>
      </c>
      <c r="J67" s="60">
        <v>19</v>
      </c>
      <c r="K67" s="61">
        <f t="shared" si="8"/>
        <v>494</v>
      </c>
      <c r="L67" s="67" t="s">
        <v>107</v>
      </c>
      <c r="M67" s="67"/>
    </row>
    <row r="68" s="39" customFormat="1" ht="19" customHeight="1" spans="1:14">
      <c r="A68" s="54">
        <v>45449</v>
      </c>
      <c r="B68" s="55">
        <v>15</v>
      </c>
      <c r="C68" s="46">
        <v>10821</v>
      </c>
      <c r="D68" s="46"/>
      <c r="E68" s="46"/>
      <c r="F68" s="57" t="s">
        <v>108</v>
      </c>
      <c r="G68" s="58">
        <v>1</v>
      </c>
      <c r="H68" s="59">
        <v>26</v>
      </c>
      <c r="I68" s="59">
        <f t="shared" si="6"/>
        <v>26</v>
      </c>
      <c r="J68" s="60">
        <v>19</v>
      </c>
      <c r="K68" s="61">
        <f t="shared" si="8"/>
        <v>494</v>
      </c>
      <c r="L68" s="67" t="s">
        <v>109</v>
      </c>
      <c r="M68" s="67"/>
    </row>
    <row r="69" s="39" customFormat="1" spans="1:14">
      <c r="A69" s="54">
        <v>45449</v>
      </c>
      <c r="B69" s="55">
        <v>15</v>
      </c>
      <c r="C69" s="46"/>
      <c r="D69" s="46"/>
      <c r="E69" s="46"/>
      <c r="F69" s="57" t="s">
        <v>110</v>
      </c>
      <c r="G69" s="58"/>
      <c r="H69" s="59"/>
      <c r="I69" s="59"/>
      <c r="J69" s="60"/>
      <c r="K69" s="61"/>
      <c r="L69" s="67"/>
      <c r="M69" s="59">
        <f>SUM(K65:K68)</f>
        <v>1494</v>
      </c>
    </row>
    <row r="70" s="37" customFormat="1" spans="1:14">
      <c r="A70" s="44">
        <v>45450</v>
      </c>
      <c r="B70" s="45">
        <v>28</v>
      </c>
      <c r="C70" s="66" t="s">
        <v>62</v>
      </c>
      <c r="D70" s="66"/>
      <c r="E70" s="66"/>
      <c r="F70" s="63" t="s">
        <v>63</v>
      </c>
      <c r="G70" s="64">
        <v>1</v>
      </c>
      <c r="H70" s="48">
        <v>180</v>
      </c>
      <c r="I70" s="48">
        <f t="shared" ref="I70:I95" si="10">G70*H70</f>
        <v>180</v>
      </c>
      <c r="J70" s="49">
        <v>8</v>
      </c>
      <c r="K70" s="50">
        <f t="shared" ref="K70:K94" si="11">I70*J70</f>
        <v>1440</v>
      </c>
      <c r="L70" s="65" t="s">
        <v>64</v>
      </c>
      <c r="M70" s="48"/>
    </row>
    <row r="71" s="37" customFormat="1" spans="1:14">
      <c r="A71" s="44">
        <v>45450</v>
      </c>
      <c r="B71" s="45">
        <v>28</v>
      </c>
      <c r="C71" s="66" t="s">
        <v>101</v>
      </c>
      <c r="D71" s="66"/>
      <c r="E71" s="66"/>
      <c r="F71" s="63" t="s">
        <v>102</v>
      </c>
      <c r="G71" s="64">
        <v>1</v>
      </c>
      <c r="H71" s="48">
        <v>10</v>
      </c>
      <c r="I71" s="48">
        <f t="shared" si="10"/>
        <v>10</v>
      </c>
      <c r="J71" s="49"/>
      <c r="K71" s="50"/>
      <c r="L71" s="119" t="s">
        <v>111</v>
      </c>
      <c r="M71" s="65"/>
    </row>
    <row r="72" s="109" customFormat="1" spans="1:14">
      <c r="A72" s="44">
        <v>45450</v>
      </c>
      <c r="B72" s="45">
        <v>28</v>
      </c>
      <c r="C72" s="86"/>
      <c r="D72" s="86"/>
      <c r="E72" s="86"/>
      <c r="F72" s="115" t="s">
        <v>112</v>
      </c>
      <c r="G72" s="116">
        <v>1</v>
      </c>
      <c r="H72" s="89">
        <v>10</v>
      </c>
      <c r="I72" s="48">
        <f t="shared" si="10"/>
        <v>10</v>
      </c>
      <c r="J72" s="117">
        <v>20</v>
      </c>
      <c r="K72" s="50">
        <f t="shared" si="11"/>
        <v>200</v>
      </c>
      <c r="L72" s="87" t="s">
        <v>113</v>
      </c>
      <c r="M72" s="89">
        <f>SUM(K70:K72)</f>
        <v>1640</v>
      </c>
    </row>
    <row r="73" s="39" customFormat="1" spans="1:14">
      <c r="A73" s="54">
        <v>45450</v>
      </c>
      <c r="B73" s="55">
        <v>31</v>
      </c>
      <c r="C73" s="46" t="s">
        <v>54</v>
      </c>
      <c r="D73" s="46"/>
      <c r="E73" s="46"/>
      <c r="F73" s="57" t="s">
        <v>55</v>
      </c>
      <c r="G73" s="58">
        <v>1</v>
      </c>
      <c r="H73" s="59">
        <v>21</v>
      </c>
      <c r="I73" s="59">
        <f t="shared" si="10"/>
        <v>21</v>
      </c>
      <c r="J73" s="60">
        <v>24</v>
      </c>
      <c r="K73" s="61"/>
      <c r="L73" s="62" t="s">
        <v>88</v>
      </c>
      <c r="M73" s="59"/>
    </row>
    <row r="74" s="39" customFormat="1" spans="1:14">
      <c r="A74" s="54">
        <v>45450</v>
      </c>
      <c r="B74" s="55">
        <v>31</v>
      </c>
      <c r="C74" s="46" t="s">
        <v>15</v>
      </c>
      <c r="D74" s="46"/>
      <c r="E74" s="46"/>
      <c r="F74" s="57" t="s">
        <v>16</v>
      </c>
      <c r="G74" s="58">
        <v>2</v>
      </c>
      <c r="H74" s="59">
        <v>10</v>
      </c>
      <c r="I74" s="59">
        <f t="shared" si="10"/>
        <v>20</v>
      </c>
      <c r="J74" s="60">
        <v>19</v>
      </c>
      <c r="K74" s="61">
        <f t="shared" si="11"/>
        <v>380</v>
      </c>
      <c r="L74" s="67" t="s">
        <v>17</v>
      </c>
      <c r="M74" s="59"/>
    </row>
    <row r="75" s="109" customFormat="1" spans="1:14">
      <c r="A75" s="113">
        <v>45458</v>
      </c>
      <c r="B75" s="114">
        <v>40</v>
      </c>
      <c r="C75" s="86"/>
      <c r="D75" s="86"/>
      <c r="E75" s="86"/>
      <c r="F75" s="115" t="s">
        <v>102</v>
      </c>
      <c r="G75" s="116">
        <v>1</v>
      </c>
      <c r="H75" s="89">
        <v>10</v>
      </c>
      <c r="I75" s="89">
        <f t="shared" si="10"/>
        <v>10</v>
      </c>
      <c r="J75" s="117">
        <v>23</v>
      </c>
      <c r="K75" s="118">
        <f t="shared" si="11"/>
        <v>230</v>
      </c>
      <c r="L75" s="120" t="s">
        <v>114</v>
      </c>
      <c r="M75" s="65"/>
      <c r="N75" s="121" t="s">
        <v>115</v>
      </c>
    </row>
    <row r="76" s="109" customFormat="1" spans="1:14">
      <c r="A76" s="113">
        <v>45458</v>
      </c>
      <c r="B76" s="114">
        <v>40</v>
      </c>
      <c r="C76" s="86"/>
      <c r="D76" s="86"/>
      <c r="E76" s="86"/>
      <c r="F76" s="115" t="s">
        <v>112</v>
      </c>
      <c r="G76" s="116">
        <v>1</v>
      </c>
      <c r="H76" s="89">
        <v>10</v>
      </c>
      <c r="I76" s="89">
        <f t="shared" si="10"/>
        <v>10</v>
      </c>
      <c r="J76" s="117">
        <v>20</v>
      </c>
      <c r="K76" s="118">
        <f t="shared" si="11"/>
        <v>200</v>
      </c>
      <c r="L76" s="87" t="s">
        <v>116</v>
      </c>
      <c r="M76" s="76" t="s">
        <v>117</v>
      </c>
      <c r="N76" s="76"/>
    </row>
    <row r="77" s="109" customFormat="1" spans="1:14">
      <c r="A77" s="113">
        <v>45458</v>
      </c>
      <c r="B77" s="114">
        <v>40</v>
      </c>
      <c r="C77" s="86"/>
      <c r="D77" s="86"/>
      <c r="E77" s="86"/>
      <c r="F77" s="115" t="s">
        <v>118</v>
      </c>
      <c r="G77" s="116">
        <v>1</v>
      </c>
      <c r="H77" s="89">
        <v>18</v>
      </c>
      <c r="I77" s="89">
        <f t="shared" si="10"/>
        <v>18</v>
      </c>
      <c r="J77" s="117">
        <v>11</v>
      </c>
      <c r="K77" s="118">
        <f t="shared" si="11"/>
        <v>198</v>
      </c>
      <c r="L77" s="87" t="s">
        <v>119</v>
      </c>
      <c r="M77" s="89"/>
      <c r="N77" s="121" t="s">
        <v>120</v>
      </c>
    </row>
    <row r="78" s="109" customFormat="1" spans="1:14">
      <c r="A78" s="113">
        <v>45458</v>
      </c>
      <c r="B78" s="114">
        <v>40</v>
      </c>
      <c r="C78" s="86" t="s">
        <v>121</v>
      </c>
      <c r="D78" s="86"/>
      <c r="E78" s="86"/>
      <c r="F78" s="115" t="s">
        <v>102</v>
      </c>
      <c r="G78" s="116">
        <v>-1</v>
      </c>
      <c r="H78" s="89">
        <v>11</v>
      </c>
      <c r="I78" s="89">
        <f t="shared" si="10"/>
        <v>-11</v>
      </c>
      <c r="J78" s="117">
        <v>23</v>
      </c>
      <c r="K78" s="118">
        <f t="shared" si="11"/>
        <v>-253</v>
      </c>
      <c r="L78" s="87" t="s">
        <v>122</v>
      </c>
      <c r="M78" s="89"/>
    </row>
    <row r="79" s="109" customFormat="1" spans="1:14">
      <c r="A79" s="113">
        <v>45458</v>
      </c>
      <c r="B79" s="114">
        <v>40</v>
      </c>
      <c r="C79" s="86" t="s">
        <v>121</v>
      </c>
      <c r="D79" s="86"/>
      <c r="E79" s="86"/>
      <c r="F79" s="115" t="s">
        <v>112</v>
      </c>
      <c r="G79" s="116">
        <v>-1</v>
      </c>
      <c r="H79" s="89">
        <v>3</v>
      </c>
      <c r="I79" s="89">
        <f t="shared" si="10"/>
        <v>-3</v>
      </c>
      <c r="J79" s="117">
        <v>20</v>
      </c>
      <c r="K79" s="118">
        <f t="shared" si="11"/>
        <v>-60</v>
      </c>
      <c r="L79" s="87" t="s">
        <v>123</v>
      </c>
      <c r="M79" s="89">
        <f>SUM(K75:K79)</f>
        <v>315</v>
      </c>
    </row>
    <row r="80" s="39" customFormat="1" spans="1:14">
      <c r="A80" s="54">
        <v>45461</v>
      </c>
      <c r="B80" s="55">
        <v>47</v>
      </c>
      <c r="C80" s="46" t="s">
        <v>21</v>
      </c>
      <c r="D80" s="46"/>
      <c r="E80" s="46"/>
      <c r="F80" s="57" t="s">
        <v>22</v>
      </c>
      <c r="G80" s="58">
        <v>10</v>
      </c>
      <c r="H80" s="59">
        <v>28</v>
      </c>
      <c r="I80" s="59">
        <f t="shared" si="10"/>
        <v>280</v>
      </c>
      <c r="J80" s="60">
        <v>10</v>
      </c>
      <c r="K80" s="61">
        <f t="shared" si="11"/>
        <v>2800</v>
      </c>
      <c r="L80" s="110">
        <v>9804</v>
      </c>
      <c r="M80" s="59"/>
    </row>
    <row r="81" s="39" customFormat="1" spans="1:13">
      <c r="A81" s="54">
        <v>45461</v>
      </c>
      <c r="B81" s="55">
        <v>47</v>
      </c>
      <c r="C81" s="46">
        <v>4027</v>
      </c>
      <c r="D81" s="46"/>
      <c r="E81" s="46"/>
      <c r="F81" s="57" t="s">
        <v>53</v>
      </c>
      <c r="G81" s="58">
        <v>2</v>
      </c>
      <c r="H81" s="59">
        <v>26</v>
      </c>
      <c r="I81" s="59">
        <f t="shared" si="10"/>
        <v>52</v>
      </c>
      <c r="J81" s="60">
        <v>19</v>
      </c>
      <c r="K81" s="61">
        <f t="shared" si="11"/>
        <v>988</v>
      </c>
      <c r="L81" s="62"/>
      <c r="M81" s="59"/>
    </row>
    <row r="82" s="39" customFormat="1" spans="1:13">
      <c r="A82" s="54">
        <v>45461</v>
      </c>
      <c r="B82" s="55">
        <v>47</v>
      </c>
      <c r="C82" s="46" t="s">
        <v>15</v>
      </c>
      <c r="D82" s="46"/>
      <c r="E82" s="46"/>
      <c r="F82" s="57" t="s">
        <v>16</v>
      </c>
      <c r="G82" s="58">
        <v>2</v>
      </c>
      <c r="H82" s="59">
        <v>10</v>
      </c>
      <c r="I82" s="59">
        <f t="shared" si="10"/>
        <v>20</v>
      </c>
      <c r="J82" s="60">
        <v>19</v>
      </c>
      <c r="K82" s="61">
        <f t="shared" si="11"/>
        <v>380</v>
      </c>
      <c r="L82" s="67" t="s">
        <v>17</v>
      </c>
      <c r="M82" s="59">
        <f>SUM(K80:K82)</f>
        <v>4168</v>
      </c>
    </row>
    <row r="83" s="37" customFormat="1" spans="1:13">
      <c r="A83" s="44">
        <v>45467</v>
      </c>
      <c r="B83" s="45">
        <v>68</v>
      </c>
      <c r="C83" s="66" t="s">
        <v>65</v>
      </c>
      <c r="D83" s="66"/>
      <c r="E83" s="66"/>
      <c r="F83" s="63" t="s">
        <v>66</v>
      </c>
      <c r="G83" s="64">
        <v>1</v>
      </c>
      <c r="H83" s="48">
        <v>180</v>
      </c>
      <c r="I83" s="48">
        <f t="shared" si="10"/>
        <v>180</v>
      </c>
      <c r="J83" s="49">
        <v>11</v>
      </c>
      <c r="K83" s="50">
        <f t="shared" si="11"/>
        <v>1980</v>
      </c>
      <c r="L83" s="65"/>
      <c r="M83" s="48">
        <f>SUM(K82:K83)</f>
        <v>2360</v>
      </c>
    </row>
    <row r="84" s="39" customFormat="1" spans="1:13">
      <c r="A84" s="54">
        <v>45467</v>
      </c>
      <c r="B84" s="55">
        <v>72</v>
      </c>
      <c r="C84" s="80" t="s">
        <v>95</v>
      </c>
      <c r="D84" s="80"/>
      <c r="E84" s="80"/>
      <c r="F84" s="57" t="s">
        <v>24</v>
      </c>
      <c r="G84" s="58">
        <v>1</v>
      </c>
      <c r="H84" s="59">
        <v>26</v>
      </c>
      <c r="I84" s="59">
        <f t="shared" si="10"/>
        <v>26</v>
      </c>
      <c r="J84" s="60">
        <v>19</v>
      </c>
      <c r="K84" s="61">
        <f t="shared" si="11"/>
        <v>494</v>
      </c>
      <c r="L84" s="84" t="s">
        <v>124</v>
      </c>
      <c r="M84" s="59"/>
    </row>
    <row r="85" s="39" customFormat="1" spans="1:13">
      <c r="A85" s="54">
        <v>45467</v>
      </c>
      <c r="B85" s="55">
        <v>72</v>
      </c>
      <c r="C85" s="80" t="s">
        <v>96</v>
      </c>
      <c r="D85" s="80"/>
      <c r="E85" s="80"/>
      <c r="F85" s="57" t="s">
        <v>97</v>
      </c>
      <c r="G85" s="58">
        <v>1</v>
      </c>
      <c r="H85" s="59">
        <v>6</v>
      </c>
      <c r="I85" s="59">
        <f t="shared" si="10"/>
        <v>6</v>
      </c>
      <c r="J85" s="60">
        <v>19</v>
      </c>
      <c r="K85" s="61">
        <f t="shared" si="11"/>
        <v>114</v>
      </c>
      <c r="L85" s="84" t="s">
        <v>124</v>
      </c>
      <c r="M85" s="59"/>
    </row>
    <row r="86" s="39" customFormat="1" spans="1:13">
      <c r="A86" s="54">
        <v>45467</v>
      </c>
      <c r="B86" s="55">
        <v>72</v>
      </c>
      <c r="C86" s="46" t="s">
        <v>125</v>
      </c>
      <c r="D86" s="46"/>
      <c r="E86" s="46"/>
      <c r="F86" s="57" t="s">
        <v>26</v>
      </c>
      <c r="G86" s="58">
        <v>1</v>
      </c>
      <c r="H86" s="59">
        <v>12</v>
      </c>
      <c r="I86" s="59">
        <f t="shared" si="10"/>
        <v>12</v>
      </c>
      <c r="J86" s="60">
        <v>19</v>
      </c>
      <c r="K86" s="61">
        <f t="shared" si="11"/>
        <v>228</v>
      </c>
      <c r="L86" s="62" t="s">
        <v>126</v>
      </c>
      <c r="M86" s="59"/>
    </row>
    <row r="87" s="39" customFormat="1" spans="1:13">
      <c r="A87" s="54">
        <v>45467</v>
      </c>
      <c r="B87" s="55">
        <v>72</v>
      </c>
      <c r="C87" s="46" t="s">
        <v>127</v>
      </c>
      <c r="D87" s="46"/>
      <c r="E87" s="46"/>
      <c r="F87" s="57" t="s">
        <v>42</v>
      </c>
      <c r="G87" s="58">
        <v>1</v>
      </c>
      <c r="H87" s="59">
        <v>6</v>
      </c>
      <c r="I87" s="59">
        <f t="shared" si="10"/>
        <v>6</v>
      </c>
      <c r="J87" s="60">
        <v>19</v>
      </c>
      <c r="K87" s="61">
        <f t="shared" si="11"/>
        <v>114</v>
      </c>
      <c r="L87" s="62" t="s">
        <v>126</v>
      </c>
      <c r="M87" s="59"/>
    </row>
    <row r="88" s="39" customFormat="1" spans="1:13">
      <c r="A88" s="54">
        <v>45467</v>
      </c>
      <c r="B88" s="55">
        <v>72</v>
      </c>
      <c r="C88" s="46" t="s">
        <v>128</v>
      </c>
      <c r="D88" s="46"/>
      <c r="E88" s="46"/>
      <c r="F88" s="57" t="s">
        <v>129</v>
      </c>
      <c r="G88" s="58">
        <v>1</v>
      </c>
      <c r="H88" s="59">
        <v>15</v>
      </c>
      <c r="I88" s="59">
        <f t="shared" si="10"/>
        <v>15</v>
      </c>
      <c r="J88" s="60">
        <v>19</v>
      </c>
      <c r="K88" s="61">
        <f t="shared" si="11"/>
        <v>285</v>
      </c>
      <c r="L88" s="62" t="s">
        <v>130</v>
      </c>
      <c r="M88" s="59"/>
    </row>
    <row r="89" s="39" customFormat="1" spans="1:13">
      <c r="A89" s="54">
        <v>45467</v>
      </c>
      <c r="B89" s="55">
        <v>72</v>
      </c>
      <c r="C89" s="46">
        <v>8036</v>
      </c>
      <c r="D89" s="46"/>
      <c r="E89" s="46"/>
      <c r="F89" s="57" t="s">
        <v>131</v>
      </c>
      <c r="G89" s="58">
        <v>1</v>
      </c>
      <c r="H89" s="59">
        <v>25</v>
      </c>
      <c r="I89" s="59">
        <f t="shared" si="10"/>
        <v>25</v>
      </c>
      <c r="J89" s="60">
        <v>19</v>
      </c>
      <c r="K89" s="61">
        <f t="shared" si="11"/>
        <v>475</v>
      </c>
      <c r="L89" s="62" t="s">
        <v>132</v>
      </c>
      <c r="M89" s="59"/>
    </row>
    <row r="90" s="39" customFormat="1" spans="1:13">
      <c r="A90" s="54">
        <v>45467</v>
      </c>
      <c r="B90" s="55">
        <v>72</v>
      </c>
      <c r="C90" s="46" t="s">
        <v>15</v>
      </c>
      <c r="D90" s="46"/>
      <c r="E90" s="46"/>
      <c r="F90" s="57" t="s">
        <v>16</v>
      </c>
      <c r="G90" s="58">
        <v>3</v>
      </c>
      <c r="H90" s="59">
        <v>10</v>
      </c>
      <c r="I90" s="59">
        <f t="shared" si="10"/>
        <v>30</v>
      </c>
      <c r="J90" s="60">
        <v>19</v>
      </c>
      <c r="K90" s="61">
        <f t="shared" si="11"/>
        <v>570</v>
      </c>
      <c r="L90" s="62" t="s">
        <v>17</v>
      </c>
      <c r="M90" s="59"/>
    </row>
    <row r="91" s="37" customFormat="1" spans="1:13">
      <c r="A91" s="54">
        <v>45467</v>
      </c>
      <c r="B91" s="55">
        <v>72</v>
      </c>
      <c r="C91" s="46" t="s">
        <v>29</v>
      </c>
      <c r="D91" s="46"/>
      <c r="E91" s="46"/>
      <c r="F91" s="57" t="s">
        <v>30</v>
      </c>
      <c r="G91" s="58">
        <v>3</v>
      </c>
      <c r="H91" s="59">
        <v>10</v>
      </c>
      <c r="I91" s="59">
        <f t="shared" si="10"/>
        <v>30</v>
      </c>
      <c r="J91" s="60">
        <v>16.5</v>
      </c>
      <c r="K91" s="61">
        <f t="shared" si="11"/>
        <v>495</v>
      </c>
      <c r="L91" s="3" t="s">
        <v>31</v>
      </c>
      <c r="M91" s="48">
        <f>SUM(K84:K91)</f>
        <v>2775</v>
      </c>
    </row>
    <row r="92" s="37" customFormat="1" spans="1:13">
      <c r="A92" s="44">
        <v>45477</v>
      </c>
      <c r="B92" s="45">
        <v>8</v>
      </c>
      <c r="C92" s="66" t="s">
        <v>65</v>
      </c>
      <c r="D92" s="66"/>
      <c r="E92" s="66"/>
      <c r="F92" s="63" t="s">
        <v>66</v>
      </c>
      <c r="G92" s="64">
        <v>2</v>
      </c>
      <c r="H92" s="48">
        <v>18</v>
      </c>
      <c r="I92" s="48">
        <f t="shared" si="10"/>
        <v>36</v>
      </c>
      <c r="J92" s="49">
        <v>11</v>
      </c>
      <c r="K92" s="50">
        <f t="shared" si="11"/>
        <v>396</v>
      </c>
      <c r="L92" s="65"/>
      <c r="M92" s="48">
        <f>SUM(K91:K92)</f>
        <v>891</v>
      </c>
    </row>
    <row r="93" s="37" customFormat="1" spans="1:13">
      <c r="A93" s="44">
        <v>45477</v>
      </c>
      <c r="B93" s="45">
        <v>8</v>
      </c>
      <c r="C93" s="66" t="s">
        <v>59</v>
      </c>
      <c r="D93" s="66"/>
      <c r="E93" s="66"/>
      <c r="F93" s="63" t="s">
        <v>60</v>
      </c>
      <c r="G93" s="64">
        <v>1</v>
      </c>
      <c r="H93" s="48">
        <v>180</v>
      </c>
      <c r="I93" s="48">
        <f t="shared" si="10"/>
        <v>180</v>
      </c>
      <c r="J93" s="49">
        <v>6.5</v>
      </c>
      <c r="K93" s="50">
        <f t="shared" si="11"/>
        <v>1170</v>
      </c>
      <c r="L93" s="65" t="s">
        <v>61</v>
      </c>
      <c r="M93" s="48"/>
    </row>
    <row r="94" s="37" customFormat="1" spans="1:13">
      <c r="A94" s="44">
        <v>45477</v>
      </c>
      <c r="B94" s="45">
        <v>8</v>
      </c>
      <c r="C94" s="66" t="s">
        <v>133</v>
      </c>
      <c r="D94" s="66"/>
      <c r="E94" s="66"/>
      <c r="F94" s="63" t="s">
        <v>44</v>
      </c>
      <c r="G94" s="64">
        <v>1</v>
      </c>
      <c r="H94" s="48">
        <v>5</v>
      </c>
      <c r="I94" s="48">
        <f t="shared" si="10"/>
        <v>5</v>
      </c>
      <c r="J94" s="49">
        <v>19</v>
      </c>
      <c r="K94" s="50">
        <f t="shared" si="11"/>
        <v>95</v>
      </c>
      <c r="L94" s="65" t="s">
        <v>134</v>
      </c>
      <c r="M94" s="48"/>
    </row>
    <row r="95" s="37" customFormat="1" spans="1:13">
      <c r="A95" s="44">
        <v>45477</v>
      </c>
      <c r="B95" s="45">
        <v>8</v>
      </c>
      <c r="C95" s="66" t="s">
        <v>133</v>
      </c>
      <c r="D95" s="66"/>
      <c r="E95" s="66"/>
      <c r="F95" s="63" t="s">
        <v>44</v>
      </c>
      <c r="G95" s="64">
        <v>1</v>
      </c>
      <c r="H95" s="48">
        <v>2</v>
      </c>
      <c r="I95" s="48">
        <f t="shared" si="10"/>
        <v>2</v>
      </c>
      <c r="J95" s="49"/>
      <c r="K95" s="50"/>
      <c r="L95" s="65" t="s">
        <v>135</v>
      </c>
      <c r="M95" s="48"/>
    </row>
    <row r="96" s="39" customFormat="1" spans="1:13">
      <c r="A96" s="44">
        <v>45477</v>
      </c>
      <c r="B96" s="45">
        <v>8</v>
      </c>
      <c r="C96" s="46"/>
      <c r="D96" s="46"/>
      <c r="E96" s="46"/>
      <c r="F96" s="63" t="s">
        <v>136</v>
      </c>
      <c r="G96" s="58"/>
      <c r="H96" s="59"/>
      <c r="I96" s="59"/>
      <c r="J96" s="60"/>
      <c r="K96" s="61"/>
      <c r="L96" s="62"/>
      <c r="M96" s="59"/>
    </row>
    <row r="97" s="39" customFormat="1" spans="1:13">
      <c r="A97" s="54">
        <v>45483</v>
      </c>
      <c r="B97" s="55">
        <v>31</v>
      </c>
      <c r="C97" s="46" t="s">
        <v>89</v>
      </c>
      <c r="D97" s="46"/>
      <c r="E97" s="46"/>
      <c r="F97" s="57" t="s">
        <v>137</v>
      </c>
      <c r="G97" s="58">
        <v>1</v>
      </c>
      <c r="H97" s="59">
        <v>10</v>
      </c>
      <c r="I97" s="59">
        <f t="shared" ref="I97:I107" si="12">G97*H97</f>
        <v>10</v>
      </c>
      <c r="J97" s="60">
        <v>18</v>
      </c>
      <c r="K97" s="61">
        <f>I97*J97</f>
        <v>180</v>
      </c>
      <c r="L97" s="67"/>
      <c r="M97" s="67"/>
    </row>
    <row r="98" s="39" customFormat="1" spans="1:13">
      <c r="A98" s="54">
        <v>45483</v>
      </c>
      <c r="B98" s="55">
        <v>31</v>
      </c>
      <c r="C98" s="46"/>
      <c r="D98" s="46"/>
      <c r="E98" s="46"/>
      <c r="F98" s="57" t="s">
        <v>138</v>
      </c>
      <c r="G98" s="58">
        <v>1</v>
      </c>
      <c r="H98" s="59">
        <v>3</v>
      </c>
      <c r="I98" s="59">
        <f t="shared" si="12"/>
        <v>3</v>
      </c>
      <c r="J98" s="60">
        <v>19</v>
      </c>
      <c r="K98" s="61">
        <f t="shared" ref="K98:K107" si="13">I98*J98</f>
        <v>57</v>
      </c>
      <c r="L98" s="62"/>
      <c r="M98" s="59"/>
    </row>
    <row r="99" s="39" customFormat="1" spans="1:13">
      <c r="A99" s="54">
        <v>45483</v>
      </c>
      <c r="B99" s="55">
        <v>31</v>
      </c>
      <c r="C99" s="46" t="s">
        <v>105</v>
      </c>
      <c r="D99" s="46"/>
      <c r="E99" s="46"/>
      <c r="F99" s="57" t="s">
        <v>106</v>
      </c>
      <c r="G99" s="58">
        <v>1</v>
      </c>
      <c r="H99" s="82">
        <v>24</v>
      </c>
      <c r="I99" s="59">
        <f t="shared" si="12"/>
        <v>24</v>
      </c>
      <c r="J99" s="60">
        <v>19</v>
      </c>
      <c r="K99" s="61">
        <f t="shared" si="13"/>
        <v>456</v>
      </c>
      <c r="L99" s="67" t="s">
        <v>107</v>
      </c>
      <c r="M99" s="67"/>
    </row>
    <row r="100" s="39" customFormat="1" spans="1:13">
      <c r="A100" s="54">
        <v>45483</v>
      </c>
      <c r="B100" s="55">
        <v>31</v>
      </c>
      <c r="C100" s="46">
        <v>8050</v>
      </c>
      <c r="D100" s="46"/>
      <c r="E100" s="46"/>
      <c r="F100" s="57" t="s">
        <v>139</v>
      </c>
      <c r="G100" s="58">
        <v>1</v>
      </c>
      <c r="H100" s="59">
        <v>12</v>
      </c>
      <c r="I100" s="59">
        <f t="shared" si="12"/>
        <v>12</v>
      </c>
      <c r="J100" s="60">
        <v>19</v>
      </c>
      <c r="K100" s="61">
        <f t="shared" si="13"/>
        <v>228</v>
      </c>
      <c r="L100" s="67"/>
      <c r="M100" s="59"/>
    </row>
    <row r="101" s="39" customFormat="1" spans="1:13">
      <c r="A101" s="54">
        <v>45483</v>
      </c>
      <c r="B101" s="55">
        <v>31</v>
      </c>
      <c r="C101" s="46">
        <v>5058</v>
      </c>
      <c r="D101" s="46"/>
      <c r="E101" s="46"/>
      <c r="F101" s="57" t="s">
        <v>140</v>
      </c>
      <c r="G101" s="58">
        <v>1</v>
      </c>
      <c r="H101" s="82">
        <v>12</v>
      </c>
      <c r="I101" s="59">
        <f t="shared" si="12"/>
        <v>12</v>
      </c>
      <c r="J101" s="60">
        <v>19</v>
      </c>
      <c r="K101" s="61">
        <f t="shared" si="13"/>
        <v>228</v>
      </c>
      <c r="L101" s="67"/>
      <c r="M101" s="59"/>
    </row>
    <row r="102" s="39" customFormat="1" spans="1:13">
      <c r="A102" s="54">
        <v>45483</v>
      </c>
      <c r="B102" s="55">
        <v>31</v>
      </c>
      <c r="C102" s="46">
        <v>525</v>
      </c>
      <c r="D102" s="46"/>
      <c r="E102" s="46"/>
      <c r="F102" s="57" t="s">
        <v>141</v>
      </c>
      <c r="G102" s="58">
        <v>2</v>
      </c>
      <c r="H102" s="82">
        <v>10</v>
      </c>
      <c r="I102" s="59">
        <f t="shared" si="12"/>
        <v>20</v>
      </c>
      <c r="J102" s="60">
        <v>19</v>
      </c>
      <c r="K102" s="61">
        <f t="shared" si="13"/>
        <v>380</v>
      </c>
      <c r="L102" s="39" t="s">
        <v>142</v>
      </c>
      <c r="M102" s="59"/>
    </row>
    <row r="103" s="39" customFormat="1" spans="1:13">
      <c r="A103" s="54">
        <v>45483</v>
      </c>
      <c r="B103" s="55">
        <v>31</v>
      </c>
      <c r="C103" s="46"/>
      <c r="D103" s="46"/>
      <c r="E103" s="46"/>
      <c r="F103" s="57" t="s">
        <v>143</v>
      </c>
      <c r="G103" s="58">
        <v>1</v>
      </c>
      <c r="H103" s="59">
        <v>18</v>
      </c>
      <c r="I103" s="59">
        <f t="shared" si="12"/>
        <v>18</v>
      </c>
      <c r="J103" s="60">
        <v>11</v>
      </c>
      <c r="K103" s="61">
        <f t="shared" si="13"/>
        <v>198</v>
      </c>
      <c r="L103" s="67"/>
      <c r="M103" s="59"/>
    </row>
    <row r="104" s="39" customFormat="1" spans="1:13">
      <c r="A104" s="54">
        <v>45483</v>
      </c>
      <c r="B104" s="55">
        <v>31</v>
      </c>
      <c r="C104" s="46">
        <v>525</v>
      </c>
      <c r="D104" s="46"/>
      <c r="E104" s="46"/>
      <c r="F104" s="57" t="s">
        <v>141</v>
      </c>
      <c r="G104" s="58">
        <v>-1</v>
      </c>
      <c r="H104" s="82">
        <v>10</v>
      </c>
      <c r="I104" s="59">
        <f t="shared" si="12"/>
        <v>-10</v>
      </c>
      <c r="J104" s="60">
        <v>19</v>
      </c>
      <c r="K104" s="61">
        <f t="shared" si="13"/>
        <v>-190</v>
      </c>
      <c r="L104" s="39" t="s">
        <v>142</v>
      </c>
      <c r="M104" s="59">
        <f>SUM(K97:K104)</f>
        <v>1537</v>
      </c>
    </row>
    <row r="105" s="37" customFormat="1" spans="1:13">
      <c r="A105" s="44">
        <v>45488</v>
      </c>
      <c r="B105" s="45">
        <v>43</v>
      </c>
      <c r="C105" s="66" t="s">
        <v>21</v>
      </c>
      <c r="D105" s="66"/>
      <c r="E105" s="66"/>
      <c r="F105" s="63" t="s">
        <v>22</v>
      </c>
      <c r="G105" s="64">
        <v>10</v>
      </c>
      <c r="H105" s="48">
        <v>28</v>
      </c>
      <c r="I105" s="48">
        <f t="shared" ref="I105:I119" si="14">G105*H105</f>
        <v>280</v>
      </c>
      <c r="J105" s="49">
        <v>10</v>
      </c>
      <c r="K105" s="50">
        <f t="shared" ref="K105:K119" si="15">I105*J105</f>
        <v>2800</v>
      </c>
      <c r="L105" s="112">
        <v>9804</v>
      </c>
      <c r="M105" s="48"/>
    </row>
    <row r="106" s="37" customFormat="1" spans="1:13">
      <c r="A106" s="44">
        <v>45488</v>
      </c>
      <c r="B106" s="45">
        <v>43</v>
      </c>
      <c r="C106" s="66" t="s">
        <v>65</v>
      </c>
      <c r="D106" s="66"/>
      <c r="E106" s="66"/>
      <c r="F106" s="63" t="s">
        <v>144</v>
      </c>
      <c r="G106" s="64">
        <v>1</v>
      </c>
      <c r="H106" s="48">
        <v>180</v>
      </c>
      <c r="I106" s="48">
        <f t="shared" si="14"/>
        <v>180</v>
      </c>
      <c r="J106" s="49">
        <v>11</v>
      </c>
      <c r="K106" s="50">
        <f t="shared" si="15"/>
        <v>1980</v>
      </c>
      <c r="L106" s="65"/>
      <c r="M106" s="48">
        <f>SUM(K105:K106)</f>
        <v>4780</v>
      </c>
    </row>
    <row r="107" s="39" customFormat="1" spans="1:13">
      <c r="A107" s="54">
        <v>45489</v>
      </c>
      <c r="B107" s="55">
        <v>56</v>
      </c>
      <c r="C107" s="46" t="s">
        <v>145</v>
      </c>
      <c r="D107" s="46"/>
      <c r="E107" s="46"/>
      <c r="F107" s="57" t="s">
        <v>146</v>
      </c>
      <c r="G107" s="58">
        <v>3</v>
      </c>
      <c r="H107" s="59">
        <v>25</v>
      </c>
      <c r="I107" s="59">
        <f t="shared" si="14"/>
        <v>75</v>
      </c>
      <c r="J107" s="60">
        <v>14</v>
      </c>
      <c r="K107" s="61">
        <f t="shared" si="15"/>
        <v>1050</v>
      </c>
      <c r="L107" s="67" t="s">
        <v>147</v>
      </c>
      <c r="M107" s="59"/>
    </row>
    <row r="108" s="39" customFormat="1" spans="1:13">
      <c r="A108" s="54">
        <v>45489</v>
      </c>
      <c r="B108" s="55">
        <v>56</v>
      </c>
      <c r="C108" s="46" t="s">
        <v>29</v>
      </c>
      <c r="D108" s="46"/>
      <c r="E108" s="46"/>
      <c r="F108" s="57" t="s">
        <v>30</v>
      </c>
      <c r="G108" s="58">
        <v>5</v>
      </c>
      <c r="H108" s="59">
        <v>10</v>
      </c>
      <c r="I108" s="59">
        <f t="shared" si="14"/>
        <v>50</v>
      </c>
      <c r="J108" s="60">
        <v>16.5</v>
      </c>
      <c r="K108" s="61">
        <f t="shared" si="15"/>
        <v>825</v>
      </c>
      <c r="L108" s="62" t="s">
        <v>116</v>
      </c>
      <c r="M108" s="59"/>
    </row>
    <row r="109" s="39" customFormat="1" spans="1:13">
      <c r="A109" s="54">
        <v>45489</v>
      </c>
      <c r="B109" s="55">
        <v>56</v>
      </c>
      <c r="C109" s="46">
        <v>716</v>
      </c>
      <c r="D109" s="46"/>
      <c r="E109" s="46"/>
      <c r="F109" s="57" t="s">
        <v>42</v>
      </c>
      <c r="G109" s="58">
        <v>1</v>
      </c>
      <c r="H109" s="59">
        <v>15</v>
      </c>
      <c r="I109" s="59">
        <f t="shared" si="14"/>
        <v>15</v>
      </c>
      <c r="J109" s="60">
        <v>19</v>
      </c>
      <c r="K109" s="61">
        <f t="shared" si="15"/>
        <v>285</v>
      </c>
      <c r="L109" s="62"/>
      <c r="M109" s="59"/>
    </row>
    <row r="110" s="39" customFormat="1" spans="1:13">
      <c r="A110" s="54">
        <v>45489</v>
      </c>
      <c r="B110" s="55">
        <v>56</v>
      </c>
      <c r="C110" s="46" t="s">
        <v>65</v>
      </c>
      <c r="D110" s="46"/>
      <c r="E110" s="46"/>
      <c r="F110" s="57" t="s">
        <v>66</v>
      </c>
      <c r="G110" s="58">
        <v>-1</v>
      </c>
      <c r="H110" s="59">
        <v>90</v>
      </c>
      <c r="I110" s="59">
        <f t="shared" si="14"/>
        <v>-90</v>
      </c>
      <c r="J110" s="60">
        <v>11</v>
      </c>
      <c r="K110" s="61">
        <f t="shared" si="15"/>
        <v>-990</v>
      </c>
      <c r="L110" s="67" t="s">
        <v>148</v>
      </c>
      <c r="M110" s="59">
        <f>SUM(K107:K110)</f>
        <v>1170</v>
      </c>
    </row>
    <row r="111" s="37" customFormat="1" spans="1:13">
      <c r="A111" s="44">
        <v>45505</v>
      </c>
      <c r="B111" s="45">
        <v>1</v>
      </c>
      <c r="C111" s="66" t="s">
        <v>149</v>
      </c>
      <c r="D111" s="66"/>
      <c r="E111" s="66"/>
      <c r="F111" s="63" t="s">
        <v>150</v>
      </c>
      <c r="G111" s="64">
        <v>1</v>
      </c>
      <c r="H111" s="48">
        <v>11</v>
      </c>
      <c r="I111" s="48">
        <f t="shared" si="14"/>
        <v>11</v>
      </c>
      <c r="J111" s="49">
        <v>19</v>
      </c>
      <c r="K111" s="50">
        <f t="shared" si="15"/>
        <v>209</v>
      </c>
      <c r="L111" s="65" t="s">
        <v>20</v>
      </c>
      <c r="M111" s="65"/>
    </row>
    <row r="112" s="37" customFormat="1" spans="1:13">
      <c r="A112" s="44">
        <v>45505</v>
      </c>
      <c r="B112" s="45">
        <v>1</v>
      </c>
      <c r="C112" s="66" t="s">
        <v>151</v>
      </c>
      <c r="D112" s="66"/>
      <c r="E112" s="66"/>
      <c r="F112" s="63" t="s">
        <v>24</v>
      </c>
      <c r="G112" s="64">
        <v>1</v>
      </c>
      <c r="H112" s="48">
        <v>25</v>
      </c>
      <c r="I112" s="48">
        <f t="shared" si="14"/>
        <v>25</v>
      </c>
      <c r="J112" s="49">
        <v>19</v>
      </c>
      <c r="K112" s="50">
        <f t="shared" si="15"/>
        <v>475</v>
      </c>
      <c r="L112" s="65" t="s">
        <v>20</v>
      </c>
      <c r="M112" s="65"/>
    </row>
    <row r="113" s="37" customFormat="1" spans="1:13">
      <c r="A113" s="44">
        <v>45505</v>
      </c>
      <c r="B113" s="45">
        <v>1</v>
      </c>
      <c r="C113" s="66" t="s">
        <v>152</v>
      </c>
      <c r="D113" s="66"/>
      <c r="E113" s="66"/>
      <c r="F113" s="63" t="s">
        <v>131</v>
      </c>
      <c r="G113" s="64">
        <v>1</v>
      </c>
      <c r="H113" s="48">
        <v>10</v>
      </c>
      <c r="I113" s="48">
        <f t="shared" si="14"/>
        <v>10</v>
      </c>
      <c r="J113" s="49">
        <v>19</v>
      </c>
      <c r="K113" s="50">
        <f t="shared" si="15"/>
        <v>190</v>
      </c>
      <c r="L113" s="65" t="s">
        <v>20</v>
      </c>
      <c r="M113" s="65"/>
    </row>
    <row r="114" s="37" customFormat="1" spans="1:13">
      <c r="A114" s="44">
        <v>45505</v>
      </c>
      <c r="B114" s="45">
        <v>1</v>
      </c>
      <c r="C114" s="66" t="s">
        <v>153</v>
      </c>
      <c r="D114" s="66"/>
      <c r="E114" s="66"/>
      <c r="F114" s="63" t="s">
        <v>26</v>
      </c>
      <c r="G114" s="64">
        <v>1</v>
      </c>
      <c r="H114" s="48">
        <v>15</v>
      </c>
      <c r="I114" s="48">
        <f t="shared" si="14"/>
        <v>15</v>
      </c>
      <c r="J114" s="49">
        <v>19</v>
      </c>
      <c r="K114" s="50">
        <f t="shared" si="15"/>
        <v>285</v>
      </c>
      <c r="L114" s="65" t="s">
        <v>20</v>
      </c>
      <c r="M114" s="65"/>
    </row>
    <row r="115" s="37" customFormat="1" spans="1:13">
      <c r="A115" s="44">
        <v>45505</v>
      </c>
      <c r="B115" s="45">
        <v>1</v>
      </c>
      <c r="C115" s="66" t="s">
        <v>15</v>
      </c>
      <c r="D115" s="66"/>
      <c r="E115" s="66"/>
      <c r="F115" s="63" t="s">
        <v>16</v>
      </c>
      <c r="G115" s="64">
        <v>3</v>
      </c>
      <c r="H115" s="48">
        <v>10</v>
      </c>
      <c r="I115" s="48">
        <f t="shared" si="14"/>
        <v>30</v>
      </c>
      <c r="J115" s="49">
        <v>19</v>
      </c>
      <c r="K115" s="50">
        <f t="shared" si="15"/>
        <v>570</v>
      </c>
      <c r="L115" s="3" t="s">
        <v>17</v>
      </c>
      <c r="M115" s="48">
        <f>SUM(K111:K115)</f>
        <v>1729</v>
      </c>
    </row>
    <row r="116" s="39" customFormat="1" spans="1:13">
      <c r="A116" s="54">
        <v>45512</v>
      </c>
      <c r="B116" s="55">
        <v>19</v>
      </c>
      <c r="C116" s="46" t="s">
        <v>59</v>
      </c>
      <c r="D116" s="46"/>
      <c r="E116" s="46"/>
      <c r="F116" s="57" t="s">
        <v>60</v>
      </c>
      <c r="G116" s="58">
        <v>1</v>
      </c>
      <c r="H116" s="59">
        <v>180</v>
      </c>
      <c r="I116" s="59">
        <f t="shared" si="14"/>
        <v>180</v>
      </c>
      <c r="J116" s="60">
        <v>6.5</v>
      </c>
      <c r="K116" s="61">
        <f t="shared" si="15"/>
        <v>1170</v>
      </c>
      <c r="L116" s="67" t="s">
        <v>61</v>
      </c>
      <c r="M116" s="59"/>
    </row>
    <row r="117" s="37" customFormat="1" spans="1:13">
      <c r="A117" s="44">
        <v>45517</v>
      </c>
      <c r="B117" s="45">
        <v>39</v>
      </c>
      <c r="C117" s="66" t="s">
        <v>21</v>
      </c>
      <c r="D117" s="66"/>
      <c r="E117" s="66"/>
      <c r="F117" s="63" t="s">
        <v>22</v>
      </c>
      <c r="G117" s="64">
        <v>5</v>
      </c>
      <c r="H117" s="48">
        <v>28</v>
      </c>
      <c r="I117" s="48">
        <f t="shared" si="14"/>
        <v>140</v>
      </c>
      <c r="J117" s="49">
        <v>10</v>
      </c>
      <c r="K117" s="50">
        <f t="shared" si="15"/>
        <v>1400</v>
      </c>
      <c r="L117" s="112">
        <v>9804</v>
      </c>
      <c r="M117" s="48"/>
    </row>
    <row r="118" s="37" customFormat="1" spans="1:13">
      <c r="A118" s="44">
        <v>45517</v>
      </c>
      <c r="B118" s="45">
        <v>39</v>
      </c>
      <c r="C118" s="66">
        <v>5058</v>
      </c>
      <c r="D118" s="66"/>
      <c r="E118" s="66"/>
      <c r="F118" s="63" t="s">
        <v>140</v>
      </c>
      <c r="G118" s="64">
        <v>1</v>
      </c>
      <c r="H118" s="48">
        <v>25</v>
      </c>
      <c r="I118" s="48">
        <f t="shared" si="14"/>
        <v>25</v>
      </c>
      <c r="J118" s="49">
        <v>19</v>
      </c>
      <c r="K118" s="50">
        <f t="shared" si="15"/>
        <v>475</v>
      </c>
      <c r="L118" s="65"/>
      <c r="M118" s="48"/>
    </row>
    <row r="119" s="37" customFormat="1" spans="1:13">
      <c r="A119" s="44">
        <v>45517</v>
      </c>
      <c r="B119" s="45">
        <v>39</v>
      </c>
      <c r="C119" s="66" t="s">
        <v>65</v>
      </c>
      <c r="D119" s="66"/>
      <c r="E119" s="66"/>
      <c r="F119" s="63" t="s">
        <v>66</v>
      </c>
      <c r="G119" s="64">
        <v>1</v>
      </c>
      <c r="H119" s="48">
        <v>18</v>
      </c>
      <c r="I119" s="48">
        <f t="shared" si="14"/>
        <v>18</v>
      </c>
      <c r="J119" s="49">
        <v>11</v>
      </c>
      <c r="K119" s="50">
        <f t="shared" si="15"/>
        <v>198</v>
      </c>
      <c r="L119" s="65"/>
      <c r="M119" s="48">
        <f>SUM(K117:K119)</f>
        <v>2073</v>
      </c>
    </row>
    <row r="120" s="39" customFormat="1" spans="1:13">
      <c r="A120" s="54">
        <v>45518</v>
      </c>
      <c r="B120" s="55">
        <v>44</v>
      </c>
      <c r="C120" s="46" t="s">
        <v>62</v>
      </c>
      <c r="D120" s="46"/>
      <c r="E120" s="46"/>
      <c r="F120" s="57" t="s">
        <v>63</v>
      </c>
      <c r="G120" s="58">
        <v>1</v>
      </c>
      <c r="H120" s="59">
        <v>180</v>
      </c>
      <c r="I120" s="59">
        <v>180</v>
      </c>
      <c r="J120" s="60">
        <v>8</v>
      </c>
      <c r="K120" s="61">
        <v>1440</v>
      </c>
      <c r="L120" s="67" t="s">
        <v>64</v>
      </c>
      <c r="M120" s="59"/>
    </row>
    <row r="121" s="37" customFormat="1" spans="1:13">
      <c r="A121" s="44">
        <v>45520</v>
      </c>
      <c r="B121" s="45">
        <v>51</v>
      </c>
      <c r="C121" s="66" t="s">
        <v>98</v>
      </c>
      <c r="D121" s="66"/>
      <c r="E121" s="66"/>
      <c r="F121" s="63" t="s">
        <v>99</v>
      </c>
      <c r="G121" s="64">
        <v>1</v>
      </c>
      <c r="H121" s="48">
        <v>25</v>
      </c>
      <c r="I121" s="48">
        <f t="shared" ref="I121:I127" si="16">G121*H121</f>
        <v>25</v>
      </c>
      <c r="J121" s="49">
        <v>23</v>
      </c>
      <c r="K121" s="50">
        <f t="shared" ref="K121:K158" si="17">I121*J121</f>
        <v>575</v>
      </c>
      <c r="L121" s="65" t="s">
        <v>100</v>
      </c>
      <c r="M121" s="65"/>
    </row>
    <row r="122" s="37" customFormat="1" spans="1:13">
      <c r="A122" s="44">
        <v>45520</v>
      </c>
      <c r="B122" s="45">
        <v>51</v>
      </c>
      <c r="C122" s="66" t="s">
        <v>15</v>
      </c>
      <c r="D122" s="66"/>
      <c r="E122" s="66"/>
      <c r="F122" s="63" t="s">
        <v>16</v>
      </c>
      <c r="G122" s="64">
        <v>3</v>
      </c>
      <c r="H122" s="48">
        <v>10</v>
      </c>
      <c r="I122" s="48">
        <f t="shared" si="16"/>
        <v>30</v>
      </c>
      <c r="J122" s="49">
        <v>19</v>
      </c>
      <c r="K122" s="50">
        <f t="shared" si="17"/>
        <v>570</v>
      </c>
      <c r="L122" s="3" t="s">
        <v>17</v>
      </c>
      <c r="M122" s="48"/>
    </row>
    <row r="123" s="42" customFormat="1" spans="1:13">
      <c r="A123" s="78">
        <v>45523</v>
      </c>
      <c r="B123" s="79"/>
      <c r="C123" s="80" t="s">
        <v>154</v>
      </c>
      <c r="D123" s="80"/>
      <c r="E123" s="80"/>
      <c r="F123" s="47" t="s">
        <v>69</v>
      </c>
      <c r="G123" s="81">
        <v>1</v>
      </c>
      <c r="H123" s="82">
        <v>4</v>
      </c>
      <c r="I123" s="82">
        <f t="shared" si="16"/>
        <v>4</v>
      </c>
      <c r="J123" s="74"/>
      <c r="K123" s="83">
        <f t="shared" si="17"/>
        <v>0</v>
      </c>
      <c r="L123" s="93" t="s">
        <v>155</v>
      </c>
      <c r="M123" s="82"/>
    </row>
    <row r="124" s="39" customFormat="1" spans="1:13">
      <c r="A124" s="54">
        <v>45528</v>
      </c>
      <c r="B124" s="55">
        <v>77</v>
      </c>
      <c r="C124" s="46" t="s">
        <v>145</v>
      </c>
      <c r="D124" s="46"/>
      <c r="E124" s="46"/>
      <c r="F124" s="57" t="s">
        <v>146</v>
      </c>
      <c r="G124" s="58">
        <v>3</v>
      </c>
      <c r="H124" s="59">
        <v>25</v>
      </c>
      <c r="I124" s="59">
        <f t="shared" si="16"/>
        <v>75</v>
      </c>
      <c r="J124" s="60">
        <v>14</v>
      </c>
      <c r="K124" s="61">
        <f t="shared" si="17"/>
        <v>1050</v>
      </c>
      <c r="L124" s="67" t="s">
        <v>147</v>
      </c>
      <c r="M124" s="59"/>
    </row>
    <row r="125" s="39" customFormat="1" spans="1:13">
      <c r="A125" s="54">
        <v>45528</v>
      </c>
      <c r="B125" s="55">
        <v>77</v>
      </c>
      <c r="C125" s="46" t="s">
        <v>29</v>
      </c>
      <c r="D125" s="46"/>
      <c r="E125" s="46"/>
      <c r="F125" s="57" t="s">
        <v>30</v>
      </c>
      <c r="G125" s="58">
        <v>4</v>
      </c>
      <c r="H125" s="59">
        <v>10</v>
      </c>
      <c r="I125" s="59">
        <f t="shared" si="16"/>
        <v>40</v>
      </c>
      <c r="J125" s="60">
        <v>16.5</v>
      </c>
      <c r="K125" s="61">
        <f t="shared" si="17"/>
        <v>660</v>
      </c>
      <c r="L125" s="62" t="s">
        <v>116</v>
      </c>
      <c r="M125" s="59"/>
    </row>
    <row r="126" s="37" customFormat="1" spans="1:13">
      <c r="A126" s="44">
        <v>45539</v>
      </c>
      <c r="B126" s="45">
        <v>9</v>
      </c>
      <c r="C126" s="66" t="s">
        <v>21</v>
      </c>
      <c r="D126" s="66"/>
      <c r="E126" s="66"/>
      <c r="F126" s="63" t="s">
        <v>22</v>
      </c>
      <c r="G126" s="64">
        <v>5</v>
      </c>
      <c r="H126" s="48">
        <v>28</v>
      </c>
      <c r="I126" s="48">
        <f t="shared" si="16"/>
        <v>140</v>
      </c>
      <c r="J126" s="49">
        <v>10</v>
      </c>
      <c r="K126" s="50">
        <f t="shared" si="17"/>
        <v>1400</v>
      </c>
      <c r="L126" s="122" t="s">
        <v>156</v>
      </c>
      <c r="M126" s="48"/>
    </row>
    <row r="127" s="37" customFormat="1" spans="1:13">
      <c r="A127" s="44">
        <v>45539</v>
      </c>
      <c r="B127" s="45">
        <v>9</v>
      </c>
      <c r="C127" s="66" t="s">
        <v>54</v>
      </c>
      <c r="D127" s="66"/>
      <c r="E127" s="66"/>
      <c r="F127" s="63" t="s">
        <v>55</v>
      </c>
      <c r="G127" s="64">
        <v>1</v>
      </c>
      <c r="H127" s="48">
        <v>21</v>
      </c>
      <c r="I127" s="48">
        <f t="shared" si="16"/>
        <v>21</v>
      </c>
      <c r="J127" s="49">
        <v>24</v>
      </c>
      <c r="K127" s="50">
        <f t="shared" si="17"/>
        <v>504</v>
      </c>
      <c r="L127" s="3" t="s">
        <v>88</v>
      </c>
      <c r="M127" s="48"/>
    </row>
    <row r="128" s="37" customFormat="1" spans="1:13">
      <c r="A128" s="44">
        <v>45539</v>
      </c>
      <c r="B128" s="45">
        <v>9</v>
      </c>
      <c r="C128" s="66" t="s">
        <v>152</v>
      </c>
      <c r="D128" s="66"/>
      <c r="E128" s="66"/>
      <c r="F128" s="63" t="s">
        <v>131</v>
      </c>
      <c r="G128" s="64">
        <v>1</v>
      </c>
      <c r="H128" s="48">
        <v>11</v>
      </c>
      <c r="I128" s="48">
        <f t="shared" ref="I128:I135" si="18">G128*H128</f>
        <v>11</v>
      </c>
      <c r="J128" s="49">
        <v>19</v>
      </c>
      <c r="K128" s="50">
        <f t="shared" si="17"/>
        <v>209</v>
      </c>
      <c r="L128" s="65" t="s">
        <v>20</v>
      </c>
      <c r="M128" s="65"/>
    </row>
    <row r="129" s="37" customFormat="1" spans="1:13">
      <c r="A129" s="44">
        <v>45539</v>
      </c>
      <c r="B129" s="45">
        <v>9</v>
      </c>
      <c r="C129" s="66" t="s">
        <v>153</v>
      </c>
      <c r="D129" s="66"/>
      <c r="E129" s="66"/>
      <c r="F129" s="63" t="s">
        <v>26</v>
      </c>
      <c r="G129" s="64">
        <v>1</v>
      </c>
      <c r="H129" s="48">
        <v>13</v>
      </c>
      <c r="I129" s="48">
        <f t="shared" si="18"/>
        <v>13</v>
      </c>
      <c r="J129" s="49">
        <v>19</v>
      </c>
      <c r="K129" s="50">
        <f t="shared" si="17"/>
        <v>247</v>
      </c>
      <c r="L129" s="65" t="s">
        <v>20</v>
      </c>
      <c r="M129" s="65"/>
    </row>
    <row r="130" s="37" customFormat="1" spans="1:13">
      <c r="A130" s="44">
        <v>45539</v>
      </c>
      <c r="B130" s="45">
        <v>9</v>
      </c>
      <c r="C130" s="66" t="s">
        <v>15</v>
      </c>
      <c r="D130" s="66"/>
      <c r="E130" s="66"/>
      <c r="F130" s="63" t="s">
        <v>16</v>
      </c>
      <c r="G130" s="64">
        <v>3</v>
      </c>
      <c r="H130" s="48">
        <v>10</v>
      </c>
      <c r="I130" s="48">
        <f t="shared" si="18"/>
        <v>30</v>
      </c>
      <c r="J130" s="49">
        <v>19</v>
      </c>
      <c r="K130" s="50">
        <f t="shared" si="17"/>
        <v>570</v>
      </c>
      <c r="L130" s="3" t="s">
        <v>17</v>
      </c>
      <c r="M130" s="48">
        <f>SUM(K125:K130)</f>
        <v>3590</v>
      </c>
    </row>
    <row r="131" s="39" customFormat="1" spans="1:13">
      <c r="A131" s="44">
        <v>45539</v>
      </c>
      <c r="B131" s="45">
        <v>9</v>
      </c>
      <c r="C131" s="66" t="s">
        <v>59</v>
      </c>
      <c r="D131" s="66"/>
      <c r="E131" s="66"/>
      <c r="F131" s="63" t="s">
        <v>60</v>
      </c>
      <c r="G131" s="64">
        <v>1</v>
      </c>
      <c r="H131" s="48">
        <v>180</v>
      </c>
      <c r="I131" s="48">
        <f t="shared" si="18"/>
        <v>180</v>
      </c>
      <c r="J131" s="49">
        <v>6.5</v>
      </c>
      <c r="K131" s="50">
        <f t="shared" si="17"/>
        <v>1170</v>
      </c>
      <c r="L131" s="65" t="s">
        <v>61</v>
      </c>
      <c r="M131" s="59"/>
    </row>
    <row r="132" s="39" customFormat="1" spans="1:13">
      <c r="A132" s="54">
        <v>45539</v>
      </c>
      <c r="B132" s="55">
        <v>41</v>
      </c>
      <c r="C132" s="46" t="s">
        <v>21</v>
      </c>
      <c r="D132" s="46"/>
      <c r="E132" s="46"/>
      <c r="F132" s="57" t="s">
        <v>22</v>
      </c>
      <c r="G132" s="58">
        <v>5</v>
      </c>
      <c r="H132" s="59">
        <v>28</v>
      </c>
      <c r="I132" s="59">
        <f t="shared" si="18"/>
        <v>140</v>
      </c>
      <c r="J132" s="60">
        <v>10</v>
      </c>
      <c r="K132" s="61">
        <f t="shared" si="17"/>
        <v>1400</v>
      </c>
      <c r="L132" s="122" t="s">
        <v>156</v>
      </c>
      <c r="M132" s="59"/>
    </row>
    <row r="133" s="39" customFormat="1" spans="1:13">
      <c r="A133" s="54">
        <v>45539</v>
      </c>
      <c r="B133" s="55">
        <v>41</v>
      </c>
      <c r="C133" s="46">
        <v>240515</v>
      </c>
      <c r="D133" s="46"/>
      <c r="E133" s="46"/>
      <c r="F133" s="57" t="s">
        <v>70</v>
      </c>
      <c r="G133" s="58">
        <v>1</v>
      </c>
      <c r="H133" s="59">
        <v>26</v>
      </c>
      <c r="I133" s="59">
        <f t="shared" si="18"/>
        <v>26</v>
      </c>
      <c r="J133" s="60">
        <v>19</v>
      </c>
      <c r="K133" s="61">
        <f t="shared" si="17"/>
        <v>494</v>
      </c>
      <c r="L133" s="62"/>
      <c r="M133" s="59"/>
    </row>
    <row r="134" s="37" customFormat="1" spans="1:13">
      <c r="A134" s="44">
        <v>45548</v>
      </c>
      <c r="B134" s="45">
        <v>43</v>
      </c>
      <c r="C134" s="48" t="s">
        <v>157</v>
      </c>
      <c r="D134" s="48"/>
      <c r="E134" s="48"/>
      <c r="F134" s="63" t="s">
        <v>158</v>
      </c>
      <c r="G134" s="64">
        <v>1</v>
      </c>
      <c r="H134" s="48">
        <v>22</v>
      </c>
      <c r="I134" s="48">
        <f t="shared" si="18"/>
        <v>22</v>
      </c>
      <c r="J134" s="49">
        <v>13.5</v>
      </c>
      <c r="K134" s="50">
        <f t="shared" si="17"/>
        <v>297</v>
      </c>
      <c r="L134" s="65" t="s">
        <v>157</v>
      </c>
      <c r="M134" s="48"/>
    </row>
    <row r="135" s="37" customFormat="1" spans="1:13">
      <c r="A135" s="44">
        <v>45548</v>
      </c>
      <c r="B135" s="45">
        <v>43</v>
      </c>
      <c r="C135" s="48" t="s">
        <v>67</v>
      </c>
      <c r="D135" s="48"/>
      <c r="E135" s="48"/>
      <c r="F135" s="63" t="s">
        <v>42</v>
      </c>
      <c r="G135" s="64">
        <v>1</v>
      </c>
      <c r="H135" s="48">
        <v>26</v>
      </c>
      <c r="I135" s="48">
        <f t="shared" si="18"/>
        <v>26</v>
      </c>
      <c r="J135" s="49">
        <v>19</v>
      </c>
      <c r="K135" s="50">
        <f t="shared" si="17"/>
        <v>494</v>
      </c>
      <c r="L135" s="3" t="s">
        <v>68</v>
      </c>
      <c r="M135" s="48"/>
    </row>
    <row r="136" s="37" customFormat="1" spans="1:13">
      <c r="A136" s="44">
        <v>45548</v>
      </c>
      <c r="B136" s="45">
        <v>43</v>
      </c>
      <c r="C136" s="48" t="s">
        <v>23</v>
      </c>
      <c r="D136" s="48"/>
      <c r="E136" s="48"/>
      <c r="F136" s="63" t="s">
        <v>24</v>
      </c>
      <c r="G136" s="64">
        <v>2</v>
      </c>
      <c r="H136" s="48">
        <v>25</v>
      </c>
      <c r="I136" s="48">
        <v>50</v>
      </c>
      <c r="J136" s="49">
        <v>19</v>
      </c>
      <c r="K136" s="50">
        <f t="shared" si="17"/>
        <v>950</v>
      </c>
      <c r="L136" s="3"/>
      <c r="M136" s="48"/>
    </row>
    <row r="137" s="37" customFormat="1" spans="1:13">
      <c r="A137" s="44">
        <v>45548</v>
      </c>
      <c r="B137" s="45">
        <v>43</v>
      </c>
      <c r="C137" s="48">
        <v>8036</v>
      </c>
      <c r="D137" s="48"/>
      <c r="E137" s="48"/>
      <c r="F137" s="63" t="s">
        <v>131</v>
      </c>
      <c r="G137" s="64">
        <v>1</v>
      </c>
      <c r="H137" s="48">
        <v>26</v>
      </c>
      <c r="I137" s="48">
        <v>25</v>
      </c>
      <c r="J137" s="49">
        <v>19</v>
      </c>
      <c r="K137" s="50">
        <f t="shared" si="17"/>
        <v>475</v>
      </c>
      <c r="L137" s="3" t="s">
        <v>132</v>
      </c>
      <c r="M137" s="48"/>
    </row>
    <row r="138" s="37" customFormat="1" spans="1:13">
      <c r="A138" s="44">
        <v>45548</v>
      </c>
      <c r="B138" s="45">
        <v>43</v>
      </c>
      <c r="C138" s="48" t="s">
        <v>153</v>
      </c>
      <c r="D138" s="48"/>
      <c r="E138" s="48"/>
      <c r="F138" s="63" t="s">
        <v>26</v>
      </c>
      <c r="G138" s="64">
        <v>1</v>
      </c>
      <c r="H138" s="48">
        <v>26</v>
      </c>
      <c r="I138" s="48">
        <v>15</v>
      </c>
      <c r="J138" s="49">
        <v>19</v>
      </c>
      <c r="K138" s="50">
        <f t="shared" si="17"/>
        <v>285</v>
      </c>
      <c r="L138" s="65" t="s">
        <v>20</v>
      </c>
      <c r="M138" s="65"/>
    </row>
    <row r="139" s="37" customFormat="1" spans="1:13">
      <c r="A139" s="44">
        <v>45548</v>
      </c>
      <c r="B139" s="45">
        <v>43</v>
      </c>
      <c r="C139" s="48" t="s">
        <v>95</v>
      </c>
      <c r="D139" s="48"/>
      <c r="E139" s="48"/>
      <c r="F139" s="63" t="s">
        <v>24</v>
      </c>
      <c r="G139" s="64">
        <v>1</v>
      </c>
      <c r="H139" s="48">
        <v>25</v>
      </c>
      <c r="I139" s="48">
        <f t="shared" ref="I139:I158" si="19">G139*H139</f>
        <v>25</v>
      </c>
      <c r="J139" s="49">
        <v>19</v>
      </c>
      <c r="K139" s="50">
        <f t="shared" si="17"/>
        <v>475</v>
      </c>
      <c r="L139" s="3" t="s">
        <v>124</v>
      </c>
      <c r="M139" s="48"/>
    </row>
    <row r="140" s="37" customFormat="1" spans="1:13">
      <c r="A140" s="44">
        <v>45548</v>
      </c>
      <c r="B140" s="45">
        <v>43</v>
      </c>
      <c r="C140" s="48" t="s">
        <v>96</v>
      </c>
      <c r="D140" s="48"/>
      <c r="E140" s="48"/>
      <c r="F140" s="63" t="s">
        <v>97</v>
      </c>
      <c r="G140" s="64">
        <v>1</v>
      </c>
      <c r="H140" s="48">
        <v>6</v>
      </c>
      <c r="I140" s="48">
        <f t="shared" si="19"/>
        <v>6</v>
      </c>
      <c r="J140" s="49">
        <v>19</v>
      </c>
      <c r="K140" s="50">
        <f t="shared" si="17"/>
        <v>114</v>
      </c>
      <c r="L140" s="3" t="s">
        <v>124</v>
      </c>
      <c r="M140" s="48"/>
    </row>
    <row r="141" s="37" customFormat="1" spans="1:13">
      <c r="A141" s="44">
        <v>45548</v>
      </c>
      <c r="B141" s="45">
        <v>43</v>
      </c>
      <c r="C141" s="48" t="s">
        <v>65</v>
      </c>
      <c r="D141" s="48"/>
      <c r="E141" s="48"/>
      <c r="F141" s="63" t="s">
        <v>66</v>
      </c>
      <c r="G141" s="64">
        <v>1</v>
      </c>
      <c r="H141" s="48">
        <v>180</v>
      </c>
      <c r="I141" s="48">
        <f t="shared" si="19"/>
        <v>180</v>
      </c>
      <c r="J141" s="49">
        <v>11</v>
      </c>
      <c r="K141" s="50">
        <f t="shared" si="17"/>
        <v>1980</v>
      </c>
      <c r="L141" s="65"/>
      <c r="M141" s="48">
        <f>SUM(K134:K142)</f>
        <v>5564</v>
      </c>
    </row>
    <row r="142" s="37" customFormat="1" spans="1:13">
      <c r="A142" s="44">
        <v>45548</v>
      </c>
      <c r="B142" s="45">
        <v>43</v>
      </c>
      <c r="C142" s="48" t="s">
        <v>79</v>
      </c>
      <c r="D142" s="48"/>
      <c r="E142" s="48"/>
      <c r="F142" s="63" t="s">
        <v>42</v>
      </c>
      <c r="G142" s="64">
        <v>1</v>
      </c>
      <c r="H142" s="48">
        <v>26</v>
      </c>
      <c r="I142" s="48">
        <f t="shared" si="19"/>
        <v>26</v>
      </c>
      <c r="J142" s="49">
        <v>19</v>
      </c>
      <c r="K142" s="50">
        <f t="shared" si="17"/>
        <v>494</v>
      </c>
      <c r="L142" s="65" t="s">
        <v>68</v>
      </c>
      <c r="M142" s="65" t="s">
        <v>73</v>
      </c>
    </row>
    <row r="143" s="39" customFormat="1" spans="1:13">
      <c r="A143" s="54">
        <v>45553</v>
      </c>
      <c r="B143" s="55">
        <v>51</v>
      </c>
      <c r="C143" s="46" t="s">
        <v>145</v>
      </c>
      <c r="D143" s="46"/>
      <c r="E143" s="46"/>
      <c r="F143" s="57" t="s">
        <v>146</v>
      </c>
      <c r="G143" s="58">
        <v>3</v>
      </c>
      <c r="H143" s="59">
        <v>25</v>
      </c>
      <c r="I143" s="59">
        <f t="shared" si="19"/>
        <v>75</v>
      </c>
      <c r="J143" s="60">
        <v>14</v>
      </c>
      <c r="K143" s="61">
        <f t="shared" si="17"/>
        <v>1050</v>
      </c>
      <c r="L143" s="67" t="s">
        <v>147</v>
      </c>
      <c r="M143" s="59"/>
    </row>
    <row r="144" s="39" customFormat="1" spans="1:13">
      <c r="A144" s="54">
        <v>45553</v>
      </c>
      <c r="B144" s="55">
        <v>51</v>
      </c>
      <c r="C144" s="46" t="s">
        <v>29</v>
      </c>
      <c r="D144" s="46"/>
      <c r="E144" s="46"/>
      <c r="F144" s="57" t="s">
        <v>30</v>
      </c>
      <c r="G144" s="58">
        <v>3</v>
      </c>
      <c r="H144" s="59">
        <v>10</v>
      </c>
      <c r="I144" s="59">
        <f t="shared" si="19"/>
        <v>30</v>
      </c>
      <c r="J144" s="60">
        <v>16.5</v>
      </c>
      <c r="K144" s="61">
        <f t="shared" si="17"/>
        <v>495</v>
      </c>
      <c r="L144" s="62" t="s">
        <v>116</v>
      </c>
      <c r="M144" s="59"/>
    </row>
    <row r="145" s="37" customFormat="1" spans="1:13">
      <c r="A145" s="44">
        <v>45558</v>
      </c>
      <c r="B145" s="45">
        <v>78</v>
      </c>
      <c r="C145" s="48">
        <v>8036</v>
      </c>
      <c r="D145" s="48"/>
      <c r="E145" s="48"/>
      <c r="F145" s="63" t="s">
        <v>131</v>
      </c>
      <c r="G145" s="64">
        <v>2</v>
      </c>
      <c r="H145" s="48">
        <v>26</v>
      </c>
      <c r="I145" s="48">
        <f t="shared" si="19"/>
        <v>52</v>
      </c>
      <c r="J145" s="49">
        <v>19</v>
      </c>
      <c r="K145" s="50">
        <f t="shared" si="17"/>
        <v>988</v>
      </c>
      <c r="L145" s="3" t="s">
        <v>132</v>
      </c>
      <c r="M145" s="48"/>
    </row>
    <row r="146" s="37" customFormat="1" spans="1:13">
      <c r="A146" s="44">
        <v>45558</v>
      </c>
      <c r="B146" s="45">
        <v>78</v>
      </c>
      <c r="C146" s="66" t="s">
        <v>15</v>
      </c>
      <c r="D146" s="66"/>
      <c r="E146" s="66"/>
      <c r="F146" s="63" t="s">
        <v>16</v>
      </c>
      <c r="G146" s="64">
        <v>2</v>
      </c>
      <c r="H146" s="48">
        <v>10</v>
      </c>
      <c r="I146" s="48">
        <f t="shared" si="19"/>
        <v>20</v>
      </c>
      <c r="J146" s="49">
        <v>19</v>
      </c>
      <c r="K146" s="50">
        <f t="shared" si="17"/>
        <v>380</v>
      </c>
      <c r="L146" s="3" t="s">
        <v>17</v>
      </c>
      <c r="M146" s="48"/>
    </row>
    <row r="147" s="37" customFormat="1" spans="1:13">
      <c r="A147" s="44">
        <v>45558</v>
      </c>
      <c r="B147" s="45">
        <v>78</v>
      </c>
      <c r="C147" s="66" t="s">
        <v>59</v>
      </c>
      <c r="D147" s="66"/>
      <c r="E147" s="66"/>
      <c r="F147" s="63" t="s">
        <v>60</v>
      </c>
      <c r="G147" s="64">
        <v>1</v>
      </c>
      <c r="H147" s="48">
        <v>180</v>
      </c>
      <c r="I147" s="48">
        <f t="shared" si="19"/>
        <v>180</v>
      </c>
      <c r="J147" s="49">
        <v>6.5</v>
      </c>
      <c r="K147" s="50">
        <f t="shared" si="17"/>
        <v>1170</v>
      </c>
      <c r="L147" s="65" t="s">
        <v>61</v>
      </c>
      <c r="M147" s="48"/>
    </row>
    <row r="148" s="37" customFormat="1" spans="1:13">
      <c r="A148" s="44">
        <v>45558</v>
      </c>
      <c r="B148" s="45">
        <v>78</v>
      </c>
      <c r="C148" s="66" t="s">
        <v>62</v>
      </c>
      <c r="D148" s="66"/>
      <c r="E148" s="66"/>
      <c r="F148" s="63" t="s">
        <v>63</v>
      </c>
      <c r="G148" s="64">
        <v>1</v>
      </c>
      <c r="H148" s="48">
        <v>180</v>
      </c>
      <c r="I148" s="48">
        <f t="shared" si="19"/>
        <v>180</v>
      </c>
      <c r="J148" s="49">
        <v>8</v>
      </c>
      <c r="K148" s="50">
        <f t="shared" si="17"/>
        <v>1440</v>
      </c>
      <c r="L148" s="65" t="s">
        <v>64</v>
      </c>
      <c r="M148" s="48">
        <f>SUM(K145:K148)</f>
        <v>3978</v>
      </c>
    </row>
    <row r="149" s="42" customFormat="1" spans="1:13">
      <c r="A149" s="78">
        <v>45560</v>
      </c>
      <c r="B149" s="79"/>
      <c r="C149" s="80"/>
      <c r="D149" s="80"/>
      <c r="E149" s="80"/>
      <c r="F149" s="47" t="s">
        <v>159</v>
      </c>
      <c r="G149" s="81"/>
      <c r="H149" s="82"/>
      <c r="I149" s="82"/>
      <c r="J149" s="74"/>
      <c r="K149" s="83"/>
      <c r="L149" s="93"/>
      <c r="M149" s="82"/>
    </row>
    <row r="150" s="42" customFormat="1" spans="1:13">
      <c r="A150" s="78">
        <v>45560</v>
      </c>
      <c r="B150" s="79"/>
      <c r="C150" s="80"/>
      <c r="D150" s="80"/>
      <c r="E150" s="80"/>
      <c r="F150" s="47" t="s">
        <v>160</v>
      </c>
      <c r="G150" s="81"/>
      <c r="H150" s="82"/>
      <c r="I150" s="82"/>
      <c r="J150" s="74"/>
      <c r="K150" s="83"/>
      <c r="L150" s="93"/>
      <c r="M150" s="82"/>
    </row>
    <row r="151" s="39" customFormat="1" spans="1:13">
      <c r="A151" s="54">
        <v>45560</v>
      </c>
      <c r="B151" s="55">
        <v>88</v>
      </c>
      <c r="C151" s="46" t="s">
        <v>152</v>
      </c>
      <c r="D151" s="46"/>
      <c r="E151" s="46"/>
      <c r="F151" s="57" t="s">
        <v>131</v>
      </c>
      <c r="G151" s="58">
        <v>1</v>
      </c>
      <c r="H151" s="59">
        <v>25</v>
      </c>
      <c r="I151" s="59">
        <f t="shared" ref="I151:I157" si="20">G151*H151</f>
        <v>25</v>
      </c>
      <c r="J151" s="60">
        <v>19</v>
      </c>
      <c r="K151" s="61">
        <f t="shared" ref="K151:K157" si="21">I151*J151</f>
        <v>475</v>
      </c>
      <c r="L151" s="67" t="s">
        <v>20</v>
      </c>
      <c r="M151" s="67"/>
    </row>
    <row r="152" s="39" customFormat="1" spans="1:13">
      <c r="A152" s="54">
        <v>45560</v>
      </c>
      <c r="B152" s="55">
        <v>88</v>
      </c>
      <c r="C152" s="46">
        <v>8050</v>
      </c>
      <c r="D152" s="46"/>
      <c r="E152" s="46"/>
      <c r="F152" s="57" t="s">
        <v>161</v>
      </c>
      <c r="G152" s="58">
        <v>1</v>
      </c>
      <c r="H152" s="59">
        <v>16</v>
      </c>
      <c r="I152" s="59">
        <f t="shared" si="20"/>
        <v>16</v>
      </c>
      <c r="J152" s="60">
        <v>19</v>
      </c>
      <c r="K152" s="61">
        <f t="shared" si="21"/>
        <v>304</v>
      </c>
      <c r="L152" s="67" t="s">
        <v>162</v>
      </c>
      <c r="M152" s="59"/>
    </row>
    <row r="153" s="39" customFormat="1" spans="1:13">
      <c r="A153" s="54">
        <v>45560</v>
      </c>
      <c r="B153" s="55">
        <v>88</v>
      </c>
      <c r="C153" s="46" t="s">
        <v>128</v>
      </c>
      <c r="D153" s="46"/>
      <c r="E153" s="46"/>
      <c r="F153" s="57" t="s">
        <v>129</v>
      </c>
      <c r="G153" s="58">
        <v>1</v>
      </c>
      <c r="H153" s="59">
        <v>26</v>
      </c>
      <c r="I153" s="59">
        <f t="shared" si="20"/>
        <v>26</v>
      </c>
      <c r="J153" s="60">
        <v>19</v>
      </c>
      <c r="K153" s="61">
        <f t="shared" si="21"/>
        <v>494</v>
      </c>
      <c r="L153" s="62" t="s">
        <v>130</v>
      </c>
      <c r="M153" s="59"/>
    </row>
    <row r="154" s="39" customFormat="1" spans="1:13">
      <c r="A154" s="54">
        <v>45560</v>
      </c>
      <c r="B154" s="55">
        <v>88</v>
      </c>
      <c r="C154" s="46" t="s">
        <v>151</v>
      </c>
      <c r="D154" s="46"/>
      <c r="E154" s="46"/>
      <c r="F154" s="57" t="s">
        <v>24</v>
      </c>
      <c r="G154" s="58">
        <v>1</v>
      </c>
      <c r="H154" s="59">
        <v>24</v>
      </c>
      <c r="I154" s="59">
        <f t="shared" si="20"/>
        <v>24</v>
      </c>
      <c r="J154" s="60">
        <v>19</v>
      </c>
      <c r="K154" s="61">
        <f t="shared" si="21"/>
        <v>456</v>
      </c>
      <c r="L154" s="67" t="s">
        <v>20</v>
      </c>
      <c r="M154" s="67"/>
    </row>
    <row r="155" s="39" customFormat="1" spans="1:13">
      <c r="A155" s="54">
        <v>45560</v>
      </c>
      <c r="B155" s="55">
        <v>88</v>
      </c>
      <c r="C155" s="46" t="s">
        <v>25</v>
      </c>
      <c r="D155" s="46"/>
      <c r="E155" s="46"/>
      <c r="F155" s="57" t="s">
        <v>26</v>
      </c>
      <c r="G155" s="58">
        <v>1</v>
      </c>
      <c r="H155" s="59">
        <v>5</v>
      </c>
      <c r="I155" s="59">
        <f t="shared" si="20"/>
        <v>5</v>
      </c>
      <c r="J155" s="60">
        <v>19</v>
      </c>
      <c r="K155" s="61">
        <f t="shared" si="21"/>
        <v>95</v>
      </c>
      <c r="L155" s="62"/>
      <c r="M155" s="59"/>
    </row>
    <row r="156" s="39" customFormat="1" spans="1:13">
      <c r="A156" s="54">
        <v>45558</v>
      </c>
      <c r="B156" s="55">
        <v>88</v>
      </c>
      <c r="C156" s="46" t="s">
        <v>15</v>
      </c>
      <c r="D156" s="46"/>
      <c r="E156" s="46"/>
      <c r="F156" s="57" t="s">
        <v>16</v>
      </c>
      <c r="G156" s="58">
        <v>4</v>
      </c>
      <c r="H156" s="59">
        <v>10</v>
      </c>
      <c r="I156" s="59">
        <f t="shared" si="20"/>
        <v>40</v>
      </c>
      <c r="J156" s="60">
        <v>19</v>
      </c>
      <c r="K156" s="61">
        <f t="shared" si="21"/>
        <v>760</v>
      </c>
      <c r="L156" s="62" t="s">
        <v>17</v>
      </c>
      <c r="M156" s="59"/>
    </row>
    <row r="157" s="39" customFormat="1" spans="1:13">
      <c r="A157" s="54">
        <v>45539</v>
      </c>
      <c r="B157" s="55">
        <v>41</v>
      </c>
      <c r="C157" s="46">
        <v>240515</v>
      </c>
      <c r="D157" s="46"/>
      <c r="E157" s="46"/>
      <c r="F157" s="57" t="s">
        <v>70</v>
      </c>
      <c r="G157" s="58">
        <v>1</v>
      </c>
      <c r="H157" s="59">
        <v>25</v>
      </c>
      <c r="I157" s="59">
        <f t="shared" si="20"/>
        <v>25</v>
      </c>
      <c r="J157" s="60">
        <v>19</v>
      </c>
      <c r="K157" s="61">
        <f t="shared" si="21"/>
        <v>475</v>
      </c>
      <c r="L157" s="62"/>
      <c r="M157" s="59"/>
    </row>
    <row r="158" s="39" customFormat="1" spans="1:13">
      <c r="A158" s="54">
        <v>45560</v>
      </c>
      <c r="B158" s="55">
        <v>88</v>
      </c>
      <c r="C158" s="46" t="s">
        <v>163</v>
      </c>
      <c r="D158" s="46"/>
      <c r="E158" s="46"/>
      <c r="F158" s="57" t="s">
        <v>164</v>
      </c>
      <c r="G158" s="58"/>
      <c r="H158" s="59"/>
      <c r="I158" s="59"/>
      <c r="J158" s="60"/>
      <c r="K158" s="61"/>
      <c r="L158" s="67"/>
      <c r="M158" s="67"/>
    </row>
    <row r="159" s="39" customFormat="1" spans="1:13">
      <c r="A159" s="54">
        <v>45560</v>
      </c>
      <c r="B159" s="55">
        <v>88</v>
      </c>
      <c r="C159" s="46" t="s">
        <v>165</v>
      </c>
      <c r="D159" s="46"/>
      <c r="E159" s="46"/>
      <c r="F159" s="57" t="s">
        <v>166</v>
      </c>
      <c r="G159" s="58"/>
      <c r="H159" s="59"/>
      <c r="I159" s="59"/>
      <c r="J159" s="60"/>
      <c r="K159" s="61"/>
      <c r="L159" s="67"/>
      <c r="M159" s="59"/>
    </row>
    <row r="160" s="39" customFormat="1" spans="1:13">
      <c r="A160" s="54">
        <v>45560</v>
      </c>
      <c r="B160" s="55">
        <v>88</v>
      </c>
      <c r="C160" s="46" t="s">
        <v>167</v>
      </c>
      <c r="D160" s="46"/>
      <c r="E160" s="46"/>
      <c r="F160" s="57" t="s">
        <v>168</v>
      </c>
      <c r="G160" s="58"/>
      <c r="H160" s="59"/>
      <c r="I160" s="59"/>
      <c r="J160" s="60"/>
      <c r="K160" s="61"/>
      <c r="L160" s="62"/>
      <c r="M160" s="59"/>
    </row>
    <row r="161" s="39" customFormat="1" spans="1:14">
      <c r="A161" s="54">
        <v>45560</v>
      </c>
      <c r="B161" s="55">
        <v>88</v>
      </c>
      <c r="C161" s="46" t="s">
        <v>169</v>
      </c>
      <c r="D161" s="46"/>
      <c r="E161" s="46"/>
      <c r="F161" s="57" t="s">
        <v>170</v>
      </c>
      <c r="G161" s="58"/>
      <c r="H161" s="59"/>
      <c r="I161" s="59"/>
      <c r="J161" s="60"/>
      <c r="K161" s="61"/>
      <c r="L161" s="67"/>
      <c r="M161" s="67"/>
    </row>
    <row r="162" s="39" customFormat="1" spans="1:14">
      <c r="A162" s="54">
        <v>45560</v>
      </c>
      <c r="B162" s="55">
        <v>88</v>
      </c>
      <c r="C162" s="46" t="s">
        <v>171</v>
      </c>
      <c r="D162" s="46"/>
      <c r="E162" s="46"/>
      <c r="F162" s="57" t="s">
        <v>172</v>
      </c>
      <c r="G162" s="58"/>
      <c r="H162" s="59"/>
      <c r="I162" s="59"/>
      <c r="J162" s="60"/>
      <c r="K162" s="61"/>
      <c r="L162" s="62"/>
      <c r="M162" s="59"/>
    </row>
    <row r="163" s="37" customFormat="1" spans="1:14">
      <c r="A163" s="44">
        <v>45571</v>
      </c>
      <c r="B163" s="45">
        <v>10</v>
      </c>
      <c r="C163" s="66" t="s">
        <v>21</v>
      </c>
      <c r="D163" s="66"/>
      <c r="E163" s="66"/>
      <c r="F163" s="63" t="s">
        <v>22</v>
      </c>
      <c r="G163" s="64">
        <v>5</v>
      </c>
      <c r="H163" s="48">
        <v>28</v>
      </c>
      <c r="I163" s="48">
        <f t="shared" ref="I163:I208" si="22">G163*H163</f>
        <v>140</v>
      </c>
      <c r="J163" s="49">
        <v>10</v>
      </c>
      <c r="K163" s="50">
        <f t="shared" ref="K163:K208" si="23">I163*J163</f>
        <v>1400</v>
      </c>
      <c r="L163" s="123">
        <v>9804</v>
      </c>
      <c r="M163" s="48"/>
    </row>
    <row r="164" s="37" customFormat="1" spans="1:14">
      <c r="A164" s="44">
        <v>45571</v>
      </c>
      <c r="B164" s="45">
        <v>10</v>
      </c>
      <c r="C164" s="48" t="s">
        <v>65</v>
      </c>
      <c r="D164" s="48"/>
      <c r="E164" s="48"/>
      <c r="F164" s="63" t="s">
        <v>66</v>
      </c>
      <c r="G164" s="64">
        <v>1</v>
      </c>
      <c r="H164" s="48">
        <v>180</v>
      </c>
      <c r="I164" s="48">
        <f t="shared" si="22"/>
        <v>180</v>
      </c>
      <c r="J164" s="49">
        <v>11</v>
      </c>
      <c r="K164" s="50">
        <f t="shared" si="23"/>
        <v>1980</v>
      </c>
      <c r="L164" s="65"/>
      <c r="M164" s="48">
        <f>SUM(K161:K164)</f>
        <v>3380</v>
      </c>
      <c r="N164" s="37" t="s">
        <v>173</v>
      </c>
    </row>
    <row r="165" s="39" customFormat="1" spans="1:14">
      <c r="A165" s="54">
        <v>45576</v>
      </c>
      <c r="B165" s="55">
        <v>24</v>
      </c>
      <c r="C165" s="46" t="s">
        <v>149</v>
      </c>
      <c r="D165" s="46"/>
      <c r="E165" s="46"/>
      <c r="F165" s="57" t="s">
        <v>150</v>
      </c>
      <c r="G165" s="58">
        <v>1</v>
      </c>
      <c r="H165" s="59">
        <v>25</v>
      </c>
      <c r="I165" s="59">
        <f t="shared" si="22"/>
        <v>25</v>
      </c>
      <c r="J165" s="60">
        <v>19</v>
      </c>
      <c r="K165" s="61">
        <f t="shared" si="23"/>
        <v>475</v>
      </c>
      <c r="L165" s="67" t="s">
        <v>20</v>
      </c>
      <c r="M165" s="67"/>
    </row>
    <row r="166" s="39" customFormat="1" spans="1:14">
      <c r="A166" s="54">
        <v>45576</v>
      </c>
      <c r="B166" s="55">
        <v>24</v>
      </c>
      <c r="C166" s="46" t="s">
        <v>15</v>
      </c>
      <c r="D166" s="46"/>
      <c r="E166" s="46"/>
      <c r="F166" s="57" t="s">
        <v>16</v>
      </c>
      <c r="G166" s="58">
        <v>1</v>
      </c>
      <c r="H166" s="59">
        <v>10</v>
      </c>
      <c r="I166" s="59">
        <f t="shared" si="22"/>
        <v>10</v>
      </c>
      <c r="J166" s="60">
        <v>19</v>
      </c>
      <c r="K166" s="61">
        <f t="shared" si="23"/>
        <v>190</v>
      </c>
      <c r="L166" s="62" t="s">
        <v>17</v>
      </c>
      <c r="M166" s="59"/>
    </row>
    <row r="167" s="39" customFormat="1" spans="1:14">
      <c r="A167" s="54">
        <v>45576</v>
      </c>
      <c r="B167" s="55">
        <v>24</v>
      </c>
      <c r="C167" s="46" t="s">
        <v>21</v>
      </c>
      <c r="D167" s="46"/>
      <c r="E167" s="46"/>
      <c r="F167" s="57" t="s">
        <v>22</v>
      </c>
      <c r="G167" s="58">
        <v>5</v>
      </c>
      <c r="H167" s="59">
        <v>28</v>
      </c>
      <c r="I167" s="59">
        <f t="shared" si="22"/>
        <v>140</v>
      </c>
      <c r="J167" s="60">
        <v>10</v>
      </c>
      <c r="K167" s="61">
        <f t="shared" si="23"/>
        <v>1400</v>
      </c>
      <c r="L167" s="122">
        <v>9804</v>
      </c>
      <c r="M167" s="59">
        <f>SUM(K165:K167)</f>
        <v>2065</v>
      </c>
    </row>
    <row r="168" s="37" customFormat="1" spans="1:14">
      <c r="A168" s="44">
        <v>45577</v>
      </c>
      <c r="B168" s="100">
        <v>32</v>
      </c>
      <c r="C168" s="48" t="s">
        <v>153</v>
      </c>
      <c r="D168" s="48"/>
      <c r="E168" s="48"/>
      <c r="F168" s="63" t="s">
        <v>26</v>
      </c>
      <c r="G168" s="64">
        <v>1</v>
      </c>
      <c r="H168" s="48">
        <v>26</v>
      </c>
      <c r="I168" s="48">
        <f t="shared" si="22"/>
        <v>26</v>
      </c>
      <c r="J168" s="49">
        <v>19</v>
      </c>
      <c r="K168" s="50">
        <f t="shared" si="23"/>
        <v>494</v>
      </c>
      <c r="L168" s="63"/>
      <c r="M168" s="63"/>
    </row>
    <row r="169" s="37" customFormat="1" spans="1:14">
      <c r="A169" s="44">
        <v>45577</v>
      </c>
      <c r="B169" s="100">
        <v>32</v>
      </c>
      <c r="C169" s="48" t="s">
        <v>174</v>
      </c>
      <c r="D169" s="48"/>
      <c r="E169" s="48"/>
      <c r="F169" s="63" t="s">
        <v>175</v>
      </c>
      <c r="G169" s="64">
        <v>1</v>
      </c>
      <c r="H169" s="48">
        <v>26</v>
      </c>
      <c r="I169" s="48">
        <f t="shared" si="22"/>
        <v>26</v>
      </c>
      <c r="J169" s="49">
        <v>19</v>
      </c>
      <c r="K169" s="50">
        <f t="shared" si="23"/>
        <v>494</v>
      </c>
      <c r="L169" s="63" t="s">
        <v>130</v>
      </c>
      <c r="M169" s="63"/>
    </row>
    <row r="170" s="37" customFormat="1" spans="1:14">
      <c r="A170" s="44">
        <v>45577</v>
      </c>
      <c r="B170" s="100">
        <v>32</v>
      </c>
      <c r="C170" s="48" t="s">
        <v>176</v>
      </c>
      <c r="D170" s="48"/>
      <c r="E170" s="48"/>
      <c r="F170" s="63" t="s">
        <v>177</v>
      </c>
      <c r="G170" s="64">
        <v>1</v>
      </c>
      <c r="H170" s="48">
        <v>15</v>
      </c>
      <c r="I170" s="48">
        <f t="shared" si="22"/>
        <v>15</v>
      </c>
      <c r="J170" s="49">
        <v>19</v>
      </c>
      <c r="K170" s="50">
        <f t="shared" si="23"/>
        <v>285</v>
      </c>
      <c r="L170" s="63" t="s">
        <v>20</v>
      </c>
      <c r="M170" s="63"/>
    </row>
    <row r="171" s="37" customFormat="1" spans="1:14">
      <c r="A171" s="44">
        <v>45577</v>
      </c>
      <c r="B171" s="100">
        <v>32</v>
      </c>
      <c r="C171" s="66" t="s">
        <v>15</v>
      </c>
      <c r="D171" s="66"/>
      <c r="E171" s="66"/>
      <c r="F171" s="63" t="s">
        <v>16</v>
      </c>
      <c r="G171" s="64">
        <v>3</v>
      </c>
      <c r="H171" s="48">
        <v>10</v>
      </c>
      <c r="I171" s="48">
        <f t="shared" si="22"/>
        <v>30</v>
      </c>
      <c r="J171" s="49">
        <v>19</v>
      </c>
      <c r="K171" s="50">
        <f t="shared" si="23"/>
        <v>570</v>
      </c>
      <c r="L171" s="3" t="s">
        <v>17</v>
      </c>
      <c r="M171" s="48"/>
    </row>
    <row r="172" s="37" customFormat="1" spans="1:14">
      <c r="A172" s="44">
        <v>45577</v>
      </c>
      <c r="B172" s="100">
        <v>32</v>
      </c>
      <c r="C172" s="66" t="s">
        <v>59</v>
      </c>
      <c r="D172" s="66"/>
      <c r="E172" s="66"/>
      <c r="F172" s="63" t="s">
        <v>60</v>
      </c>
      <c r="G172" s="64">
        <v>1</v>
      </c>
      <c r="H172" s="48">
        <v>180</v>
      </c>
      <c r="I172" s="48">
        <f t="shared" si="22"/>
        <v>180</v>
      </c>
      <c r="J172" s="49">
        <v>6.5</v>
      </c>
      <c r="K172" s="50">
        <f t="shared" si="23"/>
        <v>1170</v>
      </c>
      <c r="L172" s="65" t="s">
        <v>61</v>
      </c>
      <c r="M172" s="48">
        <f>SUM(K168:K172)</f>
        <v>3013</v>
      </c>
    </row>
    <row r="173" s="39" customFormat="1" spans="1:14">
      <c r="A173" s="54">
        <v>45594</v>
      </c>
      <c r="B173" s="55">
        <v>90</v>
      </c>
      <c r="C173" s="46" t="s">
        <v>21</v>
      </c>
      <c r="D173" s="46"/>
      <c r="E173" s="46"/>
      <c r="F173" s="57" t="s">
        <v>22</v>
      </c>
      <c r="G173" s="58">
        <v>10</v>
      </c>
      <c r="H173" s="59">
        <v>28</v>
      </c>
      <c r="I173" s="59">
        <f t="shared" si="22"/>
        <v>280</v>
      </c>
      <c r="J173" s="60">
        <v>10</v>
      </c>
      <c r="K173" s="61">
        <f t="shared" si="23"/>
        <v>2800</v>
      </c>
      <c r="L173" s="122">
        <v>9804</v>
      </c>
      <c r="M173" s="59"/>
    </row>
    <row r="174" s="39" customFormat="1" spans="1:14">
      <c r="A174" s="54">
        <v>45594</v>
      </c>
      <c r="B174" s="55">
        <v>90</v>
      </c>
      <c r="C174" s="59" t="s">
        <v>178</v>
      </c>
      <c r="D174" s="59"/>
      <c r="E174" s="59"/>
      <c r="F174" s="57" t="s">
        <v>158</v>
      </c>
      <c r="G174" s="58">
        <v>3</v>
      </c>
      <c r="H174" s="59">
        <v>25</v>
      </c>
      <c r="I174" s="59">
        <f t="shared" si="22"/>
        <v>75</v>
      </c>
      <c r="J174" s="60">
        <v>13.5</v>
      </c>
      <c r="K174" s="61">
        <f t="shared" si="23"/>
        <v>1012.5</v>
      </c>
      <c r="L174" s="67" t="s">
        <v>179</v>
      </c>
      <c r="M174" s="59"/>
    </row>
    <row r="175" s="39" customFormat="1" spans="1:14">
      <c r="A175" s="54">
        <v>45594</v>
      </c>
      <c r="B175" s="55">
        <v>90</v>
      </c>
      <c r="C175" s="46" t="s">
        <v>29</v>
      </c>
      <c r="D175" s="46"/>
      <c r="E175" s="46"/>
      <c r="F175" s="57" t="s">
        <v>30</v>
      </c>
      <c r="G175" s="58">
        <v>6</v>
      </c>
      <c r="H175" s="59">
        <v>10</v>
      </c>
      <c r="I175" s="59">
        <f t="shared" si="22"/>
        <v>60</v>
      </c>
      <c r="J175" s="60">
        <v>16.5</v>
      </c>
      <c r="K175" s="61">
        <f t="shared" si="23"/>
        <v>990</v>
      </c>
      <c r="L175" s="62" t="s">
        <v>116</v>
      </c>
      <c r="M175" s="59">
        <f>SUM(K173:K175)</f>
        <v>4802.5</v>
      </c>
    </row>
    <row r="176" s="37" customFormat="1" spans="1:14">
      <c r="A176" s="44">
        <v>45594</v>
      </c>
      <c r="B176" s="45">
        <v>95</v>
      </c>
      <c r="C176" s="48" t="s">
        <v>95</v>
      </c>
      <c r="D176" s="48"/>
      <c r="E176" s="48"/>
      <c r="F176" s="63" t="s">
        <v>24</v>
      </c>
      <c r="G176" s="64">
        <v>1</v>
      </c>
      <c r="H176" s="48">
        <v>26</v>
      </c>
      <c r="I176" s="48">
        <f t="shared" si="22"/>
        <v>26</v>
      </c>
      <c r="J176" s="49">
        <v>19</v>
      </c>
      <c r="K176" s="50">
        <f t="shared" si="23"/>
        <v>494</v>
      </c>
      <c r="L176" s="3" t="s">
        <v>124</v>
      </c>
      <c r="M176" s="48"/>
    </row>
    <row r="177" s="37" customFormat="1" spans="1:13">
      <c r="A177" s="44">
        <v>45594</v>
      </c>
      <c r="B177" s="45">
        <v>95</v>
      </c>
      <c r="C177" s="66" t="s">
        <v>152</v>
      </c>
      <c r="D177" s="66"/>
      <c r="E177" s="66"/>
      <c r="F177" s="63" t="s">
        <v>131</v>
      </c>
      <c r="G177" s="64">
        <v>1</v>
      </c>
      <c r="H177" s="48">
        <v>26</v>
      </c>
      <c r="I177" s="48">
        <f t="shared" si="22"/>
        <v>26</v>
      </c>
      <c r="J177" s="49">
        <v>19</v>
      </c>
      <c r="K177" s="50">
        <f t="shared" si="23"/>
        <v>494</v>
      </c>
      <c r="L177" s="65" t="s">
        <v>20</v>
      </c>
      <c r="M177" s="65"/>
    </row>
    <row r="178" s="37" customFormat="1" spans="1:13">
      <c r="A178" s="44">
        <v>45594</v>
      </c>
      <c r="B178" s="45">
        <v>95</v>
      </c>
      <c r="C178" s="66" t="s">
        <v>151</v>
      </c>
      <c r="D178" s="66"/>
      <c r="E178" s="66"/>
      <c r="F178" s="63" t="s">
        <v>24</v>
      </c>
      <c r="G178" s="64">
        <v>1</v>
      </c>
      <c r="H178" s="48">
        <v>26</v>
      </c>
      <c r="I178" s="48">
        <f t="shared" si="22"/>
        <v>26</v>
      </c>
      <c r="J178" s="49">
        <v>19</v>
      </c>
      <c r="K178" s="50">
        <f t="shared" si="23"/>
        <v>494</v>
      </c>
      <c r="L178" s="65" t="s">
        <v>20</v>
      </c>
      <c r="M178" s="65"/>
    </row>
    <row r="179" s="37" customFormat="1" spans="1:13">
      <c r="A179" s="44">
        <v>45594</v>
      </c>
      <c r="B179" s="45">
        <v>95</v>
      </c>
      <c r="C179" s="66" t="s">
        <v>59</v>
      </c>
      <c r="D179" s="66"/>
      <c r="E179" s="66"/>
      <c r="F179" s="63" t="s">
        <v>60</v>
      </c>
      <c r="G179" s="64">
        <v>1</v>
      </c>
      <c r="H179" s="48">
        <v>180</v>
      </c>
      <c r="I179" s="48">
        <f t="shared" si="22"/>
        <v>180</v>
      </c>
      <c r="J179" s="49">
        <v>6.5</v>
      </c>
      <c r="K179" s="50">
        <f t="shared" si="23"/>
        <v>1170</v>
      </c>
      <c r="L179" s="65" t="s">
        <v>61</v>
      </c>
      <c r="M179" s="48">
        <f>SUM(K176:K180)</f>
        <v>3412</v>
      </c>
    </row>
    <row r="180" s="37" customFormat="1" spans="1:13">
      <c r="A180" s="44">
        <v>45594</v>
      </c>
      <c r="B180" s="45">
        <v>95</v>
      </c>
      <c r="C180" s="66" t="s">
        <v>15</v>
      </c>
      <c r="D180" s="66"/>
      <c r="E180" s="66"/>
      <c r="F180" s="63" t="s">
        <v>16</v>
      </c>
      <c r="G180" s="64">
        <v>4</v>
      </c>
      <c r="H180" s="48">
        <v>10</v>
      </c>
      <c r="I180" s="48">
        <f t="shared" si="22"/>
        <v>40</v>
      </c>
      <c r="J180" s="49">
        <v>19</v>
      </c>
      <c r="K180" s="50">
        <f t="shared" si="23"/>
        <v>760</v>
      </c>
      <c r="L180" s="3" t="s">
        <v>17</v>
      </c>
      <c r="M180" s="48"/>
    </row>
    <row r="181" s="42" customFormat="1" spans="1:13">
      <c r="A181" s="78">
        <v>45602</v>
      </c>
      <c r="B181" s="79"/>
      <c r="C181" s="80" t="s">
        <v>59</v>
      </c>
      <c r="D181" s="80"/>
      <c r="E181" s="80"/>
      <c r="F181" s="47" t="s">
        <v>60</v>
      </c>
      <c r="G181" s="81">
        <v>1</v>
      </c>
      <c r="H181" s="82">
        <v>180</v>
      </c>
      <c r="I181" s="82">
        <f t="shared" si="22"/>
        <v>180</v>
      </c>
      <c r="J181" s="74"/>
      <c r="K181" s="83">
        <f t="shared" si="23"/>
        <v>0</v>
      </c>
      <c r="L181" s="93" t="s">
        <v>180</v>
      </c>
      <c r="M181" s="82"/>
    </row>
    <row r="182" s="39" customFormat="1" spans="1:13">
      <c r="A182" s="54">
        <v>45606</v>
      </c>
      <c r="B182" s="55">
        <v>24</v>
      </c>
      <c r="C182" s="46" t="s">
        <v>54</v>
      </c>
      <c r="D182" s="46"/>
      <c r="E182" s="46"/>
      <c r="F182" s="57" t="s">
        <v>55</v>
      </c>
      <c r="G182" s="58">
        <v>1</v>
      </c>
      <c r="H182" s="59">
        <v>20</v>
      </c>
      <c r="I182" s="59">
        <f t="shared" si="22"/>
        <v>20</v>
      </c>
      <c r="J182" s="60">
        <v>24</v>
      </c>
      <c r="K182" s="61">
        <f t="shared" si="23"/>
        <v>480</v>
      </c>
      <c r="L182" s="62" t="s">
        <v>88</v>
      </c>
      <c r="M182" s="59"/>
    </row>
    <row r="183" s="39" customFormat="1" spans="1:13">
      <c r="A183" s="54">
        <v>45606</v>
      </c>
      <c r="B183" s="55">
        <v>24</v>
      </c>
      <c r="C183" s="46" t="s">
        <v>98</v>
      </c>
      <c r="D183" s="46"/>
      <c r="E183" s="46"/>
      <c r="F183" s="57" t="s">
        <v>99</v>
      </c>
      <c r="G183" s="58">
        <v>1</v>
      </c>
      <c r="H183" s="59">
        <v>26</v>
      </c>
      <c r="I183" s="59">
        <f t="shared" si="22"/>
        <v>26</v>
      </c>
      <c r="J183" s="60">
        <v>23</v>
      </c>
      <c r="K183" s="61">
        <f t="shared" si="23"/>
        <v>598</v>
      </c>
      <c r="L183" s="67" t="s">
        <v>100</v>
      </c>
      <c r="M183" s="67"/>
    </row>
    <row r="184" s="39" customFormat="1" spans="1:13">
      <c r="A184" s="54">
        <v>45606</v>
      </c>
      <c r="B184" s="55">
        <v>24</v>
      </c>
      <c r="C184" s="46" t="s">
        <v>15</v>
      </c>
      <c r="D184" s="46"/>
      <c r="E184" s="46"/>
      <c r="F184" s="57" t="s">
        <v>16</v>
      </c>
      <c r="G184" s="58">
        <v>2</v>
      </c>
      <c r="H184" s="59">
        <v>10</v>
      </c>
      <c r="I184" s="59">
        <f t="shared" si="22"/>
        <v>20</v>
      </c>
      <c r="J184" s="60">
        <v>19</v>
      </c>
      <c r="K184" s="61">
        <f t="shared" si="23"/>
        <v>380</v>
      </c>
      <c r="L184" s="62" t="s">
        <v>17</v>
      </c>
      <c r="M184" s="59"/>
    </row>
    <row r="185" s="37" customFormat="1" spans="1:13">
      <c r="A185" s="44">
        <v>45607</v>
      </c>
      <c r="B185" s="45">
        <v>31</v>
      </c>
      <c r="C185" s="66">
        <v>8036</v>
      </c>
      <c r="D185" s="66"/>
      <c r="E185" s="66"/>
      <c r="F185" s="63" t="s">
        <v>131</v>
      </c>
      <c r="G185" s="64">
        <v>1</v>
      </c>
      <c r="H185" s="48">
        <v>25</v>
      </c>
      <c r="I185" s="48">
        <f t="shared" si="22"/>
        <v>25</v>
      </c>
      <c r="J185" s="49">
        <v>19</v>
      </c>
      <c r="K185" s="50">
        <f t="shared" si="23"/>
        <v>475</v>
      </c>
      <c r="L185" s="3" t="s">
        <v>132</v>
      </c>
      <c r="M185" s="48"/>
    </row>
    <row r="186" s="37" customFormat="1" spans="1:13">
      <c r="A186" s="44">
        <v>45607</v>
      </c>
      <c r="B186" s="45">
        <v>31</v>
      </c>
      <c r="C186" s="66" t="s">
        <v>181</v>
      </c>
      <c r="D186" s="66"/>
      <c r="E186" s="66"/>
      <c r="F186" s="63" t="s">
        <v>182</v>
      </c>
      <c r="G186" s="64">
        <v>1</v>
      </c>
      <c r="H186" s="48">
        <v>2</v>
      </c>
      <c r="I186" s="48">
        <f t="shared" si="22"/>
        <v>2</v>
      </c>
      <c r="J186" s="49">
        <v>19</v>
      </c>
      <c r="K186" s="50">
        <f t="shared" si="23"/>
        <v>38</v>
      </c>
      <c r="L186" s="3" t="s">
        <v>20</v>
      </c>
      <c r="M186" s="48"/>
    </row>
    <row r="187" s="39" customFormat="1" spans="1:13">
      <c r="A187" s="54">
        <v>45615</v>
      </c>
      <c r="B187" s="55">
        <v>52</v>
      </c>
      <c r="C187" s="46" t="s">
        <v>21</v>
      </c>
      <c r="D187" s="46"/>
      <c r="E187" s="46"/>
      <c r="F187" s="57" t="s">
        <v>22</v>
      </c>
      <c r="G187" s="58">
        <v>5</v>
      </c>
      <c r="H187" s="59">
        <v>28</v>
      </c>
      <c r="I187" s="59">
        <f t="shared" si="22"/>
        <v>140</v>
      </c>
      <c r="J187" s="60">
        <v>10</v>
      </c>
      <c r="K187" s="61">
        <f t="shared" si="23"/>
        <v>1400</v>
      </c>
      <c r="L187" s="122">
        <v>9804</v>
      </c>
      <c r="M187" s="59"/>
    </row>
    <row r="188" s="39" customFormat="1" spans="1:13">
      <c r="A188" s="54">
        <v>45615</v>
      </c>
      <c r="B188" s="55">
        <v>52</v>
      </c>
      <c r="C188" s="46" t="s">
        <v>59</v>
      </c>
      <c r="D188" s="46"/>
      <c r="E188" s="46"/>
      <c r="F188" s="57" t="s">
        <v>60</v>
      </c>
      <c r="G188" s="58">
        <v>1</v>
      </c>
      <c r="H188" s="59">
        <v>180</v>
      </c>
      <c r="I188" s="59">
        <f t="shared" si="22"/>
        <v>180</v>
      </c>
      <c r="J188" s="49">
        <v>6.5</v>
      </c>
      <c r="K188" s="61">
        <f t="shared" si="23"/>
        <v>1170</v>
      </c>
      <c r="L188" s="67"/>
      <c r="M188" s="59">
        <f>SUM(K187:K188)</f>
        <v>2570</v>
      </c>
    </row>
    <row r="189" s="37" customFormat="1" ht="19" customHeight="1" spans="1:13">
      <c r="A189" s="44">
        <v>45621</v>
      </c>
      <c r="B189" s="45">
        <v>75</v>
      </c>
      <c r="C189" s="66">
        <v>10821</v>
      </c>
      <c r="D189" s="66"/>
      <c r="E189" s="66"/>
      <c r="F189" s="63" t="s">
        <v>108</v>
      </c>
      <c r="G189" s="64">
        <v>1</v>
      </c>
      <c r="H189" s="48">
        <v>26</v>
      </c>
      <c r="I189" s="48">
        <f t="shared" si="22"/>
        <v>26</v>
      </c>
      <c r="J189" s="49">
        <v>19</v>
      </c>
      <c r="K189" s="50">
        <f t="shared" si="23"/>
        <v>494</v>
      </c>
      <c r="L189" s="65" t="s">
        <v>109</v>
      </c>
      <c r="M189" s="65"/>
    </row>
    <row r="190" s="37" customFormat="1" spans="1:13">
      <c r="A190" s="44">
        <v>45621</v>
      </c>
      <c r="B190" s="45">
        <v>75</v>
      </c>
      <c r="C190" s="66" t="s">
        <v>105</v>
      </c>
      <c r="D190" s="66"/>
      <c r="E190" s="66"/>
      <c r="F190" s="63" t="s">
        <v>106</v>
      </c>
      <c r="G190" s="64">
        <v>1</v>
      </c>
      <c r="H190" s="48">
        <v>26</v>
      </c>
      <c r="I190" s="48">
        <f t="shared" si="22"/>
        <v>26</v>
      </c>
      <c r="J190" s="49">
        <v>19</v>
      </c>
      <c r="K190" s="50">
        <f t="shared" si="23"/>
        <v>494</v>
      </c>
      <c r="L190" s="65" t="s">
        <v>107</v>
      </c>
      <c r="M190" s="65"/>
    </row>
    <row r="191" s="37" customFormat="1" spans="1:13">
      <c r="A191" s="44">
        <v>45621</v>
      </c>
      <c r="B191" s="45">
        <v>75</v>
      </c>
      <c r="C191" s="66" t="s">
        <v>15</v>
      </c>
      <c r="D191" s="66"/>
      <c r="E191" s="66"/>
      <c r="F191" s="63" t="s">
        <v>16</v>
      </c>
      <c r="G191" s="64">
        <v>2</v>
      </c>
      <c r="H191" s="48">
        <v>10</v>
      </c>
      <c r="I191" s="48">
        <f t="shared" si="22"/>
        <v>20</v>
      </c>
      <c r="J191" s="49">
        <v>19</v>
      </c>
      <c r="K191" s="50">
        <f t="shared" si="23"/>
        <v>380</v>
      </c>
      <c r="L191" s="3" t="s">
        <v>17</v>
      </c>
      <c r="M191" s="48"/>
    </row>
    <row r="192" s="37" customFormat="1" spans="1:13">
      <c r="A192" s="44">
        <v>45621</v>
      </c>
      <c r="B192" s="45">
        <v>75</v>
      </c>
      <c r="C192" s="66"/>
      <c r="D192" s="66"/>
      <c r="E192" s="66"/>
      <c r="F192" s="63" t="s">
        <v>183</v>
      </c>
      <c r="G192" s="64">
        <v>1</v>
      </c>
      <c r="H192" s="48">
        <v>4</v>
      </c>
      <c r="I192" s="48">
        <f t="shared" si="22"/>
        <v>4</v>
      </c>
      <c r="J192" s="49">
        <v>14</v>
      </c>
      <c r="K192" s="50">
        <f t="shared" si="23"/>
        <v>56</v>
      </c>
      <c r="L192" s="3"/>
      <c r="M192" s="48"/>
    </row>
    <row r="193" s="37" customFormat="1" spans="1:14">
      <c r="A193" s="44">
        <v>45621</v>
      </c>
      <c r="B193" s="45">
        <v>75</v>
      </c>
      <c r="C193" s="48" t="s">
        <v>65</v>
      </c>
      <c r="D193" s="48"/>
      <c r="E193" s="48"/>
      <c r="F193" s="63" t="s">
        <v>66</v>
      </c>
      <c r="G193" s="64">
        <v>1</v>
      </c>
      <c r="H193" s="48">
        <v>180</v>
      </c>
      <c r="I193" s="48">
        <f t="shared" si="22"/>
        <v>180</v>
      </c>
      <c r="J193" s="49">
        <v>11</v>
      </c>
      <c r="K193" s="50">
        <f t="shared" si="23"/>
        <v>1980</v>
      </c>
      <c r="L193" s="65"/>
      <c r="M193" s="48"/>
      <c r="N193" s="37" t="s">
        <v>173</v>
      </c>
    </row>
    <row r="194" s="37" customFormat="1" spans="1:14">
      <c r="A194" s="44">
        <v>45621</v>
      </c>
      <c r="B194" s="45">
        <v>75</v>
      </c>
      <c r="C194" s="48" t="s">
        <v>21</v>
      </c>
      <c r="D194" s="48"/>
      <c r="E194" s="48"/>
      <c r="F194" s="63" t="s">
        <v>22</v>
      </c>
      <c r="G194" s="64">
        <v>5</v>
      </c>
      <c r="H194" s="48">
        <v>28</v>
      </c>
      <c r="I194" s="48">
        <f t="shared" si="22"/>
        <v>140</v>
      </c>
      <c r="J194" s="49">
        <v>10</v>
      </c>
      <c r="K194" s="50">
        <f t="shared" si="23"/>
        <v>1400</v>
      </c>
      <c r="L194" s="65">
        <v>9804</v>
      </c>
      <c r="M194" s="48">
        <f>SUM(K189:K194)</f>
        <v>4804</v>
      </c>
    </row>
    <row r="195" s="39" customFormat="1" spans="1:14">
      <c r="A195" s="54">
        <v>45630</v>
      </c>
      <c r="B195" s="55">
        <v>8</v>
      </c>
      <c r="C195" s="59"/>
      <c r="D195" s="59"/>
      <c r="E195" s="59"/>
      <c r="F195" s="57" t="s">
        <v>184</v>
      </c>
      <c r="G195" s="58">
        <v>1</v>
      </c>
      <c r="H195" s="59">
        <v>15</v>
      </c>
      <c r="I195" s="59">
        <f t="shared" si="22"/>
        <v>15</v>
      </c>
      <c r="J195" s="60">
        <v>22</v>
      </c>
      <c r="K195" s="61">
        <f t="shared" si="23"/>
        <v>330</v>
      </c>
      <c r="L195" s="67"/>
      <c r="M195" s="59"/>
    </row>
    <row r="196" s="39" customFormat="1" spans="1:14">
      <c r="A196" s="54">
        <v>45630</v>
      </c>
      <c r="B196" s="55">
        <v>8</v>
      </c>
      <c r="C196" s="59"/>
      <c r="D196" s="59"/>
      <c r="E196" s="59"/>
      <c r="F196" s="57" t="s">
        <v>185</v>
      </c>
      <c r="G196" s="58">
        <v>1</v>
      </c>
      <c r="H196" s="59">
        <v>15</v>
      </c>
      <c r="I196" s="59">
        <f t="shared" si="22"/>
        <v>15</v>
      </c>
      <c r="J196" s="60">
        <v>22</v>
      </c>
      <c r="K196" s="61">
        <f t="shared" si="23"/>
        <v>330</v>
      </c>
      <c r="L196" s="67"/>
      <c r="M196" s="59"/>
    </row>
    <row r="197" s="39" customFormat="1" spans="1:14">
      <c r="A197" s="54">
        <v>45630</v>
      </c>
      <c r="B197" s="55">
        <v>8</v>
      </c>
      <c r="C197" s="59"/>
      <c r="D197" s="59"/>
      <c r="E197" s="59"/>
      <c r="F197" s="57" t="s">
        <v>186</v>
      </c>
      <c r="G197" s="58">
        <v>1</v>
      </c>
      <c r="H197" s="59">
        <v>24</v>
      </c>
      <c r="I197" s="59">
        <f t="shared" si="22"/>
        <v>24</v>
      </c>
      <c r="J197" s="60">
        <v>22</v>
      </c>
      <c r="K197" s="61">
        <f t="shared" si="23"/>
        <v>528</v>
      </c>
      <c r="L197" s="67"/>
      <c r="M197" s="59"/>
    </row>
    <row r="198" s="39" customFormat="1" spans="1:14">
      <c r="A198" s="54">
        <v>45630</v>
      </c>
      <c r="B198" s="55">
        <v>8</v>
      </c>
      <c r="C198" s="59"/>
      <c r="D198" s="59"/>
      <c r="E198" s="59"/>
      <c r="F198" s="57" t="s">
        <v>187</v>
      </c>
      <c r="G198" s="58">
        <v>1</v>
      </c>
      <c r="H198" s="59">
        <v>6</v>
      </c>
      <c r="I198" s="59">
        <f t="shared" si="22"/>
        <v>6</v>
      </c>
      <c r="J198" s="60">
        <v>22</v>
      </c>
      <c r="K198" s="61">
        <f t="shared" si="23"/>
        <v>132</v>
      </c>
      <c r="L198" s="67"/>
      <c r="M198" s="59"/>
    </row>
    <row r="199" s="39" customFormat="1" spans="1:14">
      <c r="A199" s="54">
        <v>45630</v>
      </c>
      <c r="B199" s="55">
        <v>8</v>
      </c>
      <c r="C199" s="59"/>
      <c r="D199" s="59"/>
      <c r="E199" s="59"/>
      <c r="F199" s="57" t="s">
        <v>188</v>
      </c>
      <c r="G199" s="58">
        <v>1</v>
      </c>
      <c r="H199" s="59">
        <v>5</v>
      </c>
      <c r="I199" s="59">
        <f t="shared" si="22"/>
        <v>5</v>
      </c>
      <c r="J199" s="60">
        <v>8</v>
      </c>
      <c r="K199" s="61">
        <f t="shared" si="23"/>
        <v>40</v>
      </c>
      <c r="L199" s="67"/>
      <c r="M199" s="59">
        <f>SUM(K195:K199)</f>
        <v>1360</v>
      </c>
    </row>
    <row r="200" s="37" customFormat="1" spans="1:14">
      <c r="A200" s="44">
        <v>45631</v>
      </c>
      <c r="B200" s="45">
        <v>12</v>
      </c>
      <c r="C200" s="66" t="s">
        <v>98</v>
      </c>
      <c r="D200" s="66"/>
      <c r="E200" s="66"/>
      <c r="F200" s="63" t="s">
        <v>99</v>
      </c>
      <c r="G200" s="64">
        <v>2</v>
      </c>
      <c r="H200" s="48">
        <v>26</v>
      </c>
      <c r="I200" s="48">
        <f t="shared" si="22"/>
        <v>52</v>
      </c>
      <c r="J200" s="49">
        <v>23</v>
      </c>
      <c r="K200" s="50">
        <f t="shared" si="23"/>
        <v>1196</v>
      </c>
      <c r="L200" s="65" t="s">
        <v>100</v>
      </c>
      <c r="M200" s="65"/>
    </row>
    <row r="201" s="37" customFormat="1" spans="1:14">
      <c r="A201" s="44">
        <v>45631</v>
      </c>
      <c r="B201" s="45">
        <v>12</v>
      </c>
      <c r="C201" s="48" t="s">
        <v>95</v>
      </c>
      <c r="D201" s="48"/>
      <c r="E201" s="48"/>
      <c r="F201" s="63" t="s">
        <v>24</v>
      </c>
      <c r="G201" s="64">
        <v>2</v>
      </c>
      <c r="H201" s="48">
        <v>25</v>
      </c>
      <c r="I201" s="48">
        <f t="shared" si="22"/>
        <v>50</v>
      </c>
      <c r="J201" s="49">
        <v>19</v>
      </c>
      <c r="K201" s="50">
        <f t="shared" si="23"/>
        <v>950</v>
      </c>
      <c r="L201" s="3" t="s">
        <v>124</v>
      </c>
      <c r="M201" s="48"/>
    </row>
    <row r="202" s="37" customFormat="1" spans="1:14">
      <c r="A202" s="44">
        <v>45631</v>
      </c>
      <c r="B202" s="45">
        <v>12</v>
      </c>
      <c r="C202" s="66" t="s">
        <v>151</v>
      </c>
      <c r="D202" s="66"/>
      <c r="E202" s="66"/>
      <c r="F202" s="63" t="s">
        <v>24</v>
      </c>
      <c r="G202" s="64">
        <v>1</v>
      </c>
      <c r="H202" s="48">
        <v>26</v>
      </c>
      <c r="I202" s="48">
        <f t="shared" si="22"/>
        <v>26</v>
      </c>
      <c r="J202" s="49">
        <v>19</v>
      </c>
      <c r="K202" s="50">
        <f t="shared" si="23"/>
        <v>494</v>
      </c>
      <c r="L202" s="65" t="s">
        <v>20</v>
      </c>
      <c r="M202" s="65"/>
    </row>
    <row r="203" s="37" customFormat="1" spans="1:14">
      <c r="A203" s="44">
        <v>45631</v>
      </c>
      <c r="B203" s="45">
        <v>12</v>
      </c>
      <c r="C203" s="66" t="s">
        <v>15</v>
      </c>
      <c r="D203" s="66"/>
      <c r="E203" s="66"/>
      <c r="F203" s="63" t="s">
        <v>16</v>
      </c>
      <c r="G203" s="64">
        <v>5</v>
      </c>
      <c r="H203" s="48">
        <v>10</v>
      </c>
      <c r="I203" s="48">
        <f t="shared" si="22"/>
        <v>50</v>
      </c>
      <c r="J203" s="49">
        <v>19</v>
      </c>
      <c r="K203" s="50">
        <f t="shared" si="23"/>
        <v>950</v>
      </c>
      <c r="L203" s="3" t="s">
        <v>17</v>
      </c>
      <c r="M203" s="48"/>
    </row>
    <row r="204" s="37" customFormat="1" spans="1:14">
      <c r="A204" s="44">
        <v>45631</v>
      </c>
      <c r="B204" s="45">
        <v>12</v>
      </c>
      <c r="C204" s="66" t="s">
        <v>145</v>
      </c>
      <c r="D204" s="66"/>
      <c r="E204" s="66"/>
      <c r="F204" s="63" t="s">
        <v>146</v>
      </c>
      <c r="G204" s="64">
        <v>1</v>
      </c>
      <c r="H204" s="48">
        <v>25</v>
      </c>
      <c r="I204" s="48">
        <f t="shared" si="22"/>
        <v>25</v>
      </c>
      <c r="J204" s="49">
        <v>14</v>
      </c>
      <c r="K204" s="50">
        <f t="shared" si="23"/>
        <v>350</v>
      </c>
      <c r="L204" s="65" t="s">
        <v>147</v>
      </c>
      <c r="M204" s="48"/>
    </row>
    <row r="205" s="37" customFormat="1" spans="1:14">
      <c r="A205" s="44">
        <v>45631</v>
      </c>
      <c r="B205" s="45">
        <v>12</v>
      </c>
      <c r="C205" s="66" t="s">
        <v>29</v>
      </c>
      <c r="D205" s="66"/>
      <c r="E205" s="66"/>
      <c r="F205" s="63" t="s">
        <v>30</v>
      </c>
      <c r="G205" s="64">
        <v>6</v>
      </c>
      <c r="H205" s="48">
        <v>10</v>
      </c>
      <c r="I205" s="48">
        <f t="shared" si="22"/>
        <v>60</v>
      </c>
      <c r="J205" s="49">
        <v>16.5</v>
      </c>
      <c r="K205" s="50">
        <f t="shared" si="23"/>
        <v>990</v>
      </c>
      <c r="L205" s="3" t="s">
        <v>116</v>
      </c>
      <c r="M205" s="48"/>
    </row>
    <row r="206" s="37" customFormat="1" spans="1:14">
      <c r="A206" s="44">
        <v>45631</v>
      </c>
      <c r="B206" s="45">
        <v>12</v>
      </c>
      <c r="C206" s="66" t="s">
        <v>62</v>
      </c>
      <c r="D206" s="66"/>
      <c r="E206" s="66"/>
      <c r="F206" s="63" t="s">
        <v>63</v>
      </c>
      <c r="G206" s="64">
        <v>1</v>
      </c>
      <c r="H206" s="48">
        <v>180</v>
      </c>
      <c r="I206" s="48">
        <f t="shared" si="22"/>
        <v>180</v>
      </c>
      <c r="J206" s="49">
        <v>8</v>
      </c>
      <c r="K206" s="50">
        <f t="shared" si="23"/>
        <v>1440</v>
      </c>
      <c r="L206" s="65" t="s">
        <v>64</v>
      </c>
      <c r="M206" s="48"/>
    </row>
    <row r="207" s="37" customFormat="1" spans="1:14">
      <c r="A207" s="44">
        <v>45631</v>
      </c>
      <c r="B207" s="45">
        <v>12</v>
      </c>
      <c r="C207" s="66" t="s">
        <v>59</v>
      </c>
      <c r="D207" s="66"/>
      <c r="E207" s="66"/>
      <c r="F207" s="63" t="s">
        <v>60</v>
      </c>
      <c r="G207" s="64">
        <v>1</v>
      </c>
      <c r="H207" s="48">
        <v>180</v>
      </c>
      <c r="I207" s="48">
        <f t="shared" si="22"/>
        <v>180</v>
      </c>
      <c r="J207" s="49">
        <v>6.5</v>
      </c>
      <c r="K207" s="50">
        <f t="shared" si="23"/>
        <v>1170</v>
      </c>
      <c r="L207" s="65" t="s">
        <v>61</v>
      </c>
      <c r="M207" s="48">
        <f>SUM(K200:K208)</f>
        <v>7540</v>
      </c>
    </row>
    <row r="208" s="37" customFormat="1" spans="1:14">
      <c r="A208" s="44">
        <v>45631</v>
      </c>
      <c r="B208" s="45">
        <v>12</v>
      </c>
      <c r="C208" s="66"/>
      <c r="D208" s="66"/>
      <c r="E208" s="66"/>
      <c r="F208" s="63" t="s">
        <v>189</v>
      </c>
      <c r="G208" s="64"/>
      <c r="H208" s="48"/>
      <c r="I208" s="48">
        <f t="shared" si="22"/>
        <v>0</v>
      </c>
      <c r="J208" s="49"/>
      <c r="K208" s="50">
        <f t="shared" si="23"/>
        <v>0</v>
      </c>
      <c r="L208" s="3" t="s">
        <v>190</v>
      </c>
      <c r="M208" s="48"/>
    </row>
    <row r="209" s="42" customFormat="1" spans="1:13">
      <c r="A209" s="78">
        <v>45633</v>
      </c>
      <c r="B209" s="79"/>
      <c r="C209" s="80"/>
      <c r="D209" s="80"/>
      <c r="E209" s="80"/>
      <c r="F209" s="47" t="s">
        <v>191</v>
      </c>
      <c r="G209" s="81"/>
      <c r="H209" s="82"/>
      <c r="I209" s="82"/>
      <c r="J209" s="74"/>
      <c r="K209" s="83"/>
      <c r="L209" s="84" t="s">
        <v>192</v>
      </c>
      <c r="M209" s="82"/>
    </row>
    <row r="210" s="42" customFormat="1" spans="1:13">
      <c r="A210" s="78">
        <v>45633</v>
      </c>
      <c r="B210" s="79"/>
      <c r="C210" s="80"/>
      <c r="D210" s="80"/>
      <c r="E210" s="80"/>
      <c r="F210" s="47" t="s">
        <v>193</v>
      </c>
      <c r="G210" s="81"/>
      <c r="H210" s="82"/>
      <c r="I210" s="82"/>
      <c r="J210" s="74"/>
      <c r="K210" s="83"/>
      <c r="L210" s="97" t="s">
        <v>194</v>
      </c>
      <c r="M210" s="82"/>
    </row>
    <row r="211" s="37" customFormat="1" spans="1:13">
      <c r="A211" s="44">
        <v>45636</v>
      </c>
      <c r="B211" s="45">
        <v>30</v>
      </c>
      <c r="C211" s="48" t="s">
        <v>96</v>
      </c>
      <c r="D211" s="48"/>
      <c r="E211" s="48"/>
      <c r="F211" s="63" t="s">
        <v>97</v>
      </c>
      <c r="G211" s="64">
        <v>1</v>
      </c>
      <c r="H211" s="48">
        <v>10</v>
      </c>
      <c r="I211" s="48">
        <f t="shared" ref="I211:I239" si="24">G211*H211</f>
        <v>10</v>
      </c>
      <c r="J211" s="49">
        <v>19</v>
      </c>
      <c r="K211" s="50">
        <f t="shared" ref="K211:K216" si="25">I211*J211</f>
        <v>190</v>
      </c>
      <c r="L211" s="3" t="s">
        <v>124</v>
      </c>
      <c r="M211" s="48"/>
    </row>
    <row r="212" s="37" customFormat="1" spans="1:13">
      <c r="A212" s="44">
        <v>45636</v>
      </c>
      <c r="B212" s="45">
        <v>30</v>
      </c>
      <c r="C212" s="66" t="s">
        <v>29</v>
      </c>
      <c r="D212" s="66"/>
      <c r="E212" s="66"/>
      <c r="F212" s="63" t="s">
        <v>30</v>
      </c>
      <c r="G212" s="64">
        <v>2</v>
      </c>
      <c r="H212" s="48">
        <v>20</v>
      </c>
      <c r="I212" s="48">
        <f t="shared" si="24"/>
        <v>40</v>
      </c>
      <c r="J212" s="49"/>
      <c r="K212" s="50"/>
      <c r="L212" s="3" t="s">
        <v>195</v>
      </c>
      <c r="M212" s="48"/>
    </row>
    <row r="213" s="39" customFormat="1" spans="1:13">
      <c r="A213" s="54">
        <v>45643</v>
      </c>
      <c r="B213" s="55">
        <v>53</v>
      </c>
      <c r="C213" s="59" t="s">
        <v>21</v>
      </c>
      <c r="D213" s="59"/>
      <c r="E213" s="59"/>
      <c r="F213" s="57" t="s">
        <v>22</v>
      </c>
      <c r="G213" s="58">
        <v>10</v>
      </c>
      <c r="H213" s="59">
        <v>28</v>
      </c>
      <c r="I213" s="59">
        <f t="shared" si="24"/>
        <v>280</v>
      </c>
      <c r="J213" s="60">
        <v>10</v>
      </c>
      <c r="K213" s="61">
        <f t="shared" si="25"/>
        <v>2800</v>
      </c>
      <c r="L213" s="67">
        <v>9804</v>
      </c>
      <c r="M213" s="59"/>
    </row>
    <row r="214" s="39" customFormat="1" spans="1:13">
      <c r="A214" s="54">
        <v>45643</v>
      </c>
      <c r="B214" s="55">
        <v>53</v>
      </c>
      <c r="C214" s="46">
        <v>8036</v>
      </c>
      <c r="D214" s="46"/>
      <c r="E214" s="46"/>
      <c r="F214" s="57" t="s">
        <v>131</v>
      </c>
      <c r="G214" s="58">
        <v>2</v>
      </c>
      <c r="H214" s="59">
        <v>25</v>
      </c>
      <c r="I214" s="59">
        <f t="shared" si="24"/>
        <v>50</v>
      </c>
      <c r="J214" s="60">
        <v>19</v>
      </c>
      <c r="K214" s="61">
        <f t="shared" si="25"/>
        <v>950</v>
      </c>
      <c r="L214" s="62" t="s">
        <v>132</v>
      </c>
      <c r="M214" s="59"/>
    </row>
    <row r="215" s="39" customFormat="1" spans="1:13">
      <c r="A215" s="54">
        <v>45643</v>
      </c>
      <c r="B215" s="55">
        <v>53</v>
      </c>
      <c r="C215" s="46" t="s">
        <v>15</v>
      </c>
      <c r="D215" s="46"/>
      <c r="E215" s="46"/>
      <c r="F215" s="57" t="s">
        <v>16</v>
      </c>
      <c r="G215" s="58">
        <v>4</v>
      </c>
      <c r="H215" s="59">
        <v>10</v>
      </c>
      <c r="I215" s="59">
        <f t="shared" si="24"/>
        <v>40</v>
      </c>
      <c r="J215" s="60">
        <v>19</v>
      </c>
      <c r="K215" s="61">
        <f t="shared" si="25"/>
        <v>760</v>
      </c>
      <c r="L215" s="62" t="s">
        <v>17</v>
      </c>
      <c r="M215" s="82">
        <f>SUM(K213:K218)</f>
        <v>5790</v>
      </c>
    </row>
    <row r="216" s="39" customFormat="1" spans="1:13">
      <c r="A216" s="54">
        <v>45643</v>
      </c>
      <c r="B216" s="55">
        <v>53</v>
      </c>
      <c r="C216" s="46" t="s">
        <v>29</v>
      </c>
      <c r="D216" s="46"/>
      <c r="E216" s="46"/>
      <c r="F216" s="57" t="s">
        <v>30</v>
      </c>
      <c r="G216" s="58">
        <v>1</v>
      </c>
      <c r="H216" s="59">
        <v>20</v>
      </c>
      <c r="I216" s="59">
        <f t="shared" si="24"/>
        <v>20</v>
      </c>
      <c r="J216" s="60">
        <v>16.5</v>
      </c>
      <c r="K216" s="61">
        <f t="shared" si="25"/>
        <v>330</v>
      </c>
      <c r="L216" s="62" t="s">
        <v>195</v>
      </c>
      <c r="M216" s="59"/>
    </row>
    <row r="217" s="39" customFormat="1" spans="1:13">
      <c r="A217" s="54">
        <v>45643</v>
      </c>
      <c r="B217" s="55">
        <v>53</v>
      </c>
      <c r="C217" s="46" t="s">
        <v>29</v>
      </c>
      <c r="D217" s="46"/>
      <c r="E217" s="46"/>
      <c r="F217" s="57" t="s">
        <v>30</v>
      </c>
      <c r="G217" s="58">
        <v>1</v>
      </c>
      <c r="H217" s="59">
        <v>20</v>
      </c>
      <c r="I217" s="59">
        <f t="shared" si="24"/>
        <v>20</v>
      </c>
      <c r="J217" s="60"/>
      <c r="K217" s="61"/>
      <c r="L217" s="62" t="s">
        <v>195</v>
      </c>
      <c r="M217" s="59"/>
    </row>
    <row r="218" s="39" customFormat="1" spans="1:13">
      <c r="A218" s="54">
        <v>45643</v>
      </c>
      <c r="B218" s="55">
        <v>53</v>
      </c>
      <c r="C218" s="46">
        <v>240515</v>
      </c>
      <c r="D218" s="46"/>
      <c r="E218" s="46"/>
      <c r="F218" s="57" t="s">
        <v>70</v>
      </c>
      <c r="G218" s="58">
        <v>2</v>
      </c>
      <c r="H218" s="59">
        <v>25</v>
      </c>
      <c r="I218" s="59">
        <f t="shared" si="24"/>
        <v>50</v>
      </c>
      <c r="J218" s="60">
        <v>19</v>
      </c>
      <c r="K218" s="61">
        <f t="shared" ref="K218:K239" si="26">I218*J218</f>
        <v>950</v>
      </c>
      <c r="L218" s="62"/>
      <c r="M218" s="59"/>
    </row>
    <row r="219" s="37" customFormat="1" spans="1:13">
      <c r="A219" s="44">
        <v>45649</v>
      </c>
      <c r="B219" s="45">
        <v>72</v>
      </c>
      <c r="C219" s="66" t="s">
        <v>84</v>
      </c>
      <c r="D219" s="66"/>
      <c r="E219" s="66"/>
      <c r="F219" s="63" t="s">
        <v>85</v>
      </c>
      <c r="G219" s="64">
        <v>1</v>
      </c>
      <c r="H219" s="48">
        <v>26</v>
      </c>
      <c r="I219" s="48">
        <f t="shared" si="24"/>
        <v>26</v>
      </c>
      <c r="J219" s="49">
        <v>19</v>
      </c>
      <c r="K219" s="50">
        <f t="shared" si="26"/>
        <v>494</v>
      </c>
      <c r="L219" s="3" t="s">
        <v>14</v>
      </c>
      <c r="M219" s="48"/>
    </row>
    <row r="220" s="37" customFormat="1" spans="1:13">
      <c r="A220" s="44">
        <v>45649</v>
      </c>
      <c r="B220" s="45">
        <v>72</v>
      </c>
      <c r="C220" s="66" t="s">
        <v>15</v>
      </c>
      <c r="D220" s="66"/>
      <c r="E220" s="66"/>
      <c r="F220" s="63" t="s">
        <v>16</v>
      </c>
      <c r="G220" s="64">
        <v>2</v>
      </c>
      <c r="H220" s="48">
        <v>10</v>
      </c>
      <c r="I220" s="48">
        <f t="shared" si="24"/>
        <v>20</v>
      </c>
      <c r="J220" s="49">
        <v>19</v>
      </c>
      <c r="K220" s="50">
        <f t="shared" si="26"/>
        <v>380</v>
      </c>
      <c r="L220" s="3" t="s">
        <v>17</v>
      </c>
      <c r="M220" s="48"/>
    </row>
    <row r="221" s="37" customFormat="1" spans="1:13">
      <c r="A221" s="44">
        <v>45649</v>
      </c>
      <c r="B221" s="45">
        <v>72</v>
      </c>
      <c r="C221" s="66" t="s">
        <v>59</v>
      </c>
      <c r="D221" s="66"/>
      <c r="E221" s="66"/>
      <c r="F221" s="63" t="s">
        <v>60</v>
      </c>
      <c r="G221" s="64">
        <v>1</v>
      </c>
      <c r="H221" s="48">
        <v>180</v>
      </c>
      <c r="I221" s="48">
        <f t="shared" si="24"/>
        <v>180</v>
      </c>
      <c r="J221" s="49">
        <v>6.5</v>
      </c>
      <c r="K221" s="50">
        <f t="shared" si="26"/>
        <v>1170</v>
      </c>
      <c r="L221" s="65" t="s">
        <v>61</v>
      </c>
      <c r="M221" s="48">
        <f>SUM(K219:K221)</f>
        <v>2044</v>
      </c>
    </row>
    <row r="222" s="39" customFormat="1" spans="1:13">
      <c r="A222" s="54">
        <v>45651</v>
      </c>
      <c r="B222" s="55">
        <v>77</v>
      </c>
      <c r="C222" s="46" t="s">
        <v>95</v>
      </c>
      <c r="D222" s="46"/>
      <c r="E222" s="46"/>
      <c r="F222" s="57" t="s">
        <v>24</v>
      </c>
      <c r="G222" s="58">
        <v>2</v>
      </c>
      <c r="H222" s="59">
        <v>24</v>
      </c>
      <c r="I222" s="59">
        <f t="shared" si="24"/>
        <v>48</v>
      </c>
      <c r="J222" s="60">
        <v>19</v>
      </c>
      <c r="K222" s="61">
        <f t="shared" si="26"/>
        <v>912</v>
      </c>
      <c r="L222" s="62" t="s">
        <v>124</v>
      </c>
      <c r="M222" s="59"/>
    </row>
    <row r="223" s="39" customFormat="1" spans="1:13">
      <c r="A223" s="54">
        <v>45651</v>
      </c>
      <c r="B223" s="55">
        <v>77</v>
      </c>
      <c r="C223" s="46" t="s">
        <v>96</v>
      </c>
      <c r="D223" s="46"/>
      <c r="E223" s="46"/>
      <c r="F223" s="57" t="s">
        <v>97</v>
      </c>
      <c r="G223" s="58">
        <v>1</v>
      </c>
      <c r="H223" s="59">
        <v>13</v>
      </c>
      <c r="I223" s="59">
        <f t="shared" si="24"/>
        <v>13</v>
      </c>
      <c r="J223" s="60">
        <v>19</v>
      </c>
      <c r="K223" s="61">
        <f t="shared" si="26"/>
        <v>247</v>
      </c>
      <c r="L223" s="62" t="s">
        <v>124</v>
      </c>
      <c r="M223" s="59"/>
    </row>
    <row r="224" s="39" customFormat="1" spans="1:13">
      <c r="A224" s="54">
        <v>45651</v>
      </c>
      <c r="B224" s="55">
        <v>77</v>
      </c>
      <c r="C224" s="46">
        <v>8036</v>
      </c>
      <c r="D224" s="46"/>
      <c r="E224" s="46"/>
      <c r="F224" s="57" t="s">
        <v>131</v>
      </c>
      <c r="G224" s="58">
        <v>2</v>
      </c>
      <c r="H224" s="59">
        <v>25</v>
      </c>
      <c r="I224" s="59">
        <f t="shared" si="24"/>
        <v>50</v>
      </c>
      <c r="J224" s="60">
        <v>19</v>
      </c>
      <c r="K224" s="61">
        <f t="shared" si="26"/>
        <v>950</v>
      </c>
      <c r="L224" s="62" t="s">
        <v>132</v>
      </c>
      <c r="M224" s="59"/>
    </row>
    <row r="225" s="39" customFormat="1" spans="1:14">
      <c r="A225" s="54">
        <v>45651</v>
      </c>
      <c r="B225" s="55">
        <v>77</v>
      </c>
      <c r="C225" s="46" t="s">
        <v>152</v>
      </c>
      <c r="D225" s="46"/>
      <c r="E225" s="46"/>
      <c r="F225" s="57" t="s">
        <v>131</v>
      </c>
      <c r="G225" s="58">
        <v>2</v>
      </c>
      <c r="H225" s="59">
        <v>26</v>
      </c>
      <c r="I225" s="59">
        <f t="shared" si="24"/>
        <v>52</v>
      </c>
      <c r="J225" s="60">
        <v>19</v>
      </c>
      <c r="K225" s="61">
        <f t="shared" si="26"/>
        <v>988</v>
      </c>
      <c r="L225" s="67" t="s">
        <v>20</v>
      </c>
      <c r="M225" s="67"/>
    </row>
    <row r="226" s="39" customFormat="1" spans="1:14">
      <c r="A226" s="54">
        <v>45651</v>
      </c>
      <c r="B226" s="55">
        <v>77</v>
      </c>
      <c r="C226" s="46" t="s">
        <v>153</v>
      </c>
      <c r="D226" s="46"/>
      <c r="E226" s="46"/>
      <c r="F226" s="57" t="s">
        <v>26</v>
      </c>
      <c r="G226" s="58">
        <v>1</v>
      </c>
      <c r="H226" s="59">
        <v>26</v>
      </c>
      <c r="I226" s="59">
        <f t="shared" si="24"/>
        <v>26</v>
      </c>
      <c r="J226" s="60">
        <v>19</v>
      </c>
      <c r="K226" s="61">
        <f t="shared" si="26"/>
        <v>494</v>
      </c>
      <c r="L226" s="67" t="s">
        <v>20</v>
      </c>
      <c r="M226" s="67"/>
    </row>
    <row r="227" s="39" customFormat="1" spans="1:14">
      <c r="A227" s="54">
        <v>45651</v>
      </c>
      <c r="B227" s="55">
        <v>77</v>
      </c>
      <c r="C227" s="46">
        <v>8050</v>
      </c>
      <c r="D227" s="46"/>
      <c r="E227" s="46"/>
      <c r="F227" s="57" t="s">
        <v>161</v>
      </c>
      <c r="G227" s="58">
        <v>1</v>
      </c>
      <c r="H227" s="59">
        <v>26</v>
      </c>
      <c r="I227" s="59">
        <f t="shared" si="24"/>
        <v>26</v>
      </c>
      <c r="J227" s="60">
        <v>19</v>
      </c>
      <c r="K227" s="61">
        <f t="shared" si="26"/>
        <v>494</v>
      </c>
      <c r="L227" s="67" t="s">
        <v>162</v>
      </c>
      <c r="M227" s="59"/>
    </row>
    <row r="228" s="39" customFormat="1" spans="1:14">
      <c r="A228" s="54">
        <v>45651</v>
      </c>
      <c r="B228" s="55">
        <v>77</v>
      </c>
      <c r="C228" s="46" t="s">
        <v>15</v>
      </c>
      <c r="D228" s="46"/>
      <c r="E228" s="46"/>
      <c r="F228" s="57" t="s">
        <v>16</v>
      </c>
      <c r="G228" s="58">
        <v>10</v>
      </c>
      <c r="H228" s="59">
        <v>10</v>
      </c>
      <c r="I228" s="59">
        <f t="shared" si="24"/>
        <v>100</v>
      </c>
      <c r="J228" s="60">
        <v>19</v>
      </c>
      <c r="K228" s="61">
        <f t="shared" si="26"/>
        <v>1900</v>
      </c>
      <c r="L228" s="62" t="s">
        <v>17</v>
      </c>
      <c r="M228" s="82">
        <f>SUM(K222:K229)</f>
        <v>7425</v>
      </c>
    </row>
    <row r="229" s="39" customFormat="1" spans="1:14">
      <c r="A229" s="54">
        <v>45651</v>
      </c>
      <c r="B229" s="55">
        <v>77</v>
      </c>
      <c r="C229" s="46" t="s">
        <v>62</v>
      </c>
      <c r="D229" s="46"/>
      <c r="E229" s="46"/>
      <c r="F229" s="57" t="s">
        <v>63</v>
      </c>
      <c r="G229" s="58">
        <v>1</v>
      </c>
      <c r="H229" s="59">
        <v>180</v>
      </c>
      <c r="I229" s="59">
        <f t="shared" si="24"/>
        <v>180</v>
      </c>
      <c r="J229" s="60">
        <v>8</v>
      </c>
      <c r="K229" s="61">
        <f t="shared" si="26"/>
        <v>1440</v>
      </c>
      <c r="L229" s="67" t="s">
        <v>64</v>
      </c>
      <c r="M229" s="59"/>
    </row>
    <row r="230" s="37" customFormat="1" spans="1:14">
      <c r="A230" s="44">
        <v>45661</v>
      </c>
      <c r="B230" s="45">
        <v>11</v>
      </c>
      <c r="C230" s="48" t="s">
        <v>21</v>
      </c>
      <c r="D230" s="48"/>
      <c r="E230" s="48"/>
      <c r="F230" s="63" t="s">
        <v>22</v>
      </c>
      <c r="G230" s="64">
        <v>4</v>
      </c>
      <c r="H230" s="48">
        <v>28</v>
      </c>
      <c r="I230" s="48">
        <f t="shared" si="24"/>
        <v>112</v>
      </c>
      <c r="J230" s="49"/>
      <c r="K230" s="50"/>
      <c r="L230" s="65" t="s">
        <v>196</v>
      </c>
      <c r="M230" s="48"/>
    </row>
    <row r="231" s="37" customFormat="1" spans="1:14">
      <c r="A231" s="44">
        <v>45661</v>
      </c>
      <c r="B231" s="45">
        <v>11</v>
      </c>
      <c r="C231" s="48" t="s">
        <v>21</v>
      </c>
      <c r="D231" s="48"/>
      <c r="E231" s="48"/>
      <c r="F231" s="63" t="s">
        <v>22</v>
      </c>
      <c r="G231" s="64">
        <v>6</v>
      </c>
      <c r="H231" s="48">
        <v>28</v>
      </c>
      <c r="I231" s="48">
        <f t="shared" si="24"/>
        <v>168</v>
      </c>
      <c r="J231" s="49">
        <v>10</v>
      </c>
      <c r="K231" s="50">
        <f t="shared" si="26"/>
        <v>1680</v>
      </c>
      <c r="L231" s="65">
        <v>9804</v>
      </c>
      <c r="M231" s="48">
        <f>SUM(K230:K231)</f>
        <v>1680</v>
      </c>
    </row>
    <row r="232" s="39" customFormat="1" spans="1:14">
      <c r="A232" s="54">
        <v>45664</v>
      </c>
      <c r="B232" s="55">
        <v>28</v>
      </c>
      <c r="C232" s="59" t="s">
        <v>65</v>
      </c>
      <c r="D232" s="59"/>
      <c r="E232" s="59"/>
      <c r="F232" s="57" t="s">
        <v>66</v>
      </c>
      <c r="G232" s="58">
        <v>1</v>
      </c>
      <c r="H232" s="59">
        <v>180</v>
      </c>
      <c r="I232" s="59">
        <f t="shared" si="24"/>
        <v>180</v>
      </c>
      <c r="J232" s="60">
        <v>11</v>
      </c>
      <c r="K232" s="61">
        <f t="shared" si="26"/>
        <v>1980</v>
      </c>
      <c r="L232" s="67"/>
      <c r="M232" s="59"/>
      <c r="N232" s="39" t="s">
        <v>173</v>
      </c>
    </row>
    <row r="233" s="39" customFormat="1" spans="1:14">
      <c r="A233" s="54">
        <v>45664</v>
      </c>
      <c r="B233" s="55">
        <v>28</v>
      </c>
      <c r="C233" s="46" t="s">
        <v>59</v>
      </c>
      <c r="D233" s="46"/>
      <c r="E233" s="46"/>
      <c r="F233" s="57" t="s">
        <v>60</v>
      </c>
      <c r="G233" s="58">
        <v>1</v>
      </c>
      <c r="H233" s="59">
        <v>180</v>
      </c>
      <c r="I233" s="59">
        <f t="shared" si="24"/>
        <v>180</v>
      </c>
      <c r="J233" s="60">
        <v>6.5</v>
      </c>
      <c r="K233" s="61">
        <f t="shared" si="26"/>
        <v>1170</v>
      </c>
      <c r="L233" s="67" t="s">
        <v>61</v>
      </c>
      <c r="M233" s="59">
        <f>SUM(K232:K233)</f>
        <v>3150</v>
      </c>
    </row>
    <row r="234" s="37" customFormat="1" spans="1:14">
      <c r="A234" s="44">
        <v>45672</v>
      </c>
      <c r="B234" s="45">
        <v>50</v>
      </c>
      <c r="C234" s="66" t="s">
        <v>153</v>
      </c>
      <c r="D234" s="66"/>
      <c r="E234" s="66"/>
      <c r="F234" s="63" t="s">
        <v>26</v>
      </c>
      <c r="G234" s="64">
        <v>1</v>
      </c>
      <c r="H234" s="48">
        <v>26</v>
      </c>
      <c r="I234" s="48">
        <f t="shared" si="24"/>
        <v>26</v>
      </c>
      <c r="J234" s="49">
        <v>19</v>
      </c>
      <c r="K234" s="50">
        <f t="shared" si="26"/>
        <v>494</v>
      </c>
      <c r="L234" s="65" t="s">
        <v>20</v>
      </c>
      <c r="M234" s="65"/>
    </row>
    <row r="235" s="37" customFormat="1" spans="1:14">
      <c r="A235" s="44">
        <v>45672</v>
      </c>
      <c r="B235" s="45">
        <v>50</v>
      </c>
      <c r="C235" s="66">
        <v>4027</v>
      </c>
      <c r="D235" s="66"/>
      <c r="E235" s="66"/>
      <c r="F235" s="63" t="s">
        <v>53</v>
      </c>
      <c r="G235" s="64">
        <v>1</v>
      </c>
      <c r="H235" s="48">
        <v>25</v>
      </c>
      <c r="I235" s="48">
        <f t="shared" si="24"/>
        <v>25</v>
      </c>
      <c r="J235" s="49">
        <v>19</v>
      </c>
      <c r="K235" s="50">
        <f t="shared" si="26"/>
        <v>475</v>
      </c>
      <c r="L235" s="3"/>
      <c r="M235" s="48"/>
    </row>
    <row r="236" s="37" customFormat="1" spans="1:14">
      <c r="A236" s="44">
        <v>45672</v>
      </c>
      <c r="B236" s="45">
        <v>50</v>
      </c>
      <c r="C236" s="66" t="s">
        <v>86</v>
      </c>
      <c r="D236" s="66"/>
      <c r="E236" s="66"/>
      <c r="F236" s="63" t="s">
        <v>87</v>
      </c>
      <c r="G236" s="64">
        <v>1</v>
      </c>
      <c r="H236" s="48">
        <v>25</v>
      </c>
      <c r="I236" s="48">
        <f t="shared" si="24"/>
        <v>25</v>
      </c>
      <c r="J236" s="49">
        <v>19</v>
      </c>
      <c r="K236" s="50">
        <f t="shared" si="26"/>
        <v>475</v>
      </c>
      <c r="M236" s="48"/>
    </row>
    <row r="237" s="37" customFormat="1" spans="1:14">
      <c r="A237" s="44">
        <v>45672</v>
      </c>
      <c r="B237" s="45">
        <v>50</v>
      </c>
      <c r="C237" s="66" t="s">
        <v>15</v>
      </c>
      <c r="D237" s="66"/>
      <c r="E237" s="66"/>
      <c r="F237" s="63" t="s">
        <v>16</v>
      </c>
      <c r="G237" s="64">
        <v>4</v>
      </c>
      <c r="H237" s="48">
        <v>10</v>
      </c>
      <c r="I237" s="48">
        <f t="shared" si="24"/>
        <v>40</v>
      </c>
      <c r="J237" s="49">
        <v>19</v>
      </c>
      <c r="K237" s="50">
        <f t="shared" si="26"/>
        <v>760</v>
      </c>
      <c r="L237" s="3" t="s">
        <v>17</v>
      </c>
      <c r="M237" s="48"/>
    </row>
    <row r="238" s="37" customFormat="1" spans="1:14">
      <c r="A238" s="44">
        <v>45672</v>
      </c>
      <c r="B238" s="45">
        <v>50</v>
      </c>
      <c r="C238" s="66" t="s">
        <v>29</v>
      </c>
      <c r="D238" s="66"/>
      <c r="E238" s="66"/>
      <c r="F238" s="63" t="s">
        <v>30</v>
      </c>
      <c r="G238" s="64">
        <v>1</v>
      </c>
      <c r="H238" s="48">
        <v>20</v>
      </c>
      <c r="I238" s="48">
        <f t="shared" si="24"/>
        <v>20</v>
      </c>
      <c r="J238" s="49">
        <v>16.5</v>
      </c>
      <c r="K238" s="50">
        <f t="shared" si="26"/>
        <v>330</v>
      </c>
      <c r="L238" s="3" t="s">
        <v>197</v>
      </c>
      <c r="M238" s="48"/>
    </row>
    <row r="239" s="37" customFormat="1" spans="1:14">
      <c r="A239" s="44">
        <v>45672</v>
      </c>
      <c r="B239" s="45">
        <v>50</v>
      </c>
      <c r="C239" s="80" t="s">
        <v>198</v>
      </c>
      <c r="D239" s="80"/>
      <c r="E239" s="80"/>
      <c r="F239" s="47" t="s">
        <v>199</v>
      </c>
      <c r="G239" s="64">
        <v>-2</v>
      </c>
      <c r="H239" s="48">
        <v>26</v>
      </c>
      <c r="I239" s="48">
        <f t="shared" si="24"/>
        <v>-52</v>
      </c>
      <c r="J239" s="49">
        <v>19</v>
      </c>
      <c r="K239" s="50">
        <f t="shared" si="26"/>
        <v>-988</v>
      </c>
      <c r="L239" s="3">
        <f>SUM(K234:K239)</f>
        <v>1546</v>
      </c>
      <c r="M239" s="48"/>
    </row>
    <row r="240" s="39" customFormat="1" spans="1:14">
      <c r="A240" s="54">
        <v>45705</v>
      </c>
      <c r="B240" s="55" t="s">
        <v>200</v>
      </c>
      <c r="C240" s="56" t="s">
        <v>201</v>
      </c>
      <c r="D240" s="56"/>
      <c r="E240" s="56"/>
      <c r="F240" s="57" t="s">
        <v>202</v>
      </c>
      <c r="G240" s="58"/>
      <c r="H240" s="59"/>
      <c r="I240" s="59"/>
      <c r="J240" s="60"/>
      <c r="K240" s="61"/>
      <c r="L240" s="62"/>
      <c r="M240" s="59"/>
    </row>
    <row r="241" s="39" customFormat="1" spans="1:13">
      <c r="A241" s="54">
        <v>45712</v>
      </c>
      <c r="B241" s="55">
        <v>38</v>
      </c>
      <c r="C241" s="59" t="s">
        <v>21</v>
      </c>
      <c r="D241" s="59"/>
      <c r="E241" s="59"/>
      <c r="F241" s="57" t="s">
        <v>22</v>
      </c>
      <c r="G241" s="58">
        <v>10</v>
      </c>
      <c r="H241" s="59">
        <v>28</v>
      </c>
      <c r="I241" s="59">
        <f t="shared" ref="I241:I249" si="27">G241*H241</f>
        <v>280</v>
      </c>
      <c r="J241" s="60">
        <v>10</v>
      </c>
      <c r="K241" s="61">
        <f t="shared" ref="K241:K249" si="28">I241*J241</f>
        <v>2800</v>
      </c>
      <c r="L241" s="67">
        <v>9804</v>
      </c>
      <c r="M241" s="59"/>
    </row>
    <row r="242" s="39" customFormat="1" spans="1:13">
      <c r="A242" s="54">
        <v>45712</v>
      </c>
      <c r="B242" s="55">
        <v>38</v>
      </c>
      <c r="C242" s="46" t="s">
        <v>59</v>
      </c>
      <c r="D242" s="46"/>
      <c r="E242" s="46"/>
      <c r="F242" s="57" t="s">
        <v>60</v>
      </c>
      <c r="G242" s="58">
        <v>1</v>
      </c>
      <c r="H242" s="59">
        <v>180</v>
      </c>
      <c r="I242" s="59">
        <f t="shared" si="27"/>
        <v>180</v>
      </c>
      <c r="J242" s="60">
        <v>6.5</v>
      </c>
      <c r="K242" s="61">
        <f t="shared" si="28"/>
        <v>1170</v>
      </c>
      <c r="L242" s="67" t="s">
        <v>61</v>
      </c>
      <c r="M242" s="59"/>
    </row>
    <row r="243" s="39" customFormat="1" spans="1:13">
      <c r="A243" s="54">
        <v>45712</v>
      </c>
      <c r="B243" s="55">
        <v>38</v>
      </c>
      <c r="C243" s="46" t="s">
        <v>86</v>
      </c>
      <c r="D243" s="46"/>
      <c r="E243" s="46"/>
      <c r="F243" s="57" t="s">
        <v>87</v>
      </c>
      <c r="G243" s="58">
        <v>1</v>
      </c>
      <c r="H243" s="59">
        <v>25</v>
      </c>
      <c r="I243" s="59">
        <f t="shared" si="27"/>
        <v>25</v>
      </c>
      <c r="J243" s="60">
        <v>19</v>
      </c>
      <c r="K243" s="61">
        <f t="shared" si="28"/>
        <v>475</v>
      </c>
      <c r="L243" s="62"/>
      <c r="M243" s="59"/>
    </row>
    <row r="244" s="39" customFormat="1" spans="1:13">
      <c r="A244" s="54">
        <v>45712</v>
      </c>
      <c r="B244" s="55">
        <v>38</v>
      </c>
      <c r="C244" s="46" t="s">
        <v>152</v>
      </c>
      <c r="D244" s="46"/>
      <c r="E244" s="46"/>
      <c r="F244" s="57" t="s">
        <v>131</v>
      </c>
      <c r="G244" s="58">
        <v>1</v>
      </c>
      <c r="H244" s="59">
        <v>26</v>
      </c>
      <c r="I244" s="59">
        <f t="shared" si="27"/>
        <v>26</v>
      </c>
      <c r="J244" s="60">
        <v>19</v>
      </c>
      <c r="K244" s="61">
        <f t="shared" si="28"/>
        <v>494</v>
      </c>
      <c r="L244" s="67"/>
      <c r="M244" s="67"/>
    </row>
    <row r="245" s="39" customFormat="1" spans="1:13">
      <c r="A245" s="54">
        <v>45712</v>
      </c>
      <c r="B245" s="55">
        <v>38</v>
      </c>
      <c r="C245" s="46">
        <v>8066</v>
      </c>
      <c r="D245" s="46"/>
      <c r="E245" s="46"/>
      <c r="F245" s="57" t="s">
        <v>203</v>
      </c>
      <c r="G245" s="58">
        <v>1</v>
      </c>
      <c r="H245" s="59">
        <v>26</v>
      </c>
      <c r="I245" s="59">
        <f t="shared" si="27"/>
        <v>26</v>
      </c>
      <c r="J245" s="60">
        <v>19</v>
      </c>
      <c r="K245" s="61">
        <f t="shared" si="28"/>
        <v>494</v>
      </c>
      <c r="L245" s="67"/>
      <c r="M245" s="67"/>
    </row>
    <row r="246" s="39" customFormat="1" spans="1:13">
      <c r="A246" s="54">
        <v>45712</v>
      </c>
      <c r="B246" s="55">
        <v>38</v>
      </c>
      <c r="C246" s="46">
        <v>8065</v>
      </c>
      <c r="D246" s="46"/>
      <c r="E246" s="46"/>
      <c r="F246" s="57" t="s">
        <v>204</v>
      </c>
      <c r="G246" s="58">
        <v>1</v>
      </c>
      <c r="H246" s="59">
        <v>20</v>
      </c>
      <c r="I246" s="59">
        <f t="shared" si="27"/>
        <v>20</v>
      </c>
      <c r="J246" s="60">
        <v>24</v>
      </c>
      <c r="K246" s="61">
        <f t="shared" si="28"/>
        <v>480</v>
      </c>
      <c r="L246" s="67" t="s">
        <v>201</v>
      </c>
      <c r="M246" s="67" t="s">
        <v>205</v>
      </c>
    </row>
    <row r="247" s="39" customFormat="1" spans="1:13">
      <c r="A247" s="54">
        <v>45712</v>
      </c>
      <c r="B247" s="55">
        <v>38</v>
      </c>
      <c r="C247" s="46" t="s">
        <v>15</v>
      </c>
      <c r="D247" s="46"/>
      <c r="E247" s="46"/>
      <c r="F247" s="57" t="s">
        <v>16</v>
      </c>
      <c r="G247" s="58">
        <v>2</v>
      </c>
      <c r="H247" s="59">
        <v>10</v>
      </c>
      <c r="I247" s="59">
        <f t="shared" si="27"/>
        <v>20</v>
      </c>
      <c r="J247" s="60">
        <v>19</v>
      </c>
      <c r="K247" s="61">
        <f t="shared" si="28"/>
        <v>380</v>
      </c>
      <c r="L247" s="62" t="s">
        <v>17</v>
      </c>
      <c r="M247" s="59"/>
    </row>
    <row r="248" s="39" customFormat="1" spans="1:13">
      <c r="A248" s="54">
        <v>45712</v>
      </c>
      <c r="B248" s="55">
        <v>38</v>
      </c>
      <c r="C248" s="46">
        <v>525</v>
      </c>
      <c r="D248" s="46"/>
      <c r="E248" s="46"/>
      <c r="F248" s="57" t="s">
        <v>141</v>
      </c>
      <c r="G248" s="58">
        <v>2</v>
      </c>
      <c r="H248" s="59">
        <v>20</v>
      </c>
      <c r="I248" s="59">
        <f t="shared" si="27"/>
        <v>40</v>
      </c>
      <c r="J248" s="60">
        <v>19</v>
      </c>
      <c r="K248" s="61">
        <f t="shared" si="28"/>
        <v>760</v>
      </c>
      <c r="L248" s="39" t="s">
        <v>206</v>
      </c>
      <c r="M248" s="59">
        <f>SUM(K241:K248)</f>
        <v>7053</v>
      </c>
    </row>
    <row r="249" s="37" customFormat="1" spans="1:13">
      <c r="A249" s="44">
        <v>45712</v>
      </c>
      <c r="B249" s="45">
        <v>38</v>
      </c>
      <c r="C249" s="66" t="s">
        <v>86</v>
      </c>
      <c r="D249" s="66"/>
      <c r="E249" s="66"/>
      <c r="F249" s="63" t="s">
        <v>87</v>
      </c>
      <c r="G249" s="64">
        <v>1</v>
      </c>
      <c r="H249" s="48">
        <v>25</v>
      </c>
      <c r="I249" s="48">
        <f t="shared" si="27"/>
        <v>25</v>
      </c>
      <c r="J249" s="49">
        <v>19</v>
      </c>
      <c r="K249" s="50">
        <f t="shared" si="28"/>
        <v>475</v>
      </c>
      <c r="L249" s="3"/>
      <c r="M249" s="48"/>
    </row>
    <row r="250" s="37" customFormat="1" spans="1:13">
      <c r="A250" s="44"/>
      <c r="B250" s="45"/>
      <c r="C250" s="66"/>
      <c r="D250" s="66"/>
      <c r="E250" s="66"/>
      <c r="F250" s="63"/>
      <c r="G250" s="64"/>
      <c r="H250" s="48"/>
      <c r="I250" s="48"/>
      <c r="J250" s="49"/>
      <c r="K250" s="50"/>
      <c r="L250" s="65"/>
      <c r="M250" s="65"/>
    </row>
    <row r="251" s="39" customFormat="1" spans="1:13">
      <c r="A251" s="54"/>
      <c r="B251" s="55"/>
      <c r="C251" s="46"/>
      <c r="D251" s="46"/>
      <c r="E251" s="46"/>
      <c r="F251" s="57"/>
      <c r="G251" s="58"/>
      <c r="H251" s="59"/>
      <c r="I251" s="59"/>
      <c r="J251" s="60"/>
      <c r="K251" s="61"/>
      <c r="M251" s="59"/>
    </row>
    <row r="252" s="39" customFormat="1" spans="1:13">
      <c r="A252" s="54"/>
      <c r="B252" s="55"/>
      <c r="C252" s="46"/>
      <c r="D252" s="46"/>
      <c r="E252" s="46"/>
      <c r="F252" s="57"/>
      <c r="G252" s="58"/>
      <c r="H252" s="59"/>
      <c r="I252" s="59"/>
      <c r="J252" s="60"/>
      <c r="K252" s="61"/>
      <c r="M252" s="59"/>
    </row>
  </sheetData>
  <autoFilter xmlns:etc="http://www.wps.cn/officeDocument/2017/etCustomData" ref="A2:M249" etc:filterBottomFollowUsedRange="0">
    <extLst/>
  </autoFilter>
  <mergeCells count="253">
    <mergeCell ref="C1:E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M76:N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6"/>
  <sheetViews>
    <sheetView tabSelected="1" topLeftCell="A177" workbookViewId="0">
      <selection activeCell="Q192" sqref="Q192"/>
    </sheetView>
  </sheetViews>
  <sheetFormatPr defaultColWidth="9" defaultRowHeight="14.25"/>
  <cols>
    <col min="1" max="1" width="12.625" customWidth="1"/>
    <col min="3" max="4" width="4.875" customWidth="1"/>
    <col min="5" max="5" width="7.375" customWidth="1"/>
    <col min="6" max="6" width="30.875" customWidth="1"/>
    <col min="11" max="11" width="17" customWidth="1"/>
    <col min="12" max="12" width="19.625" customWidth="1"/>
    <col min="13" max="13" width="9.875"/>
    <col min="14" max="14" width="11.75" customWidth="1"/>
  </cols>
  <sheetData>
    <row r="1" s="37" customFormat="1" ht="20.25" spans="1:13">
      <c r="A1" s="44" t="s">
        <v>0</v>
      </c>
      <c r="B1" s="45"/>
      <c r="C1" s="46"/>
      <c r="D1" s="46"/>
      <c r="E1" s="46"/>
      <c r="F1" s="47"/>
      <c r="G1" s="48"/>
      <c r="H1" s="48"/>
      <c r="I1" s="48"/>
      <c r="J1" s="49"/>
      <c r="K1" s="50"/>
      <c r="L1" s="3"/>
      <c r="M1" s="48"/>
    </row>
    <row r="2" s="38" customFormat="1" ht="19" customHeight="1" spans="1:13">
      <c r="A2" s="51" t="s">
        <v>1</v>
      </c>
      <c r="B2" s="51" t="s">
        <v>2</v>
      </c>
      <c r="C2" s="52" t="s">
        <v>3</v>
      </c>
      <c r="D2" s="52"/>
      <c r="E2" s="52"/>
      <c r="F2" s="53" t="s">
        <v>4</v>
      </c>
      <c r="G2" s="52" t="s">
        <v>5</v>
      </c>
      <c r="H2" s="52" t="s">
        <v>6</v>
      </c>
      <c r="I2" s="52" t="s">
        <v>7</v>
      </c>
      <c r="J2" s="52" t="s">
        <v>8</v>
      </c>
      <c r="K2" s="52" t="s">
        <v>9</v>
      </c>
      <c r="L2" s="52" t="s">
        <v>10</v>
      </c>
      <c r="M2" s="52" t="s">
        <v>11</v>
      </c>
    </row>
    <row r="3" s="39" customFormat="1" ht="20.25" spans="1:13">
      <c r="A3" s="54">
        <v>45705</v>
      </c>
      <c r="B3" s="55" t="s">
        <v>200</v>
      </c>
      <c r="C3" s="56" t="s">
        <v>201</v>
      </c>
      <c r="D3" s="56"/>
      <c r="E3" s="56"/>
      <c r="F3" s="57" t="s">
        <v>202</v>
      </c>
      <c r="G3" s="58"/>
      <c r="H3" s="59"/>
      <c r="I3" s="59"/>
      <c r="J3" s="60"/>
      <c r="K3" s="61"/>
      <c r="L3" s="62"/>
      <c r="M3" s="59"/>
    </row>
    <row r="4" s="37" customFormat="1" ht="20.25" spans="1:13">
      <c r="A4" s="44">
        <v>45712</v>
      </c>
      <c r="B4" s="45">
        <v>38</v>
      </c>
      <c r="C4" s="48" t="s">
        <v>21</v>
      </c>
      <c r="D4" s="48"/>
      <c r="E4" s="48"/>
      <c r="F4" s="63" t="s">
        <v>22</v>
      </c>
      <c r="G4" s="64">
        <v>10</v>
      </c>
      <c r="H4" s="48">
        <v>28</v>
      </c>
      <c r="I4" s="48">
        <f t="shared" ref="I4:I17" si="0">G4*H4</f>
        <v>280</v>
      </c>
      <c r="J4" s="49">
        <v>10</v>
      </c>
      <c r="K4" s="50">
        <f t="shared" ref="K4:K17" si="1">I4*J4</f>
        <v>2800</v>
      </c>
      <c r="L4" s="65">
        <v>9804</v>
      </c>
      <c r="M4" s="48"/>
    </row>
    <row r="5" s="37" customFormat="1" ht="19" customHeight="1" spans="1:13">
      <c r="A5" s="44">
        <v>45712</v>
      </c>
      <c r="B5" s="45">
        <v>38</v>
      </c>
      <c r="C5" s="66" t="s">
        <v>59</v>
      </c>
      <c r="D5" s="66"/>
      <c r="E5" s="66"/>
      <c r="F5" s="63" t="s">
        <v>60</v>
      </c>
      <c r="G5" s="64">
        <v>1</v>
      </c>
      <c r="H5" s="48">
        <v>180</v>
      </c>
      <c r="I5" s="48">
        <f t="shared" si="0"/>
        <v>180</v>
      </c>
      <c r="J5" s="49">
        <v>6.5</v>
      </c>
      <c r="K5" s="50">
        <f t="shared" si="1"/>
        <v>1170</v>
      </c>
      <c r="L5" s="65" t="s">
        <v>61</v>
      </c>
      <c r="M5" s="48"/>
    </row>
    <row r="6" s="37" customFormat="1" ht="20.25" spans="1:13">
      <c r="A6" s="44">
        <v>45712</v>
      </c>
      <c r="B6" s="45">
        <v>38</v>
      </c>
      <c r="C6" s="66" t="s">
        <v>86</v>
      </c>
      <c r="D6" s="66"/>
      <c r="E6" s="66"/>
      <c r="F6" s="63" t="s">
        <v>87</v>
      </c>
      <c r="G6" s="64">
        <v>1</v>
      </c>
      <c r="H6" s="48">
        <v>25</v>
      </c>
      <c r="I6" s="48">
        <f t="shared" si="0"/>
        <v>25</v>
      </c>
      <c r="J6" s="49">
        <v>19</v>
      </c>
      <c r="K6" s="50">
        <f t="shared" si="1"/>
        <v>475</v>
      </c>
      <c r="M6" s="48"/>
    </row>
    <row r="7" s="37" customFormat="1" ht="20.25" spans="1:13">
      <c r="A7" s="44">
        <v>45712</v>
      </c>
      <c r="B7" s="45">
        <v>38</v>
      </c>
      <c r="C7" s="66" t="s">
        <v>152</v>
      </c>
      <c r="D7" s="66"/>
      <c r="E7" s="66"/>
      <c r="F7" s="63" t="s">
        <v>131</v>
      </c>
      <c r="G7" s="64">
        <v>1</v>
      </c>
      <c r="H7" s="48">
        <v>26</v>
      </c>
      <c r="I7" s="48">
        <f t="shared" si="0"/>
        <v>26</v>
      </c>
      <c r="J7" s="49">
        <v>19</v>
      </c>
      <c r="K7" s="50">
        <f t="shared" si="1"/>
        <v>494</v>
      </c>
      <c r="L7" s="65"/>
      <c r="M7" s="65"/>
    </row>
    <row r="8" s="37" customFormat="1" ht="20.25" spans="1:13">
      <c r="A8" s="44">
        <v>45712</v>
      </c>
      <c r="B8" s="45">
        <v>38</v>
      </c>
      <c r="C8" s="66">
        <v>8066</v>
      </c>
      <c r="D8" s="66"/>
      <c r="E8" s="66"/>
      <c r="F8" s="63" t="s">
        <v>203</v>
      </c>
      <c r="G8" s="64">
        <v>1</v>
      </c>
      <c r="H8" s="48">
        <v>26</v>
      </c>
      <c r="I8" s="48">
        <f t="shared" si="0"/>
        <v>26</v>
      </c>
      <c r="J8" s="49">
        <v>19</v>
      </c>
      <c r="K8" s="50">
        <f t="shared" si="1"/>
        <v>494</v>
      </c>
      <c r="L8" s="65"/>
      <c r="M8" s="65"/>
    </row>
    <row r="9" s="37" customFormat="1" ht="20.25" spans="1:13">
      <c r="A9" s="44">
        <v>45712</v>
      </c>
      <c r="B9" s="45">
        <v>38</v>
      </c>
      <c r="C9" s="66">
        <v>8065</v>
      </c>
      <c r="D9" s="66"/>
      <c r="E9" s="66"/>
      <c r="F9" s="63" t="s">
        <v>204</v>
      </c>
      <c r="G9" s="64">
        <v>1</v>
      </c>
      <c r="H9" s="48">
        <v>20</v>
      </c>
      <c r="I9" s="48">
        <f t="shared" si="0"/>
        <v>20</v>
      </c>
      <c r="J9" s="49">
        <v>24</v>
      </c>
      <c r="K9" s="50">
        <f t="shared" si="1"/>
        <v>480</v>
      </c>
      <c r="L9" s="65" t="s">
        <v>201</v>
      </c>
      <c r="M9" s="65" t="s">
        <v>205</v>
      </c>
    </row>
    <row r="10" s="37" customFormat="1" ht="20.25" spans="1:13">
      <c r="A10" s="44">
        <v>45712</v>
      </c>
      <c r="B10" s="45">
        <v>38</v>
      </c>
      <c r="C10" s="66" t="s">
        <v>15</v>
      </c>
      <c r="D10" s="66"/>
      <c r="E10" s="66"/>
      <c r="F10" s="63" t="s">
        <v>16</v>
      </c>
      <c r="G10" s="64">
        <v>2</v>
      </c>
      <c r="H10" s="48">
        <v>10</v>
      </c>
      <c r="I10" s="48">
        <f t="shared" si="0"/>
        <v>20</v>
      </c>
      <c r="J10" s="49">
        <v>19</v>
      </c>
      <c r="K10" s="50">
        <f t="shared" si="1"/>
        <v>380</v>
      </c>
      <c r="L10" s="3" t="s">
        <v>17</v>
      </c>
      <c r="M10" s="48"/>
    </row>
    <row r="11" s="37" customFormat="1" ht="20.25" spans="1:13">
      <c r="A11" s="44">
        <v>45712</v>
      </c>
      <c r="B11" s="45">
        <v>38</v>
      </c>
      <c r="C11" s="66">
        <v>525</v>
      </c>
      <c r="D11" s="66"/>
      <c r="E11" s="66"/>
      <c r="F11" s="63" t="s">
        <v>141</v>
      </c>
      <c r="G11" s="64">
        <v>2</v>
      </c>
      <c r="H11" s="48">
        <v>20</v>
      </c>
      <c r="I11" s="48">
        <f t="shared" si="0"/>
        <v>40</v>
      </c>
      <c r="J11" s="49">
        <v>19</v>
      </c>
      <c r="K11" s="50">
        <f t="shared" si="1"/>
        <v>760</v>
      </c>
      <c r="L11" s="37" t="s">
        <v>206</v>
      </c>
      <c r="M11" s="48">
        <f>SUM(K4:K11)</f>
        <v>7053</v>
      </c>
    </row>
    <row r="12" s="39" customFormat="1" ht="20.25" spans="1:13">
      <c r="A12" s="54">
        <v>45712</v>
      </c>
      <c r="B12" s="55">
        <v>47</v>
      </c>
      <c r="C12" s="46" t="s">
        <v>145</v>
      </c>
      <c r="D12" s="46"/>
      <c r="E12" s="46"/>
      <c r="F12" s="57" t="s">
        <v>146</v>
      </c>
      <c r="G12" s="58">
        <v>2</v>
      </c>
      <c r="H12" s="59">
        <v>25</v>
      </c>
      <c r="I12" s="59">
        <f t="shared" si="0"/>
        <v>50</v>
      </c>
      <c r="J12" s="60">
        <v>14</v>
      </c>
      <c r="K12" s="61">
        <f t="shared" si="1"/>
        <v>700</v>
      </c>
      <c r="L12" s="67" t="s">
        <v>147</v>
      </c>
      <c r="M12" s="59"/>
    </row>
    <row r="13" s="39" customFormat="1" ht="20.25" spans="1:13">
      <c r="A13" s="54">
        <v>45712</v>
      </c>
      <c r="B13" s="55">
        <v>47</v>
      </c>
      <c r="C13" s="46" t="s">
        <v>29</v>
      </c>
      <c r="D13" s="46"/>
      <c r="E13" s="46"/>
      <c r="F13" s="57" t="s">
        <v>30</v>
      </c>
      <c r="G13" s="58">
        <v>4</v>
      </c>
      <c r="H13" s="59">
        <v>20</v>
      </c>
      <c r="I13" s="59">
        <f t="shared" si="0"/>
        <v>80</v>
      </c>
      <c r="J13" s="60">
        <v>16.5</v>
      </c>
      <c r="K13" s="61">
        <f t="shared" si="1"/>
        <v>1320</v>
      </c>
      <c r="L13" s="62">
        <v>309</v>
      </c>
      <c r="M13" s="59"/>
    </row>
    <row r="14" s="37" customFormat="1" ht="20.25" spans="1:13">
      <c r="A14" s="44">
        <v>45719</v>
      </c>
      <c r="B14" s="45">
        <v>9</v>
      </c>
      <c r="C14" s="66" t="s">
        <v>153</v>
      </c>
      <c r="D14" s="66"/>
      <c r="E14" s="66"/>
      <c r="F14" s="63" t="s">
        <v>26</v>
      </c>
      <c r="G14" s="64">
        <v>2</v>
      </c>
      <c r="H14" s="48">
        <v>26</v>
      </c>
      <c r="I14" s="48">
        <f t="shared" si="0"/>
        <v>52</v>
      </c>
      <c r="J14" s="49">
        <v>19</v>
      </c>
      <c r="K14" s="50">
        <f t="shared" si="1"/>
        <v>988</v>
      </c>
      <c r="L14" s="65" t="s">
        <v>20</v>
      </c>
      <c r="M14" s="65"/>
    </row>
    <row r="15" s="37" customFormat="1" ht="20.25" spans="1:13">
      <c r="A15" s="44">
        <v>45719</v>
      </c>
      <c r="B15" s="45">
        <v>9</v>
      </c>
      <c r="C15" s="66"/>
      <c r="D15" s="66"/>
      <c r="E15" s="66"/>
      <c r="F15" s="63" t="s">
        <v>207</v>
      </c>
      <c r="G15" s="64">
        <v>1</v>
      </c>
      <c r="H15" s="48">
        <v>14</v>
      </c>
      <c r="I15" s="48">
        <f t="shared" ref="I15:I45" si="2">G15*H15</f>
        <v>14</v>
      </c>
      <c r="J15" s="49">
        <v>19</v>
      </c>
      <c r="K15" s="50">
        <f t="shared" ref="K14:K30" si="3">I15*J15</f>
        <v>266</v>
      </c>
      <c r="L15" s="3"/>
      <c r="M15" s="48"/>
    </row>
    <row r="16" s="37" customFormat="1" ht="20.25" spans="1:13">
      <c r="A16" s="44">
        <v>45719</v>
      </c>
      <c r="B16" s="45">
        <v>9</v>
      </c>
      <c r="C16" s="66" t="s">
        <v>98</v>
      </c>
      <c r="D16" s="66"/>
      <c r="E16" s="66"/>
      <c r="F16" s="63" t="s">
        <v>99</v>
      </c>
      <c r="G16" s="64">
        <v>2</v>
      </c>
      <c r="H16" s="48">
        <v>26</v>
      </c>
      <c r="I16" s="48">
        <f t="shared" si="2"/>
        <v>52</v>
      </c>
      <c r="J16" s="49">
        <v>23</v>
      </c>
      <c r="K16" s="50">
        <f t="shared" si="3"/>
        <v>1196</v>
      </c>
      <c r="L16" s="65" t="s">
        <v>100</v>
      </c>
      <c r="M16" s="65"/>
    </row>
    <row r="17" s="37" customFormat="1" ht="20.25" spans="1:14">
      <c r="A17" s="44">
        <v>45719</v>
      </c>
      <c r="B17" s="45">
        <v>9</v>
      </c>
      <c r="C17" s="66" t="s">
        <v>15</v>
      </c>
      <c r="D17" s="66"/>
      <c r="E17" s="66"/>
      <c r="F17" s="63" t="s">
        <v>16</v>
      </c>
      <c r="G17" s="64">
        <v>5</v>
      </c>
      <c r="H17" s="48">
        <v>10</v>
      </c>
      <c r="I17" s="48">
        <f t="shared" si="2"/>
        <v>50</v>
      </c>
      <c r="J17" s="49">
        <v>19</v>
      </c>
      <c r="K17" s="50">
        <f t="shared" si="3"/>
        <v>950</v>
      </c>
      <c r="L17" s="3" t="s">
        <v>17</v>
      </c>
      <c r="M17" s="48">
        <f>SUM(K14:K18)</f>
        <v>5380</v>
      </c>
    </row>
    <row r="18" s="37" customFormat="1" ht="20.25" spans="1:14">
      <c r="A18" s="44">
        <v>45719</v>
      </c>
      <c r="B18" s="45">
        <v>9</v>
      </c>
      <c r="C18" s="48" t="s">
        <v>65</v>
      </c>
      <c r="D18" s="48"/>
      <c r="E18" s="48"/>
      <c r="F18" s="63" t="s">
        <v>66</v>
      </c>
      <c r="G18" s="64">
        <v>1</v>
      </c>
      <c r="H18" s="48">
        <v>180</v>
      </c>
      <c r="I18" s="48">
        <f t="shared" si="2"/>
        <v>180</v>
      </c>
      <c r="J18" s="49">
        <v>11</v>
      </c>
      <c r="K18" s="50">
        <f t="shared" si="3"/>
        <v>1980</v>
      </c>
      <c r="L18" s="65"/>
      <c r="M18" s="48"/>
      <c r="N18" s="37" t="s">
        <v>173</v>
      </c>
    </row>
    <row r="19" s="39" customFormat="1" ht="20.25" spans="1:14">
      <c r="A19" s="44">
        <v>45719</v>
      </c>
      <c r="B19" s="45">
        <v>9</v>
      </c>
      <c r="C19" s="68" t="s">
        <v>178</v>
      </c>
      <c r="D19" s="68"/>
      <c r="E19" s="68"/>
      <c r="F19" s="69" t="s">
        <v>158</v>
      </c>
      <c r="G19" s="70">
        <v>2</v>
      </c>
      <c r="H19" s="68">
        <v>25</v>
      </c>
      <c r="I19" s="68">
        <f t="shared" si="2"/>
        <v>50</v>
      </c>
      <c r="J19" s="71"/>
      <c r="K19" s="72">
        <f t="shared" si="3"/>
        <v>0</v>
      </c>
      <c r="L19" s="67" t="s">
        <v>208</v>
      </c>
      <c r="M19" s="59"/>
    </row>
    <row r="20" s="39" customFormat="1" ht="20.25" spans="1:14">
      <c r="A20" s="54">
        <v>45721</v>
      </c>
      <c r="B20" s="55">
        <v>16</v>
      </c>
      <c r="C20" s="46" t="s">
        <v>23</v>
      </c>
      <c r="D20" s="46"/>
      <c r="E20" s="46"/>
      <c r="F20" s="57" t="s">
        <v>24</v>
      </c>
      <c r="G20" s="58">
        <v>2</v>
      </c>
      <c r="H20" s="59">
        <v>26</v>
      </c>
      <c r="I20" s="59">
        <f t="shared" si="2"/>
        <v>52</v>
      </c>
      <c r="J20" s="60">
        <v>19</v>
      </c>
      <c r="K20" s="61">
        <f t="shared" si="3"/>
        <v>988</v>
      </c>
      <c r="L20" s="62"/>
      <c r="M20" s="59"/>
    </row>
    <row r="21" s="39" customFormat="1" ht="20.25" spans="1:14">
      <c r="A21" s="54">
        <v>45721</v>
      </c>
      <c r="B21" s="55">
        <v>16</v>
      </c>
      <c r="C21" s="46" t="s">
        <v>15</v>
      </c>
      <c r="D21" s="46"/>
      <c r="E21" s="46"/>
      <c r="F21" s="57" t="s">
        <v>16</v>
      </c>
      <c r="G21" s="58">
        <v>2</v>
      </c>
      <c r="H21" s="59">
        <v>10</v>
      </c>
      <c r="I21" s="59">
        <f t="shared" si="2"/>
        <v>20</v>
      </c>
      <c r="J21" s="60">
        <v>19</v>
      </c>
      <c r="K21" s="61">
        <f t="shared" si="3"/>
        <v>380</v>
      </c>
      <c r="L21" s="62" t="s">
        <v>17</v>
      </c>
      <c r="M21" s="59">
        <f>SUM(K20:K21)</f>
        <v>1368</v>
      </c>
    </row>
    <row r="22" s="37" customFormat="1" ht="20.25" spans="1:14">
      <c r="A22" s="44">
        <v>45726</v>
      </c>
      <c r="B22" s="45">
        <v>10</v>
      </c>
      <c r="C22" s="48" t="s">
        <v>65</v>
      </c>
      <c r="D22" s="48"/>
      <c r="E22" s="48"/>
      <c r="F22" s="63" t="s">
        <v>66</v>
      </c>
      <c r="G22" s="64">
        <v>1</v>
      </c>
      <c r="H22" s="48">
        <v>180</v>
      </c>
      <c r="I22" s="48">
        <f t="shared" si="2"/>
        <v>180</v>
      </c>
      <c r="J22" s="49"/>
      <c r="K22" s="50">
        <f t="shared" si="3"/>
        <v>0</v>
      </c>
      <c r="L22" s="73" t="s">
        <v>209</v>
      </c>
      <c r="M22" s="48"/>
      <c r="N22" s="37" t="s">
        <v>173</v>
      </c>
    </row>
    <row r="23" s="39" customFormat="1" ht="20.25" spans="1:14">
      <c r="A23" s="54">
        <v>45728</v>
      </c>
      <c r="B23" s="55">
        <v>42</v>
      </c>
      <c r="C23" s="46" t="s">
        <v>54</v>
      </c>
      <c r="D23" s="46"/>
      <c r="E23" s="46"/>
      <c r="F23" s="57" t="s">
        <v>55</v>
      </c>
      <c r="G23" s="58">
        <v>2</v>
      </c>
      <c r="H23" s="59">
        <v>21</v>
      </c>
      <c r="I23" s="59">
        <f t="shared" si="2"/>
        <v>42</v>
      </c>
      <c r="J23" s="60">
        <v>24</v>
      </c>
      <c r="K23" s="61">
        <f t="shared" si="3"/>
        <v>1008</v>
      </c>
      <c r="L23" s="62"/>
      <c r="M23" s="59"/>
    </row>
    <row r="24" s="39" customFormat="1" ht="20.25" spans="1:14">
      <c r="A24" s="54">
        <v>45728</v>
      </c>
      <c r="B24" s="55">
        <v>42</v>
      </c>
      <c r="C24" s="59" t="s">
        <v>21</v>
      </c>
      <c r="D24" s="59"/>
      <c r="E24" s="59"/>
      <c r="F24" s="57" t="s">
        <v>22</v>
      </c>
      <c r="G24" s="58">
        <v>10</v>
      </c>
      <c r="H24" s="59">
        <v>28</v>
      </c>
      <c r="I24" s="59">
        <f t="shared" si="2"/>
        <v>280</v>
      </c>
      <c r="J24" s="60">
        <v>10</v>
      </c>
      <c r="K24" s="61">
        <f t="shared" si="3"/>
        <v>2800</v>
      </c>
      <c r="L24" s="67">
        <v>9804</v>
      </c>
      <c r="M24" s="59">
        <f>SUM(K23:K24)</f>
        <v>3808</v>
      </c>
    </row>
    <row r="25" s="37" customFormat="1" ht="20.25" spans="1:14">
      <c r="A25" s="44">
        <v>45734</v>
      </c>
      <c r="B25" s="45">
        <v>68</v>
      </c>
      <c r="C25" s="48"/>
      <c r="D25" s="48"/>
      <c r="E25" s="48"/>
      <c r="F25" s="63" t="s">
        <v>210</v>
      </c>
      <c r="G25" s="64">
        <v>1</v>
      </c>
      <c r="H25" s="48">
        <v>1</v>
      </c>
      <c r="I25" s="48">
        <f t="shared" si="2"/>
        <v>1</v>
      </c>
      <c r="J25" s="49">
        <v>45</v>
      </c>
      <c r="K25" s="50">
        <f t="shared" si="3"/>
        <v>45</v>
      </c>
      <c r="L25" s="3"/>
      <c r="M25" s="48"/>
    </row>
    <row r="26" s="37" customFormat="1" ht="20.25" spans="1:14">
      <c r="A26" s="44">
        <v>45734</v>
      </c>
      <c r="B26" s="45">
        <v>68</v>
      </c>
      <c r="C26" s="48" t="s">
        <v>80</v>
      </c>
      <c r="D26" s="48"/>
      <c r="E26" s="48"/>
      <c r="F26" s="63" t="s">
        <v>81</v>
      </c>
      <c r="G26" s="64">
        <v>1</v>
      </c>
      <c r="H26" s="48">
        <v>20</v>
      </c>
      <c r="I26" s="48">
        <f t="shared" si="2"/>
        <v>20</v>
      </c>
      <c r="J26" s="74">
        <v>18</v>
      </c>
      <c r="K26" s="50">
        <f t="shared" si="3"/>
        <v>360</v>
      </c>
      <c r="L26" s="65" t="s">
        <v>82</v>
      </c>
      <c r="M26" s="65"/>
    </row>
    <row r="27" s="39" customFormat="1" ht="20.25" spans="1:14">
      <c r="A27" s="54">
        <v>45742</v>
      </c>
      <c r="B27" s="55">
        <v>107</v>
      </c>
      <c r="C27" s="46"/>
      <c r="D27" s="46"/>
      <c r="E27" s="46"/>
      <c r="F27" s="57" t="s">
        <v>207</v>
      </c>
      <c r="G27" s="58">
        <v>1</v>
      </c>
      <c r="H27" s="59">
        <v>21</v>
      </c>
      <c r="I27" s="59">
        <f t="shared" si="2"/>
        <v>21</v>
      </c>
      <c r="J27" s="60">
        <v>19</v>
      </c>
      <c r="K27" s="61">
        <f t="shared" si="3"/>
        <v>399</v>
      </c>
      <c r="L27" s="62"/>
      <c r="M27" s="59"/>
    </row>
    <row r="28" s="39" customFormat="1" ht="20.25" spans="1:14">
      <c r="A28" s="54">
        <v>45742</v>
      </c>
      <c r="B28" s="55">
        <v>107</v>
      </c>
      <c r="C28" s="46" t="s">
        <v>29</v>
      </c>
      <c r="D28" s="46"/>
      <c r="E28" s="46"/>
      <c r="F28" s="57" t="s">
        <v>30</v>
      </c>
      <c r="G28" s="58">
        <v>2</v>
      </c>
      <c r="H28" s="59">
        <v>20</v>
      </c>
      <c r="I28" s="59">
        <f t="shared" si="2"/>
        <v>40</v>
      </c>
      <c r="J28" s="60">
        <v>16.5</v>
      </c>
      <c r="K28" s="61">
        <f t="shared" si="3"/>
        <v>660</v>
      </c>
      <c r="L28" s="62">
        <f>SUM(K27:K28)</f>
        <v>1059</v>
      </c>
      <c r="M28" s="59"/>
    </row>
    <row r="29" s="37" customFormat="1" ht="20.25" spans="1:14">
      <c r="A29" s="44">
        <v>45743</v>
      </c>
      <c r="B29" s="45">
        <v>112</v>
      </c>
      <c r="C29" s="66">
        <v>8065</v>
      </c>
      <c r="D29" s="66"/>
      <c r="E29" s="66"/>
      <c r="F29" s="63" t="s">
        <v>211</v>
      </c>
      <c r="G29" s="64">
        <v>1</v>
      </c>
      <c r="H29" s="48">
        <v>9</v>
      </c>
      <c r="I29" s="48">
        <f t="shared" si="2"/>
        <v>9</v>
      </c>
      <c r="J29" s="49">
        <v>24</v>
      </c>
      <c r="K29" s="50">
        <f t="shared" si="3"/>
        <v>216</v>
      </c>
      <c r="L29" s="65" t="s">
        <v>212</v>
      </c>
      <c r="M29" s="65"/>
    </row>
    <row r="30" s="37" customFormat="1" ht="20.25" spans="1:14">
      <c r="A30" s="44">
        <v>45743</v>
      </c>
      <c r="B30" s="45">
        <v>112</v>
      </c>
      <c r="C30" s="66">
        <v>8065</v>
      </c>
      <c r="D30" s="66"/>
      <c r="E30" s="66"/>
      <c r="F30" s="63" t="s">
        <v>204</v>
      </c>
      <c r="G30" s="64">
        <v>1</v>
      </c>
      <c r="H30" s="48">
        <v>11</v>
      </c>
      <c r="I30" s="48">
        <f t="shared" si="2"/>
        <v>11</v>
      </c>
      <c r="J30" s="49"/>
      <c r="K30" s="50"/>
      <c r="L30" s="65" t="s">
        <v>213</v>
      </c>
      <c r="M30" s="65"/>
    </row>
    <row r="31" s="37" customFormat="1" ht="20.25" spans="1:14">
      <c r="A31" s="44">
        <v>45743</v>
      </c>
      <c r="B31" s="45">
        <v>112</v>
      </c>
      <c r="C31" s="66" t="s">
        <v>15</v>
      </c>
      <c r="D31" s="66"/>
      <c r="E31" s="66"/>
      <c r="F31" s="63" t="s">
        <v>16</v>
      </c>
      <c r="G31" s="64">
        <v>1</v>
      </c>
      <c r="H31" s="48">
        <v>10</v>
      </c>
      <c r="I31" s="48">
        <f t="shared" si="2"/>
        <v>10</v>
      </c>
      <c r="J31" s="49">
        <v>19</v>
      </c>
      <c r="K31" s="50">
        <f t="shared" ref="K31:K47" si="4">I31*J31</f>
        <v>190</v>
      </c>
      <c r="L31" s="3" t="s">
        <v>17</v>
      </c>
      <c r="M31" s="48">
        <f>SUM(K29:K31)</f>
        <v>406</v>
      </c>
    </row>
    <row r="32" s="39" customFormat="1" ht="20.25" spans="1:14">
      <c r="A32" s="54">
        <v>45754</v>
      </c>
      <c r="B32" s="55">
        <v>19</v>
      </c>
      <c r="C32" s="46" t="s">
        <v>214</v>
      </c>
      <c r="D32" s="46"/>
      <c r="E32" s="46"/>
      <c r="F32" s="57" t="s">
        <v>215</v>
      </c>
      <c r="G32" s="58">
        <v>1</v>
      </c>
      <c r="H32" s="59">
        <v>2</v>
      </c>
      <c r="I32" s="59">
        <f t="shared" si="2"/>
        <v>2</v>
      </c>
      <c r="J32" s="60">
        <v>19</v>
      </c>
      <c r="K32" s="61">
        <f t="shared" si="4"/>
        <v>38</v>
      </c>
      <c r="L32" s="62" t="s">
        <v>216</v>
      </c>
      <c r="M32" s="59"/>
    </row>
    <row r="33" s="39" customFormat="1" ht="20.25" spans="1:14">
      <c r="A33" s="54">
        <v>45754</v>
      </c>
      <c r="B33" s="55">
        <v>19</v>
      </c>
      <c r="C33" s="75">
        <v>4027</v>
      </c>
      <c r="D33" s="75"/>
      <c r="E33" s="75"/>
      <c r="F33" s="57" t="s">
        <v>53</v>
      </c>
      <c r="G33" s="58">
        <v>1</v>
      </c>
      <c r="H33" s="59"/>
      <c r="I33" s="59">
        <f t="shared" si="2"/>
        <v>0</v>
      </c>
      <c r="J33" s="60">
        <v>19</v>
      </c>
      <c r="K33" s="61">
        <f t="shared" si="4"/>
        <v>0</v>
      </c>
      <c r="L33" s="62"/>
      <c r="M33" s="59"/>
    </row>
    <row r="34" s="39" customFormat="1" ht="20.25" spans="1:14">
      <c r="A34" s="54">
        <v>45754</v>
      </c>
      <c r="B34" s="55">
        <v>19</v>
      </c>
      <c r="C34" s="75" t="s">
        <v>105</v>
      </c>
      <c r="D34" s="75"/>
      <c r="E34" s="75"/>
      <c r="F34" s="57" t="s">
        <v>106</v>
      </c>
      <c r="G34" s="58">
        <v>1</v>
      </c>
      <c r="H34" s="59"/>
      <c r="I34" s="59">
        <f t="shared" si="2"/>
        <v>0</v>
      </c>
      <c r="J34" s="60">
        <v>19</v>
      </c>
      <c r="K34" s="61">
        <f t="shared" si="4"/>
        <v>0</v>
      </c>
      <c r="L34" s="67" t="s">
        <v>107</v>
      </c>
      <c r="M34" s="67"/>
    </row>
    <row r="35" s="39" customFormat="1" ht="20.25" spans="1:14">
      <c r="A35" s="54">
        <v>45754</v>
      </c>
      <c r="B35" s="55">
        <v>19</v>
      </c>
      <c r="C35" s="46" t="s">
        <v>15</v>
      </c>
      <c r="D35" s="46"/>
      <c r="E35" s="46"/>
      <c r="F35" s="57" t="s">
        <v>16</v>
      </c>
      <c r="G35" s="58">
        <v>1</v>
      </c>
      <c r="H35" s="59">
        <v>10</v>
      </c>
      <c r="I35" s="59">
        <f t="shared" si="2"/>
        <v>10</v>
      </c>
      <c r="J35" s="60">
        <v>19</v>
      </c>
      <c r="K35" s="61">
        <f t="shared" si="4"/>
        <v>190</v>
      </c>
      <c r="L35" s="62" t="s">
        <v>17</v>
      </c>
      <c r="M35" s="59">
        <f>SUM(K32:K37)</f>
        <v>2568</v>
      </c>
    </row>
    <row r="36" s="39" customFormat="1" ht="20.25" spans="1:14">
      <c r="A36" s="54">
        <v>45754</v>
      </c>
      <c r="B36" s="55">
        <v>19</v>
      </c>
      <c r="C36" s="59" t="s">
        <v>65</v>
      </c>
      <c r="D36" s="59"/>
      <c r="E36" s="59"/>
      <c r="F36" s="57" t="s">
        <v>66</v>
      </c>
      <c r="G36" s="58">
        <v>1</v>
      </c>
      <c r="H36" s="59">
        <v>180</v>
      </c>
      <c r="I36" s="59">
        <f t="shared" si="2"/>
        <v>180</v>
      </c>
      <c r="J36" s="60">
        <v>11</v>
      </c>
      <c r="K36" s="61">
        <f t="shared" si="4"/>
        <v>1980</v>
      </c>
      <c r="L36" s="76"/>
      <c r="M36" s="59"/>
      <c r="N36" s="39" t="s">
        <v>173</v>
      </c>
    </row>
    <row r="37" s="39" customFormat="1" ht="20.25" spans="1:14">
      <c r="A37" s="54">
        <v>45754</v>
      </c>
      <c r="B37" s="55">
        <v>19</v>
      </c>
      <c r="C37" s="46" t="s">
        <v>89</v>
      </c>
      <c r="D37" s="46"/>
      <c r="E37" s="46"/>
      <c r="F37" s="57" t="s">
        <v>137</v>
      </c>
      <c r="G37" s="58">
        <v>1</v>
      </c>
      <c r="H37" s="59">
        <v>20</v>
      </c>
      <c r="I37" s="59">
        <f t="shared" si="2"/>
        <v>20</v>
      </c>
      <c r="J37" s="60">
        <v>18</v>
      </c>
      <c r="K37" s="61">
        <f t="shared" si="4"/>
        <v>360</v>
      </c>
      <c r="L37" s="67" t="s">
        <v>217</v>
      </c>
      <c r="M37" s="67"/>
    </row>
    <row r="38" s="37" customFormat="1" ht="21" customHeight="1" spans="1:14">
      <c r="A38" s="44">
        <v>45759</v>
      </c>
      <c r="B38" s="45">
        <v>36</v>
      </c>
      <c r="C38" s="48" t="s">
        <v>21</v>
      </c>
      <c r="D38" s="48"/>
      <c r="E38" s="48"/>
      <c r="F38" s="63" t="s">
        <v>22</v>
      </c>
      <c r="G38" s="64">
        <v>10</v>
      </c>
      <c r="H38" s="48">
        <v>28</v>
      </c>
      <c r="I38" s="48">
        <f t="shared" si="2"/>
        <v>280</v>
      </c>
      <c r="J38" s="49">
        <v>10</v>
      </c>
      <c r="K38" s="50">
        <f t="shared" si="4"/>
        <v>2800</v>
      </c>
      <c r="L38" s="65">
        <v>9804</v>
      </c>
      <c r="M38" s="48">
        <f>SUM(K37:K38)</f>
        <v>3160</v>
      </c>
    </row>
    <row r="39" s="37" customFormat="1" ht="20.25" spans="1:14">
      <c r="A39" s="44">
        <v>45759</v>
      </c>
      <c r="B39" s="45">
        <v>36</v>
      </c>
      <c r="C39" s="66">
        <v>240515</v>
      </c>
      <c r="D39" s="66"/>
      <c r="E39" s="66"/>
      <c r="F39" s="63" t="s">
        <v>70</v>
      </c>
      <c r="G39" s="64">
        <v>1</v>
      </c>
      <c r="H39" s="48">
        <v>26</v>
      </c>
      <c r="I39" s="48">
        <f t="shared" si="2"/>
        <v>26</v>
      </c>
      <c r="J39" s="49">
        <v>19</v>
      </c>
      <c r="K39" s="50">
        <f t="shared" si="4"/>
        <v>494</v>
      </c>
      <c r="L39" s="3"/>
      <c r="M39" s="48"/>
    </row>
    <row r="40" s="37" customFormat="1" ht="20.25" spans="1:14">
      <c r="A40" s="44">
        <v>45759</v>
      </c>
      <c r="B40" s="45">
        <v>36</v>
      </c>
      <c r="C40" s="66" t="s">
        <v>98</v>
      </c>
      <c r="D40" s="66"/>
      <c r="E40" s="66"/>
      <c r="F40" s="63" t="s">
        <v>99</v>
      </c>
      <c r="G40" s="64">
        <v>2</v>
      </c>
      <c r="H40" s="48">
        <v>26</v>
      </c>
      <c r="I40" s="48">
        <f t="shared" si="2"/>
        <v>52</v>
      </c>
      <c r="J40" s="49">
        <v>23</v>
      </c>
      <c r="K40" s="50">
        <f t="shared" si="4"/>
        <v>1196</v>
      </c>
      <c r="L40" s="65" t="s">
        <v>100</v>
      </c>
      <c r="M40" s="65"/>
    </row>
    <row r="41" s="37" customFormat="1" ht="20.25" spans="1:14">
      <c r="A41" s="44">
        <v>45759</v>
      </c>
      <c r="B41" s="45">
        <v>36</v>
      </c>
      <c r="C41" s="48" t="s">
        <v>79</v>
      </c>
      <c r="D41" s="48"/>
      <c r="E41" s="48"/>
      <c r="F41" s="63" t="s">
        <v>42</v>
      </c>
      <c r="G41" s="64">
        <v>2</v>
      </c>
      <c r="H41" s="48">
        <v>24</v>
      </c>
      <c r="I41" s="48">
        <f t="shared" si="2"/>
        <v>48</v>
      </c>
      <c r="J41" s="49">
        <v>19</v>
      </c>
      <c r="K41" s="50">
        <f t="shared" si="4"/>
        <v>912</v>
      </c>
      <c r="L41" s="65" t="s">
        <v>68</v>
      </c>
      <c r="M41" s="65" t="s">
        <v>73</v>
      </c>
    </row>
    <row r="42" s="37" customFormat="1" ht="20.25" spans="1:14">
      <c r="A42" s="44">
        <v>45759</v>
      </c>
      <c r="B42" s="45">
        <v>36</v>
      </c>
      <c r="C42" s="66" t="s">
        <v>15</v>
      </c>
      <c r="D42" s="66"/>
      <c r="E42" s="66"/>
      <c r="F42" s="63" t="s">
        <v>16</v>
      </c>
      <c r="G42" s="64">
        <v>6</v>
      </c>
      <c r="H42" s="48">
        <v>10</v>
      </c>
      <c r="I42" s="48">
        <f t="shared" si="2"/>
        <v>60</v>
      </c>
      <c r="J42" s="49">
        <v>19</v>
      </c>
      <c r="K42" s="50">
        <f t="shared" si="4"/>
        <v>1140</v>
      </c>
      <c r="L42" s="3" t="s">
        <v>17</v>
      </c>
      <c r="M42" s="48">
        <f>SUM(K38:K44)</f>
        <v>9002</v>
      </c>
    </row>
    <row r="43" s="37" customFormat="1" ht="20.25" spans="1:14">
      <c r="A43" s="44">
        <v>45759</v>
      </c>
      <c r="B43" s="45">
        <v>36</v>
      </c>
      <c r="C43" s="48" t="s">
        <v>218</v>
      </c>
      <c r="D43" s="48"/>
      <c r="E43" s="48"/>
      <c r="F43" s="63" t="s">
        <v>66</v>
      </c>
      <c r="G43" s="64">
        <v>1</v>
      </c>
      <c r="H43" s="48">
        <v>180</v>
      </c>
      <c r="I43" s="48">
        <f t="shared" si="2"/>
        <v>180</v>
      </c>
      <c r="J43" s="49">
        <v>11</v>
      </c>
      <c r="K43" s="50">
        <f t="shared" si="4"/>
        <v>1980</v>
      </c>
      <c r="L43" s="77"/>
      <c r="M43" s="48"/>
      <c r="N43" s="37" t="s">
        <v>173</v>
      </c>
    </row>
    <row r="44" s="39" customFormat="1" ht="20.25" spans="1:14">
      <c r="A44" s="54">
        <v>45762</v>
      </c>
      <c r="B44" s="55">
        <v>46</v>
      </c>
      <c r="C44" s="46">
        <v>8065</v>
      </c>
      <c r="D44" s="46"/>
      <c r="E44" s="46"/>
      <c r="F44" s="57" t="s">
        <v>204</v>
      </c>
      <c r="G44" s="58">
        <v>1</v>
      </c>
      <c r="H44" s="59">
        <v>20</v>
      </c>
      <c r="I44" s="59">
        <f t="shared" si="2"/>
        <v>20</v>
      </c>
      <c r="J44" s="60">
        <v>24</v>
      </c>
      <c r="K44" s="61">
        <f t="shared" si="4"/>
        <v>480</v>
      </c>
      <c r="L44" s="67" t="s">
        <v>219</v>
      </c>
      <c r="M44" s="67"/>
    </row>
    <row r="45" s="39" customFormat="1" ht="20.25" spans="1:14">
      <c r="A45" s="78">
        <v>45766</v>
      </c>
      <c r="B45" s="79">
        <v>56</v>
      </c>
      <c r="C45" s="80">
        <v>419</v>
      </c>
      <c r="D45" s="80"/>
      <c r="E45" s="80"/>
      <c r="F45" s="47" t="s">
        <v>220</v>
      </c>
      <c r="G45" s="81">
        <v>1</v>
      </c>
      <c r="H45" s="82">
        <v>20</v>
      </c>
      <c r="I45" s="82">
        <f t="shared" si="2"/>
        <v>20</v>
      </c>
      <c r="J45" s="74">
        <v>19</v>
      </c>
      <c r="K45" s="83">
        <f t="shared" si="4"/>
        <v>380</v>
      </c>
      <c r="L45" s="84" t="s">
        <v>221</v>
      </c>
      <c r="M45" s="59"/>
    </row>
    <row r="46" s="37" customFormat="1" ht="20.25" spans="1:14">
      <c r="A46" s="44">
        <v>45768</v>
      </c>
      <c r="B46" s="45">
        <v>58</v>
      </c>
      <c r="C46" s="48" t="s">
        <v>80</v>
      </c>
      <c r="D46" s="48"/>
      <c r="E46" s="48"/>
      <c r="F46" s="63" t="s">
        <v>81</v>
      </c>
      <c r="G46" s="64">
        <v>1</v>
      </c>
      <c r="H46" s="48">
        <v>20</v>
      </c>
      <c r="I46" s="48">
        <f t="shared" ref="I46:I54" si="5">G46*H46</f>
        <v>20</v>
      </c>
      <c r="J46" s="49">
        <v>18</v>
      </c>
      <c r="K46" s="50">
        <f t="shared" si="4"/>
        <v>360</v>
      </c>
      <c r="L46" s="65" t="s">
        <v>82</v>
      </c>
      <c r="M46" s="65"/>
    </row>
    <row r="47" s="37" customFormat="1" ht="20.25" spans="1:14">
      <c r="A47" s="44">
        <v>45768</v>
      </c>
      <c r="B47" s="45">
        <v>58</v>
      </c>
      <c r="C47" s="66" t="s">
        <v>15</v>
      </c>
      <c r="D47" s="66"/>
      <c r="E47" s="66"/>
      <c r="F47" s="63" t="s">
        <v>16</v>
      </c>
      <c r="G47" s="64">
        <v>1</v>
      </c>
      <c r="H47" s="48">
        <v>10</v>
      </c>
      <c r="I47" s="48">
        <f t="shared" si="5"/>
        <v>10</v>
      </c>
      <c r="J47" s="49">
        <v>19</v>
      </c>
      <c r="K47" s="50">
        <f t="shared" si="4"/>
        <v>190</v>
      </c>
      <c r="L47" s="3" t="s">
        <v>17</v>
      </c>
      <c r="M47" s="48">
        <f>SUM(K44:K49)</f>
        <v>1904</v>
      </c>
    </row>
    <row r="48" s="37" customFormat="1" ht="20.25" spans="1:14">
      <c r="A48" s="44">
        <v>45768</v>
      </c>
      <c r="B48" s="45">
        <v>58</v>
      </c>
      <c r="C48" s="66"/>
      <c r="D48" s="66"/>
      <c r="E48" s="66"/>
      <c r="F48" s="63" t="s">
        <v>69</v>
      </c>
      <c r="G48" s="64">
        <v>1</v>
      </c>
      <c r="H48" s="48">
        <v>4</v>
      </c>
      <c r="I48" s="48">
        <f t="shared" si="5"/>
        <v>4</v>
      </c>
      <c r="J48" s="49"/>
      <c r="K48" s="50"/>
      <c r="L48" s="3"/>
      <c r="M48" s="48"/>
    </row>
    <row r="49" s="39" customFormat="1" ht="20.25" spans="1:13">
      <c r="A49" s="54">
        <v>45772</v>
      </c>
      <c r="B49" s="55">
        <v>79</v>
      </c>
      <c r="C49" s="46">
        <v>4027</v>
      </c>
      <c r="D49" s="46"/>
      <c r="E49" s="46"/>
      <c r="F49" s="57" t="s">
        <v>53</v>
      </c>
      <c r="G49" s="58">
        <v>1</v>
      </c>
      <c r="H49" s="59">
        <v>26</v>
      </c>
      <c r="I49" s="59">
        <f t="shared" si="5"/>
        <v>26</v>
      </c>
      <c r="J49" s="60">
        <v>19</v>
      </c>
      <c r="K49" s="61">
        <f t="shared" ref="K49:K53" si="6">I49*J49</f>
        <v>494</v>
      </c>
      <c r="L49" s="62"/>
      <c r="M49" s="59"/>
    </row>
    <row r="50" s="39" customFormat="1" ht="20.25" spans="1:13">
      <c r="A50" s="54">
        <v>45772</v>
      </c>
      <c r="B50" s="55">
        <v>79</v>
      </c>
      <c r="C50" s="46" t="s">
        <v>151</v>
      </c>
      <c r="D50" s="46"/>
      <c r="E50" s="46"/>
      <c r="F50" s="57" t="s">
        <v>24</v>
      </c>
      <c r="G50" s="58">
        <v>1</v>
      </c>
      <c r="H50" s="59">
        <v>25</v>
      </c>
      <c r="I50" s="59">
        <f t="shared" si="5"/>
        <v>25</v>
      </c>
      <c r="J50" s="60">
        <v>19</v>
      </c>
      <c r="K50" s="61">
        <f t="shared" si="6"/>
        <v>475</v>
      </c>
      <c r="L50" s="67" t="s">
        <v>20</v>
      </c>
      <c r="M50" s="67"/>
    </row>
    <row r="51" s="39" customFormat="1" ht="20.25" spans="1:13">
      <c r="A51" s="54">
        <v>45772</v>
      </c>
      <c r="B51" s="55">
        <v>79</v>
      </c>
      <c r="C51" s="46" t="s">
        <v>95</v>
      </c>
      <c r="D51" s="46"/>
      <c r="E51" s="46"/>
      <c r="F51" s="57" t="s">
        <v>24</v>
      </c>
      <c r="G51" s="58">
        <v>1</v>
      </c>
      <c r="H51" s="59">
        <v>25</v>
      </c>
      <c r="I51" s="59">
        <f t="shared" si="5"/>
        <v>25</v>
      </c>
      <c r="J51" s="60">
        <v>19</v>
      </c>
      <c r="K51" s="61">
        <f t="shared" si="6"/>
        <v>475</v>
      </c>
      <c r="L51" s="67"/>
      <c r="M51" s="67" t="s">
        <v>73</v>
      </c>
    </row>
    <row r="52" s="39" customFormat="1" ht="20.25" spans="1:13">
      <c r="A52" s="54">
        <v>45772</v>
      </c>
      <c r="B52" s="55">
        <v>79</v>
      </c>
      <c r="C52" s="46" t="s">
        <v>153</v>
      </c>
      <c r="D52" s="46"/>
      <c r="E52" s="46"/>
      <c r="F52" s="57" t="s">
        <v>26</v>
      </c>
      <c r="G52" s="58">
        <v>1</v>
      </c>
      <c r="H52" s="59">
        <v>26</v>
      </c>
      <c r="I52" s="59">
        <f t="shared" si="5"/>
        <v>26</v>
      </c>
      <c r="J52" s="60">
        <v>19</v>
      </c>
      <c r="K52" s="61">
        <f t="shared" si="6"/>
        <v>494</v>
      </c>
      <c r="L52" s="67" t="s">
        <v>20</v>
      </c>
      <c r="M52" s="67"/>
    </row>
    <row r="53" s="39" customFormat="1" ht="20.25" spans="1:13">
      <c r="A53" s="54">
        <v>45772</v>
      </c>
      <c r="B53" s="55">
        <v>79</v>
      </c>
      <c r="C53" s="46" t="s">
        <v>86</v>
      </c>
      <c r="D53" s="46"/>
      <c r="E53" s="46"/>
      <c r="F53" s="57" t="s">
        <v>87</v>
      </c>
      <c r="G53" s="58">
        <v>1</v>
      </c>
      <c r="H53" s="59">
        <v>26</v>
      </c>
      <c r="I53" s="59">
        <f t="shared" si="5"/>
        <v>26</v>
      </c>
      <c r="J53" s="60">
        <v>19</v>
      </c>
      <c r="K53" s="61">
        <f t="shared" si="6"/>
        <v>494</v>
      </c>
      <c r="M53" s="59"/>
    </row>
    <row r="54" s="39" customFormat="1" ht="20.25" spans="1:13">
      <c r="A54" s="54">
        <v>45772</v>
      </c>
      <c r="B54" s="55">
        <v>79</v>
      </c>
      <c r="C54" s="46">
        <v>2505</v>
      </c>
      <c r="D54" s="46"/>
      <c r="E54" s="46"/>
      <c r="F54" s="57" t="s">
        <v>131</v>
      </c>
      <c r="G54" s="58">
        <v>1</v>
      </c>
      <c r="H54" s="59">
        <v>10</v>
      </c>
      <c r="I54" s="59">
        <f t="shared" si="5"/>
        <v>10</v>
      </c>
      <c r="J54" s="60">
        <v>19</v>
      </c>
      <c r="K54" s="61">
        <f t="shared" ref="K54:K67" si="7">I54*J54</f>
        <v>190</v>
      </c>
      <c r="L54" s="62"/>
      <c r="M54" s="59"/>
    </row>
    <row r="55" s="39" customFormat="1" ht="20.25" spans="1:13">
      <c r="A55" s="54">
        <v>45772</v>
      </c>
      <c r="B55" s="55">
        <v>79</v>
      </c>
      <c r="C55" s="46">
        <v>2506</v>
      </c>
      <c r="D55" s="46"/>
      <c r="E55" s="46"/>
      <c r="F55" s="57" t="s">
        <v>222</v>
      </c>
      <c r="G55" s="58">
        <v>1</v>
      </c>
      <c r="H55" s="59">
        <v>11</v>
      </c>
      <c r="I55" s="59">
        <f t="shared" ref="I55:I67" si="8">G55*H55</f>
        <v>11</v>
      </c>
      <c r="J55" s="60">
        <v>19</v>
      </c>
      <c r="K55" s="61">
        <f t="shared" si="7"/>
        <v>209</v>
      </c>
      <c r="L55" s="62"/>
      <c r="M55" s="59"/>
    </row>
    <row r="56" s="39" customFormat="1" ht="20.25" spans="1:13">
      <c r="A56" s="54">
        <v>45772</v>
      </c>
      <c r="B56" s="55">
        <v>79</v>
      </c>
      <c r="C56" s="46">
        <v>2504</v>
      </c>
      <c r="D56" s="46"/>
      <c r="E56" s="46"/>
      <c r="F56" s="57" t="s">
        <v>223</v>
      </c>
      <c r="G56" s="58">
        <v>1</v>
      </c>
      <c r="H56" s="59">
        <v>3</v>
      </c>
      <c r="I56" s="59">
        <f t="shared" si="8"/>
        <v>3</v>
      </c>
      <c r="J56" s="60">
        <v>19</v>
      </c>
      <c r="K56" s="61">
        <f t="shared" si="7"/>
        <v>57</v>
      </c>
      <c r="L56" s="62"/>
      <c r="M56" s="59"/>
    </row>
    <row r="57" s="39" customFormat="1" ht="20.25" spans="1:13">
      <c r="A57" s="54">
        <v>45772</v>
      </c>
      <c r="B57" s="55">
        <v>79</v>
      </c>
      <c r="C57" s="46">
        <v>2503</v>
      </c>
      <c r="D57" s="46"/>
      <c r="E57" s="46"/>
      <c r="F57" s="57" t="s">
        <v>224</v>
      </c>
      <c r="G57" s="58">
        <v>1</v>
      </c>
      <c r="H57" s="59">
        <v>4</v>
      </c>
      <c r="I57" s="59">
        <f t="shared" si="8"/>
        <v>4</v>
      </c>
      <c r="J57" s="60">
        <v>19</v>
      </c>
      <c r="K57" s="61">
        <f t="shared" si="7"/>
        <v>76</v>
      </c>
      <c r="L57" s="62"/>
      <c r="M57" s="59"/>
    </row>
    <row r="58" s="39" customFormat="1" ht="20.25" spans="1:13">
      <c r="A58" s="54">
        <v>45772</v>
      </c>
      <c r="B58" s="55">
        <v>79</v>
      </c>
      <c r="C58" s="46">
        <v>2501</v>
      </c>
      <c r="D58" s="46"/>
      <c r="E58" s="46"/>
      <c r="F58" s="57" t="s">
        <v>225</v>
      </c>
      <c r="G58" s="58">
        <v>1</v>
      </c>
      <c r="H58" s="59">
        <v>0.5</v>
      </c>
      <c r="I58" s="59">
        <f t="shared" si="8"/>
        <v>0.5</v>
      </c>
      <c r="J58" s="60">
        <v>19</v>
      </c>
      <c r="K58" s="61"/>
      <c r="L58" s="62"/>
      <c r="M58" s="59"/>
    </row>
    <row r="59" s="40" customFormat="1" ht="20.25" spans="1:13">
      <c r="A59" s="54">
        <v>45772</v>
      </c>
      <c r="B59" s="55">
        <v>79</v>
      </c>
      <c r="C59" s="46">
        <v>2502</v>
      </c>
      <c r="D59" s="46"/>
      <c r="E59" s="46"/>
      <c r="F59" s="62" t="s">
        <v>226</v>
      </c>
      <c r="G59" s="58">
        <v>1</v>
      </c>
      <c r="H59" s="62">
        <v>0.5</v>
      </c>
      <c r="I59" s="59">
        <f t="shared" si="8"/>
        <v>0.5</v>
      </c>
      <c r="J59" s="60">
        <v>19</v>
      </c>
      <c r="K59" s="61"/>
    </row>
    <row r="60" s="39" customFormat="1" ht="20.25" spans="1:13">
      <c r="A60" s="54">
        <v>45772</v>
      </c>
      <c r="B60" s="55">
        <v>79</v>
      </c>
      <c r="C60" s="46" t="s">
        <v>15</v>
      </c>
      <c r="D60" s="46"/>
      <c r="E60" s="46"/>
      <c r="F60" s="57" t="s">
        <v>16</v>
      </c>
      <c r="G60" s="58">
        <v>5</v>
      </c>
      <c r="H60" s="59">
        <v>10</v>
      </c>
      <c r="I60" s="59">
        <f t="shared" si="8"/>
        <v>50</v>
      </c>
      <c r="J60" s="60">
        <v>19</v>
      </c>
      <c r="K60" s="61">
        <f t="shared" si="7"/>
        <v>950</v>
      </c>
      <c r="L60" s="62" t="s">
        <v>17</v>
      </c>
      <c r="M60" s="59">
        <f>SUM(K49:K62)</f>
        <v>4604</v>
      </c>
    </row>
    <row r="61" s="39" customFormat="1" ht="20.25" spans="1:13">
      <c r="A61" s="54">
        <v>45772</v>
      </c>
      <c r="B61" s="55">
        <v>79</v>
      </c>
      <c r="C61" s="59" t="s">
        <v>80</v>
      </c>
      <c r="D61" s="59"/>
      <c r="E61" s="59"/>
      <c r="F61" s="57" t="s">
        <v>81</v>
      </c>
      <c r="G61" s="58">
        <v>1</v>
      </c>
      <c r="H61" s="59">
        <v>20</v>
      </c>
      <c r="I61" s="59">
        <f t="shared" si="8"/>
        <v>20</v>
      </c>
      <c r="J61" s="60">
        <v>18</v>
      </c>
      <c r="K61" s="61">
        <f t="shared" si="7"/>
        <v>360</v>
      </c>
      <c r="L61" s="67" t="s">
        <v>82</v>
      </c>
      <c r="M61" s="67"/>
    </row>
    <row r="62" s="39" customFormat="1" ht="20.25" spans="1:13">
      <c r="A62" s="54">
        <v>45772</v>
      </c>
      <c r="B62" s="55">
        <v>79</v>
      </c>
      <c r="C62" s="46" t="s">
        <v>29</v>
      </c>
      <c r="D62" s="46"/>
      <c r="E62" s="46"/>
      <c r="F62" s="57" t="s">
        <v>30</v>
      </c>
      <c r="G62" s="58">
        <v>1</v>
      </c>
      <c r="H62" s="59">
        <v>20</v>
      </c>
      <c r="I62" s="59">
        <f t="shared" si="8"/>
        <v>20</v>
      </c>
      <c r="J62" s="60">
        <v>16.5</v>
      </c>
      <c r="K62" s="61">
        <f t="shared" si="7"/>
        <v>330</v>
      </c>
      <c r="L62" s="67">
        <v>309</v>
      </c>
      <c r="M62" s="59"/>
    </row>
    <row r="63" s="37" customFormat="1" ht="21" customHeight="1" spans="1:13">
      <c r="A63" s="44">
        <v>45773</v>
      </c>
      <c r="B63" s="45">
        <v>84</v>
      </c>
      <c r="C63" s="48" t="s">
        <v>21</v>
      </c>
      <c r="D63" s="48"/>
      <c r="E63" s="48"/>
      <c r="F63" s="63" t="s">
        <v>22</v>
      </c>
      <c r="G63" s="64">
        <v>10</v>
      </c>
      <c r="H63" s="48">
        <v>28</v>
      </c>
      <c r="I63" s="48">
        <f t="shared" si="8"/>
        <v>280</v>
      </c>
      <c r="J63" s="49">
        <v>10</v>
      </c>
      <c r="K63" s="50">
        <f t="shared" si="7"/>
        <v>2800</v>
      </c>
      <c r="L63" s="65">
        <v>9804</v>
      </c>
      <c r="M63" s="48">
        <f>K63</f>
        <v>2800</v>
      </c>
    </row>
    <row r="64" s="37" customFormat="1" ht="20.25" spans="1:13">
      <c r="A64" s="44">
        <v>45772</v>
      </c>
      <c r="B64" s="45">
        <v>79</v>
      </c>
      <c r="C64" s="66">
        <v>2504</v>
      </c>
      <c r="D64" s="66"/>
      <c r="E64" s="66"/>
      <c r="F64" s="63" t="s">
        <v>223</v>
      </c>
      <c r="G64" s="64">
        <v>1</v>
      </c>
      <c r="H64" s="48">
        <v>3</v>
      </c>
      <c r="I64" s="48">
        <f t="shared" si="8"/>
        <v>3</v>
      </c>
      <c r="J64" s="49">
        <v>19</v>
      </c>
      <c r="K64" s="50">
        <f t="shared" si="7"/>
        <v>57</v>
      </c>
      <c r="L64" s="3"/>
      <c r="M64" s="48"/>
    </row>
    <row r="65" s="37" customFormat="1" ht="20.25" spans="1:14">
      <c r="A65" s="44">
        <v>45772</v>
      </c>
      <c r="B65" s="45">
        <v>79</v>
      </c>
      <c r="C65" s="66">
        <v>2503</v>
      </c>
      <c r="D65" s="66"/>
      <c r="E65" s="66"/>
      <c r="F65" s="63" t="s">
        <v>224</v>
      </c>
      <c r="G65" s="64">
        <v>1</v>
      </c>
      <c r="H65" s="48">
        <v>3</v>
      </c>
      <c r="I65" s="48">
        <f t="shared" si="8"/>
        <v>3</v>
      </c>
      <c r="J65" s="49">
        <v>19</v>
      </c>
      <c r="K65" s="50">
        <f t="shared" si="7"/>
        <v>57</v>
      </c>
      <c r="L65" s="3"/>
      <c r="M65" s="48"/>
    </row>
    <row r="66" s="39" customFormat="1" ht="20.25" spans="1:14">
      <c r="A66" s="54">
        <v>45759</v>
      </c>
      <c r="B66" s="55">
        <v>36</v>
      </c>
      <c r="C66" s="59">
        <v>2503</v>
      </c>
      <c r="D66" s="59"/>
      <c r="E66" s="59"/>
      <c r="F66" s="57" t="s">
        <v>131</v>
      </c>
      <c r="G66" s="58">
        <v>1</v>
      </c>
      <c r="H66" s="59">
        <v>1</v>
      </c>
      <c r="I66" s="59">
        <f t="shared" si="8"/>
        <v>1</v>
      </c>
      <c r="J66" s="60">
        <v>19</v>
      </c>
      <c r="K66" s="61">
        <f t="shared" si="7"/>
        <v>19</v>
      </c>
      <c r="L66" s="67" t="s">
        <v>68</v>
      </c>
      <c r="M66" s="67" t="s">
        <v>73</v>
      </c>
    </row>
    <row r="67" s="39" customFormat="1" ht="20.25" spans="1:14">
      <c r="A67" s="54">
        <v>45759</v>
      </c>
      <c r="B67" s="55">
        <v>36</v>
      </c>
      <c r="C67" s="59">
        <v>4025</v>
      </c>
      <c r="D67" s="59"/>
      <c r="E67" s="59"/>
      <c r="F67" s="57" t="s">
        <v>215</v>
      </c>
      <c r="G67" s="58">
        <v>1</v>
      </c>
      <c r="H67" s="59">
        <v>3</v>
      </c>
      <c r="I67" s="59">
        <f t="shared" si="8"/>
        <v>3</v>
      </c>
      <c r="J67" s="60">
        <v>19</v>
      </c>
      <c r="K67" s="61">
        <f t="shared" si="7"/>
        <v>57</v>
      </c>
      <c r="L67" s="67" t="s">
        <v>68</v>
      </c>
      <c r="M67" s="67" t="s">
        <v>73</v>
      </c>
    </row>
    <row r="68" spans="1:14">
      <c r="F68" s="85" t="s">
        <v>227</v>
      </c>
    </row>
    <row r="69" s="39" customFormat="1" ht="21" customHeight="1" spans="1:14">
      <c r="A69" s="54">
        <v>45786</v>
      </c>
      <c r="B69" s="55">
        <v>20</v>
      </c>
      <c r="C69" s="59" t="s">
        <v>21</v>
      </c>
      <c r="D69" s="59"/>
      <c r="E69" s="59"/>
      <c r="F69" s="57" t="s">
        <v>22</v>
      </c>
      <c r="G69" s="58">
        <v>5</v>
      </c>
      <c r="H69" s="59">
        <v>28</v>
      </c>
      <c r="I69" s="59">
        <f t="shared" ref="I69:I112" si="9">G69*H69</f>
        <v>140</v>
      </c>
      <c r="J69" s="60">
        <v>10</v>
      </c>
      <c r="K69" s="61">
        <f t="shared" ref="K69:K82" si="10">I69*J69</f>
        <v>1400</v>
      </c>
      <c r="L69" s="67">
        <v>9804</v>
      </c>
      <c r="M69" s="59">
        <f>K69</f>
        <v>1400</v>
      </c>
    </row>
    <row r="70" s="39" customFormat="1" ht="20.25" spans="1:14">
      <c r="A70" s="54">
        <v>45786</v>
      </c>
      <c r="B70" s="55">
        <v>20</v>
      </c>
      <c r="C70" s="46" t="s">
        <v>145</v>
      </c>
      <c r="D70" s="46"/>
      <c r="E70" s="46"/>
      <c r="F70" s="57" t="s">
        <v>146</v>
      </c>
      <c r="G70" s="58">
        <v>3</v>
      </c>
      <c r="H70" s="59">
        <v>25</v>
      </c>
      <c r="I70" s="59">
        <f t="shared" si="9"/>
        <v>75</v>
      </c>
      <c r="J70" s="60">
        <v>14</v>
      </c>
      <c r="K70" s="61">
        <f t="shared" si="10"/>
        <v>1050</v>
      </c>
      <c r="L70" s="67" t="s">
        <v>147</v>
      </c>
      <c r="M70" s="59"/>
    </row>
    <row r="71" s="39" customFormat="1" ht="20.25" spans="1:14">
      <c r="A71" s="54">
        <v>45786</v>
      </c>
      <c r="B71" s="55">
        <v>20</v>
      </c>
      <c r="C71" s="46" t="s">
        <v>29</v>
      </c>
      <c r="D71" s="46"/>
      <c r="E71" s="46"/>
      <c r="F71" s="57" t="s">
        <v>30</v>
      </c>
      <c r="G71" s="58">
        <v>4</v>
      </c>
      <c r="H71" s="59">
        <v>20</v>
      </c>
      <c r="I71" s="59">
        <f t="shared" si="9"/>
        <v>80</v>
      </c>
      <c r="J71" s="60">
        <v>16.5</v>
      </c>
      <c r="K71" s="61">
        <f t="shared" si="10"/>
        <v>1320</v>
      </c>
      <c r="L71" s="62">
        <v>309</v>
      </c>
      <c r="M71" s="59"/>
    </row>
    <row r="72" s="37" customFormat="1" ht="21" customHeight="1" spans="1:14">
      <c r="A72" s="44">
        <v>45796</v>
      </c>
      <c r="B72" s="45">
        <v>48</v>
      </c>
      <c r="C72" s="48" t="s">
        <v>21</v>
      </c>
      <c r="D72" s="48"/>
      <c r="E72" s="48"/>
      <c r="F72" s="63" t="s">
        <v>22</v>
      </c>
      <c r="G72" s="64">
        <v>5</v>
      </c>
      <c r="H72" s="48">
        <v>28</v>
      </c>
      <c r="I72" s="48">
        <f t="shared" si="9"/>
        <v>140</v>
      </c>
      <c r="J72" s="49">
        <v>10</v>
      </c>
      <c r="K72" s="50">
        <f t="shared" si="10"/>
        <v>1400</v>
      </c>
      <c r="L72" s="65">
        <v>9804</v>
      </c>
      <c r="M72" s="48">
        <f>K72</f>
        <v>1400</v>
      </c>
    </row>
    <row r="73" s="37" customFormat="1" ht="19" customHeight="1" spans="1:14">
      <c r="A73" s="44">
        <v>45796</v>
      </c>
      <c r="B73" s="45">
        <v>48</v>
      </c>
      <c r="C73" s="66" t="s">
        <v>59</v>
      </c>
      <c r="D73" s="66"/>
      <c r="E73" s="66"/>
      <c r="F73" s="63" t="s">
        <v>60</v>
      </c>
      <c r="G73" s="64">
        <v>2</v>
      </c>
      <c r="H73" s="48">
        <v>180</v>
      </c>
      <c r="I73" s="48">
        <f t="shared" si="9"/>
        <v>360</v>
      </c>
      <c r="J73" s="49">
        <v>6.5</v>
      </c>
      <c r="K73" s="50">
        <f t="shared" si="10"/>
        <v>2340</v>
      </c>
      <c r="L73" s="65" t="s">
        <v>61</v>
      </c>
      <c r="M73" s="48"/>
    </row>
    <row r="74" s="41" customFormat="1" ht="20.25" spans="1:14">
      <c r="A74" s="44">
        <v>45796</v>
      </c>
      <c r="B74" s="45">
        <v>48</v>
      </c>
      <c r="C74" s="66" t="s">
        <v>25</v>
      </c>
      <c r="D74" s="66"/>
      <c r="E74" s="66"/>
      <c r="F74" s="3" t="s">
        <v>26</v>
      </c>
      <c r="G74" s="64">
        <v>1</v>
      </c>
      <c r="H74" s="3">
        <v>13</v>
      </c>
      <c r="I74" s="48">
        <f t="shared" si="9"/>
        <v>13</v>
      </c>
      <c r="J74" s="49">
        <v>19</v>
      </c>
      <c r="K74" s="50">
        <f t="shared" si="10"/>
        <v>247</v>
      </c>
    </row>
    <row r="75" s="37" customFormat="1" ht="20.25" spans="1:14">
      <c r="A75" s="44">
        <v>45796</v>
      </c>
      <c r="B75" s="45">
        <v>48</v>
      </c>
      <c r="C75" s="66" t="s">
        <v>15</v>
      </c>
      <c r="D75" s="66"/>
      <c r="E75" s="66"/>
      <c r="F75" s="63" t="s">
        <v>16</v>
      </c>
      <c r="G75" s="64">
        <v>1</v>
      </c>
      <c r="H75" s="48">
        <v>10</v>
      </c>
      <c r="I75" s="48">
        <f t="shared" si="9"/>
        <v>10</v>
      </c>
      <c r="J75" s="49">
        <v>19</v>
      </c>
      <c r="K75" s="50">
        <f t="shared" si="10"/>
        <v>190</v>
      </c>
      <c r="L75" s="3" t="s">
        <v>17</v>
      </c>
      <c r="M75" s="48">
        <f>SUM(K64:K103)</f>
        <v>24538</v>
      </c>
    </row>
    <row r="76" s="39" customFormat="1" ht="20.25" spans="1:14">
      <c r="A76" s="54">
        <v>45798</v>
      </c>
      <c r="B76" s="55">
        <v>57</v>
      </c>
      <c r="C76" s="80">
        <v>8062</v>
      </c>
      <c r="D76" s="80"/>
      <c r="E76" s="80"/>
      <c r="F76" s="57" t="s">
        <v>228</v>
      </c>
      <c r="G76" s="58">
        <v>2</v>
      </c>
      <c r="H76" s="59">
        <v>20</v>
      </c>
      <c r="I76" s="59">
        <f t="shared" si="9"/>
        <v>40</v>
      </c>
      <c r="J76" s="60">
        <v>19</v>
      </c>
      <c r="K76" s="61">
        <f t="shared" si="10"/>
        <v>760</v>
      </c>
      <c r="L76" s="84" t="s">
        <v>229</v>
      </c>
      <c r="M76" s="59"/>
    </row>
    <row r="77" s="39" customFormat="1" ht="20.25" spans="1:14">
      <c r="A77" s="54">
        <v>45798</v>
      </c>
      <c r="B77" s="55">
        <v>57</v>
      </c>
      <c r="C77" s="46" t="s">
        <v>105</v>
      </c>
      <c r="D77" s="46"/>
      <c r="E77" s="46"/>
      <c r="F77" s="57" t="s">
        <v>106</v>
      </c>
      <c r="G77" s="58">
        <v>1</v>
      </c>
      <c r="H77" s="59">
        <v>25</v>
      </c>
      <c r="I77" s="59">
        <f t="shared" si="9"/>
        <v>25</v>
      </c>
      <c r="J77" s="60">
        <v>19</v>
      </c>
      <c r="K77" s="61">
        <f t="shared" ref="K77:K90" si="11">I77*J77</f>
        <v>475</v>
      </c>
      <c r="L77" s="62"/>
      <c r="M77" s="59"/>
    </row>
    <row r="78" s="39" customFormat="1" ht="20.25" spans="1:14">
      <c r="A78" s="54">
        <v>45798</v>
      </c>
      <c r="B78" s="55">
        <v>57</v>
      </c>
      <c r="C78" s="46" t="s">
        <v>98</v>
      </c>
      <c r="D78" s="46"/>
      <c r="E78" s="46"/>
      <c r="F78" s="57" t="s">
        <v>99</v>
      </c>
      <c r="G78" s="58">
        <v>1</v>
      </c>
      <c r="H78" s="59">
        <v>26</v>
      </c>
      <c r="I78" s="59">
        <f t="shared" si="9"/>
        <v>26</v>
      </c>
      <c r="J78" s="60">
        <v>23</v>
      </c>
      <c r="K78" s="61">
        <f t="shared" si="11"/>
        <v>598</v>
      </c>
      <c r="L78" s="67" t="s">
        <v>100</v>
      </c>
      <c r="M78" s="67"/>
    </row>
    <row r="79" s="39" customFormat="1" ht="20.25" spans="1:14">
      <c r="A79" s="54">
        <v>45798</v>
      </c>
      <c r="B79" s="55">
        <v>57</v>
      </c>
      <c r="C79" s="46" t="s">
        <v>98</v>
      </c>
      <c r="D79" s="46"/>
      <c r="E79" s="46"/>
      <c r="F79" s="57" t="s">
        <v>99</v>
      </c>
      <c r="G79" s="58">
        <v>1</v>
      </c>
      <c r="H79" s="59">
        <v>25</v>
      </c>
      <c r="I79" s="59">
        <f t="shared" si="9"/>
        <v>25</v>
      </c>
      <c r="J79" s="60">
        <v>23</v>
      </c>
      <c r="K79" s="61">
        <f t="shared" si="11"/>
        <v>575</v>
      </c>
      <c r="L79" s="67" t="s">
        <v>100</v>
      </c>
      <c r="M79" s="67"/>
    </row>
    <row r="80" s="39" customFormat="1" ht="20.25" spans="1:14">
      <c r="A80" s="54">
        <v>45798</v>
      </c>
      <c r="B80" s="55">
        <v>57</v>
      </c>
      <c r="C80" s="46"/>
      <c r="D80" s="46"/>
      <c r="E80" s="46"/>
      <c r="F80" s="57" t="s">
        <v>76</v>
      </c>
      <c r="G80" s="58">
        <v>1</v>
      </c>
      <c r="H80" s="59">
        <v>25</v>
      </c>
      <c r="I80" s="59">
        <f t="shared" si="9"/>
        <v>25</v>
      </c>
      <c r="J80" s="60">
        <v>19</v>
      </c>
      <c r="K80" s="61">
        <f t="shared" si="11"/>
        <v>475</v>
      </c>
      <c r="L80" s="62" t="s">
        <v>230</v>
      </c>
      <c r="M80" s="59"/>
      <c r="N80" s="39" t="s">
        <v>78</v>
      </c>
    </row>
    <row r="81" s="39" customFormat="1" ht="20.25" spans="1:14">
      <c r="A81" s="54">
        <v>45798</v>
      </c>
      <c r="B81" s="55">
        <v>57</v>
      </c>
      <c r="C81" s="46" t="s">
        <v>15</v>
      </c>
      <c r="D81" s="46"/>
      <c r="E81" s="46"/>
      <c r="F81" s="57" t="s">
        <v>16</v>
      </c>
      <c r="G81" s="58">
        <v>7</v>
      </c>
      <c r="H81" s="59">
        <v>10</v>
      </c>
      <c r="I81" s="59">
        <f t="shared" si="9"/>
        <v>70</v>
      </c>
      <c r="J81" s="60">
        <v>19</v>
      </c>
      <c r="K81" s="61">
        <f t="shared" si="11"/>
        <v>1330</v>
      </c>
      <c r="L81" s="62" t="s">
        <v>17</v>
      </c>
      <c r="M81" s="59">
        <f>SUM(K76:K82)</f>
        <v>6013</v>
      </c>
    </row>
    <row r="82" s="37" customFormat="1" ht="20.25" spans="1:14">
      <c r="A82" s="54">
        <v>45798</v>
      </c>
      <c r="B82" s="55">
        <v>57</v>
      </c>
      <c r="C82" s="59" t="s">
        <v>218</v>
      </c>
      <c r="D82" s="59"/>
      <c r="E82" s="59"/>
      <c r="F82" s="57" t="s">
        <v>66</v>
      </c>
      <c r="G82" s="58">
        <v>1</v>
      </c>
      <c r="H82" s="59">
        <v>180</v>
      </c>
      <c r="I82" s="59">
        <f t="shared" si="9"/>
        <v>180</v>
      </c>
      <c r="J82" s="60">
        <v>10</v>
      </c>
      <c r="K82" s="61">
        <f t="shared" si="11"/>
        <v>1800</v>
      </c>
      <c r="L82" s="77" t="s">
        <v>231</v>
      </c>
      <c r="M82" s="48"/>
      <c r="N82" s="37" t="s">
        <v>173</v>
      </c>
    </row>
    <row r="83" s="37" customFormat="1" ht="20.25" spans="1:14">
      <c r="A83" s="44">
        <v>45801</v>
      </c>
      <c r="B83" s="45"/>
      <c r="C83" s="66"/>
      <c r="D83" s="66"/>
      <c r="E83" s="66"/>
      <c r="F83" s="63" t="s">
        <v>232</v>
      </c>
      <c r="G83" s="64">
        <v>1</v>
      </c>
      <c r="H83" s="48">
        <v>20</v>
      </c>
      <c r="I83" s="48">
        <f t="shared" si="9"/>
        <v>20</v>
      </c>
      <c r="J83" s="49">
        <v>19</v>
      </c>
      <c r="K83" s="50">
        <f t="shared" si="11"/>
        <v>380</v>
      </c>
      <c r="L83" s="3"/>
      <c r="M83" s="48"/>
    </row>
    <row r="84" s="37" customFormat="1" ht="20.25" spans="1:14">
      <c r="A84" s="44">
        <v>45801</v>
      </c>
      <c r="B84" s="45"/>
      <c r="C84" s="66" t="s">
        <v>15</v>
      </c>
      <c r="D84" s="66"/>
      <c r="E84" s="66"/>
      <c r="F84" s="63" t="s">
        <v>16</v>
      </c>
      <c r="G84" s="64">
        <v>1</v>
      </c>
      <c r="H84" s="48">
        <v>10</v>
      </c>
      <c r="I84" s="48">
        <f t="shared" si="9"/>
        <v>10</v>
      </c>
      <c r="J84" s="49">
        <v>19</v>
      </c>
      <c r="K84" s="50">
        <f t="shared" si="11"/>
        <v>190</v>
      </c>
      <c r="L84" s="3" t="s">
        <v>17</v>
      </c>
      <c r="M84" s="48">
        <f>SUM(K79:K103)</f>
        <v>14568</v>
      </c>
    </row>
    <row r="85" s="39" customFormat="1" ht="20.25" spans="1:14">
      <c r="A85" s="54">
        <v>45818</v>
      </c>
      <c r="B85" s="55">
        <v>30</v>
      </c>
      <c r="C85" s="46"/>
      <c r="D85" s="46"/>
      <c r="E85" s="46"/>
      <c r="F85" s="57" t="s">
        <v>233</v>
      </c>
      <c r="G85" s="58">
        <v>1</v>
      </c>
      <c r="H85" s="59">
        <v>21</v>
      </c>
      <c r="I85" s="59">
        <f t="shared" si="9"/>
        <v>21</v>
      </c>
      <c r="J85" s="60">
        <v>19</v>
      </c>
      <c r="K85" s="61">
        <f t="shared" si="11"/>
        <v>399</v>
      </c>
      <c r="L85" s="62" t="s">
        <v>234</v>
      </c>
      <c r="M85" s="59"/>
    </row>
    <row r="86" s="39" customFormat="1" ht="20.25" spans="1:14">
      <c r="A86" s="54">
        <v>45818</v>
      </c>
      <c r="B86" s="55">
        <v>30</v>
      </c>
      <c r="C86" s="46" t="s">
        <v>15</v>
      </c>
      <c r="D86" s="46"/>
      <c r="E86" s="46"/>
      <c r="F86" s="57" t="s">
        <v>16</v>
      </c>
      <c r="G86" s="58">
        <v>2</v>
      </c>
      <c r="H86" s="59">
        <v>10</v>
      </c>
      <c r="I86" s="59">
        <f t="shared" si="9"/>
        <v>20</v>
      </c>
      <c r="J86" s="60">
        <v>19</v>
      </c>
      <c r="K86" s="61">
        <f t="shared" si="11"/>
        <v>380</v>
      </c>
      <c r="L86" s="62" t="s">
        <v>17</v>
      </c>
      <c r="M86" s="59">
        <f>SUM(K85:K86)</f>
        <v>779</v>
      </c>
    </row>
    <row r="87" s="39" customFormat="1" ht="20.25" spans="1:14">
      <c r="A87" s="54">
        <v>45818</v>
      </c>
      <c r="B87" s="55">
        <v>30</v>
      </c>
      <c r="C87" s="46" t="s">
        <v>235</v>
      </c>
      <c r="D87" s="46"/>
      <c r="E87" s="46"/>
      <c r="F87" s="57" t="s">
        <v>236</v>
      </c>
      <c r="G87" s="58">
        <v>1</v>
      </c>
      <c r="H87" s="59">
        <v>3</v>
      </c>
      <c r="I87" s="59">
        <f t="shared" si="9"/>
        <v>3</v>
      </c>
      <c r="J87" s="60">
        <v>24</v>
      </c>
      <c r="K87" s="61">
        <f t="shared" si="11"/>
        <v>72</v>
      </c>
      <c r="L87" s="67" t="s">
        <v>237</v>
      </c>
      <c r="M87" s="67"/>
    </row>
    <row r="88" s="39" customFormat="1" ht="20.25" spans="1:14">
      <c r="A88" s="54">
        <v>45818</v>
      </c>
      <c r="B88" s="55">
        <v>30</v>
      </c>
      <c r="C88" s="86">
        <v>25068</v>
      </c>
      <c r="D88" s="86"/>
      <c r="E88" s="86"/>
      <c r="F88" s="57" t="s">
        <v>238</v>
      </c>
      <c r="G88" s="58">
        <v>1</v>
      </c>
      <c r="H88" s="59">
        <v>3</v>
      </c>
      <c r="I88" s="59">
        <f t="shared" si="9"/>
        <v>3</v>
      </c>
      <c r="J88" s="60">
        <v>24</v>
      </c>
      <c r="K88" s="61">
        <f t="shared" si="11"/>
        <v>72</v>
      </c>
      <c r="L88" s="87" t="s">
        <v>239</v>
      </c>
      <c r="M88" s="67"/>
    </row>
    <row r="89" s="39" customFormat="1" ht="20.25" spans="1:14">
      <c r="A89" s="54">
        <v>45818</v>
      </c>
      <c r="B89" s="55">
        <v>30</v>
      </c>
      <c r="C89" s="88" t="s">
        <v>240</v>
      </c>
      <c r="D89" s="89"/>
      <c r="E89" s="89"/>
      <c r="F89" s="57" t="s">
        <v>241</v>
      </c>
      <c r="G89" s="58">
        <v>1</v>
      </c>
      <c r="H89" s="59">
        <v>20</v>
      </c>
      <c r="I89" s="59">
        <f t="shared" si="9"/>
        <v>20</v>
      </c>
      <c r="J89" s="60">
        <v>19</v>
      </c>
      <c r="K89" s="61">
        <f t="shared" si="11"/>
        <v>380</v>
      </c>
      <c r="L89" s="67"/>
      <c r="M89" s="67"/>
    </row>
    <row r="90" s="39" customFormat="1" ht="20.25" spans="1:14">
      <c r="A90" s="54">
        <v>45818</v>
      </c>
      <c r="B90" s="55">
        <v>30</v>
      </c>
      <c r="C90" s="46"/>
      <c r="D90" s="46"/>
      <c r="E90" s="46"/>
      <c r="F90" s="57" t="s">
        <v>242</v>
      </c>
      <c r="G90" s="58">
        <v>1</v>
      </c>
      <c r="H90" s="59">
        <v>5</v>
      </c>
      <c r="I90" s="59">
        <f t="shared" si="9"/>
        <v>5</v>
      </c>
      <c r="J90" s="60">
        <v>24</v>
      </c>
      <c r="K90" s="61">
        <f t="shared" si="11"/>
        <v>120</v>
      </c>
      <c r="L90" s="67">
        <f>SUM(K85:K90)</f>
        <v>1423</v>
      </c>
      <c r="M90" s="67"/>
    </row>
    <row r="91" s="37" customFormat="1" ht="20.25" spans="1:14">
      <c r="A91" s="44">
        <v>45821</v>
      </c>
      <c r="B91" s="45">
        <v>40</v>
      </c>
      <c r="C91" s="66" t="s">
        <v>243</v>
      </c>
      <c r="D91" s="66"/>
      <c r="E91" s="66"/>
      <c r="F91" s="63" t="s">
        <v>244</v>
      </c>
      <c r="G91" s="64">
        <v>1</v>
      </c>
      <c r="H91" s="48">
        <v>4</v>
      </c>
      <c r="I91" s="48">
        <f t="shared" si="9"/>
        <v>4</v>
      </c>
      <c r="J91" s="49">
        <v>19</v>
      </c>
      <c r="K91" s="61">
        <f t="shared" ref="K91:K112" si="12">I91*J91</f>
        <v>76</v>
      </c>
      <c r="L91" s="65"/>
      <c r="M91" s="65"/>
    </row>
    <row r="92" s="37" customFormat="1" ht="20.25" spans="1:14">
      <c r="A92" s="44">
        <v>45821</v>
      </c>
      <c r="B92" s="45">
        <v>40</v>
      </c>
      <c r="C92" s="66" t="s">
        <v>243</v>
      </c>
      <c r="D92" s="66"/>
      <c r="E92" s="66"/>
      <c r="F92" s="63" t="s">
        <v>244</v>
      </c>
      <c r="G92" s="64">
        <v>1</v>
      </c>
      <c r="H92" s="48">
        <v>1</v>
      </c>
      <c r="I92" s="48">
        <f t="shared" si="9"/>
        <v>1</v>
      </c>
      <c r="J92" s="49">
        <v>19</v>
      </c>
      <c r="K92" s="61">
        <f t="shared" si="12"/>
        <v>19</v>
      </c>
      <c r="L92" s="65"/>
      <c r="M92" s="65"/>
    </row>
    <row r="93" s="37" customFormat="1" ht="20.25" spans="1:14">
      <c r="A93" s="44">
        <v>45821</v>
      </c>
      <c r="B93" s="45">
        <v>40</v>
      </c>
      <c r="C93" s="66">
        <v>8069</v>
      </c>
      <c r="D93" s="66"/>
      <c r="E93" s="66"/>
      <c r="F93" s="63" t="s">
        <v>245</v>
      </c>
      <c r="G93" s="64">
        <v>1</v>
      </c>
      <c r="H93" s="48">
        <v>3</v>
      </c>
      <c r="I93" s="48">
        <f t="shared" si="9"/>
        <v>3</v>
      </c>
      <c r="J93" s="49">
        <v>24</v>
      </c>
      <c r="K93" s="61">
        <f t="shared" si="12"/>
        <v>72</v>
      </c>
      <c r="L93" s="65" t="s">
        <v>246</v>
      </c>
      <c r="M93" s="65"/>
    </row>
    <row r="94" s="39" customFormat="1" ht="21" customHeight="1" spans="1:14">
      <c r="A94" s="54">
        <v>45822</v>
      </c>
      <c r="B94" s="55">
        <v>42</v>
      </c>
      <c r="C94" s="59" t="s">
        <v>21</v>
      </c>
      <c r="D94" s="59"/>
      <c r="E94" s="59"/>
      <c r="F94" s="57" t="s">
        <v>22</v>
      </c>
      <c r="G94" s="58">
        <v>10</v>
      </c>
      <c r="H94" s="59">
        <v>28</v>
      </c>
      <c r="I94" s="59">
        <f t="shared" si="9"/>
        <v>280</v>
      </c>
      <c r="J94" s="60">
        <v>10</v>
      </c>
      <c r="K94" s="61">
        <f t="shared" si="12"/>
        <v>2800</v>
      </c>
      <c r="L94" s="67">
        <v>9804</v>
      </c>
      <c r="M94" s="59">
        <f>SUM(K94:K95)</f>
        <v>5140</v>
      </c>
    </row>
    <row r="95" s="39" customFormat="1" ht="19" customHeight="1" spans="1:14">
      <c r="A95" s="54">
        <v>45822</v>
      </c>
      <c r="B95" s="55">
        <v>42</v>
      </c>
      <c r="C95" s="46" t="s">
        <v>59</v>
      </c>
      <c r="D95" s="46"/>
      <c r="E95" s="46"/>
      <c r="F95" s="57" t="s">
        <v>60</v>
      </c>
      <c r="G95" s="58">
        <v>2</v>
      </c>
      <c r="H95" s="59">
        <v>180</v>
      </c>
      <c r="I95" s="59">
        <f t="shared" si="9"/>
        <v>360</v>
      </c>
      <c r="J95" s="60">
        <v>6.5</v>
      </c>
      <c r="K95" s="61">
        <f t="shared" si="12"/>
        <v>2340</v>
      </c>
      <c r="L95" s="67" t="s">
        <v>61</v>
      </c>
      <c r="M95" s="59"/>
    </row>
    <row r="96" s="37" customFormat="1" ht="20.25" spans="1:14">
      <c r="A96" s="44">
        <v>45825</v>
      </c>
      <c r="B96" s="45">
        <v>51</v>
      </c>
      <c r="C96" s="66" t="s">
        <v>247</v>
      </c>
      <c r="D96" s="66"/>
      <c r="E96" s="66"/>
      <c r="F96" s="63" t="s">
        <v>248</v>
      </c>
      <c r="G96" s="64">
        <v>1</v>
      </c>
      <c r="H96" s="48">
        <v>3</v>
      </c>
      <c r="I96" s="48">
        <f t="shared" si="9"/>
        <v>3</v>
      </c>
      <c r="J96" s="49">
        <v>24</v>
      </c>
      <c r="K96" s="50">
        <f t="shared" si="12"/>
        <v>72</v>
      </c>
      <c r="L96" s="65" t="s">
        <v>249</v>
      </c>
      <c r="M96" s="65"/>
    </row>
    <row r="97" s="37" customFormat="1" ht="20.25" spans="1:14">
      <c r="A97" s="44">
        <v>45825</v>
      </c>
      <c r="B97" s="45">
        <v>51</v>
      </c>
      <c r="C97" s="66" t="s">
        <v>152</v>
      </c>
      <c r="D97" s="66"/>
      <c r="E97" s="66"/>
      <c r="F97" s="63" t="s">
        <v>131</v>
      </c>
      <c r="G97" s="64">
        <v>1</v>
      </c>
      <c r="H97" s="48">
        <v>26</v>
      </c>
      <c r="I97" s="48">
        <f t="shared" si="9"/>
        <v>26</v>
      </c>
      <c r="J97" s="49">
        <v>19</v>
      </c>
      <c r="K97" s="50">
        <f t="shared" si="12"/>
        <v>494</v>
      </c>
      <c r="L97" s="65"/>
      <c r="M97" s="65"/>
    </row>
    <row r="98" s="37" customFormat="1" ht="20.25" spans="1:14">
      <c r="A98" s="44">
        <v>45825</v>
      </c>
      <c r="B98" s="45">
        <v>51</v>
      </c>
      <c r="C98" s="66" t="s">
        <v>15</v>
      </c>
      <c r="D98" s="66"/>
      <c r="E98" s="66"/>
      <c r="F98" s="63" t="s">
        <v>16</v>
      </c>
      <c r="G98" s="64">
        <v>1</v>
      </c>
      <c r="H98" s="48">
        <v>10</v>
      </c>
      <c r="I98" s="48">
        <f t="shared" si="9"/>
        <v>10</v>
      </c>
      <c r="J98" s="49">
        <v>19</v>
      </c>
      <c r="K98" s="50">
        <f t="shared" si="12"/>
        <v>190</v>
      </c>
      <c r="L98" s="3" t="s">
        <v>17</v>
      </c>
      <c r="M98" s="48">
        <f>SUM(K96:K99)</f>
        <v>846</v>
      </c>
    </row>
    <row r="99" s="37" customFormat="1" ht="20.25" spans="1:14">
      <c r="A99" s="44">
        <v>45825</v>
      </c>
      <c r="B99" s="45">
        <v>51</v>
      </c>
      <c r="C99" s="48" t="s">
        <v>250</v>
      </c>
      <c r="D99" s="48"/>
      <c r="E99" s="48"/>
      <c r="F99" s="63" t="s">
        <v>251</v>
      </c>
      <c r="G99" s="64">
        <v>1</v>
      </c>
      <c r="H99" s="48">
        <v>5</v>
      </c>
      <c r="I99" s="48">
        <f t="shared" si="9"/>
        <v>5</v>
      </c>
      <c r="J99" s="74">
        <v>18</v>
      </c>
      <c r="K99" s="50">
        <f t="shared" si="12"/>
        <v>90</v>
      </c>
      <c r="L99" s="65" t="s">
        <v>250</v>
      </c>
      <c r="M99" s="65"/>
    </row>
    <row r="100" s="39" customFormat="1" ht="20.25" spans="1:14">
      <c r="A100" s="54">
        <v>45836</v>
      </c>
      <c r="B100" s="55">
        <v>90</v>
      </c>
      <c r="C100" s="46" t="s">
        <v>86</v>
      </c>
      <c r="D100" s="46"/>
      <c r="E100" s="46"/>
      <c r="F100" s="57" t="s">
        <v>87</v>
      </c>
      <c r="G100" s="58">
        <v>1</v>
      </c>
      <c r="H100" s="59">
        <v>25</v>
      </c>
      <c r="I100" s="48">
        <f t="shared" si="9"/>
        <v>25</v>
      </c>
      <c r="J100" s="60">
        <v>19</v>
      </c>
      <c r="K100" s="61">
        <f t="shared" si="12"/>
        <v>475</v>
      </c>
      <c r="M100" s="59"/>
    </row>
    <row r="101" s="39" customFormat="1" ht="20.25" spans="1:14">
      <c r="A101" s="54">
        <v>45836</v>
      </c>
      <c r="B101" s="55">
        <v>90</v>
      </c>
      <c r="C101" s="46" t="s">
        <v>153</v>
      </c>
      <c r="D101" s="46"/>
      <c r="E101" s="46"/>
      <c r="F101" s="57" t="s">
        <v>26</v>
      </c>
      <c r="G101" s="58">
        <v>1</v>
      </c>
      <c r="H101" s="59">
        <v>25</v>
      </c>
      <c r="I101" s="48">
        <f t="shared" si="9"/>
        <v>25</v>
      </c>
      <c r="J101" s="60">
        <v>19</v>
      </c>
      <c r="K101" s="61">
        <f t="shared" si="12"/>
        <v>475</v>
      </c>
      <c r="L101" s="67" t="s">
        <v>20</v>
      </c>
      <c r="M101" s="67"/>
    </row>
    <row r="102" s="39" customFormat="1" ht="20.25" spans="1:14">
      <c r="A102" s="54">
        <v>45836</v>
      </c>
      <c r="B102" s="55">
        <v>90</v>
      </c>
      <c r="C102" s="46" t="s">
        <v>95</v>
      </c>
      <c r="D102" s="46"/>
      <c r="E102" s="46"/>
      <c r="F102" s="57" t="s">
        <v>24</v>
      </c>
      <c r="G102" s="58">
        <v>2</v>
      </c>
      <c r="H102" s="59">
        <v>25</v>
      </c>
      <c r="I102" s="48">
        <f t="shared" si="9"/>
        <v>50</v>
      </c>
      <c r="J102" s="60">
        <v>19</v>
      </c>
      <c r="K102" s="61">
        <f t="shared" si="12"/>
        <v>950</v>
      </c>
      <c r="L102" s="62" t="s">
        <v>252</v>
      </c>
      <c r="M102" s="59"/>
    </row>
    <row r="103" s="39" customFormat="1" ht="20.25" spans="1:14">
      <c r="A103" s="54">
        <v>45836</v>
      </c>
      <c r="B103" s="55">
        <v>90</v>
      </c>
      <c r="C103" s="46" t="s">
        <v>96</v>
      </c>
      <c r="D103" s="46"/>
      <c r="E103" s="46"/>
      <c r="F103" s="57" t="s">
        <v>97</v>
      </c>
      <c r="G103" s="58">
        <v>1</v>
      </c>
      <c r="H103" s="59">
        <v>18</v>
      </c>
      <c r="I103" s="48">
        <f t="shared" si="9"/>
        <v>18</v>
      </c>
      <c r="J103" s="60">
        <v>19</v>
      </c>
      <c r="K103" s="61">
        <f t="shared" si="12"/>
        <v>342</v>
      </c>
      <c r="L103" s="62" t="s">
        <v>124</v>
      </c>
      <c r="M103" s="59"/>
    </row>
    <row r="104" s="39" customFormat="1" ht="20.25" spans="1:14">
      <c r="A104" s="54">
        <v>45836</v>
      </c>
      <c r="B104" s="55">
        <v>90</v>
      </c>
      <c r="C104" s="46" t="s">
        <v>15</v>
      </c>
      <c r="D104" s="46"/>
      <c r="E104" s="46"/>
      <c r="F104" s="57" t="s">
        <v>16</v>
      </c>
      <c r="G104" s="58">
        <v>5</v>
      </c>
      <c r="H104" s="59">
        <v>10</v>
      </c>
      <c r="I104" s="48">
        <f t="shared" si="9"/>
        <v>50</v>
      </c>
      <c r="J104" s="60">
        <v>19</v>
      </c>
      <c r="K104" s="61">
        <f t="shared" si="12"/>
        <v>950</v>
      </c>
      <c r="L104" s="62" t="s">
        <v>17</v>
      </c>
      <c r="M104" s="59">
        <f>SUM(K100:K104)</f>
        <v>3192</v>
      </c>
    </row>
    <row r="105" s="37" customFormat="1" ht="20.25" spans="1:14">
      <c r="A105" s="44">
        <v>45838</v>
      </c>
      <c r="B105" s="45">
        <v>97</v>
      </c>
      <c r="C105" s="66">
        <v>8036</v>
      </c>
      <c r="D105" s="66"/>
      <c r="E105" s="66"/>
      <c r="F105" s="63" t="s">
        <v>131</v>
      </c>
      <c r="G105" s="64">
        <v>1</v>
      </c>
      <c r="H105" s="48">
        <v>26</v>
      </c>
      <c r="I105" s="48">
        <f t="shared" si="9"/>
        <v>26</v>
      </c>
      <c r="J105" s="49">
        <v>19</v>
      </c>
      <c r="K105" s="50">
        <f t="shared" si="12"/>
        <v>494</v>
      </c>
      <c r="L105" s="3" t="s">
        <v>132</v>
      </c>
      <c r="M105" s="48"/>
    </row>
    <row r="106" s="37" customFormat="1" ht="20.25" spans="1:14">
      <c r="A106" s="44">
        <v>45838</v>
      </c>
      <c r="B106" s="45">
        <v>97</v>
      </c>
      <c r="C106" s="48" t="s">
        <v>218</v>
      </c>
      <c r="D106" s="48"/>
      <c r="E106" s="48"/>
      <c r="F106" s="63" t="s">
        <v>66</v>
      </c>
      <c r="G106" s="64">
        <v>1</v>
      </c>
      <c r="H106" s="48">
        <v>180</v>
      </c>
      <c r="I106" s="48">
        <f t="shared" si="9"/>
        <v>180</v>
      </c>
      <c r="J106" s="49">
        <v>10</v>
      </c>
      <c r="K106" s="50">
        <f t="shared" si="12"/>
        <v>1800</v>
      </c>
      <c r="L106" s="77" t="s">
        <v>231</v>
      </c>
      <c r="M106" s="48"/>
      <c r="N106" s="37" t="s">
        <v>173</v>
      </c>
    </row>
    <row r="107" s="37" customFormat="1" ht="19" customHeight="1" spans="1:14">
      <c r="A107" s="44">
        <v>45838</v>
      </c>
      <c r="B107" s="45">
        <v>97</v>
      </c>
      <c r="C107" s="66" t="s">
        <v>59</v>
      </c>
      <c r="D107" s="66"/>
      <c r="E107" s="66"/>
      <c r="F107" s="63" t="s">
        <v>60</v>
      </c>
      <c r="G107" s="64">
        <v>1</v>
      </c>
      <c r="H107" s="48">
        <v>180</v>
      </c>
      <c r="I107" s="48">
        <f t="shared" si="9"/>
        <v>180</v>
      </c>
      <c r="J107" s="49">
        <v>6.5</v>
      </c>
      <c r="K107" s="50">
        <f t="shared" si="12"/>
        <v>1170</v>
      </c>
      <c r="L107" s="65" t="s">
        <v>61</v>
      </c>
      <c r="M107" s="48">
        <f>SUM(K105:K108)</f>
        <v>3654</v>
      </c>
    </row>
    <row r="108" s="39" customFormat="1" ht="20.25" spans="1:14">
      <c r="A108" s="44">
        <v>45838</v>
      </c>
      <c r="B108" s="45">
        <v>97</v>
      </c>
      <c r="C108" s="90" t="s">
        <v>253</v>
      </c>
      <c r="D108" s="66"/>
      <c r="E108" s="66"/>
      <c r="F108" s="63" t="s">
        <v>72</v>
      </c>
      <c r="G108" s="64">
        <v>1</v>
      </c>
      <c r="H108" s="48">
        <v>10</v>
      </c>
      <c r="I108" s="48">
        <f t="shared" si="9"/>
        <v>10</v>
      </c>
      <c r="J108" s="49">
        <v>19</v>
      </c>
      <c r="K108" s="50">
        <f t="shared" si="12"/>
        <v>190</v>
      </c>
      <c r="L108" s="3"/>
      <c r="M108" s="59"/>
    </row>
    <row r="109" s="39" customFormat="1" ht="20.25" spans="1:14">
      <c r="A109" s="54">
        <v>45843</v>
      </c>
      <c r="B109" s="55">
        <v>17</v>
      </c>
      <c r="C109" s="46">
        <v>8065</v>
      </c>
      <c r="D109" s="46"/>
      <c r="E109" s="46"/>
      <c r="F109" s="57" t="s">
        <v>204</v>
      </c>
      <c r="G109" s="58">
        <v>1</v>
      </c>
      <c r="H109" s="59">
        <v>20</v>
      </c>
      <c r="I109" s="59">
        <f t="shared" si="9"/>
        <v>20</v>
      </c>
      <c r="J109" s="60">
        <v>24</v>
      </c>
      <c r="K109" s="61">
        <f t="shared" si="12"/>
        <v>480</v>
      </c>
      <c r="L109" s="67" t="s">
        <v>254</v>
      </c>
      <c r="M109" s="67"/>
    </row>
    <row r="110" s="37" customFormat="1" ht="21" customHeight="1" spans="1:14">
      <c r="A110" s="44">
        <v>45849</v>
      </c>
      <c r="B110" s="45">
        <v>39</v>
      </c>
      <c r="C110" s="66" t="s">
        <v>59</v>
      </c>
      <c r="D110" s="66"/>
      <c r="E110" s="66"/>
      <c r="F110" s="63" t="s">
        <v>60</v>
      </c>
      <c r="G110" s="64">
        <v>1</v>
      </c>
      <c r="H110" s="48">
        <v>180</v>
      </c>
      <c r="I110" s="48">
        <f t="shared" si="9"/>
        <v>180</v>
      </c>
      <c r="J110" s="49">
        <v>6.5</v>
      </c>
      <c r="K110" s="50">
        <f t="shared" si="12"/>
        <v>1170</v>
      </c>
      <c r="L110" s="65" t="s">
        <v>61</v>
      </c>
      <c r="M110" s="48"/>
    </row>
    <row r="111" s="42" customFormat="1" ht="19" customHeight="1" spans="1:14">
      <c r="A111" s="78">
        <v>45849</v>
      </c>
      <c r="B111" s="79"/>
      <c r="C111" s="91" t="s">
        <v>255</v>
      </c>
      <c r="D111" s="91"/>
      <c r="E111" s="91"/>
      <c r="F111" s="92" t="s">
        <v>256</v>
      </c>
      <c r="G111" s="81"/>
      <c r="H111" s="82"/>
      <c r="I111" s="82"/>
      <c r="J111" s="74"/>
      <c r="K111" s="83"/>
      <c r="L111" s="93"/>
      <c r="M111" s="82"/>
    </row>
    <row r="112" s="42" customFormat="1" ht="19" customHeight="1" spans="1:14">
      <c r="A112" s="78">
        <v>45849</v>
      </c>
      <c r="B112" s="79"/>
      <c r="C112" s="91" t="s">
        <v>255</v>
      </c>
      <c r="D112" s="91"/>
      <c r="E112" s="91"/>
      <c r="F112" s="94" t="s">
        <v>257</v>
      </c>
      <c r="G112" s="81"/>
      <c r="H112" s="82"/>
      <c r="I112" s="82"/>
      <c r="J112" s="74"/>
      <c r="K112" s="83"/>
      <c r="L112" s="93"/>
      <c r="M112" s="82"/>
    </row>
    <row r="113" s="42" customFormat="1" ht="19" customHeight="1" spans="1:13">
      <c r="A113" s="78">
        <v>45849</v>
      </c>
      <c r="B113" s="79"/>
      <c r="C113" s="91" t="s">
        <v>255</v>
      </c>
      <c r="D113" s="91"/>
      <c r="E113" s="91"/>
      <c r="F113" s="94" t="s">
        <v>258</v>
      </c>
      <c r="G113" s="81"/>
      <c r="H113" s="82"/>
      <c r="I113" s="82"/>
      <c r="J113" s="74"/>
      <c r="K113" s="83"/>
      <c r="L113" s="93"/>
      <c r="M113" s="82"/>
    </row>
    <row r="114" s="39" customFormat="1" ht="20.25" spans="1:13">
      <c r="A114" s="54">
        <v>45852</v>
      </c>
      <c r="B114" s="55">
        <v>48</v>
      </c>
      <c r="C114" s="59">
        <v>8069</v>
      </c>
      <c r="D114" s="59"/>
      <c r="E114" s="59"/>
      <c r="F114" s="57" t="s">
        <v>245</v>
      </c>
      <c r="G114" s="58">
        <v>1</v>
      </c>
      <c r="H114" s="59">
        <v>5</v>
      </c>
      <c r="I114" s="59">
        <f t="shared" ref="I114:I126" si="13">G114*H114</f>
        <v>5</v>
      </c>
      <c r="J114" s="60">
        <v>24</v>
      </c>
      <c r="K114" s="61">
        <f t="shared" ref="K114:K117" si="14">I114*J114</f>
        <v>120</v>
      </c>
      <c r="L114" s="67" t="s">
        <v>259</v>
      </c>
      <c r="M114" s="67"/>
    </row>
    <row r="115" s="39" customFormat="1" ht="20.25" spans="1:13">
      <c r="A115" s="54">
        <v>45852</v>
      </c>
      <c r="B115" s="55">
        <v>48</v>
      </c>
      <c r="C115" s="59" t="s">
        <v>235</v>
      </c>
      <c r="D115" s="59"/>
      <c r="E115" s="59"/>
      <c r="F115" s="57" t="s">
        <v>236</v>
      </c>
      <c r="G115" s="58">
        <v>1</v>
      </c>
      <c r="H115" s="59">
        <v>2</v>
      </c>
      <c r="I115" s="59">
        <f t="shared" si="13"/>
        <v>2</v>
      </c>
      <c r="J115" s="60">
        <v>24</v>
      </c>
      <c r="K115" s="61">
        <f t="shared" si="14"/>
        <v>48</v>
      </c>
      <c r="L115" s="67" t="s">
        <v>237</v>
      </c>
      <c r="M115" s="67"/>
    </row>
    <row r="116" s="39" customFormat="1" ht="20.25" spans="1:13">
      <c r="A116" s="54">
        <v>45852</v>
      </c>
      <c r="B116" s="55">
        <v>48</v>
      </c>
      <c r="C116" s="59" t="s">
        <v>235</v>
      </c>
      <c r="D116" s="59"/>
      <c r="E116" s="59"/>
      <c r="F116" s="57" t="s">
        <v>236</v>
      </c>
      <c r="G116" s="58">
        <v>1</v>
      </c>
      <c r="H116" s="59">
        <v>1</v>
      </c>
      <c r="I116" s="59">
        <f t="shared" si="13"/>
        <v>1</v>
      </c>
      <c r="J116" s="60"/>
      <c r="K116" s="61"/>
      <c r="L116" s="67" t="s">
        <v>260</v>
      </c>
      <c r="M116" s="67"/>
    </row>
    <row r="117" s="39" customFormat="1" ht="20.25" spans="1:13">
      <c r="A117" s="54">
        <v>45852</v>
      </c>
      <c r="B117" s="55">
        <v>48</v>
      </c>
      <c r="C117" s="59" t="s">
        <v>247</v>
      </c>
      <c r="D117" s="59"/>
      <c r="E117" s="59"/>
      <c r="F117" s="57" t="s">
        <v>248</v>
      </c>
      <c r="G117" s="58">
        <v>1</v>
      </c>
      <c r="H117" s="59">
        <v>17</v>
      </c>
      <c r="I117" s="59">
        <f t="shared" si="13"/>
        <v>17</v>
      </c>
      <c r="J117" s="60">
        <v>24</v>
      </c>
      <c r="K117" s="61">
        <f t="shared" si="14"/>
        <v>408</v>
      </c>
      <c r="L117" s="95" t="s">
        <v>261</v>
      </c>
      <c r="M117" s="67"/>
    </row>
    <row r="118" s="39" customFormat="1" ht="20.25" spans="1:13">
      <c r="A118" s="54">
        <v>45852</v>
      </c>
      <c r="B118" s="55">
        <v>48</v>
      </c>
      <c r="C118" s="59" t="s">
        <v>247</v>
      </c>
      <c r="D118" s="59"/>
      <c r="E118" s="59"/>
      <c r="F118" s="57" t="s">
        <v>248</v>
      </c>
      <c r="G118" s="58">
        <v>1</v>
      </c>
      <c r="H118" s="59">
        <v>3</v>
      </c>
      <c r="I118" s="59">
        <f t="shared" si="13"/>
        <v>3</v>
      </c>
      <c r="J118" s="60"/>
      <c r="K118" s="61"/>
      <c r="L118" s="67" t="s">
        <v>20</v>
      </c>
      <c r="M118" s="67"/>
    </row>
    <row r="119" s="39" customFormat="1" ht="20.25" spans="1:13">
      <c r="A119" s="54">
        <v>45852</v>
      </c>
      <c r="B119" s="55">
        <v>48</v>
      </c>
      <c r="C119" s="59" t="s">
        <v>151</v>
      </c>
      <c r="D119" s="59"/>
      <c r="E119" s="59"/>
      <c r="F119" s="57" t="s">
        <v>24</v>
      </c>
      <c r="G119" s="58">
        <v>1</v>
      </c>
      <c r="H119" s="59">
        <v>25</v>
      </c>
      <c r="I119" s="59">
        <f t="shared" si="13"/>
        <v>25</v>
      </c>
      <c r="J119" s="60">
        <v>19</v>
      </c>
      <c r="K119" s="61">
        <f t="shared" ref="K119:K124" si="15">I119*J119</f>
        <v>475</v>
      </c>
      <c r="L119" s="67"/>
      <c r="M119" s="67"/>
    </row>
    <row r="120" s="39" customFormat="1" ht="20.25" spans="1:13">
      <c r="A120" s="54">
        <v>45852</v>
      </c>
      <c r="B120" s="55">
        <v>48</v>
      </c>
      <c r="C120" s="59" t="s">
        <v>176</v>
      </c>
      <c r="D120" s="59"/>
      <c r="E120" s="59"/>
      <c r="F120" s="57" t="s">
        <v>177</v>
      </c>
      <c r="G120" s="58">
        <v>1</v>
      </c>
      <c r="H120" s="59">
        <v>28</v>
      </c>
      <c r="I120" s="59">
        <f t="shared" si="13"/>
        <v>28</v>
      </c>
      <c r="J120" s="60">
        <v>19</v>
      </c>
      <c r="K120" s="61">
        <f t="shared" si="15"/>
        <v>532</v>
      </c>
      <c r="L120" s="62" t="s">
        <v>17</v>
      </c>
      <c r="M120" s="59">
        <f>SUM(K114:K121)</f>
        <v>2343</v>
      </c>
    </row>
    <row r="121" s="39" customFormat="1" ht="20.25" spans="1:13">
      <c r="A121" s="54">
        <v>45852</v>
      </c>
      <c r="B121" s="55">
        <v>48</v>
      </c>
      <c r="C121" s="59" t="s">
        <v>15</v>
      </c>
      <c r="D121" s="59"/>
      <c r="E121" s="59"/>
      <c r="F121" s="57" t="s">
        <v>16</v>
      </c>
      <c r="G121" s="58">
        <v>4</v>
      </c>
      <c r="H121" s="59">
        <v>10</v>
      </c>
      <c r="I121" s="59">
        <f t="shared" si="13"/>
        <v>40</v>
      </c>
      <c r="J121" s="60">
        <v>19</v>
      </c>
      <c r="K121" s="61">
        <f t="shared" si="15"/>
        <v>760</v>
      </c>
      <c r="L121" s="67"/>
      <c r="M121" s="67"/>
    </row>
    <row r="122" s="37" customFormat="1" ht="21" customHeight="1" spans="1:13">
      <c r="A122" s="44">
        <v>45853</v>
      </c>
      <c r="B122" s="45">
        <v>53</v>
      </c>
      <c r="C122" s="48" t="s">
        <v>21</v>
      </c>
      <c r="D122" s="48"/>
      <c r="E122" s="48"/>
      <c r="F122" s="63" t="s">
        <v>22</v>
      </c>
      <c r="G122" s="64">
        <v>10</v>
      </c>
      <c r="H122" s="48">
        <v>28</v>
      </c>
      <c r="I122" s="48">
        <f t="shared" si="13"/>
        <v>280</v>
      </c>
      <c r="J122" s="49">
        <v>10</v>
      </c>
      <c r="K122" s="50">
        <f t="shared" si="15"/>
        <v>2800</v>
      </c>
      <c r="L122" s="65">
        <v>9804</v>
      </c>
      <c r="M122" s="48">
        <f>SUM(K122:K123)</f>
        <v>3160</v>
      </c>
    </row>
    <row r="123" s="37" customFormat="1" ht="20.25" spans="1:13">
      <c r="A123" s="44">
        <v>45853</v>
      </c>
      <c r="B123" s="45">
        <v>53</v>
      </c>
      <c r="C123" s="48" t="s">
        <v>262</v>
      </c>
      <c r="D123" s="48"/>
      <c r="E123" s="48"/>
      <c r="F123" s="63" t="s">
        <v>263</v>
      </c>
      <c r="G123" s="64">
        <v>1</v>
      </c>
      <c r="H123" s="48">
        <v>20</v>
      </c>
      <c r="I123" s="48">
        <f t="shared" si="13"/>
        <v>20</v>
      </c>
      <c r="J123" s="49">
        <v>18</v>
      </c>
      <c r="K123" s="50">
        <f t="shared" si="15"/>
        <v>360</v>
      </c>
      <c r="L123" s="65" t="s">
        <v>82</v>
      </c>
      <c r="M123" s="65"/>
    </row>
    <row r="124" s="37" customFormat="1" ht="20.25" spans="1:13">
      <c r="A124" s="44">
        <v>45853</v>
      </c>
      <c r="B124" s="45">
        <v>53</v>
      </c>
      <c r="C124" s="48">
        <v>8069</v>
      </c>
      <c r="D124" s="48"/>
      <c r="E124" s="48"/>
      <c r="F124" s="63" t="s">
        <v>245</v>
      </c>
      <c r="G124" s="64">
        <v>1</v>
      </c>
      <c r="H124" s="48">
        <v>5</v>
      </c>
      <c r="I124" s="48">
        <f t="shared" si="13"/>
        <v>5</v>
      </c>
      <c r="J124" s="49">
        <v>24</v>
      </c>
      <c r="K124" s="50">
        <f t="shared" si="15"/>
        <v>120</v>
      </c>
      <c r="L124" s="65" t="s">
        <v>259</v>
      </c>
      <c r="M124" s="65"/>
    </row>
    <row r="125" s="37" customFormat="1" ht="20.25" spans="1:13">
      <c r="A125" s="44">
        <v>45672</v>
      </c>
      <c r="B125" s="45">
        <v>50</v>
      </c>
      <c r="C125" s="66" t="s">
        <v>29</v>
      </c>
      <c r="D125" s="66"/>
      <c r="E125" s="66"/>
      <c r="F125" s="63" t="s">
        <v>30</v>
      </c>
      <c r="G125" s="64">
        <v>2</v>
      </c>
      <c r="H125" s="48">
        <v>20</v>
      </c>
      <c r="I125" s="48">
        <f t="shared" si="13"/>
        <v>40</v>
      </c>
      <c r="J125" s="49">
        <v>16.5</v>
      </c>
      <c r="K125" s="50">
        <v>330</v>
      </c>
      <c r="L125" s="3" t="s">
        <v>197</v>
      </c>
      <c r="M125" s="48"/>
    </row>
    <row r="126" s="39" customFormat="1" ht="20.25" spans="1:13">
      <c r="A126" s="54">
        <v>45712</v>
      </c>
      <c r="B126" s="55">
        <v>38</v>
      </c>
      <c r="C126" s="46">
        <v>525</v>
      </c>
      <c r="D126" s="46"/>
      <c r="E126" s="46"/>
      <c r="F126" s="57" t="s">
        <v>141</v>
      </c>
      <c r="G126" s="58">
        <v>1</v>
      </c>
      <c r="H126" s="59">
        <v>20</v>
      </c>
      <c r="I126" s="48">
        <f t="shared" si="13"/>
        <v>20</v>
      </c>
      <c r="J126" s="60">
        <v>19</v>
      </c>
      <c r="K126" s="61">
        <v>760</v>
      </c>
      <c r="L126" s="39" t="s">
        <v>206</v>
      </c>
      <c r="M126" s="59">
        <v>7053</v>
      </c>
    </row>
    <row r="127" s="42" customFormat="1" ht="20.25" spans="1:13">
      <c r="A127" s="78">
        <v>45859</v>
      </c>
      <c r="B127" s="96">
        <v>70</v>
      </c>
      <c r="C127" s="82" t="s">
        <v>80</v>
      </c>
      <c r="D127" s="82"/>
      <c r="E127" s="82"/>
      <c r="F127" s="47" t="s">
        <v>81</v>
      </c>
      <c r="G127" s="81">
        <v>1</v>
      </c>
      <c r="H127" s="82">
        <v>20</v>
      </c>
      <c r="I127" s="82">
        <v>20</v>
      </c>
      <c r="J127" s="74">
        <v>18</v>
      </c>
      <c r="K127" s="83">
        <f t="shared" ref="K127:K134" si="16">I127*J127</f>
        <v>360</v>
      </c>
      <c r="L127" s="47" t="s">
        <v>82</v>
      </c>
      <c r="M127" s="47"/>
    </row>
    <row r="128" s="39" customFormat="1" ht="20.25" spans="1:13">
      <c r="A128" s="54">
        <v>45862</v>
      </c>
      <c r="B128" s="55">
        <v>81</v>
      </c>
      <c r="C128" s="59" t="s">
        <v>247</v>
      </c>
      <c r="D128" s="59"/>
      <c r="E128" s="59"/>
      <c r="F128" s="57" t="s">
        <v>248</v>
      </c>
      <c r="G128" s="58">
        <v>1</v>
      </c>
      <c r="H128" s="59">
        <v>20</v>
      </c>
      <c r="I128" s="59">
        <f t="shared" ref="I128:I142" si="17">G128*H128</f>
        <v>20</v>
      </c>
      <c r="J128" s="60">
        <v>24</v>
      </c>
      <c r="K128" s="61">
        <f t="shared" si="16"/>
        <v>480</v>
      </c>
      <c r="L128" s="95" t="s">
        <v>264</v>
      </c>
      <c r="M128" s="67"/>
    </row>
    <row r="129" s="39" customFormat="1" ht="20.25" spans="1:15">
      <c r="A129" s="54">
        <v>45862</v>
      </c>
      <c r="B129" s="55">
        <v>81</v>
      </c>
      <c r="C129" s="59" t="s">
        <v>235</v>
      </c>
      <c r="D129" s="59"/>
      <c r="E129" s="59"/>
      <c r="F129" s="57" t="s">
        <v>236</v>
      </c>
      <c r="G129" s="58">
        <v>1</v>
      </c>
      <c r="H129" s="59">
        <v>5</v>
      </c>
      <c r="I129" s="59">
        <f t="shared" si="17"/>
        <v>5</v>
      </c>
      <c r="J129" s="60">
        <v>24</v>
      </c>
      <c r="K129" s="61">
        <f t="shared" si="16"/>
        <v>120</v>
      </c>
      <c r="L129" s="67" t="s">
        <v>265</v>
      </c>
      <c r="M129" s="67"/>
    </row>
    <row r="130" s="39" customFormat="1" ht="20.25" spans="1:15">
      <c r="A130" s="54">
        <v>45862</v>
      </c>
      <c r="B130" s="55">
        <v>81</v>
      </c>
      <c r="C130" s="46">
        <v>8069</v>
      </c>
      <c r="D130" s="46"/>
      <c r="E130" s="46"/>
      <c r="F130" s="57" t="s">
        <v>245</v>
      </c>
      <c r="G130" s="58">
        <v>1</v>
      </c>
      <c r="H130" s="59">
        <v>10</v>
      </c>
      <c r="I130" s="59">
        <f t="shared" si="17"/>
        <v>10</v>
      </c>
      <c r="J130" s="60">
        <v>24</v>
      </c>
      <c r="K130" s="61">
        <f t="shared" si="16"/>
        <v>240</v>
      </c>
      <c r="L130" s="67" t="s">
        <v>246</v>
      </c>
      <c r="M130" s="67"/>
    </row>
    <row r="131" s="39" customFormat="1" ht="20.25" spans="1:15">
      <c r="A131" s="54">
        <v>45862</v>
      </c>
      <c r="B131" s="55">
        <v>81</v>
      </c>
      <c r="C131" s="59" t="s">
        <v>15</v>
      </c>
      <c r="D131" s="59"/>
      <c r="E131" s="59"/>
      <c r="F131" s="57" t="s">
        <v>16</v>
      </c>
      <c r="G131" s="58">
        <v>2</v>
      </c>
      <c r="H131" s="59">
        <v>10</v>
      </c>
      <c r="I131" s="59">
        <f t="shared" si="17"/>
        <v>20</v>
      </c>
      <c r="J131" s="60">
        <v>19</v>
      </c>
      <c r="K131" s="61">
        <f t="shared" si="16"/>
        <v>380</v>
      </c>
      <c r="L131" s="67"/>
      <c r="M131" s="67">
        <f>SUM(K128:K131)</f>
        <v>1220</v>
      </c>
    </row>
    <row r="132" s="37" customFormat="1" ht="20.25" spans="1:15">
      <c r="A132" s="44">
        <v>45878</v>
      </c>
      <c r="B132" s="45">
        <v>16</v>
      </c>
      <c r="C132" s="66"/>
      <c r="D132" s="66"/>
      <c r="E132" s="66"/>
      <c r="F132" s="63" t="s">
        <v>232</v>
      </c>
      <c r="G132" s="64">
        <v>1</v>
      </c>
      <c r="H132" s="48">
        <v>18</v>
      </c>
      <c r="I132" s="48">
        <f t="shared" si="17"/>
        <v>18</v>
      </c>
      <c r="J132" s="49">
        <v>19</v>
      </c>
      <c r="K132" s="50">
        <f t="shared" si="16"/>
        <v>342</v>
      </c>
      <c r="L132" s="3"/>
      <c r="M132" s="48"/>
    </row>
    <row r="133" s="37" customFormat="1" ht="20.25" spans="1:15">
      <c r="A133" s="44">
        <v>45878</v>
      </c>
      <c r="B133" s="45">
        <v>16</v>
      </c>
      <c r="C133" s="48" t="s">
        <v>15</v>
      </c>
      <c r="D133" s="48"/>
      <c r="E133" s="48"/>
      <c r="F133" s="63" t="s">
        <v>16</v>
      </c>
      <c r="G133" s="64">
        <v>1</v>
      </c>
      <c r="H133" s="48">
        <v>10</v>
      </c>
      <c r="I133" s="48">
        <f t="shared" si="17"/>
        <v>10</v>
      </c>
      <c r="J133" s="49">
        <v>19</v>
      </c>
      <c r="K133" s="50">
        <f t="shared" si="16"/>
        <v>190</v>
      </c>
      <c r="L133" s="65"/>
      <c r="M133" s="65">
        <f>SUM(K132:K133)</f>
        <v>532</v>
      </c>
    </row>
    <row r="134" s="39" customFormat="1" ht="20.25" spans="1:15">
      <c r="A134" s="54">
        <v>45881</v>
      </c>
      <c r="B134" s="55"/>
      <c r="C134" s="46"/>
      <c r="D134" s="46"/>
      <c r="E134" s="46"/>
      <c r="F134" s="57" t="s">
        <v>266</v>
      </c>
      <c r="G134" s="58">
        <v>1</v>
      </c>
      <c r="H134" s="59">
        <v>20</v>
      </c>
      <c r="I134" s="59">
        <f t="shared" si="17"/>
        <v>20</v>
      </c>
      <c r="J134" s="60"/>
      <c r="K134" s="61"/>
      <c r="L134" s="97" t="s">
        <v>267</v>
      </c>
      <c r="M134" s="82"/>
      <c r="N134" s="42"/>
      <c r="O134" s="42"/>
    </row>
    <row r="135" s="37" customFormat="1" ht="21" customHeight="1" spans="1:15">
      <c r="A135" s="44">
        <v>45884</v>
      </c>
      <c r="B135" s="45">
        <v>34</v>
      </c>
      <c r="C135" s="48" t="s">
        <v>21</v>
      </c>
      <c r="D135" s="48"/>
      <c r="E135" s="48"/>
      <c r="F135" s="63" t="s">
        <v>22</v>
      </c>
      <c r="G135" s="64">
        <v>10</v>
      </c>
      <c r="H135" s="48">
        <v>28</v>
      </c>
      <c r="I135" s="48">
        <f t="shared" si="17"/>
        <v>280</v>
      </c>
      <c r="J135" s="49">
        <v>10</v>
      </c>
      <c r="K135" s="50">
        <f t="shared" ref="K135:K140" si="18">I135*J135</f>
        <v>2800</v>
      </c>
      <c r="L135" s="65">
        <v>9804</v>
      </c>
      <c r="M135" s="48">
        <f>SUM(K135:K137)</f>
        <v>3370</v>
      </c>
    </row>
    <row r="136" s="39" customFormat="1" ht="20.25" spans="1:15">
      <c r="A136" s="54">
        <v>45898</v>
      </c>
      <c r="B136" s="55">
        <v>82</v>
      </c>
      <c r="C136" s="46"/>
      <c r="D136" s="46"/>
      <c r="E136" s="46"/>
      <c r="F136" s="57" t="s">
        <v>207</v>
      </c>
      <c r="G136" s="58">
        <v>1</v>
      </c>
      <c r="H136" s="59">
        <v>20</v>
      </c>
      <c r="I136" s="59">
        <f t="shared" si="17"/>
        <v>20</v>
      </c>
      <c r="J136" s="60">
        <v>19</v>
      </c>
      <c r="K136" s="61">
        <f t="shared" si="18"/>
        <v>380</v>
      </c>
      <c r="L136" s="62"/>
      <c r="M136" s="59"/>
    </row>
    <row r="137" s="39" customFormat="1" ht="20.25" spans="1:15">
      <c r="A137" s="54">
        <v>45898</v>
      </c>
      <c r="B137" s="55">
        <v>82</v>
      </c>
      <c r="C137" s="59" t="s">
        <v>15</v>
      </c>
      <c r="D137" s="59"/>
      <c r="E137" s="59"/>
      <c r="F137" s="57" t="s">
        <v>16</v>
      </c>
      <c r="G137" s="58">
        <v>1</v>
      </c>
      <c r="H137" s="59">
        <v>10</v>
      </c>
      <c r="I137" s="59">
        <f t="shared" si="17"/>
        <v>10</v>
      </c>
      <c r="J137" s="60">
        <v>19</v>
      </c>
      <c r="K137" s="61">
        <f t="shared" si="18"/>
        <v>190</v>
      </c>
      <c r="L137" s="67"/>
      <c r="M137" s="67">
        <f>SUM(K136:K137)</f>
        <v>570</v>
      </c>
    </row>
    <row r="138" s="37" customFormat="1" ht="20.25" spans="1:15">
      <c r="A138" s="44">
        <v>45899</v>
      </c>
      <c r="B138" s="45">
        <v>84</v>
      </c>
      <c r="C138" s="48" t="s">
        <v>65</v>
      </c>
      <c r="D138" s="48"/>
      <c r="E138" s="48"/>
      <c r="F138" s="63" t="s">
        <v>66</v>
      </c>
      <c r="G138" s="64">
        <v>1</v>
      </c>
      <c r="H138" s="48">
        <v>180</v>
      </c>
      <c r="I138" s="48">
        <f t="shared" si="17"/>
        <v>180</v>
      </c>
      <c r="J138" s="49">
        <v>10</v>
      </c>
      <c r="K138" s="50">
        <f t="shared" si="18"/>
        <v>1800</v>
      </c>
      <c r="L138" s="77" t="s">
        <v>231</v>
      </c>
      <c r="M138" s="48"/>
      <c r="N138" s="98" t="s">
        <v>173</v>
      </c>
    </row>
    <row r="139" s="39" customFormat="1" ht="20.25" spans="1:15">
      <c r="A139" s="54">
        <v>45903</v>
      </c>
      <c r="B139" s="55">
        <v>8</v>
      </c>
      <c r="C139" s="46" t="s">
        <v>29</v>
      </c>
      <c r="D139" s="46"/>
      <c r="E139" s="46"/>
      <c r="F139" s="57" t="s">
        <v>30</v>
      </c>
      <c r="G139" s="58">
        <v>3</v>
      </c>
      <c r="H139" s="59">
        <v>20</v>
      </c>
      <c r="I139" s="59">
        <f t="shared" si="17"/>
        <v>60</v>
      </c>
      <c r="J139" s="60">
        <v>16.5</v>
      </c>
      <c r="K139" s="61">
        <f t="shared" si="18"/>
        <v>990</v>
      </c>
      <c r="L139" s="62" t="s">
        <v>268</v>
      </c>
      <c r="M139" s="59"/>
      <c r="N139" s="99"/>
    </row>
    <row r="140" s="37" customFormat="1" ht="21" customHeight="1" spans="1:15">
      <c r="A140" s="44">
        <v>45916</v>
      </c>
      <c r="B140" s="45">
        <v>46</v>
      </c>
      <c r="C140" s="66" t="s">
        <v>59</v>
      </c>
      <c r="D140" s="66"/>
      <c r="E140" s="66"/>
      <c r="F140" s="63" t="s">
        <v>60</v>
      </c>
      <c r="G140" s="64">
        <v>2</v>
      </c>
      <c r="H140" s="48">
        <v>180</v>
      </c>
      <c r="I140" s="48">
        <f t="shared" si="17"/>
        <v>360</v>
      </c>
      <c r="J140" s="49">
        <v>6</v>
      </c>
      <c r="K140" s="50">
        <f t="shared" si="18"/>
        <v>2160</v>
      </c>
      <c r="L140" s="65" t="s">
        <v>269</v>
      </c>
      <c r="M140" s="48"/>
      <c r="N140" s="98" t="s">
        <v>270</v>
      </c>
    </row>
    <row r="141" s="37" customFormat="1" ht="21" customHeight="1" spans="1:15">
      <c r="A141" s="44">
        <v>45916</v>
      </c>
      <c r="B141" s="45">
        <v>46</v>
      </c>
      <c r="C141" s="66"/>
      <c r="D141" s="66"/>
      <c r="E141" s="66"/>
      <c r="F141" s="63" t="s">
        <v>69</v>
      </c>
      <c r="G141" s="64">
        <v>1</v>
      </c>
      <c r="H141" s="48">
        <v>10</v>
      </c>
      <c r="I141" s="48">
        <f t="shared" si="17"/>
        <v>10</v>
      </c>
      <c r="J141" s="49"/>
      <c r="K141" s="50"/>
      <c r="L141" s="65" t="s">
        <v>271</v>
      </c>
      <c r="M141" s="48"/>
      <c r="N141" s="98"/>
    </row>
    <row r="142" s="39" customFormat="1" ht="21" customHeight="1" spans="1:15">
      <c r="A142" s="54">
        <v>45924</v>
      </c>
      <c r="B142" s="55">
        <v>65</v>
      </c>
      <c r="C142" s="59" t="s">
        <v>21</v>
      </c>
      <c r="D142" s="59"/>
      <c r="E142" s="59"/>
      <c r="F142" s="57" t="s">
        <v>22</v>
      </c>
      <c r="G142" s="58">
        <v>10</v>
      </c>
      <c r="H142" s="59">
        <v>28</v>
      </c>
      <c r="I142" s="59">
        <f t="shared" si="17"/>
        <v>280</v>
      </c>
      <c r="J142" s="60">
        <v>10</v>
      </c>
      <c r="K142" s="61">
        <f>I142*J142</f>
        <v>2800</v>
      </c>
      <c r="L142" s="67">
        <v>9804</v>
      </c>
      <c r="M142" s="59">
        <f>SUM(K142:K145)</f>
        <v>4110</v>
      </c>
    </row>
    <row r="143" s="37" customFormat="1" ht="20.25" spans="1:15">
      <c r="A143" s="44">
        <v>45924</v>
      </c>
      <c r="B143" s="100">
        <v>72</v>
      </c>
      <c r="C143" s="48" t="s">
        <v>80</v>
      </c>
      <c r="D143" s="48"/>
      <c r="E143" s="48"/>
      <c r="F143" s="63" t="s">
        <v>81</v>
      </c>
      <c r="G143" s="64">
        <v>1</v>
      </c>
      <c r="H143" s="48">
        <v>20</v>
      </c>
      <c r="I143" s="48">
        <v>20</v>
      </c>
      <c r="J143" s="49">
        <v>18</v>
      </c>
      <c r="K143" s="50">
        <f t="shared" ref="K143:K158" si="19">I143*J143</f>
        <v>360</v>
      </c>
      <c r="L143" s="63" t="s">
        <v>82</v>
      </c>
      <c r="M143" s="63"/>
    </row>
    <row r="144" s="37" customFormat="1" ht="20.25" spans="1:15">
      <c r="A144" s="44">
        <v>45924</v>
      </c>
      <c r="B144" s="100">
        <v>72</v>
      </c>
      <c r="C144" s="80" t="s">
        <v>153</v>
      </c>
      <c r="D144" s="80"/>
      <c r="E144" s="80"/>
      <c r="F144" s="63" t="s">
        <v>26</v>
      </c>
      <c r="G144" s="64">
        <v>1</v>
      </c>
      <c r="H144" s="82">
        <v>25</v>
      </c>
      <c r="I144" s="48">
        <f t="shared" ref="I144:I158" si="20">G144*H144</f>
        <v>25</v>
      </c>
      <c r="J144" s="49">
        <v>19</v>
      </c>
      <c r="K144" s="50">
        <f t="shared" si="19"/>
        <v>475</v>
      </c>
      <c r="L144" s="65" t="s">
        <v>20</v>
      </c>
      <c r="M144" s="65"/>
    </row>
    <row r="145" s="37" customFormat="1" ht="20.25" spans="1:14">
      <c r="A145" s="44">
        <v>45924</v>
      </c>
      <c r="B145" s="100">
        <v>72</v>
      </c>
      <c r="C145" s="66" t="s">
        <v>95</v>
      </c>
      <c r="D145" s="66"/>
      <c r="E145" s="66"/>
      <c r="F145" s="63" t="s">
        <v>24</v>
      </c>
      <c r="G145" s="64">
        <v>1</v>
      </c>
      <c r="H145" s="48">
        <v>25</v>
      </c>
      <c r="I145" s="48">
        <f t="shared" si="20"/>
        <v>25</v>
      </c>
      <c r="J145" s="49">
        <v>19</v>
      </c>
      <c r="K145" s="50">
        <f t="shared" si="19"/>
        <v>475</v>
      </c>
      <c r="L145" s="3" t="s">
        <v>252</v>
      </c>
      <c r="M145" s="48"/>
    </row>
    <row r="146" s="37" customFormat="1" ht="20.25" spans="1:14">
      <c r="A146" s="44">
        <v>45924</v>
      </c>
      <c r="B146" s="100">
        <v>72</v>
      </c>
      <c r="C146" s="66">
        <v>240515</v>
      </c>
      <c r="D146" s="66"/>
      <c r="E146" s="66"/>
      <c r="F146" s="63" t="s">
        <v>70</v>
      </c>
      <c r="G146" s="64">
        <v>1</v>
      </c>
      <c r="H146" s="48">
        <v>26</v>
      </c>
      <c r="I146" s="48">
        <f t="shared" si="20"/>
        <v>26</v>
      </c>
      <c r="J146" s="49">
        <v>19</v>
      </c>
      <c r="K146" s="50">
        <f t="shared" si="19"/>
        <v>494</v>
      </c>
      <c r="L146" s="3"/>
      <c r="M146" s="48"/>
    </row>
    <row r="147" s="37" customFormat="1" ht="20.25" spans="1:14">
      <c r="A147" s="44">
        <v>45924</v>
      </c>
      <c r="B147" s="100">
        <v>72</v>
      </c>
      <c r="C147" s="66" t="s">
        <v>174</v>
      </c>
      <c r="D147" s="66"/>
      <c r="E147" s="66"/>
      <c r="F147" s="63" t="s">
        <v>175</v>
      </c>
      <c r="G147" s="64">
        <v>1</v>
      </c>
      <c r="H147" s="48">
        <v>6</v>
      </c>
      <c r="I147" s="48">
        <f t="shared" si="20"/>
        <v>6</v>
      </c>
      <c r="J147" s="49">
        <v>19</v>
      </c>
      <c r="K147" s="50">
        <f t="shared" si="19"/>
        <v>114</v>
      </c>
      <c r="L147" s="65" t="s">
        <v>20</v>
      </c>
      <c r="M147" s="65"/>
    </row>
    <row r="148" s="37" customFormat="1" ht="20.25" spans="1:14">
      <c r="A148" s="44">
        <v>45924</v>
      </c>
      <c r="B148" s="100">
        <v>72</v>
      </c>
      <c r="C148" s="80" t="s">
        <v>98</v>
      </c>
      <c r="D148" s="80"/>
      <c r="E148" s="80"/>
      <c r="F148" s="63" t="s">
        <v>99</v>
      </c>
      <c r="G148" s="64">
        <v>1</v>
      </c>
      <c r="H148" s="82">
        <v>26</v>
      </c>
      <c r="I148" s="48">
        <f t="shared" si="20"/>
        <v>26</v>
      </c>
      <c r="J148" s="49">
        <v>23</v>
      </c>
      <c r="K148" s="50">
        <f t="shared" si="19"/>
        <v>598</v>
      </c>
      <c r="L148" s="65" t="s">
        <v>100</v>
      </c>
      <c r="M148" s="65"/>
    </row>
    <row r="149" s="37" customFormat="1" ht="20.25" spans="1:14">
      <c r="A149" s="44">
        <v>45924</v>
      </c>
      <c r="B149" s="100">
        <v>72</v>
      </c>
      <c r="C149" s="48" t="s">
        <v>15</v>
      </c>
      <c r="D149" s="48"/>
      <c r="E149" s="48"/>
      <c r="F149" s="63" t="s">
        <v>16</v>
      </c>
      <c r="G149" s="64">
        <v>10</v>
      </c>
      <c r="H149" s="48">
        <v>10</v>
      </c>
      <c r="I149" s="48">
        <f t="shared" si="20"/>
        <v>100</v>
      </c>
      <c r="J149" s="49">
        <v>19</v>
      </c>
      <c r="K149" s="50">
        <f t="shared" si="19"/>
        <v>1900</v>
      </c>
      <c r="L149" s="65"/>
      <c r="M149" s="65">
        <f>SUM(K143:K153)</f>
        <v>6912</v>
      </c>
    </row>
    <row r="150" s="37" customFormat="1" ht="20.25" spans="1:14">
      <c r="A150" s="44">
        <v>45924</v>
      </c>
      <c r="B150" s="100">
        <v>72</v>
      </c>
      <c r="C150" s="66" t="s">
        <v>145</v>
      </c>
      <c r="D150" s="66"/>
      <c r="E150" s="66"/>
      <c r="F150" s="63" t="s">
        <v>146</v>
      </c>
      <c r="G150" s="64">
        <v>1</v>
      </c>
      <c r="H150" s="48">
        <v>25</v>
      </c>
      <c r="I150" s="48">
        <f t="shared" si="20"/>
        <v>25</v>
      </c>
      <c r="J150" s="49">
        <v>14</v>
      </c>
      <c r="K150" s="50">
        <f t="shared" si="19"/>
        <v>350</v>
      </c>
      <c r="L150" s="65" t="s">
        <v>147</v>
      </c>
      <c r="M150" s="48"/>
    </row>
    <row r="151" s="37" customFormat="1" ht="20.25" spans="1:14">
      <c r="A151" s="44">
        <v>45924</v>
      </c>
      <c r="B151" s="100">
        <v>72</v>
      </c>
      <c r="C151" s="66" t="s">
        <v>29</v>
      </c>
      <c r="D151" s="66"/>
      <c r="E151" s="66"/>
      <c r="F151" s="63" t="s">
        <v>30</v>
      </c>
      <c r="G151" s="64">
        <v>3</v>
      </c>
      <c r="H151" s="48">
        <v>20</v>
      </c>
      <c r="I151" s="48">
        <f t="shared" si="20"/>
        <v>60</v>
      </c>
      <c r="J151" s="49">
        <v>16.5</v>
      </c>
      <c r="K151" s="50">
        <f t="shared" si="19"/>
        <v>990</v>
      </c>
      <c r="L151" s="3">
        <v>309</v>
      </c>
      <c r="M151" s="48"/>
    </row>
    <row r="152" s="37" customFormat="1" ht="21" customHeight="1" spans="1:14">
      <c r="A152" s="44">
        <v>45924</v>
      </c>
      <c r="B152" s="100">
        <v>72</v>
      </c>
      <c r="C152" s="66" t="s">
        <v>59</v>
      </c>
      <c r="D152" s="66"/>
      <c r="E152" s="66"/>
      <c r="F152" s="63" t="s">
        <v>60</v>
      </c>
      <c r="G152" s="64">
        <v>1</v>
      </c>
      <c r="H152" s="48">
        <v>180</v>
      </c>
      <c r="I152" s="48">
        <f t="shared" si="20"/>
        <v>180</v>
      </c>
      <c r="J152" s="49">
        <v>6</v>
      </c>
      <c r="K152" s="50">
        <f t="shared" si="19"/>
        <v>1080</v>
      </c>
      <c r="L152" s="65" t="s">
        <v>269</v>
      </c>
      <c r="M152" s="48"/>
      <c r="N152" s="98" t="s">
        <v>270</v>
      </c>
    </row>
    <row r="153" s="37" customFormat="1" ht="21" customHeight="1" spans="1:14">
      <c r="A153" s="44">
        <v>45924</v>
      </c>
      <c r="B153" s="100">
        <v>72</v>
      </c>
      <c r="C153" s="66"/>
      <c r="D153" s="66"/>
      <c r="E153" s="66"/>
      <c r="F153" s="63" t="s">
        <v>272</v>
      </c>
      <c r="G153" s="64">
        <v>1</v>
      </c>
      <c r="H153" s="48">
        <v>2</v>
      </c>
      <c r="I153" s="48">
        <f t="shared" si="20"/>
        <v>2</v>
      </c>
      <c r="J153" s="49">
        <v>38</v>
      </c>
      <c r="K153" s="50">
        <f t="shared" si="19"/>
        <v>76</v>
      </c>
      <c r="L153" s="65"/>
      <c r="M153" s="48"/>
      <c r="N153" s="98"/>
    </row>
    <row r="154" s="39" customFormat="1" ht="20.25" spans="1:14">
      <c r="A154" s="54">
        <v>45929</v>
      </c>
      <c r="B154" s="55">
        <v>86</v>
      </c>
      <c r="C154" s="46" t="s">
        <v>12</v>
      </c>
      <c r="D154" s="46"/>
      <c r="E154" s="46"/>
      <c r="F154" s="57" t="s">
        <v>13</v>
      </c>
      <c r="G154" s="58">
        <v>1</v>
      </c>
      <c r="H154" s="59">
        <v>24</v>
      </c>
      <c r="I154" s="59">
        <f t="shared" si="20"/>
        <v>24</v>
      </c>
      <c r="J154" s="60">
        <v>19</v>
      </c>
      <c r="K154" s="61">
        <f t="shared" si="19"/>
        <v>456</v>
      </c>
      <c r="L154" s="62" t="s">
        <v>14</v>
      </c>
      <c r="M154" s="59"/>
    </row>
    <row r="155" s="37" customFormat="1" ht="21" customHeight="1" spans="1:14">
      <c r="A155" s="44">
        <v>45965</v>
      </c>
      <c r="B155" s="45">
        <v>7</v>
      </c>
      <c r="C155" s="48" t="s">
        <v>21</v>
      </c>
      <c r="D155" s="48"/>
      <c r="E155" s="48"/>
      <c r="F155" s="63" t="s">
        <v>22</v>
      </c>
      <c r="G155" s="64">
        <v>5</v>
      </c>
      <c r="H155" s="48">
        <v>28</v>
      </c>
      <c r="I155" s="48">
        <f t="shared" si="20"/>
        <v>140</v>
      </c>
      <c r="J155" s="49">
        <v>10</v>
      </c>
      <c r="K155" s="50">
        <f t="shared" si="19"/>
        <v>1400</v>
      </c>
      <c r="L155" s="65">
        <v>9804</v>
      </c>
      <c r="M155" s="48"/>
    </row>
    <row r="156" s="37" customFormat="1" ht="20.25" spans="1:14">
      <c r="A156" s="44">
        <v>45965</v>
      </c>
      <c r="B156" s="45">
        <v>7</v>
      </c>
      <c r="C156" s="66" t="s">
        <v>95</v>
      </c>
      <c r="D156" s="66"/>
      <c r="E156" s="66"/>
      <c r="F156" s="63" t="s">
        <v>24</v>
      </c>
      <c r="G156" s="64">
        <v>1</v>
      </c>
      <c r="H156" s="48">
        <v>25</v>
      </c>
      <c r="I156" s="48">
        <f t="shared" ref="I156:I168" si="21">G156*H156</f>
        <v>25</v>
      </c>
      <c r="J156" s="49">
        <v>19</v>
      </c>
      <c r="K156" s="50">
        <f t="shared" ref="K156:K174" si="22">I156*J156</f>
        <v>475</v>
      </c>
      <c r="L156" s="3" t="s">
        <v>252</v>
      </c>
      <c r="M156" s="48"/>
    </row>
    <row r="157" s="37" customFormat="1" ht="20.25" spans="1:14">
      <c r="A157" s="44">
        <v>45965</v>
      </c>
      <c r="B157" s="45">
        <v>7</v>
      </c>
      <c r="C157" s="66"/>
      <c r="D157" s="66"/>
      <c r="E157" s="66"/>
      <c r="F157" s="63" t="s">
        <v>76</v>
      </c>
      <c r="G157" s="64">
        <v>1</v>
      </c>
      <c r="H157" s="48">
        <v>25</v>
      </c>
      <c r="I157" s="48">
        <f t="shared" si="21"/>
        <v>25</v>
      </c>
      <c r="J157" s="49">
        <v>19</v>
      </c>
      <c r="K157" s="50">
        <f t="shared" si="22"/>
        <v>475</v>
      </c>
      <c r="L157" s="3" t="s">
        <v>230</v>
      </c>
      <c r="M157" s="48"/>
      <c r="N157" s="37" t="s">
        <v>78</v>
      </c>
    </row>
    <row r="158" s="37" customFormat="1" ht="20.25" spans="1:14">
      <c r="A158" s="44">
        <v>45965</v>
      </c>
      <c r="B158" s="45">
        <v>7</v>
      </c>
      <c r="C158" s="48" t="s">
        <v>15</v>
      </c>
      <c r="D158" s="48"/>
      <c r="E158" s="48"/>
      <c r="F158" s="63" t="s">
        <v>16</v>
      </c>
      <c r="G158" s="64">
        <v>2</v>
      </c>
      <c r="H158" s="48">
        <v>10</v>
      </c>
      <c r="I158" s="48">
        <f t="shared" si="21"/>
        <v>20</v>
      </c>
      <c r="J158" s="49">
        <v>19</v>
      </c>
      <c r="K158" s="50">
        <f t="shared" si="22"/>
        <v>380</v>
      </c>
      <c r="L158" s="65"/>
      <c r="M158" s="65"/>
    </row>
    <row r="159" s="37" customFormat="1" ht="20.25" spans="1:14">
      <c r="A159" s="44">
        <v>45965</v>
      </c>
      <c r="B159" s="45">
        <v>7</v>
      </c>
      <c r="C159" s="66" t="s">
        <v>145</v>
      </c>
      <c r="D159" s="66"/>
      <c r="E159" s="66"/>
      <c r="F159" s="63" t="s">
        <v>146</v>
      </c>
      <c r="G159" s="64">
        <v>3</v>
      </c>
      <c r="H159" s="48">
        <v>25</v>
      </c>
      <c r="I159" s="48">
        <f t="shared" si="21"/>
        <v>75</v>
      </c>
      <c r="J159" s="49">
        <v>14</v>
      </c>
      <c r="K159" s="50">
        <f t="shared" si="22"/>
        <v>1050</v>
      </c>
      <c r="L159" s="65" t="s">
        <v>147</v>
      </c>
      <c r="M159" s="48"/>
    </row>
    <row r="160" s="37" customFormat="1" ht="20.25" spans="1:14">
      <c r="A160" s="44">
        <v>45965</v>
      </c>
      <c r="B160" s="45">
        <v>7</v>
      </c>
      <c r="C160" s="66" t="s">
        <v>29</v>
      </c>
      <c r="D160" s="66"/>
      <c r="E160" s="66"/>
      <c r="F160" s="63" t="s">
        <v>30</v>
      </c>
      <c r="G160" s="64">
        <v>3</v>
      </c>
      <c r="H160" s="48">
        <v>20</v>
      </c>
      <c r="I160" s="48">
        <f t="shared" si="21"/>
        <v>60</v>
      </c>
      <c r="J160" s="49">
        <v>16.5</v>
      </c>
      <c r="K160" s="50">
        <f t="shared" si="22"/>
        <v>990</v>
      </c>
      <c r="L160" s="3" t="s">
        <v>268</v>
      </c>
      <c r="M160" s="48">
        <f>SUM(K155:K160)</f>
        <v>4770</v>
      </c>
    </row>
    <row r="161" s="39" customFormat="1" ht="20.25" spans="1:14">
      <c r="A161" s="54">
        <v>45975</v>
      </c>
      <c r="B161" s="55">
        <v>36</v>
      </c>
      <c r="C161" s="101" t="s">
        <v>240</v>
      </c>
      <c r="D161" s="59"/>
      <c r="E161" s="59"/>
      <c r="F161" s="57" t="s">
        <v>241</v>
      </c>
      <c r="G161" s="58">
        <v>1</v>
      </c>
      <c r="H161" s="59">
        <v>13</v>
      </c>
      <c r="I161" s="59">
        <f t="shared" si="21"/>
        <v>13</v>
      </c>
      <c r="J161" s="60">
        <v>19</v>
      </c>
      <c r="K161" s="61">
        <f t="shared" si="22"/>
        <v>247</v>
      </c>
      <c r="L161" s="67"/>
      <c r="M161" s="67"/>
    </row>
    <row r="162" s="39" customFormat="1" ht="20.25" spans="1:14">
      <c r="A162" s="54">
        <v>45975</v>
      </c>
      <c r="B162" s="55">
        <v>36</v>
      </c>
      <c r="C162" s="102" t="s">
        <v>253</v>
      </c>
      <c r="D162" s="46"/>
      <c r="E162" s="46"/>
      <c r="F162" s="57" t="s">
        <v>72</v>
      </c>
      <c r="G162" s="58">
        <v>1</v>
      </c>
      <c r="H162" s="59">
        <v>7</v>
      </c>
      <c r="I162" s="59">
        <f t="shared" si="21"/>
        <v>7</v>
      </c>
      <c r="J162" s="60">
        <v>19</v>
      </c>
      <c r="K162" s="61">
        <f t="shared" si="22"/>
        <v>133</v>
      </c>
      <c r="L162" s="62"/>
      <c r="M162" s="59"/>
    </row>
    <row r="163" s="39" customFormat="1" ht="20.25" spans="1:14">
      <c r="A163" s="54">
        <v>45975</v>
      </c>
      <c r="B163" s="55">
        <v>36</v>
      </c>
      <c r="C163" s="59" t="s">
        <v>15</v>
      </c>
      <c r="D163" s="59"/>
      <c r="E163" s="59"/>
      <c r="F163" s="57" t="s">
        <v>16</v>
      </c>
      <c r="G163" s="58">
        <v>8</v>
      </c>
      <c r="H163" s="59">
        <v>10</v>
      </c>
      <c r="I163" s="59">
        <f t="shared" si="21"/>
        <v>80</v>
      </c>
      <c r="J163" s="60">
        <v>19</v>
      </c>
      <c r="K163" s="61">
        <f t="shared" si="22"/>
        <v>1520</v>
      </c>
      <c r="L163" s="67"/>
      <c r="M163" s="67"/>
    </row>
    <row r="164" s="39" customFormat="1" ht="21" customHeight="1" spans="1:14">
      <c r="A164" s="54">
        <v>45975</v>
      </c>
      <c r="B164" s="55">
        <v>36</v>
      </c>
      <c r="C164" s="46" t="s">
        <v>59</v>
      </c>
      <c r="D164" s="46"/>
      <c r="E164" s="46"/>
      <c r="F164" s="57" t="s">
        <v>60</v>
      </c>
      <c r="G164" s="58">
        <v>2</v>
      </c>
      <c r="H164" s="59">
        <v>180</v>
      </c>
      <c r="I164" s="59">
        <f t="shared" si="21"/>
        <v>360</v>
      </c>
      <c r="J164" s="60">
        <v>6</v>
      </c>
      <c r="K164" s="61">
        <f t="shared" si="22"/>
        <v>2160</v>
      </c>
      <c r="L164" s="67" t="s">
        <v>269</v>
      </c>
      <c r="M164" s="59"/>
      <c r="N164" s="99" t="s">
        <v>270</v>
      </c>
    </row>
    <row r="165" s="39" customFormat="1" ht="20.25" spans="1:14">
      <c r="A165" s="54">
        <v>45975</v>
      </c>
      <c r="B165" s="55">
        <v>36</v>
      </c>
      <c r="C165" s="59" t="s">
        <v>65</v>
      </c>
      <c r="D165" s="59"/>
      <c r="E165" s="59"/>
      <c r="F165" s="57" t="s">
        <v>66</v>
      </c>
      <c r="G165" s="58">
        <v>1</v>
      </c>
      <c r="H165" s="59">
        <v>180</v>
      </c>
      <c r="I165" s="59">
        <f t="shared" si="21"/>
        <v>180</v>
      </c>
      <c r="J165" s="60">
        <v>10</v>
      </c>
      <c r="K165" s="61">
        <f t="shared" si="22"/>
        <v>1800</v>
      </c>
      <c r="L165" s="76" t="s">
        <v>231</v>
      </c>
      <c r="M165" s="59">
        <f>SUM(K161:K165)</f>
        <v>5860</v>
      </c>
      <c r="N165" s="99" t="s">
        <v>173</v>
      </c>
    </row>
    <row r="166" s="43" customFormat="1" ht="20.25" spans="1:14">
      <c r="A166" s="78">
        <v>45990</v>
      </c>
      <c r="B166" s="79">
        <v>88</v>
      </c>
      <c r="C166" s="80"/>
      <c r="D166" s="80"/>
      <c r="E166" s="80"/>
      <c r="F166" s="47" t="s">
        <v>238</v>
      </c>
      <c r="G166" s="81">
        <v>1</v>
      </c>
      <c r="H166" s="82">
        <v>0.7</v>
      </c>
      <c r="I166" s="82">
        <f t="shared" si="21"/>
        <v>0.7</v>
      </c>
      <c r="J166" s="74">
        <v>45</v>
      </c>
      <c r="K166" s="83"/>
      <c r="L166" s="93" t="s">
        <v>273</v>
      </c>
      <c r="M166" s="103"/>
    </row>
    <row r="167" s="43" customFormat="1" ht="20.25" spans="1:14">
      <c r="A167" s="78">
        <v>45990</v>
      </c>
      <c r="B167" s="79">
        <v>88</v>
      </c>
      <c r="C167" s="80"/>
      <c r="D167" s="80"/>
      <c r="E167" s="80"/>
      <c r="F167" s="47" t="s">
        <v>207</v>
      </c>
      <c r="G167" s="81">
        <v>1</v>
      </c>
      <c r="H167" s="82">
        <v>11</v>
      </c>
      <c r="I167" s="82">
        <f t="shared" si="21"/>
        <v>11</v>
      </c>
      <c r="J167" s="74">
        <v>19</v>
      </c>
      <c r="K167" s="83"/>
      <c r="L167" s="84" t="s">
        <v>274</v>
      </c>
      <c r="M167" s="68"/>
    </row>
    <row r="168" s="39" customFormat="1" ht="20.25" spans="1:14">
      <c r="A168" s="54">
        <v>46010</v>
      </c>
      <c r="B168" s="55">
        <v>45</v>
      </c>
      <c r="C168" s="101" t="s">
        <v>240</v>
      </c>
      <c r="D168" s="59"/>
      <c r="E168" s="59"/>
      <c r="F168" s="57" t="s">
        <v>241</v>
      </c>
      <c r="G168" s="58">
        <v>1</v>
      </c>
      <c r="H168" s="59">
        <v>20</v>
      </c>
      <c r="I168" s="59">
        <f t="shared" si="21"/>
        <v>20</v>
      </c>
      <c r="J168" s="60">
        <v>19</v>
      </c>
      <c r="K168" s="61">
        <f t="shared" ref="K168:K180" si="23">I168*J168</f>
        <v>380</v>
      </c>
      <c r="L168" s="67"/>
      <c r="M168" s="67"/>
    </row>
    <row r="169" s="39" customFormat="1" ht="20.25" spans="1:14">
      <c r="A169" s="54">
        <v>46010</v>
      </c>
      <c r="B169" s="55">
        <v>45</v>
      </c>
      <c r="C169" s="59" t="s">
        <v>80</v>
      </c>
      <c r="D169" s="59"/>
      <c r="E169" s="59"/>
      <c r="F169" s="57" t="s">
        <v>81</v>
      </c>
      <c r="G169" s="58">
        <v>1</v>
      </c>
      <c r="H169" s="59">
        <v>20</v>
      </c>
      <c r="I169" s="59">
        <v>20</v>
      </c>
      <c r="J169" s="60">
        <v>18</v>
      </c>
      <c r="K169" s="61">
        <f t="shared" si="23"/>
        <v>360</v>
      </c>
      <c r="L169" s="57" t="s">
        <v>82</v>
      </c>
      <c r="M169" s="57"/>
    </row>
    <row r="170" s="39" customFormat="1" ht="20.25" spans="1:14">
      <c r="A170" s="54">
        <v>46010</v>
      </c>
      <c r="B170" s="55">
        <v>45</v>
      </c>
      <c r="C170" s="46" t="s">
        <v>153</v>
      </c>
      <c r="D170" s="46"/>
      <c r="E170" s="46"/>
      <c r="F170" s="57" t="s">
        <v>26</v>
      </c>
      <c r="G170" s="58">
        <v>1</v>
      </c>
      <c r="H170" s="59">
        <v>25</v>
      </c>
      <c r="I170" s="59">
        <f t="shared" ref="I170:I195" si="24">G170*H170</f>
        <v>25</v>
      </c>
      <c r="J170" s="60">
        <v>19</v>
      </c>
      <c r="K170" s="61">
        <f t="shared" si="23"/>
        <v>475</v>
      </c>
      <c r="L170" s="67" t="s">
        <v>20</v>
      </c>
      <c r="M170" s="67"/>
    </row>
    <row r="171" s="39" customFormat="1" ht="20.25" spans="1:14">
      <c r="A171" s="54">
        <v>46010</v>
      </c>
      <c r="B171" s="55">
        <v>45</v>
      </c>
      <c r="C171" s="46" t="s">
        <v>152</v>
      </c>
      <c r="D171" s="46"/>
      <c r="E171" s="46"/>
      <c r="F171" s="57" t="s">
        <v>131</v>
      </c>
      <c r="G171" s="58">
        <v>1</v>
      </c>
      <c r="H171" s="59">
        <v>26</v>
      </c>
      <c r="I171" s="59">
        <f t="shared" si="24"/>
        <v>26</v>
      </c>
      <c r="J171" s="60">
        <v>19</v>
      </c>
      <c r="K171" s="61">
        <f t="shared" si="23"/>
        <v>494</v>
      </c>
      <c r="L171" s="67"/>
      <c r="M171" s="67"/>
    </row>
    <row r="172" s="39" customFormat="1" ht="20.25" spans="1:14">
      <c r="A172" s="54">
        <v>46010</v>
      </c>
      <c r="B172" s="55">
        <v>45</v>
      </c>
      <c r="C172" s="59" t="s">
        <v>15</v>
      </c>
      <c r="D172" s="59"/>
      <c r="E172" s="59"/>
      <c r="F172" s="57" t="s">
        <v>16</v>
      </c>
      <c r="G172" s="58">
        <v>5</v>
      </c>
      <c r="H172" s="59">
        <v>10</v>
      </c>
      <c r="I172" s="59">
        <f t="shared" si="24"/>
        <v>50</v>
      </c>
      <c r="J172" s="60">
        <v>19</v>
      </c>
      <c r="K172" s="61">
        <f t="shared" si="23"/>
        <v>950</v>
      </c>
      <c r="L172" s="67"/>
      <c r="M172" s="67"/>
    </row>
    <row r="173" s="39" customFormat="1" ht="20.25" spans="1:14">
      <c r="A173" s="54">
        <v>46010</v>
      </c>
      <c r="B173" s="55">
        <v>45</v>
      </c>
      <c r="C173" s="59" t="s">
        <v>235</v>
      </c>
      <c r="D173" s="59"/>
      <c r="E173" s="59"/>
      <c r="F173" s="57" t="s">
        <v>236</v>
      </c>
      <c r="G173" s="58">
        <v>1</v>
      </c>
      <c r="H173" s="59">
        <v>4</v>
      </c>
      <c r="I173" s="59">
        <f t="shared" si="24"/>
        <v>4</v>
      </c>
      <c r="J173" s="60">
        <v>24</v>
      </c>
      <c r="K173" s="61">
        <f t="shared" si="23"/>
        <v>96</v>
      </c>
      <c r="L173" s="67" t="s">
        <v>265</v>
      </c>
      <c r="M173" s="67"/>
    </row>
    <row r="174" s="39" customFormat="1" ht="20.25" spans="1:14">
      <c r="A174" s="54">
        <v>46010</v>
      </c>
      <c r="B174" s="55">
        <v>45</v>
      </c>
      <c r="C174" s="59" t="s">
        <v>65</v>
      </c>
      <c r="D174" s="59"/>
      <c r="E174" s="59"/>
      <c r="F174" s="57" t="s">
        <v>143</v>
      </c>
      <c r="G174" s="58">
        <v>1</v>
      </c>
      <c r="H174" s="59">
        <v>180</v>
      </c>
      <c r="I174" s="59">
        <f t="shared" si="24"/>
        <v>180</v>
      </c>
      <c r="J174" s="60">
        <v>10</v>
      </c>
      <c r="K174" s="61">
        <f t="shared" si="23"/>
        <v>1800</v>
      </c>
      <c r="L174" s="76" t="s">
        <v>231</v>
      </c>
      <c r="M174" s="59">
        <f>SUM(K168:K174)</f>
        <v>4555</v>
      </c>
      <c r="N174" s="99" t="s">
        <v>173</v>
      </c>
    </row>
    <row r="175" s="42" customFormat="1" ht="20.25" spans="1:14">
      <c r="A175" s="78">
        <v>46010</v>
      </c>
      <c r="B175" s="79">
        <v>48</v>
      </c>
      <c r="C175" s="104" t="s">
        <v>275</v>
      </c>
      <c r="D175" s="82"/>
      <c r="E175" s="82"/>
      <c r="F175" s="47" t="s">
        <v>276</v>
      </c>
      <c r="G175" s="81">
        <v>1</v>
      </c>
      <c r="H175" s="82">
        <v>5</v>
      </c>
      <c r="I175" s="82">
        <f t="shared" si="24"/>
        <v>5</v>
      </c>
      <c r="J175" s="74">
        <v>19</v>
      </c>
      <c r="K175" s="83">
        <f t="shared" si="23"/>
        <v>95</v>
      </c>
      <c r="L175" s="93"/>
      <c r="M175" s="93"/>
    </row>
    <row r="176" s="42" customFormat="1" ht="20.25" spans="1:14">
      <c r="A176" s="78">
        <v>46010</v>
      </c>
      <c r="B176" s="79">
        <v>48</v>
      </c>
      <c r="C176" s="105"/>
      <c r="D176" s="80"/>
      <c r="E176" s="80"/>
      <c r="F176" s="47" t="s">
        <v>58</v>
      </c>
      <c r="G176" s="81">
        <v>1</v>
      </c>
      <c r="H176" s="82">
        <v>5</v>
      </c>
      <c r="I176" s="82">
        <f t="shared" si="24"/>
        <v>5</v>
      </c>
      <c r="J176" s="74">
        <v>19</v>
      </c>
      <c r="K176" s="83">
        <f t="shared" si="23"/>
        <v>95</v>
      </c>
      <c r="L176" s="84" t="s">
        <v>277</v>
      </c>
      <c r="M176" s="82"/>
    </row>
    <row r="177" s="37" customFormat="1" ht="20.25" spans="1:14">
      <c r="A177" s="44">
        <v>46014</v>
      </c>
      <c r="B177" s="45">
        <v>54</v>
      </c>
      <c r="C177" s="66"/>
      <c r="D177" s="66"/>
      <c r="E177" s="66"/>
      <c r="F177" s="63" t="s">
        <v>278</v>
      </c>
      <c r="G177" s="64">
        <v>1</v>
      </c>
      <c r="H177" s="48">
        <v>25</v>
      </c>
      <c r="I177" s="48">
        <f t="shared" si="24"/>
        <v>25</v>
      </c>
      <c r="J177" s="49">
        <v>14.5</v>
      </c>
      <c r="K177" s="50">
        <f t="shared" ref="K177:K195" si="25">I177*J177</f>
        <v>362.5</v>
      </c>
      <c r="L177" s="65"/>
      <c r="M177" s="48"/>
    </row>
    <row r="178" s="37" customFormat="1" ht="20.25" spans="1:14">
      <c r="A178" s="44">
        <v>46014</v>
      </c>
      <c r="B178" s="45">
        <v>54</v>
      </c>
      <c r="C178" s="66" t="s">
        <v>29</v>
      </c>
      <c r="D178" s="66"/>
      <c r="E178" s="66"/>
      <c r="F178" s="63" t="s">
        <v>30</v>
      </c>
      <c r="G178" s="64">
        <v>1</v>
      </c>
      <c r="H178" s="48">
        <v>20</v>
      </c>
      <c r="I178" s="48">
        <f t="shared" si="24"/>
        <v>20</v>
      </c>
      <c r="J178" s="49">
        <v>16.5</v>
      </c>
      <c r="K178" s="50">
        <f t="shared" si="25"/>
        <v>330</v>
      </c>
      <c r="L178" s="3" t="s">
        <v>268</v>
      </c>
      <c r="M178" s="48"/>
    </row>
    <row r="179" s="37" customFormat="1" ht="20.25" spans="1:14">
      <c r="A179" s="44">
        <v>46014</v>
      </c>
      <c r="B179" s="45">
        <v>54</v>
      </c>
      <c r="C179" s="66" t="s">
        <v>279</v>
      </c>
      <c r="D179" s="66"/>
      <c r="E179" s="66"/>
      <c r="F179" s="63" t="s">
        <v>280</v>
      </c>
      <c r="G179" s="64">
        <v>1</v>
      </c>
      <c r="H179" s="48">
        <v>5</v>
      </c>
      <c r="I179" s="48">
        <f t="shared" si="24"/>
        <v>5</v>
      </c>
      <c r="J179" s="49">
        <v>19</v>
      </c>
      <c r="K179" s="50">
        <f t="shared" si="25"/>
        <v>95</v>
      </c>
      <c r="L179" s="65"/>
      <c r="M179" s="48"/>
    </row>
    <row r="180" s="37" customFormat="1" ht="20.25" spans="1:14">
      <c r="A180" s="44">
        <v>46014</v>
      </c>
      <c r="B180" s="45">
        <v>54</v>
      </c>
      <c r="C180" s="75" t="s">
        <v>281</v>
      </c>
      <c r="D180" s="75"/>
      <c r="E180" s="75"/>
      <c r="F180" s="69" t="s">
        <v>282</v>
      </c>
      <c r="G180" s="64">
        <v>1</v>
      </c>
      <c r="H180" s="48">
        <v>3</v>
      </c>
      <c r="I180" s="48">
        <f t="shared" si="24"/>
        <v>3</v>
      </c>
      <c r="J180" s="49">
        <v>45</v>
      </c>
      <c r="K180" s="50">
        <f t="shared" si="25"/>
        <v>135</v>
      </c>
      <c r="L180" s="65">
        <f>SUM(K177:K180)</f>
        <v>922.5</v>
      </c>
      <c r="M180" s="48" t="s">
        <v>283</v>
      </c>
    </row>
    <row r="181" s="39" customFormat="1" ht="21" customHeight="1" spans="1:14">
      <c r="A181" s="54">
        <v>46014</v>
      </c>
      <c r="B181" s="55" t="s">
        <v>284</v>
      </c>
      <c r="C181" s="59" t="s">
        <v>21</v>
      </c>
      <c r="D181" s="59"/>
      <c r="E181" s="59"/>
      <c r="F181" s="57" t="s">
        <v>22</v>
      </c>
      <c r="G181" s="58">
        <v>10</v>
      </c>
      <c r="H181" s="59">
        <v>28</v>
      </c>
      <c r="I181" s="59">
        <f t="shared" si="24"/>
        <v>280</v>
      </c>
      <c r="J181" s="60">
        <v>10</v>
      </c>
      <c r="K181" s="61">
        <f t="shared" si="25"/>
        <v>2800</v>
      </c>
      <c r="L181" s="67">
        <v>9804</v>
      </c>
      <c r="M181" s="59"/>
    </row>
    <row r="182" s="39" customFormat="1" ht="20.25" spans="1:14">
      <c r="A182" s="54">
        <v>46014</v>
      </c>
      <c r="B182" s="55" t="s">
        <v>284</v>
      </c>
      <c r="C182" s="46" t="s">
        <v>285</v>
      </c>
      <c r="D182" s="46"/>
      <c r="E182" s="46"/>
      <c r="F182" s="57" t="s">
        <v>286</v>
      </c>
      <c r="G182" s="58">
        <v>1</v>
      </c>
      <c r="H182" s="59">
        <v>25</v>
      </c>
      <c r="I182" s="59">
        <f t="shared" si="24"/>
        <v>25</v>
      </c>
      <c r="J182" s="60">
        <v>19</v>
      </c>
      <c r="K182" s="61">
        <f t="shared" si="25"/>
        <v>475</v>
      </c>
      <c r="L182" s="62"/>
      <c r="M182" s="59"/>
    </row>
    <row r="183" s="39" customFormat="1" ht="20.25" spans="1:14">
      <c r="A183" s="54">
        <v>46014</v>
      </c>
      <c r="B183" s="55" t="s">
        <v>284</v>
      </c>
      <c r="C183" s="46" t="s">
        <v>285</v>
      </c>
      <c r="D183" s="46"/>
      <c r="E183" s="46"/>
      <c r="F183" s="57" t="s">
        <v>286</v>
      </c>
      <c r="G183" s="58">
        <v>1</v>
      </c>
      <c r="H183" s="59">
        <v>24</v>
      </c>
      <c r="I183" s="59">
        <f t="shared" si="24"/>
        <v>24</v>
      </c>
      <c r="J183" s="60">
        <v>19</v>
      </c>
      <c r="K183" s="61">
        <f t="shared" si="25"/>
        <v>456</v>
      </c>
      <c r="L183" s="62"/>
      <c r="M183" s="59"/>
    </row>
    <row r="184" s="39" customFormat="1" ht="20.25" spans="1:14">
      <c r="A184" s="54">
        <v>46014</v>
      </c>
      <c r="B184" s="55" t="s">
        <v>284</v>
      </c>
      <c r="C184" s="59" t="s">
        <v>15</v>
      </c>
      <c r="D184" s="59"/>
      <c r="E184" s="59"/>
      <c r="F184" s="57" t="s">
        <v>16</v>
      </c>
      <c r="G184" s="58">
        <v>3</v>
      </c>
      <c r="H184" s="59">
        <v>10</v>
      </c>
      <c r="I184" s="59">
        <f t="shared" si="24"/>
        <v>30</v>
      </c>
      <c r="J184" s="60">
        <v>19</v>
      </c>
      <c r="K184" s="61">
        <f t="shared" si="25"/>
        <v>570</v>
      </c>
      <c r="L184" s="67"/>
      <c r="M184" s="67"/>
    </row>
    <row r="185" s="39" customFormat="1" ht="20.25" spans="1:14">
      <c r="A185" s="54">
        <v>46014</v>
      </c>
      <c r="B185" s="55" t="s">
        <v>284</v>
      </c>
      <c r="C185" s="46" t="s">
        <v>145</v>
      </c>
      <c r="D185" s="46"/>
      <c r="E185" s="46"/>
      <c r="F185" s="57" t="s">
        <v>146</v>
      </c>
      <c r="G185" s="58">
        <v>2</v>
      </c>
      <c r="H185" s="59">
        <v>25</v>
      </c>
      <c r="I185" s="59">
        <f t="shared" si="24"/>
        <v>50</v>
      </c>
      <c r="J185" s="60">
        <v>14</v>
      </c>
      <c r="K185" s="61">
        <f t="shared" si="25"/>
        <v>700</v>
      </c>
      <c r="L185" s="67" t="s">
        <v>147</v>
      </c>
      <c r="M185" s="59"/>
    </row>
    <row r="186" s="39" customFormat="1" ht="20.25" spans="1:14">
      <c r="A186" s="54">
        <v>46014</v>
      </c>
      <c r="B186" s="55" t="s">
        <v>284</v>
      </c>
      <c r="C186" s="46" t="s">
        <v>29</v>
      </c>
      <c r="D186" s="46"/>
      <c r="E186" s="46"/>
      <c r="F186" s="57" t="s">
        <v>30</v>
      </c>
      <c r="G186" s="58">
        <v>3</v>
      </c>
      <c r="H186" s="59">
        <v>20</v>
      </c>
      <c r="I186" s="59">
        <f t="shared" si="24"/>
        <v>60</v>
      </c>
      <c r="J186" s="60">
        <v>16.5</v>
      </c>
      <c r="K186" s="61">
        <f t="shared" si="25"/>
        <v>990</v>
      </c>
      <c r="L186" s="62" t="s">
        <v>268</v>
      </c>
      <c r="M186" s="59">
        <f>SUM(K181:K186)</f>
        <v>5991</v>
      </c>
    </row>
    <row r="187" s="42" customFormat="1" ht="20.25" spans="1:14">
      <c r="A187" s="78">
        <v>46016</v>
      </c>
      <c r="B187" s="79">
        <v>64</v>
      </c>
      <c r="C187" s="82"/>
      <c r="D187" s="82"/>
      <c r="E187" s="82"/>
      <c r="F187" s="47" t="s">
        <v>287</v>
      </c>
      <c r="G187" s="81">
        <v>1</v>
      </c>
      <c r="H187" s="82">
        <v>3.5</v>
      </c>
      <c r="I187" s="82">
        <f t="shared" si="24"/>
        <v>3.5</v>
      </c>
      <c r="J187" s="74">
        <v>10</v>
      </c>
      <c r="K187" s="83">
        <f t="shared" si="25"/>
        <v>35</v>
      </c>
      <c r="L187" s="73" t="s">
        <v>288</v>
      </c>
      <c r="M187" s="82"/>
      <c r="N187" s="106"/>
    </row>
    <row r="188" s="42" customFormat="1" ht="20.25" spans="1:14">
      <c r="A188" s="78">
        <v>46016</v>
      </c>
      <c r="B188" s="79">
        <v>64</v>
      </c>
      <c r="C188" s="82"/>
      <c r="D188" s="82"/>
      <c r="E188" s="82"/>
      <c r="F188" s="47" t="s">
        <v>289</v>
      </c>
      <c r="G188" s="81">
        <v>1</v>
      </c>
      <c r="H188" s="82">
        <v>4</v>
      </c>
      <c r="I188" s="82">
        <f t="shared" si="24"/>
        <v>4</v>
      </c>
      <c r="J188" s="74">
        <v>19</v>
      </c>
      <c r="K188" s="83">
        <f t="shared" si="25"/>
        <v>76</v>
      </c>
      <c r="L188" s="73" t="s">
        <v>290</v>
      </c>
      <c r="M188" s="82"/>
      <c r="N188" s="106"/>
    </row>
    <row r="189" s="37" customFormat="1" ht="20.25" spans="1:14">
      <c r="A189" s="44">
        <v>46021</v>
      </c>
      <c r="B189" s="45">
        <v>82</v>
      </c>
      <c r="C189" s="66">
        <v>8062</v>
      </c>
      <c r="D189" s="66"/>
      <c r="E189" s="66"/>
      <c r="F189" s="63" t="s">
        <v>228</v>
      </c>
      <c r="G189" s="64">
        <v>1</v>
      </c>
      <c r="H189" s="48">
        <v>20</v>
      </c>
      <c r="I189" s="48">
        <f t="shared" si="24"/>
        <v>20</v>
      </c>
      <c r="J189" s="49">
        <v>19</v>
      </c>
      <c r="K189" s="50">
        <f t="shared" si="25"/>
        <v>380</v>
      </c>
      <c r="L189" s="3" t="s">
        <v>229</v>
      </c>
      <c r="M189" s="48"/>
    </row>
    <row r="190" s="37" customFormat="1" ht="20.25" spans="1:14">
      <c r="A190" s="44">
        <v>46021</v>
      </c>
      <c r="B190" s="45">
        <v>82</v>
      </c>
      <c r="C190" s="48" t="s">
        <v>15</v>
      </c>
      <c r="D190" s="48"/>
      <c r="E190" s="48"/>
      <c r="F190" s="63" t="s">
        <v>16</v>
      </c>
      <c r="G190" s="64">
        <v>1</v>
      </c>
      <c r="H190" s="48">
        <v>10</v>
      </c>
      <c r="I190" s="48">
        <f t="shared" si="24"/>
        <v>10</v>
      </c>
      <c r="J190" s="49">
        <v>19</v>
      </c>
      <c r="K190" s="50">
        <f t="shared" si="25"/>
        <v>190</v>
      </c>
      <c r="L190" s="65"/>
      <c r="M190" s="65"/>
    </row>
    <row r="191" s="39" customFormat="1" ht="20.25" spans="1:14">
      <c r="A191" s="54">
        <v>46030</v>
      </c>
      <c r="B191" s="55" t="s">
        <v>291</v>
      </c>
      <c r="C191" s="59" t="s">
        <v>21</v>
      </c>
      <c r="D191" s="59"/>
      <c r="E191" s="59"/>
      <c r="F191" s="57" t="s">
        <v>22</v>
      </c>
      <c r="G191" s="58">
        <v>10</v>
      </c>
      <c r="H191" s="59">
        <v>28</v>
      </c>
      <c r="I191" s="59">
        <f t="shared" si="24"/>
        <v>280</v>
      </c>
      <c r="J191" s="60">
        <v>10</v>
      </c>
      <c r="K191" s="61">
        <f t="shared" si="25"/>
        <v>2800</v>
      </c>
      <c r="L191" s="67"/>
      <c r="M191" s="67"/>
    </row>
    <row r="192" s="39" customFormat="1" ht="20.25" spans="1:14">
      <c r="A192" s="54">
        <v>46030</v>
      </c>
      <c r="B192" s="55" t="s">
        <v>291</v>
      </c>
      <c r="C192" s="59" t="s">
        <v>95</v>
      </c>
      <c r="D192" s="59"/>
      <c r="E192" s="59"/>
      <c r="F192" s="57" t="s">
        <v>24</v>
      </c>
      <c r="G192" s="58">
        <v>1</v>
      </c>
      <c r="H192" s="59">
        <v>25</v>
      </c>
      <c r="I192" s="59">
        <f t="shared" si="24"/>
        <v>25</v>
      </c>
      <c r="J192" s="60">
        <v>19</v>
      </c>
      <c r="K192" s="61">
        <f t="shared" si="25"/>
        <v>475</v>
      </c>
      <c r="L192" s="67"/>
      <c r="M192" s="67"/>
    </row>
    <row r="193" s="39" customFormat="1" ht="20.25" spans="1:14">
      <c r="A193" s="54">
        <v>46030</v>
      </c>
      <c r="B193" s="55" t="s">
        <v>291</v>
      </c>
      <c r="C193" s="59" t="s">
        <v>247</v>
      </c>
      <c r="D193" s="59"/>
      <c r="E193" s="59"/>
      <c r="F193" s="57" t="s">
        <v>248</v>
      </c>
      <c r="G193" s="58">
        <v>1</v>
      </c>
      <c r="H193" s="59">
        <v>10</v>
      </c>
      <c r="I193" s="59">
        <f t="shared" si="24"/>
        <v>10</v>
      </c>
      <c r="J193" s="60">
        <v>24</v>
      </c>
      <c r="K193" s="61">
        <f t="shared" si="25"/>
        <v>240</v>
      </c>
      <c r="L193" s="67"/>
      <c r="M193" s="67"/>
    </row>
    <row r="194" s="39" customFormat="1" ht="20.25" spans="1:14">
      <c r="A194" s="54">
        <v>46030</v>
      </c>
      <c r="B194" s="55" t="s">
        <v>291</v>
      </c>
      <c r="C194" s="59"/>
      <c r="D194" s="59"/>
      <c r="E194" s="59"/>
      <c r="F194" s="57" t="s">
        <v>58</v>
      </c>
      <c r="G194" s="58">
        <v>1</v>
      </c>
      <c r="H194" s="59">
        <v>20</v>
      </c>
      <c r="I194" s="59">
        <f t="shared" si="24"/>
        <v>20</v>
      </c>
      <c r="J194" s="60">
        <v>19</v>
      </c>
      <c r="K194" s="61">
        <f t="shared" si="25"/>
        <v>380</v>
      </c>
      <c r="L194" s="67"/>
      <c r="M194" s="67"/>
    </row>
    <row r="195" s="39" customFormat="1" ht="20.25" spans="1:14">
      <c r="A195" s="54">
        <v>46030</v>
      </c>
      <c r="B195" s="55" t="s">
        <v>291</v>
      </c>
      <c r="C195" s="59" t="s">
        <v>15</v>
      </c>
      <c r="D195" s="59"/>
      <c r="E195" s="59"/>
      <c r="F195" s="57" t="s">
        <v>16</v>
      </c>
      <c r="G195" s="58">
        <v>3</v>
      </c>
      <c r="H195" s="59">
        <v>10</v>
      </c>
      <c r="I195" s="59">
        <f t="shared" si="24"/>
        <v>30</v>
      </c>
      <c r="J195" s="60">
        <v>19</v>
      </c>
      <c r="K195" s="61">
        <f t="shared" si="25"/>
        <v>570</v>
      </c>
      <c r="L195" s="67">
        <f>SUM(K191:K195)</f>
        <v>4465</v>
      </c>
      <c r="M195" s="67"/>
    </row>
    <row r="196" s="37" customFormat="1" ht="20.25" spans="1:14">
      <c r="A196" s="44">
        <v>46034</v>
      </c>
      <c r="B196" s="45">
        <v>30</v>
      </c>
      <c r="C196" s="107" t="s">
        <v>240</v>
      </c>
      <c r="D196" s="48"/>
      <c r="E196" s="48"/>
      <c r="F196" s="63" t="s">
        <v>241</v>
      </c>
      <c r="G196" s="64">
        <v>1</v>
      </c>
      <c r="H196" s="48">
        <v>20</v>
      </c>
      <c r="I196" s="48">
        <f t="shared" ref="I196:I198" si="26">G196*H196</f>
        <v>20</v>
      </c>
      <c r="J196" s="49">
        <v>19</v>
      </c>
      <c r="K196" s="50">
        <f t="shared" ref="K196:K198" si="27">I196*J196</f>
        <v>380</v>
      </c>
      <c r="L196" s="65"/>
      <c r="M196" s="65"/>
    </row>
    <row r="197" s="37" customFormat="1" ht="20.25" spans="1:14">
      <c r="A197" s="44">
        <v>46034</v>
      </c>
      <c r="B197" s="45">
        <v>30</v>
      </c>
      <c r="C197" s="48"/>
      <c r="D197" s="48"/>
      <c r="E197" s="48"/>
      <c r="F197" s="63" t="s">
        <v>292</v>
      </c>
      <c r="G197" s="64">
        <v>1</v>
      </c>
      <c r="H197" s="48">
        <v>6</v>
      </c>
      <c r="I197" s="48">
        <f t="shared" si="26"/>
        <v>6</v>
      </c>
      <c r="J197" s="49">
        <v>19</v>
      </c>
      <c r="K197" s="50">
        <f t="shared" si="27"/>
        <v>114</v>
      </c>
      <c r="L197" s="77"/>
      <c r="M197" s="48"/>
      <c r="N197" s="98"/>
    </row>
    <row r="198" s="37" customFormat="1" ht="20.25" spans="1:14">
      <c r="A198" s="44">
        <v>46034</v>
      </c>
      <c r="B198" s="45">
        <v>30</v>
      </c>
      <c r="C198" s="48" t="s">
        <v>15</v>
      </c>
      <c r="D198" s="48"/>
      <c r="E198" s="48"/>
      <c r="F198" s="63" t="s">
        <v>16</v>
      </c>
      <c r="G198" s="64">
        <v>1</v>
      </c>
      <c r="H198" s="48">
        <v>10</v>
      </c>
      <c r="I198" s="48">
        <f t="shared" si="26"/>
        <v>10</v>
      </c>
      <c r="J198" s="49">
        <v>19</v>
      </c>
      <c r="K198" s="50">
        <f t="shared" si="27"/>
        <v>190</v>
      </c>
      <c r="L198" s="65">
        <f>SUM(K196:K198)</f>
        <v>684</v>
      </c>
      <c r="M198" s="65"/>
    </row>
    <row r="206" ht="20.25" spans="1:14">
      <c r="C206" s="108">
        <v>46034</v>
      </c>
      <c r="D206" s="108"/>
      <c r="E206" s="108"/>
      <c r="F206" s="82" t="s">
        <v>293</v>
      </c>
      <c r="G206" s="82"/>
      <c r="H206" s="82"/>
      <c r="I206" s="47" t="s">
        <v>294</v>
      </c>
    </row>
  </sheetData>
  <autoFilter xmlns:etc="http://www.wps.cn/officeDocument/2017/etCustomData" ref="A2:N198" etc:filterBottomFollowUsedRange="0">
    <extLst/>
  </autoFilter>
  <mergeCells count="199">
    <mergeCell ref="C1:E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206:E206"/>
    <mergeCell ref="F206:H20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1"/>
  <sheetViews>
    <sheetView workbookViewId="0">
      <selection activeCell="O8" sqref="O8"/>
    </sheetView>
  </sheetViews>
  <sheetFormatPr defaultColWidth="9" defaultRowHeight="14.25"/>
  <cols>
    <col min="1" max="1" width="3.50833333333333" customWidth="1"/>
    <col min="2" max="2" width="2.25833333333333" customWidth="1"/>
    <col min="3" max="3" width="13.375" customWidth="1"/>
    <col min="4" max="4" width="26.375" customWidth="1"/>
    <col min="5" max="5" width="11.7583333333333" customWidth="1"/>
    <col min="6" max="6" width="12.0083333333333" customWidth="1"/>
    <col min="7" max="7" width="12.875" customWidth="1"/>
    <col min="8" max="8" width="11.625" customWidth="1"/>
    <col min="9" max="9" width="18.5083333333333" customWidth="1"/>
    <col min="10" max="10" width="13.125" customWidth="1"/>
  </cols>
  <sheetData>
    <row r="1" s="1" customFormat="1" ht="34" customHeight="1" spans="1:13">
      <c r="A1" s="4" t="s">
        <v>295</v>
      </c>
      <c r="B1" s="4"/>
      <c r="C1" s="4"/>
      <c r="D1" s="4"/>
      <c r="E1" s="4"/>
      <c r="F1" s="4"/>
      <c r="G1" s="4"/>
      <c r="H1" s="4"/>
      <c r="I1" s="4"/>
      <c r="J1" s="4"/>
    </row>
    <row r="2" s="2" customFormat="1" ht="34" customHeight="1" spans="1:13">
      <c r="A2" s="5" t="s">
        <v>296</v>
      </c>
      <c r="B2" s="5"/>
      <c r="C2" s="5"/>
      <c r="D2" s="5"/>
      <c r="E2" s="5"/>
      <c r="F2" s="5"/>
      <c r="G2" s="5"/>
      <c r="H2" s="5"/>
      <c r="I2" s="5"/>
      <c r="J2" s="5"/>
      <c r="M2" s="1"/>
    </row>
    <row r="3" s="3" customFormat="1" ht="26" customHeight="1" spans="1:13">
      <c r="A3" s="6" t="s">
        <v>297</v>
      </c>
      <c r="B3" s="6"/>
      <c r="C3" s="6"/>
      <c r="D3" s="7" t="s">
        <v>298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299</v>
      </c>
      <c r="M3" s="1"/>
    </row>
    <row r="4" s="3" customFormat="1" ht="24" customHeight="1" spans="1:13">
      <c r="A4" s="8" t="s">
        <v>240</v>
      </c>
      <c r="B4" s="9"/>
      <c r="C4" s="9"/>
      <c r="D4" s="10" t="s">
        <v>241</v>
      </c>
      <c r="E4" s="11">
        <v>1</v>
      </c>
      <c r="F4" s="9">
        <v>20</v>
      </c>
      <c r="G4" s="9">
        <f t="shared" ref="G4:G6" si="0">E4*F4</f>
        <v>20</v>
      </c>
      <c r="H4" s="12">
        <v>19</v>
      </c>
      <c r="I4" s="13">
        <f>G4*H4</f>
        <v>380</v>
      </c>
      <c r="J4" s="10"/>
      <c r="M4" s="1"/>
    </row>
    <row r="5" s="3" customFormat="1" ht="24" customHeight="1" spans="1:13">
      <c r="A5" s="9"/>
      <c r="B5" s="9"/>
      <c r="C5" s="9"/>
      <c r="D5" s="10" t="s">
        <v>300</v>
      </c>
      <c r="E5" s="11">
        <v>1</v>
      </c>
      <c r="F5" s="9">
        <v>6</v>
      </c>
      <c r="G5" s="9">
        <f t="shared" si="0"/>
        <v>6</v>
      </c>
      <c r="H5" s="12">
        <v>19</v>
      </c>
      <c r="I5" s="13">
        <f>G5*H5</f>
        <v>114</v>
      </c>
      <c r="J5" s="6"/>
      <c r="M5" s="1"/>
    </row>
    <row r="6" s="3" customFormat="1" ht="24" customHeight="1" spans="1:13">
      <c r="A6" s="9" t="s">
        <v>15</v>
      </c>
      <c r="B6" s="9"/>
      <c r="C6" s="9"/>
      <c r="D6" s="10" t="s">
        <v>16</v>
      </c>
      <c r="E6" s="11">
        <v>1</v>
      </c>
      <c r="F6" s="9">
        <v>10</v>
      </c>
      <c r="G6" s="9">
        <f t="shared" si="0"/>
        <v>10</v>
      </c>
      <c r="H6" s="12">
        <v>19</v>
      </c>
      <c r="I6" s="13">
        <f>G6*H6</f>
        <v>190</v>
      </c>
      <c r="J6" s="6"/>
    </row>
    <row r="7" s="3" customFormat="1" ht="24" customHeight="1" spans="1:13">
      <c r="A7" s="9"/>
      <c r="B7" s="9"/>
      <c r="C7" s="9"/>
      <c r="D7" s="14"/>
      <c r="E7" s="15"/>
      <c r="F7" s="16"/>
      <c r="G7" s="16"/>
      <c r="H7" s="17"/>
      <c r="I7" s="18"/>
      <c r="J7" s="6"/>
    </row>
    <row r="8" s="3" customFormat="1" ht="24" customHeight="1" spans="1:13">
      <c r="A8" s="19"/>
      <c r="B8" s="19"/>
      <c r="C8" s="19"/>
      <c r="D8" s="20"/>
      <c r="E8" s="21"/>
      <c r="F8" s="19"/>
      <c r="G8" s="19"/>
      <c r="H8" s="22"/>
      <c r="I8" s="23"/>
      <c r="J8" s="6"/>
    </row>
    <row r="9" s="3" customFormat="1" ht="24" customHeight="1" spans="1:13">
      <c r="A9" s="9"/>
      <c r="B9" s="9"/>
      <c r="C9" s="9"/>
      <c r="D9" s="10"/>
      <c r="E9" s="11"/>
      <c r="F9" s="9"/>
      <c r="G9" s="9"/>
      <c r="H9" s="12"/>
      <c r="I9" s="13"/>
      <c r="J9" s="6"/>
    </row>
    <row r="10" s="3" customFormat="1" ht="24" customHeight="1" spans="1:13">
      <c r="A10" s="9"/>
      <c r="B10" s="9"/>
      <c r="C10" s="9"/>
      <c r="D10" s="10"/>
      <c r="E10" s="11"/>
      <c r="F10" s="9"/>
      <c r="G10" s="9"/>
      <c r="H10" s="12"/>
      <c r="I10" s="13"/>
      <c r="J10" s="6"/>
    </row>
    <row r="11" s="3" customFormat="1" ht="24" customHeight="1" spans="1:13">
      <c r="A11" s="19"/>
      <c r="B11" s="19"/>
      <c r="C11" s="19"/>
      <c r="D11" s="20"/>
      <c r="E11" s="21"/>
      <c r="F11" s="19"/>
      <c r="G11" s="19"/>
      <c r="H11" s="22"/>
      <c r="I11" s="23"/>
      <c r="J11" s="6"/>
    </row>
    <row r="12" s="3" customFormat="1" ht="24" customHeight="1" spans="1:13">
      <c r="A12" s="19"/>
      <c r="B12" s="19"/>
      <c r="C12" s="19"/>
      <c r="D12" s="20"/>
      <c r="E12" s="21"/>
      <c r="F12" s="19"/>
      <c r="G12" s="19"/>
      <c r="H12" s="22"/>
      <c r="I12" s="23"/>
      <c r="J12" s="6"/>
    </row>
    <row r="13" s="3" customFormat="1" ht="24" customHeight="1" spans="1:13">
      <c r="A13" s="19"/>
      <c r="B13" s="19"/>
      <c r="C13" s="19"/>
      <c r="D13" s="20"/>
      <c r="E13" s="21"/>
      <c r="F13" s="19"/>
      <c r="G13" s="19"/>
      <c r="H13" s="22"/>
      <c r="I13" s="23"/>
      <c r="J13" s="6"/>
    </row>
    <row r="14" s="3" customFormat="1" ht="24" customHeight="1" spans="1:13">
      <c r="A14" s="19"/>
      <c r="B14" s="19"/>
      <c r="C14" s="19"/>
      <c r="D14" s="20"/>
      <c r="E14" s="21"/>
      <c r="F14" s="19"/>
      <c r="G14" s="19"/>
      <c r="H14" s="22"/>
      <c r="I14" s="23"/>
      <c r="J14" s="6"/>
    </row>
    <row r="15" s="3" customFormat="1" ht="24" customHeight="1" spans="1:13">
      <c r="A15" s="24" t="s">
        <v>301</v>
      </c>
      <c r="B15" s="24"/>
      <c r="C15" s="24"/>
      <c r="D15" s="25">
        <f>I15</f>
        <v>684</v>
      </c>
      <c r="E15" s="25"/>
      <c r="F15" s="25"/>
      <c r="G15" s="25"/>
      <c r="H15" s="25"/>
      <c r="I15" s="26">
        <f>SUM(I4:I14)</f>
        <v>684</v>
      </c>
      <c r="J15" s="6"/>
    </row>
    <row r="16" ht="20" customHeight="1" spans="1:13">
      <c r="A16" s="27" t="s">
        <v>302</v>
      </c>
      <c r="B16" s="28" t="s">
        <v>303</v>
      </c>
      <c r="C16" s="28"/>
      <c r="D16" s="28"/>
      <c r="E16" s="28"/>
      <c r="F16" s="28"/>
      <c r="G16" s="28"/>
      <c r="H16" s="28"/>
      <c r="I16" s="28"/>
      <c r="J16" s="29"/>
    </row>
    <row r="17" ht="20" customHeight="1" spans="1:10">
      <c r="A17" s="30"/>
      <c r="B17" s="31" t="s">
        <v>304</v>
      </c>
      <c r="C17" s="31"/>
      <c r="D17" s="31"/>
      <c r="E17" s="31"/>
      <c r="F17" s="31"/>
      <c r="G17" s="31"/>
      <c r="H17" s="31"/>
      <c r="I17" s="31"/>
      <c r="J17" s="32"/>
    </row>
    <row r="18" ht="20" customHeight="1" spans="1:10">
      <c r="A18" s="30"/>
      <c r="B18" s="31"/>
      <c r="C18" s="31" t="s">
        <v>305</v>
      </c>
      <c r="D18" s="31"/>
      <c r="E18" s="31"/>
      <c r="F18" s="31"/>
      <c r="G18" s="31"/>
      <c r="H18" s="31"/>
      <c r="I18" s="31"/>
      <c r="J18" s="32"/>
    </row>
    <row r="19" ht="20" customHeight="1" spans="1:10">
      <c r="A19" s="33"/>
      <c r="B19" s="34" t="s">
        <v>306</v>
      </c>
      <c r="C19" s="34"/>
      <c r="D19" s="34"/>
      <c r="E19" s="34"/>
      <c r="F19" s="34"/>
      <c r="G19" s="34"/>
      <c r="H19" s="34"/>
      <c r="I19" s="34"/>
      <c r="J19" s="35"/>
    </row>
    <row r="20" ht="20" customHeight="1" spans="1:10">
      <c r="A20" s="36" t="s">
        <v>307</v>
      </c>
      <c r="B20" s="36"/>
      <c r="C20" s="36"/>
      <c r="D20" s="36"/>
      <c r="E20" s="36"/>
      <c r="F20" s="36"/>
      <c r="G20" s="36"/>
      <c r="H20" s="36"/>
      <c r="I20" s="36"/>
      <c r="J20" s="36"/>
    </row>
    <row r="21" ht="20" customHeight="1" spans="1:10">
      <c r="A21" s="36" t="s">
        <v>308</v>
      </c>
      <c r="B21" s="36"/>
      <c r="C21" s="36"/>
      <c r="D21" s="36"/>
      <c r="E21" s="36"/>
      <c r="F21" s="36"/>
      <c r="G21" s="36"/>
      <c r="H21" s="36"/>
      <c r="I21" s="36"/>
      <c r="J21" s="36"/>
    </row>
  </sheetData>
  <mergeCells count="23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D15:H15"/>
    <mergeCell ref="B16:J16"/>
    <mergeCell ref="B17:J17"/>
    <mergeCell ref="C18:J18"/>
    <mergeCell ref="B19:J19"/>
    <mergeCell ref="A20:J20"/>
    <mergeCell ref="A21:J21"/>
    <mergeCell ref="A16:A19"/>
  </mergeCells>
  <printOptions horizontalCentered="1"/>
  <pageMargins left="0.393055555555556" right="0.196527777777778" top="0.196527777777778" bottom="0.590277777777778" header="0.393055555555556" footer="0.393055555555556"/>
  <pageSetup paperSize="9" scale="73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出货</vt:lpstr>
      <vt:lpstr>25年</vt:lpstr>
      <vt:lpstr>志泓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2022-07-18T03:23:00Z</cp:lastPrinted>
  <dcterms:modified xsi:type="dcterms:W3CDTF">2026-01-19T03:35:50Z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EA715C62F0D04256AE1D18ADE692D8B5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