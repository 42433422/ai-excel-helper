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25出货" sheetId="9" r:id="rId1"/>
    <sheet name="七彩乐园" sheetId="4" r:id="rId2"/>
    <sheet name="Sheet1" sheetId="11" r:id="rId3"/>
    <sheet name="已调价" sheetId="10" state="hidden" r:id="rId4"/>
  </sheets>
  <definedNames>
    <definedName name="_xlnm._FilterDatabase" localSheetId="0" hidden="1">'25出货'!$A$52:$N$418</definedName>
    <definedName name="_xlnm.Print_Area" localSheetId="1">七彩乐园!$A$1:$J$21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<sst xmlns="http://schemas.openxmlformats.org/spreadsheetml/2006/main" count="957" uniqueCount="263">
  <si>
    <t>2023年8月14日起出货</t>
  </si>
  <si>
    <t>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</si>
  <si>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</si>
  <si>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</si>
  <si>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</si>
  <si>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</si>
  <si>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</si>
  <si>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</si>
  <si>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</si>
  <si>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</si>
  <si>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</si>
  <si>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</si>
  <si>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</si>
  <si>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9000F-1</t>
  </si>
  <si>
    <t>PU净味面漆稀释剂</t>
  </si>
  <si>
    <t>PE白底漆</t>
  </si>
  <si>
    <t>18/7未开单：试油</t>
  </si>
  <si>
    <t>A1(553)</t>
  </si>
  <si>
    <t>PU净味哑光浅蓝色漆</t>
  </si>
  <si>
    <t>A2(553)</t>
  </si>
  <si>
    <t>PU净味哑光香槟银珠漆</t>
  </si>
  <si>
    <t>535F</t>
  </si>
  <si>
    <t>PU净味哑光固化剂</t>
  </si>
  <si>
    <t>7225-70F</t>
  </si>
  <si>
    <t>PU净味三分光清面漆</t>
  </si>
  <si>
    <t>HL-001</t>
  </si>
  <si>
    <t>PU净味哑光白面漆</t>
  </si>
  <si>
    <t>HL-9824A</t>
  </si>
  <si>
    <t>PE封固底漆</t>
  </si>
  <si>
    <t>733#</t>
  </si>
  <si>
    <t>PU净味哑光香槟色漆</t>
  </si>
  <si>
    <t>PU净味哑光灰蓝色漆</t>
  </si>
  <si>
    <t>7225-80F</t>
  </si>
  <si>
    <t>PU净味全哑清面漆</t>
  </si>
  <si>
    <t>QCL25A</t>
  </si>
  <si>
    <t>PE无粉封固底漆</t>
  </si>
  <si>
    <t>A</t>
  </si>
  <si>
    <t>PU净味全哑修色油</t>
  </si>
  <si>
    <t>商标配比是哑光清面配比</t>
  </si>
  <si>
    <t>4/11日做</t>
  </si>
  <si>
    <t>13号</t>
  </si>
  <si>
    <t>M019</t>
  </si>
  <si>
    <t>PU哑光香槟色漆</t>
  </si>
  <si>
    <t>PU净味哑光冰蓝色漆</t>
  </si>
  <si>
    <t>原油改色</t>
  </si>
  <si>
    <t>24出货</t>
  </si>
  <si>
    <r>
      <rPr>
        <sz val="16"/>
        <color rgb="FF00B0F0"/>
        <rFont val="宋体"/>
        <charset val="134"/>
      </rPr>
      <t>712B</t>
    </r>
    <r>
      <rPr>
        <i/>
        <sz val="16"/>
        <color rgb="FF00B0F0"/>
        <rFont val="宋体"/>
        <charset val="134"/>
      </rPr>
      <t>#</t>
    </r>
  </si>
  <si>
    <t>PU净味亮光冰蓝色漆</t>
  </si>
  <si>
    <t>图纸样</t>
  </si>
  <si>
    <t>389#</t>
  </si>
  <si>
    <t>PU净味亮光灰色漆</t>
  </si>
  <si>
    <t>556（557）</t>
  </si>
  <si>
    <t>PU七分光香槟金属漆</t>
  </si>
  <si>
    <t>HL-9827AA</t>
  </si>
  <si>
    <t>PE清底漆</t>
  </si>
  <si>
    <t>900F-1</t>
  </si>
  <si>
    <t>从4月起已调价：对账不返点</t>
  </si>
  <si>
    <t>PU净味七分光香槟银珠漆</t>
  </si>
  <si>
    <t>557A(556-558)</t>
  </si>
  <si>
    <t>PU净味哑光浅淡黄色漆</t>
  </si>
  <si>
    <t>29-5-1*</t>
  </si>
  <si>
    <t>PU净味哑光咖啡色漆</t>
  </si>
  <si>
    <t>干板</t>
  </si>
  <si>
    <t>外单</t>
  </si>
  <si>
    <t>PU净味哑光浅香槟色漆</t>
  </si>
  <si>
    <t>PU净味哑光天蓝色漆</t>
  </si>
  <si>
    <t>打样：未留样</t>
  </si>
  <si>
    <t>AB831子母床</t>
  </si>
  <si>
    <t>PU净味哑光浅海蓝色漆</t>
  </si>
  <si>
    <t>31/8日送货</t>
  </si>
  <si>
    <t>PU净味底得宝</t>
  </si>
  <si>
    <t>PU净味底漆固化剂</t>
  </si>
  <si>
    <t>LF535</t>
  </si>
  <si>
    <t>20号</t>
  </si>
  <si>
    <t>561色</t>
  </si>
  <si>
    <t>562色</t>
  </si>
  <si>
    <t>PU杏黄底漆</t>
  </si>
  <si>
    <t>303B</t>
  </si>
  <si>
    <t>1#</t>
  </si>
  <si>
    <t>PU哑光实木修色油</t>
  </si>
  <si>
    <t>样品上没编号</t>
  </si>
  <si>
    <t>2#（195-15-21）</t>
  </si>
  <si>
    <t>括号里的编号就是配方）</t>
  </si>
  <si>
    <t>棕色修边漆</t>
  </si>
  <si>
    <t>3#（204-06）</t>
  </si>
  <si>
    <t>PU哑光浅棕色实木修色油</t>
  </si>
  <si>
    <t>019-1</t>
  </si>
  <si>
    <t>调成哑光打样喷板：须留样</t>
  </si>
  <si>
    <t>019-2</t>
  </si>
  <si>
    <t>019-3</t>
  </si>
  <si>
    <t>灰色干板打样喷板：须留样</t>
  </si>
  <si>
    <t>019-4</t>
  </si>
  <si>
    <t>白色干板打样喷板：须留样</t>
  </si>
  <si>
    <t>019-5</t>
  </si>
  <si>
    <t>以“1#：哑光实木修色油”为样调成实色漆打样喷板：须留样</t>
  </si>
  <si>
    <t>不开单</t>
  </si>
  <si>
    <t>PU哑光修色漆</t>
  </si>
  <si>
    <t>8月10前</t>
  </si>
  <si>
    <t>已打样</t>
  </si>
  <si>
    <t>送PU哑光烟熏色板</t>
  </si>
  <si>
    <t>送PU哑光淡灰色板</t>
  </si>
  <si>
    <t>送PU哑光卡其色板</t>
  </si>
  <si>
    <t>送PU哑光象牙白色板</t>
  </si>
  <si>
    <t>换货</t>
  </si>
  <si>
    <t>PU净味哑光淡灰色漆</t>
  </si>
  <si>
    <t>PU净味哑光烟熏色漆</t>
  </si>
  <si>
    <t>2662餐边柜门板</t>
  </si>
  <si>
    <t>PU哑光净味浅黄色漆</t>
  </si>
  <si>
    <t>0817#</t>
  </si>
  <si>
    <t>PU餐边柜修色油</t>
  </si>
  <si>
    <t>哑光</t>
  </si>
  <si>
    <t>0819*</t>
  </si>
  <si>
    <t>哑光米白色漆</t>
  </si>
  <si>
    <t>干板样：1KG</t>
  </si>
  <si>
    <t>PU净味哑光浅黄色漆</t>
  </si>
  <si>
    <t>备货</t>
  </si>
  <si>
    <t>退货哑光</t>
  </si>
  <si>
    <t>6824B</t>
  </si>
  <si>
    <t>12/10换货制:6824A:20+1.2:K600+0.3锌粉+0.5:801溶剂</t>
  </si>
  <si>
    <t xml:space="preserve">定制:见生产单 </t>
  </si>
  <si>
    <t>PE封固底漆稀料</t>
  </si>
  <si>
    <t>20/9已送</t>
  </si>
  <si>
    <t>本：4.5</t>
  </si>
  <si>
    <t>PU清底漆</t>
  </si>
  <si>
    <t>22/9送</t>
  </si>
  <si>
    <t>PU净味清底漆</t>
  </si>
  <si>
    <t>309A</t>
  </si>
  <si>
    <t>1176树脂做</t>
  </si>
  <si>
    <t>加2KG：1451/桶</t>
  </si>
  <si>
    <t>PE白底漆稀料</t>
  </si>
  <si>
    <t>退货</t>
  </si>
  <si>
    <t>539*</t>
  </si>
  <si>
    <t>PU哑光粉红色漆</t>
  </si>
  <si>
    <t>36系列</t>
  </si>
  <si>
    <t>PU哑光浅黄色漆</t>
  </si>
  <si>
    <t>PU净味哑光象牙白色漆</t>
  </si>
  <si>
    <t>干板样：未留样</t>
  </si>
  <si>
    <t>1126B（2602）</t>
  </si>
  <si>
    <t>PU哑光琥珀黄修色漆</t>
  </si>
  <si>
    <t>556-558于6/12改为557A</t>
  </si>
  <si>
    <t>557B(556-557)</t>
  </si>
  <si>
    <t>556（557）于6/12改为557B</t>
  </si>
  <si>
    <t>557C</t>
  </si>
  <si>
    <t>干板样</t>
  </si>
  <si>
    <t>PU哑光枣红色漆</t>
  </si>
  <si>
    <t>PE专用封固底漆</t>
  </si>
  <si>
    <t>508-4</t>
  </si>
  <si>
    <t>PU净味哑光粉色漆</t>
  </si>
  <si>
    <t>508-4(553改）</t>
  </si>
  <si>
    <t>原油508-4(553改）</t>
  </si>
  <si>
    <t>222（730）</t>
  </si>
  <si>
    <t>PU净味哑光粉绿色漆</t>
  </si>
  <si>
    <t>508A（主）</t>
  </si>
  <si>
    <t>PU净味哑光暖色调面漆</t>
  </si>
  <si>
    <t>17/12编的主色</t>
  </si>
  <si>
    <t>原油17/12编的主色</t>
  </si>
  <si>
    <t>508-2</t>
  </si>
  <si>
    <t>PU哑光土黄色漆</t>
  </si>
  <si>
    <t>黑棕修色漆</t>
  </si>
  <si>
    <t>打样：</t>
  </si>
  <si>
    <t>PU净味新款哑光象牙白漆</t>
  </si>
  <si>
    <t>拉手样</t>
  </si>
  <si>
    <t>PU净味哑光中灰色漆</t>
  </si>
  <si>
    <t>皮样</t>
  </si>
  <si>
    <t>PU净味哑光泥黄色漆</t>
  </si>
  <si>
    <t>550*</t>
  </si>
  <si>
    <t>556-557B</t>
  </si>
  <si>
    <t>主色</t>
  </si>
  <si>
    <t>HL-712</t>
  </si>
  <si>
    <t>PU哑光粉紫色漆</t>
  </si>
  <si>
    <t>元</t>
  </si>
  <si>
    <t>欧包装</t>
  </si>
  <si>
    <t>508A床尾</t>
  </si>
  <si>
    <t>床尾17/12编的主色</t>
  </si>
  <si>
    <t>已编号：516</t>
  </si>
  <si>
    <t>522A</t>
  </si>
  <si>
    <t>PU哑光浅蓝色漆</t>
  </si>
  <si>
    <t>打样未留样</t>
  </si>
  <si>
    <t>522B</t>
  </si>
  <si>
    <t>PU哑光深蓝色漆</t>
  </si>
  <si>
    <t>PU哑光米黄色漆</t>
  </si>
  <si>
    <t xml:space="preserve">732#
</t>
  </si>
  <si>
    <t>PU净味哑光粉红色漆</t>
  </si>
  <si>
    <t xml:space="preserve">731
</t>
  </si>
  <si>
    <t>浅黄修边漆</t>
  </si>
  <si>
    <t>25-6-14*</t>
  </si>
  <si>
    <t>PU哑光浅灰砂面漆</t>
  </si>
  <si>
    <t>PU哑光棕色漆</t>
  </si>
  <si>
    <t>PU净味哑光深蓝色漆</t>
  </si>
  <si>
    <t>28/7 9804</t>
  </si>
  <si>
    <t>补 8月以前改色的100-75=25KG下欠</t>
  </si>
  <si>
    <t>11/8未签单</t>
  </si>
  <si>
    <t>222A(2662)</t>
  </si>
  <si>
    <t>餐边柜门板</t>
  </si>
  <si>
    <t>222B（730）</t>
  </si>
  <si>
    <t>26号</t>
  </si>
  <si>
    <t>27号</t>
  </si>
  <si>
    <t>未开单</t>
  </si>
  <si>
    <t>未留样</t>
  </si>
  <si>
    <t>8月前原油108KG-75KG=33</t>
  </si>
  <si>
    <t>2/8减75KG+8kg：扣包装桶</t>
  </si>
  <si>
    <t>已放假</t>
  </si>
  <si>
    <t>8月前原油108KG-75KG-25kg=8</t>
  </si>
  <si>
    <t>危废包装桶</t>
  </si>
  <si>
    <t>色漆</t>
  </si>
  <si>
    <t>做补件</t>
  </si>
  <si>
    <t>元（722、713和709是同一个颜色）</t>
  </si>
  <si>
    <t>627B</t>
  </si>
  <si>
    <t>换货：见21/10改的配方6824</t>
  </si>
  <si>
    <t>PU底漆固化剂</t>
  </si>
  <si>
    <t>PU底漆稀释剂</t>
  </si>
  <si>
    <t>以前的剩货</t>
  </si>
  <si>
    <t>A03(A01)</t>
  </si>
  <si>
    <t>样油</t>
  </si>
  <si>
    <t>709（713）</t>
  </si>
  <si>
    <t>退色漆M019</t>
  </si>
  <si>
    <t>下批油漆：白底降0.5/kg，面漆和固化剂，面稀下降：1.0/kg</t>
  </si>
  <si>
    <t>29-5-1（516B)</t>
  </si>
  <si>
    <t>PU净味哑光咖啡色漆：于25/12已改成516B</t>
  </si>
  <si>
    <t>75号</t>
  </si>
  <si>
    <t>2662（222A)</t>
  </si>
  <si>
    <t>已改编号</t>
  </si>
  <si>
    <t>PU净味哑光土黄色漆</t>
  </si>
  <si>
    <t>508-3</t>
  </si>
  <si>
    <t>PU净味哑光浅灰色漆</t>
  </si>
  <si>
    <t>16号</t>
  </si>
  <si>
    <t>31号</t>
  </si>
  <si>
    <t>小桶不降</t>
  </si>
  <si>
    <t>成都国圣工业有限公司（五星花）送货单</t>
  </si>
  <si>
    <t>购货单位（乙方）：七彩乐园家私    联系人：向总    日期：2026年01月22日     订单编号：26-250063A</t>
  </si>
  <si>
    <t xml:space="preserve"> 产 品 型 号</t>
  </si>
  <si>
    <t xml:space="preserve"> 产 品 名 称</t>
  </si>
  <si>
    <t xml:space="preserve">   备  注</t>
  </si>
  <si>
    <t>合   计</t>
  </si>
  <si>
    <t xml:space="preserve"> 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</si>
  <si>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</si>
  <si>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</si>
  <si>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</si>
  <si>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</si>
  <si>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</si>
  <si>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>配蓝水：瓶</t>
  </si>
  <si>
    <t xml:space="preserve"> 3.本送货单一式四联，   白色联为存根联，   粉红色为客户联，    蓝色联为结款联，   黄色联为会计联。</t>
  </si>
  <si>
    <t>配白水：KG</t>
  </si>
  <si>
    <t>销售单位（甲方）：成都国圣工业有限公司 电话：028-85852618</t>
  </si>
  <si>
    <t>销售负责人：李秋林         销售送货人：       销售制单人：        购货单位经手人：</t>
  </si>
  <si>
    <t>成都国圣工业有限公司（五星花）退货单</t>
  </si>
  <si>
    <t>购货单位（乙方）：七彩乐园家私    联系人：向总     日期：2025年08月22日    订单编号：25-080056A</t>
  </si>
  <si>
    <t>上次未减单色漆108-83=25</t>
  </si>
  <si>
    <t>2/8减75KG+包装8KG=83KG</t>
  </si>
  <si>
    <t xml:space="preserve">                     </t>
  </si>
  <si>
    <t>退货单位（乙方）：七彩乐园家私    联系人：向总    日期：2025年8月22日     订单编号：25-080056A</t>
  </si>
  <si>
    <t>危废处理</t>
  </si>
  <si>
    <r>
      <rPr>
        <sz val="16"/>
        <color rgb="FF000000"/>
        <rFont val="宋体"/>
        <charset val="134"/>
      </rPr>
      <t>型号</t>
    </r>
  </si>
  <si>
    <r>
      <rPr>
        <sz val="16"/>
        <color rgb="FF000000"/>
        <rFont val="宋体"/>
        <charset val="134"/>
      </rPr>
      <t>名称</t>
    </r>
  </si>
  <si>
    <r>
      <rPr>
        <sz val="16"/>
        <color rgb="FF000000"/>
        <rFont val="宋体"/>
        <charset val="134"/>
      </rPr>
      <t>规格</t>
    </r>
  </si>
  <si>
    <t>单价</t>
  </si>
  <si>
    <t>kg/桶</t>
  </si>
  <si>
    <t>PU实色漆</t>
  </si>
  <si>
    <t>PU哑光清面漆</t>
  </si>
  <si>
    <t>PU砂面漆、银珠</t>
  </si>
  <si>
    <t>PU净味面稀</t>
  </si>
  <si>
    <t>1#、2#</t>
  </si>
  <si>
    <t>哑光实木修色油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</si>
</sst>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000000"/>
    <numFmt numFmtId="179" formatCode="[DBNum2][$RMB]General;[Red][DBNum2][$RMB]General"/>
    <numFmt numFmtId="180" formatCode="General&quot;号&quot;"/>
    <numFmt numFmtId="181" formatCode="m&quot;月&quot;d&quot;日&quot;;@"/>
  </numFmts>
  <fonts count="48">
    <font>
      <sz val="12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6"/>
      <color rgb="FF00B0F0"/>
      <name val="宋体"/>
      <charset val="134"/>
    </font>
    <font>
      <sz val="24"/>
      <name val="宋体"/>
      <charset val="134"/>
    </font>
    <font>
      <sz val="16"/>
      <name val="宋体"/>
      <charset val="134"/>
    </font>
    <font>
      <sz val="16"/>
      <color rgb="FFFF0000"/>
      <name val="宋体"/>
      <charset val="134"/>
    </font>
    <font>
      <sz val="14"/>
      <color rgb="FFFF0000"/>
      <name val="宋体"/>
      <charset val="134"/>
    </font>
    <font>
      <sz val="20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24"/>
      <color rgb="FFFF0000"/>
      <name val="宋体"/>
      <charset val="134"/>
    </font>
    <font>
      <sz val="12"/>
      <color rgb="FF00B0F0"/>
      <name val="宋体"/>
      <charset val="134"/>
    </font>
    <font>
      <sz val="12"/>
      <color rgb="FF7030A0"/>
      <name val="宋体"/>
      <charset val="134"/>
    </font>
    <font>
      <sz val="9"/>
      <color rgb="FF00B0F0"/>
      <name val="宋体"/>
      <charset val="134"/>
    </font>
    <font>
      <sz val="10"/>
      <color rgb="FF00B0F0"/>
      <name val="宋体"/>
      <charset val="134"/>
    </font>
    <font>
      <sz val="16"/>
      <color rgb="FF7030A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rgb="FF00B0F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i/>
      <sz val="16"/>
      <color rgb="FF00B0F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2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8" applyNumberFormat="0" applyAlignment="0" applyProtection="0">
      <alignment vertical="center"/>
    </xf>
    <xf numFmtId="0" fontId="32" fillId="4" borderId="19" applyNumberFormat="0" applyAlignment="0" applyProtection="0">
      <alignment vertical="center"/>
    </xf>
    <xf numFmtId="0" fontId="33" fillId="4" borderId="18" applyNumberFormat="0" applyAlignment="0" applyProtection="0">
      <alignment vertical="center"/>
    </xf>
    <xf numFmtId="0" fontId="34" fillId="5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0" fillId="0" borderId="0"/>
    <xf numFmtId="0" fontId="42" fillId="8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/>
    <xf numFmtId="0" fontId="43" fillId="33" borderId="0" applyNumberFormat="0" applyBorder="0" applyAlignment="0" applyProtection="0">
      <alignment vertical="center"/>
    </xf>
    <xf numFmtId="0" fontId="44" fillId="0" borderId="0">
      <alignment vertical="center"/>
    </xf>
    <xf numFmtId="0" fontId="45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0" borderId="0"/>
    <xf numFmtId="176" fontId="0" fillId="0" borderId="0" applyFont="0" applyFill="0" applyBorder="0" applyAlignment="0" applyProtection="0"/>
    <xf numFmtId="0" fontId="46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7" fontId="6" fillId="0" borderId="1" xfId="0" applyNumberFormat="1" applyFont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left" vertical="center"/>
    </xf>
    <xf numFmtId="178" fontId="5" fillId="0" borderId="4" xfId="0" applyNumberFormat="1" applyFont="1" applyFill="1" applyBorder="1" applyAlignment="1">
      <alignment horizontal="left" vertical="center"/>
    </xf>
    <xf numFmtId="179" fontId="5" fillId="0" borderId="4" xfId="0" applyNumberFormat="1" applyFont="1" applyFill="1" applyBorder="1" applyAlignment="1">
      <alignment horizontal="left" vertical="center"/>
    </xf>
    <xf numFmtId="7" fontId="5" fillId="0" borderId="1" xfId="0" applyNumberFormat="1" applyFont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distributed" vertical="center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0" xfId="56" applyFont="1">
      <alignment vertical="center"/>
    </xf>
    <xf numFmtId="0" fontId="5" fillId="0" borderId="0" xfId="56" applyFont="1" applyAlignment="1">
      <alignment vertical="center"/>
    </xf>
    <xf numFmtId="0" fontId="5" fillId="0" borderId="0" xfId="56" applyFont="1" applyAlignment="1">
      <alignment horizontal="distributed" vertical="center"/>
    </xf>
    <xf numFmtId="178" fontId="5" fillId="0" borderId="1" xfId="0" applyNumberFormat="1" applyFont="1" applyFill="1" applyBorder="1" applyAlignment="1">
      <alignment horizontal="left" vertical="center"/>
    </xf>
    <xf numFmtId="179" fontId="5" fillId="0" borderId="1" xfId="0" applyNumberFormat="1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 textRotation="255"/>
    </xf>
    <xf numFmtId="0" fontId="2" fillId="0" borderId="8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wrapText="1" readingOrder="1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11" xfId="0" applyFont="1" applyFill="1" applyBorder="1" applyAlignment="1">
      <alignment horizontal="left" vertical="center" wrapText="1" readingOrder="1"/>
    </xf>
    <xf numFmtId="0" fontId="2" fillId="0" borderId="12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4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0" xfId="56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0" fillId="0" borderId="0" xfId="56" applyBorder="1" applyAlignment="1">
      <alignment horizontal="center" vertical="center"/>
    </xf>
    <xf numFmtId="0" fontId="11" fillId="0" borderId="0" xfId="56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178" fontId="6" fillId="0" borderId="3" xfId="0" applyNumberFormat="1" applyFont="1" applyFill="1" applyBorder="1" applyAlignment="1">
      <alignment horizontal="left" vertical="center"/>
    </xf>
    <xf numFmtId="178" fontId="6" fillId="0" borderId="4" xfId="0" applyNumberFormat="1" applyFont="1" applyFill="1" applyBorder="1" applyAlignment="1">
      <alignment horizontal="left" vertical="center"/>
    </xf>
    <xf numFmtId="179" fontId="6" fillId="0" borderId="4" xfId="0" applyNumberFormat="1" applyFont="1" applyFill="1" applyBorder="1" applyAlignment="1">
      <alignment horizontal="left" vertical="center"/>
    </xf>
    <xf numFmtId="7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vertical="center"/>
    </xf>
    <xf numFmtId="0" fontId="0" fillId="0" borderId="0" xfId="56" applyFill="1" applyBorder="1" applyAlignment="1">
      <alignment horizontal="left" vertical="center"/>
    </xf>
    <xf numFmtId="0" fontId="0" fillId="0" borderId="0" xfId="56" applyBorder="1" applyAlignment="1">
      <alignment horizontal="right" vertical="center"/>
    </xf>
    <xf numFmtId="0" fontId="0" fillId="0" borderId="0" xfId="0" applyBorder="1">
      <alignment vertical="center"/>
    </xf>
    <xf numFmtId="0" fontId="9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0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58" fontId="5" fillId="0" borderId="0" xfId="0" applyNumberFormat="1" applyFont="1" applyBorder="1" applyAlignment="1">
      <alignment horizontal="center" vertical="center"/>
    </xf>
    <xf numFmtId="18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81" fontId="6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81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58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58" fontId="15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5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16" fillId="0" borderId="0" xfId="0" applyFont="1" applyBorder="1">
      <alignment vertical="center"/>
    </xf>
    <xf numFmtId="58" fontId="6" fillId="0" borderId="0" xfId="0" applyNumberFormat="1" applyFont="1" applyBorder="1" applyAlignment="1">
      <alignment horizontal="center" vertical="center"/>
    </xf>
    <xf numFmtId="180" fontId="6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77" fontId="6" fillId="0" borderId="0" xfId="0" applyNumberFormat="1" applyFont="1" applyBorder="1" applyAlignment="1">
      <alignment horizontal="center" vertical="center"/>
    </xf>
    <xf numFmtId="58" fontId="17" fillId="0" borderId="0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177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textRotation="255"/>
    </xf>
    <xf numFmtId="58" fontId="6" fillId="0" borderId="0" xfId="0" applyNumberFormat="1" applyFont="1" applyBorder="1">
      <alignment vertical="center"/>
    </xf>
    <xf numFmtId="0" fontId="9" fillId="0" borderId="0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 textRotation="255"/>
    </xf>
    <xf numFmtId="0" fontId="20" fillId="0" borderId="0" xfId="0" applyFont="1" applyAlignment="1">
      <alignment horizontal="center" vertical="center" textRotation="255"/>
    </xf>
    <xf numFmtId="0" fontId="21" fillId="0" borderId="0" xfId="0" applyFont="1" applyAlignment="1">
      <alignment horizontal="center" vertical="center"/>
    </xf>
    <xf numFmtId="58" fontId="5" fillId="0" borderId="0" xfId="0" applyNumberFormat="1" applyFont="1" applyBorder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tableStyles count="1" defaultTableStyle="TableStyleMedium9" defaultPivotStyle="PivotStyleLight16">
    <tableStyle name="表样式 1" pivot="0" count="0" xr9:uid="{4EE44300-1846-4E1F-9E61-FEB5E0D3B19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6"/>
  <sheetViews>
    <sheetView tabSelected="1" topLeftCell="A404" workbookViewId="0">
      <selection activeCell="H424" sqref="H424:I424"/>
    </sheetView>
  </sheetViews>
  <sheetFormatPr defaultColWidth="9" defaultRowHeight="20.25"/>
  <cols>
    <col min="1" max="1" width="12.625" style="93"/>
    <col min="2" max="4" width="9" style="93"/>
    <col min="5" max="5" width="3.125" style="93" customWidth="1"/>
    <col min="6" max="6" width="34.625" style="93" customWidth="1"/>
    <col min="7" max="9" width="9" style="93"/>
    <col min="10" max="10" width="9.875" style="93"/>
    <col min="11" max="11" width="12.875" style="93"/>
    <col min="12" max="12" width="14.125" style="93" customWidth="1"/>
    <col min="13" max="13" width="9.875" style="93"/>
  </cols>
  <sheetData>
    <row r="1" spans="1:13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 t="s">
        <v>1</v>
      </c>
      <c r="K1" s="94"/>
      <c r="M1" s="94"/>
    </row>
    <row r="2" s="1" customFormat="1" spans="1:13">
      <c r="A2" s="21" t="s">
        <v>2</v>
      </c>
      <c r="B2" s="21" t="s">
        <v>3</v>
      </c>
      <c r="C2" s="10" t="s">
        <v>4</v>
      </c>
      <c r="D2" s="10"/>
      <c r="E2" s="10"/>
      <c r="F2" s="95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</row>
    <row r="3" s="81" customFormat="1" spans="1:13">
      <c r="A3" s="96">
        <v>45152</v>
      </c>
      <c r="B3" s="97">
        <v>1</v>
      </c>
      <c r="C3" s="98" t="s">
        <v>13</v>
      </c>
      <c r="D3" s="98"/>
      <c r="E3" s="98"/>
      <c r="F3" s="99" t="s">
        <v>14</v>
      </c>
      <c r="G3" s="98">
        <v>1</v>
      </c>
      <c r="H3" s="98">
        <v>180</v>
      </c>
      <c r="I3" s="98">
        <f t="shared" ref="I3:I8" si="0">G3*H3</f>
        <v>180</v>
      </c>
      <c r="J3" s="98">
        <v>11</v>
      </c>
      <c r="K3" s="98">
        <f t="shared" ref="K3:K8" si="1">I3*J3</f>
        <v>1980</v>
      </c>
      <c r="L3" s="85"/>
      <c r="M3" s="98">
        <f>SUM(K3:K3)</f>
        <v>1980</v>
      </c>
    </row>
    <row r="4" s="82" customFormat="1" spans="1:13">
      <c r="A4" s="100">
        <v>45154</v>
      </c>
      <c r="B4" s="101">
        <v>9</v>
      </c>
      <c r="C4" s="102">
        <v>9803</v>
      </c>
      <c r="D4" s="102"/>
      <c r="E4" s="102"/>
      <c r="F4" s="103" t="s">
        <v>15</v>
      </c>
      <c r="G4" s="102">
        <v>1</v>
      </c>
      <c r="H4" s="102">
        <v>28</v>
      </c>
      <c r="I4" s="102">
        <f t="shared" si="0"/>
        <v>28</v>
      </c>
      <c r="J4" s="102">
        <v>10</v>
      </c>
      <c r="K4" s="102">
        <f t="shared" si="1"/>
        <v>280</v>
      </c>
      <c r="L4" s="88" t="s">
        <v>16</v>
      </c>
      <c r="M4" s="102"/>
    </row>
    <row r="5" s="83" customFormat="1" spans="1:13">
      <c r="A5" s="104">
        <v>45154</v>
      </c>
      <c r="B5" s="101">
        <v>9</v>
      </c>
      <c r="C5" s="90">
        <v>9803</v>
      </c>
      <c r="D5" s="90"/>
      <c r="E5" s="90"/>
      <c r="F5" s="105" t="s">
        <v>15</v>
      </c>
      <c r="G5" s="90">
        <v>9</v>
      </c>
      <c r="H5" s="90">
        <v>28</v>
      </c>
      <c r="I5" s="90">
        <f t="shared" si="0"/>
        <v>252</v>
      </c>
      <c r="J5" s="90">
        <v>10</v>
      </c>
      <c r="K5" s="90">
        <f t="shared" si="1"/>
        <v>2520</v>
      </c>
      <c r="L5" s="86"/>
      <c r="M5" s="90"/>
    </row>
    <row r="6" s="83" customFormat="1" spans="1:13">
      <c r="A6" s="106">
        <v>45154</v>
      </c>
      <c r="B6" s="101">
        <v>9</v>
      </c>
      <c r="C6" s="90" t="s">
        <v>17</v>
      </c>
      <c r="D6" s="90"/>
      <c r="E6" s="90"/>
      <c r="F6" s="105" t="s">
        <v>18</v>
      </c>
      <c r="G6" s="90">
        <v>1</v>
      </c>
      <c r="H6" s="90">
        <v>26</v>
      </c>
      <c r="I6" s="90">
        <f t="shared" si="0"/>
        <v>26</v>
      </c>
      <c r="J6" s="90">
        <v>22</v>
      </c>
      <c r="K6" s="90">
        <f t="shared" si="1"/>
        <v>572</v>
      </c>
      <c r="L6" s="86"/>
      <c r="M6" s="90"/>
    </row>
    <row r="7" s="83" customFormat="1" spans="1:13">
      <c r="A7" s="106">
        <v>45154</v>
      </c>
      <c r="B7" s="101">
        <v>9</v>
      </c>
      <c r="C7" s="90" t="s">
        <v>19</v>
      </c>
      <c r="D7" s="90"/>
      <c r="E7" s="90"/>
      <c r="F7" s="105" t="s">
        <v>20</v>
      </c>
      <c r="G7" s="90">
        <v>1</v>
      </c>
      <c r="H7" s="90">
        <v>20</v>
      </c>
      <c r="I7" s="90">
        <f t="shared" si="0"/>
        <v>20</v>
      </c>
      <c r="J7" s="90">
        <v>25</v>
      </c>
      <c r="K7" s="90">
        <f t="shared" si="1"/>
        <v>500</v>
      </c>
      <c r="L7" s="86"/>
      <c r="M7" s="90"/>
    </row>
    <row r="8" s="83" customFormat="1" spans="1:13">
      <c r="A8" s="106">
        <v>45154</v>
      </c>
      <c r="B8" s="101">
        <v>9</v>
      </c>
      <c r="C8" s="90" t="s">
        <v>21</v>
      </c>
      <c r="D8" s="90"/>
      <c r="E8" s="90"/>
      <c r="F8" s="105" t="s">
        <v>22</v>
      </c>
      <c r="G8" s="90">
        <v>3</v>
      </c>
      <c r="H8" s="90">
        <v>10</v>
      </c>
      <c r="I8" s="90">
        <f t="shared" si="0"/>
        <v>30</v>
      </c>
      <c r="J8" s="90">
        <v>22</v>
      </c>
      <c r="K8" s="90">
        <f t="shared" si="1"/>
        <v>660</v>
      </c>
      <c r="L8" s="86"/>
      <c r="M8" s="90">
        <f>SUM(K4:K8)</f>
        <v>4532</v>
      </c>
    </row>
    <row r="9" s="84" customFormat="1" spans="1:13">
      <c r="A9" s="96">
        <v>45156</v>
      </c>
      <c r="B9" s="97">
        <v>17</v>
      </c>
      <c r="C9" s="98" t="s">
        <v>23</v>
      </c>
      <c r="D9" s="98"/>
      <c r="E9" s="98"/>
      <c r="F9" s="99" t="s">
        <v>24</v>
      </c>
      <c r="G9" s="98">
        <v>3</v>
      </c>
      <c r="H9" s="98">
        <v>20</v>
      </c>
      <c r="I9" s="98">
        <f t="shared" ref="I9:I50" si="2">G9*H9</f>
        <v>60</v>
      </c>
      <c r="J9" s="98">
        <v>19</v>
      </c>
      <c r="K9" s="98">
        <f t="shared" ref="K9:K50" si="3">I9*J9</f>
        <v>1140</v>
      </c>
      <c r="L9" s="85"/>
      <c r="M9" s="98"/>
    </row>
    <row r="10" s="84" customFormat="1" spans="1:13">
      <c r="A10" s="96">
        <v>45156</v>
      </c>
      <c r="B10" s="97">
        <v>17</v>
      </c>
      <c r="C10" s="98" t="s">
        <v>25</v>
      </c>
      <c r="D10" s="98"/>
      <c r="E10" s="98"/>
      <c r="F10" s="99" t="s">
        <v>26</v>
      </c>
      <c r="G10" s="98">
        <v>5</v>
      </c>
      <c r="H10" s="98">
        <v>25</v>
      </c>
      <c r="I10" s="98">
        <f t="shared" si="2"/>
        <v>125</v>
      </c>
      <c r="J10" s="98">
        <v>22</v>
      </c>
      <c r="K10" s="98">
        <f t="shared" si="3"/>
        <v>2750</v>
      </c>
      <c r="L10" s="85"/>
      <c r="M10" s="98"/>
    </row>
    <row r="11" s="84" customFormat="1" spans="1:13">
      <c r="A11" s="96">
        <v>45156</v>
      </c>
      <c r="B11" s="97">
        <v>17</v>
      </c>
      <c r="C11" s="98" t="s">
        <v>21</v>
      </c>
      <c r="D11" s="98"/>
      <c r="E11" s="98"/>
      <c r="F11" s="99" t="s">
        <v>22</v>
      </c>
      <c r="G11" s="98">
        <v>9</v>
      </c>
      <c r="H11" s="98">
        <v>10</v>
      </c>
      <c r="I11" s="98">
        <f t="shared" si="2"/>
        <v>90</v>
      </c>
      <c r="J11" s="98">
        <v>22</v>
      </c>
      <c r="K11" s="98">
        <f t="shared" si="3"/>
        <v>1980</v>
      </c>
      <c r="L11" s="85"/>
      <c r="M11" s="98">
        <f>SUM(K9:K11)</f>
        <v>5870</v>
      </c>
    </row>
    <row r="12" s="83" customFormat="1" spans="1:13">
      <c r="A12" s="104">
        <v>45166</v>
      </c>
      <c r="B12" s="101">
        <v>39</v>
      </c>
      <c r="C12" s="90">
        <v>9803</v>
      </c>
      <c r="D12" s="90"/>
      <c r="E12" s="90"/>
      <c r="F12" s="105" t="s">
        <v>15</v>
      </c>
      <c r="G12" s="90">
        <v>10</v>
      </c>
      <c r="H12" s="90">
        <v>28</v>
      </c>
      <c r="I12" s="90">
        <f t="shared" si="2"/>
        <v>280</v>
      </c>
      <c r="J12" s="90">
        <v>10</v>
      </c>
      <c r="K12" s="90">
        <f t="shared" si="3"/>
        <v>2800</v>
      </c>
      <c r="L12" s="86"/>
      <c r="M12" s="90"/>
    </row>
    <row r="13" s="85" customFormat="1" spans="1:13">
      <c r="A13" s="96">
        <v>45170</v>
      </c>
      <c r="B13" s="97">
        <v>3</v>
      </c>
      <c r="C13" s="98">
        <v>9803</v>
      </c>
      <c r="D13" s="98"/>
      <c r="E13" s="98"/>
      <c r="F13" s="99" t="s">
        <v>15</v>
      </c>
      <c r="G13" s="98">
        <v>10</v>
      </c>
      <c r="H13" s="98">
        <v>28</v>
      </c>
      <c r="I13" s="98">
        <f t="shared" si="2"/>
        <v>280</v>
      </c>
      <c r="J13" s="98">
        <v>10</v>
      </c>
      <c r="K13" s="98">
        <f t="shared" si="3"/>
        <v>2800</v>
      </c>
      <c r="M13" s="98"/>
    </row>
    <row r="14" s="85" customFormat="1" spans="1:13">
      <c r="A14" s="96">
        <v>45170</v>
      </c>
      <c r="B14" s="97">
        <v>3</v>
      </c>
      <c r="C14" s="98" t="s">
        <v>27</v>
      </c>
      <c r="D14" s="98"/>
      <c r="E14" s="98"/>
      <c r="F14" s="107" t="s">
        <v>28</v>
      </c>
      <c r="G14" s="98">
        <v>5</v>
      </c>
      <c r="H14" s="98">
        <v>22</v>
      </c>
      <c r="I14" s="98">
        <f t="shared" si="2"/>
        <v>110</v>
      </c>
      <c r="J14" s="98">
        <v>13.5</v>
      </c>
      <c r="K14" s="98">
        <f t="shared" si="3"/>
        <v>1485</v>
      </c>
      <c r="M14" s="98">
        <f>SUM(K13:K14)</f>
        <v>4285</v>
      </c>
    </row>
    <row r="15" s="86" customFormat="1" spans="1:13">
      <c r="A15" s="106">
        <v>45177</v>
      </c>
      <c r="B15" s="101">
        <v>21</v>
      </c>
      <c r="C15" s="90" t="s">
        <v>29</v>
      </c>
      <c r="D15" s="90"/>
      <c r="E15" s="90"/>
      <c r="F15" s="105" t="s">
        <v>30</v>
      </c>
      <c r="G15" s="90">
        <v>1</v>
      </c>
      <c r="H15" s="90">
        <v>16</v>
      </c>
      <c r="I15" s="90">
        <f t="shared" si="2"/>
        <v>16</v>
      </c>
      <c r="J15" s="90">
        <v>22</v>
      </c>
      <c r="K15" s="90">
        <f t="shared" si="3"/>
        <v>352</v>
      </c>
      <c r="L15" s="108"/>
      <c r="M15" s="90"/>
    </row>
    <row r="16" s="86" customFormat="1" spans="1:13">
      <c r="A16" s="106">
        <v>45177</v>
      </c>
      <c r="B16" s="101">
        <v>21</v>
      </c>
      <c r="C16" s="90">
        <v>709</v>
      </c>
      <c r="D16" s="90"/>
      <c r="E16" s="90"/>
      <c r="F16" s="105" t="s">
        <v>31</v>
      </c>
      <c r="G16" s="90">
        <v>2</v>
      </c>
      <c r="H16" s="90">
        <v>26</v>
      </c>
      <c r="I16" s="90">
        <f t="shared" si="2"/>
        <v>52</v>
      </c>
      <c r="J16" s="90">
        <v>22</v>
      </c>
      <c r="K16" s="90">
        <f t="shared" si="3"/>
        <v>1144</v>
      </c>
      <c r="L16" s="108"/>
      <c r="M16" s="90"/>
    </row>
    <row r="17" s="86" customFormat="1" spans="1:13">
      <c r="A17" s="106">
        <v>45177</v>
      </c>
      <c r="B17" s="101">
        <v>21</v>
      </c>
      <c r="C17" s="90" t="s">
        <v>25</v>
      </c>
      <c r="D17" s="90"/>
      <c r="E17" s="90"/>
      <c r="F17" s="105" t="s">
        <v>26</v>
      </c>
      <c r="G17" s="90">
        <v>4</v>
      </c>
      <c r="H17" s="90">
        <v>25</v>
      </c>
      <c r="I17" s="90">
        <f t="shared" si="2"/>
        <v>100</v>
      </c>
      <c r="J17" s="90">
        <v>22</v>
      </c>
      <c r="K17" s="90">
        <f t="shared" si="3"/>
        <v>2200</v>
      </c>
      <c r="L17" s="108"/>
      <c r="M17" s="90"/>
    </row>
    <row r="18" s="86" customFormat="1" spans="1:13">
      <c r="A18" s="106">
        <v>45177</v>
      </c>
      <c r="B18" s="101">
        <v>21</v>
      </c>
      <c r="C18" s="90" t="s">
        <v>25</v>
      </c>
      <c r="D18" s="90"/>
      <c r="E18" s="90"/>
      <c r="F18" s="105" t="s">
        <v>26</v>
      </c>
      <c r="G18" s="90">
        <v>1</v>
      </c>
      <c r="H18" s="90">
        <v>26</v>
      </c>
      <c r="I18" s="90">
        <f t="shared" si="2"/>
        <v>26</v>
      </c>
      <c r="J18" s="90">
        <v>22</v>
      </c>
      <c r="K18" s="90">
        <f t="shared" si="3"/>
        <v>572</v>
      </c>
      <c r="L18" s="108"/>
      <c r="M18" s="90"/>
    </row>
    <row r="19" s="86" customFormat="1" spans="1:13">
      <c r="A19" s="106">
        <v>45177</v>
      </c>
      <c r="B19" s="101">
        <v>21</v>
      </c>
      <c r="C19" s="90" t="s">
        <v>21</v>
      </c>
      <c r="D19" s="90"/>
      <c r="E19" s="90"/>
      <c r="F19" s="105" t="s">
        <v>22</v>
      </c>
      <c r="G19" s="90">
        <v>10</v>
      </c>
      <c r="H19" s="90">
        <v>10</v>
      </c>
      <c r="I19" s="90">
        <f t="shared" si="2"/>
        <v>100</v>
      </c>
      <c r="J19" s="90">
        <v>22</v>
      </c>
      <c r="K19" s="90">
        <f t="shared" si="3"/>
        <v>2200</v>
      </c>
      <c r="L19" s="108"/>
      <c r="M19" s="90"/>
    </row>
    <row r="20" s="83" customFormat="1" spans="1:13">
      <c r="A20" s="106">
        <v>45177</v>
      </c>
      <c r="B20" s="101">
        <v>21</v>
      </c>
      <c r="C20" s="90" t="s">
        <v>23</v>
      </c>
      <c r="D20" s="90"/>
      <c r="E20" s="90"/>
      <c r="F20" s="105" t="s">
        <v>24</v>
      </c>
      <c r="G20" s="90">
        <v>2</v>
      </c>
      <c r="H20" s="90">
        <v>20</v>
      </c>
      <c r="I20" s="90">
        <f t="shared" si="2"/>
        <v>40</v>
      </c>
      <c r="J20" s="90">
        <v>19</v>
      </c>
      <c r="K20" s="90">
        <f t="shared" si="3"/>
        <v>760</v>
      </c>
      <c r="L20" s="86"/>
      <c r="M20" s="90">
        <f>SUM(K15:K20)</f>
        <v>7228</v>
      </c>
    </row>
    <row r="21" s="81" customFormat="1" spans="1:13">
      <c r="A21" s="96">
        <v>45180</v>
      </c>
      <c r="B21" s="97">
        <v>31</v>
      </c>
      <c r="C21" s="98" t="s">
        <v>13</v>
      </c>
      <c r="D21" s="98"/>
      <c r="E21" s="98"/>
      <c r="F21" s="99" t="s">
        <v>14</v>
      </c>
      <c r="G21" s="98">
        <v>1</v>
      </c>
      <c r="H21" s="98">
        <v>180</v>
      </c>
      <c r="I21" s="98">
        <f t="shared" si="2"/>
        <v>180</v>
      </c>
      <c r="J21" s="98">
        <v>11</v>
      </c>
      <c r="K21" s="98">
        <f t="shared" si="3"/>
        <v>1980</v>
      </c>
      <c r="L21" s="85"/>
      <c r="M21" s="98">
        <f>SUM(K21:K21)</f>
        <v>1980</v>
      </c>
    </row>
    <row r="22" s="86" customFormat="1" spans="1:13">
      <c r="A22" s="106">
        <v>45181</v>
      </c>
      <c r="B22" s="101">
        <v>34</v>
      </c>
      <c r="C22" s="90" t="s">
        <v>27</v>
      </c>
      <c r="D22" s="90"/>
      <c r="E22" s="90"/>
      <c r="F22" s="109" t="s">
        <v>28</v>
      </c>
      <c r="G22" s="90">
        <v>5</v>
      </c>
      <c r="H22" s="90">
        <v>22</v>
      </c>
      <c r="I22" s="90">
        <f t="shared" si="2"/>
        <v>110</v>
      </c>
      <c r="J22" s="90">
        <v>13.5</v>
      </c>
      <c r="K22" s="90">
        <f t="shared" si="3"/>
        <v>1485</v>
      </c>
      <c r="M22" s="90"/>
    </row>
    <row r="23" s="86" customFormat="1" spans="1:13">
      <c r="A23" s="106">
        <v>45181</v>
      </c>
      <c r="B23" s="101">
        <v>34</v>
      </c>
      <c r="C23" s="90">
        <v>9803</v>
      </c>
      <c r="D23" s="90"/>
      <c r="E23" s="90"/>
      <c r="F23" s="105" t="s">
        <v>15</v>
      </c>
      <c r="G23" s="90">
        <v>10</v>
      </c>
      <c r="H23" s="90">
        <v>28</v>
      </c>
      <c r="I23" s="90">
        <f t="shared" si="2"/>
        <v>280</v>
      </c>
      <c r="J23" s="90">
        <v>10</v>
      </c>
      <c r="K23" s="90">
        <f t="shared" si="3"/>
        <v>2800</v>
      </c>
      <c r="M23" s="90">
        <f>SUM(K22:K23)</f>
        <v>4285</v>
      </c>
    </row>
    <row r="24" s="84" customFormat="1" spans="1:13">
      <c r="A24" s="96">
        <v>45195</v>
      </c>
      <c r="B24" s="97">
        <v>74</v>
      </c>
      <c r="C24" s="98" t="s">
        <v>32</v>
      </c>
      <c r="D24" s="98"/>
      <c r="E24" s="98"/>
      <c r="F24" s="99" t="s">
        <v>33</v>
      </c>
      <c r="G24" s="98">
        <v>1</v>
      </c>
      <c r="H24" s="98">
        <v>20</v>
      </c>
      <c r="I24" s="98">
        <f t="shared" si="2"/>
        <v>20</v>
      </c>
      <c r="J24" s="98">
        <v>19</v>
      </c>
      <c r="K24" s="98">
        <f t="shared" si="3"/>
        <v>380</v>
      </c>
      <c r="L24" s="85"/>
      <c r="M24" s="98"/>
    </row>
    <row r="25" s="84" customFormat="1" spans="1:13">
      <c r="A25" s="96">
        <v>45195</v>
      </c>
      <c r="B25" s="97">
        <v>74</v>
      </c>
      <c r="C25" s="98" t="s">
        <v>21</v>
      </c>
      <c r="D25" s="98"/>
      <c r="E25" s="98"/>
      <c r="F25" s="99" t="s">
        <v>22</v>
      </c>
      <c r="G25" s="98">
        <v>1</v>
      </c>
      <c r="H25" s="98">
        <v>10</v>
      </c>
      <c r="I25" s="98">
        <f t="shared" si="2"/>
        <v>10</v>
      </c>
      <c r="J25" s="98">
        <v>22</v>
      </c>
      <c r="K25" s="98">
        <f t="shared" si="3"/>
        <v>220</v>
      </c>
      <c r="L25" s="85"/>
      <c r="M25" s="98">
        <f>SUM(K24:K25)</f>
        <v>600</v>
      </c>
    </row>
    <row r="26" s="86" customFormat="1" spans="1:13">
      <c r="A26" s="106">
        <v>45201</v>
      </c>
      <c r="B26" s="101">
        <v>1</v>
      </c>
      <c r="C26" s="90">
        <v>9803</v>
      </c>
      <c r="D26" s="90"/>
      <c r="E26" s="90"/>
      <c r="F26" s="105" t="s">
        <v>15</v>
      </c>
      <c r="G26" s="90">
        <v>10</v>
      </c>
      <c r="H26" s="90">
        <v>28</v>
      </c>
      <c r="I26" s="90">
        <f t="shared" si="2"/>
        <v>280</v>
      </c>
      <c r="J26" s="90">
        <v>10</v>
      </c>
      <c r="K26" s="90">
        <f t="shared" si="3"/>
        <v>2800</v>
      </c>
      <c r="L26" s="108"/>
      <c r="M26" s="90"/>
    </row>
    <row r="27" s="85" customFormat="1" spans="1:13">
      <c r="A27" s="96">
        <v>45205</v>
      </c>
      <c r="B27" s="97">
        <v>6</v>
      </c>
      <c r="C27" s="98" t="s">
        <v>27</v>
      </c>
      <c r="D27" s="98"/>
      <c r="E27" s="98"/>
      <c r="F27" s="107" t="s">
        <v>28</v>
      </c>
      <c r="G27" s="98">
        <v>6</v>
      </c>
      <c r="H27" s="98">
        <v>22</v>
      </c>
      <c r="I27" s="98">
        <f t="shared" si="2"/>
        <v>132</v>
      </c>
      <c r="J27" s="98">
        <v>13.5</v>
      </c>
      <c r="K27" s="98">
        <f t="shared" si="3"/>
        <v>1782</v>
      </c>
      <c r="M27" s="98"/>
    </row>
    <row r="28" s="86" customFormat="1" spans="1:13">
      <c r="A28" s="106">
        <v>45211</v>
      </c>
      <c r="B28" s="101">
        <v>24</v>
      </c>
      <c r="C28" s="90" t="s">
        <v>25</v>
      </c>
      <c r="D28" s="90"/>
      <c r="E28" s="90"/>
      <c r="F28" s="105" t="s">
        <v>26</v>
      </c>
      <c r="G28" s="90">
        <v>3</v>
      </c>
      <c r="H28" s="90">
        <v>26</v>
      </c>
      <c r="I28" s="90">
        <f t="shared" si="2"/>
        <v>78</v>
      </c>
      <c r="J28" s="90">
        <v>22</v>
      </c>
      <c r="K28" s="90">
        <f t="shared" si="3"/>
        <v>1716</v>
      </c>
      <c r="L28" s="108"/>
      <c r="M28" s="90"/>
    </row>
    <row r="29" s="86" customFormat="1" spans="1:13">
      <c r="A29" s="106">
        <v>45211</v>
      </c>
      <c r="B29" s="101">
        <v>24</v>
      </c>
      <c r="C29" s="90" t="s">
        <v>25</v>
      </c>
      <c r="D29" s="90"/>
      <c r="E29" s="90"/>
      <c r="F29" s="105" t="s">
        <v>26</v>
      </c>
      <c r="G29" s="90">
        <v>2</v>
      </c>
      <c r="H29" s="90">
        <v>25</v>
      </c>
      <c r="I29" s="90">
        <f t="shared" si="2"/>
        <v>50</v>
      </c>
      <c r="J29" s="90">
        <v>22</v>
      </c>
      <c r="K29" s="90">
        <f t="shared" si="3"/>
        <v>1100</v>
      </c>
      <c r="L29" s="108"/>
      <c r="M29" s="90"/>
    </row>
    <row r="30" s="83" customFormat="1" spans="1:13">
      <c r="A30" s="106">
        <v>45211</v>
      </c>
      <c r="B30" s="101">
        <v>24</v>
      </c>
      <c r="C30" s="90" t="s">
        <v>23</v>
      </c>
      <c r="D30" s="90"/>
      <c r="E30" s="90"/>
      <c r="F30" s="105" t="s">
        <v>24</v>
      </c>
      <c r="G30" s="90">
        <v>3</v>
      </c>
      <c r="H30" s="90">
        <v>20</v>
      </c>
      <c r="I30" s="90">
        <f t="shared" si="2"/>
        <v>60</v>
      </c>
      <c r="J30" s="90">
        <v>19</v>
      </c>
      <c r="K30" s="90">
        <f t="shared" si="3"/>
        <v>1140</v>
      </c>
      <c r="L30" s="86"/>
      <c r="M30" s="90"/>
    </row>
    <row r="31" s="86" customFormat="1" spans="1:13">
      <c r="A31" s="106">
        <v>45211</v>
      </c>
      <c r="B31" s="101">
        <v>24</v>
      </c>
      <c r="C31" s="90">
        <v>709</v>
      </c>
      <c r="D31" s="90"/>
      <c r="E31" s="90"/>
      <c r="F31" s="105" t="s">
        <v>31</v>
      </c>
      <c r="G31" s="90">
        <v>2</v>
      </c>
      <c r="H31" s="90">
        <v>25</v>
      </c>
      <c r="I31" s="90">
        <f t="shared" si="2"/>
        <v>50</v>
      </c>
      <c r="J31" s="90">
        <v>22</v>
      </c>
      <c r="K31" s="90">
        <f t="shared" si="3"/>
        <v>1100</v>
      </c>
      <c r="L31" s="108"/>
      <c r="M31" s="90"/>
    </row>
    <row r="32" s="83" customFormat="1" spans="1:13">
      <c r="A32" s="106">
        <v>45211</v>
      </c>
      <c r="B32" s="101">
        <v>24</v>
      </c>
      <c r="C32" s="90" t="s">
        <v>21</v>
      </c>
      <c r="D32" s="90"/>
      <c r="E32" s="90"/>
      <c r="F32" s="105" t="s">
        <v>22</v>
      </c>
      <c r="G32" s="90">
        <v>15</v>
      </c>
      <c r="H32" s="90">
        <v>10</v>
      </c>
      <c r="I32" s="90">
        <f t="shared" si="2"/>
        <v>150</v>
      </c>
      <c r="J32" s="90">
        <v>22</v>
      </c>
      <c r="K32" s="90">
        <f t="shared" si="3"/>
        <v>3300</v>
      </c>
      <c r="L32" s="86"/>
      <c r="M32" s="90">
        <f>SUM(K28:K32)</f>
        <v>8356</v>
      </c>
    </row>
    <row r="33" s="85" customFormat="1" spans="1:13">
      <c r="A33" s="96">
        <v>45212</v>
      </c>
      <c r="B33" s="97">
        <v>28</v>
      </c>
      <c r="C33" s="98" t="s">
        <v>27</v>
      </c>
      <c r="D33" s="98"/>
      <c r="E33" s="98"/>
      <c r="F33" s="107" t="s">
        <v>28</v>
      </c>
      <c r="G33" s="98">
        <v>5</v>
      </c>
      <c r="H33" s="98">
        <v>22</v>
      </c>
      <c r="I33" s="98">
        <f t="shared" si="2"/>
        <v>110</v>
      </c>
      <c r="J33" s="98">
        <v>13.5</v>
      </c>
      <c r="K33" s="98">
        <f t="shared" si="3"/>
        <v>1485</v>
      </c>
      <c r="M33" s="98"/>
    </row>
    <row r="34" s="85" customFormat="1" spans="1:13">
      <c r="A34" s="96">
        <v>45212</v>
      </c>
      <c r="B34" s="97">
        <v>28</v>
      </c>
      <c r="C34" s="98">
        <v>9803</v>
      </c>
      <c r="D34" s="98"/>
      <c r="E34" s="98"/>
      <c r="F34" s="99" t="s">
        <v>15</v>
      </c>
      <c r="G34" s="98">
        <v>10</v>
      </c>
      <c r="H34" s="98">
        <v>28</v>
      </c>
      <c r="I34" s="98">
        <f t="shared" si="2"/>
        <v>280</v>
      </c>
      <c r="J34" s="98">
        <v>10</v>
      </c>
      <c r="K34" s="98">
        <f t="shared" si="3"/>
        <v>2800</v>
      </c>
      <c r="L34" s="99">
        <v>9804</v>
      </c>
      <c r="M34" s="98"/>
    </row>
    <row r="35" s="85" customFormat="1" spans="1:13">
      <c r="A35" s="96">
        <v>45212</v>
      </c>
      <c r="B35" s="97">
        <v>28</v>
      </c>
      <c r="C35" s="98" t="s">
        <v>34</v>
      </c>
      <c r="D35" s="98"/>
      <c r="E35" s="98"/>
      <c r="F35" s="107" t="s">
        <v>35</v>
      </c>
      <c r="G35" s="98">
        <v>2</v>
      </c>
      <c r="H35" s="98">
        <v>20</v>
      </c>
      <c r="I35" s="98">
        <f t="shared" si="2"/>
        <v>40</v>
      </c>
      <c r="J35" s="98">
        <v>13.5</v>
      </c>
      <c r="K35" s="98">
        <f t="shared" si="3"/>
        <v>540</v>
      </c>
      <c r="M35" s="98">
        <f>SUM(K33:K35)</f>
        <v>4825</v>
      </c>
    </row>
    <row r="36" s="86" customFormat="1" spans="1:13">
      <c r="A36" s="106">
        <v>45217</v>
      </c>
      <c r="B36" s="101">
        <v>38</v>
      </c>
      <c r="C36" s="90" t="s">
        <v>34</v>
      </c>
      <c r="D36" s="90"/>
      <c r="E36" s="90"/>
      <c r="F36" s="109" t="s">
        <v>35</v>
      </c>
      <c r="G36" s="90">
        <v>5</v>
      </c>
      <c r="H36" s="90">
        <v>20</v>
      </c>
      <c r="I36" s="90">
        <f t="shared" si="2"/>
        <v>100</v>
      </c>
      <c r="J36" s="90">
        <v>13.5</v>
      </c>
      <c r="K36" s="90">
        <f t="shared" si="3"/>
        <v>1350</v>
      </c>
      <c r="L36" s="108"/>
      <c r="M36" s="90">
        <f>SUM(K36)</f>
        <v>1350</v>
      </c>
    </row>
    <row r="37" s="84" customFormat="1" spans="1:13">
      <c r="A37" s="96">
        <v>45217</v>
      </c>
      <c r="B37" s="97">
        <v>39</v>
      </c>
      <c r="C37" s="98" t="s">
        <v>13</v>
      </c>
      <c r="D37" s="98"/>
      <c r="E37" s="98"/>
      <c r="F37" s="99" t="s">
        <v>14</v>
      </c>
      <c r="G37" s="98">
        <v>1</v>
      </c>
      <c r="H37" s="98">
        <v>180</v>
      </c>
      <c r="I37" s="98">
        <f t="shared" si="2"/>
        <v>180</v>
      </c>
      <c r="J37" s="98">
        <v>11</v>
      </c>
      <c r="K37" s="98">
        <f t="shared" si="3"/>
        <v>1980</v>
      </c>
      <c r="L37" s="85"/>
      <c r="M37" s="98"/>
    </row>
    <row r="38" s="84" customFormat="1" spans="1:13">
      <c r="A38" s="96">
        <v>45217</v>
      </c>
      <c r="B38" s="97">
        <v>39</v>
      </c>
      <c r="C38" s="98">
        <v>731</v>
      </c>
      <c r="D38" s="98"/>
      <c r="E38" s="98"/>
      <c r="F38" s="99" t="s">
        <v>18</v>
      </c>
      <c r="G38" s="98">
        <v>1</v>
      </c>
      <c r="H38" s="98">
        <v>19</v>
      </c>
      <c r="I38" s="98">
        <f t="shared" si="2"/>
        <v>19</v>
      </c>
      <c r="J38" s="98">
        <v>22</v>
      </c>
      <c r="K38" s="98">
        <f t="shared" si="3"/>
        <v>418</v>
      </c>
      <c r="L38" s="85"/>
      <c r="M38" s="98"/>
    </row>
    <row r="39" s="84" customFormat="1" spans="1:13">
      <c r="A39" s="96">
        <v>45217</v>
      </c>
      <c r="B39" s="97">
        <v>39</v>
      </c>
      <c r="C39" s="98" t="s">
        <v>21</v>
      </c>
      <c r="D39" s="98"/>
      <c r="E39" s="98"/>
      <c r="F39" s="99" t="s">
        <v>22</v>
      </c>
      <c r="G39" s="98">
        <v>2</v>
      </c>
      <c r="H39" s="98">
        <v>10</v>
      </c>
      <c r="I39" s="98">
        <f t="shared" si="2"/>
        <v>20</v>
      </c>
      <c r="J39" s="98">
        <v>22</v>
      </c>
      <c r="K39" s="98">
        <f t="shared" si="3"/>
        <v>440</v>
      </c>
      <c r="L39" s="85"/>
      <c r="M39" s="98">
        <f>SUM(K37:K39)</f>
        <v>2838</v>
      </c>
    </row>
    <row r="40" s="83" customFormat="1" spans="1:13">
      <c r="A40" s="106">
        <v>45224</v>
      </c>
      <c r="B40" s="101">
        <v>58</v>
      </c>
      <c r="C40" s="90" t="s">
        <v>36</v>
      </c>
      <c r="D40" s="90"/>
      <c r="E40" s="90"/>
      <c r="F40" s="105" t="s">
        <v>37</v>
      </c>
      <c r="G40" s="90">
        <v>1</v>
      </c>
      <c r="H40" s="90">
        <v>20</v>
      </c>
      <c r="I40" s="90">
        <f t="shared" si="2"/>
        <v>20</v>
      </c>
      <c r="J40" s="90">
        <v>22</v>
      </c>
      <c r="K40" s="90">
        <f t="shared" si="3"/>
        <v>440</v>
      </c>
      <c r="L40" s="86" t="s">
        <v>38</v>
      </c>
      <c r="M40" s="90"/>
    </row>
    <row r="41" s="83" customFormat="1" spans="1:13">
      <c r="A41" s="106">
        <v>45224</v>
      </c>
      <c r="B41" s="101">
        <v>58</v>
      </c>
      <c r="C41" s="90" t="s">
        <v>21</v>
      </c>
      <c r="D41" s="90"/>
      <c r="E41" s="90"/>
      <c r="F41" s="105" t="s">
        <v>22</v>
      </c>
      <c r="G41" s="90">
        <v>1</v>
      </c>
      <c r="H41" s="90">
        <v>10</v>
      </c>
      <c r="I41" s="90">
        <f t="shared" si="2"/>
        <v>10</v>
      </c>
      <c r="J41" s="90">
        <v>22</v>
      </c>
      <c r="K41" s="90">
        <f t="shared" si="3"/>
        <v>220</v>
      </c>
      <c r="L41" s="86"/>
      <c r="M41" s="90">
        <f t="shared" ref="M41:M45" si="4">SUM(K40:K41)</f>
        <v>660</v>
      </c>
    </row>
    <row r="42" s="85" customFormat="1" spans="1:13">
      <c r="A42" s="96">
        <v>45234</v>
      </c>
      <c r="B42" s="97">
        <v>5</v>
      </c>
      <c r="C42" s="98">
        <v>9803</v>
      </c>
      <c r="D42" s="98"/>
      <c r="E42" s="98"/>
      <c r="F42" s="99" t="s">
        <v>15</v>
      </c>
      <c r="G42" s="98">
        <v>15</v>
      </c>
      <c r="H42" s="98">
        <v>28</v>
      </c>
      <c r="I42" s="98">
        <f t="shared" si="2"/>
        <v>420</v>
      </c>
      <c r="J42" s="98">
        <v>10</v>
      </c>
      <c r="K42" s="98">
        <f t="shared" si="3"/>
        <v>4200</v>
      </c>
      <c r="L42" s="110">
        <v>9804</v>
      </c>
      <c r="M42" s="103" t="s">
        <v>39</v>
      </c>
    </row>
    <row r="43" s="85" customFormat="1" spans="1:13">
      <c r="A43" s="96">
        <v>45234</v>
      </c>
      <c r="B43" s="97">
        <v>5</v>
      </c>
      <c r="C43" s="98" t="s">
        <v>27</v>
      </c>
      <c r="D43" s="98"/>
      <c r="E43" s="98"/>
      <c r="F43" s="107" t="s">
        <v>28</v>
      </c>
      <c r="G43" s="98">
        <v>5</v>
      </c>
      <c r="H43" s="98">
        <v>22</v>
      </c>
      <c r="I43" s="98">
        <f t="shared" si="2"/>
        <v>110</v>
      </c>
      <c r="J43" s="98">
        <v>13.5</v>
      </c>
      <c r="K43" s="98">
        <f t="shared" si="3"/>
        <v>1485</v>
      </c>
      <c r="M43" s="98">
        <f t="shared" si="4"/>
        <v>5685</v>
      </c>
    </row>
    <row r="44" s="83" customFormat="1" spans="1:13">
      <c r="A44" s="106">
        <v>45236</v>
      </c>
      <c r="B44" s="101" t="s">
        <v>40</v>
      </c>
      <c r="C44" s="90" t="s">
        <v>41</v>
      </c>
      <c r="D44" s="90"/>
      <c r="E44" s="90"/>
      <c r="F44" s="105" t="s">
        <v>42</v>
      </c>
      <c r="G44" s="90">
        <v>1</v>
      </c>
      <c r="H44" s="90">
        <v>10</v>
      </c>
      <c r="I44" s="98">
        <f t="shared" si="2"/>
        <v>10</v>
      </c>
      <c r="J44" s="90">
        <v>22</v>
      </c>
      <c r="K44" s="90">
        <f t="shared" si="3"/>
        <v>220</v>
      </c>
      <c r="L44" s="86"/>
      <c r="M44" s="90"/>
    </row>
    <row r="45" s="83" customFormat="1" spans="1:13">
      <c r="A45" s="106">
        <v>45224</v>
      </c>
      <c r="B45" s="101" t="s">
        <v>40</v>
      </c>
      <c r="C45" s="90" t="s">
        <v>21</v>
      </c>
      <c r="D45" s="90"/>
      <c r="E45" s="90"/>
      <c r="F45" s="105" t="s">
        <v>22</v>
      </c>
      <c r="G45" s="90">
        <v>5</v>
      </c>
      <c r="H45" s="90">
        <v>10</v>
      </c>
      <c r="I45" s="90">
        <f t="shared" si="2"/>
        <v>50</v>
      </c>
      <c r="J45" s="90">
        <v>22</v>
      </c>
      <c r="K45" s="90">
        <f t="shared" si="3"/>
        <v>1100</v>
      </c>
      <c r="L45" s="86"/>
      <c r="M45" s="90">
        <f t="shared" si="4"/>
        <v>1320</v>
      </c>
    </row>
    <row r="46" s="85" customFormat="1" spans="1:13">
      <c r="A46" s="96">
        <v>45642</v>
      </c>
      <c r="B46" s="97">
        <v>49</v>
      </c>
      <c r="C46" s="98">
        <v>9803</v>
      </c>
      <c r="D46" s="98"/>
      <c r="E46" s="98"/>
      <c r="F46" s="99" t="s">
        <v>15</v>
      </c>
      <c r="G46" s="98">
        <v>10</v>
      </c>
      <c r="H46" s="98">
        <v>28</v>
      </c>
      <c r="I46" s="90">
        <f t="shared" si="2"/>
        <v>280</v>
      </c>
      <c r="J46" s="98">
        <v>10</v>
      </c>
      <c r="K46" s="98">
        <f t="shared" si="3"/>
        <v>2800</v>
      </c>
      <c r="L46" s="111">
        <v>9804</v>
      </c>
      <c r="M46" s="99"/>
    </row>
    <row r="47" s="85" customFormat="1" spans="1:13">
      <c r="A47" s="96">
        <v>45642</v>
      </c>
      <c r="B47" s="97">
        <v>49</v>
      </c>
      <c r="C47" s="98" t="s">
        <v>27</v>
      </c>
      <c r="D47" s="98"/>
      <c r="E47" s="98"/>
      <c r="F47" s="107" t="s">
        <v>28</v>
      </c>
      <c r="G47" s="98">
        <v>4</v>
      </c>
      <c r="H47" s="98">
        <v>22</v>
      </c>
      <c r="I47" s="90">
        <f t="shared" si="2"/>
        <v>88</v>
      </c>
      <c r="J47" s="98">
        <v>13.5</v>
      </c>
      <c r="K47" s="98">
        <f t="shared" si="3"/>
        <v>1188</v>
      </c>
      <c r="M47" s="98"/>
    </row>
    <row r="48" s="84" customFormat="1" spans="1:13">
      <c r="A48" s="96">
        <v>45642</v>
      </c>
      <c r="B48" s="97">
        <v>49</v>
      </c>
      <c r="C48" s="98">
        <v>715</v>
      </c>
      <c r="D48" s="98"/>
      <c r="E48" s="98"/>
      <c r="F48" s="99" t="s">
        <v>43</v>
      </c>
      <c r="G48" s="98">
        <v>1</v>
      </c>
      <c r="H48" s="98">
        <v>10</v>
      </c>
      <c r="I48" s="90">
        <f t="shared" si="2"/>
        <v>10</v>
      </c>
      <c r="J48" s="98"/>
      <c r="K48" s="98">
        <f t="shared" si="3"/>
        <v>0</v>
      </c>
      <c r="L48" s="85" t="s">
        <v>44</v>
      </c>
      <c r="M48" s="98"/>
    </row>
    <row r="49" s="84" customFormat="1" spans="1:13">
      <c r="A49" s="96">
        <v>45642</v>
      </c>
      <c r="B49" s="97">
        <v>49</v>
      </c>
      <c r="C49" s="98">
        <v>715</v>
      </c>
      <c r="D49" s="98"/>
      <c r="E49" s="98"/>
      <c r="F49" s="99" t="s">
        <v>43</v>
      </c>
      <c r="G49" s="98">
        <v>1</v>
      </c>
      <c r="H49" s="98">
        <v>8</v>
      </c>
      <c r="I49" s="90">
        <f t="shared" si="2"/>
        <v>8</v>
      </c>
      <c r="J49" s="98">
        <v>22</v>
      </c>
      <c r="K49" s="98">
        <f t="shared" si="3"/>
        <v>176</v>
      </c>
      <c r="L49" s="85"/>
      <c r="M49" s="98"/>
    </row>
    <row r="50" s="84" customFormat="1" spans="1:13">
      <c r="A50" s="96">
        <v>45642</v>
      </c>
      <c r="B50" s="97">
        <v>49</v>
      </c>
      <c r="C50" s="98" t="s">
        <v>21</v>
      </c>
      <c r="D50" s="98"/>
      <c r="E50" s="98"/>
      <c r="F50" s="99" t="s">
        <v>22</v>
      </c>
      <c r="G50" s="98">
        <v>2</v>
      </c>
      <c r="H50" s="98">
        <v>10</v>
      </c>
      <c r="I50" s="90">
        <f t="shared" si="2"/>
        <v>20</v>
      </c>
      <c r="J50" s="98">
        <v>22</v>
      </c>
      <c r="K50" s="98">
        <f t="shared" si="3"/>
        <v>440</v>
      </c>
      <c r="L50" s="85"/>
      <c r="M50" s="98">
        <f>SUM(K46:K50)</f>
        <v>4604</v>
      </c>
    </row>
    <row r="51" s="83" customFormat="1" spans="1:13">
      <c r="A51" s="112" t="s">
        <v>45</v>
      </c>
      <c r="B51" s="101"/>
      <c r="C51" s="90"/>
      <c r="D51" s="90"/>
      <c r="E51" s="90"/>
      <c r="F51" s="103"/>
      <c r="G51" s="90"/>
      <c r="H51" s="90"/>
      <c r="I51" s="90"/>
      <c r="J51" s="90"/>
      <c r="K51" s="90"/>
      <c r="L51" s="86"/>
      <c r="M51" s="90"/>
    </row>
    <row r="52" s="1" customFormat="1" spans="1:13">
      <c r="A52" s="21" t="s">
        <v>2</v>
      </c>
      <c r="B52" s="21" t="s">
        <v>3</v>
      </c>
      <c r="C52" s="10" t="s">
        <v>4</v>
      </c>
      <c r="D52" s="10"/>
      <c r="E52" s="10"/>
      <c r="F52" s="95" t="s">
        <v>5</v>
      </c>
      <c r="G52" s="10" t="s">
        <v>6</v>
      </c>
      <c r="H52" s="10" t="s">
        <v>7</v>
      </c>
      <c r="I52" s="10" t="s">
        <v>8</v>
      </c>
      <c r="J52" s="10" t="s">
        <v>9</v>
      </c>
      <c r="K52" s="10" t="s">
        <v>10</v>
      </c>
      <c r="L52" s="10" t="s">
        <v>11</v>
      </c>
      <c r="M52" s="10" t="s">
        <v>12</v>
      </c>
    </row>
    <row r="53" s="83" customFormat="1" spans="1:13">
      <c r="A53" s="106">
        <v>45304</v>
      </c>
      <c r="B53" s="101">
        <v>31</v>
      </c>
      <c r="C53" s="90" t="s">
        <v>46</v>
      </c>
      <c r="D53" s="90"/>
      <c r="E53" s="90"/>
      <c r="F53" s="105" t="s">
        <v>47</v>
      </c>
      <c r="G53" s="90">
        <v>1</v>
      </c>
      <c r="H53" s="90">
        <v>4</v>
      </c>
      <c r="I53" s="98">
        <f t="shared" ref="I53:I77" si="5">G53*H53</f>
        <v>4</v>
      </c>
      <c r="J53" s="90">
        <v>22</v>
      </c>
      <c r="K53" s="90">
        <f t="shared" ref="K53:K77" si="6">I53*J53</f>
        <v>88</v>
      </c>
      <c r="L53" s="86" t="s">
        <v>48</v>
      </c>
      <c r="M53" s="90"/>
    </row>
    <row r="54" s="83" customFormat="1" spans="1:13">
      <c r="A54" s="106">
        <v>45304</v>
      </c>
      <c r="B54" s="101">
        <v>31</v>
      </c>
      <c r="C54" s="90" t="s">
        <v>49</v>
      </c>
      <c r="D54" s="90"/>
      <c r="E54" s="90"/>
      <c r="F54" s="105" t="s">
        <v>50</v>
      </c>
      <c r="G54" s="90">
        <v>1</v>
      </c>
      <c r="H54" s="90">
        <v>4</v>
      </c>
      <c r="I54" s="98">
        <f t="shared" si="5"/>
        <v>4</v>
      </c>
      <c r="J54" s="90">
        <v>22</v>
      </c>
      <c r="K54" s="90">
        <f t="shared" si="6"/>
        <v>88</v>
      </c>
      <c r="L54" s="86" t="s">
        <v>48</v>
      </c>
      <c r="M54" s="90">
        <f>SUM(K53:K54)</f>
        <v>176</v>
      </c>
    </row>
    <row r="55" s="85" customFormat="1" spans="1:13">
      <c r="A55" s="96">
        <v>45308</v>
      </c>
      <c r="B55" s="97">
        <v>57</v>
      </c>
      <c r="C55" s="98">
        <v>9803</v>
      </c>
      <c r="D55" s="98"/>
      <c r="E55" s="98"/>
      <c r="F55" s="99" t="s">
        <v>15</v>
      </c>
      <c r="G55" s="98">
        <v>10</v>
      </c>
      <c r="H55" s="98">
        <v>28</v>
      </c>
      <c r="I55" s="90">
        <f t="shared" si="5"/>
        <v>280</v>
      </c>
      <c r="J55" s="98">
        <v>10</v>
      </c>
      <c r="K55" s="98">
        <f t="shared" si="6"/>
        <v>2800</v>
      </c>
      <c r="L55" s="111">
        <v>9804</v>
      </c>
      <c r="M55" s="99"/>
    </row>
    <row r="56" s="86" customFormat="1" spans="1:13">
      <c r="A56" s="106">
        <v>45309</v>
      </c>
      <c r="B56" s="101">
        <v>72</v>
      </c>
      <c r="C56" s="90" t="s">
        <v>27</v>
      </c>
      <c r="D56" s="90"/>
      <c r="E56" s="90"/>
      <c r="F56" s="109" t="s">
        <v>28</v>
      </c>
      <c r="G56" s="90">
        <v>2</v>
      </c>
      <c r="H56" s="90">
        <v>22</v>
      </c>
      <c r="I56" s="90">
        <f t="shared" si="5"/>
        <v>44</v>
      </c>
      <c r="J56" s="90">
        <v>13.5</v>
      </c>
      <c r="K56" s="90">
        <f t="shared" si="6"/>
        <v>594</v>
      </c>
      <c r="M56" s="90"/>
    </row>
    <row r="57" s="86" customFormat="1" spans="1:13">
      <c r="A57" s="106">
        <v>45309</v>
      </c>
      <c r="B57" s="101">
        <v>72</v>
      </c>
      <c r="C57" s="90" t="s">
        <v>34</v>
      </c>
      <c r="D57" s="90"/>
      <c r="E57" s="90"/>
      <c r="F57" s="109" t="s">
        <v>35</v>
      </c>
      <c r="G57" s="90">
        <v>1</v>
      </c>
      <c r="H57" s="90">
        <v>20</v>
      </c>
      <c r="I57" s="90">
        <f t="shared" si="5"/>
        <v>20</v>
      </c>
      <c r="J57" s="90">
        <v>13.5</v>
      </c>
      <c r="K57" s="90">
        <f t="shared" si="6"/>
        <v>270</v>
      </c>
      <c r="M57" s="90"/>
    </row>
    <row r="58" s="83" customFormat="1" spans="1:13">
      <c r="A58" s="106">
        <v>45309</v>
      </c>
      <c r="B58" s="101">
        <v>72</v>
      </c>
      <c r="C58" s="90" t="s">
        <v>21</v>
      </c>
      <c r="D58" s="90"/>
      <c r="E58" s="90"/>
      <c r="F58" s="105" t="s">
        <v>22</v>
      </c>
      <c r="G58" s="90">
        <v>5</v>
      </c>
      <c r="H58" s="90">
        <v>10</v>
      </c>
      <c r="I58" s="90">
        <f t="shared" si="5"/>
        <v>50</v>
      </c>
      <c r="J58" s="90">
        <v>22</v>
      </c>
      <c r="K58" s="90">
        <f t="shared" si="6"/>
        <v>1100</v>
      </c>
      <c r="L58" s="86"/>
      <c r="M58" s="90">
        <f>SUM(K56:K58)</f>
        <v>1964</v>
      </c>
    </row>
    <row r="59" s="84" customFormat="1" spans="1:13">
      <c r="A59" s="96">
        <v>45312</v>
      </c>
      <c r="B59" s="97">
        <v>78</v>
      </c>
      <c r="C59" s="98" t="s">
        <v>51</v>
      </c>
      <c r="D59" s="98"/>
      <c r="E59" s="98"/>
      <c r="F59" s="99" t="s">
        <v>52</v>
      </c>
      <c r="G59" s="98">
        <v>1</v>
      </c>
      <c r="H59" s="98">
        <v>10</v>
      </c>
      <c r="I59" s="98">
        <f t="shared" si="5"/>
        <v>10</v>
      </c>
      <c r="J59" s="98">
        <v>25</v>
      </c>
      <c r="K59" s="98">
        <f t="shared" si="6"/>
        <v>250</v>
      </c>
      <c r="L59" s="85"/>
      <c r="M59" s="98"/>
    </row>
    <row r="60" s="84" customFormat="1" spans="1:13">
      <c r="A60" s="96">
        <v>45312</v>
      </c>
      <c r="B60" s="97">
        <v>78</v>
      </c>
      <c r="C60" s="98">
        <v>709</v>
      </c>
      <c r="D60" s="98"/>
      <c r="E60" s="98"/>
      <c r="F60" s="99" t="s">
        <v>31</v>
      </c>
      <c r="G60" s="98">
        <v>1</v>
      </c>
      <c r="H60" s="98">
        <v>16</v>
      </c>
      <c r="I60" s="98">
        <f t="shared" si="5"/>
        <v>16</v>
      </c>
      <c r="J60" s="98">
        <v>22</v>
      </c>
      <c r="K60" s="98">
        <f t="shared" si="6"/>
        <v>352</v>
      </c>
      <c r="L60" s="85"/>
      <c r="M60" s="98"/>
    </row>
    <row r="61" s="84" customFormat="1" spans="1:13">
      <c r="A61" s="96">
        <v>45312</v>
      </c>
      <c r="B61" s="97">
        <v>78</v>
      </c>
      <c r="C61" s="98">
        <v>709</v>
      </c>
      <c r="D61" s="98"/>
      <c r="E61" s="98"/>
      <c r="F61" s="99" t="s">
        <v>31</v>
      </c>
      <c r="G61" s="98">
        <v>1</v>
      </c>
      <c r="H61" s="98">
        <v>10</v>
      </c>
      <c r="I61" s="98">
        <f t="shared" si="5"/>
        <v>10</v>
      </c>
      <c r="J61" s="98"/>
      <c r="K61" s="98">
        <f t="shared" si="6"/>
        <v>0</v>
      </c>
      <c r="L61" s="85"/>
      <c r="M61" s="98"/>
    </row>
    <row r="62" s="84" customFormat="1" spans="1:13">
      <c r="A62" s="96">
        <v>45312</v>
      </c>
      <c r="B62" s="97">
        <v>78</v>
      </c>
      <c r="C62" s="98" t="s">
        <v>21</v>
      </c>
      <c r="D62" s="98"/>
      <c r="E62" s="98"/>
      <c r="F62" s="99" t="s">
        <v>22</v>
      </c>
      <c r="G62" s="98">
        <v>5</v>
      </c>
      <c r="H62" s="98">
        <v>10</v>
      </c>
      <c r="I62" s="98">
        <f t="shared" si="5"/>
        <v>50</v>
      </c>
      <c r="J62" s="98">
        <v>22</v>
      </c>
      <c r="K62" s="98">
        <f t="shared" si="6"/>
        <v>1100</v>
      </c>
      <c r="L62" s="85"/>
      <c r="M62" s="98">
        <f>SUM(K59:K62)</f>
        <v>1702</v>
      </c>
    </row>
    <row r="63" s="83" customFormat="1" spans="1:13">
      <c r="A63" s="106">
        <v>45313</v>
      </c>
      <c r="B63" s="101">
        <v>82</v>
      </c>
      <c r="C63" s="90">
        <v>9803</v>
      </c>
      <c r="D63" s="90"/>
      <c r="E63" s="90"/>
      <c r="F63" s="105" t="s">
        <v>15</v>
      </c>
      <c r="G63" s="90">
        <v>10</v>
      </c>
      <c r="H63" s="90">
        <v>28</v>
      </c>
      <c r="I63" s="90">
        <f t="shared" si="5"/>
        <v>280</v>
      </c>
      <c r="J63" s="90">
        <v>10</v>
      </c>
      <c r="K63" s="90">
        <f t="shared" si="6"/>
        <v>2800</v>
      </c>
      <c r="L63" s="113">
        <v>9804</v>
      </c>
      <c r="M63" s="90"/>
    </row>
    <row r="64" s="83" customFormat="1" spans="1:13">
      <c r="A64" s="106">
        <v>45313</v>
      </c>
      <c r="B64" s="101">
        <v>82</v>
      </c>
      <c r="C64" s="90" t="s">
        <v>25</v>
      </c>
      <c r="D64" s="90"/>
      <c r="E64" s="90"/>
      <c r="F64" s="105" t="s">
        <v>26</v>
      </c>
      <c r="G64" s="90">
        <v>1</v>
      </c>
      <c r="H64" s="90">
        <v>25</v>
      </c>
      <c r="I64" s="90">
        <f t="shared" si="5"/>
        <v>25</v>
      </c>
      <c r="J64" s="90">
        <v>22</v>
      </c>
      <c r="K64" s="90">
        <f t="shared" si="6"/>
        <v>550</v>
      </c>
      <c r="L64" s="86"/>
      <c r="M64" s="90"/>
    </row>
    <row r="65" s="83" customFormat="1" spans="1:13">
      <c r="A65" s="106">
        <v>45313</v>
      </c>
      <c r="B65" s="101">
        <v>82</v>
      </c>
      <c r="C65" s="90" t="s">
        <v>34</v>
      </c>
      <c r="D65" s="90"/>
      <c r="E65" s="90"/>
      <c r="F65" s="109" t="s">
        <v>35</v>
      </c>
      <c r="G65" s="90">
        <v>1</v>
      </c>
      <c r="H65" s="90">
        <v>20</v>
      </c>
      <c r="I65" s="90">
        <f t="shared" si="5"/>
        <v>20</v>
      </c>
      <c r="J65" s="90">
        <v>13.5</v>
      </c>
      <c r="K65" s="90">
        <f t="shared" si="6"/>
        <v>270</v>
      </c>
      <c r="L65" s="86"/>
      <c r="M65" s="90"/>
    </row>
    <row r="66" s="83" customFormat="1" spans="1:13">
      <c r="A66" s="106">
        <v>45313</v>
      </c>
      <c r="B66" s="101">
        <v>82</v>
      </c>
      <c r="C66" s="90" t="s">
        <v>21</v>
      </c>
      <c r="D66" s="90"/>
      <c r="E66" s="90"/>
      <c r="F66" s="105" t="s">
        <v>22</v>
      </c>
      <c r="G66" s="90">
        <v>1</v>
      </c>
      <c r="H66" s="90">
        <v>10</v>
      </c>
      <c r="I66" s="90">
        <f t="shared" si="5"/>
        <v>10</v>
      </c>
      <c r="J66" s="90">
        <v>22</v>
      </c>
      <c r="K66" s="90">
        <f t="shared" si="6"/>
        <v>220</v>
      </c>
      <c r="L66" s="86"/>
      <c r="M66" s="90"/>
    </row>
    <row r="67" s="83" customFormat="1" spans="1:13">
      <c r="A67" s="106">
        <v>45313</v>
      </c>
      <c r="B67" s="101">
        <v>82</v>
      </c>
      <c r="C67" s="90" t="s">
        <v>13</v>
      </c>
      <c r="D67" s="90"/>
      <c r="E67" s="90"/>
      <c r="F67" s="105" t="s">
        <v>14</v>
      </c>
      <c r="G67" s="90">
        <v>1</v>
      </c>
      <c r="H67" s="90">
        <v>180</v>
      </c>
      <c r="I67" s="90">
        <f t="shared" si="5"/>
        <v>180</v>
      </c>
      <c r="J67" s="90">
        <v>11</v>
      </c>
      <c r="K67" s="90">
        <f t="shared" si="6"/>
        <v>1980</v>
      </c>
      <c r="L67" s="86"/>
      <c r="M67" s="90">
        <f>SUM(K63:K67)</f>
        <v>5820</v>
      </c>
    </row>
    <row r="68" s="84" customFormat="1" spans="1:13">
      <c r="A68" s="96">
        <v>45317</v>
      </c>
      <c r="B68" s="97">
        <v>104</v>
      </c>
      <c r="C68" s="98" t="s">
        <v>23</v>
      </c>
      <c r="D68" s="98"/>
      <c r="E68" s="98"/>
      <c r="F68" s="99" t="s">
        <v>24</v>
      </c>
      <c r="G68" s="98">
        <v>1</v>
      </c>
      <c r="H68" s="98">
        <v>20</v>
      </c>
      <c r="I68" s="98">
        <f t="shared" si="5"/>
        <v>20</v>
      </c>
      <c r="J68" s="98">
        <v>19</v>
      </c>
      <c r="K68" s="98">
        <f t="shared" si="6"/>
        <v>380</v>
      </c>
      <c r="L68" s="85"/>
      <c r="M68" s="98"/>
    </row>
    <row r="69" s="84" customFormat="1" spans="1:13">
      <c r="A69" s="96">
        <v>45317</v>
      </c>
      <c r="B69" s="97">
        <v>104</v>
      </c>
      <c r="C69" s="98" t="s">
        <v>21</v>
      </c>
      <c r="D69" s="98"/>
      <c r="E69" s="98"/>
      <c r="F69" s="99" t="s">
        <v>22</v>
      </c>
      <c r="G69" s="98">
        <v>2</v>
      </c>
      <c r="H69" s="98">
        <v>10</v>
      </c>
      <c r="I69" s="98">
        <f t="shared" si="5"/>
        <v>20</v>
      </c>
      <c r="J69" s="98">
        <v>22</v>
      </c>
      <c r="K69" s="98">
        <f t="shared" si="6"/>
        <v>440</v>
      </c>
      <c r="L69" s="85"/>
      <c r="M69" s="98"/>
    </row>
    <row r="70" s="85" customFormat="1" spans="1:13">
      <c r="A70" s="96">
        <v>45317</v>
      </c>
      <c r="B70" s="97">
        <v>104</v>
      </c>
      <c r="C70" s="98" t="s">
        <v>53</v>
      </c>
      <c r="D70" s="98"/>
      <c r="E70" s="98"/>
      <c r="F70" s="107" t="s">
        <v>54</v>
      </c>
      <c r="G70" s="98">
        <v>5</v>
      </c>
      <c r="H70" s="98">
        <v>25</v>
      </c>
      <c r="I70" s="98">
        <f t="shared" si="5"/>
        <v>125</v>
      </c>
      <c r="J70" s="98">
        <v>15.5</v>
      </c>
      <c r="K70" s="98">
        <f t="shared" si="6"/>
        <v>1937.5</v>
      </c>
      <c r="M70" s="98"/>
    </row>
    <row r="71" s="84" customFormat="1" spans="1:13">
      <c r="A71" s="96">
        <v>45317</v>
      </c>
      <c r="B71" s="97">
        <v>104</v>
      </c>
      <c r="C71" s="98">
        <v>9803</v>
      </c>
      <c r="D71" s="98"/>
      <c r="E71" s="98"/>
      <c r="F71" s="99" t="s">
        <v>15</v>
      </c>
      <c r="G71" s="98">
        <v>10</v>
      </c>
      <c r="H71" s="98">
        <v>28</v>
      </c>
      <c r="I71" s="98">
        <f t="shared" si="5"/>
        <v>280</v>
      </c>
      <c r="J71" s="98">
        <v>10</v>
      </c>
      <c r="K71" s="98">
        <f t="shared" si="6"/>
        <v>2800</v>
      </c>
      <c r="L71" s="111">
        <v>9804</v>
      </c>
      <c r="M71" s="98">
        <f>SUM(K68:K71)</f>
        <v>5557.5</v>
      </c>
    </row>
    <row r="72" s="83" customFormat="1" spans="1:13">
      <c r="A72" s="106">
        <v>45369</v>
      </c>
      <c r="B72" s="101">
        <v>50</v>
      </c>
      <c r="C72" s="90" t="s">
        <v>25</v>
      </c>
      <c r="D72" s="90"/>
      <c r="E72" s="90"/>
      <c r="F72" s="105" t="s">
        <v>26</v>
      </c>
      <c r="G72" s="90">
        <v>1</v>
      </c>
      <c r="H72" s="90">
        <v>26</v>
      </c>
      <c r="I72" s="90">
        <f t="shared" si="5"/>
        <v>26</v>
      </c>
      <c r="J72" s="90">
        <v>22</v>
      </c>
      <c r="K72" s="90">
        <f t="shared" si="6"/>
        <v>572</v>
      </c>
      <c r="L72" s="86"/>
      <c r="M72" s="90"/>
    </row>
    <row r="73" s="83" customFormat="1" spans="1:13">
      <c r="A73" s="106">
        <v>45369</v>
      </c>
      <c r="B73" s="101">
        <v>50</v>
      </c>
      <c r="C73" s="90" t="s">
        <v>25</v>
      </c>
      <c r="D73" s="90"/>
      <c r="E73" s="90"/>
      <c r="F73" s="105" t="s">
        <v>26</v>
      </c>
      <c r="G73" s="90">
        <v>5</v>
      </c>
      <c r="H73" s="90">
        <v>25</v>
      </c>
      <c r="I73" s="90">
        <f t="shared" si="5"/>
        <v>125</v>
      </c>
      <c r="J73" s="90">
        <v>22</v>
      </c>
      <c r="K73" s="90">
        <f t="shared" si="6"/>
        <v>2750</v>
      </c>
      <c r="L73" s="86"/>
      <c r="M73" s="90"/>
    </row>
    <row r="74" s="83" customFormat="1" spans="1:13">
      <c r="A74" s="106">
        <v>45369</v>
      </c>
      <c r="B74" s="101">
        <v>50</v>
      </c>
      <c r="C74" s="90" t="s">
        <v>23</v>
      </c>
      <c r="D74" s="90"/>
      <c r="E74" s="90"/>
      <c r="F74" s="105" t="s">
        <v>24</v>
      </c>
      <c r="G74" s="90">
        <v>2</v>
      </c>
      <c r="H74" s="90">
        <v>20</v>
      </c>
      <c r="I74" s="90">
        <f t="shared" si="5"/>
        <v>40</v>
      </c>
      <c r="J74" s="90">
        <v>19</v>
      </c>
      <c r="K74" s="90">
        <f t="shared" si="6"/>
        <v>760</v>
      </c>
      <c r="L74" s="86"/>
      <c r="M74" s="90"/>
    </row>
    <row r="75" s="83" customFormat="1" spans="1:13">
      <c r="A75" s="106">
        <v>45369</v>
      </c>
      <c r="B75" s="101">
        <v>50</v>
      </c>
      <c r="C75" s="90">
        <v>709</v>
      </c>
      <c r="D75" s="90"/>
      <c r="E75" s="90"/>
      <c r="F75" s="105" t="s">
        <v>31</v>
      </c>
      <c r="G75" s="90">
        <v>1</v>
      </c>
      <c r="H75" s="90">
        <v>26</v>
      </c>
      <c r="I75" s="90">
        <f t="shared" si="5"/>
        <v>26</v>
      </c>
      <c r="J75" s="90">
        <v>22</v>
      </c>
      <c r="K75" s="90">
        <f t="shared" si="6"/>
        <v>572</v>
      </c>
      <c r="L75" s="86"/>
      <c r="M75" s="90"/>
    </row>
    <row r="76" s="83" customFormat="1" spans="1:13">
      <c r="A76" s="106">
        <v>45369</v>
      </c>
      <c r="B76" s="101">
        <v>50</v>
      </c>
      <c r="C76" s="90" t="s">
        <v>21</v>
      </c>
      <c r="D76" s="90"/>
      <c r="E76" s="90"/>
      <c r="F76" s="105" t="s">
        <v>22</v>
      </c>
      <c r="G76" s="90">
        <v>10</v>
      </c>
      <c r="H76" s="90">
        <v>10</v>
      </c>
      <c r="I76" s="90">
        <f t="shared" si="5"/>
        <v>100</v>
      </c>
      <c r="J76" s="90">
        <v>22</v>
      </c>
      <c r="K76" s="90">
        <f t="shared" si="6"/>
        <v>2200</v>
      </c>
      <c r="L76" s="86"/>
      <c r="M76" s="90"/>
    </row>
    <row r="77" s="83" customFormat="1" spans="1:13">
      <c r="A77" s="106">
        <v>45369</v>
      </c>
      <c r="B77" s="101">
        <v>50</v>
      </c>
      <c r="C77" s="90" t="s">
        <v>55</v>
      </c>
      <c r="D77" s="90"/>
      <c r="E77" s="90"/>
      <c r="F77" s="105" t="s">
        <v>14</v>
      </c>
      <c r="G77" s="90">
        <v>1</v>
      </c>
      <c r="H77" s="90">
        <v>180</v>
      </c>
      <c r="I77" s="90">
        <f t="shared" si="5"/>
        <v>180</v>
      </c>
      <c r="J77" s="90">
        <v>11</v>
      </c>
      <c r="K77" s="90">
        <f t="shared" si="6"/>
        <v>1980</v>
      </c>
      <c r="L77" s="86"/>
      <c r="M77" s="90">
        <f>SUM(K72:K77)</f>
        <v>8834</v>
      </c>
    </row>
    <row r="78" s="83" customFormat="1" spans="1:13">
      <c r="A78" s="106"/>
      <c r="B78" s="101"/>
      <c r="C78" s="90"/>
      <c r="D78" s="90"/>
      <c r="E78" s="90"/>
      <c r="F78" s="103" t="s">
        <v>56</v>
      </c>
      <c r="G78" s="90"/>
      <c r="H78" s="90"/>
      <c r="I78" s="90"/>
      <c r="J78" s="90"/>
      <c r="K78" s="90"/>
      <c r="L78" s="86"/>
      <c r="M78" s="90"/>
    </row>
    <row r="79" s="84" customFormat="1" spans="1:13">
      <c r="A79" s="96">
        <v>45390</v>
      </c>
      <c r="B79" s="97">
        <v>28</v>
      </c>
      <c r="C79" s="98" t="s">
        <v>51</v>
      </c>
      <c r="D79" s="98"/>
      <c r="E79" s="98"/>
      <c r="F79" s="99" t="s">
        <v>57</v>
      </c>
      <c r="G79" s="98">
        <v>1</v>
      </c>
      <c r="H79" s="102">
        <v>10</v>
      </c>
      <c r="I79" s="98">
        <f>G79*H79</f>
        <v>10</v>
      </c>
      <c r="J79" s="114">
        <v>22</v>
      </c>
      <c r="K79" s="114">
        <f>I79*J79</f>
        <v>220</v>
      </c>
      <c r="L79" s="85"/>
      <c r="M79" s="98"/>
    </row>
    <row r="80" s="84" customFormat="1" spans="1:13">
      <c r="A80" s="96">
        <v>45390</v>
      </c>
      <c r="B80" s="97">
        <v>28</v>
      </c>
      <c r="C80" s="98" t="s">
        <v>58</v>
      </c>
      <c r="D80" s="98"/>
      <c r="E80" s="98"/>
      <c r="F80" s="99" t="s">
        <v>59</v>
      </c>
      <c r="G80" s="98">
        <v>1</v>
      </c>
      <c r="H80" s="98">
        <v>26</v>
      </c>
      <c r="I80" s="98">
        <f t="shared" ref="I80:I113" si="7">G80*H80</f>
        <v>26</v>
      </c>
      <c r="J80" s="114">
        <v>18</v>
      </c>
      <c r="K80" s="114">
        <f t="shared" ref="K80:K95" si="8">I80*J80</f>
        <v>468</v>
      </c>
      <c r="L80" s="85"/>
      <c r="M80" s="98"/>
    </row>
    <row r="81" s="84" customFormat="1" spans="1:13">
      <c r="A81" s="96">
        <v>45390</v>
      </c>
      <c r="B81" s="97">
        <v>28</v>
      </c>
      <c r="C81" s="98" t="s">
        <v>17</v>
      </c>
      <c r="D81" s="98"/>
      <c r="E81" s="98"/>
      <c r="F81" s="99" t="s">
        <v>18</v>
      </c>
      <c r="G81" s="98">
        <v>1</v>
      </c>
      <c r="H81" s="98">
        <v>16</v>
      </c>
      <c r="I81" s="98">
        <f t="shared" si="7"/>
        <v>16</v>
      </c>
      <c r="J81" s="114">
        <v>18</v>
      </c>
      <c r="K81" s="114">
        <f t="shared" si="8"/>
        <v>288</v>
      </c>
      <c r="L81" s="85"/>
      <c r="M81" s="98"/>
    </row>
    <row r="82" s="84" customFormat="1" spans="1:13">
      <c r="A82" s="96">
        <v>45390</v>
      </c>
      <c r="B82" s="97">
        <v>28</v>
      </c>
      <c r="C82" s="98" t="s">
        <v>19</v>
      </c>
      <c r="D82" s="98"/>
      <c r="E82" s="98"/>
      <c r="F82" s="99" t="s">
        <v>20</v>
      </c>
      <c r="G82" s="98">
        <v>1</v>
      </c>
      <c r="H82" s="102">
        <v>15</v>
      </c>
      <c r="I82" s="98">
        <f t="shared" si="7"/>
        <v>15</v>
      </c>
      <c r="J82" s="114">
        <v>22</v>
      </c>
      <c r="K82" s="114">
        <f t="shared" si="8"/>
        <v>330</v>
      </c>
      <c r="L82" s="85"/>
      <c r="M82" s="98"/>
    </row>
    <row r="83" s="84" customFormat="1" spans="1:13">
      <c r="A83" s="96">
        <v>45390</v>
      </c>
      <c r="B83" s="97">
        <v>28</v>
      </c>
      <c r="C83" s="98" t="s">
        <v>23</v>
      </c>
      <c r="D83" s="98"/>
      <c r="E83" s="98"/>
      <c r="F83" s="99" t="s">
        <v>24</v>
      </c>
      <c r="G83" s="98">
        <v>2</v>
      </c>
      <c r="H83" s="98">
        <v>20</v>
      </c>
      <c r="I83" s="98">
        <f t="shared" si="7"/>
        <v>40</v>
      </c>
      <c r="J83" s="114">
        <v>18</v>
      </c>
      <c r="K83" s="114">
        <f t="shared" si="8"/>
        <v>720</v>
      </c>
      <c r="L83" s="85"/>
      <c r="M83" s="98"/>
    </row>
    <row r="84" s="84" customFormat="1" spans="1:13">
      <c r="A84" s="96">
        <v>45390</v>
      </c>
      <c r="B84" s="97">
        <v>28</v>
      </c>
      <c r="C84" s="98">
        <v>709</v>
      </c>
      <c r="D84" s="98"/>
      <c r="E84" s="98"/>
      <c r="F84" s="99" t="s">
        <v>31</v>
      </c>
      <c r="G84" s="98">
        <v>1</v>
      </c>
      <c r="H84" s="98">
        <v>26</v>
      </c>
      <c r="I84" s="98">
        <f t="shared" si="7"/>
        <v>26</v>
      </c>
      <c r="J84" s="114">
        <v>18</v>
      </c>
      <c r="K84" s="114">
        <f t="shared" si="8"/>
        <v>468</v>
      </c>
      <c r="L84" s="85"/>
      <c r="M84" s="98"/>
    </row>
    <row r="85" s="84" customFormat="1" spans="1:13">
      <c r="A85" s="96">
        <v>45390</v>
      </c>
      <c r="B85" s="97">
        <v>28</v>
      </c>
      <c r="C85" s="98" t="s">
        <v>21</v>
      </c>
      <c r="D85" s="98"/>
      <c r="E85" s="98"/>
      <c r="F85" s="99" t="s">
        <v>22</v>
      </c>
      <c r="G85" s="98">
        <v>8</v>
      </c>
      <c r="H85" s="98">
        <v>10</v>
      </c>
      <c r="I85" s="98">
        <f t="shared" si="7"/>
        <v>80</v>
      </c>
      <c r="J85" s="114">
        <v>18</v>
      </c>
      <c r="K85" s="114">
        <f t="shared" si="8"/>
        <v>1440</v>
      </c>
      <c r="L85" s="85"/>
      <c r="M85" s="98">
        <f>SUM(K79:K85)</f>
        <v>3934</v>
      </c>
    </row>
    <row r="86" s="83" customFormat="1" spans="1:13">
      <c r="A86" s="106">
        <v>45395</v>
      </c>
      <c r="B86" s="101">
        <v>42</v>
      </c>
      <c r="C86" s="115" t="s">
        <v>60</v>
      </c>
      <c r="D86" s="90"/>
      <c r="E86" s="90"/>
      <c r="F86" s="105" t="s">
        <v>61</v>
      </c>
      <c r="G86" s="90">
        <v>1</v>
      </c>
      <c r="H86" s="90">
        <v>4</v>
      </c>
      <c r="I86" s="90">
        <f t="shared" si="7"/>
        <v>4</v>
      </c>
      <c r="J86" s="116">
        <v>18</v>
      </c>
      <c r="K86" s="116">
        <f t="shared" si="8"/>
        <v>72</v>
      </c>
      <c r="L86" s="86" t="s">
        <v>62</v>
      </c>
      <c r="M86" s="90"/>
    </row>
    <row r="87" s="86" customFormat="1" spans="1:13">
      <c r="A87" s="106">
        <v>45395</v>
      </c>
      <c r="B87" s="101">
        <v>42</v>
      </c>
      <c r="C87" s="90" t="s">
        <v>53</v>
      </c>
      <c r="D87" s="90"/>
      <c r="E87" s="90"/>
      <c r="F87" s="109" t="s">
        <v>54</v>
      </c>
      <c r="G87" s="90">
        <v>2</v>
      </c>
      <c r="H87" s="90">
        <v>25</v>
      </c>
      <c r="I87" s="90">
        <f t="shared" si="7"/>
        <v>50</v>
      </c>
      <c r="J87" s="90">
        <v>14</v>
      </c>
      <c r="K87" s="116">
        <f t="shared" si="8"/>
        <v>700</v>
      </c>
      <c r="M87" s="90">
        <f>SUM(K86:K87)</f>
        <v>772</v>
      </c>
    </row>
    <row r="88" s="85" customFormat="1" spans="1:13">
      <c r="A88" s="96">
        <v>45395</v>
      </c>
      <c r="B88" s="97">
        <v>42</v>
      </c>
      <c r="C88" s="98" t="s">
        <v>53</v>
      </c>
      <c r="D88" s="98"/>
      <c r="E88" s="98"/>
      <c r="F88" s="107" t="s">
        <v>54</v>
      </c>
      <c r="G88" s="98">
        <v>3</v>
      </c>
      <c r="H88" s="98">
        <v>25</v>
      </c>
      <c r="I88" s="98">
        <f t="shared" si="7"/>
        <v>75</v>
      </c>
      <c r="J88" s="98">
        <v>14</v>
      </c>
      <c r="K88" s="114">
        <f t="shared" si="8"/>
        <v>1050</v>
      </c>
      <c r="M88" s="98">
        <f>SUM(K87:K88)</f>
        <v>1750</v>
      </c>
    </row>
    <row r="89" s="83" customFormat="1" spans="1:13">
      <c r="A89" s="106">
        <v>45390</v>
      </c>
      <c r="B89" s="101">
        <v>28</v>
      </c>
      <c r="C89" s="90" t="s">
        <v>63</v>
      </c>
      <c r="D89" s="90"/>
      <c r="E89" s="90"/>
      <c r="F89" s="105" t="s">
        <v>64</v>
      </c>
      <c r="G89" s="90">
        <v>2</v>
      </c>
      <c r="H89" s="90">
        <v>25</v>
      </c>
      <c r="I89" s="90">
        <f t="shared" si="7"/>
        <v>50</v>
      </c>
      <c r="J89" s="116">
        <v>18</v>
      </c>
      <c r="K89" s="116">
        <f t="shared" si="8"/>
        <v>900</v>
      </c>
      <c r="L89" s="86"/>
      <c r="M89" s="90"/>
    </row>
    <row r="90" s="83" customFormat="1" spans="1:13">
      <c r="A90" s="106">
        <v>45390</v>
      </c>
      <c r="B90" s="101">
        <v>28</v>
      </c>
      <c r="C90" s="90" t="s">
        <v>21</v>
      </c>
      <c r="D90" s="90"/>
      <c r="E90" s="90"/>
      <c r="F90" s="105" t="s">
        <v>22</v>
      </c>
      <c r="G90" s="90">
        <v>6</v>
      </c>
      <c r="H90" s="90">
        <v>10</v>
      </c>
      <c r="I90" s="90">
        <f t="shared" si="7"/>
        <v>60</v>
      </c>
      <c r="J90" s="116">
        <v>18</v>
      </c>
      <c r="K90" s="116">
        <f t="shared" si="8"/>
        <v>1080</v>
      </c>
      <c r="L90" s="86"/>
      <c r="M90" s="90">
        <f>SUM(K84:K90)</f>
        <v>5710</v>
      </c>
    </row>
    <row r="91" s="84" customFormat="1" spans="1:13">
      <c r="A91" s="96">
        <v>45425</v>
      </c>
      <c r="B91" s="97">
        <v>13</v>
      </c>
      <c r="C91" s="98" t="s">
        <v>17</v>
      </c>
      <c r="D91" s="98"/>
      <c r="E91" s="98"/>
      <c r="F91" s="99" t="s">
        <v>18</v>
      </c>
      <c r="G91" s="98">
        <v>1</v>
      </c>
      <c r="H91" s="98">
        <v>11</v>
      </c>
      <c r="I91" s="98">
        <f t="shared" si="7"/>
        <v>11</v>
      </c>
      <c r="J91" s="114">
        <v>18</v>
      </c>
      <c r="K91" s="114">
        <f t="shared" si="8"/>
        <v>198</v>
      </c>
      <c r="L91" s="85"/>
      <c r="M91" s="98"/>
    </row>
    <row r="92" s="84" customFormat="1" spans="1:13">
      <c r="A92" s="96">
        <v>45425</v>
      </c>
      <c r="B92" s="97">
        <v>13</v>
      </c>
      <c r="C92" s="98" t="s">
        <v>21</v>
      </c>
      <c r="D92" s="98"/>
      <c r="E92" s="98"/>
      <c r="F92" s="99" t="s">
        <v>22</v>
      </c>
      <c r="G92" s="98">
        <v>4</v>
      </c>
      <c r="H92" s="98">
        <v>10</v>
      </c>
      <c r="I92" s="98">
        <f t="shared" si="7"/>
        <v>40</v>
      </c>
      <c r="J92" s="114">
        <v>18</v>
      </c>
      <c r="K92" s="114">
        <f t="shared" si="8"/>
        <v>720</v>
      </c>
      <c r="L92" s="85"/>
      <c r="M92" s="98"/>
    </row>
    <row r="93" s="84" customFormat="1" spans="1:13">
      <c r="A93" s="96">
        <v>45425</v>
      </c>
      <c r="B93" s="97">
        <v>13</v>
      </c>
      <c r="C93" s="98" t="s">
        <v>55</v>
      </c>
      <c r="D93" s="98"/>
      <c r="E93" s="98"/>
      <c r="F93" s="99" t="s">
        <v>14</v>
      </c>
      <c r="G93" s="98">
        <v>1</v>
      </c>
      <c r="H93" s="98">
        <v>180</v>
      </c>
      <c r="I93" s="98">
        <f t="shared" si="7"/>
        <v>180</v>
      </c>
      <c r="J93" s="98">
        <v>10.5</v>
      </c>
      <c r="K93" s="98">
        <f t="shared" si="8"/>
        <v>1890</v>
      </c>
      <c r="L93" s="85"/>
      <c r="M93" s="98">
        <f>SUM(K91:K93)</f>
        <v>2808</v>
      </c>
    </row>
    <row r="94" s="83" customFormat="1" spans="1:13">
      <c r="A94" s="106">
        <v>45442</v>
      </c>
      <c r="B94" s="101">
        <v>89</v>
      </c>
      <c r="C94" s="90"/>
      <c r="D94" s="90"/>
      <c r="E94" s="90"/>
      <c r="F94" s="105" t="s">
        <v>65</v>
      </c>
      <c r="G94" s="90">
        <v>1</v>
      </c>
      <c r="H94" s="90">
        <v>3</v>
      </c>
      <c r="I94" s="90">
        <f t="shared" si="7"/>
        <v>3</v>
      </c>
      <c r="J94" s="116"/>
      <c r="K94" s="116"/>
      <c r="L94" s="86" t="s">
        <v>66</v>
      </c>
      <c r="M94" s="90"/>
    </row>
    <row r="95" s="83" customFormat="1" spans="1:13">
      <c r="A95" s="106">
        <v>45442</v>
      </c>
      <c r="B95" s="101">
        <v>89</v>
      </c>
      <c r="C95" s="90" t="s">
        <v>67</v>
      </c>
      <c r="D95" s="90"/>
      <c r="E95" s="90"/>
      <c r="F95" s="105" t="s">
        <v>68</v>
      </c>
      <c r="G95" s="90">
        <v>1</v>
      </c>
      <c r="H95" s="90">
        <v>4</v>
      </c>
      <c r="I95" s="90">
        <f t="shared" si="7"/>
        <v>4</v>
      </c>
      <c r="J95" s="116"/>
      <c r="K95" s="116"/>
      <c r="L95" s="86" t="s">
        <v>66</v>
      </c>
      <c r="M95" s="90"/>
    </row>
    <row r="96" s="82" customFormat="1" spans="1:13">
      <c r="A96" s="106">
        <v>45442</v>
      </c>
      <c r="B96" s="101">
        <v>89</v>
      </c>
      <c r="C96" s="90" t="s">
        <v>23</v>
      </c>
      <c r="D96" s="90"/>
      <c r="E96" s="90"/>
      <c r="F96" s="105" t="s">
        <v>24</v>
      </c>
      <c r="G96" s="90">
        <v>1</v>
      </c>
      <c r="H96" s="90">
        <v>20</v>
      </c>
      <c r="I96" s="90">
        <f t="shared" si="7"/>
        <v>20</v>
      </c>
      <c r="J96" s="116">
        <v>18</v>
      </c>
      <c r="K96" s="116">
        <f t="shared" ref="K96:K126" si="9">I96*J96</f>
        <v>360</v>
      </c>
      <c r="L96" s="88"/>
      <c r="M96" s="102"/>
    </row>
    <row r="97" s="82" customFormat="1" spans="1:14">
      <c r="A97" s="106">
        <v>45442</v>
      </c>
      <c r="B97" s="101">
        <v>89</v>
      </c>
      <c r="C97" s="90" t="s">
        <v>21</v>
      </c>
      <c r="D97" s="90"/>
      <c r="E97" s="90"/>
      <c r="F97" s="105" t="s">
        <v>22</v>
      </c>
      <c r="G97" s="90">
        <v>2</v>
      </c>
      <c r="H97" s="90">
        <v>10</v>
      </c>
      <c r="I97" s="90">
        <f t="shared" si="7"/>
        <v>20</v>
      </c>
      <c r="J97" s="116">
        <v>18</v>
      </c>
      <c r="K97" s="116">
        <f t="shared" si="9"/>
        <v>360</v>
      </c>
      <c r="L97" s="88"/>
      <c r="M97" s="102">
        <f>SUM(K94:K97)</f>
        <v>720</v>
      </c>
      <c r="N97" s="82" t="s">
        <v>69</v>
      </c>
    </row>
    <row r="98" s="84" customFormat="1" spans="1:14">
      <c r="A98" s="96">
        <v>45445</v>
      </c>
      <c r="B98" s="97">
        <v>4</v>
      </c>
      <c r="C98" s="98">
        <v>9803</v>
      </c>
      <c r="D98" s="98"/>
      <c r="E98" s="98"/>
      <c r="F98" s="99" t="s">
        <v>15</v>
      </c>
      <c r="G98" s="98">
        <v>5</v>
      </c>
      <c r="H98" s="98">
        <v>28</v>
      </c>
      <c r="I98" s="98">
        <f t="shared" si="7"/>
        <v>140</v>
      </c>
      <c r="J98" s="98">
        <v>9</v>
      </c>
      <c r="K98" s="98">
        <f t="shared" si="9"/>
        <v>1260</v>
      </c>
      <c r="L98" s="111">
        <v>9804</v>
      </c>
      <c r="M98" s="98">
        <f>K98</f>
        <v>1260</v>
      </c>
    </row>
    <row r="99" s="83" customFormat="1" spans="1:14">
      <c r="A99" s="106">
        <v>45448</v>
      </c>
      <c r="B99" s="101" t="s">
        <v>40</v>
      </c>
      <c r="C99" s="90">
        <v>9803</v>
      </c>
      <c r="D99" s="90"/>
      <c r="E99" s="90"/>
      <c r="F99" s="105" t="s">
        <v>15</v>
      </c>
      <c r="G99" s="90">
        <v>10</v>
      </c>
      <c r="H99" s="90">
        <v>28</v>
      </c>
      <c r="I99" s="90">
        <f t="shared" si="7"/>
        <v>280</v>
      </c>
      <c r="J99" s="90">
        <v>9</v>
      </c>
      <c r="K99" s="90">
        <f t="shared" si="9"/>
        <v>2520</v>
      </c>
      <c r="L99" s="113">
        <v>9804</v>
      </c>
      <c r="M99" s="90">
        <f>K99</f>
        <v>2520</v>
      </c>
    </row>
    <row r="100" s="84" customFormat="1" spans="1:14">
      <c r="A100" s="96">
        <v>45471</v>
      </c>
      <c r="B100" s="97">
        <v>80</v>
      </c>
      <c r="C100" s="98">
        <v>709</v>
      </c>
      <c r="D100" s="98"/>
      <c r="E100" s="98"/>
      <c r="F100" s="99" t="s">
        <v>31</v>
      </c>
      <c r="G100" s="98">
        <v>1</v>
      </c>
      <c r="H100" s="98">
        <v>27</v>
      </c>
      <c r="I100" s="98">
        <f t="shared" si="7"/>
        <v>27</v>
      </c>
      <c r="J100" s="114">
        <v>18</v>
      </c>
      <c r="K100" s="114">
        <f t="shared" si="9"/>
        <v>486</v>
      </c>
      <c r="L100" s="85"/>
      <c r="M100" s="98"/>
    </row>
    <row r="101" s="84" customFormat="1" spans="1:14">
      <c r="A101" s="96">
        <v>45471</v>
      </c>
      <c r="B101" s="97">
        <v>80</v>
      </c>
      <c r="C101" s="98" t="s">
        <v>21</v>
      </c>
      <c r="D101" s="98"/>
      <c r="E101" s="98"/>
      <c r="F101" s="99" t="s">
        <v>22</v>
      </c>
      <c r="G101" s="98">
        <v>2</v>
      </c>
      <c r="H101" s="98">
        <v>10</v>
      </c>
      <c r="I101" s="98">
        <f t="shared" si="7"/>
        <v>20</v>
      </c>
      <c r="J101" s="114">
        <v>18</v>
      </c>
      <c r="K101" s="114">
        <f t="shared" si="9"/>
        <v>360</v>
      </c>
      <c r="L101" s="85"/>
      <c r="M101" s="98"/>
    </row>
    <row r="102" s="84" customFormat="1" spans="1:14">
      <c r="A102" s="96">
        <v>45471</v>
      </c>
      <c r="B102" s="97">
        <v>80</v>
      </c>
      <c r="C102" s="98" t="s">
        <v>55</v>
      </c>
      <c r="D102" s="98"/>
      <c r="E102" s="98"/>
      <c r="F102" s="99" t="s">
        <v>14</v>
      </c>
      <c r="G102" s="98">
        <v>1</v>
      </c>
      <c r="H102" s="98">
        <v>180</v>
      </c>
      <c r="I102" s="98">
        <f t="shared" si="7"/>
        <v>180</v>
      </c>
      <c r="J102" s="98">
        <v>10.5</v>
      </c>
      <c r="K102" s="98">
        <f t="shared" si="9"/>
        <v>1890</v>
      </c>
      <c r="L102" s="85"/>
      <c r="M102" s="98">
        <f>SUM(K100:K102)</f>
        <v>2736</v>
      </c>
    </row>
    <row r="103" s="83" customFormat="1" spans="1:14">
      <c r="A103" s="106">
        <v>45473</v>
      </c>
      <c r="B103" s="101">
        <v>94</v>
      </c>
      <c r="C103" s="90"/>
      <c r="D103" s="90"/>
      <c r="E103" s="90"/>
      <c r="F103" s="105" t="s">
        <v>70</v>
      </c>
      <c r="G103" s="90">
        <v>1</v>
      </c>
      <c r="H103" s="90">
        <v>18</v>
      </c>
      <c r="I103" s="90">
        <f t="shared" si="7"/>
        <v>18</v>
      </c>
      <c r="J103" s="90">
        <v>14.5</v>
      </c>
      <c r="K103" s="90">
        <f t="shared" si="9"/>
        <v>261</v>
      </c>
      <c r="L103" s="86"/>
      <c r="M103" s="90"/>
    </row>
    <row r="104" s="83" customFormat="1" spans="1:14">
      <c r="A104" s="106">
        <v>45473</v>
      </c>
      <c r="B104" s="101">
        <v>94</v>
      </c>
      <c r="C104" s="90"/>
      <c r="D104" s="90"/>
      <c r="E104" s="90"/>
      <c r="F104" s="105" t="s">
        <v>71</v>
      </c>
      <c r="G104" s="90">
        <v>1</v>
      </c>
      <c r="H104" s="90">
        <v>10</v>
      </c>
      <c r="I104" s="90">
        <f t="shared" si="7"/>
        <v>10</v>
      </c>
      <c r="J104" s="90">
        <v>18</v>
      </c>
      <c r="K104" s="90">
        <f t="shared" si="9"/>
        <v>180</v>
      </c>
      <c r="L104" s="105" t="s">
        <v>72</v>
      </c>
      <c r="M104" s="90"/>
    </row>
    <row r="105" s="84" customFormat="1" spans="1:14">
      <c r="A105" s="96">
        <v>45479</v>
      </c>
      <c r="B105" s="97" t="s">
        <v>73</v>
      </c>
      <c r="C105" s="98" t="s">
        <v>74</v>
      </c>
      <c r="D105" s="98"/>
      <c r="E105" s="98"/>
      <c r="F105" s="99" t="s">
        <v>65</v>
      </c>
      <c r="G105" s="98">
        <v>1</v>
      </c>
      <c r="H105" s="98">
        <v>12</v>
      </c>
      <c r="I105" s="98">
        <f t="shared" si="7"/>
        <v>12</v>
      </c>
      <c r="J105" s="114">
        <v>18</v>
      </c>
      <c r="K105" s="98">
        <f t="shared" si="9"/>
        <v>216</v>
      </c>
      <c r="M105" s="85" t="s">
        <v>66</v>
      </c>
    </row>
    <row r="106" s="84" customFormat="1" spans="1:14">
      <c r="A106" s="96">
        <v>45479</v>
      </c>
      <c r="B106" s="97" t="s">
        <v>73</v>
      </c>
      <c r="C106" s="98" t="s">
        <v>75</v>
      </c>
      <c r="D106" s="98"/>
      <c r="E106" s="98"/>
      <c r="F106" s="99" t="s">
        <v>68</v>
      </c>
      <c r="G106" s="98">
        <v>1</v>
      </c>
      <c r="H106" s="98">
        <v>12</v>
      </c>
      <c r="I106" s="98">
        <f t="shared" si="7"/>
        <v>12</v>
      </c>
      <c r="J106" s="114">
        <v>18</v>
      </c>
      <c r="K106" s="98">
        <f t="shared" si="9"/>
        <v>216</v>
      </c>
      <c r="L106" s="84" t="s">
        <v>67</v>
      </c>
      <c r="M106" s="85" t="s">
        <v>66</v>
      </c>
    </row>
    <row r="107" s="84" customFormat="1" spans="1:14">
      <c r="A107" s="96">
        <v>45479</v>
      </c>
      <c r="B107" s="97" t="s">
        <v>73</v>
      </c>
      <c r="C107" s="98"/>
      <c r="D107" s="98"/>
      <c r="E107" s="98"/>
      <c r="F107" s="99" t="s">
        <v>76</v>
      </c>
      <c r="G107" s="98">
        <v>1</v>
      </c>
      <c r="H107" s="98">
        <v>13</v>
      </c>
      <c r="I107" s="98">
        <f t="shared" si="7"/>
        <v>13</v>
      </c>
      <c r="J107" s="114">
        <v>15.5</v>
      </c>
      <c r="K107" s="98">
        <f t="shared" si="9"/>
        <v>201.5</v>
      </c>
      <c r="L107" s="85"/>
      <c r="M107" s="98"/>
    </row>
    <row r="108" s="84" customFormat="1" spans="1:14">
      <c r="A108" s="96">
        <v>45479</v>
      </c>
      <c r="B108" s="97" t="s">
        <v>73</v>
      </c>
      <c r="C108" s="98"/>
      <c r="D108" s="98"/>
      <c r="E108" s="98"/>
      <c r="F108" s="99" t="s">
        <v>70</v>
      </c>
      <c r="G108" s="98">
        <v>2</v>
      </c>
      <c r="H108" s="98">
        <v>18</v>
      </c>
      <c r="I108" s="98">
        <f t="shared" si="7"/>
        <v>36</v>
      </c>
      <c r="J108" s="98">
        <v>14.5</v>
      </c>
      <c r="K108" s="98">
        <f t="shared" si="9"/>
        <v>522</v>
      </c>
      <c r="L108" s="85"/>
      <c r="M108" s="98"/>
    </row>
    <row r="109" s="84" customFormat="1" spans="1:14">
      <c r="A109" s="96">
        <v>45479</v>
      </c>
      <c r="B109" s="97" t="s">
        <v>73</v>
      </c>
      <c r="C109" s="98"/>
      <c r="D109" s="98"/>
      <c r="E109" s="98"/>
      <c r="F109" s="99" t="s">
        <v>71</v>
      </c>
      <c r="G109" s="98">
        <v>2</v>
      </c>
      <c r="H109" s="98">
        <v>20</v>
      </c>
      <c r="I109" s="98">
        <f t="shared" si="7"/>
        <v>40</v>
      </c>
      <c r="J109" s="98">
        <v>18</v>
      </c>
      <c r="K109" s="98">
        <f t="shared" si="9"/>
        <v>720</v>
      </c>
      <c r="L109" s="99" t="s">
        <v>77</v>
      </c>
      <c r="M109" s="98"/>
    </row>
    <row r="110" s="85" customFormat="1" spans="1:14">
      <c r="A110" s="96">
        <v>45479</v>
      </c>
      <c r="B110" s="97" t="s">
        <v>73</v>
      </c>
      <c r="C110" s="98" t="s">
        <v>53</v>
      </c>
      <c r="D110" s="98"/>
      <c r="E110" s="98"/>
      <c r="F110" s="107" t="s">
        <v>54</v>
      </c>
      <c r="G110" s="98">
        <v>3</v>
      </c>
      <c r="H110" s="98">
        <v>25</v>
      </c>
      <c r="I110" s="98">
        <f t="shared" si="7"/>
        <v>75</v>
      </c>
      <c r="J110" s="98">
        <v>14</v>
      </c>
      <c r="K110" s="114">
        <f t="shared" si="9"/>
        <v>1050</v>
      </c>
      <c r="M110" s="98"/>
    </row>
    <row r="111" s="84" customFormat="1" spans="1:14">
      <c r="A111" s="96">
        <v>45479</v>
      </c>
      <c r="B111" s="97" t="s">
        <v>73</v>
      </c>
      <c r="C111" s="98" t="s">
        <v>21</v>
      </c>
      <c r="D111" s="98"/>
      <c r="E111" s="98"/>
      <c r="F111" s="99" t="s">
        <v>22</v>
      </c>
      <c r="G111" s="98">
        <v>2</v>
      </c>
      <c r="H111" s="98">
        <v>10</v>
      </c>
      <c r="I111" s="98">
        <f t="shared" si="7"/>
        <v>20</v>
      </c>
      <c r="J111" s="114">
        <v>18</v>
      </c>
      <c r="K111" s="114">
        <f t="shared" si="9"/>
        <v>360</v>
      </c>
      <c r="L111" s="85"/>
      <c r="M111" s="98">
        <f>SUM(K105:K111)</f>
        <v>3285.5</v>
      </c>
    </row>
    <row r="112" s="83" customFormat="1" spans="1:14">
      <c r="A112" s="106">
        <v>45479</v>
      </c>
      <c r="B112" s="101">
        <v>22</v>
      </c>
      <c r="C112" s="90" t="s">
        <v>78</v>
      </c>
      <c r="D112" s="90"/>
      <c r="E112" s="90"/>
      <c r="F112" s="105" t="s">
        <v>79</v>
      </c>
      <c r="G112" s="90">
        <v>1</v>
      </c>
      <c r="H112" s="90">
        <v>21</v>
      </c>
      <c r="I112" s="90">
        <f t="shared" ref="I112:I126" si="10">G112*H112</f>
        <v>21</v>
      </c>
      <c r="J112" s="116">
        <v>18</v>
      </c>
      <c r="K112" s="90">
        <f t="shared" si="9"/>
        <v>378</v>
      </c>
      <c r="L112" s="82" t="s">
        <v>80</v>
      </c>
      <c r="M112" s="86"/>
    </row>
    <row r="113" s="85" customFormat="1" spans="1:13">
      <c r="A113" s="96">
        <v>45481</v>
      </c>
      <c r="B113" s="97">
        <v>23</v>
      </c>
      <c r="C113" s="98" t="s">
        <v>53</v>
      </c>
      <c r="D113" s="98"/>
      <c r="E113" s="98"/>
      <c r="F113" s="107" t="s">
        <v>54</v>
      </c>
      <c r="G113" s="98">
        <v>10</v>
      </c>
      <c r="H113" s="98">
        <v>25</v>
      </c>
      <c r="I113" s="98">
        <f t="shared" si="10"/>
        <v>250</v>
      </c>
      <c r="J113" s="114">
        <v>14</v>
      </c>
      <c r="K113" s="114">
        <f t="shared" si="9"/>
        <v>3500</v>
      </c>
      <c r="M113" s="98"/>
    </row>
    <row r="114" s="84" customFormat="1" spans="1:13">
      <c r="A114" s="96">
        <v>45481</v>
      </c>
      <c r="B114" s="97">
        <v>23</v>
      </c>
      <c r="C114" s="102" t="s">
        <v>78</v>
      </c>
      <c r="D114" s="102"/>
      <c r="E114" s="102"/>
      <c r="F114" s="99" t="s">
        <v>79</v>
      </c>
      <c r="G114" s="98">
        <v>2</v>
      </c>
      <c r="H114" s="98">
        <v>21</v>
      </c>
      <c r="I114" s="98">
        <f t="shared" si="10"/>
        <v>42</v>
      </c>
      <c r="J114" s="114">
        <v>18</v>
      </c>
      <c r="K114" s="114">
        <f t="shared" si="9"/>
        <v>756</v>
      </c>
      <c r="L114" s="82" t="s">
        <v>80</v>
      </c>
      <c r="M114" s="85"/>
    </row>
    <row r="115" s="84" customFormat="1" spans="1:13">
      <c r="A115" s="96">
        <v>45481</v>
      </c>
      <c r="B115" s="97">
        <v>23</v>
      </c>
      <c r="C115" s="98" t="s">
        <v>21</v>
      </c>
      <c r="D115" s="98"/>
      <c r="E115" s="98"/>
      <c r="F115" s="99" t="s">
        <v>22</v>
      </c>
      <c r="G115" s="98">
        <v>6</v>
      </c>
      <c r="H115" s="98">
        <v>10</v>
      </c>
      <c r="I115" s="98">
        <f t="shared" si="10"/>
        <v>60</v>
      </c>
      <c r="J115" s="114">
        <v>18</v>
      </c>
      <c r="K115" s="114">
        <f t="shared" si="9"/>
        <v>1080</v>
      </c>
      <c r="L115" s="85"/>
      <c r="M115" s="98">
        <f>SUM(K113:K115)</f>
        <v>5336</v>
      </c>
    </row>
    <row r="116" s="83" customFormat="1" spans="1:13">
      <c r="A116" s="106">
        <v>45482</v>
      </c>
      <c r="B116" s="101">
        <v>28</v>
      </c>
      <c r="C116" s="90" t="s">
        <v>81</v>
      </c>
      <c r="D116" s="90"/>
      <c r="E116" s="90"/>
      <c r="F116" s="105" t="s">
        <v>79</v>
      </c>
      <c r="G116" s="90">
        <v>1</v>
      </c>
      <c r="H116" s="90">
        <v>21</v>
      </c>
      <c r="I116" s="90">
        <f t="shared" si="10"/>
        <v>21</v>
      </c>
      <c r="J116" s="116">
        <v>18</v>
      </c>
      <c r="K116" s="116">
        <f t="shared" si="9"/>
        <v>378</v>
      </c>
      <c r="L116" s="117" t="s">
        <v>82</v>
      </c>
      <c r="M116" s="86"/>
    </row>
    <row r="117" s="83" customFormat="1" spans="1:13">
      <c r="A117" s="106">
        <v>45482</v>
      </c>
      <c r="B117" s="101">
        <v>28</v>
      </c>
      <c r="C117" s="90"/>
      <c r="D117" s="90"/>
      <c r="E117" s="90"/>
      <c r="F117" s="105" t="s">
        <v>83</v>
      </c>
      <c r="G117" s="90">
        <v>1</v>
      </c>
      <c r="H117" s="90">
        <v>4</v>
      </c>
      <c r="I117" s="90">
        <f t="shared" si="10"/>
        <v>4</v>
      </c>
      <c r="J117" s="116">
        <v>18</v>
      </c>
      <c r="K117" s="116">
        <f t="shared" si="9"/>
        <v>72</v>
      </c>
      <c r="L117" s="86"/>
      <c r="M117" s="90">
        <f>SUM(K116:K117)</f>
        <v>450</v>
      </c>
    </row>
    <row r="118" s="84" customFormat="1" spans="1:13">
      <c r="A118" s="96">
        <v>45484</v>
      </c>
      <c r="B118" s="97">
        <v>36</v>
      </c>
      <c r="C118" s="102" t="s">
        <v>78</v>
      </c>
      <c r="D118" s="102"/>
      <c r="E118" s="102"/>
      <c r="F118" s="99" t="s">
        <v>79</v>
      </c>
      <c r="G118" s="98">
        <v>2</v>
      </c>
      <c r="H118" s="98">
        <v>21</v>
      </c>
      <c r="I118" s="98">
        <f t="shared" si="10"/>
        <v>42</v>
      </c>
      <c r="J118" s="114">
        <v>18</v>
      </c>
      <c r="K118" s="114">
        <f t="shared" si="9"/>
        <v>756</v>
      </c>
      <c r="L118" s="82" t="s">
        <v>80</v>
      </c>
      <c r="M118" s="85"/>
    </row>
    <row r="119" s="84" customFormat="1" spans="1:13">
      <c r="A119" s="96">
        <v>45484</v>
      </c>
      <c r="B119" s="97">
        <v>36</v>
      </c>
      <c r="C119" s="98" t="s">
        <v>23</v>
      </c>
      <c r="D119" s="98"/>
      <c r="E119" s="98"/>
      <c r="F119" s="99" t="s">
        <v>24</v>
      </c>
      <c r="G119" s="98">
        <v>1</v>
      </c>
      <c r="H119" s="98">
        <v>20</v>
      </c>
      <c r="I119" s="98">
        <f t="shared" si="10"/>
        <v>20</v>
      </c>
      <c r="J119" s="114">
        <v>18</v>
      </c>
      <c r="K119" s="114">
        <f t="shared" si="9"/>
        <v>360</v>
      </c>
      <c r="L119" s="85"/>
      <c r="M119" s="98"/>
    </row>
    <row r="120" s="84" customFormat="1" spans="1:13">
      <c r="A120" s="96">
        <v>45484</v>
      </c>
      <c r="B120" s="97">
        <v>36</v>
      </c>
      <c r="C120" s="98" t="s">
        <v>21</v>
      </c>
      <c r="D120" s="98"/>
      <c r="E120" s="98"/>
      <c r="F120" s="99" t="s">
        <v>22</v>
      </c>
      <c r="G120" s="98">
        <v>3</v>
      </c>
      <c r="H120" s="98">
        <v>10</v>
      </c>
      <c r="I120" s="98">
        <f t="shared" si="10"/>
        <v>30</v>
      </c>
      <c r="J120" s="114">
        <v>18</v>
      </c>
      <c r="K120" s="114">
        <f t="shared" si="9"/>
        <v>540</v>
      </c>
      <c r="L120" s="85"/>
      <c r="M120" s="98">
        <f>SUM(K118:K120)</f>
        <v>1656</v>
      </c>
    </row>
    <row r="121" s="86" customFormat="1" spans="1:13">
      <c r="A121" s="106">
        <v>45486</v>
      </c>
      <c r="B121" s="101">
        <v>50</v>
      </c>
      <c r="C121" s="90" t="s">
        <v>53</v>
      </c>
      <c r="D121" s="90"/>
      <c r="E121" s="90"/>
      <c r="F121" s="109" t="s">
        <v>54</v>
      </c>
      <c r="G121" s="90">
        <v>10</v>
      </c>
      <c r="H121" s="90">
        <v>25</v>
      </c>
      <c r="I121" s="90">
        <f t="shared" si="10"/>
        <v>250</v>
      </c>
      <c r="J121" s="116">
        <v>14</v>
      </c>
      <c r="K121" s="116">
        <f t="shared" si="9"/>
        <v>3500</v>
      </c>
      <c r="M121" s="90"/>
    </row>
    <row r="122" s="84" customFormat="1" spans="1:13">
      <c r="A122" s="96">
        <v>45486</v>
      </c>
      <c r="B122" s="97">
        <v>52</v>
      </c>
      <c r="C122" s="98" t="s">
        <v>78</v>
      </c>
      <c r="D122" s="98"/>
      <c r="E122" s="98"/>
      <c r="F122" s="99" t="s">
        <v>79</v>
      </c>
      <c r="G122" s="98">
        <v>3</v>
      </c>
      <c r="H122" s="98">
        <v>21</v>
      </c>
      <c r="I122" s="98">
        <f t="shared" si="10"/>
        <v>63</v>
      </c>
      <c r="J122" s="114">
        <v>18</v>
      </c>
      <c r="K122" s="114">
        <f t="shared" si="9"/>
        <v>1134</v>
      </c>
      <c r="L122" s="84" t="s">
        <v>80</v>
      </c>
      <c r="M122" s="85"/>
    </row>
    <row r="123" s="84" customFormat="1" spans="1:13">
      <c r="A123" s="96">
        <v>45486</v>
      </c>
      <c r="B123" s="97">
        <v>52</v>
      </c>
      <c r="C123" s="98" t="s">
        <v>21</v>
      </c>
      <c r="D123" s="98"/>
      <c r="E123" s="98"/>
      <c r="F123" s="99" t="s">
        <v>22</v>
      </c>
      <c r="G123" s="98">
        <v>3</v>
      </c>
      <c r="H123" s="98">
        <v>10</v>
      </c>
      <c r="I123" s="98">
        <f t="shared" si="10"/>
        <v>30</v>
      </c>
      <c r="J123" s="114">
        <v>18</v>
      </c>
      <c r="K123" s="114">
        <f t="shared" si="9"/>
        <v>540</v>
      </c>
      <c r="L123" s="85"/>
      <c r="M123" s="98"/>
    </row>
    <row r="124" s="84" customFormat="1" spans="1:13">
      <c r="A124" s="96">
        <v>45486</v>
      </c>
      <c r="B124" s="97">
        <v>52</v>
      </c>
      <c r="C124" s="98">
        <v>9803</v>
      </c>
      <c r="D124" s="98"/>
      <c r="E124" s="98"/>
      <c r="F124" s="99" t="s">
        <v>15</v>
      </c>
      <c r="G124" s="98">
        <v>10</v>
      </c>
      <c r="H124" s="98">
        <v>28</v>
      </c>
      <c r="I124" s="98">
        <f t="shared" si="10"/>
        <v>280</v>
      </c>
      <c r="J124" s="98">
        <v>9</v>
      </c>
      <c r="K124" s="98">
        <f t="shared" si="9"/>
        <v>2520</v>
      </c>
      <c r="L124" s="111">
        <v>9804</v>
      </c>
      <c r="M124" s="98">
        <f>SUM(K122:K124)</f>
        <v>4194</v>
      </c>
    </row>
    <row r="125" s="83" customFormat="1" spans="1:13">
      <c r="A125" s="106">
        <v>45488</v>
      </c>
      <c r="B125" s="101">
        <v>53</v>
      </c>
      <c r="C125" s="90" t="s">
        <v>84</v>
      </c>
      <c r="D125" s="90"/>
      <c r="E125" s="90"/>
      <c r="F125" s="105" t="s">
        <v>85</v>
      </c>
      <c r="G125" s="90">
        <v>1</v>
      </c>
      <c r="H125" s="90">
        <v>21</v>
      </c>
      <c r="I125" s="90">
        <f t="shared" si="10"/>
        <v>21</v>
      </c>
      <c r="J125" s="116">
        <v>18</v>
      </c>
      <c r="K125" s="116">
        <f t="shared" si="9"/>
        <v>378</v>
      </c>
      <c r="L125" s="86"/>
      <c r="M125" s="90"/>
    </row>
    <row r="126" s="83" customFormat="1" spans="1:13">
      <c r="A126" s="106">
        <v>45488</v>
      </c>
      <c r="B126" s="101">
        <v>53</v>
      </c>
      <c r="C126" s="90" t="s">
        <v>21</v>
      </c>
      <c r="D126" s="90"/>
      <c r="E126" s="90"/>
      <c r="F126" s="105" t="s">
        <v>22</v>
      </c>
      <c r="G126" s="90">
        <v>1</v>
      </c>
      <c r="H126" s="90">
        <v>10</v>
      </c>
      <c r="I126" s="90">
        <f t="shared" si="10"/>
        <v>10</v>
      </c>
      <c r="J126" s="116">
        <v>18</v>
      </c>
      <c r="K126" s="116">
        <f t="shared" si="9"/>
        <v>180</v>
      </c>
      <c r="L126" s="86"/>
      <c r="M126" s="90">
        <f>SUM(K125:K126)</f>
        <v>558</v>
      </c>
    </row>
    <row r="127" s="82" customFormat="1" spans="1:13">
      <c r="A127" s="118">
        <v>45493</v>
      </c>
      <c r="B127" s="119"/>
      <c r="C127" s="102" t="s">
        <v>86</v>
      </c>
      <c r="D127" s="102"/>
      <c r="E127" s="102"/>
      <c r="F127" s="120" t="s">
        <v>87</v>
      </c>
      <c r="G127" s="102"/>
      <c r="H127" s="102"/>
      <c r="I127" s="102"/>
      <c r="J127" s="121"/>
      <c r="K127" s="121"/>
      <c r="L127" s="88"/>
      <c r="M127" s="102"/>
    </row>
    <row r="128" s="82" customFormat="1" spans="1:13">
      <c r="A128" s="118">
        <v>45493</v>
      </c>
      <c r="B128" s="119"/>
      <c r="C128" s="102" t="s">
        <v>88</v>
      </c>
      <c r="D128" s="102"/>
      <c r="E128" s="102"/>
      <c r="F128" s="120" t="s">
        <v>87</v>
      </c>
      <c r="G128" s="102"/>
      <c r="H128" s="102"/>
      <c r="I128" s="102"/>
      <c r="J128" s="121"/>
      <c r="K128" s="121"/>
      <c r="L128" s="88"/>
      <c r="M128" s="102"/>
    </row>
    <row r="129" s="82" customFormat="1" spans="1:13">
      <c r="A129" s="118">
        <v>45493</v>
      </c>
      <c r="B129" s="119"/>
      <c r="C129" s="102" t="s">
        <v>89</v>
      </c>
      <c r="D129" s="102"/>
      <c r="E129" s="102"/>
      <c r="F129" s="103" t="s">
        <v>90</v>
      </c>
      <c r="G129" s="102"/>
      <c r="H129" s="102"/>
      <c r="I129" s="102"/>
      <c r="J129" s="121"/>
      <c r="K129" s="121"/>
      <c r="L129" s="88"/>
      <c r="M129" s="102"/>
    </row>
    <row r="130" s="82" customFormat="1" spans="1:13">
      <c r="A130" s="118">
        <v>45493</v>
      </c>
      <c r="B130" s="119"/>
      <c r="C130" s="102" t="s">
        <v>91</v>
      </c>
      <c r="D130" s="102"/>
      <c r="E130" s="102"/>
      <c r="F130" s="103" t="s">
        <v>92</v>
      </c>
      <c r="G130" s="102"/>
      <c r="H130" s="102"/>
      <c r="I130" s="102"/>
      <c r="J130" s="121"/>
      <c r="K130" s="121"/>
      <c r="L130" s="88"/>
      <c r="M130" s="102"/>
    </row>
    <row r="131" s="82" customFormat="1" spans="1:13">
      <c r="A131" s="118">
        <v>45493</v>
      </c>
      <c r="B131" s="119"/>
      <c r="C131" s="102" t="s">
        <v>93</v>
      </c>
      <c r="D131" s="102"/>
      <c r="E131" s="102"/>
      <c r="F131" s="103" t="s">
        <v>94</v>
      </c>
      <c r="G131" s="102"/>
      <c r="H131" s="102"/>
      <c r="I131" s="102"/>
      <c r="J131" s="121"/>
      <c r="K131" s="121"/>
      <c r="L131" s="88"/>
      <c r="M131" s="102"/>
    </row>
    <row r="132" s="87" customFormat="1" spans="1:13">
      <c r="A132" s="122">
        <v>45496</v>
      </c>
      <c r="B132" s="123" t="s">
        <v>95</v>
      </c>
      <c r="C132" s="124" t="s">
        <v>93</v>
      </c>
      <c r="D132" s="124"/>
      <c r="E132" s="124"/>
      <c r="F132" s="125" t="s">
        <v>96</v>
      </c>
      <c r="G132" s="124">
        <v>1</v>
      </c>
      <c r="H132" s="124">
        <v>2</v>
      </c>
      <c r="I132" s="124">
        <f t="shared" ref="I132:I137" si="11">G132*H132</f>
        <v>2</v>
      </c>
      <c r="J132" s="126">
        <v>18</v>
      </c>
      <c r="K132" s="126"/>
      <c r="L132" s="127"/>
      <c r="M132" s="124"/>
    </row>
    <row r="133" s="84" customFormat="1" spans="1:13">
      <c r="A133" s="96">
        <v>45497</v>
      </c>
      <c r="B133" s="97">
        <v>70</v>
      </c>
      <c r="C133" s="98" t="s">
        <v>27</v>
      </c>
      <c r="D133" s="98"/>
      <c r="E133" s="98"/>
      <c r="F133" s="99" t="s">
        <v>28</v>
      </c>
      <c r="G133" s="98">
        <v>5</v>
      </c>
      <c r="H133" s="98">
        <v>22</v>
      </c>
      <c r="I133" s="98">
        <f t="shared" si="11"/>
        <v>110</v>
      </c>
      <c r="J133" s="114">
        <v>12</v>
      </c>
      <c r="K133" s="114">
        <f t="shared" ref="K133:K137" si="12">I133*J133</f>
        <v>1320</v>
      </c>
      <c r="L133" s="85"/>
      <c r="M133" s="98"/>
    </row>
    <row r="134" s="83" customFormat="1" spans="1:13">
      <c r="A134" s="106">
        <v>45500</v>
      </c>
      <c r="B134" s="101">
        <v>83</v>
      </c>
      <c r="C134" s="90" t="s">
        <v>25</v>
      </c>
      <c r="D134" s="90"/>
      <c r="E134" s="90"/>
      <c r="F134" s="105" t="s">
        <v>26</v>
      </c>
      <c r="G134" s="90">
        <v>1</v>
      </c>
      <c r="H134" s="90">
        <v>25</v>
      </c>
      <c r="I134" s="90">
        <f t="shared" si="11"/>
        <v>25</v>
      </c>
      <c r="J134" s="116">
        <v>18</v>
      </c>
      <c r="K134" s="90">
        <f t="shared" si="12"/>
        <v>450</v>
      </c>
      <c r="L134" s="86"/>
      <c r="M134" s="98"/>
    </row>
    <row r="135" s="83" customFormat="1" spans="1:13">
      <c r="A135" s="106">
        <v>45500</v>
      </c>
      <c r="B135" s="101">
        <v>83</v>
      </c>
      <c r="C135" s="90" t="s">
        <v>23</v>
      </c>
      <c r="D135" s="90"/>
      <c r="E135" s="90"/>
      <c r="F135" s="105" t="s">
        <v>24</v>
      </c>
      <c r="G135" s="90">
        <v>1</v>
      </c>
      <c r="H135" s="90">
        <v>20</v>
      </c>
      <c r="I135" s="90">
        <f t="shared" si="11"/>
        <v>20</v>
      </c>
      <c r="J135" s="116">
        <v>18</v>
      </c>
      <c r="K135" s="116">
        <f t="shared" si="12"/>
        <v>360</v>
      </c>
      <c r="L135" s="86"/>
      <c r="M135" s="98"/>
    </row>
    <row r="136" s="83" customFormat="1" spans="1:13">
      <c r="A136" s="106">
        <v>45500</v>
      </c>
      <c r="B136" s="101">
        <v>83</v>
      </c>
      <c r="C136" s="90" t="s">
        <v>21</v>
      </c>
      <c r="D136" s="90"/>
      <c r="E136" s="90"/>
      <c r="F136" s="105" t="s">
        <v>22</v>
      </c>
      <c r="G136" s="90">
        <v>2</v>
      </c>
      <c r="H136" s="90">
        <v>10</v>
      </c>
      <c r="I136" s="90">
        <f t="shared" si="11"/>
        <v>20</v>
      </c>
      <c r="J136" s="116">
        <v>18</v>
      </c>
      <c r="K136" s="116">
        <f t="shared" si="12"/>
        <v>360</v>
      </c>
      <c r="L136" s="86"/>
      <c r="M136" s="98"/>
    </row>
    <row r="137" s="83" customFormat="1" spans="1:13">
      <c r="A137" s="106">
        <v>45500</v>
      </c>
      <c r="B137" s="101">
        <v>83</v>
      </c>
      <c r="C137" s="90" t="s">
        <v>55</v>
      </c>
      <c r="D137" s="90"/>
      <c r="E137" s="90"/>
      <c r="F137" s="105" t="s">
        <v>14</v>
      </c>
      <c r="G137" s="90">
        <v>1</v>
      </c>
      <c r="H137" s="90">
        <v>180</v>
      </c>
      <c r="I137" s="90">
        <f t="shared" si="11"/>
        <v>180</v>
      </c>
      <c r="J137" s="90">
        <v>10.5</v>
      </c>
      <c r="K137" s="90">
        <f t="shared" si="12"/>
        <v>1890</v>
      </c>
      <c r="L137" s="86"/>
      <c r="M137" s="90">
        <f>SUM(K134:K137)</f>
        <v>3060</v>
      </c>
    </row>
    <row r="138" s="84" customFormat="1" spans="1:13">
      <c r="A138" s="118" t="s">
        <v>97</v>
      </c>
      <c r="B138" s="119"/>
      <c r="C138" s="102" t="s">
        <v>98</v>
      </c>
      <c r="D138" s="102"/>
      <c r="E138" s="102"/>
      <c r="F138" s="103" t="s">
        <v>99</v>
      </c>
      <c r="G138" s="98"/>
      <c r="H138" s="98"/>
      <c r="I138" s="98"/>
      <c r="J138" s="114"/>
      <c r="K138" s="114"/>
      <c r="L138" s="85"/>
      <c r="M138" s="98"/>
    </row>
    <row r="139" s="84" customFormat="1" spans="1:13">
      <c r="A139" s="118" t="s">
        <v>97</v>
      </c>
      <c r="B139" s="119"/>
      <c r="C139" s="102" t="s">
        <v>98</v>
      </c>
      <c r="D139" s="102"/>
      <c r="E139" s="102"/>
      <c r="F139" s="103" t="s">
        <v>100</v>
      </c>
      <c r="G139" s="98"/>
      <c r="H139" s="98"/>
      <c r="I139" s="98"/>
      <c r="J139" s="114"/>
      <c r="K139" s="114"/>
      <c r="L139" s="85"/>
      <c r="M139" s="98"/>
    </row>
    <row r="140" s="84" customFormat="1" spans="1:13">
      <c r="A140" s="118" t="s">
        <v>97</v>
      </c>
      <c r="B140" s="119"/>
      <c r="C140" s="102" t="s">
        <v>98</v>
      </c>
      <c r="D140" s="102"/>
      <c r="E140" s="102"/>
      <c r="F140" s="103" t="s">
        <v>101</v>
      </c>
      <c r="G140" s="98"/>
      <c r="H140" s="98"/>
      <c r="I140" s="98"/>
      <c r="J140" s="114"/>
      <c r="K140" s="114"/>
      <c r="L140" s="85"/>
      <c r="M140" s="98"/>
    </row>
    <row r="141" s="84" customFormat="1" spans="1:13">
      <c r="A141" s="118" t="s">
        <v>97</v>
      </c>
      <c r="B141" s="119"/>
      <c r="C141" s="102" t="s">
        <v>98</v>
      </c>
      <c r="D141" s="102"/>
      <c r="E141" s="102"/>
      <c r="F141" s="103" t="s">
        <v>102</v>
      </c>
      <c r="G141" s="98"/>
      <c r="H141" s="98"/>
      <c r="I141" s="98"/>
      <c r="J141" s="114"/>
      <c r="K141" s="114"/>
      <c r="L141" s="85"/>
      <c r="M141" s="98"/>
    </row>
    <row r="142" s="86" customFormat="1" spans="1:13">
      <c r="A142" s="106">
        <v>45514</v>
      </c>
      <c r="B142" s="119"/>
      <c r="C142" s="90" t="s">
        <v>27</v>
      </c>
      <c r="D142" s="90"/>
      <c r="E142" s="90"/>
      <c r="F142" s="109" t="s">
        <v>28</v>
      </c>
      <c r="G142" s="90">
        <v>3</v>
      </c>
      <c r="H142" s="90">
        <v>22</v>
      </c>
      <c r="I142" s="90">
        <f t="shared" ref="I142:I177" si="13">G142*H142</f>
        <v>66</v>
      </c>
      <c r="J142" s="90"/>
      <c r="K142" s="90">
        <f t="shared" ref="K142:K150" si="14">I142*J142</f>
        <v>0</v>
      </c>
      <c r="L142" s="86" t="s">
        <v>103</v>
      </c>
      <c r="M142" s="90"/>
    </row>
    <row r="143" s="84" customFormat="1" spans="1:13">
      <c r="A143" s="96">
        <v>45518</v>
      </c>
      <c r="B143" s="97">
        <v>42</v>
      </c>
      <c r="C143" s="98">
        <v>813</v>
      </c>
      <c r="D143" s="98"/>
      <c r="E143" s="98"/>
      <c r="F143" s="99" t="s">
        <v>104</v>
      </c>
      <c r="G143" s="98">
        <v>3</v>
      </c>
      <c r="H143" s="98">
        <v>26</v>
      </c>
      <c r="I143" s="98">
        <f t="shared" si="13"/>
        <v>78</v>
      </c>
      <c r="J143" s="114">
        <v>18</v>
      </c>
      <c r="K143" s="114">
        <f t="shared" si="14"/>
        <v>1404</v>
      </c>
      <c r="L143" s="85"/>
      <c r="M143" s="98"/>
    </row>
    <row r="144" s="84" customFormat="1" spans="1:13">
      <c r="A144" s="96">
        <v>45518</v>
      </c>
      <c r="B144" s="97">
        <v>42</v>
      </c>
      <c r="C144" s="98">
        <v>812</v>
      </c>
      <c r="D144" s="98"/>
      <c r="E144" s="98"/>
      <c r="F144" s="99" t="s">
        <v>105</v>
      </c>
      <c r="G144" s="98">
        <v>2</v>
      </c>
      <c r="H144" s="98">
        <v>23</v>
      </c>
      <c r="I144" s="98">
        <f t="shared" si="13"/>
        <v>46</v>
      </c>
      <c r="J144" s="114">
        <v>18</v>
      </c>
      <c r="K144" s="114">
        <f t="shared" si="14"/>
        <v>828</v>
      </c>
      <c r="L144" s="85"/>
      <c r="M144" s="98"/>
    </row>
    <row r="145" s="84" customFormat="1" spans="1:13">
      <c r="A145" s="96">
        <v>45518</v>
      </c>
      <c r="B145" s="97">
        <v>42</v>
      </c>
      <c r="C145" s="98" t="s">
        <v>21</v>
      </c>
      <c r="D145" s="98"/>
      <c r="E145" s="98"/>
      <c r="F145" s="99" t="s">
        <v>22</v>
      </c>
      <c r="G145" s="98">
        <v>6</v>
      </c>
      <c r="H145" s="98">
        <v>10</v>
      </c>
      <c r="I145" s="98">
        <f t="shared" si="13"/>
        <v>60</v>
      </c>
      <c r="J145" s="114">
        <v>18</v>
      </c>
      <c r="K145" s="114">
        <f t="shared" si="14"/>
        <v>1080</v>
      </c>
      <c r="L145" s="85"/>
      <c r="M145" s="98"/>
    </row>
    <row r="146" s="83" customFormat="1" spans="1:13">
      <c r="A146" s="106">
        <v>45520</v>
      </c>
      <c r="B146" s="101">
        <v>54</v>
      </c>
      <c r="C146" s="90">
        <v>9803</v>
      </c>
      <c r="D146" s="90"/>
      <c r="E146" s="90"/>
      <c r="F146" s="105" t="s">
        <v>15</v>
      </c>
      <c r="G146" s="90">
        <v>10</v>
      </c>
      <c r="H146" s="90">
        <v>28</v>
      </c>
      <c r="I146" s="90">
        <f t="shared" si="13"/>
        <v>280</v>
      </c>
      <c r="J146" s="90">
        <v>9</v>
      </c>
      <c r="K146" s="90">
        <f t="shared" si="14"/>
        <v>2520</v>
      </c>
      <c r="L146" s="113">
        <v>9804</v>
      </c>
      <c r="M146" s="90">
        <f>SUM(K144:K146)</f>
        <v>4428</v>
      </c>
    </row>
    <row r="147" s="84" customFormat="1" spans="1:13">
      <c r="A147" s="96">
        <v>45520</v>
      </c>
      <c r="B147" s="97">
        <v>57</v>
      </c>
      <c r="C147" s="98" t="s">
        <v>106</v>
      </c>
      <c r="D147" s="98"/>
      <c r="E147" s="98"/>
      <c r="F147" s="99" t="s">
        <v>107</v>
      </c>
      <c r="G147" s="98">
        <v>1</v>
      </c>
      <c r="H147" s="98">
        <v>25</v>
      </c>
      <c r="I147" s="98">
        <f t="shared" si="13"/>
        <v>25</v>
      </c>
      <c r="J147" s="98">
        <v>18</v>
      </c>
      <c r="K147" s="98">
        <f t="shared" si="14"/>
        <v>450</v>
      </c>
      <c r="L147" s="85"/>
      <c r="M147" s="98"/>
    </row>
    <row r="148" s="84" customFormat="1" spans="1:13">
      <c r="A148" s="96">
        <v>45520</v>
      </c>
      <c r="B148" s="97">
        <v>57</v>
      </c>
      <c r="C148" s="98" t="s">
        <v>21</v>
      </c>
      <c r="D148" s="98"/>
      <c r="E148" s="98"/>
      <c r="F148" s="99" t="s">
        <v>22</v>
      </c>
      <c r="G148" s="98">
        <v>1</v>
      </c>
      <c r="H148" s="98">
        <v>10</v>
      </c>
      <c r="I148" s="98">
        <f t="shared" si="13"/>
        <v>10</v>
      </c>
      <c r="J148" s="98">
        <v>18</v>
      </c>
      <c r="K148" s="98">
        <f t="shared" si="14"/>
        <v>180</v>
      </c>
      <c r="L148" s="85"/>
      <c r="M148" s="98">
        <f>SUM(K147:K148)</f>
        <v>630</v>
      </c>
    </row>
    <row r="149" s="83" customFormat="1" spans="1:13">
      <c r="A149" s="106">
        <v>45521</v>
      </c>
      <c r="B149" s="101">
        <v>58</v>
      </c>
      <c r="C149" s="90" t="s">
        <v>108</v>
      </c>
      <c r="D149" s="90"/>
      <c r="E149" s="90"/>
      <c r="F149" s="105" t="s">
        <v>109</v>
      </c>
      <c r="G149" s="90">
        <v>1</v>
      </c>
      <c r="H149" s="90">
        <v>21</v>
      </c>
      <c r="I149" s="90">
        <f t="shared" si="13"/>
        <v>21</v>
      </c>
      <c r="J149" s="90">
        <v>18</v>
      </c>
      <c r="K149" s="90">
        <f t="shared" si="14"/>
        <v>378</v>
      </c>
      <c r="L149" s="86" t="s">
        <v>110</v>
      </c>
      <c r="M149" s="90"/>
    </row>
    <row r="150" s="82" customFormat="1" spans="1:13">
      <c r="A150" s="118">
        <v>45523</v>
      </c>
      <c r="B150" s="119"/>
      <c r="C150" s="102" t="s">
        <v>111</v>
      </c>
      <c r="D150" s="102"/>
      <c r="E150" s="102"/>
      <c r="F150" s="103" t="s">
        <v>112</v>
      </c>
      <c r="G150" s="102">
        <v>1</v>
      </c>
      <c r="H150" s="102">
        <v>1</v>
      </c>
      <c r="I150" s="102">
        <f t="shared" si="13"/>
        <v>1</v>
      </c>
      <c r="J150" s="102"/>
      <c r="K150" s="102"/>
      <c r="L150" s="88" t="s">
        <v>113</v>
      </c>
      <c r="M150" s="102"/>
    </row>
    <row r="151" s="84" customFormat="1" spans="1:13">
      <c r="A151" s="96">
        <v>45524</v>
      </c>
      <c r="B151" s="97">
        <v>70</v>
      </c>
      <c r="C151" s="98" t="s">
        <v>106</v>
      </c>
      <c r="D151" s="98"/>
      <c r="E151" s="98"/>
      <c r="F151" s="99" t="s">
        <v>114</v>
      </c>
      <c r="G151" s="98">
        <v>2</v>
      </c>
      <c r="H151" s="98">
        <v>25</v>
      </c>
      <c r="I151" s="98">
        <f t="shared" si="13"/>
        <v>50</v>
      </c>
      <c r="J151" s="98">
        <v>18</v>
      </c>
      <c r="K151" s="98">
        <f t="shared" ref="K151:K212" si="15">I151*J151</f>
        <v>900</v>
      </c>
      <c r="L151" s="85" t="s">
        <v>115</v>
      </c>
      <c r="M151" s="98"/>
    </row>
    <row r="152" s="84" customFormat="1" spans="1:13">
      <c r="A152" s="96">
        <v>45524</v>
      </c>
      <c r="B152" s="97">
        <v>70</v>
      </c>
      <c r="C152" s="98" t="s">
        <v>21</v>
      </c>
      <c r="D152" s="98"/>
      <c r="E152" s="98"/>
      <c r="F152" s="99" t="s">
        <v>22</v>
      </c>
      <c r="G152" s="98">
        <v>2</v>
      </c>
      <c r="H152" s="98">
        <v>10</v>
      </c>
      <c r="I152" s="98">
        <f t="shared" si="13"/>
        <v>20</v>
      </c>
      <c r="J152" s="98">
        <v>18</v>
      </c>
      <c r="K152" s="98">
        <f t="shared" si="15"/>
        <v>360</v>
      </c>
      <c r="L152" s="85"/>
      <c r="M152" s="98">
        <f>SUM(K151:K152)</f>
        <v>1260</v>
      </c>
    </row>
    <row r="153" s="83" customFormat="1" spans="1:13">
      <c r="A153" s="106">
        <v>45530</v>
      </c>
      <c r="B153" s="101">
        <v>81</v>
      </c>
      <c r="C153" s="90" t="s">
        <v>23</v>
      </c>
      <c r="D153" s="90"/>
      <c r="E153" s="90"/>
      <c r="F153" s="105" t="s">
        <v>24</v>
      </c>
      <c r="G153" s="90">
        <v>1</v>
      </c>
      <c r="H153" s="90">
        <v>20</v>
      </c>
      <c r="I153" s="90">
        <f t="shared" si="13"/>
        <v>20</v>
      </c>
      <c r="J153" s="116">
        <v>18</v>
      </c>
      <c r="K153" s="116">
        <f t="shared" si="15"/>
        <v>360</v>
      </c>
      <c r="L153" s="86"/>
      <c r="M153" s="98"/>
    </row>
    <row r="154" s="83" customFormat="1" spans="1:13">
      <c r="A154" s="106">
        <v>45530</v>
      </c>
      <c r="B154" s="101">
        <v>81</v>
      </c>
      <c r="C154" s="90" t="s">
        <v>21</v>
      </c>
      <c r="D154" s="90"/>
      <c r="E154" s="90"/>
      <c r="F154" s="105" t="s">
        <v>22</v>
      </c>
      <c r="G154" s="90">
        <v>1</v>
      </c>
      <c r="H154" s="90">
        <v>10</v>
      </c>
      <c r="I154" s="90">
        <f t="shared" si="13"/>
        <v>10</v>
      </c>
      <c r="J154" s="116">
        <v>18</v>
      </c>
      <c r="K154" s="116">
        <f t="shared" si="15"/>
        <v>180</v>
      </c>
      <c r="L154" s="86"/>
      <c r="M154" s="98"/>
    </row>
    <row r="155" s="83" customFormat="1" spans="1:13">
      <c r="A155" s="106">
        <v>45530</v>
      </c>
      <c r="B155" s="101">
        <v>81</v>
      </c>
      <c r="C155" s="90" t="s">
        <v>108</v>
      </c>
      <c r="D155" s="90"/>
      <c r="E155" s="90"/>
      <c r="F155" s="105" t="s">
        <v>109</v>
      </c>
      <c r="G155" s="90">
        <v>-1</v>
      </c>
      <c r="H155" s="90">
        <v>20</v>
      </c>
      <c r="I155" s="90">
        <f t="shared" si="13"/>
        <v>-20</v>
      </c>
      <c r="J155" s="90">
        <v>18</v>
      </c>
      <c r="K155" s="90">
        <f t="shared" si="15"/>
        <v>-360</v>
      </c>
      <c r="L155" s="86" t="s">
        <v>116</v>
      </c>
      <c r="M155" s="90"/>
    </row>
    <row r="156" s="88" customFormat="1" spans="1:13">
      <c r="A156" s="118">
        <v>45577</v>
      </c>
      <c r="B156" s="119" t="s">
        <v>95</v>
      </c>
      <c r="C156" s="102" t="s">
        <v>117</v>
      </c>
      <c r="D156" s="102"/>
      <c r="E156" s="102"/>
      <c r="F156" s="128" t="s">
        <v>28</v>
      </c>
      <c r="G156" s="102">
        <v>1</v>
      </c>
      <c r="H156" s="102">
        <v>22</v>
      </c>
      <c r="I156" s="102">
        <f t="shared" si="13"/>
        <v>22</v>
      </c>
      <c r="J156" s="102"/>
      <c r="K156" s="102">
        <f t="shared" si="15"/>
        <v>0</v>
      </c>
      <c r="L156" s="86" t="s">
        <v>118</v>
      </c>
      <c r="M156" s="102"/>
    </row>
    <row r="157" s="85" customFormat="1" spans="1:13">
      <c r="A157" s="96">
        <v>45553</v>
      </c>
      <c r="B157" s="97">
        <v>56</v>
      </c>
      <c r="C157" s="98" t="s">
        <v>117</v>
      </c>
      <c r="D157" s="98"/>
      <c r="E157" s="98"/>
      <c r="F157" s="107" t="s">
        <v>28</v>
      </c>
      <c r="G157" s="98">
        <v>2</v>
      </c>
      <c r="H157" s="98">
        <v>22</v>
      </c>
      <c r="I157" s="98">
        <f t="shared" si="13"/>
        <v>44</v>
      </c>
      <c r="J157" s="114">
        <v>12</v>
      </c>
      <c r="K157" s="114">
        <f t="shared" si="15"/>
        <v>528</v>
      </c>
      <c r="L157" s="85" t="s">
        <v>119</v>
      </c>
      <c r="M157" s="98"/>
    </row>
    <row r="158" s="84" customFormat="1" spans="1:13">
      <c r="A158" s="96">
        <v>45553</v>
      </c>
      <c r="B158" s="97">
        <v>56</v>
      </c>
      <c r="C158" s="98" t="s">
        <v>106</v>
      </c>
      <c r="D158" s="98"/>
      <c r="E158" s="98"/>
      <c r="F158" s="99" t="s">
        <v>114</v>
      </c>
      <c r="G158" s="98">
        <v>2</v>
      </c>
      <c r="H158" s="98">
        <v>25</v>
      </c>
      <c r="I158" s="98">
        <f t="shared" si="13"/>
        <v>50</v>
      </c>
      <c r="J158" s="114">
        <v>18</v>
      </c>
      <c r="K158" s="114">
        <f t="shared" si="15"/>
        <v>900</v>
      </c>
      <c r="L158" s="85" t="s">
        <v>115</v>
      </c>
      <c r="M158" s="98"/>
    </row>
    <row r="159" s="84" customFormat="1" spans="1:13">
      <c r="A159" s="96">
        <v>45553</v>
      </c>
      <c r="B159" s="97">
        <v>56</v>
      </c>
      <c r="C159" s="98" t="s">
        <v>21</v>
      </c>
      <c r="D159" s="98"/>
      <c r="E159" s="98"/>
      <c r="F159" s="99" t="s">
        <v>22</v>
      </c>
      <c r="G159" s="98">
        <v>7</v>
      </c>
      <c r="H159" s="98">
        <v>10</v>
      </c>
      <c r="I159" s="98">
        <f t="shared" si="13"/>
        <v>70</v>
      </c>
      <c r="J159" s="114">
        <v>18</v>
      </c>
      <c r="K159" s="114">
        <f t="shared" si="15"/>
        <v>1260</v>
      </c>
      <c r="L159" s="85"/>
      <c r="M159" s="98"/>
    </row>
    <row r="160" s="84" customFormat="1" spans="1:13">
      <c r="A160" s="96">
        <v>45553</v>
      </c>
      <c r="B160" s="97">
        <v>56</v>
      </c>
      <c r="C160" s="98" t="s">
        <v>23</v>
      </c>
      <c r="D160" s="98"/>
      <c r="E160" s="98"/>
      <c r="F160" s="99" t="s">
        <v>24</v>
      </c>
      <c r="G160" s="98">
        <v>2</v>
      </c>
      <c r="H160" s="98">
        <v>20</v>
      </c>
      <c r="I160" s="98">
        <f t="shared" si="13"/>
        <v>40</v>
      </c>
      <c r="J160" s="114">
        <v>18</v>
      </c>
      <c r="K160" s="114">
        <f t="shared" si="15"/>
        <v>720</v>
      </c>
      <c r="L160" s="85"/>
      <c r="M160" s="98"/>
    </row>
    <row r="161" s="84" customFormat="1" spans="1:13">
      <c r="A161" s="96">
        <v>45553</v>
      </c>
      <c r="B161" s="97">
        <v>56</v>
      </c>
      <c r="C161" s="98" t="s">
        <v>25</v>
      </c>
      <c r="D161" s="98"/>
      <c r="E161" s="98"/>
      <c r="F161" s="99" t="s">
        <v>26</v>
      </c>
      <c r="G161" s="98">
        <v>2</v>
      </c>
      <c r="H161" s="98">
        <v>25</v>
      </c>
      <c r="I161" s="98">
        <f t="shared" si="13"/>
        <v>50</v>
      </c>
      <c r="J161" s="114">
        <v>18</v>
      </c>
      <c r="K161" s="114">
        <f t="shared" si="15"/>
        <v>900</v>
      </c>
      <c r="L161" s="85"/>
      <c r="M161" s="98"/>
    </row>
    <row r="162" s="84" customFormat="1" spans="1:13">
      <c r="A162" s="96">
        <v>45553</v>
      </c>
      <c r="B162" s="97">
        <v>56</v>
      </c>
      <c r="C162" s="98" t="s">
        <v>55</v>
      </c>
      <c r="D162" s="98"/>
      <c r="E162" s="98"/>
      <c r="F162" s="99" t="s">
        <v>14</v>
      </c>
      <c r="G162" s="98">
        <v>1</v>
      </c>
      <c r="H162" s="98">
        <v>180</v>
      </c>
      <c r="I162" s="98">
        <f t="shared" si="13"/>
        <v>180</v>
      </c>
      <c r="J162" s="114">
        <v>10.5</v>
      </c>
      <c r="K162" s="114">
        <f t="shared" si="15"/>
        <v>1890</v>
      </c>
      <c r="L162" s="85"/>
      <c r="M162" s="98">
        <f>SUM(K157:K162)</f>
        <v>6198</v>
      </c>
    </row>
    <row r="163" s="86" customFormat="1" spans="1:13">
      <c r="A163" s="106">
        <v>45554</v>
      </c>
      <c r="B163" s="101">
        <v>58</v>
      </c>
      <c r="C163" s="90" t="s">
        <v>27</v>
      </c>
      <c r="D163" s="90"/>
      <c r="E163" s="90"/>
      <c r="F163" s="109" t="s">
        <v>28</v>
      </c>
      <c r="G163" s="90">
        <v>2</v>
      </c>
      <c r="H163" s="90">
        <v>22</v>
      </c>
      <c r="I163" s="90">
        <f t="shared" si="13"/>
        <v>44</v>
      </c>
      <c r="J163" s="116">
        <v>12</v>
      </c>
      <c r="K163" s="116">
        <f t="shared" si="15"/>
        <v>528</v>
      </c>
      <c r="L163" s="108"/>
      <c r="M163" s="90"/>
    </row>
    <row r="164" s="85" customFormat="1" spans="1:13">
      <c r="A164" s="96">
        <v>45556</v>
      </c>
      <c r="B164" s="97">
        <v>68</v>
      </c>
      <c r="C164" s="96">
        <v>45555</v>
      </c>
      <c r="D164" s="98"/>
      <c r="E164" s="98"/>
      <c r="F164" s="107" t="s">
        <v>120</v>
      </c>
      <c r="G164" s="98">
        <v>1</v>
      </c>
      <c r="H164" s="98">
        <v>18</v>
      </c>
      <c r="I164" s="98">
        <f t="shared" si="13"/>
        <v>18</v>
      </c>
      <c r="J164" s="114">
        <v>6</v>
      </c>
      <c r="K164" s="114">
        <f t="shared" si="15"/>
        <v>108</v>
      </c>
      <c r="L164" s="85" t="s">
        <v>121</v>
      </c>
      <c r="M164" s="92" t="s">
        <v>122</v>
      </c>
    </row>
    <row r="165" s="84" customFormat="1" spans="1:13">
      <c r="A165" s="96">
        <v>45556</v>
      </c>
      <c r="B165" s="97">
        <v>68</v>
      </c>
      <c r="C165" s="98">
        <v>9803</v>
      </c>
      <c r="D165" s="98"/>
      <c r="E165" s="98"/>
      <c r="F165" s="99" t="s">
        <v>15</v>
      </c>
      <c r="G165" s="98">
        <v>10</v>
      </c>
      <c r="H165" s="98">
        <v>28</v>
      </c>
      <c r="I165" s="98">
        <f t="shared" si="13"/>
        <v>280</v>
      </c>
      <c r="J165" s="114">
        <v>9</v>
      </c>
      <c r="K165" s="114">
        <f t="shared" si="15"/>
        <v>2520</v>
      </c>
      <c r="L165" s="111">
        <v>9804</v>
      </c>
      <c r="M165" s="98"/>
    </row>
    <row r="166" s="86" customFormat="1" spans="1:13">
      <c r="A166" s="106">
        <v>45565</v>
      </c>
      <c r="B166" s="101">
        <v>102</v>
      </c>
      <c r="C166" s="90">
        <v>1871</v>
      </c>
      <c r="D166" s="90"/>
      <c r="E166" s="90"/>
      <c r="F166" s="109" t="s">
        <v>123</v>
      </c>
      <c r="G166" s="90">
        <v>1</v>
      </c>
      <c r="H166" s="90">
        <v>4</v>
      </c>
      <c r="I166" s="90">
        <f t="shared" si="13"/>
        <v>4</v>
      </c>
      <c r="J166" s="116">
        <v>14</v>
      </c>
      <c r="K166" s="116">
        <f t="shared" si="15"/>
        <v>56</v>
      </c>
      <c r="L166" s="108" t="s">
        <v>124</v>
      </c>
      <c r="M166" s="90"/>
    </row>
    <row r="167" s="83" customFormat="1" spans="1:13">
      <c r="A167" s="106">
        <v>45565</v>
      </c>
      <c r="B167" s="101">
        <v>102</v>
      </c>
      <c r="C167" s="90">
        <v>9803</v>
      </c>
      <c r="D167" s="90"/>
      <c r="E167" s="90"/>
      <c r="F167" s="105" t="s">
        <v>15</v>
      </c>
      <c r="G167" s="90">
        <v>5</v>
      </c>
      <c r="H167" s="90">
        <v>28</v>
      </c>
      <c r="I167" s="90">
        <f t="shared" si="13"/>
        <v>140</v>
      </c>
      <c r="J167" s="116">
        <v>9</v>
      </c>
      <c r="K167" s="116">
        <f t="shared" si="15"/>
        <v>1260</v>
      </c>
      <c r="L167" s="113">
        <v>9804</v>
      </c>
      <c r="M167" s="90"/>
    </row>
    <row r="168" s="84" customFormat="1" spans="1:13">
      <c r="A168" s="96">
        <v>45565</v>
      </c>
      <c r="B168" s="97">
        <v>103</v>
      </c>
      <c r="C168" s="98" t="s">
        <v>106</v>
      </c>
      <c r="D168" s="98"/>
      <c r="E168" s="98"/>
      <c r="F168" s="99" t="s">
        <v>114</v>
      </c>
      <c r="G168" s="98">
        <v>2</v>
      </c>
      <c r="H168" s="98">
        <v>25</v>
      </c>
      <c r="I168" s="98">
        <f t="shared" si="13"/>
        <v>50</v>
      </c>
      <c r="J168" s="114">
        <v>18</v>
      </c>
      <c r="K168" s="114">
        <f t="shared" si="15"/>
        <v>900</v>
      </c>
      <c r="L168" s="85" t="s">
        <v>115</v>
      </c>
      <c r="M168" s="98"/>
    </row>
    <row r="169" s="84" customFormat="1" spans="1:13">
      <c r="A169" s="96">
        <v>45565</v>
      </c>
      <c r="B169" s="97">
        <v>103</v>
      </c>
      <c r="C169" s="98" t="s">
        <v>21</v>
      </c>
      <c r="D169" s="98"/>
      <c r="E169" s="98"/>
      <c r="F169" s="99" t="s">
        <v>22</v>
      </c>
      <c r="G169" s="98">
        <v>2</v>
      </c>
      <c r="H169" s="98">
        <v>10</v>
      </c>
      <c r="I169" s="98">
        <f t="shared" si="13"/>
        <v>20</v>
      </c>
      <c r="J169" s="114">
        <v>18</v>
      </c>
      <c r="K169" s="114">
        <f t="shared" si="15"/>
        <v>360</v>
      </c>
      <c r="L169" s="85"/>
      <c r="M169" s="98"/>
    </row>
    <row r="170" s="86" customFormat="1" spans="1:13">
      <c r="A170" s="106">
        <v>45569</v>
      </c>
      <c r="B170" s="101">
        <v>1</v>
      </c>
      <c r="C170" s="90">
        <v>1872</v>
      </c>
      <c r="D170" s="90"/>
      <c r="E170" s="90"/>
      <c r="F170" s="109" t="s">
        <v>125</v>
      </c>
      <c r="G170" s="90">
        <v>2</v>
      </c>
      <c r="H170" s="90">
        <v>25</v>
      </c>
      <c r="I170" s="90">
        <f t="shared" si="13"/>
        <v>50</v>
      </c>
      <c r="J170" s="116">
        <v>14</v>
      </c>
      <c r="K170" s="116">
        <f t="shared" si="15"/>
        <v>700</v>
      </c>
      <c r="L170" s="108"/>
      <c r="M170" s="90"/>
    </row>
    <row r="171" s="86" customFormat="1" spans="1:13">
      <c r="A171" s="106">
        <v>45569</v>
      </c>
      <c r="B171" s="101">
        <v>1</v>
      </c>
      <c r="C171" s="90" t="s">
        <v>126</v>
      </c>
      <c r="D171" s="90"/>
      <c r="E171" s="90"/>
      <c r="F171" s="109" t="s">
        <v>71</v>
      </c>
      <c r="G171" s="90">
        <v>2</v>
      </c>
      <c r="H171" s="90">
        <v>20</v>
      </c>
      <c r="I171" s="90">
        <f t="shared" si="13"/>
        <v>40</v>
      </c>
      <c r="J171" s="116">
        <v>18</v>
      </c>
      <c r="K171" s="116">
        <f t="shared" si="15"/>
        <v>720</v>
      </c>
      <c r="L171" s="108"/>
      <c r="M171" s="90"/>
    </row>
    <row r="172" s="85" customFormat="1" spans="1:13">
      <c r="A172" s="96">
        <v>45571</v>
      </c>
      <c r="B172" s="97">
        <v>5</v>
      </c>
      <c r="C172" s="98">
        <v>1872</v>
      </c>
      <c r="D172" s="98"/>
      <c r="E172" s="98"/>
      <c r="F172" s="107" t="s">
        <v>125</v>
      </c>
      <c r="G172" s="98">
        <v>2</v>
      </c>
      <c r="H172" s="98">
        <v>25</v>
      </c>
      <c r="I172" s="98">
        <f t="shared" si="13"/>
        <v>50</v>
      </c>
      <c r="J172" s="114">
        <v>14</v>
      </c>
      <c r="K172" s="114">
        <f t="shared" si="15"/>
        <v>700</v>
      </c>
      <c r="L172" s="93" t="s">
        <v>127</v>
      </c>
      <c r="M172" s="98"/>
    </row>
    <row r="173" s="85" customFormat="1" spans="1:13">
      <c r="A173" s="96">
        <v>45571</v>
      </c>
      <c r="B173" s="97">
        <v>5</v>
      </c>
      <c r="C173" s="98" t="s">
        <v>126</v>
      </c>
      <c r="D173" s="98"/>
      <c r="E173" s="98"/>
      <c r="F173" s="107" t="s">
        <v>71</v>
      </c>
      <c r="G173" s="98">
        <v>1</v>
      </c>
      <c r="H173" s="98">
        <v>20</v>
      </c>
      <c r="I173" s="98">
        <f t="shared" si="13"/>
        <v>20</v>
      </c>
      <c r="J173" s="114">
        <v>18</v>
      </c>
      <c r="K173" s="114">
        <f t="shared" si="15"/>
        <v>360</v>
      </c>
      <c r="L173" s="93" t="s">
        <v>128</v>
      </c>
      <c r="M173" s="98"/>
    </row>
    <row r="174" s="85" customFormat="1" spans="1:13">
      <c r="A174" s="96">
        <v>45571</v>
      </c>
      <c r="B174" s="97">
        <v>5</v>
      </c>
      <c r="C174" s="96"/>
      <c r="D174" s="98"/>
      <c r="E174" s="98"/>
      <c r="F174" s="107" t="s">
        <v>120</v>
      </c>
      <c r="G174" s="98">
        <v>1</v>
      </c>
      <c r="H174" s="98">
        <v>18</v>
      </c>
      <c r="I174" s="98">
        <f t="shared" si="13"/>
        <v>18</v>
      </c>
      <c r="J174" s="114">
        <v>6</v>
      </c>
      <c r="K174" s="114">
        <f t="shared" si="15"/>
        <v>108</v>
      </c>
      <c r="L174" s="85" t="s">
        <v>121</v>
      </c>
      <c r="M174" s="92" t="s">
        <v>122</v>
      </c>
    </row>
    <row r="175" s="86" customFormat="1" spans="1:13">
      <c r="A175" s="106">
        <v>45577</v>
      </c>
      <c r="B175" s="101">
        <v>30</v>
      </c>
      <c r="C175" s="90" t="s">
        <v>27</v>
      </c>
      <c r="D175" s="90"/>
      <c r="E175" s="90"/>
      <c r="F175" s="109" t="s">
        <v>28</v>
      </c>
      <c r="G175" s="90">
        <v>1</v>
      </c>
      <c r="H175" s="90">
        <v>22</v>
      </c>
      <c r="I175" s="90">
        <f t="shared" si="13"/>
        <v>22</v>
      </c>
      <c r="J175" s="116">
        <v>12</v>
      </c>
      <c r="K175" s="116">
        <f t="shared" si="15"/>
        <v>264</v>
      </c>
      <c r="M175" s="90"/>
    </row>
    <row r="176" s="83" customFormat="1" spans="1:13">
      <c r="A176" s="106">
        <v>45577</v>
      </c>
      <c r="B176" s="101">
        <v>30</v>
      </c>
      <c r="C176" s="90">
        <v>9803</v>
      </c>
      <c r="D176" s="90"/>
      <c r="E176" s="90"/>
      <c r="F176" s="105" t="s">
        <v>15</v>
      </c>
      <c r="G176" s="90">
        <v>10</v>
      </c>
      <c r="H176" s="90">
        <v>28</v>
      </c>
      <c r="I176" s="90">
        <f t="shared" si="13"/>
        <v>280</v>
      </c>
      <c r="J176" s="116">
        <v>9</v>
      </c>
      <c r="K176" s="116">
        <f t="shared" si="15"/>
        <v>2520</v>
      </c>
      <c r="L176" s="113">
        <v>9804</v>
      </c>
      <c r="M176" s="90"/>
    </row>
    <row r="177" s="86" customFormat="1" spans="1:13">
      <c r="A177" s="106">
        <v>45577</v>
      </c>
      <c r="B177" s="101">
        <v>30</v>
      </c>
      <c r="C177" s="90" t="s">
        <v>53</v>
      </c>
      <c r="D177" s="90"/>
      <c r="E177" s="90"/>
      <c r="F177" s="109" t="s">
        <v>54</v>
      </c>
      <c r="G177" s="90">
        <v>2</v>
      </c>
      <c r="H177" s="90">
        <v>25</v>
      </c>
      <c r="I177" s="90">
        <f t="shared" si="13"/>
        <v>50</v>
      </c>
      <c r="J177" s="116">
        <v>14</v>
      </c>
      <c r="K177" s="116">
        <f t="shared" si="15"/>
        <v>700</v>
      </c>
      <c r="L177" s="108"/>
      <c r="M177" s="90">
        <f>SUM(K175:K177)</f>
        <v>3484</v>
      </c>
    </row>
    <row r="178" s="84" customFormat="1" spans="1:13">
      <c r="A178" s="96">
        <v>45581</v>
      </c>
      <c r="B178" s="97">
        <v>44</v>
      </c>
      <c r="C178" s="98" t="s">
        <v>17</v>
      </c>
      <c r="D178" s="98"/>
      <c r="E178" s="98"/>
      <c r="F178" s="99" t="s">
        <v>18</v>
      </c>
      <c r="G178" s="98">
        <v>1</v>
      </c>
      <c r="H178" s="98">
        <v>10</v>
      </c>
      <c r="I178" s="98">
        <f t="shared" ref="I178:I212" si="16">G178*H178</f>
        <v>10</v>
      </c>
      <c r="J178" s="114">
        <v>18</v>
      </c>
      <c r="K178" s="114">
        <f t="shared" si="15"/>
        <v>180</v>
      </c>
      <c r="L178" s="85"/>
      <c r="M178" s="98"/>
    </row>
    <row r="179" s="84" customFormat="1" spans="1:13">
      <c r="A179" s="96">
        <v>45581</v>
      </c>
      <c r="B179" s="97">
        <v>44</v>
      </c>
      <c r="C179" s="98" t="s">
        <v>23</v>
      </c>
      <c r="D179" s="98"/>
      <c r="E179" s="98"/>
      <c r="F179" s="99" t="s">
        <v>24</v>
      </c>
      <c r="G179" s="98">
        <v>2</v>
      </c>
      <c r="H179" s="98">
        <v>20</v>
      </c>
      <c r="I179" s="98">
        <f t="shared" si="16"/>
        <v>40</v>
      </c>
      <c r="J179" s="114">
        <v>18</v>
      </c>
      <c r="K179" s="114">
        <f t="shared" si="15"/>
        <v>720</v>
      </c>
      <c r="L179" s="85"/>
      <c r="M179" s="98"/>
    </row>
    <row r="180" s="84" customFormat="1" spans="1:13">
      <c r="A180" s="96">
        <v>45581</v>
      </c>
      <c r="B180" s="97">
        <v>44</v>
      </c>
      <c r="C180" s="98">
        <v>709</v>
      </c>
      <c r="D180" s="98"/>
      <c r="E180" s="98"/>
      <c r="F180" s="99" t="s">
        <v>31</v>
      </c>
      <c r="G180" s="98">
        <v>1</v>
      </c>
      <c r="H180" s="98">
        <v>26</v>
      </c>
      <c r="I180" s="98">
        <f t="shared" si="16"/>
        <v>26</v>
      </c>
      <c r="J180" s="114">
        <v>18</v>
      </c>
      <c r="K180" s="114">
        <f t="shared" si="15"/>
        <v>468</v>
      </c>
      <c r="L180" s="85"/>
      <c r="M180" s="98"/>
    </row>
    <row r="181" s="84" customFormat="1" spans="1:13">
      <c r="A181" s="96">
        <v>45581</v>
      </c>
      <c r="B181" s="97">
        <v>44</v>
      </c>
      <c r="C181" s="98" t="s">
        <v>25</v>
      </c>
      <c r="D181" s="98"/>
      <c r="E181" s="98"/>
      <c r="F181" s="99" t="s">
        <v>26</v>
      </c>
      <c r="G181" s="98">
        <v>2</v>
      </c>
      <c r="H181" s="98">
        <v>25</v>
      </c>
      <c r="I181" s="98">
        <f t="shared" si="16"/>
        <v>50</v>
      </c>
      <c r="J181" s="114">
        <v>18</v>
      </c>
      <c r="K181" s="114">
        <f t="shared" si="15"/>
        <v>900</v>
      </c>
      <c r="L181" s="85"/>
      <c r="M181" s="98"/>
    </row>
    <row r="182" s="84" customFormat="1" spans="1:13">
      <c r="A182" s="96">
        <v>45581</v>
      </c>
      <c r="B182" s="97">
        <v>44</v>
      </c>
      <c r="C182" s="98" t="s">
        <v>21</v>
      </c>
      <c r="D182" s="98"/>
      <c r="E182" s="98"/>
      <c r="F182" s="99" t="s">
        <v>22</v>
      </c>
      <c r="G182" s="98">
        <v>6</v>
      </c>
      <c r="H182" s="98">
        <v>10</v>
      </c>
      <c r="I182" s="98">
        <f t="shared" si="16"/>
        <v>60</v>
      </c>
      <c r="J182" s="114">
        <v>18</v>
      </c>
      <c r="K182" s="114">
        <f t="shared" si="15"/>
        <v>1080</v>
      </c>
      <c r="L182" s="85"/>
      <c r="M182" s="98">
        <f>SUM(K178:K183)</f>
        <v>3876</v>
      </c>
    </row>
    <row r="183" s="85" customFormat="1" spans="1:13">
      <c r="A183" s="96">
        <v>45581</v>
      </c>
      <c r="B183" s="97">
        <v>44</v>
      </c>
      <c r="C183" s="98" t="s">
        <v>27</v>
      </c>
      <c r="D183" s="98"/>
      <c r="E183" s="98"/>
      <c r="F183" s="107" t="s">
        <v>28</v>
      </c>
      <c r="G183" s="98">
        <v>2</v>
      </c>
      <c r="H183" s="98">
        <v>22</v>
      </c>
      <c r="I183" s="98">
        <f t="shared" si="16"/>
        <v>44</v>
      </c>
      <c r="J183" s="114">
        <v>12</v>
      </c>
      <c r="K183" s="114">
        <f t="shared" si="15"/>
        <v>528</v>
      </c>
      <c r="M183" s="98"/>
    </row>
    <row r="184" s="83" customFormat="1" spans="1:13">
      <c r="A184" s="106">
        <v>45586</v>
      </c>
      <c r="B184" s="101">
        <v>57</v>
      </c>
      <c r="C184" s="90" t="s">
        <v>55</v>
      </c>
      <c r="D184" s="90"/>
      <c r="E184" s="90"/>
      <c r="F184" s="105" t="s">
        <v>14</v>
      </c>
      <c r="G184" s="90">
        <v>1</v>
      </c>
      <c r="H184" s="90">
        <v>180</v>
      </c>
      <c r="I184" s="90">
        <f t="shared" si="16"/>
        <v>180</v>
      </c>
      <c r="J184" s="116">
        <v>10.5</v>
      </c>
      <c r="K184" s="116">
        <f t="shared" si="15"/>
        <v>1890</v>
      </c>
      <c r="L184" s="86"/>
      <c r="M184" s="90">
        <f>K184</f>
        <v>1890</v>
      </c>
    </row>
    <row r="185" s="84" customFormat="1" spans="1:13">
      <c r="A185" s="96">
        <v>45586</v>
      </c>
      <c r="B185" s="97">
        <v>59</v>
      </c>
      <c r="C185" s="98" t="s">
        <v>106</v>
      </c>
      <c r="D185" s="98"/>
      <c r="E185" s="98"/>
      <c r="F185" s="99" t="s">
        <v>114</v>
      </c>
      <c r="G185" s="98">
        <v>3</v>
      </c>
      <c r="H185" s="98">
        <v>25</v>
      </c>
      <c r="I185" s="98">
        <f t="shared" si="16"/>
        <v>75</v>
      </c>
      <c r="J185" s="114">
        <v>18</v>
      </c>
      <c r="K185" s="114">
        <f t="shared" si="15"/>
        <v>1350</v>
      </c>
      <c r="L185" s="85"/>
      <c r="M185" s="98"/>
    </row>
    <row r="186" s="84" customFormat="1" spans="1:13">
      <c r="A186" s="96">
        <v>45586</v>
      </c>
      <c r="B186" s="97">
        <v>59</v>
      </c>
      <c r="C186" s="98" t="s">
        <v>21</v>
      </c>
      <c r="D186" s="98"/>
      <c r="E186" s="98"/>
      <c r="F186" s="99" t="s">
        <v>22</v>
      </c>
      <c r="G186" s="98">
        <v>3</v>
      </c>
      <c r="H186" s="98">
        <v>10</v>
      </c>
      <c r="I186" s="98">
        <f t="shared" si="16"/>
        <v>30</v>
      </c>
      <c r="J186" s="114">
        <v>18</v>
      </c>
      <c r="K186" s="114">
        <f t="shared" si="15"/>
        <v>540</v>
      </c>
      <c r="L186" s="85"/>
      <c r="M186" s="98"/>
    </row>
    <row r="187" s="85" customFormat="1" spans="1:13">
      <c r="A187" s="96">
        <v>45586</v>
      </c>
      <c r="B187" s="97">
        <v>59</v>
      </c>
      <c r="C187" s="96"/>
      <c r="D187" s="98"/>
      <c r="E187" s="98"/>
      <c r="F187" s="107" t="s">
        <v>129</v>
      </c>
      <c r="G187" s="98">
        <v>1</v>
      </c>
      <c r="H187" s="98">
        <v>18</v>
      </c>
      <c r="I187" s="98">
        <f t="shared" si="16"/>
        <v>18</v>
      </c>
      <c r="J187" s="114">
        <v>6</v>
      </c>
      <c r="K187" s="114">
        <f t="shared" si="15"/>
        <v>108</v>
      </c>
      <c r="M187" s="92"/>
    </row>
    <row r="188" s="85" customFormat="1" spans="1:13">
      <c r="A188" s="96">
        <v>45586</v>
      </c>
      <c r="B188" s="97">
        <v>59</v>
      </c>
      <c r="C188" s="102">
        <v>1872</v>
      </c>
      <c r="D188" s="102"/>
      <c r="E188" s="102"/>
      <c r="F188" s="128" t="s">
        <v>125</v>
      </c>
      <c r="G188" s="102">
        <v>-1</v>
      </c>
      <c r="H188" s="102">
        <v>29</v>
      </c>
      <c r="I188" s="102">
        <f t="shared" si="16"/>
        <v>-29</v>
      </c>
      <c r="J188" s="121">
        <v>14</v>
      </c>
      <c r="K188" s="121">
        <f t="shared" si="15"/>
        <v>-406</v>
      </c>
      <c r="L188" s="85" t="s">
        <v>130</v>
      </c>
      <c r="M188" s="92"/>
    </row>
    <row r="189" s="85" customFormat="1" spans="1:13">
      <c r="A189" s="96">
        <v>45586</v>
      </c>
      <c r="B189" s="97">
        <v>59</v>
      </c>
      <c r="C189" s="102" t="s">
        <v>126</v>
      </c>
      <c r="D189" s="102"/>
      <c r="E189" s="102"/>
      <c r="F189" s="128" t="s">
        <v>71</v>
      </c>
      <c r="G189" s="102">
        <v>-1</v>
      </c>
      <c r="H189" s="102">
        <v>47</v>
      </c>
      <c r="I189" s="102">
        <f t="shared" si="16"/>
        <v>-47</v>
      </c>
      <c r="J189" s="121">
        <v>18</v>
      </c>
      <c r="K189" s="121">
        <f t="shared" si="15"/>
        <v>-846</v>
      </c>
      <c r="L189" s="85" t="s">
        <v>130</v>
      </c>
      <c r="M189" s="92">
        <f>SUM(K185:K189)</f>
        <v>746</v>
      </c>
    </row>
    <row r="190" s="83" customFormat="1" spans="1:13">
      <c r="A190" s="106">
        <v>45589</v>
      </c>
      <c r="B190" s="101">
        <v>71</v>
      </c>
      <c r="C190" s="90">
        <v>9803</v>
      </c>
      <c r="D190" s="90"/>
      <c r="E190" s="90"/>
      <c r="F190" s="105" t="s">
        <v>15</v>
      </c>
      <c r="G190" s="90">
        <v>10</v>
      </c>
      <c r="H190" s="90">
        <v>28</v>
      </c>
      <c r="I190" s="90">
        <f t="shared" si="16"/>
        <v>280</v>
      </c>
      <c r="J190" s="116">
        <v>9</v>
      </c>
      <c r="K190" s="116">
        <f t="shared" si="15"/>
        <v>2520</v>
      </c>
      <c r="L190" s="113">
        <v>9804</v>
      </c>
      <c r="M190" s="90"/>
    </row>
    <row r="191" s="86" customFormat="1" spans="1:13">
      <c r="A191" s="106">
        <v>45589</v>
      </c>
      <c r="B191" s="101">
        <v>71</v>
      </c>
      <c r="C191" s="90" t="s">
        <v>53</v>
      </c>
      <c r="D191" s="90"/>
      <c r="E191" s="90"/>
      <c r="F191" s="109" t="s">
        <v>54</v>
      </c>
      <c r="G191" s="90">
        <v>2</v>
      </c>
      <c r="H191" s="90">
        <v>25</v>
      </c>
      <c r="I191" s="90">
        <f t="shared" si="16"/>
        <v>50</v>
      </c>
      <c r="J191" s="116">
        <v>14</v>
      </c>
      <c r="K191" s="116">
        <f t="shared" si="15"/>
        <v>700</v>
      </c>
      <c r="L191" s="108"/>
      <c r="M191" s="90">
        <f>SUM(K190:K191)</f>
        <v>3220</v>
      </c>
    </row>
    <row r="192" s="84" customFormat="1" spans="1:13">
      <c r="A192" s="96">
        <v>45601</v>
      </c>
      <c r="B192" s="97">
        <v>10</v>
      </c>
      <c r="C192" s="98">
        <v>9803</v>
      </c>
      <c r="D192" s="98"/>
      <c r="E192" s="98"/>
      <c r="F192" s="99" t="s">
        <v>15</v>
      </c>
      <c r="G192" s="98">
        <v>10</v>
      </c>
      <c r="H192" s="98">
        <v>28</v>
      </c>
      <c r="I192" s="98">
        <f t="shared" si="16"/>
        <v>280</v>
      </c>
      <c r="J192" s="114">
        <v>9</v>
      </c>
      <c r="K192" s="114">
        <f t="shared" si="15"/>
        <v>2520</v>
      </c>
      <c r="L192" s="111">
        <v>9804</v>
      </c>
      <c r="M192" s="98"/>
    </row>
    <row r="193" s="83" customFormat="1" spans="1:13">
      <c r="A193" s="106">
        <v>45604</v>
      </c>
      <c r="B193" s="101">
        <v>21</v>
      </c>
      <c r="C193" s="90" t="s">
        <v>106</v>
      </c>
      <c r="D193" s="90"/>
      <c r="E193" s="90"/>
      <c r="F193" s="105" t="s">
        <v>114</v>
      </c>
      <c r="G193" s="90">
        <v>2</v>
      </c>
      <c r="H193" s="90">
        <v>25</v>
      </c>
      <c r="I193" s="90">
        <f t="shared" si="16"/>
        <v>50</v>
      </c>
      <c r="J193" s="116">
        <v>18</v>
      </c>
      <c r="K193" s="116">
        <f t="shared" si="15"/>
        <v>900</v>
      </c>
      <c r="L193" s="86"/>
      <c r="M193" s="90"/>
    </row>
    <row r="194" s="83" customFormat="1" spans="1:13">
      <c r="A194" s="106">
        <v>45604</v>
      </c>
      <c r="B194" s="101">
        <v>21</v>
      </c>
      <c r="C194" s="90" t="s">
        <v>106</v>
      </c>
      <c r="D194" s="90"/>
      <c r="E194" s="90"/>
      <c r="F194" s="105" t="s">
        <v>114</v>
      </c>
      <c r="G194" s="90">
        <v>3</v>
      </c>
      <c r="H194" s="90">
        <v>26</v>
      </c>
      <c r="I194" s="90">
        <f t="shared" si="16"/>
        <v>78</v>
      </c>
      <c r="J194" s="116">
        <v>18</v>
      </c>
      <c r="K194" s="116">
        <f t="shared" si="15"/>
        <v>1404</v>
      </c>
      <c r="L194" s="86"/>
      <c r="M194" s="90"/>
    </row>
    <row r="195" s="83" customFormat="1" spans="1:13">
      <c r="A195" s="106">
        <v>45604</v>
      </c>
      <c r="B195" s="101">
        <v>21</v>
      </c>
      <c r="C195" s="90" t="s">
        <v>23</v>
      </c>
      <c r="D195" s="90"/>
      <c r="E195" s="90"/>
      <c r="F195" s="105" t="s">
        <v>24</v>
      </c>
      <c r="G195" s="90">
        <v>1</v>
      </c>
      <c r="H195" s="90">
        <v>20</v>
      </c>
      <c r="I195" s="90">
        <f t="shared" si="16"/>
        <v>20</v>
      </c>
      <c r="J195" s="116">
        <v>18</v>
      </c>
      <c r="K195" s="116">
        <f t="shared" si="15"/>
        <v>360</v>
      </c>
      <c r="L195" s="86"/>
      <c r="M195" s="90"/>
    </row>
    <row r="196" s="83" customFormat="1" spans="1:13">
      <c r="A196" s="106">
        <v>45604</v>
      </c>
      <c r="B196" s="101">
        <v>21</v>
      </c>
      <c r="C196" s="90" t="s">
        <v>25</v>
      </c>
      <c r="D196" s="90"/>
      <c r="E196" s="90"/>
      <c r="F196" s="105" t="s">
        <v>26</v>
      </c>
      <c r="G196" s="90">
        <v>1</v>
      </c>
      <c r="H196" s="90">
        <v>25</v>
      </c>
      <c r="I196" s="90">
        <f t="shared" si="16"/>
        <v>25</v>
      </c>
      <c r="J196" s="116">
        <v>18</v>
      </c>
      <c r="K196" s="116">
        <f t="shared" si="15"/>
        <v>450</v>
      </c>
      <c r="L196" s="86"/>
      <c r="M196" s="90"/>
    </row>
    <row r="197" s="83" customFormat="1" spans="1:13">
      <c r="A197" s="106">
        <v>45604</v>
      </c>
      <c r="B197" s="101">
        <v>21</v>
      </c>
      <c r="C197" s="90" t="s">
        <v>21</v>
      </c>
      <c r="D197" s="90"/>
      <c r="E197" s="90"/>
      <c r="F197" s="105" t="s">
        <v>22</v>
      </c>
      <c r="G197" s="90">
        <v>7</v>
      </c>
      <c r="H197" s="90">
        <v>10</v>
      </c>
      <c r="I197" s="90">
        <f t="shared" si="16"/>
        <v>70</v>
      </c>
      <c r="J197" s="116">
        <v>18</v>
      </c>
      <c r="K197" s="116">
        <f t="shared" si="15"/>
        <v>1260</v>
      </c>
      <c r="L197" s="86"/>
      <c r="M197" s="90">
        <f>SUM(K193:K197)</f>
        <v>4374</v>
      </c>
    </row>
    <row r="198" s="84" customFormat="1" spans="1:13">
      <c r="A198" s="96">
        <v>45609</v>
      </c>
      <c r="B198" s="97">
        <v>36</v>
      </c>
      <c r="C198" s="98" t="s">
        <v>23</v>
      </c>
      <c r="D198" s="98"/>
      <c r="E198" s="98"/>
      <c r="F198" s="99" t="s">
        <v>24</v>
      </c>
      <c r="G198" s="98">
        <v>1</v>
      </c>
      <c r="H198" s="98">
        <v>20</v>
      </c>
      <c r="I198" s="98">
        <f t="shared" si="16"/>
        <v>20</v>
      </c>
      <c r="J198" s="114">
        <v>18</v>
      </c>
      <c r="K198" s="114">
        <f t="shared" si="15"/>
        <v>360</v>
      </c>
      <c r="L198" s="85"/>
      <c r="M198" s="98"/>
    </row>
    <row r="199" s="85" customFormat="1" spans="1:13">
      <c r="A199" s="96">
        <v>45609</v>
      </c>
      <c r="B199" s="97">
        <v>36</v>
      </c>
      <c r="C199" s="98" t="s">
        <v>29</v>
      </c>
      <c r="D199" s="98"/>
      <c r="E199" s="98"/>
      <c r="F199" s="99" t="s">
        <v>30</v>
      </c>
      <c r="G199" s="98">
        <v>1</v>
      </c>
      <c r="H199" s="98">
        <v>6</v>
      </c>
      <c r="I199" s="98">
        <f t="shared" si="16"/>
        <v>6</v>
      </c>
      <c r="J199" s="114">
        <v>18</v>
      </c>
      <c r="K199" s="98">
        <f t="shared" si="15"/>
        <v>108</v>
      </c>
      <c r="L199" s="93"/>
      <c r="M199" s="98"/>
    </row>
    <row r="200" s="85" customFormat="1" spans="1:13">
      <c r="A200" s="96">
        <v>45609</v>
      </c>
      <c r="B200" s="97">
        <v>36</v>
      </c>
      <c r="C200" s="98">
        <v>709</v>
      </c>
      <c r="D200" s="98"/>
      <c r="E200" s="98"/>
      <c r="F200" s="99" t="s">
        <v>31</v>
      </c>
      <c r="G200" s="98">
        <v>2</v>
      </c>
      <c r="H200" s="98">
        <v>25</v>
      </c>
      <c r="I200" s="98">
        <f t="shared" si="16"/>
        <v>50</v>
      </c>
      <c r="J200" s="114">
        <v>18</v>
      </c>
      <c r="K200" s="98">
        <f t="shared" si="15"/>
        <v>900</v>
      </c>
      <c r="L200" s="93"/>
      <c r="M200" s="98"/>
    </row>
    <row r="201" s="84" customFormat="1" spans="1:13">
      <c r="A201" s="96">
        <v>45609</v>
      </c>
      <c r="B201" s="97">
        <v>36</v>
      </c>
      <c r="C201" s="98" t="s">
        <v>21</v>
      </c>
      <c r="D201" s="98"/>
      <c r="E201" s="98"/>
      <c r="F201" s="99" t="s">
        <v>22</v>
      </c>
      <c r="G201" s="98">
        <v>3</v>
      </c>
      <c r="H201" s="98">
        <v>10</v>
      </c>
      <c r="I201" s="98">
        <f t="shared" si="16"/>
        <v>30</v>
      </c>
      <c r="J201" s="114">
        <v>18</v>
      </c>
      <c r="K201" s="114">
        <f t="shared" si="15"/>
        <v>540</v>
      </c>
      <c r="L201" s="85"/>
      <c r="M201" s="98">
        <f>SUM(K198:K201)</f>
        <v>1908</v>
      </c>
    </row>
    <row r="202" s="83" customFormat="1" spans="1:13">
      <c r="A202" s="106">
        <v>45611</v>
      </c>
      <c r="B202" s="101">
        <v>38</v>
      </c>
      <c r="C202" s="90">
        <v>9803</v>
      </c>
      <c r="D202" s="90"/>
      <c r="E202" s="90"/>
      <c r="F202" s="105" t="s">
        <v>15</v>
      </c>
      <c r="G202" s="90">
        <v>10</v>
      </c>
      <c r="H202" s="90">
        <v>28</v>
      </c>
      <c r="I202" s="90">
        <f t="shared" si="16"/>
        <v>280</v>
      </c>
      <c r="J202" s="116">
        <v>9</v>
      </c>
      <c r="K202" s="116">
        <f t="shared" si="15"/>
        <v>2520</v>
      </c>
      <c r="L202" s="113">
        <v>9804</v>
      </c>
      <c r="M202" s="90"/>
    </row>
    <row r="203" s="83" customFormat="1" spans="1:13">
      <c r="A203" s="106">
        <v>45611</v>
      </c>
      <c r="B203" s="101">
        <v>38</v>
      </c>
      <c r="C203" s="90" t="s">
        <v>25</v>
      </c>
      <c r="D203" s="90"/>
      <c r="E203" s="90"/>
      <c r="F203" s="105" t="s">
        <v>26</v>
      </c>
      <c r="G203" s="90">
        <v>1</v>
      </c>
      <c r="H203" s="90">
        <v>25</v>
      </c>
      <c r="I203" s="90">
        <f t="shared" si="16"/>
        <v>25</v>
      </c>
      <c r="J203" s="116">
        <v>18</v>
      </c>
      <c r="K203" s="116">
        <f t="shared" si="15"/>
        <v>450</v>
      </c>
      <c r="L203" s="86"/>
      <c r="M203" s="90"/>
    </row>
    <row r="204" s="85" customFormat="1" spans="1:13">
      <c r="A204" s="96">
        <v>45614</v>
      </c>
      <c r="B204" s="97">
        <v>49</v>
      </c>
      <c r="C204" s="98" t="s">
        <v>131</v>
      </c>
      <c r="D204" s="98"/>
      <c r="E204" s="98"/>
      <c r="F204" s="99" t="s">
        <v>132</v>
      </c>
      <c r="G204" s="98">
        <v>1</v>
      </c>
      <c r="H204" s="98">
        <v>1</v>
      </c>
      <c r="I204" s="98">
        <f t="shared" si="16"/>
        <v>1</v>
      </c>
      <c r="J204" s="114"/>
      <c r="K204" s="98"/>
      <c r="L204" s="93"/>
      <c r="M204" s="98"/>
    </row>
    <row r="205" s="85" customFormat="1" spans="1:13">
      <c r="A205" s="96">
        <v>45614</v>
      </c>
      <c r="B205" s="97">
        <v>49</v>
      </c>
      <c r="C205" s="98" t="s">
        <v>133</v>
      </c>
      <c r="D205" s="98"/>
      <c r="E205" s="98"/>
      <c r="F205" s="99" t="s">
        <v>134</v>
      </c>
      <c r="G205" s="98">
        <v>1</v>
      </c>
      <c r="H205" s="98">
        <v>7</v>
      </c>
      <c r="I205" s="98">
        <f t="shared" si="16"/>
        <v>7</v>
      </c>
      <c r="J205" s="114">
        <v>18</v>
      </c>
      <c r="K205" s="98">
        <f t="shared" si="15"/>
        <v>126</v>
      </c>
      <c r="L205" s="93"/>
      <c r="M205" s="98"/>
    </row>
    <row r="206" s="83" customFormat="1" spans="1:13">
      <c r="A206" s="96">
        <v>45614</v>
      </c>
      <c r="B206" s="97">
        <v>49</v>
      </c>
      <c r="C206" s="90" t="s">
        <v>55</v>
      </c>
      <c r="D206" s="90"/>
      <c r="E206" s="90"/>
      <c r="F206" s="105" t="s">
        <v>14</v>
      </c>
      <c r="G206" s="90">
        <v>1</v>
      </c>
      <c r="H206" s="90">
        <v>18</v>
      </c>
      <c r="I206" s="90">
        <f t="shared" si="16"/>
        <v>18</v>
      </c>
      <c r="J206" s="116">
        <v>10.5</v>
      </c>
      <c r="K206" s="116">
        <f t="shared" si="15"/>
        <v>189</v>
      </c>
      <c r="L206" s="86"/>
      <c r="M206" s="90">
        <f>SUM(K204:K206)</f>
        <v>315</v>
      </c>
    </row>
    <row r="207" s="84" customFormat="1" spans="1:13">
      <c r="A207" s="96">
        <v>45617</v>
      </c>
      <c r="B207" s="97">
        <v>63</v>
      </c>
      <c r="C207" s="98">
        <v>9803</v>
      </c>
      <c r="D207" s="98"/>
      <c r="E207" s="98"/>
      <c r="F207" s="99" t="s">
        <v>15</v>
      </c>
      <c r="G207" s="98">
        <v>10</v>
      </c>
      <c r="H207" s="98">
        <v>28</v>
      </c>
      <c r="I207" s="98">
        <f t="shared" si="16"/>
        <v>280</v>
      </c>
      <c r="J207" s="114">
        <v>9</v>
      </c>
      <c r="K207" s="114">
        <f t="shared" si="15"/>
        <v>2520</v>
      </c>
      <c r="L207" s="111">
        <v>9804</v>
      </c>
      <c r="M207" s="98"/>
    </row>
    <row r="208" s="82" customFormat="1" spans="1:13">
      <c r="A208" s="118">
        <v>45621</v>
      </c>
      <c r="B208" s="119">
        <v>74</v>
      </c>
      <c r="C208" s="102" t="s">
        <v>55</v>
      </c>
      <c r="D208" s="102"/>
      <c r="E208" s="102"/>
      <c r="F208" s="103" t="s">
        <v>14</v>
      </c>
      <c r="G208" s="102">
        <v>1</v>
      </c>
      <c r="H208" s="102">
        <v>180</v>
      </c>
      <c r="I208" s="102">
        <f t="shared" si="16"/>
        <v>180</v>
      </c>
      <c r="J208" s="121">
        <v>10.5</v>
      </c>
      <c r="K208" s="121">
        <f t="shared" si="15"/>
        <v>1890</v>
      </c>
      <c r="L208" s="88"/>
      <c r="M208" s="102">
        <f>K208</f>
        <v>1890</v>
      </c>
    </row>
    <row r="209" s="86" customFormat="1" spans="1:14">
      <c r="A209" s="106">
        <v>45621</v>
      </c>
      <c r="B209" s="101">
        <v>77</v>
      </c>
      <c r="C209" s="90" t="s">
        <v>53</v>
      </c>
      <c r="D209" s="90"/>
      <c r="E209" s="90"/>
      <c r="F209" s="109" t="s">
        <v>54</v>
      </c>
      <c r="G209" s="90">
        <v>4</v>
      </c>
      <c r="H209" s="90">
        <v>25</v>
      </c>
      <c r="I209" s="90">
        <f t="shared" si="16"/>
        <v>100</v>
      </c>
      <c r="J209" s="116">
        <v>14</v>
      </c>
      <c r="K209" s="116">
        <f t="shared" si="15"/>
        <v>1400</v>
      </c>
      <c r="L209" s="108"/>
      <c r="M209" s="90"/>
    </row>
    <row r="210" s="83" customFormat="1" spans="1:14">
      <c r="A210" s="106">
        <v>45621</v>
      </c>
      <c r="B210" s="101">
        <v>77</v>
      </c>
      <c r="C210" s="90" t="s">
        <v>106</v>
      </c>
      <c r="D210" s="90"/>
      <c r="E210" s="90"/>
      <c r="F210" s="105" t="s">
        <v>114</v>
      </c>
      <c r="G210" s="90">
        <v>2</v>
      </c>
      <c r="H210" s="90">
        <v>25</v>
      </c>
      <c r="I210" s="90">
        <f t="shared" ref="I210:I213" si="17">G210*H210</f>
        <v>50</v>
      </c>
      <c r="J210" s="116">
        <v>18</v>
      </c>
      <c r="K210" s="116">
        <f t="shared" ref="K210:K212" si="18">I210*J210</f>
        <v>900</v>
      </c>
      <c r="L210" s="86"/>
      <c r="M210" s="90"/>
    </row>
    <row r="211" s="83" customFormat="1" spans="1:14">
      <c r="A211" s="106">
        <v>45621</v>
      </c>
      <c r="B211" s="101">
        <v>77</v>
      </c>
      <c r="C211" s="90" t="s">
        <v>106</v>
      </c>
      <c r="D211" s="90"/>
      <c r="E211" s="90"/>
      <c r="F211" s="105" t="s">
        <v>114</v>
      </c>
      <c r="G211" s="90">
        <v>1</v>
      </c>
      <c r="H211" s="90">
        <v>26</v>
      </c>
      <c r="I211" s="90">
        <f t="shared" si="17"/>
        <v>26</v>
      </c>
      <c r="J211" s="116">
        <v>18</v>
      </c>
      <c r="K211" s="116">
        <f t="shared" si="18"/>
        <v>468</v>
      </c>
      <c r="L211" s="86"/>
      <c r="M211" s="90"/>
    </row>
    <row r="212" s="83" customFormat="1" spans="1:14">
      <c r="A212" s="106">
        <v>45621</v>
      </c>
      <c r="B212" s="101">
        <v>77</v>
      </c>
      <c r="C212" s="90" t="s">
        <v>21</v>
      </c>
      <c r="D212" s="90"/>
      <c r="E212" s="90"/>
      <c r="F212" s="105" t="s">
        <v>22</v>
      </c>
      <c r="G212" s="90">
        <v>3</v>
      </c>
      <c r="H212" s="90">
        <v>10</v>
      </c>
      <c r="I212" s="90">
        <f t="shared" si="17"/>
        <v>30</v>
      </c>
      <c r="J212" s="116">
        <v>18</v>
      </c>
      <c r="K212" s="116">
        <f t="shared" si="18"/>
        <v>540</v>
      </c>
      <c r="L212" s="86"/>
      <c r="M212" s="90"/>
    </row>
    <row r="213" s="86" customFormat="1" spans="1:14">
      <c r="A213" s="106">
        <v>45621</v>
      </c>
      <c r="B213" s="101">
        <v>77</v>
      </c>
      <c r="C213" s="90" t="s">
        <v>27</v>
      </c>
      <c r="D213" s="90"/>
      <c r="E213" s="90"/>
      <c r="F213" s="109" t="s">
        <v>28</v>
      </c>
      <c r="G213" s="90">
        <v>1</v>
      </c>
      <c r="H213" s="90">
        <v>22</v>
      </c>
      <c r="I213" s="90">
        <f t="shared" si="17"/>
        <v>22</v>
      </c>
      <c r="J213" s="116"/>
      <c r="K213" s="116"/>
      <c r="L213" s="86" t="s">
        <v>103</v>
      </c>
      <c r="M213" s="90"/>
    </row>
    <row r="214" s="86" customFormat="1" spans="1:14">
      <c r="A214" s="106">
        <v>45621</v>
      </c>
      <c r="B214" s="101">
        <v>77</v>
      </c>
      <c r="C214" s="90">
        <v>1126</v>
      </c>
      <c r="D214" s="90"/>
      <c r="E214" s="90"/>
      <c r="F214" s="109" t="s">
        <v>135</v>
      </c>
      <c r="G214" s="90">
        <v>1</v>
      </c>
      <c r="H214" s="90">
        <v>1</v>
      </c>
      <c r="I214" s="90"/>
      <c r="J214" s="116"/>
      <c r="K214" s="116"/>
      <c r="L214" s="117" t="s">
        <v>136</v>
      </c>
      <c r="M214" s="90">
        <f>SUM(K209:K214)</f>
        <v>3308</v>
      </c>
    </row>
    <row r="215" s="82" customFormat="1" spans="1:14">
      <c r="A215" s="118">
        <v>45628</v>
      </c>
      <c r="B215" s="119">
        <v>2</v>
      </c>
      <c r="C215" s="102" t="s">
        <v>137</v>
      </c>
      <c r="D215" s="102"/>
      <c r="E215" s="102"/>
      <c r="F215" s="103" t="s">
        <v>138</v>
      </c>
      <c r="G215" s="102">
        <v>1</v>
      </c>
      <c r="H215" s="102">
        <v>5</v>
      </c>
      <c r="I215" s="102">
        <f>G215*H215</f>
        <v>5</v>
      </c>
      <c r="J215" s="102">
        <v>18</v>
      </c>
      <c r="K215" s="102">
        <f t="shared" ref="K215:K224" si="19">I215*J215</f>
        <v>90</v>
      </c>
      <c r="L215" s="88" t="s">
        <v>110</v>
      </c>
      <c r="M215" s="102"/>
    </row>
    <row r="216" s="83" customFormat="1" spans="1:14">
      <c r="A216" s="106">
        <v>45632</v>
      </c>
      <c r="B216" s="101">
        <v>17</v>
      </c>
      <c r="C216" s="90" t="s">
        <v>23</v>
      </c>
      <c r="D216" s="90"/>
      <c r="E216" s="90"/>
      <c r="F216" s="105" t="s">
        <v>24</v>
      </c>
      <c r="G216" s="90">
        <v>1</v>
      </c>
      <c r="H216" s="90">
        <v>20</v>
      </c>
      <c r="I216" s="90">
        <f>G216*H216</f>
        <v>20</v>
      </c>
      <c r="J216" s="116">
        <v>18</v>
      </c>
      <c r="K216" s="116">
        <f t="shared" si="19"/>
        <v>360</v>
      </c>
      <c r="L216" s="86"/>
      <c r="M216" s="90"/>
    </row>
    <row r="217" s="83" customFormat="1" spans="1:14">
      <c r="A217" s="106">
        <v>45632</v>
      </c>
      <c r="B217" s="101">
        <v>17</v>
      </c>
      <c r="C217" s="90" t="s">
        <v>25</v>
      </c>
      <c r="D217" s="90"/>
      <c r="E217" s="90"/>
      <c r="F217" s="105" t="s">
        <v>26</v>
      </c>
      <c r="G217" s="90">
        <v>2</v>
      </c>
      <c r="H217" s="90">
        <v>25</v>
      </c>
      <c r="I217" s="90">
        <f t="shared" ref="I217:I252" si="20">G217*H217</f>
        <v>50</v>
      </c>
      <c r="J217" s="116">
        <v>18</v>
      </c>
      <c r="K217" s="116">
        <f t="shared" si="19"/>
        <v>900</v>
      </c>
      <c r="L217" s="86"/>
      <c r="M217" s="90"/>
    </row>
    <row r="218" s="83" customFormat="1" spans="1:14">
      <c r="A218" s="106">
        <v>45632</v>
      </c>
      <c r="B218" s="101">
        <v>17</v>
      </c>
      <c r="C218" s="90" t="s">
        <v>21</v>
      </c>
      <c r="D218" s="90"/>
      <c r="E218" s="90"/>
      <c r="F218" s="105" t="s">
        <v>22</v>
      </c>
      <c r="G218" s="90">
        <v>5</v>
      </c>
      <c r="H218" s="90">
        <v>10</v>
      </c>
      <c r="I218" s="90">
        <f t="shared" si="20"/>
        <v>50</v>
      </c>
      <c r="J218" s="116">
        <v>18</v>
      </c>
      <c r="K218" s="116">
        <f t="shared" si="19"/>
        <v>900</v>
      </c>
      <c r="L218" s="86"/>
      <c r="M218" s="90">
        <f>SUM(K214:K218)</f>
        <v>2250</v>
      </c>
    </row>
    <row r="219" s="84" customFormat="1" spans="1:14">
      <c r="A219" s="96">
        <v>45633</v>
      </c>
      <c r="B219" s="97">
        <v>22</v>
      </c>
      <c r="C219" s="98" t="s">
        <v>58</v>
      </c>
      <c r="D219" s="98"/>
      <c r="E219" s="98"/>
      <c r="F219" s="99" t="s">
        <v>59</v>
      </c>
      <c r="G219" s="98">
        <v>1</v>
      </c>
      <c r="H219" s="98">
        <v>17</v>
      </c>
      <c r="I219" s="98">
        <f t="shared" si="20"/>
        <v>17</v>
      </c>
      <c r="J219" s="114">
        <v>18</v>
      </c>
      <c r="K219" s="114">
        <f t="shared" si="19"/>
        <v>306</v>
      </c>
      <c r="L219" s="129" t="s">
        <v>139</v>
      </c>
      <c r="M219" s="129"/>
      <c r="N219" s="129"/>
    </row>
    <row r="220" s="84" customFormat="1" spans="1:14">
      <c r="A220" s="96">
        <v>45633</v>
      </c>
      <c r="B220" s="97">
        <v>22</v>
      </c>
      <c r="C220" s="98" t="s">
        <v>140</v>
      </c>
      <c r="D220" s="98"/>
      <c r="E220" s="98"/>
      <c r="F220" s="99" t="s">
        <v>57</v>
      </c>
      <c r="G220" s="98">
        <v>1</v>
      </c>
      <c r="H220" s="98">
        <v>10</v>
      </c>
      <c r="I220" s="98">
        <f t="shared" si="20"/>
        <v>10</v>
      </c>
      <c r="J220" s="114">
        <v>22</v>
      </c>
      <c r="K220" s="114">
        <f t="shared" si="19"/>
        <v>220</v>
      </c>
      <c r="L220" s="129" t="s">
        <v>141</v>
      </c>
      <c r="M220" s="129"/>
      <c r="N220" s="129"/>
    </row>
    <row r="221" s="84" customFormat="1" spans="1:14">
      <c r="A221" s="96">
        <v>45633</v>
      </c>
      <c r="B221" s="97">
        <v>22</v>
      </c>
      <c r="C221" s="98" t="s">
        <v>142</v>
      </c>
      <c r="D221" s="98"/>
      <c r="E221" s="98"/>
      <c r="F221" s="103" t="s">
        <v>31</v>
      </c>
      <c r="G221" s="98">
        <v>1</v>
      </c>
      <c r="H221" s="98">
        <v>5</v>
      </c>
      <c r="I221" s="98">
        <f t="shared" si="20"/>
        <v>5</v>
      </c>
      <c r="J221" s="114">
        <v>18</v>
      </c>
      <c r="K221" s="114">
        <f t="shared" si="19"/>
        <v>90</v>
      </c>
      <c r="L221" s="129"/>
      <c r="M221" s="129"/>
      <c r="N221" s="129"/>
    </row>
    <row r="222" s="84" customFormat="1" spans="1:14">
      <c r="A222" s="96">
        <v>45633</v>
      </c>
      <c r="B222" s="97">
        <v>22</v>
      </c>
      <c r="C222" s="98" t="s">
        <v>21</v>
      </c>
      <c r="D222" s="98"/>
      <c r="E222" s="98"/>
      <c r="F222" s="99" t="s">
        <v>22</v>
      </c>
      <c r="G222" s="98">
        <v>2</v>
      </c>
      <c r="H222" s="98">
        <v>10</v>
      </c>
      <c r="I222" s="98">
        <f t="shared" si="20"/>
        <v>20</v>
      </c>
      <c r="J222" s="114">
        <v>18</v>
      </c>
      <c r="K222" s="114">
        <f t="shared" si="19"/>
        <v>360</v>
      </c>
      <c r="L222" s="85"/>
      <c r="M222" s="98"/>
    </row>
    <row r="223" s="84" customFormat="1" spans="1:14">
      <c r="A223" s="96">
        <v>45633</v>
      </c>
      <c r="B223" s="97">
        <v>22</v>
      </c>
      <c r="C223" s="98">
        <v>9803</v>
      </c>
      <c r="D223" s="98"/>
      <c r="E223" s="98"/>
      <c r="F223" s="99" t="s">
        <v>15</v>
      </c>
      <c r="G223" s="98">
        <v>10</v>
      </c>
      <c r="H223" s="98">
        <v>28</v>
      </c>
      <c r="I223" s="98">
        <f t="shared" si="20"/>
        <v>280</v>
      </c>
      <c r="J223" s="114">
        <v>9</v>
      </c>
      <c r="K223" s="114">
        <f t="shared" si="19"/>
        <v>2520</v>
      </c>
      <c r="L223" s="111">
        <v>9804</v>
      </c>
      <c r="M223" s="98"/>
    </row>
    <row r="224" s="85" customFormat="1" spans="1:14">
      <c r="A224" s="96">
        <v>45633</v>
      </c>
      <c r="B224" s="97">
        <v>22</v>
      </c>
      <c r="C224" s="98" t="s">
        <v>53</v>
      </c>
      <c r="D224" s="98"/>
      <c r="E224" s="98"/>
      <c r="F224" s="107" t="s">
        <v>54</v>
      </c>
      <c r="G224" s="98">
        <v>2</v>
      </c>
      <c r="H224" s="98">
        <v>25</v>
      </c>
      <c r="I224" s="98">
        <f t="shared" si="20"/>
        <v>50</v>
      </c>
      <c r="J224" s="114">
        <v>14</v>
      </c>
      <c r="K224" s="114">
        <f t="shared" si="19"/>
        <v>700</v>
      </c>
      <c r="L224" s="93"/>
      <c r="M224" s="98">
        <f>SUM(K219:K224)</f>
        <v>4196</v>
      </c>
    </row>
    <row r="225" s="82" customFormat="1" spans="1:14">
      <c r="A225" s="118">
        <v>45636</v>
      </c>
      <c r="B225" s="119"/>
      <c r="C225" s="102" t="s">
        <v>143</v>
      </c>
      <c r="D225" s="102"/>
      <c r="E225" s="102"/>
      <c r="F225" s="103" t="s">
        <v>144</v>
      </c>
      <c r="G225" s="102">
        <v>1</v>
      </c>
      <c r="H225" s="102">
        <v>1</v>
      </c>
      <c r="I225" s="102">
        <f t="shared" si="20"/>
        <v>1</v>
      </c>
      <c r="J225" s="121"/>
      <c r="K225" s="121"/>
      <c r="L225" s="120"/>
      <c r="M225" s="120"/>
      <c r="N225" s="120"/>
    </row>
    <row r="226" s="83" customFormat="1" spans="1:14">
      <c r="A226" s="106">
        <v>45640</v>
      </c>
      <c r="B226" s="101">
        <v>47</v>
      </c>
      <c r="C226" s="90" t="s">
        <v>25</v>
      </c>
      <c r="D226" s="90"/>
      <c r="E226" s="90"/>
      <c r="F226" s="105" t="s">
        <v>26</v>
      </c>
      <c r="G226" s="90">
        <v>2</v>
      </c>
      <c r="H226" s="90">
        <v>25</v>
      </c>
      <c r="I226" s="90">
        <f t="shared" si="20"/>
        <v>50</v>
      </c>
      <c r="J226" s="116">
        <v>18</v>
      </c>
      <c r="K226" s="116">
        <f>I226*J226</f>
        <v>900</v>
      </c>
      <c r="L226" s="86"/>
      <c r="M226" s="90"/>
    </row>
    <row r="227" s="83" customFormat="1" spans="1:14">
      <c r="A227" s="106">
        <v>45640</v>
      </c>
      <c r="B227" s="101">
        <v>47</v>
      </c>
      <c r="C227" s="90" t="s">
        <v>21</v>
      </c>
      <c r="D227" s="90"/>
      <c r="E227" s="90"/>
      <c r="F227" s="105" t="s">
        <v>22</v>
      </c>
      <c r="G227" s="90">
        <v>2</v>
      </c>
      <c r="H227" s="90">
        <v>10</v>
      </c>
      <c r="I227" s="90">
        <f t="shared" si="20"/>
        <v>20</v>
      </c>
      <c r="J227" s="116">
        <v>18</v>
      </c>
      <c r="K227" s="116">
        <f>I227*J227</f>
        <v>360</v>
      </c>
      <c r="L227" s="86"/>
      <c r="M227" s="90">
        <f>SUM(K223:K227)</f>
        <v>4480</v>
      </c>
    </row>
    <row r="228" s="85" customFormat="1" spans="1:14">
      <c r="A228" s="96">
        <v>45581</v>
      </c>
      <c r="B228" s="97">
        <v>44</v>
      </c>
      <c r="C228" s="98" t="s">
        <v>27</v>
      </c>
      <c r="D228" s="98"/>
      <c r="E228" s="98"/>
      <c r="F228" s="107" t="s">
        <v>145</v>
      </c>
      <c r="G228" s="98">
        <v>2</v>
      </c>
      <c r="H228" s="98">
        <v>20</v>
      </c>
      <c r="I228" s="98">
        <f t="shared" si="20"/>
        <v>40</v>
      </c>
      <c r="J228" s="114">
        <v>12</v>
      </c>
      <c r="K228" s="114">
        <f>I228*J228</f>
        <v>480</v>
      </c>
      <c r="M228" s="98"/>
    </row>
    <row r="229" s="83" customFormat="1" spans="1:14">
      <c r="A229" s="106">
        <v>45654</v>
      </c>
      <c r="B229" s="101">
        <v>93</v>
      </c>
      <c r="C229" s="90" t="s">
        <v>106</v>
      </c>
      <c r="D229" s="90"/>
      <c r="E229" s="90"/>
      <c r="F229" s="105" t="s">
        <v>114</v>
      </c>
      <c r="G229" s="90">
        <v>2</v>
      </c>
      <c r="H229" s="90">
        <v>26</v>
      </c>
      <c r="I229" s="90">
        <f t="shared" si="20"/>
        <v>52</v>
      </c>
      <c r="J229" s="116">
        <v>18</v>
      </c>
      <c r="K229" s="116">
        <f t="shared" ref="K229:K235" si="21">I229*J229</f>
        <v>936</v>
      </c>
      <c r="L229" s="86"/>
      <c r="M229" s="90"/>
    </row>
    <row r="230" s="83" customFormat="1" spans="1:14">
      <c r="A230" s="106">
        <v>45654</v>
      </c>
      <c r="B230" s="101">
        <v>93</v>
      </c>
      <c r="C230" s="90" t="s">
        <v>146</v>
      </c>
      <c r="D230" s="90"/>
      <c r="E230" s="90"/>
      <c r="F230" s="105" t="s">
        <v>147</v>
      </c>
      <c r="G230" s="90">
        <v>1</v>
      </c>
      <c r="H230" s="90">
        <v>13</v>
      </c>
      <c r="I230" s="90">
        <f t="shared" si="20"/>
        <v>13</v>
      </c>
      <c r="J230" s="116">
        <v>18</v>
      </c>
      <c r="K230" s="116">
        <f t="shared" si="21"/>
        <v>234</v>
      </c>
      <c r="L230" s="105" t="s">
        <v>148</v>
      </c>
      <c r="M230" s="105"/>
      <c r="N230" s="105"/>
    </row>
    <row r="231" s="83" customFormat="1" spans="1:14">
      <c r="A231" s="106">
        <v>45654</v>
      </c>
      <c r="B231" s="101">
        <v>93</v>
      </c>
      <c r="C231" s="90" t="s">
        <v>146</v>
      </c>
      <c r="D231" s="90"/>
      <c r="E231" s="90"/>
      <c r="F231" s="105" t="s">
        <v>147</v>
      </c>
      <c r="G231" s="90">
        <v>1</v>
      </c>
      <c r="H231" s="90">
        <v>14</v>
      </c>
      <c r="I231" s="90">
        <f t="shared" si="20"/>
        <v>14</v>
      </c>
      <c r="J231" s="116"/>
      <c r="K231" s="116"/>
      <c r="L231" s="105" t="s">
        <v>149</v>
      </c>
      <c r="M231" s="105"/>
      <c r="N231" s="105"/>
    </row>
    <row r="232" s="83" customFormat="1" spans="1:14">
      <c r="A232" s="106">
        <v>45654</v>
      </c>
      <c r="B232" s="101">
        <v>93</v>
      </c>
      <c r="C232" s="90" t="s">
        <v>150</v>
      </c>
      <c r="D232" s="90"/>
      <c r="E232" s="90"/>
      <c r="F232" s="105" t="s">
        <v>151</v>
      </c>
      <c r="G232" s="90">
        <v>1</v>
      </c>
      <c r="H232" s="90">
        <v>21</v>
      </c>
      <c r="I232" s="90">
        <f t="shared" si="20"/>
        <v>21</v>
      </c>
      <c r="J232" s="116">
        <v>18</v>
      </c>
      <c r="K232" s="116">
        <f t="shared" si="21"/>
        <v>378</v>
      </c>
      <c r="L232" s="86"/>
      <c r="M232" s="90">
        <f>SUM(K229:K233)</f>
        <v>2448</v>
      </c>
    </row>
    <row r="233" s="83" customFormat="1" spans="1:14">
      <c r="A233" s="106">
        <v>45654</v>
      </c>
      <c r="B233" s="101">
        <v>93</v>
      </c>
      <c r="C233" s="90" t="s">
        <v>21</v>
      </c>
      <c r="D233" s="90"/>
      <c r="E233" s="90"/>
      <c r="F233" s="105" t="s">
        <v>22</v>
      </c>
      <c r="G233" s="90">
        <v>5</v>
      </c>
      <c r="H233" s="90">
        <v>10</v>
      </c>
      <c r="I233" s="90">
        <f t="shared" si="20"/>
        <v>50</v>
      </c>
      <c r="J233" s="116">
        <v>18</v>
      </c>
      <c r="K233" s="116">
        <f t="shared" si="21"/>
        <v>900</v>
      </c>
      <c r="L233" s="86"/>
      <c r="M233" s="90"/>
    </row>
    <row r="234" s="84" customFormat="1" spans="1:14">
      <c r="A234" s="96">
        <v>45656</v>
      </c>
      <c r="B234" s="97">
        <v>98</v>
      </c>
      <c r="C234" s="98">
        <v>9803</v>
      </c>
      <c r="D234" s="98"/>
      <c r="E234" s="98"/>
      <c r="F234" s="99" t="s">
        <v>15</v>
      </c>
      <c r="G234" s="98">
        <v>10</v>
      </c>
      <c r="H234" s="98">
        <v>28</v>
      </c>
      <c r="I234" s="98">
        <f t="shared" si="20"/>
        <v>280</v>
      </c>
      <c r="J234" s="114">
        <v>9</v>
      </c>
      <c r="K234" s="114">
        <f t="shared" si="21"/>
        <v>2520</v>
      </c>
      <c r="L234" s="111">
        <v>9804</v>
      </c>
      <c r="M234" s="98"/>
    </row>
    <row r="235" s="84" customFormat="1" spans="1:14">
      <c r="A235" s="96">
        <v>45656</v>
      </c>
      <c r="B235" s="97">
        <v>98</v>
      </c>
      <c r="C235" s="98" t="s">
        <v>152</v>
      </c>
      <c r="D235" s="98"/>
      <c r="E235" s="98"/>
      <c r="F235" s="99" t="s">
        <v>153</v>
      </c>
      <c r="G235" s="98">
        <v>1</v>
      </c>
      <c r="H235" s="98">
        <v>25</v>
      </c>
      <c r="I235" s="98">
        <f t="shared" si="20"/>
        <v>25</v>
      </c>
      <c r="J235" s="114">
        <v>18</v>
      </c>
      <c r="K235" s="114">
        <f t="shared" si="21"/>
        <v>450</v>
      </c>
      <c r="L235" s="85" t="s">
        <v>154</v>
      </c>
      <c r="M235" s="98"/>
    </row>
    <row r="236" s="84" customFormat="1" spans="1:14">
      <c r="A236" s="96">
        <v>45656</v>
      </c>
      <c r="B236" s="97">
        <v>98</v>
      </c>
      <c r="C236" s="98" t="s">
        <v>152</v>
      </c>
      <c r="D236" s="98"/>
      <c r="E236" s="98"/>
      <c r="F236" s="99" t="s">
        <v>153</v>
      </c>
      <c r="G236" s="98">
        <v>1</v>
      </c>
      <c r="H236" s="98">
        <v>2</v>
      </c>
      <c r="I236" s="98">
        <f t="shared" si="20"/>
        <v>2</v>
      </c>
      <c r="J236" s="114"/>
      <c r="K236" s="114"/>
      <c r="L236" s="85" t="s">
        <v>155</v>
      </c>
      <c r="M236" s="98"/>
    </row>
    <row r="237" s="88" customFormat="1" spans="1:14">
      <c r="A237" s="118">
        <v>45657</v>
      </c>
      <c r="B237" s="119">
        <v>102</v>
      </c>
      <c r="C237" s="118"/>
      <c r="D237" s="102"/>
      <c r="E237" s="102"/>
      <c r="F237" s="128" t="s">
        <v>129</v>
      </c>
      <c r="G237" s="102">
        <v>5</v>
      </c>
      <c r="H237" s="102">
        <v>18</v>
      </c>
      <c r="I237" s="102">
        <f t="shared" si="20"/>
        <v>90</v>
      </c>
      <c r="J237" s="121">
        <v>6</v>
      </c>
      <c r="K237" s="121">
        <f t="shared" ref="K237:K244" si="22">I237*J237</f>
        <v>540</v>
      </c>
      <c r="M237" s="130"/>
    </row>
    <row r="238" s="84" customFormat="1" spans="1:14">
      <c r="A238" s="96">
        <v>45664</v>
      </c>
      <c r="B238" s="97">
        <v>31</v>
      </c>
      <c r="C238" s="98" t="s">
        <v>156</v>
      </c>
      <c r="D238" s="98"/>
      <c r="E238" s="98"/>
      <c r="F238" s="99" t="s">
        <v>157</v>
      </c>
      <c r="G238" s="98">
        <v>1</v>
      </c>
      <c r="H238" s="98">
        <v>5</v>
      </c>
      <c r="I238" s="98">
        <f t="shared" si="20"/>
        <v>5</v>
      </c>
      <c r="J238" s="114">
        <v>18</v>
      </c>
      <c r="K238" s="114">
        <f t="shared" si="22"/>
        <v>90</v>
      </c>
      <c r="L238" s="85"/>
      <c r="M238" s="98"/>
    </row>
    <row r="239" s="83" customFormat="1" spans="1:14">
      <c r="A239" s="106">
        <v>45665</v>
      </c>
      <c r="B239" s="101">
        <v>34</v>
      </c>
      <c r="C239" s="90">
        <v>9803</v>
      </c>
      <c r="D239" s="90"/>
      <c r="E239" s="90"/>
      <c r="F239" s="105" t="s">
        <v>15</v>
      </c>
      <c r="G239" s="90">
        <v>10</v>
      </c>
      <c r="H239" s="90">
        <v>28</v>
      </c>
      <c r="I239" s="90">
        <f t="shared" si="20"/>
        <v>280</v>
      </c>
      <c r="J239" s="116">
        <v>9</v>
      </c>
      <c r="K239" s="116">
        <f t="shared" si="22"/>
        <v>2520</v>
      </c>
      <c r="L239" s="113">
        <v>9804</v>
      </c>
      <c r="M239" s="90"/>
    </row>
    <row r="240" s="86" customFormat="1" spans="1:14">
      <c r="A240" s="106">
        <v>45665</v>
      </c>
      <c r="B240" s="101">
        <v>34</v>
      </c>
      <c r="C240" s="106"/>
      <c r="D240" s="90"/>
      <c r="E240" s="90"/>
      <c r="F240" s="109" t="s">
        <v>129</v>
      </c>
      <c r="G240" s="90">
        <v>3</v>
      </c>
      <c r="H240" s="90">
        <v>18</v>
      </c>
      <c r="I240" s="90">
        <f t="shared" si="20"/>
        <v>54</v>
      </c>
      <c r="J240" s="116">
        <v>6</v>
      </c>
      <c r="K240" s="116">
        <f t="shared" si="22"/>
        <v>324</v>
      </c>
      <c r="M240" s="91"/>
    </row>
    <row r="241" s="84" customFormat="1" spans="1:13">
      <c r="A241" s="96">
        <v>45670</v>
      </c>
      <c r="B241" s="97">
        <v>45</v>
      </c>
      <c r="C241" s="98" t="s">
        <v>53</v>
      </c>
      <c r="D241" s="98"/>
      <c r="E241" s="98"/>
      <c r="F241" s="107" t="s">
        <v>54</v>
      </c>
      <c r="G241" s="98">
        <v>2</v>
      </c>
      <c r="H241" s="98">
        <v>25</v>
      </c>
      <c r="I241" s="98">
        <f t="shared" si="20"/>
        <v>50</v>
      </c>
      <c r="J241" s="114">
        <v>14</v>
      </c>
      <c r="K241" s="114">
        <f t="shared" si="22"/>
        <v>700</v>
      </c>
      <c r="L241" s="85"/>
      <c r="M241" s="98"/>
    </row>
    <row r="242" s="84" customFormat="1" spans="1:13">
      <c r="A242" s="96">
        <v>45670</v>
      </c>
      <c r="B242" s="97">
        <v>45</v>
      </c>
      <c r="C242" s="96"/>
      <c r="D242" s="98"/>
      <c r="E242" s="98"/>
      <c r="F242" s="107" t="s">
        <v>129</v>
      </c>
      <c r="G242" s="98">
        <v>1</v>
      </c>
      <c r="H242" s="98">
        <v>18</v>
      </c>
      <c r="I242" s="98">
        <f t="shared" si="20"/>
        <v>18</v>
      </c>
      <c r="J242" s="114">
        <v>6</v>
      </c>
      <c r="K242" s="114">
        <f t="shared" si="22"/>
        <v>108</v>
      </c>
      <c r="L242" s="85"/>
      <c r="M242" s="98"/>
    </row>
    <row r="243" s="83" customFormat="1" spans="1:13">
      <c r="A243" s="106">
        <v>45671</v>
      </c>
      <c r="B243" s="101">
        <v>47</v>
      </c>
      <c r="C243" s="90" t="s">
        <v>55</v>
      </c>
      <c r="D243" s="90"/>
      <c r="E243" s="90"/>
      <c r="F243" s="105" t="s">
        <v>14</v>
      </c>
      <c r="G243" s="90">
        <v>2</v>
      </c>
      <c r="H243" s="90">
        <v>18</v>
      </c>
      <c r="I243" s="90">
        <f t="shared" si="20"/>
        <v>36</v>
      </c>
      <c r="J243" s="116">
        <v>10.5</v>
      </c>
      <c r="K243" s="116">
        <f t="shared" si="22"/>
        <v>378</v>
      </c>
      <c r="L243" s="86"/>
      <c r="M243" s="90">
        <f>SUM(K241:K243)</f>
        <v>1186</v>
      </c>
    </row>
    <row r="244" s="85" customFormat="1" spans="1:13">
      <c r="A244" s="96">
        <v>45671</v>
      </c>
      <c r="B244" s="97">
        <v>49</v>
      </c>
      <c r="C244" s="98" t="s">
        <v>27</v>
      </c>
      <c r="D244" s="98"/>
      <c r="E244" s="98"/>
      <c r="F244" s="107" t="s">
        <v>28</v>
      </c>
      <c r="G244" s="98">
        <v>1</v>
      </c>
      <c r="H244" s="98">
        <v>22</v>
      </c>
      <c r="I244" s="98">
        <f t="shared" si="20"/>
        <v>22</v>
      </c>
      <c r="J244" s="114">
        <v>12</v>
      </c>
      <c r="K244" s="114">
        <f t="shared" si="22"/>
        <v>264</v>
      </c>
      <c r="M244" s="98"/>
    </row>
    <row r="245" s="82" customFormat="1" spans="1:13">
      <c r="A245" s="118">
        <v>45673</v>
      </c>
      <c r="B245" s="119">
        <v>61</v>
      </c>
      <c r="C245" s="102">
        <v>118</v>
      </c>
      <c r="D245" s="102"/>
      <c r="E245" s="102"/>
      <c r="F245" s="103" t="s">
        <v>158</v>
      </c>
      <c r="G245" s="102">
        <v>1</v>
      </c>
      <c r="H245" s="102">
        <v>0.8</v>
      </c>
      <c r="I245" s="102">
        <f t="shared" si="20"/>
        <v>0.8</v>
      </c>
      <c r="J245" s="121"/>
      <c r="K245" s="121"/>
      <c r="L245" s="88" t="s">
        <v>159</v>
      </c>
      <c r="M245" s="102"/>
    </row>
    <row r="246" s="83" customFormat="1" spans="1:13">
      <c r="A246" s="106">
        <v>45673</v>
      </c>
      <c r="B246" s="101">
        <v>61</v>
      </c>
      <c r="C246" s="90" t="s">
        <v>23</v>
      </c>
      <c r="D246" s="90"/>
      <c r="E246" s="90"/>
      <c r="F246" s="105" t="s">
        <v>24</v>
      </c>
      <c r="G246" s="90">
        <v>1</v>
      </c>
      <c r="H246" s="90">
        <v>20</v>
      </c>
      <c r="I246" s="90">
        <f t="shared" si="20"/>
        <v>20</v>
      </c>
      <c r="J246" s="116">
        <v>18</v>
      </c>
      <c r="K246" s="116">
        <f t="shared" ref="K246:K252" si="23">I246*J246</f>
        <v>360</v>
      </c>
      <c r="L246" s="86"/>
      <c r="M246" s="90"/>
    </row>
    <row r="247" s="83" customFormat="1" spans="1:13">
      <c r="A247" s="106">
        <v>45673</v>
      </c>
      <c r="B247" s="101">
        <v>61</v>
      </c>
      <c r="C247" s="90" t="s">
        <v>21</v>
      </c>
      <c r="D247" s="90"/>
      <c r="E247" s="90"/>
      <c r="F247" s="105" t="s">
        <v>22</v>
      </c>
      <c r="G247" s="90">
        <v>1</v>
      </c>
      <c r="H247" s="90">
        <v>10</v>
      </c>
      <c r="I247" s="90">
        <f t="shared" si="20"/>
        <v>10</v>
      </c>
      <c r="J247" s="116">
        <v>18</v>
      </c>
      <c r="K247" s="116">
        <f t="shared" si="23"/>
        <v>180</v>
      </c>
      <c r="L247" s="86"/>
      <c r="M247" s="90">
        <f>SUM(K244:K247)</f>
        <v>804</v>
      </c>
    </row>
    <row r="248" s="84" customFormat="1" spans="1:13">
      <c r="A248" s="96">
        <v>45673</v>
      </c>
      <c r="B248" s="97">
        <v>62</v>
      </c>
      <c r="C248" s="98"/>
      <c r="D248" s="98"/>
      <c r="E248" s="98"/>
      <c r="F248" s="99" t="s">
        <v>160</v>
      </c>
      <c r="G248" s="98">
        <v>1</v>
      </c>
      <c r="H248" s="98">
        <v>25</v>
      </c>
      <c r="I248" s="98">
        <f t="shared" si="20"/>
        <v>25</v>
      </c>
      <c r="J248" s="114">
        <v>18</v>
      </c>
      <c r="K248" s="114">
        <f t="shared" si="23"/>
        <v>450</v>
      </c>
      <c r="L248" s="85"/>
      <c r="M248" s="98"/>
    </row>
    <row r="249" s="84" customFormat="1" spans="1:13">
      <c r="A249" s="96">
        <v>45673</v>
      </c>
      <c r="B249" s="97">
        <v>62</v>
      </c>
      <c r="C249" s="98" t="s">
        <v>161</v>
      </c>
      <c r="D249" s="98"/>
      <c r="E249" s="98"/>
      <c r="F249" s="99" t="s">
        <v>162</v>
      </c>
      <c r="G249" s="98">
        <v>1</v>
      </c>
      <c r="H249" s="98">
        <v>2</v>
      </c>
      <c r="I249" s="98">
        <f t="shared" si="20"/>
        <v>2</v>
      </c>
      <c r="J249" s="114">
        <v>18</v>
      </c>
      <c r="K249" s="114">
        <f t="shared" si="23"/>
        <v>36</v>
      </c>
      <c r="L249" s="85"/>
      <c r="M249" s="98"/>
    </row>
    <row r="250" s="84" customFormat="1" spans="1:13">
      <c r="A250" s="96">
        <v>45673</v>
      </c>
      <c r="B250" s="97">
        <v>62</v>
      </c>
      <c r="C250" s="98" t="s">
        <v>163</v>
      </c>
      <c r="D250" s="98"/>
      <c r="E250" s="98"/>
      <c r="F250" s="99" t="s">
        <v>164</v>
      </c>
      <c r="G250" s="98">
        <v>1</v>
      </c>
      <c r="H250" s="98">
        <v>2</v>
      </c>
      <c r="I250" s="98">
        <f t="shared" si="20"/>
        <v>2</v>
      </c>
      <c r="J250" s="114">
        <v>18</v>
      </c>
      <c r="K250" s="114">
        <f t="shared" si="23"/>
        <v>36</v>
      </c>
      <c r="L250" s="85"/>
      <c r="M250" s="98"/>
    </row>
    <row r="251" s="84" customFormat="1" spans="1:13">
      <c r="A251" s="96">
        <v>45673</v>
      </c>
      <c r="B251" s="97">
        <v>62</v>
      </c>
      <c r="C251" s="98" t="s">
        <v>21</v>
      </c>
      <c r="D251" s="98"/>
      <c r="E251" s="98"/>
      <c r="F251" s="99" t="s">
        <v>22</v>
      </c>
      <c r="G251" s="98">
        <v>1</v>
      </c>
      <c r="H251" s="98">
        <v>10</v>
      </c>
      <c r="I251" s="98">
        <f t="shared" si="20"/>
        <v>10</v>
      </c>
      <c r="J251" s="114">
        <v>18</v>
      </c>
      <c r="K251" s="114">
        <f t="shared" si="23"/>
        <v>180</v>
      </c>
      <c r="L251" s="85"/>
      <c r="M251" s="98">
        <f>SUM(K248:K251)</f>
        <v>702</v>
      </c>
    </row>
    <row r="252" s="83" customFormat="1" spans="1:13">
      <c r="A252" s="106">
        <v>45729</v>
      </c>
      <c r="B252" s="101">
        <v>44</v>
      </c>
      <c r="C252" s="90">
        <v>9803</v>
      </c>
      <c r="D252" s="90"/>
      <c r="E252" s="90"/>
      <c r="F252" s="105" t="s">
        <v>15</v>
      </c>
      <c r="G252" s="90">
        <v>6</v>
      </c>
      <c r="H252" s="90">
        <v>28</v>
      </c>
      <c r="I252" s="90">
        <f t="shared" si="20"/>
        <v>168</v>
      </c>
      <c r="J252" s="116">
        <v>9</v>
      </c>
      <c r="K252" s="116">
        <f t="shared" si="23"/>
        <v>1512</v>
      </c>
      <c r="L252" s="113">
        <v>9804</v>
      </c>
      <c r="M252" s="90"/>
    </row>
    <row r="253" s="83" customFormat="1" spans="1:13">
      <c r="A253" s="106">
        <v>45729</v>
      </c>
      <c r="B253" s="101">
        <v>44</v>
      </c>
      <c r="C253" s="90"/>
      <c r="D253" s="90"/>
      <c r="E253" s="90"/>
      <c r="F253" s="105" t="s">
        <v>160</v>
      </c>
      <c r="G253" s="90">
        <v>5</v>
      </c>
      <c r="H253" s="90">
        <v>25</v>
      </c>
      <c r="I253" s="90">
        <f t="shared" ref="I253:I292" si="24">G253*H253</f>
        <v>125</v>
      </c>
      <c r="J253" s="116">
        <v>18</v>
      </c>
      <c r="K253" s="116">
        <f t="shared" ref="K253:K297" si="25">I253*J253</f>
        <v>2250</v>
      </c>
      <c r="L253" s="86"/>
      <c r="M253" s="90"/>
    </row>
    <row r="254" s="83" customFormat="1" spans="1:13">
      <c r="A254" s="106">
        <v>45729</v>
      </c>
      <c r="B254" s="101">
        <v>44</v>
      </c>
      <c r="C254" s="90" t="s">
        <v>21</v>
      </c>
      <c r="D254" s="90"/>
      <c r="E254" s="90"/>
      <c r="F254" s="105" t="s">
        <v>22</v>
      </c>
      <c r="G254" s="90">
        <v>6</v>
      </c>
      <c r="H254" s="90">
        <v>10</v>
      </c>
      <c r="I254" s="90">
        <f t="shared" si="24"/>
        <v>60</v>
      </c>
      <c r="J254" s="116">
        <v>18</v>
      </c>
      <c r="K254" s="116">
        <f t="shared" si="25"/>
        <v>1080</v>
      </c>
      <c r="L254" s="86"/>
      <c r="M254" s="90"/>
    </row>
    <row r="255" s="83" customFormat="1" spans="1:13">
      <c r="A255" s="106">
        <v>45729</v>
      </c>
      <c r="B255" s="101">
        <v>44</v>
      </c>
      <c r="C255" s="90" t="s">
        <v>55</v>
      </c>
      <c r="D255" s="90"/>
      <c r="E255" s="90"/>
      <c r="F255" s="105" t="s">
        <v>14</v>
      </c>
      <c r="G255" s="90">
        <v>1</v>
      </c>
      <c r="H255" s="90">
        <v>180</v>
      </c>
      <c r="I255" s="90">
        <f t="shared" si="24"/>
        <v>180</v>
      </c>
      <c r="J255" s="116">
        <v>10.5</v>
      </c>
      <c r="K255" s="116">
        <f t="shared" si="25"/>
        <v>1890</v>
      </c>
      <c r="L255" s="86"/>
      <c r="M255" s="90">
        <f>SUM(K252:K255)</f>
        <v>6732</v>
      </c>
    </row>
    <row r="256" s="84" customFormat="1" spans="1:13">
      <c r="A256" s="96">
        <v>45735</v>
      </c>
      <c r="B256" s="97">
        <v>69</v>
      </c>
      <c r="C256" s="98">
        <v>9803</v>
      </c>
      <c r="D256" s="98"/>
      <c r="E256" s="98"/>
      <c r="F256" s="99" t="s">
        <v>15</v>
      </c>
      <c r="G256" s="98">
        <v>10</v>
      </c>
      <c r="H256" s="98">
        <v>28</v>
      </c>
      <c r="I256" s="98">
        <f t="shared" si="24"/>
        <v>280</v>
      </c>
      <c r="J256" s="114">
        <v>9</v>
      </c>
      <c r="K256" s="114">
        <f t="shared" si="25"/>
        <v>2520</v>
      </c>
      <c r="L256" s="111">
        <v>9804</v>
      </c>
      <c r="M256" s="98"/>
    </row>
    <row r="257" s="83" customFormat="1" spans="1:14">
      <c r="A257" s="106">
        <v>45736</v>
      </c>
      <c r="B257" s="101">
        <v>74</v>
      </c>
      <c r="C257" s="90"/>
      <c r="D257" s="90"/>
      <c r="E257" s="90"/>
      <c r="F257" s="105" t="s">
        <v>160</v>
      </c>
      <c r="G257" s="90">
        <v>4</v>
      </c>
      <c r="H257" s="90">
        <v>25</v>
      </c>
      <c r="I257" s="90">
        <f t="shared" si="24"/>
        <v>100</v>
      </c>
      <c r="J257" s="116">
        <v>18</v>
      </c>
      <c r="K257" s="116">
        <f t="shared" si="25"/>
        <v>1800</v>
      </c>
      <c r="L257" s="86"/>
      <c r="M257" s="90"/>
    </row>
    <row r="258" s="83" customFormat="1" spans="1:14">
      <c r="A258" s="106">
        <v>45736</v>
      </c>
      <c r="B258" s="101">
        <v>74</v>
      </c>
      <c r="C258" s="90"/>
      <c r="D258" s="90"/>
      <c r="E258" s="90"/>
      <c r="F258" s="105" t="s">
        <v>160</v>
      </c>
      <c r="G258" s="90">
        <v>1</v>
      </c>
      <c r="H258" s="90">
        <v>24</v>
      </c>
      <c r="I258" s="90">
        <f t="shared" si="24"/>
        <v>24</v>
      </c>
      <c r="J258" s="116">
        <v>18</v>
      </c>
      <c r="K258" s="116">
        <f t="shared" si="25"/>
        <v>432</v>
      </c>
      <c r="L258" s="86"/>
      <c r="M258" s="90"/>
    </row>
    <row r="259" s="83" customFormat="1" spans="1:14">
      <c r="A259" s="106">
        <v>45736</v>
      </c>
      <c r="B259" s="101">
        <v>74</v>
      </c>
      <c r="C259" s="90" t="s">
        <v>21</v>
      </c>
      <c r="D259" s="90"/>
      <c r="E259" s="90"/>
      <c r="F259" s="105" t="s">
        <v>22</v>
      </c>
      <c r="G259" s="90">
        <v>6</v>
      </c>
      <c r="H259" s="90">
        <v>10</v>
      </c>
      <c r="I259" s="90">
        <f t="shared" si="24"/>
        <v>60</v>
      </c>
      <c r="J259" s="116">
        <v>18</v>
      </c>
      <c r="K259" s="116">
        <f t="shared" si="25"/>
        <v>1080</v>
      </c>
      <c r="L259" s="86"/>
      <c r="M259" s="90"/>
    </row>
    <row r="260" s="86" customFormat="1" spans="1:14">
      <c r="A260" s="106">
        <v>45736</v>
      </c>
      <c r="B260" s="101">
        <v>74</v>
      </c>
      <c r="C260" s="90" t="s">
        <v>27</v>
      </c>
      <c r="D260" s="90"/>
      <c r="E260" s="90"/>
      <c r="F260" s="109" t="s">
        <v>28</v>
      </c>
      <c r="G260" s="90">
        <v>2</v>
      </c>
      <c r="H260" s="90">
        <v>22</v>
      </c>
      <c r="I260" s="90">
        <f t="shared" si="24"/>
        <v>44</v>
      </c>
      <c r="J260" s="116">
        <v>12</v>
      </c>
      <c r="K260" s="116">
        <f t="shared" si="25"/>
        <v>528</v>
      </c>
      <c r="M260" s="90"/>
    </row>
    <row r="261" s="84" customFormat="1" spans="1:14">
      <c r="A261" s="96">
        <v>45742</v>
      </c>
      <c r="B261" s="97">
        <v>98</v>
      </c>
      <c r="C261" s="98" t="s">
        <v>53</v>
      </c>
      <c r="D261" s="98"/>
      <c r="E261" s="98"/>
      <c r="F261" s="107" t="s">
        <v>54</v>
      </c>
      <c r="G261" s="98">
        <v>5</v>
      </c>
      <c r="H261" s="98">
        <v>25</v>
      </c>
      <c r="I261" s="98">
        <f t="shared" si="24"/>
        <v>125</v>
      </c>
      <c r="J261" s="114">
        <v>14</v>
      </c>
      <c r="K261" s="114">
        <f t="shared" si="25"/>
        <v>1750</v>
      </c>
      <c r="L261" s="85"/>
      <c r="M261" s="98"/>
    </row>
    <row r="262" s="84" customFormat="1" spans="1:14">
      <c r="A262" s="96">
        <v>45742</v>
      </c>
      <c r="B262" s="97">
        <v>98</v>
      </c>
      <c r="C262" s="98" t="s">
        <v>23</v>
      </c>
      <c r="D262" s="98"/>
      <c r="E262" s="98"/>
      <c r="F262" s="99" t="s">
        <v>24</v>
      </c>
      <c r="G262" s="98">
        <v>2</v>
      </c>
      <c r="H262" s="98">
        <v>20</v>
      </c>
      <c r="I262" s="98">
        <f t="shared" si="24"/>
        <v>40</v>
      </c>
      <c r="J262" s="114">
        <v>18</v>
      </c>
      <c r="K262" s="114">
        <f t="shared" si="25"/>
        <v>720</v>
      </c>
      <c r="L262" s="85"/>
      <c r="M262" s="98"/>
    </row>
    <row r="263" s="84" customFormat="1" spans="1:14">
      <c r="A263" s="96">
        <v>45742</v>
      </c>
      <c r="B263" s="97">
        <v>98</v>
      </c>
      <c r="C263" s="98" t="s">
        <v>58</v>
      </c>
      <c r="D263" s="98"/>
      <c r="E263" s="98"/>
      <c r="F263" s="99" t="s">
        <v>59</v>
      </c>
      <c r="G263" s="98">
        <v>2</v>
      </c>
      <c r="H263" s="98">
        <v>26</v>
      </c>
      <c r="I263" s="98">
        <f t="shared" si="24"/>
        <v>52</v>
      </c>
      <c r="J263" s="114">
        <v>18</v>
      </c>
      <c r="K263" s="114">
        <f t="shared" si="25"/>
        <v>936</v>
      </c>
      <c r="L263" s="129" t="s">
        <v>139</v>
      </c>
      <c r="M263" s="129"/>
      <c r="N263" s="129"/>
    </row>
    <row r="264" s="84" customFormat="1" spans="1:14">
      <c r="A264" s="96">
        <v>45742</v>
      </c>
      <c r="B264" s="97">
        <v>98</v>
      </c>
      <c r="C264" s="98" t="s">
        <v>165</v>
      </c>
      <c r="D264" s="98"/>
      <c r="E264" s="98"/>
      <c r="F264" s="99" t="s">
        <v>30</v>
      </c>
      <c r="G264" s="98">
        <v>1</v>
      </c>
      <c r="H264" s="98">
        <v>16</v>
      </c>
      <c r="I264" s="98">
        <f t="shared" si="24"/>
        <v>16</v>
      </c>
      <c r="J264" s="114">
        <v>18</v>
      </c>
      <c r="K264" s="114">
        <f t="shared" si="25"/>
        <v>288</v>
      </c>
      <c r="L264" s="85"/>
      <c r="M264" s="98"/>
    </row>
    <row r="265" s="84" customFormat="1" spans="1:14">
      <c r="A265" s="96">
        <v>45742</v>
      </c>
      <c r="B265" s="97">
        <v>98</v>
      </c>
      <c r="C265" s="98" t="s">
        <v>21</v>
      </c>
      <c r="D265" s="98"/>
      <c r="E265" s="98"/>
      <c r="F265" s="99" t="s">
        <v>22</v>
      </c>
      <c r="G265" s="98">
        <v>5</v>
      </c>
      <c r="H265" s="98">
        <v>10</v>
      </c>
      <c r="I265" s="98">
        <f t="shared" si="24"/>
        <v>50</v>
      </c>
      <c r="J265" s="114">
        <v>18</v>
      </c>
      <c r="K265" s="114">
        <f t="shared" si="25"/>
        <v>900</v>
      </c>
      <c r="L265" s="85"/>
      <c r="M265" s="98">
        <f>SUM(K261:K265)</f>
        <v>4594</v>
      </c>
    </row>
    <row r="266" s="83" customFormat="1" spans="1:14">
      <c r="A266" s="106">
        <v>45754</v>
      </c>
      <c r="B266" s="101">
        <v>18</v>
      </c>
      <c r="C266" s="90">
        <v>9803</v>
      </c>
      <c r="D266" s="90"/>
      <c r="E266" s="90"/>
      <c r="F266" s="105" t="s">
        <v>15</v>
      </c>
      <c r="G266" s="90">
        <v>10</v>
      </c>
      <c r="H266" s="90">
        <v>28</v>
      </c>
      <c r="I266" s="90">
        <f t="shared" si="24"/>
        <v>280</v>
      </c>
      <c r="J266" s="116">
        <v>9</v>
      </c>
      <c r="K266" s="116">
        <f t="shared" si="25"/>
        <v>2520</v>
      </c>
      <c r="L266" s="113">
        <v>9804</v>
      </c>
      <c r="M266" s="90"/>
    </row>
    <row r="267" s="84" customFormat="1" spans="1:14">
      <c r="A267" s="96">
        <v>45755</v>
      </c>
      <c r="B267" s="97">
        <v>21</v>
      </c>
      <c r="C267" s="98" t="s">
        <v>166</v>
      </c>
      <c r="D267" s="98"/>
      <c r="E267" s="98"/>
      <c r="F267" s="99" t="s">
        <v>57</v>
      </c>
      <c r="G267" s="98">
        <v>1</v>
      </c>
      <c r="H267" s="98">
        <v>10</v>
      </c>
      <c r="I267" s="98">
        <f t="shared" si="24"/>
        <v>10</v>
      </c>
      <c r="J267" s="114">
        <v>22</v>
      </c>
      <c r="K267" s="114">
        <f t="shared" si="25"/>
        <v>220</v>
      </c>
      <c r="L267" s="98" t="s">
        <v>51</v>
      </c>
      <c r="M267" s="98"/>
      <c r="N267" s="98"/>
    </row>
    <row r="268" s="84" customFormat="1" spans="1:14">
      <c r="A268" s="96">
        <v>45755</v>
      </c>
      <c r="B268" s="97">
        <v>21</v>
      </c>
      <c r="C268" s="98" t="s">
        <v>58</v>
      </c>
      <c r="D268" s="98"/>
      <c r="E268" s="98"/>
      <c r="F268" s="99" t="s">
        <v>59</v>
      </c>
      <c r="G268" s="98">
        <v>2</v>
      </c>
      <c r="H268" s="98">
        <v>25</v>
      </c>
      <c r="I268" s="98">
        <f t="shared" si="24"/>
        <v>50</v>
      </c>
      <c r="J268" s="114">
        <v>18</v>
      </c>
      <c r="K268" s="114">
        <f t="shared" si="25"/>
        <v>900</v>
      </c>
      <c r="L268" s="85" t="s">
        <v>167</v>
      </c>
      <c r="M268" s="98"/>
    </row>
    <row r="269" s="84" customFormat="1" spans="1:14">
      <c r="A269" s="96">
        <v>45755</v>
      </c>
      <c r="B269" s="97">
        <v>21</v>
      </c>
      <c r="C269" s="98" t="s">
        <v>58</v>
      </c>
      <c r="D269" s="98"/>
      <c r="E269" s="98"/>
      <c r="F269" s="99" t="s">
        <v>59</v>
      </c>
      <c r="G269" s="98">
        <v>1</v>
      </c>
      <c r="H269" s="98">
        <v>26</v>
      </c>
      <c r="I269" s="98">
        <f t="shared" si="24"/>
        <v>26</v>
      </c>
      <c r="J269" s="114">
        <v>18</v>
      </c>
      <c r="K269" s="114">
        <f t="shared" si="25"/>
        <v>468</v>
      </c>
      <c r="L269" s="85" t="s">
        <v>167</v>
      </c>
      <c r="M269" s="98"/>
    </row>
    <row r="270" s="84" customFormat="1" spans="1:14">
      <c r="A270" s="96">
        <v>45755</v>
      </c>
      <c r="B270" s="97">
        <v>21</v>
      </c>
      <c r="C270" s="98" t="s">
        <v>41</v>
      </c>
      <c r="D270" s="98"/>
      <c r="E270" s="98"/>
      <c r="F270" s="99" t="s">
        <v>30</v>
      </c>
      <c r="G270" s="98">
        <v>1</v>
      </c>
      <c r="H270" s="98">
        <v>8</v>
      </c>
      <c r="I270" s="98">
        <f t="shared" si="24"/>
        <v>8</v>
      </c>
      <c r="J270" s="114">
        <v>18</v>
      </c>
      <c r="K270" s="114">
        <f t="shared" si="25"/>
        <v>144</v>
      </c>
      <c r="L270" s="85"/>
      <c r="M270" s="98"/>
    </row>
    <row r="271" s="85" customFormat="1" spans="1:14">
      <c r="A271" s="96">
        <v>45755</v>
      </c>
      <c r="B271" s="97">
        <v>21</v>
      </c>
      <c r="C271" s="98" t="s">
        <v>29</v>
      </c>
      <c r="D271" s="98"/>
      <c r="E271" s="98"/>
      <c r="F271" s="99" t="s">
        <v>30</v>
      </c>
      <c r="G271" s="98">
        <v>1</v>
      </c>
      <c r="H271" s="98">
        <v>8</v>
      </c>
      <c r="I271" s="98">
        <f t="shared" si="24"/>
        <v>8</v>
      </c>
      <c r="J271" s="114">
        <v>18</v>
      </c>
      <c r="K271" s="114">
        <f t="shared" si="25"/>
        <v>144</v>
      </c>
      <c r="L271" s="93"/>
      <c r="M271" s="98"/>
    </row>
    <row r="272" s="85" customFormat="1" spans="1:14">
      <c r="A272" s="96">
        <v>45755</v>
      </c>
      <c r="B272" s="97">
        <v>21</v>
      </c>
      <c r="C272" s="98">
        <v>709</v>
      </c>
      <c r="D272" s="98"/>
      <c r="E272" s="98"/>
      <c r="F272" s="99" t="s">
        <v>31</v>
      </c>
      <c r="G272" s="98">
        <v>1</v>
      </c>
      <c r="H272" s="98">
        <v>25</v>
      </c>
      <c r="I272" s="98">
        <f t="shared" si="24"/>
        <v>25</v>
      </c>
      <c r="J272" s="114">
        <v>18</v>
      </c>
      <c r="K272" s="114">
        <f t="shared" si="25"/>
        <v>450</v>
      </c>
      <c r="L272" s="93"/>
      <c r="M272" s="98"/>
    </row>
    <row r="273" s="84" customFormat="1" spans="1:14">
      <c r="A273" s="96">
        <v>45755</v>
      </c>
      <c r="B273" s="97">
        <v>21</v>
      </c>
      <c r="C273" s="98" t="s">
        <v>21</v>
      </c>
      <c r="D273" s="98"/>
      <c r="E273" s="98"/>
      <c r="F273" s="99" t="s">
        <v>22</v>
      </c>
      <c r="G273" s="98">
        <v>6</v>
      </c>
      <c r="H273" s="98">
        <v>10</v>
      </c>
      <c r="I273" s="98">
        <f t="shared" si="24"/>
        <v>60</v>
      </c>
      <c r="J273" s="114">
        <v>18</v>
      </c>
      <c r="K273" s="114">
        <f t="shared" si="25"/>
        <v>1080</v>
      </c>
      <c r="L273" s="85"/>
      <c r="M273" s="98">
        <f>SUM(K267:K273)</f>
        <v>3406</v>
      </c>
    </row>
    <row r="274" s="83" customFormat="1" spans="1:14">
      <c r="A274" s="106">
        <v>45768</v>
      </c>
      <c r="B274" s="101">
        <v>61</v>
      </c>
      <c r="C274" s="90">
        <v>9803</v>
      </c>
      <c r="D274" s="90"/>
      <c r="E274" s="90"/>
      <c r="F274" s="105" t="s">
        <v>15</v>
      </c>
      <c r="G274" s="90">
        <v>5</v>
      </c>
      <c r="H274" s="90">
        <v>28</v>
      </c>
      <c r="I274" s="90">
        <f t="shared" si="24"/>
        <v>140</v>
      </c>
      <c r="J274" s="116">
        <v>9</v>
      </c>
      <c r="K274" s="116">
        <f t="shared" si="25"/>
        <v>1260</v>
      </c>
      <c r="L274" s="113">
        <v>9804</v>
      </c>
      <c r="M274" s="90"/>
    </row>
    <row r="275" s="84" customFormat="1" spans="1:14">
      <c r="A275" s="96">
        <v>45773</v>
      </c>
      <c r="B275" s="97">
        <v>85</v>
      </c>
      <c r="C275" s="98" t="s">
        <v>25</v>
      </c>
      <c r="D275" s="98"/>
      <c r="E275" s="98"/>
      <c r="F275" s="99" t="s">
        <v>26</v>
      </c>
      <c r="G275" s="98">
        <v>1</v>
      </c>
      <c r="H275" s="98">
        <v>25</v>
      </c>
      <c r="I275" s="98">
        <f t="shared" si="24"/>
        <v>25</v>
      </c>
      <c r="J275" s="114">
        <v>18</v>
      </c>
      <c r="K275" s="114">
        <f t="shared" si="25"/>
        <v>450</v>
      </c>
      <c r="L275" s="85"/>
      <c r="M275" s="98"/>
    </row>
    <row r="276" s="84" customFormat="1" spans="1:14">
      <c r="A276" s="96">
        <v>45773</v>
      </c>
      <c r="B276" s="97">
        <v>85</v>
      </c>
      <c r="C276" s="98" t="s">
        <v>21</v>
      </c>
      <c r="D276" s="98"/>
      <c r="E276" s="98"/>
      <c r="F276" s="99" t="s">
        <v>22</v>
      </c>
      <c r="G276" s="98">
        <v>1</v>
      </c>
      <c r="H276" s="98">
        <v>10</v>
      </c>
      <c r="I276" s="98">
        <f t="shared" si="24"/>
        <v>10</v>
      </c>
      <c r="J276" s="114">
        <v>18</v>
      </c>
      <c r="K276" s="114">
        <f t="shared" si="25"/>
        <v>180</v>
      </c>
      <c r="L276" s="85"/>
      <c r="M276" s="98">
        <f>SUM(K275:K277)</f>
        <v>648</v>
      </c>
    </row>
    <row r="277" s="89" customFormat="1" spans="1:14">
      <c r="A277" s="96">
        <v>45773</v>
      </c>
      <c r="B277" s="97">
        <v>85</v>
      </c>
      <c r="C277" s="98" t="s">
        <v>168</v>
      </c>
      <c r="D277" s="98"/>
      <c r="E277" s="98"/>
      <c r="F277" s="99" t="s">
        <v>169</v>
      </c>
      <c r="G277" s="98">
        <v>1</v>
      </c>
      <c r="H277" s="98">
        <v>1</v>
      </c>
      <c r="I277" s="98">
        <f t="shared" si="24"/>
        <v>1</v>
      </c>
      <c r="J277" s="114">
        <v>18</v>
      </c>
      <c r="K277" s="114">
        <f t="shared" si="25"/>
        <v>18</v>
      </c>
      <c r="L277" s="131" t="s">
        <v>170</v>
      </c>
      <c r="N277" s="89" t="s">
        <v>171</v>
      </c>
    </row>
    <row r="278" s="83" customFormat="1" spans="1:14">
      <c r="A278" s="106">
        <v>45773</v>
      </c>
      <c r="B278" s="101">
        <v>89</v>
      </c>
      <c r="C278" s="90">
        <v>9803</v>
      </c>
      <c r="D278" s="90"/>
      <c r="E278" s="90"/>
      <c r="F278" s="105" t="s">
        <v>15</v>
      </c>
      <c r="G278" s="90">
        <v>5</v>
      </c>
      <c r="H278" s="90">
        <v>28</v>
      </c>
      <c r="I278" s="90">
        <f t="shared" si="24"/>
        <v>140</v>
      </c>
      <c r="J278" s="116">
        <v>9</v>
      </c>
      <c r="K278" s="116">
        <f t="shared" si="25"/>
        <v>1260</v>
      </c>
      <c r="L278" s="113">
        <v>9804</v>
      </c>
      <c r="M278" s="90"/>
    </row>
    <row r="279" s="84" customFormat="1" spans="1:14">
      <c r="A279" s="96">
        <v>45777</v>
      </c>
      <c r="B279" s="97">
        <v>98</v>
      </c>
      <c r="C279" s="98" t="s">
        <v>172</v>
      </c>
      <c r="D279" s="98"/>
      <c r="E279" s="98"/>
      <c r="F279" s="99" t="s">
        <v>153</v>
      </c>
      <c r="G279" s="98">
        <v>1</v>
      </c>
      <c r="H279" s="98">
        <v>26</v>
      </c>
      <c r="I279" s="98">
        <f t="shared" si="24"/>
        <v>26</v>
      </c>
      <c r="J279" s="114">
        <v>18</v>
      </c>
      <c r="K279" s="114">
        <f t="shared" si="25"/>
        <v>468</v>
      </c>
      <c r="L279" s="85" t="s">
        <v>173</v>
      </c>
      <c r="M279" s="98"/>
    </row>
    <row r="280" s="84" customFormat="1" spans="1:14">
      <c r="A280" s="96">
        <v>45777</v>
      </c>
      <c r="B280" s="97">
        <v>98</v>
      </c>
      <c r="C280" s="98" t="s">
        <v>146</v>
      </c>
      <c r="D280" s="98"/>
      <c r="E280" s="98"/>
      <c r="F280" s="99" t="s">
        <v>147</v>
      </c>
      <c r="G280" s="98">
        <v>1</v>
      </c>
      <c r="H280" s="98">
        <v>10</v>
      </c>
      <c r="I280" s="98">
        <f t="shared" si="24"/>
        <v>10</v>
      </c>
      <c r="J280" s="114">
        <v>18</v>
      </c>
      <c r="K280" s="114">
        <f t="shared" si="25"/>
        <v>180</v>
      </c>
      <c r="L280" s="99" t="s">
        <v>148</v>
      </c>
      <c r="M280" s="99"/>
      <c r="N280" s="99"/>
    </row>
    <row r="281" s="84" customFormat="1" spans="1:14">
      <c r="A281" s="96">
        <v>45777</v>
      </c>
      <c r="B281" s="97">
        <v>98</v>
      </c>
      <c r="C281" s="98" t="s">
        <v>21</v>
      </c>
      <c r="D281" s="98"/>
      <c r="E281" s="98"/>
      <c r="F281" s="99" t="s">
        <v>22</v>
      </c>
      <c r="G281" s="98">
        <v>1</v>
      </c>
      <c r="H281" s="98">
        <v>10</v>
      </c>
      <c r="I281" s="98">
        <f t="shared" si="24"/>
        <v>10</v>
      </c>
      <c r="J281" s="114">
        <v>18</v>
      </c>
      <c r="K281" s="114">
        <f t="shared" si="25"/>
        <v>180</v>
      </c>
      <c r="L281" s="85"/>
      <c r="M281" s="98">
        <f>SUM(K279:K281)</f>
        <v>828</v>
      </c>
    </row>
    <row r="282" s="83" customFormat="1" spans="1:14">
      <c r="A282" s="106">
        <v>45784</v>
      </c>
      <c r="B282" s="101">
        <v>8</v>
      </c>
      <c r="C282" s="90">
        <v>9803</v>
      </c>
      <c r="D282" s="90"/>
      <c r="E282" s="90"/>
      <c r="F282" s="105" t="s">
        <v>15</v>
      </c>
      <c r="G282" s="90">
        <v>10</v>
      </c>
      <c r="H282" s="90">
        <v>28</v>
      </c>
      <c r="I282" s="90">
        <f t="shared" si="24"/>
        <v>280</v>
      </c>
      <c r="J282" s="116">
        <v>9</v>
      </c>
      <c r="K282" s="116">
        <f t="shared" si="25"/>
        <v>2520</v>
      </c>
      <c r="L282" s="113">
        <v>9804</v>
      </c>
      <c r="M282" s="90"/>
    </row>
    <row r="283" s="84" customFormat="1" spans="1:14">
      <c r="A283" s="96">
        <v>45790</v>
      </c>
      <c r="B283" s="97">
        <v>24</v>
      </c>
      <c r="C283" s="90">
        <v>516</v>
      </c>
      <c r="D283" s="90"/>
      <c r="E283" s="90"/>
      <c r="F283" s="99" t="s">
        <v>160</v>
      </c>
      <c r="G283" s="98">
        <v>2</v>
      </c>
      <c r="H283" s="98">
        <v>25</v>
      </c>
      <c r="I283" s="98">
        <f t="shared" si="24"/>
        <v>50</v>
      </c>
      <c r="J283" s="114">
        <v>18</v>
      </c>
      <c r="K283" s="114">
        <f t="shared" si="25"/>
        <v>900</v>
      </c>
      <c r="L283" s="85"/>
      <c r="M283" s="98"/>
    </row>
    <row r="284" s="84" customFormat="1" spans="1:14">
      <c r="A284" s="96">
        <v>45790</v>
      </c>
      <c r="B284" s="97">
        <v>24</v>
      </c>
      <c r="C284" s="98" t="s">
        <v>21</v>
      </c>
      <c r="D284" s="98"/>
      <c r="E284" s="98"/>
      <c r="F284" s="99" t="s">
        <v>22</v>
      </c>
      <c r="G284" s="98">
        <v>3</v>
      </c>
      <c r="H284" s="98">
        <v>10</v>
      </c>
      <c r="I284" s="98">
        <f t="shared" si="24"/>
        <v>30</v>
      </c>
      <c r="J284" s="114">
        <v>18</v>
      </c>
      <c r="K284" s="114">
        <f t="shared" si="25"/>
        <v>540</v>
      </c>
      <c r="L284" s="85">
        <f>SUM(K283:K284)</f>
        <v>1440</v>
      </c>
      <c r="M284" s="98"/>
    </row>
    <row r="285" s="83" customFormat="1" spans="1:14">
      <c r="A285" s="106">
        <v>45796</v>
      </c>
      <c r="B285" s="101">
        <v>54</v>
      </c>
      <c r="C285" s="90">
        <v>709</v>
      </c>
      <c r="D285" s="90"/>
      <c r="E285" s="90"/>
      <c r="F285" s="105" t="s">
        <v>31</v>
      </c>
      <c r="G285" s="90">
        <v>1</v>
      </c>
      <c r="H285" s="90">
        <v>26</v>
      </c>
      <c r="I285" s="90">
        <f t="shared" si="24"/>
        <v>26</v>
      </c>
      <c r="J285" s="116">
        <v>18</v>
      </c>
      <c r="K285" s="116">
        <f t="shared" si="25"/>
        <v>468</v>
      </c>
      <c r="L285" s="86"/>
      <c r="M285" s="90"/>
    </row>
    <row r="286" s="83" customFormat="1" spans="1:14">
      <c r="A286" s="106">
        <v>45796</v>
      </c>
      <c r="B286" s="101">
        <v>54</v>
      </c>
      <c r="C286" s="90">
        <v>516</v>
      </c>
      <c r="D286" s="90"/>
      <c r="E286" s="90"/>
      <c r="F286" s="105" t="s">
        <v>160</v>
      </c>
      <c r="G286" s="90">
        <v>2</v>
      </c>
      <c r="H286" s="90">
        <v>25</v>
      </c>
      <c r="I286" s="90">
        <f t="shared" si="24"/>
        <v>50</v>
      </c>
      <c r="J286" s="116">
        <v>18</v>
      </c>
      <c r="K286" s="116">
        <f t="shared" si="25"/>
        <v>900</v>
      </c>
      <c r="L286" s="86" t="s">
        <v>174</v>
      </c>
      <c r="M286" s="90"/>
    </row>
    <row r="287" s="83" customFormat="1" spans="1:14">
      <c r="A287" s="106">
        <v>45796</v>
      </c>
      <c r="B287" s="101">
        <v>54</v>
      </c>
      <c r="C287" s="90" t="s">
        <v>21</v>
      </c>
      <c r="D287" s="90"/>
      <c r="E287" s="90"/>
      <c r="F287" s="105" t="s">
        <v>22</v>
      </c>
      <c r="G287" s="90">
        <v>3</v>
      </c>
      <c r="H287" s="90">
        <v>10</v>
      </c>
      <c r="I287" s="90">
        <f t="shared" si="24"/>
        <v>30</v>
      </c>
      <c r="J287" s="116">
        <v>18</v>
      </c>
      <c r="K287" s="116">
        <f t="shared" si="25"/>
        <v>540</v>
      </c>
      <c r="L287" s="86"/>
      <c r="M287" s="90">
        <f>SUM(K285:K287)</f>
        <v>1908</v>
      </c>
    </row>
    <row r="288" s="84" customFormat="1" spans="1:14">
      <c r="A288" s="96">
        <v>45803</v>
      </c>
      <c r="B288" s="97">
        <v>64</v>
      </c>
      <c r="C288" s="98" t="s">
        <v>106</v>
      </c>
      <c r="D288" s="98"/>
      <c r="E288" s="98"/>
      <c r="F288" s="99" t="s">
        <v>114</v>
      </c>
      <c r="G288" s="98">
        <v>1</v>
      </c>
      <c r="H288" s="98">
        <v>25</v>
      </c>
      <c r="I288" s="98">
        <f t="shared" si="24"/>
        <v>25</v>
      </c>
      <c r="J288" s="114">
        <v>18</v>
      </c>
      <c r="K288" s="114">
        <f t="shared" si="25"/>
        <v>450</v>
      </c>
      <c r="L288" s="85"/>
      <c r="M288" s="98"/>
    </row>
    <row r="289" s="84" customFormat="1" spans="1:13">
      <c r="A289" s="96">
        <v>45803</v>
      </c>
      <c r="B289" s="97">
        <v>64</v>
      </c>
      <c r="C289" s="98" t="s">
        <v>21</v>
      </c>
      <c r="D289" s="98"/>
      <c r="E289" s="98"/>
      <c r="F289" s="99" t="s">
        <v>22</v>
      </c>
      <c r="G289" s="98">
        <v>1</v>
      </c>
      <c r="H289" s="98">
        <v>10</v>
      </c>
      <c r="I289" s="98">
        <f t="shared" si="24"/>
        <v>10</v>
      </c>
      <c r="J289" s="114">
        <v>18</v>
      </c>
      <c r="K289" s="114">
        <f t="shared" si="25"/>
        <v>180</v>
      </c>
      <c r="L289" s="85"/>
      <c r="M289" s="98">
        <f>SUM(K287:K289)</f>
        <v>1170</v>
      </c>
    </row>
    <row r="290" s="83" customFormat="1" spans="1:13">
      <c r="A290" s="106">
        <v>45805</v>
      </c>
      <c r="B290" s="101">
        <v>68</v>
      </c>
      <c r="C290" s="90">
        <v>9803</v>
      </c>
      <c r="D290" s="90"/>
      <c r="E290" s="90"/>
      <c r="F290" s="105" t="s">
        <v>15</v>
      </c>
      <c r="G290" s="90">
        <v>5</v>
      </c>
      <c r="H290" s="90">
        <v>28</v>
      </c>
      <c r="I290" s="90">
        <f t="shared" si="24"/>
        <v>140</v>
      </c>
      <c r="J290" s="116">
        <v>9</v>
      </c>
      <c r="K290" s="116">
        <f t="shared" si="25"/>
        <v>1260</v>
      </c>
      <c r="L290" s="113">
        <v>9804</v>
      </c>
      <c r="M290" s="90"/>
    </row>
    <row r="291" s="83" customFormat="1" spans="1:13">
      <c r="A291" s="106">
        <v>45805</v>
      </c>
      <c r="B291" s="101">
        <v>68</v>
      </c>
      <c r="C291" s="90" t="s">
        <v>53</v>
      </c>
      <c r="D291" s="90"/>
      <c r="E291" s="90"/>
      <c r="F291" s="109" t="s">
        <v>54</v>
      </c>
      <c r="G291" s="90">
        <v>2</v>
      </c>
      <c r="H291" s="90">
        <v>25</v>
      </c>
      <c r="I291" s="90">
        <f t="shared" si="24"/>
        <v>50</v>
      </c>
      <c r="J291" s="116">
        <v>14</v>
      </c>
      <c r="K291" s="116">
        <f t="shared" si="25"/>
        <v>700</v>
      </c>
      <c r="L291" s="86"/>
      <c r="M291" s="90"/>
    </row>
    <row r="292" s="83" customFormat="1" spans="1:13">
      <c r="A292" s="106">
        <v>45805</v>
      </c>
      <c r="B292" s="101">
        <v>68</v>
      </c>
      <c r="C292" s="90" t="s">
        <v>175</v>
      </c>
      <c r="D292" s="90"/>
      <c r="E292" s="90"/>
      <c r="F292" s="105" t="s">
        <v>176</v>
      </c>
      <c r="G292" s="90">
        <v>1</v>
      </c>
      <c r="H292" s="90"/>
      <c r="I292" s="90"/>
      <c r="J292" s="116"/>
      <c r="K292" s="116"/>
      <c r="L292" s="86" t="s">
        <v>177</v>
      </c>
      <c r="M292" s="90"/>
    </row>
    <row r="293" s="83" customFormat="1" spans="1:13">
      <c r="A293" s="106">
        <v>45805</v>
      </c>
      <c r="B293" s="101">
        <v>68</v>
      </c>
      <c r="C293" s="90" t="s">
        <v>178</v>
      </c>
      <c r="D293" s="90"/>
      <c r="E293" s="90"/>
      <c r="F293" s="105" t="s">
        <v>179</v>
      </c>
      <c r="G293" s="90">
        <v>1</v>
      </c>
      <c r="H293" s="90"/>
      <c r="I293" s="90"/>
      <c r="J293" s="116"/>
      <c r="K293" s="116"/>
      <c r="L293" s="86" t="s">
        <v>177</v>
      </c>
      <c r="M293" s="90"/>
    </row>
    <row r="294" s="83" customFormat="1" spans="1:13">
      <c r="A294" s="106">
        <v>45805</v>
      </c>
      <c r="B294" s="101">
        <v>68</v>
      </c>
      <c r="C294" s="90">
        <v>566</v>
      </c>
      <c r="D294" s="90"/>
      <c r="E294" s="90"/>
      <c r="F294" s="105" t="s">
        <v>180</v>
      </c>
      <c r="G294" s="90">
        <v>1</v>
      </c>
      <c r="H294" s="90"/>
      <c r="I294" s="90"/>
      <c r="J294" s="116"/>
      <c r="K294" s="116"/>
      <c r="L294" s="86" t="s">
        <v>177</v>
      </c>
      <c r="M294" s="90"/>
    </row>
    <row r="295" s="85" customFormat="1" spans="1:13">
      <c r="A295" s="96">
        <v>45817</v>
      </c>
      <c r="B295" s="97">
        <v>28</v>
      </c>
      <c r="C295" s="132" t="s">
        <v>181</v>
      </c>
      <c r="D295" s="94"/>
      <c r="E295" s="94"/>
      <c r="F295" s="98" t="s">
        <v>182</v>
      </c>
      <c r="G295" s="98">
        <v>1</v>
      </c>
      <c r="H295" s="98">
        <v>12</v>
      </c>
      <c r="I295" s="98">
        <f t="shared" ref="I295:I312" si="26">G295*H295</f>
        <v>12</v>
      </c>
      <c r="J295" s="114">
        <v>18</v>
      </c>
      <c r="K295" s="114">
        <f t="shared" ref="K295:K312" si="27">I295*J295</f>
        <v>216</v>
      </c>
      <c r="M295" s="98"/>
    </row>
    <row r="296" s="85" customFormat="1" spans="1:13">
      <c r="A296" s="96">
        <v>45817</v>
      </c>
      <c r="B296" s="97">
        <v>28</v>
      </c>
      <c r="C296" s="132" t="s">
        <v>183</v>
      </c>
      <c r="D296" s="94"/>
      <c r="E296" s="94"/>
      <c r="F296" s="98" t="s">
        <v>18</v>
      </c>
      <c r="G296" s="98">
        <v>1</v>
      </c>
      <c r="H296" s="98">
        <v>5</v>
      </c>
      <c r="I296" s="98">
        <f t="shared" si="26"/>
        <v>5</v>
      </c>
      <c r="J296" s="114">
        <v>18</v>
      </c>
      <c r="K296" s="114">
        <f t="shared" si="27"/>
        <v>90</v>
      </c>
      <c r="M296" s="98"/>
    </row>
    <row r="297" s="84" customFormat="1" spans="1:13">
      <c r="A297" s="96">
        <v>45817</v>
      </c>
      <c r="B297" s="97">
        <v>28</v>
      </c>
      <c r="C297" s="98" t="s">
        <v>21</v>
      </c>
      <c r="D297" s="98"/>
      <c r="E297" s="98"/>
      <c r="F297" s="99" t="s">
        <v>22</v>
      </c>
      <c r="G297" s="98">
        <v>1</v>
      </c>
      <c r="H297" s="98">
        <v>10</v>
      </c>
      <c r="I297" s="98">
        <f t="shared" si="26"/>
        <v>10</v>
      </c>
      <c r="J297" s="114">
        <v>18</v>
      </c>
      <c r="K297" s="114">
        <f t="shared" si="27"/>
        <v>180</v>
      </c>
      <c r="L297" s="85"/>
      <c r="M297" s="98">
        <f>SUM(K295:K297)</f>
        <v>486</v>
      </c>
    </row>
    <row r="298" s="84" customFormat="1" spans="1:13">
      <c r="A298" s="96">
        <v>45817</v>
      </c>
      <c r="B298" s="97">
        <v>28</v>
      </c>
      <c r="C298" s="98" t="s">
        <v>55</v>
      </c>
      <c r="D298" s="98"/>
      <c r="E298" s="98"/>
      <c r="F298" s="99" t="s">
        <v>14</v>
      </c>
      <c r="G298" s="98">
        <v>1</v>
      </c>
      <c r="H298" s="98">
        <v>180</v>
      </c>
      <c r="I298" s="98">
        <f t="shared" si="26"/>
        <v>180</v>
      </c>
      <c r="J298" s="114">
        <v>10.5</v>
      </c>
      <c r="K298" s="114">
        <f t="shared" si="27"/>
        <v>1890</v>
      </c>
      <c r="L298" s="85"/>
      <c r="M298" s="98">
        <f>SUM(K295:K298)</f>
        <v>2376</v>
      </c>
    </row>
    <row r="299" s="90" customFormat="1" spans="1:13">
      <c r="A299" s="106">
        <v>45835</v>
      </c>
      <c r="B299" s="101">
        <v>44</v>
      </c>
      <c r="C299" s="133"/>
      <c r="D299" s="108"/>
      <c r="E299" s="108"/>
      <c r="F299" s="105" t="s">
        <v>184</v>
      </c>
      <c r="G299" s="90">
        <v>1</v>
      </c>
      <c r="H299" s="90">
        <v>2</v>
      </c>
      <c r="I299" s="90">
        <f t="shared" si="26"/>
        <v>2</v>
      </c>
      <c r="J299" s="116">
        <v>18</v>
      </c>
      <c r="K299" s="116">
        <f t="shared" si="27"/>
        <v>36</v>
      </c>
      <c r="L299" s="106">
        <v>45822</v>
      </c>
      <c r="M299" s="108"/>
    </row>
    <row r="300" s="91" customFormat="1" spans="1:13">
      <c r="A300" s="106">
        <v>45835</v>
      </c>
      <c r="B300" s="101">
        <v>44</v>
      </c>
      <c r="C300" s="134" t="s">
        <v>185</v>
      </c>
      <c r="D300" s="90"/>
      <c r="E300" s="90"/>
      <c r="F300" s="105" t="s">
        <v>186</v>
      </c>
      <c r="G300" s="90">
        <v>1</v>
      </c>
      <c r="H300" s="90">
        <v>2</v>
      </c>
      <c r="I300" s="90">
        <f t="shared" si="26"/>
        <v>2</v>
      </c>
      <c r="J300" s="116">
        <v>22</v>
      </c>
      <c r="K300" s="116">
        <f t="shared" si="27"/>
        <v>44</v>
      </c>
      <c r="L300" s="106">
        <v>45822</v>
      </c>
      <c r="M300" s="90">
        <f>SUM(K299:K300)</f>
        <v>80</v>
      </c>
    </row>
    <row r="301" s="91" customFormat="1" spans="1:13">
      <c r="A301" s="106">
        <v>45835</v>
      </c>
      <c r="B301" s="101">
        <v>44</v>
      </c>
      <c r="C301" s="90">
        <v>9803</v>
      </c>
      <c r="D301" s="90"/>
      <c r="E301" s="90"/>
      <c r="F301" s="105" t="s">
        <v>15</v>
      </c>
      <c r="G301" s="90">
        <v>10</v>
      </c>
      <c r="H301" s="90">
        <v>28</v>
      </c>
      <c r="I301" s="90">
        <f t="shared" si="26"/>
        <v>280</v>
      </c>
      <c r="J301" s="116">
        <v>9</v>
      </c>
      <c r="K301" s="116">
        <f t="shared" si="27"/>
        <v>2520</v>
      </c>
      <c r="L301" s="90">
        <v>9804</v>
      </c>
      <c r="M301" s="90"/>
    </row>
    <row r="302" s="84" customFormat="1" spans="1:13">
      <c r="A302" s="96">
        <v>45838</v>
      </c>
      <c r="B302" s="97">
        <v>99</v>
      </c>
      <c r="C302" s="98" t="s">
        <v>175</v>
      </c>
      <c r="D302" s="98"/>
      <c r="E302" s="98"/>
      <c r="F302" s="99" t="s">
        <v>176</v>
      </c>
      <c r="G302" s="98">
        <v>1</v>
      </c>
      <c r="H302" s="98">
        <v>11</v>
      </c>
      <c r="I302" s="98">
        <f t="shared" si="26"/>
        <v>11</v>
      </c>
      <c r="J302" s="114">
        <v>18</v>
      </c>
      <c r="K302" s="114">
        <f t="shared" si="27"/>
        <v>198</v>
      </c>
      <c r="L302" s="85"/>
      <c r="M302" s="98"/>
    </row>
    <row r="303" s="84" customFormat="1" spans="1:13">
      <c r="A303" s="96">
        <v>45838</v>
      </c>
      <c r="B303" s="97">
        <v>99</v>
      </c>
      <c r="C303" s="98">
        <v>2022</v>
      </c>
      <c r="D303" s="98"/>
      <c r="E303" s="98"/>
      <c r="F303" s="99" t="s">
        <v>187</v>
      </c>
      <c r="G303" s="98">
        <v>1</v>
      </c>
      <c r="H303" s="98">
        <v>11</v>
      </c>
      <c r="I303" s="98">
        <f t="shared" si="26"/>
        <v>11</v>
      </c>
      <c r="J303" s="114">
        <v>18</v>
      </c>
      <c r="K303" s="114">
        <f t="shared" si="27"/>
        <v>198</v>
      </c>
      <c r="L303" s="85"/>
      <c r="M303" s="98"/>
    </row>
    <row r="304" s="84" customFormat="1" spans="1:13">
      <c r="A304" s="96">
        <v>45838</v>
      </c>
      <c r="B304" s="97">
        <v>99</v>
      </c>
      <c r="C304" s="98">
        <v>516</v>
      </c>
      <c r="D304" s="98"/>
      <c r="E304" s="98"/>
      <c r="F304" s="99" t="s">
        <v>160</v>
      </c>
      <c r="G304" s="98">
        <v>2</v>
      </c>
      <c r="H304" s="98">
        <v>26</v>
      </c>
      <c r="I304" s="98">
        <f t="shared" si="26"/>
        <v>52</v>
      </c>
      <c r="J304" s="114">
        <v>18</v>
      </c>
      <c r="K304" s="114">
        <f t="shared" si="27"/>
        <v>936</v>
      </c>
      <c r="L304" s="85"/>
      <c r="M304" s="98"/>
    </row>
    <row r="305" s="84" customFormat="1" spans="1:13">
      <c r="A305" s="96">
        <v>45838</v>
      </c>
      <c r="B305" s="97">
        <v>99</v>
      </c>
      <c r="C305" s="98" t="s">
        <v>21</v>
      </c>
      <c r="D305" s="98"/>
      <c r="E305" s="98"/>
      <c r="F305" s="99" t="s">
        <v>22</v>
      </c>
      <c r="G305" s="98">
        <v>4</v>
      </c>
      <c r="H305" s="98">
        <v>10</v>
      </c>
      <c r="I305" s="98">
        <f t="shared" si="26"/>
        <v>40</v>
      </c>
      <c r="J305" s="114">
        <v>18</v>
      </c>
      <c r="K305" s="114">
        <f t="shared" si="27"/>
        <v>720</v>
      </c>
      <c r="L305" s="85">
        <f>SUM(K302:K305)</f>
        <v>2052</v>
      </c>
      <c r="M305" s="98"/>
    </row>
    <row r="306" s="83" customFormat="1" spans="1:13">
      <c r="A306" s="106">
        <v>45839</v>
      </c>
      <c r="B306" s="101">
        <v>1</v>
      </c>
      <c r="C306" s="90" t="s">
        <v>178</v>
      </c>
      <c r="D306" s="90"/>
      <c r="E306" s="90"/>
      <c r="F306" s="105" t="s">
        <v>188</v>
      </c>
      <c r="G306" s="90">
        <v>1</v>
      </c>
      <c r="H306" s="90">
        <v>11</v>
      </c>
      <c r="I306" s="90">
        <f t="shared" si="26"/>
        <v>11</v>
      </c>
      <c r="J306" s="116">
        <v>18</v>
      </c>
      <c r="K306" s="116">
        <f t="shared" si="27"/>
        <v>198</v>
      </c>
      <c r="L306" s="86"/>
      <c r="M306" s="90"/>
    </row>
    <row r="307" s="86" customFormat="1" spans="1:13">
      <c r="A307" s="106">
        <v>45839</v>
      </c>
      <c r="B307" s="101">
        <v>1</v>
      </c>
      <c r="C307" s="135">
        <v>711</v>
      </c>
      <c r="D307" s="136"/>
      <c r="E307" s="136"/>
      <c r="F307" s="109" t="s">
        <v>18</v>
      </c>
      <c r="G307" s="90">
        <v>1</v>
      </c>
      <c r="H307" s="90">
        <v>6</v>
      </c>
      <c r="I307" s="90">
        <f t="shared" si="26"/>
        <v>6</v>
      </c>
      <c r="J307" s="116">
        <v>18</v>
      </c>
      <c r="K307" s="116">
        <f t="shared" si="27"/>
        <v>108</v>
      </c>
      <c r="M307" s="90"/>
    </row>
    <row r="308" s="92" customFormat="1" ht="23" customHeight="1" spans="1:13">
      <c r="A308" s="96">
        <v>45843</v>
      </c>
      <c r="B308" s="97">
        <v>15</v>
      </c>
      <c r="C308" s="98">
        <v>9803</v>
      </c>
      <c r="D308" s="98"/>
      <c r="E308" s="98"/>
      <c r="F308" s="99" t="s">
        <v>15</v>
      </c>
      <c r="G308" s="98">
        <v>10</v>
      </c>
      <c r="H308" s="98">
        <v>28</v>
      </c>
      <c r="I308" s="98">
        <f t="shared" si="26"/>
        <v>280</v>
      </c>
      <c r="J308" s="114">
        <v>9</v>
      </c>
      <c r="K308" s="114">
        <f t="shared" si="27"/>
        <v>2520</v>
      </c>
      <c r="L308" s="98">
        <v>9804</v>
      </c>
      <c r="M308" s="98"/>
    </row>
    <row r="309" s="83" customFormat="1" spans="1:13">
      <c r="A309" s="106">
        <v>45846</v>
      </c>
      <c r="B309" s="101">
        <v>21</v>
      </c>
      <c r="C309" s="90">
        <v>516</v>
      </c>
      <c r="D309" s="90"/>
      <c r="E309" s="90"/>
      <c r="F309" s="105" t="s">
        <v>160</v>
      </c>
      <c r="G309" s="90">
        <v>1</v>
      </c>
      <c r="H309" s="90">
        <v>26</v>
      </c>
      <c r="I309" s="90">
        <f t="shared" si="26"/>
        <v>26</v>
      </c>
      <c r="J309" s="116">
        <v>18</v>
      </c>
      <c r="K309" s="116">
        <f t="shared" si="27"/>
        <v>468</v>
      </c>
      <c r="L309" s="86" t="s">
        <v>174</v>
      </c>
      <c r="M309" s="90"/>
    </row>
    <row r="310" s="83" customFormat="1" spans="1:13">
      <c r="A310" s="106">
        <v>45846</v>
      </c>
      <c r="B310" s="101">
        <v>21</v>
      </c>
      <c r="C310" s="90">
        <v>516</v>
      </c>
      <c r="D310" s="90"/>
      <c r="E310" s="90"/>
      <c r="F310" s="105" t="s">
        <v>160</v>
      </c>
      <c r="G310" s="90">
        <v>1</v>
      </c>
      <c r="H310" s="90">
        <v>25</v>
      </c>
      <c r="I310" s="90">
        <f t="shared" si="26"/>
        <v>25</v>
      </c>
      <c r="J310" s="116">
        <v>18</v>
      </c>
      <c r="K310" s="116">
        <f t="shared" si="27"/>
        <v>450</v>
      </c>
      <c r="L310" s="86" t="s">
        <v>174</v>
      </c>
      <c r="M310" s="90"/>
    </row>
    <row r="311" s="86" customFormat="1" spans="1:13">
      <c r="A311" s="106">
        <v>45846</v>
      </c>
      <c r="B311" s="101">
        <v>21</v>
      </c>
      <c r="C311" s="135" t="s">
        <v>181</v>
      </c>
      <c r="D311" s="136"/>
      <c r="E311" s="136"/>
      <c r="F311" s="105" t="s">
        <v>182</v>
      </c>
      <c r="G311" s="90">
        <v>1</v>
      </c>
      <c r="H311" s="90">
        <v>15</v>
      </c>
      <c r="I311" s="90">
        <f t="shared" ref="I311:I341" si="28">G311*H311</f>
        <v>15</v>
      </c>
      <c r="J311" s="116">
        <v>18</v>
      </c>
      <c r="K311" s="116">
        <f t="shared" ref="K311:K340" si="29">I311*J311</f>
        <v>270</v>
      </c>
      <c r="L311" s="108"/>
      <c r="M311" s="90"/>
    </row>
    <row r="312" s="83" customFormat="1" spans="1:13">
      <c r="A312" s="106">
        <v>45846</v>
      </c>
      <c r="B312" s="101">
        <v>21</v>
      </c>
      <c r="C312" s="90" t="s">
        <v>58</v>
      </c>
      <c r="D312" s="90"/>
      <c r="E312" s="90"/>
      <c r="F312" s="105" t="s">
        <v>59</v>
      </c>
      <c r="G312" s="90">
        <v>2</v>
      </c>
      <c r="H312" s="90">
        <v>26</v>
      </c>
      <c r="I312" s="90">
        <f t="shared" si="28"/>
        <v>52</v>
      </c>
      <c r="J312" s="116">
        <v>18</v>
      </c>
      <c r="K312" s="116">
        <f t="shared" si="29"/>
        <v>936</v>
      </c>
      <c r="L312" s="86" t="s">
        <v>167</v>
      </c>
      <c r="M312" s="90"/>
    </row>
    <row r="313" s="83" customFormat="1" spans="1:13">
      <c r="A313" s="106">
        <v>45846</v>
      </c>
      <c r="B313" s="101">
        <v>21</v>
      </c>
      <c r="C313" s="90" t="s">
        <v>58</v>
      </c>
      <c r="D313" s="90"/>
      <c r="E313" s="90"/>
      <c r="F313" s="105" t="s">
        <v>59</v>
      </c>
      <c r="G313" s="90">
        <v>1</v>
      </c>
      <c r="H313" s="90">
        <v>25</v>
      </c>
      <c r="I313" s="90">
        <f t="shared" si="28"/>
        <v>25</v>
      </c>
      <c r="J313" s="116">
        <v>18</v>
      </c>
      <c r="K313" s="116">
        <f t="shared" si="29"/>
        <v>450</v>
      </c>
      <c r="L313" s="86" t="s">
        <v>167</v>
      </c>
      <c r="M313" s="90"/>
    </row>
    <row r="314" s="83" customFormat="1" spans="1:13">
      <c r="A314" s="106">
        <v>45846</v>
      </c>
      <c r="B314" s="101">
        <v>21</v>
      </c>
      <c r="C314" s="90" t="s">
        <v>21</v>
      </c>
      <c r="D314" s="90"/>
      <c r="E314" s="90"/>
      <c r="F314" s="105" t="s">
        <v>22</v>
      </c>
      <c r="G314" s="90">
        <v>6</v>
      </c>
      <c r="H314" s="90">
        <v>10</v>
      </c>
      <c r="I314" s="90">
        <f t="shared" si="28"/>
        <v>60</v>
      </c>
      <c r="J314" s="116">
        <v>18</v>
      </c>
      <c r="K314" s="116">
        <f t="shared" si="29"/>
        <v>1080</v>
      </c>
      <c r="L314" s="86">
        <f>SUM(K309:K314)</f>
        <v>3654</v>
      </c>
      <c r="M314" s="90"/>
    </row>
    <row r="315" s="84" customFormat="1" spans="1:13">
      <c r="A315" s="96">
        <v>45852</v>
      </c>
      <c r="B315" s="97">
        <v>50</v>
      </c>
      <c r="C315" s="98" t="s">
        <v>58</v>
      </c>
      <c r="D315" s="98"/>
      <c r="E315" s="98"/>
      <c r="F315" s="99" t="s">
        <v>59</v>
      </c>
      <c r="G315" s="98">
        <v>3</v>
      </c>
      <c r="H315" s="98">
        <v>26</v>
      </c>
      <c r="I315" s="98">
        <f t="shared" si="28"/>
        <v>78</v>
      </c>
      <c r="J315" s="114">
        <v>18</v>
      </c>
      <c r="K315" s="114">
        <f t="shared" si="29"/>
        <v>1404</v>
      </c>
      <c r="L315" s="85" t="s">
        <v>167</v>
      </c>
      <c r="M315" s="98"/>
    </row>
    <row r="316" s="84" customFormat="1" spans="1:13">
      <c r="A316" s="96">
        <v>45852</v>
      </c>
      <c r="B316" s="97">
        <v>50</v>
      </c>
      <c r="C316" s="98" t="s">
        <v>21</v>
      </c>
      <c r="D316" s="98"/>
      <c r="E316" s="98"/>
      <c r="F316" s="99" t="s">
        <v>22</v>
      </c>
      <c r="G316" s="98">
        <v>3</v>
      </c>
      <c r="H316" s="98">
        <v>10</v>
      </c>
      <c r="I316" s="98">
        <f t="shared" si="28"/>
        <v>30</v>
      </c>
      <c r="J316" s="114">
        <v>18</v>
      </c>
      <c r="K316" s="114">
        <f t="shared" si="29"/>
        <v>540</v>
      </c>
      <c r="L316" s="85">
        <f>SUM(K311:K316)</f>
        <v>4680</v>
      </c>
      <c r="M316" s="98"/>
    </row>
    <row r="317" s="83" customFormat="1" spans="1:13">
      <c r="A317" s="106">
        <v>45857</v>
      </c>
      <c r="B317" s="101">
        <v>69</v>
      </c>
      <c r="C317" s="90" t="s">
        <v>53</v>
      </c>
      <c r="D317" s="90"/>
      <c r="E317" s="90"/>
      <c r="F317" s="109" t="s">
        <v>54</v>
      </c>
      <c r="G317" s="90">
        <v>4</v>
      </c>
      <c r="H317" s="90">
        <v>25</v>
      </c>
      <c r="I317" s="90">
        <f t="shared" si="28"/>
        <v>100</v>
      </c>
      <c r="J317" s="116">
        <v>14</v>
      </c>
      <c r="K317" s="116">
        <f t="shared" si="29"/>
        <v>1400</v>
      </c>
      <c r="L317" s="86"/>
      <c r="M317" s="90"/>
    </row>
    <row r="318" s="84" customFormat="1" spans="1:13">
      <c r="A318" s="96">
        <v>45860</v>
      </c>
      <c r="B318" s="97">
        <v>74</v>
      </c>
      <c r="C318" s="98" t="s">
        <v>53</v>
      </c>
      <c r="D318" s="98"/>
      <c r="E318" s="98"/>
      <c r="F318" s="107" t="s">
        <v>54</v>
      </c>
      <c r="G318" s="98">
        <v>2</v>
      </c>
      <c r="H318" s="98">
        <v>25</v>
      </c>
      <c r="I318" s="98">
        <f t="shared" si="28"/>
        <v>50</v>
      </c>
      <c r="J318" s="114">
        <v>14</v>
      </c>
      <c r="K318" s="114">
        <f t="shared" si="29"/>
        <v>700</v>
      </c>
      <c r="L318" s="85"/>
      <c r="M318" s="98"/>
    </row>
    <row r="319" s="84" customFormat="1" spans="1:13">
      <c r="A319" s="96">
        <v>45860</v>
      </c>
      <c r="B319" s="97">
        <v>74</v>
      </c>
      <c r="C319" s="98" t="s">
        <v>23</v>
      </c>
      <c r="D319" s="98"/>
      <c r="E319" s="98"/>
      <c r="F319" s="99" t="s">
        <v>24</v>
      </c>
      <c r="G319" s="98">
        <v>1</v>
      </c>
      <c r="H319" s="98">
        <v>20</v>
      </c>
      <c r="I319" s="98">
        <f t="shared" si="28"/>
        <v>20</v>
      </c>
      <c r="J319" s="114">
        <v>18</v>
      </c>
      <c r="K319" s="114">
        <f t="shared" si="29"/>
        <v>360</v>
      </c>
      <c r="L319" s="85"/>
      <c r="M319" s="98"/>
    </row>
    <row r="320" s="84" customFormat="1" spans="1:13">
      <c r="A320" s="96">
        <v>45860</v>
      </c>
      <c r="B320" s="97">
        <v>74</v>
      </c>
      <c r="C320" s="98" t="s">
        <v>21</v>
      </c>
      <c r="D320" s="98"/>
      <c r="E320" s="98"/>
      <c r="F320" s="99" t="s">
        <v>22</v>
      </c>
      <c r="G320" s="98">
        <v>1</v>
      </c>
      <c r="H320" s="98">
        <v>10</v>
      </c>
      <c r="I320" s="98">
        <f t="shared" si="28"/>
        <v>10</v>
      </c>
      <c r="J320" s="114">
        <v>18</v>
      </c>
      <c r="K320" s="114">
        <f t="shared" si="29"/>
        <v>180</v>
      </c>
      <c r="L320" s="85">
        <f>SUM(K315:K320)</f>
        <v>4584</v>
      </c>
      <c r="M320" s="98"/>
    </row>
    <row r="321" s="83" customFormat="1" spans="1:15">
      <c r="A321" s="106">
        <v>45860</v>
      </c>
      <c r="B321" s="101">
        <v>77</v>
      </c>
      <c r="C321" s="90" t="s">
        <v>23</v>
      </c>
      <c r="D321" s="90"/>
      <c r="E321" s="90"/>
      <c r="F321" s="105" t="s">
        <v>24</v>
      </c>
      <c r="G321" s="90">
        <v>1</v>
      </c>
      <c r="H321" s="90">
        <v>20</v>
      </c>
      <c r="I321" s="90">
        <f t="shared" si="28"/>
        <v>20</v>
      </c>
      <c r="J321" s="116">
        <v>18</v>
      </c>
      <c r="K321" s="116">
        <f t="shared" si="29"/>
        <v>360</v>
      </c>
      <c r="L321" s="86"/>
      <c r="M321" s="90"/>
    </row>
    <row r="322" s="83" customFormat="1" spans="1:15">
      <c r="A322" s="106">
        <v>45860</v>
      </c>
      <c r="B322" s="101">
        <v>77</v>
      </c>
      <c r="C322" s="90" t="s">
        <v>21</v>
      </c>
      <c r="D322" s="90"/>
      <c r="E322" s="90"/>
      <c r="F322" s="105" t="s">
        <v>22</v>
      </c>
      <c r="G322" s="90">
        <v>1</v>
      </c>
      <c r="H322" s="90">
        <v>10</v>
      </c>
      <c r="I322" s="90">
        <f t="shared" si="28"/>
        <v>10</v>
      </c>
      <c r="J322" s="116">
        <v>18</v>
      </c>
      <c r="K322" s="116">
        <f t="shared" si="29"/>
        <v>180</v>
      </c>
      <c r="L322" s="86">
        <f>SUM(K321:K322)</f>
        <v>540</v>
      </c>
      <c r="M322" s="90"/>
    </row>
    <row r="323" s="92" customFormat="1" ht="23" customHeight="1" spans="1:15">
      <c r="A323" s="96">
        <v>45867</v>
      </c>
      <c r="B323" s="97">
        <v>90</v>
      </c>
      <c r="C323" s="98">
        <v>9803</v>
      </c>
      <c r="D323" s="98"/>
      <c r="E323" s="98"/>
      <c r="F323" s="99" t="s">
        <v>15</v>
      </c>
      <c r="G323" s="98">
        <v>4</v>
      </c>
      <c r="H323" s="98">
        <v>28</v>
      </c>
      <c r="I323" s="98">
        <f t="shared" si="28"/>
        <v>112</v>
      </c>
      <c r="J323" s="114">
        <v>9</v>
      </c>
      <c r="K323" s="114">
        <f t="shared" si="29"/>
        <v>1008</v>
      </c>
      <c r="L323" s="98" t="s">
        <v>189</v>
      </c>
      <c r="M323" s="98"/>
    </row>
    <row r="324" s="92" customFormat="1" ht="23" customHeight="1" spans="1:15">
      <c r="A324" s="96">
        <v>45867</v>
      </c>
      <c r="B324" s="97">
        <v>90</v>
      </c>
      <c r="C324" s="98">
        <v>9803</v>
      </c>
      <c r="D324" s="98"/>
      <c r="E324" s="98"/>
      <c r="F324" s="99" t="s">
        <v>15</v>
      </c>
      <c r="G324" s="98">
        <v>6</v>
      </c>
      <c r="H324" s="98">
        <v>28</v>
      </c>
      <c r="I324" s="98">
        <f t="shared" si="28"/>
        <v>168</v>
      </c>
      <c r="J324" s="114">
        <v>9</v>
      </c>
      <c r="K324" s="114">
        <f t="shared" si="29"/>
        <v>1512</v>
      </c>
      <c r="L324" s="98">
        <v>9804</v>
      </c>
      <c r="M324" s="98"/>
    </row>
    <row r="325" s="83" customFormat="1" spans="1:15">
      <c r="A325" s="106">
        <v>45871</v>
      </c>
      <c r="B325" s="101">
        <v>1</v>
      </c>
      <c r="C325" s="90" t="s">
        <v>106</v>
      </c>
      <c r="D325" s="90"/>
      <c r="E325" s="90"/>
      <c r="F325" s="105" t="s">
        <v>114</v>
      </c>
      <c r="G325" s="90">
        <v>3</v>
      </c>
      <c r="H325" s="90">
        <v>25</v>
      </c>
      <c r="I325" s="90">
        <f t="shared" si="28"/>
        <v>75</v>
      </c>
      <c r="J325" s="116"/>
      <c r="K325" s="116">
        <f t="shared" si="29"/>
        <v>0</v>
      </c>
      <c r="L325" s="88" t="s">
        <v>190</v>
      </c>
      <c r="M325" s="102"/>
      <c r="N325" s="82"/>
      <c r="O325" s="82"/>
    </row>
    <row r="326" s="83" customFormat="1" spans="1:15">
      <c r="A326" s="106">
        <v>45871</v>
      </c>
      <c r="B326" s="101">
        <v>1</v>
      </c>
      <c r="C326" s="90" t="s">
        <v>21</v>
      </c>
      <c r="D326" s="90"/>
      <c r="E326" s="90"/>
      <c r="F326" s="105" t="s">
        <v>22</v>
      </c>
      <c r="G326" s="90">
        <v>4</v>
      </c>
      <c r="H326" s="90">
        <v>10</v>
      </c>
      <c r="I326" s="90">
        <f t="shared" si="28"/>
        <v>40</v>
      </c>
      <c r="J326" s="116">
        <v>18</v>
      </c>
      <c r="K326" s="116">
        <f t="shared" si="29"/>
        <v>720</v>
      </c>
      <c r="L326" s="86"/>
      <c r="M326" s="90">
        <f>SUM(K324:K326)</f>
        <v>2232</v>
      </c>
    </row>
    <row r="327" s="83" customFormat="1" spans="1:15">
      <c r="A327" s="106">
        <v>45871</v>
      </c>
      <c r="B327" s="101">
        <v>1</v>
      </c>
      <c r="C327" s="90" t="s">
        <v>55</v>
      </c>
      <c r="D327" s="90"/>
      <c r="E327" s="90"/>
      <c r="F327" s="105" t="s">
        <v>14</v>
      </c>
      <c r="G327" s="90">
        <v>1</v>
      </c>
      <c r="H327" s="90">
        <v>180</v>
      </c>
      <c r="I327" s="90">
        <f t="shared" si="28"/>
        <v>180</v>
      </c>
      <c r="J327" s="116">
        <v>10.5</v>
      </c>
      <c r="K327" s="116">
        <f t="shared" si="29"/>
        <v>1890</v>
      </c>
      <c r="L327" s="86"/>
      <c r="M327" s="90">
        <f>SUM(K324:K327)</f>
        <v>4122</v>
      </c>
    </row>
    <row r="328" s="92" customFormat="1" ht="23" customHeight="1" spans="1:15">
      <c r="A328" s="96">
        <v>45881</v>
      </c>
      <c r="B328" s="97">
        <v>21</v>
      </c>
      <c r="C328" s="98">
        <v>9803</v>
      </c>
      <c r="D328" s="98"/>
      <c r="E328" s="98"/>
      <c r="F328" s="99" t="s">
        <v>15</v>
      </c>
      <c r="G328" s="98">
        <v>5</v>
      </c>
      <c r="H328" s="98">
        <v>28</v>
      </c>
      <c r="I328" s="98">
        <f t="shared" si="28"/>
        <v>140</v>
      </c>
      <c r="J328" s="114">
        <v>9</v>
      </c>
      <c r="K328" s="114">
        <f t="shared" si="29"/>
        <v>1260</v>
      </c>
      <c r="L328" s="99">
        <v>9804</v>
      </c>
      <c r="M328" s="98" t="s">
        <v>191</v>
      </c>
    </row>
    <row r="329" s="84" customFormat="1" spans="1:15">
      <c r="A329" s="96">
        <v>45881</v>
      </c>
      <c r="B329" s="97">
        <v>21</v>
      </c>
      <c r="C329" s="98" t="s">
        <v>192</v>
      </c>
      <c r="D329" s="98"/>
      <c r="E329" s="98"/>
      <c r="F329" s="99" t="s">
        <v>114</v>
      </c>
      <c r="G329" s="98">
        <v>1</v>
      </c>
      <c r="H329" s="98">
        <v>25</v>
      </c>
      <c r="I329" s="98">
        <f t="shared" si="28"/>
        <v>25</v>
      </c>
      <c r="J329" s="114">
        <v>18</v>
      </c>
      <c r="K329" s="114">
        <f t="shared" si="29"/>
        <v>450</v>
      </c>
      <c r="L329" s="85" t="s">
        <v>193</v>
      </c>
      <c r="M329" s="98"/>
    </row>
    <row r="330" s="84" customFormat="1" spans="1:15">
      <c r="A330" s="96">
        <v>45881</v>
      </c>
      <c r="B330" s="97">
        <v>21</v>
      </c>
      <c r="C330" s="98" t="s">
        <v>194</v>
      </c>
      <c r="D330" s="98"/>
      <c r="E330" s="98"/>
      <c r="F330" s="99" t="s">
        <v>151</v>
      </c>
      <c r="G330" s="98">
        <v>1</v>
      </c>
      <c r="H330" s="98">
        <v>25</v>
      </c>
      <c r="I330" s="98">
        <f t="shared" si="28"/>
        <v>25</v>
      </c>
      <c r="J330" s="114">
        <v>18</v>
      </c>
      <c r="K330" s="114">
        <f t="shared" si="29"/>
        <v>450</v>
      </c>
      <c r="L330" s="85"/>
      <c r="M330" s="98"/>
    </row>
    <row r="331" s="84" customFormat="1" spans="1:15">
      <c r="A331" s="96">
        <v>45881</v>
      </c>
      <c r="B331" s="97">
        <v>21</v>
      </c>
      <c r="C331" s="98">
        <v>516</v>
      </c>
      <c r="D331" s="98"/>
      <c r="E331" s="98"/>
      <c r="F331" s="99" t="s">
        <v>160</v>
      </c>
      <c r="G331" s="98">
        <v>1</v>
      </c>
      <c r="H331" s="98">
        <v>13</v>
      </c>
      <c r="I331" s="98">
        <f t="shared" si="28"/>
        <v>13</v>
      </c>
      <c r="J331" s="114">
        <v>18</v>
      </c>
      <c r="K331" s="114">
        <f t="shared" si="29"/>
        <v>234</v>
      </c>
      <c r="L331" s="85"/>
      <c r="M331" s="98"/>
    </row>
    <row r="332" s="84" customFormat="1" spans="1:15">
      <c r="A332" s="96">
        <v>45881</v>
      </c>
      <c r="B332" s="97">
        <v>21</v>
      </c>
      <c r="C332" s="98" t="s">
        <v>21</v>
      </c>
      <c r="D332" s="98"/>
      <c r="E332" s="98"/>
      <c r="F332" s="99" t="s">
        <v>22</v>
      </c>
      <c r="G332" s="98">
        <v>4</v>
      </c>
      <c r="H332" s="98">
        <v>10</v>
      </c>
      <c r="I332" s="98">
        <f t="shared" si="28"/>
        <v>40</v>
      </c>
      <c r="J332" s="114">
        <v>18</v>
      </c>
      <c r="K332" s="114">
        <f t="shared" si="29"/>
        <v>720</v>
      </c>
      <c r="L332" s="85">
        <f>SUM(K328:K332)</f>
        <v>3114</v>
      </c>
      <c r="M332" s="98"/>
    </row>
    <row r="333" s="83" customFormat="1" spans="1:15">
      <c r="A333" s="106">
        <v>45882</v>
      </c>
      <c r="B333" s="101" t="s">
        <v>195</v>
      </c>
      <c r="C333" s="106">
        <v>45881</v>
      </c>
      <c r="D333" s="90"/>
      <c r="E333" s="90"/>
      <c r="F333" s="109" t="s">
        <v>129</v>
      </c>
      <c r="G333" s="90">
        <v>2</v>
      </c>
      <c r="H333" s="90">
        <v>18</v>
      </c>
      <c r="I333" s="90">
        <f t="shared" si="28"/>
        <v>36</v>
      </c>
      <c r="J333" s="116">
        <v>5.5</v>
      </c>
      <c r="K333" s="116">
        <f t="shared" si="29"/>
        <v>198</v>
      </c>
      <c r="L333" s="86"/>
      <c r="M333" s="90"/>
    </row>
    <row r="334" s="83" customFormat="1" spans="1:15">
      <c r="A334" s="106">
        <v>45882</v>
      </c>
      <c r="B334" s="101" t="s">
        <v>195</v>
      </c>
      <c r="C334" s="106">
        <v>45882</v>
      </c>
      <c r="D334" s="90"/>
      <c r="E334" s="90"/>
      <c r="F334" s="109" t="s">
        <v>129</v>
      </c>
      <c r="G334" s="90">
        <v>3</v>
      </c>
      <c r="H334" s="90">
        <v>18</v>
      </c>
      <c r="I334" s="90">
        <f t="shared" si="28"/>
        <v>54</v>
      </c>
      <c r="J334" s="116">
        <v>5.5</v>
      </c>
      <c r="K334" s="116">
        <f t="shared" si="29"/>
        <v>297</v>
      </c>
      <c r="L334" s="86">
        <f>SUM(K333:K334)</f>
        <v>495</v>
      </c>
      <c r="M334" s="90"/>
    </row>
    <row r="335" s="84" customFormat="1" spans="1:15">
      <c r="A335" s="96">
        <v>45882</v>
      </c>
      <c r="B335" s="97" t="s">
        <v>196</v>
      </c>
      <c r="C335" s="98">
        <v>9803</v>
      </c>
      <c r="D335" s="98"/>
      <c r="E335" s="98"/>
      <c r="F335" s="99" t="s">
        <v>15</v>
      </c>
      <c r="G335" s="98">
        <v>4</v>
      </c>
      <c r="H335" s="98">
        <v>28</v>
      </c>
      <c r="I335" s="98">
        <f t="shared" si="28"/>
        <v>112</v>
      </c>
      <c r="J335" s="114">
        <v>9</v>
      </c>
      <c r="K335" s="114">
        <f t="shared" si="29"/>
        <v>1008</v>
      </c>
      <c r="L335" s="85"/>
      <c r="M335" s="98"/>
    </row>
    <row r="336" s="83" customFormat="1" spans="1:15">
      <c r="A336" s="106">
        <v>45884</v>
      </c>
      <c r="B336" s="101">
        <v>36</v>
      </c>
      <c r="C336" s="90">
        <v>9803</v>
      </c>
      <c r="D336" s="90"/>
      <c r="E336" s="90"/>
      <c r="F336" s="105" t="s">
        <v>15</v>
      </c>
      <c r="G336" s="90">
        <v>2</v>
      </c>
      <c r="H336" s="90">
        <v>28</v>
      </c>
      <c r="I336" s="90">
        <f t="shared" si="28"/>
        <v>56</v>
      </c>
      <c r="J336" s="116">
        <v>9</v>
      </c>
      <c r="K336" s="116">
        <f t="shared" si="29"/>
        <v>504</v>
      </c>
      <c r="L336" s="86"/>
      <c r="M336" s="90"/>
    </row>
    <row r="337" s="84" customFormat="1" spans="1:14">
      <c r="A337" s="96">
        <v>45885</v>
      </c>
      <c r="B337" s="97">
        <v>40</v>
      </c>
      <c r="C337" s="98">
        <v>516</v>
      </c>
      <c r="D337" s="98"/>
      <c r="E337" s="98"/>
      <c r="F337" s="99" t="s">
        <v>160</v>
      </c>
      <c r="G337" s="98">
        <v>1</v>
      </c>
      <c r="H337" s="98">
        <v>10</v>
      </c>
      <c r="I337" s="98">
        <f t="shared" si="28"/>
        <v>10</v>
      </c>
      <c r="J337" s="114">
        <v>18</v>
      </c>
      <c r="K337" s="114">
        <f t="shared" si="29"/>
        <v>180</v>
      </c>
      <c r="L337" s="85"/>
      <c r="M337" s="98"/>
    </row>
    <row r="338" s="83" customFormat="1" spans="1:14">
      <c r="A338" s="106">
        <v>45887</v>
      </c>
      <c r="B338" s="101">
        <v>41</v>
      </c>
      <c r="C338" s="90" t="s">
        <v>21</v>
      </c>
      <c r="D338" s="90"/>
      <c r="E338" s="90"/>
      <c r="F338" s="105" t="s">
        <v>22</v>
      </c>
      <c r="G338" s="90">
        <v>1</v>
      </c>
      <c r="H338" s="90">
        <v>10</v>
      </c>
      <c r="I338" s="90">
        <f t="shared" si="28"/>
        <v>10</v>
      </c>
      <c r="J338" s="116">
        <v>18</v>
      </c>
      <c r="K338" s="116">
        <f t="shared" si="29"/>
        <v>180</v>
      </c>
      <c r="L338" s="86">
        <f>K338</f>
        <v>180</v>
      </c>
      <c r="M338" s="90"/>
    </row>
    <row r="339" s="84" customFormat="1" spans="1:14">
      <c r="A339" s="96">
        <v>45890</v>
      </c>
      <c r="B339" s="97" t="s">
        <v>197</v>
      </c>
      <c r="C339" s="98" t="s">
        <v>143</v>
      </c>
      <c r="D339" s="98"/>
      <c r="E339" s="98"/>
      <c r="F339" s="99" t="s">
        <v>147</v>
      </c>
      <c r="G339" s="98">
        <v>1</v>
      </c>
      <c r="H339" s="98">
        <v>1</v>
      </c>
      <c r="I339" s="98">
        <f t="shared" si="28"/>
        <v>1</v>
      </c>
      <c r="J339" s="114">
        <v>18</v>
      </c>
      <c r="K339" s="114">
        <f t="shared" si="29"/>
        <v>18</v>
      </c>
      <c r="L339" s="85" t="s">
        <v>198</v>
      </c>
      <c r="M339" s="98"/>
    </row>
    <row r="340" s="82" customFormat="1" spans="1:14">
      <c r="A340" s="118">
        <v>45891</v>
      </c>
      <c r="B340" s="119">
        <v>56</v>
      </c>
      <c r="C340" s="102" t="s">
        <v>130</v>
      </c>
      <c r="D340" s="102"/>
      <c r="E340" s="102"/>
      <c r="F340" s="120" t="s">
        <v>199</v>
      </c>
      <c r="G340" s="102">
        <v>-1</v>
      </c>
      <c r="H340" s="102">
        <v>25</v>
      </c>
      <c r="I340" s="102">
        <f t="shared" si="28"/>
        <v>-25</v>
      </c>
      <c r="J340" s="121">
        <v>18</v>
      </c>
      <c r="K340" s="121">
        <f t="shared" si="29"/>
        <v>-450</v>
      </c>
      <c r="L340" s="82" t="s">
        <v>200</v>
      </c>
      <c r="M340" s="102"/>
      <c r="N340" s="137" t="s">
        <v>201</v>
      </c>
    </row>
    <row r="341" s="82" customFormat="1" spans="1:14">
      <c r="A341" s="118">
        <v>45891</v>
      </c>
      <c r="B341" s="119">
        <v>56</v>
      </c>
      <c r="C341" s="102" t="s">
        <v>130</v>
      </c>
      <c r="D341" s="102"/>
      <c r="E341" s="102"/>
      <c r="F341" s="120" t="s">
        <v>202</v>
      </c>
      <c r="G341" s="102">
        <v>1</v>
      </c>
      <c r="H341" s="102">
        <v>8</v>
      </c>
      <c r="I341" s="102">
        <f t="shared" si="28"/>
        <v>8</v>
      </c>
      <c r="J341" s="121"/>
      <c r="K341" s="121"/>
      <c r="L341" s="82" t="s">
        <v>203</v>
      </c>
      <c r="M341" s="102"/>
      <c r="N341" s="137"/>
    </row>
    <row r="342" s="82" customFormat="1" spans="1:14">
      <c r="A342" s="118">
        <v>45891</v>
      </c>
      <c r="B342" s="119">
        <v>56</v>
      </c>
      <c r="C342" s="102" t="s">
        <v>130</v>
      </c>
      <c r="D342" s="102"/>
      <c r="E342" s="102"/>
      <c r="F342" s="128" t="s">
        <v>54</v>
      </c>
      <c r="G342" s="102">
        <v>-1</v>
      </c>
      <c r="H342" s="102">
        <v>25</v>
      </c>
      <c r="I342" s="102">
        <f t="shared" ref="I342:I351" si="30">G342*H342</f>
        <v>-25</v>
      </c>
      <c r="J342" s="121">
        <v>14</v>
      </c>
      <c r="K342" s="121">
        <f t="shared" ref="K342:K351" si="31">I342*J342</f>
        <v>-350</v>
      </c>
      <c r="L342" s="138">
        <v>45891</v>
      </c>
      <c r="M342" s="102"/>
      <c r="N342" s="137"/>
    </row>
    <row r="343" s="82" customFormat="1" spans="1:14">
      <c r="A343" s="118">
        <v>45891</v>
      </c>
      <c r="B343" s="119">
        <v>56</v>
      </c>
      <c r="C343" s="102" t="s">
        <v>130</v>
      </c>
      <c r="D343" s="102"/>
      <c r="E343" s="102"/>
      <c r="F343" s="103" t="s">
        <v>204</v>
      </c>
      <c r="G343" s="102">
        <v>-1</v>
      </c>
      <c r="H343" s="102">
        <v>101</v>
      </c>
      <c r="I343" s="102">
        <f t="shared" si="30"/>
        <v>-101</v>
      </c>
      <c r="J343" s="121">
        <v>18</v>
      </c>
      <c r="K343" s="121">
        <f t="shared" si="31"/>
        <v>-1818</v>
      </c>
      <c r="L343" s="138">
        <v>45891</v>
      </c>
      <c r="M343" s="102"/>
      <c r="N343" s="137"/>
    </row>
    <row r="344" s="82" customFormat="1" spans="1:14">
      <c r="A344" s="118">
        <v>45891</v>
      </c>
      <c r="B344" s="119">
        <v>56</v>
      </c>
      <c r="C344" s="102" t="s">
        <v>130</v>
      </c>
      <c r="D344" s="102"/>
      <c r="E344" s="102"/>
      <c r="F344" s="128" t="s">
        <v>129</v>
      </c>
      <c r="G344" s="102">
        <v>-2</v>
      </c>
      <c r="H344" s="102">
        <v>18</v>
      </c>
      <c r="I344" s="102">
        <f t="shared" si="30"/>
        <v>-36</v>
      </c>
      <c r="J344" s="121">
        <v>5.5</v>
      </c>
      <c r="K344" s="121">
        <f t="shared" si="31"/>
        <v>-198</v>
      </c>
      <c r="L344" s="138">
        <v>45891</v>
      </c>
      <c r="M344" s="102"/>
      <c r="N344" s="137"/>
    </row>
    <row r="345" s="82" customFormat="1" spans="1:14">
      <c r="A345" s="118">
        <v>45891</v>
      </c>
      <c r="B345" s="119">
        <v>56</v>
      </c>
      <c r="C345" s="102" t="s">
        <v>130</v>
      </c>
      <c r="D345" s="102"/>
      <c r="E345" s="102"/>
      <c r="F345" s="103" t="s">
        <v>14</v>
      </c>
      <c r="G345" s="102">
        <v>-1</v>
      </c>
      <c r="H345" s="102">
        <v>82</v>
      </c>
      <c r="I345" s="102">
        <f t="shared" si="30"/>
        <v>-82</v>
      </c>
      <c r="J345" s="121">
        <v>10.5</v>
      </c>
      <c r="K345" s="121">
        <f t="shared" si="31"/>
        <v>-861</v>
      </c>
      <c r="L345" s="138">
        <v>45891</v>
      </c>
      <c r="M345" s="102">
        <f>SUM(K340:K345)</f>
        <v>-3677</v>
      </c>
      <c r="N345" s="137"/>
    </row>
    <row r="346" s="84" customFormat="1" spans="1:14">
      <c r="A346" s="96">
        <v>45898</v>
      </c>
      <c r="B346" s="97">
        <v>78</v>
      </c>
      <c r="C346" s="98" t="s">
        <v>58</v>
      </c>
      <c r="D346" s="98"/>
      <c r="E346" s="98"/>
      <c r="F346" s="99" t="s">
        <v>59</v>
      </c>
      <c r="G346" s="98">
        <v>1</v>
      </c>
      <c r="H346" s="98">
        <v>10</v>
      </c>
      <c r="I346" s="98">
        <f t="shared" si="30"/>
        <v>10</v>
      </c>
      <c r="J346" s="114">
        <v>18</v>
      </c>
      <c r="K346" s="114">
        <f t="shared" si="31"/>
        <v>180</v>
      </c>
      <c r="L346" s="85" t="s">
        <v>205</v>
      </c>
      <c r="M346" s="98"/>
    </row>
    <row r="347" s="84" customFormat="1" spans="1:14">
      <c r="A347" s="96">
        <v>45898</v>
      </c>
      <c r="B347" s="97">
        <v>78</v>
      </c>
      <c r="C347" s="102">
        <v>709</v>
      </c>
      <c r="D347" s="102"/>
      <c r="E347" s="102"/>
      <c r="F347" s="99" t="s">
        <v>31</v>
      </c>
      <c r="G347" s="98">
        <v>1</v>
      </c>
      <c r="H347" s="98">
        <v>17</v>
      </c>
      <c r="I347" s="98">
        <f t="shared" ref="I347:I363" si="32">G347*H347</f>
        <v>17</v>
      </c>
      <c r="J347" s="114">
        <v>18</v>
      </c>
      <c r="K347" s="114">
        <f t="shared" ref="K347:K355" si="33">I347*J347</f>
        <v>306</v>
      </c>
      <c r="L347" s="88" t="s">
        <v>205</v>
      </c>
      <c r="M347" s="139" t="s">
        <v>206</v>
      </c>
      <c r="N347" s="83"/>
    </row>
    <row r="348" s="84" customFormat="1" spans="1:14">
      <c r="A348" s="96">
        <v>45898</v>
      </c>
      <c r="B348" s="97">
        <v>78</v>
      </c>
      <c r="C348" s="98" t="s">
        <v>175</v>
      </c>
      <c r="D348" s="98"/>
      <c r="E348" s="98"/>
      <c r="F348" s="99" t="s">
        <v>176</v>
      </c>
      <c r="G348" s="98">
        <v>1</v>
      </c>
      <c r="H348" s="98">
        <v>5</v>
      </c>
      <c r="I348" s="98">
        <f t="shared" si="32"/>
        <v>5</v>
      </c>
      <c r="J348" s="114">
        <v>18</v>
      </c>
      <c r="K348" s="114">
        <f t="shared" si="33"/>
        <v>90</v>
      </c>
      <c r="L348" s="85" t="s">
        <v>205</v>
      </c>
      <c r="M348" s="98"/>
    </row>
    <row r="349" s="84" customFormat="1" spans="1:14">
      <c r="A349" s="96">
        <v>45898</v>
      </c>
      <c r="B349" s="97">
        <v>78</v>
      </c>
      <c r="C349" s="98" t="s">
        <v>150</v>
      </c>
      <c r="D349" s="98"/>
      <c r="E349" s="98"/>
      <c r="F349" s="99" t="s">
        <v>151</v>
      </c>
      <c r="G349" s="98">
        <v>1</v>
      </c>
      <c r="H349" s="98">
        <v>12</v>
      </c>
      <c r="I349" s="98">
        <f t="shared" si="32"/>
        <v>12</v>
      </c>
      <c r="J349" s="114">
        <v>18</v>
      </c>
      <c r="K349" s="114">
        <f t="shared" si="33"/>
        <v>216</v>
      </c>
      <c r="L349" s="85" t="s">
        <v>205</v>
      </c>
      <c r="M349" s="98"/>
    </row>
    <row r="350" s="84" customFormat="1" spans="1:14">
      <c r="A350" s="96">
        <v>45898</v>
      </c>
      <c r="B350" s="97">
        <v>78</v>
      </c>
      <c r="C350" s="98">
        <v>516</v>
      </c>
      <c r="D350" s="98"/>
      <c r="E350" s="98"/>
      <c r="F350" s="99" t="s">
        <v>160</v>
      </c>
      <c r="G350" s="98">
        <v>1</v>
      </c>
      <c r="H350" s="98">
        <v>6.5</v>
      </c>
      <c r="I350" s="98">
        <f t="shared" si="32"/>
        <v>6.5</v>
      </c>
      <c r="J350" s="114">
        <v>18</v>
      </c>
      <c r="K350" s="114">
        <f t="shared" si="33"/>
        <v>117</v>
      </c>
      <c r="L350" s="85" t="s">
        <v>205</v>
      </c>
      <c r="M350" s="98"/>
    </row>
    <row r="351" s="83" customFormat="1" spans="1:14">
      <c r="A351" s="106">
        <v>45898</v>
      </c>
      <c r="B351" s="101">
        <v>83</v>
      </c>
      <c r="C351" s="90" t="s">
        <v>55</v>
      </c>
      <c r="D351" s="90"/>
      <c r="E351" s="90"/>
      <c r="F351" s="105" t="s">
        <v>14</v>
      </c>
      <c r="G351" s="90">
        <v>1</v>
      </c>
      <c r="H351" s="90">
        <v>18</v>
      </c>
      <c r="I351" s="90">
        <f t="shared" si="32"/>
        <v>18</v>
      </c>
      <c r="J351" s="116">
        <v>10.5</v>
      </c>
      <c r="K351" s="116">
        <f t="shared" si="33"/>
        <v>189</v>
      </c>
      <c r="L351" s="86"/>
      <c r="M351" s="90">
        <f>SUM(K351:K352)</f>
        <v>369</v>
      </c>
    </row>
    <row r="352" s="83" customFormat="1" spans="1:14">
      <c r="A352" s="106">
        <v>45898</v>
      </c>
      <c r="B352" s="101">
        <v>83</v>
      </c>
      <c r="C352" s="90" t="s">
        <v>21</v>
      </c>
      <c r="D352" s="90"/>
      <c r="E352" s="90"/>
      <c r="F352" s="105" t="s">
        <v>22</v>
      </c>
      <c r="G352" s="90">
        <v>1</v>
      </c>
      <c r="H352" s="90">
        <v>10</v>
      </c>
      <c r="I352" s="90">
        <f t="shared" si="32"/>
        <v>10</v>
      </c>
      <c r="J352" s="116">
        <v>18</v>
      </c>
      <c r="K352" s="116">
        <f t="shared" si="33"/>
        <v>180</v>
      </c>
      <c r="L352" s="86"/>
      <c r="M352" s="90"/>
    </row>
    <row r="353" s="85" customFormat="1" spans="1:14">
      <c r="A353" s="96">
        <v>45950</v>
      </c>
      <c r="B353" s="97">
        <v>55</v>
      </c>
      <c r="C353" s="98" t="s">
        <v>27</v>
      </c>
      <c r="D353" s="98"/>
      <c r="E353" s="98"/>
      <c r="F353" s="107" t="s">
        <v>28</v>
      </c>
      <c r="G353" s="98">
        <v>2</v>
      </c>
      <c r="H353" s="98">
        <v>25</v>
      </c>
      <c r="I353" s="98">
        <f t="shared" si="32"/>
        <v>50</v>
      </c>
      <c r="J353" s="114">
        <v>12</v>
      </c>
      <c r="K353" s="114">
        <f t="shared" si="33"/>
        <v>600</v>
      </c>
      <c r="L353" s="85" t="s">
        <v>207</v>
      </c>
      <c r="M353" s="98"/>
    </row>
    <row r="354" s="84" customFormat="1" spans="1:14">
      <c r="A354" s="96">
        <v>45950</v>
      </c>
      <c r="B354" s="97">
        <v>55</v>
      </c>
      <c r="C354" s="98"/>
      <c r="D354" s="98"/>
      <c r="E354" s="98"/>
      <c r="F354" s="107" t="s">
        <v>129</v>
      </c>
      <c r="G354" s="98">
        <v>2</v>
      </c>
      <c r="H354" s="98">
        <v>18</v>
      </c>
      <c r="I354" s="98">
        <f t="shared" si="32"/>
        <v>36</v>
      </c>
      <c r="J354" s="114">
        <v>5.5</v>
      </c>
      <c r="K354" s="114">
        <f t="shared" si="33"/>
        <v>198</v>
      </c>
      <c r="L354" s="86">
        <f>SUM(K353:K354)</f>
        <v>798</v>
      </c>
      <c r="M354" s="98"/>
      <c r="N354" s="140"/>
    </row>
    <row r="355" s="86" customFormat="1" spans="1:14">
      <c r="A355" s="106">
        <v>45951</v>
      </c>
      <c r="B355" s="101">
        <v>57</v>
      </c>
      <c r="C355" s="90" t="s">
        <v>27</v>
      </c>
      <c r="D355" s="90"/>
      <c r="E355" s="90"/>
      <c r="F355" s="109" t="s">
        <v>28</v>
      </c>
      <c r="G355" s="90">
        <v>1</v>
      </c>
      <c r="H355" s="90">
        <v>25</v>
      </c>
      <c r="I355" s="90">
        <f t="shared" si="32"/>
        <v>25</v>
      </c>
      <c r="J355" s="116">
        <v>12</v>
      </c>
      <c r="K355" s="116">
        <f t="shared" si="33"/>
        <v>300</v>
      </c>
      <c r="L355" s="108"/>
      <c r="M355" s="90"/>
    </row>
    <row r="356" s="86" customFormat="1" spans="1:14">
      <c r="A356" s="106">
        <v>45951</v>
      </c>
      <c r="B356" s="101">
        <v>57</v>
      </c>
      <c r="C356" s="90" t="s">
        <v>27</v>
      </c>
      <c r="D356" s="90"/>
      <c r="E356" s="90"/>
      <c r="F356" s="109" t="s">
        <v>28</v>
      </c>
      <c r="G356" s="90">
        <v>1</v>
      </c>
      <c r="H356" s="90">
        <v>25</v>
      </c>
      <c r="I356" s="90">
        <f t="shared" si="32"/>
        <v>25</v>
      </c>
      <c r="J356" s="116"/>
      <c r="K356" s="116"/>
      <c r="L356" s="86" t="s">
        <v>208</v>
      </c>
      <c r="M356" s="90"/>
    </row>
    <row r="357" s="83" customFormat="1" spans="1:14">
      <c r="A357" s="106">
        <v>45951</v>
      </c>
      <c r="B357" s="101">
        <v>57</v>
      </c>
      <c r="C357" s="90"/>
      <c r="D357" s="90"/>
      <c r="E357" s="90"/>
      <c r="F357" s="109" t="s">
        <v>129</v>
      </c>
      <c r="G357" s="90">
        <v>1</v>
      </c>
      <c r="H357" s="90">
        <v>90</v>
      </c>
      <c r="I357" s="90">
        <f t="shared" si="32"/>
        <v>90</v>
      </c>
      <c r="J357" s="116">
        <v>5.5</v>
      </c>
      <c r="K357" s="116">
        <f>I357*J357</f>
        <v>495</v>
      </c>
      <c r="L357" s="86">
        <f>SUM(K355:K357)</f>
        <v>795</v>
      </c>
      <c r="M357" s="90"/>
      <c r="N357" s="141"/>
    </row>
    <row r="358" s="84" customFormat="1" spans="1:14">
      <c r="A358" s="96">
        <v>45953</v>
      </c>
      <c r="B358" s="97">
        <v>64</v>
      </c>
      <c r="C358" s="98">
        <v>9803</v>
      </c>
      <c r="D358" s="98"/>
      <c r="E358" s="98"/>
      <c r="F358" s="99" t="s">
        <v>15</v>
      </c>
      <c r="G358" s="98">
        <v>4</v>
      </c>
      <c r="H358" s="98">
        <v>28</v>
      </c>
      <c r="I358" s="98">
        <f t="shared" si="32"/>
        <v>112</v>
      </c>
      <c r="J358" s="114">
        <v>9</v>
      </c>
      <c r="K358" s="114">
        <f>I358*J358</f>
        <v>1008</v>
      </c>
      <c r="L358" s="85"/>
      <c r="M358" s="98"/>
    </row>
    <row r="359" s="84" customFormat="1" spans="1:14">
      <c r="A359" s="96">
        <v>45953</v>
      </c>
      <c r="B359" s="97">
        <v>64</v>
      </c>
      <c r="C359" s="98" t="s">
        <v>53</v>
      </c>
      <c r="D359" s="98"/>
      <c r="E359" s="98"/>
      <c r="F359" s="107" t="s">
        <v>54</v>
      </c>
      <c r="G359" s="98">
        <v>2</v>
      </c>
      <c r="H359" s="98">
        <v>25</v>
      </c>
      <c r="I359" s="98">
        <f t="shared" si="32"/>
        <v>50</v>
      </c>
      <c r="J359" s="114">
        <v>14</v>
      </c>
      <c r="K359" s="114">
        <f>I359*J359</f>
        <v>700</v>
      </c>
      <c r="L359" s="85"/>
      <c r="M359" s="98"/>
    </row>
    <row r="360" s="83" customFormat="1" spans="1:14">
      <c r="A360" s="106">
        <v>45953</v>
      </c>
      <c r="B360" s="101">
        <v>66</v>
      </c>
      <c r="C360" s="90"/>
      <c r="D360" s="90"/>
      <c r="E360" s="90"/>
      <c r="F360" s="105" t="s">
        <v>209</v>
      </c>
      <c r="G360" s="90">
        <v>1</v>
      </c>
      <c r="H360" s="90">
        <v>20</v>
      </c>
      <c r="I360" s="90">
        <f t="shared" si="32"/>
        <v>20</v>
      </c>
      <c r="J360" s="90">
        <v>17</v>
      </c>
      <c r="K360" s="90">
        <f>I360*J360</f>
        <v>340</v>
      </c>
      <c r="L360" s="105" t="s">
        <v>126</v>
      </c>
      <c r="M360" s="90"/>
    </row>
    <row r="361" s="83" customFormat="1" spans="1:14">
      <c r="A361" s="106">
        <v>45953</v>
      </c>
      <c r="B361" s="101">
        <v>66</v>
      </c>
      <c r="C361" s="90"/>
      <c r="D361" s="90"/>
      <c r="E361" s="90"/>
      <c r="F361" s="105" t="s">
        <v>210</v>
      </c>
      <c r="G361" s="90">
        <v>1</v>
      </c>
      <c r="H361" s="90">
        <v>18</v>
      </c>
      <c r="I361" s="90">
        <f t="shared" si="32"/>
        <v>18</v>
      </c>
      <c r="J361" s="90">
        <v>8.5</v>
      </c>
      <c r="K361" s="90">
        <f>I361*J361</f>
        <v>153</v>
      </c>
      <c r="L361" s="105" t="s">
        <v>211</v>
      </c>
      <c r="M361" s="90"/>
    </row>
    <row r="362" s="84" customFormat="1" spans="1:14">
      <c r="A362" s="96">
        <v>45955</v>
      </c>
      <c r="B362" s="97">
        <v>72</v>
      </c>
      <c r="C362" s="98" t="s">
        <v>41</v>
      </c>
      <c r="D362" s="98"/>
      <c r="E362" s="98"/>
      <c r="F362" s="99" t="s">
        <v>42</v>
      </c>
      <c r="G362" s="98">
        <v>1</v>
      </c>
      <c r="H362" s="98">
        <v>26</v>
      </c>
      <c r="I362" s="98">
        <f t="shared" ref="I362:I374" si="34">G362*H362</f>
        <v>26</v>
      </c>
      <c r="J362" s="114">
        <v>18</v>
      </c>
      <c r="K362" s="98">
        <f t="shared" ref="K362:K374" si="35">I362*J362</f>
        <v>468</v>
      </c>
      <c r="L362" s="85"/>
      <c r="M362" s="98"/>
    </row>
    <row r="363" s="84" customFormat="1" spans="1:14">
      <c r="A363" s="96">
        <v>45955</v>
      </c>
      <c r="B363" s="97">
        <v>72</v>
      </c>
      <c r="C363" s="98">
        <v>516</v>
      </c>
      <c r="D363" s="98"/>
      <c r="E363" s="98"/>
      <c r="F363" s="99" t="s">
        <v>160</v>
      </c>
      <c r="G363" s="98">
        <v>1</v>
      </c>
      <c r="H363" s="98">
        <v>25</v>
      </c>
      <c r="I363" s="98">
        <f t="shared" si="34"/>
        <v>25</v>
      </c>
      <c r="J363" s="114">
        <v>18</v>
      </c>
      <c r="K363" s="114">
        <f t="shared" si="35"/>
        <v>450</v>
      </c>
      <c r="L363" s="85"/>
      <c r="M363" s="98"/>
    </row>
    <row r="364" s="83" customFormat="1" spans="1:14">
      <c r="A364" s="96">
        <v>45955</v>
      </c>
      <c r="B364" s="97">
        <v>72</v>
      </c>
      <c r="C364" s="98"/>
      <c r="D364" s="98"/>
      <c r="E364" s="98"/>
      <c r="F364" s="107" t="s">
        <v>129</v>
      </c>
      <c r="G364" s="98">
        <v>1</v>
      </c>
      <c r="H364" s="98">
        <v>180</v>
      </c>
      <c r="I364" s="98">
        <f t="shared" si="34"/>
        <v>180</v>
      </c>
      <c r="J364" s="114">
        <v>5.5</v>
      </c>
      <c r="K364" s="114">
        <f t="shared" si="35"/>
        <v>990</v>
      </c>
      <c r="L364" s="86">
        <f>SUM(K362:K364)</f>
        <v>1908</v>
      </c>
      <c r="M364" s="90"/>
      <c r="N364" s="141"/>
    </row>
    <row r="365" s="83" customFormat="1" spans="1:14">
      <c r="A365" s="96">
        <v>45955</v>
      </c>
      <c r="B365" s="97">
        <v>72</v>
      </c>
      <c r="C365" s="98" t="s">
        <v>21</v>
      </c>
      <c r="D365" s="98"/>
      <c r="E365" s="98"/>
      <c r="F365" s="99" t="s">
        <v>22</v>
      </c>
      <c r="G365" s="98">
        <v>2</v>
      </c>
      <c r="H365" s="98">
        <v>10</v>
      </c>
      <c r="I365" s="98">
        <f t="shared" si="34"/>
        <v>20</v>
      </c>
      <c r="J365" s="114">
        <v>18</v>
      </c>
      <c r="K365" s="114">
        <f t="shared" si="35"/>
        <v>360</v>
      </c>
      <c r="L365" s="86"/>
      <c r="M365" s="90"/>
    </row>
    <row r="366" s="83" customFormat="1" spans="1:14">
      <c r="A366" s="106">
        <v>45955</v>
      </c>
      <c r="B366" s="101">
        <v>77</v>
      </c>
      <c r="C366" s="90">
        <v>9803</v>
      </c>
      <c r="D366" s="90"/>
      <c r="E366" s="90"/>
      <c r="F366" s="105" t="s">
        <v>15</v>
      </c>
      <c r="G366" s="90">
        <v>5</v>
      </c>
      <c r="H366" s="90">
        <v>28</v>
      </c>
      <c r="I366" s="90">
        <f t="shared" si="34"/>
        <v>140</v>
      </c>
      <c r="J366" s="116">
        <v>9</v>
      </c>
      <c r="K366" s="116">
        <f t="shared" si="35"/>
        <v>1260</v>
      </c>
      <c r="L366" s="86"/>
      <c r="M366" s="90"/>
    </row>
    <row r="367" s="83" customFormat="1" spans="1:14">
      <c r="A367" s="106">
        <v>45955</v>
      </c>
      <c r="B367" s="101">
        <v>77</v>
      </c>
      <c r="C367" s="90" t="s">
        <v>212</v>
      </c>
      <c r="D367" s="90"/>
      <c r="E367" s="90"/>
      <c r="F367" s="105" t="s">
        <v>180</v>
      </c>
      <c r="G367" s="90">
        <v>1</v>
      </c>
      <c r="H367" s="90">
        <v>5</v>
      </c>
      <c r="I367" s="90">
        <f t="shared" si="34"/>
        <v>5</v>
      </c>
      <c r="J367" s="116">
        <v>18</v>
      </c>
      <c r="K367" s="116">
        <f t="shared" si="35"/>
        <v>90</v>
      </c>
      <c r="L367" s="86" t="s">
        <v>213</v>
      </c>
      <c r="M367" s="90"/>
    </row>
    <row r="368" s="84" customFormat="1" spans="1:14">
      <c r="A368" s="96">
        <v>45957</v>
      </c>
      <c r="B368" s="97">
        <v>83</v>
      </c>
      <c r="C368" s="98" t="s">
        <v>23</v>
      </c>
      <c r="D368" s="98"/>
      <c r="E368" s="98"/>
      <c r="F368" s="99" t="s">
        <v>24</v>
      </c>
      <c r="G368" s="98">
        <v>1</v>
      </c>
      <c r="H368" s="98">
        <v>20</v>
      </c>
      <c r="I368" s="98">
        <f t="shared" si="34"/>
        <v>20</v>
      </c>
      <c r="J368" s="114">
        <v>18</v>
      </c>
      <c r="K368" s="114">
        <f t="shared" si="35"/>
        <v>360</v>
      </c>
      <c r="L368" s="85"/>
      <c r="M368" s="98"/>
    </row>
    <row r="369" s="84" customFormat="1" spans="1:14">
      <c r="A369" s="96">
        <v>45957</v>
      </c>
      <c r="B369" s="97">
        <v>83</v>
      </c>
      <c r="C369" s="98" t="s">
        <v>21</v>
      </c>
      <c r="D369" s="98"/>
      <c r="E369" s="98"/>
      <c r="F369" s="99" t="s">
        <v>22</v>
      </c>
      <c r="G369" s="98">
        <v>2</v>
      </c>
      <c r="H369" s="98">
        <v>10</v>
      </c>
      <c r="I369" s="98">
        <f t="shared" si="34"/>
        <v>20</v>
      </c>
      <c r="J369" s="114">
        <v>18</v>
      </c>
      <c r="K369" s="114">
        <f t="shared" si="35"/>
        <v>360</v>
      </c>
      <c r="L369" s="85"/>
      <c r="M369" s="98"/>
    </row>
    <row r="370" s="84" customFormat="1" spans="1:14">
      <c r="A370" s="96">
        <v>45957</v>
      </c>
      <c r="B370" s="97">
        <v>83</v>
      </c>
      <c r="C370" s="98" t="s">
        <v>55</v>
      </c>
      <c r="D370" s="98"/>
      <c r="E370" s="98"/>
      <c r="F370" s="99" t="s">
        <v>14</v>
      </c>
      <c r="G370" s="98">
        <v>1</v>
      </c>
      <c r="H370" s="98">
        <v>180</v>
      </c>
      <c r="I370" s="98">
        <f t="shared" si="34"/>
        <v>180</v>
      </c>
      <c r="J370" s="114">
        <v>10.5</v>
      </c>
      <c r="K370" s="114">
        <f t="shared" si="35"/>
        <v>1890</v>
      </c>
      <c r="L370" s="85"/>
      <c r="M370" s="98">
        <f>SUM(K368:K370)</f>
        <v>2610</v>
      </c>
    </row>
    <row r="371" s="83" customFormat="1" spans="1:14">
      <c r="A371" s="106">
        <v>45958</v>
      </c>
      <c r="B371" s="101">
        <v>91</v>
      </c>
      <c r="C371" s="90">
        <v>516</v>
      </c>
      <c r="D371" s="90"/>
      <c r="E371" s="90"/>
      <c r="F371" s="105" t="s">
        <v>160</v>
      </c>
      <c r="G371" s="90">
        <v>1</v>
      </c>
      <c r="H371" s="90">
        <v>25</v>
      </c>
      <c r="I371" s="90">
        <f t="shared" si="34"/>
        <v>25</v>
      </c>
      <c r="J371" s="116">
        <v>18</v>
      </c>
      <c r="K371" s="116">
        <f t="shared" si="35"/>
        <v>450</v>
      </c>
      <c r="L371" s="86"/>
      <c r="M371" s="90"/>
    </row>
    <row r="372" s="84" customFormat="1" spans="1:14">
      <c r="A372" s="106">
        <v>45958</v>
      </c>
      <c r="B372" s="101">
        <v>91</v>
      </c>
      <c r="C372" s="90" t="s">
        <v>21</v>
      </c>
      <c r="D372" s="90"/>
      <c r="E372" s="90"/>
      <c r="F372" s="105" t="s">
        <v>22</v>
      </c>
      <c r="G372" s="90">
        <v>1</v>
      </c>
      <c r="H372" s="90">
        <v>10</v>
      </c>
      <c r="I372" s="90">
        <f t="shared" si="34"/>
        <v>10</v>
      </c>
      <c r="J372" s="116">
        <v>18</v>
      </c>
      <c r="K372" s="116">
        <f t="shared" si="35"/>
        <v>180</v>
      </c>
      <c r="L372" s="85">
        <f>SUM(K371:K372)</f>
        <v>630</v>
      </c>
      <c r="M372" s="98"/>
    </row>
    <row r="373" s="84" customFormat="1" spans="1:14">
      <c r="A373" s="96">
        <v>45961</v>
      </c>
      <c r="B373" s="97">
        <v>98</v>
      </c>
      <c r="C373" s="98" t="s">
        <v>212</v>
      </c>
      <c r="D373" s="98"/>
      <c r="E373" s="98"/>
      <c r="F373" s="99" t="s">
        <v>180</v>
      </c>
      <c r="G373" s="98">
        <v>1</v>
      </c>
      <c r="H373" s="98">
        <v>4</v>
      </c>
      <c r="I373" s="98">
        <f t="shared" si="34"/>
        <v>4</v>
      </c>
      <c r="J373" s="114">
        <v>18</v>
      </c>
      <c r="K373" s="114">
        <f t="shared" si="35"/>
        <v>72</v>
      </c>
      <c r="L373" s="85" t="s">
        <v>213</v>
      </c>
      <c r="M373" s="98"/>
    </row>
    <row r="374" s="84" customFormat="1" spans="1:14">
      <c r="A374" s="96">
        <v>45961</v>
      </c>
      <c r="B374" s="97">
        <v>98</v>
      </c>
      <c r="C374" s="98">
        <v>516</v>
      </c>
      <c r="D374" s="98"/>
      <c r="E374" s="98"/>
      <c r="F374" s="99" t="s">
        <v>160</v>
      </c>
      <c r="G374" s="98">
        <v>1</v>
      </c>
      <c r="H374" s="98">
        <v>27</v>
      </c>
      <c r="I374" s="98">
        <f t="shared" ref="I374:I392" si="36">G374*H374</f>
        <v>27</v>
      </c>
      <c r="J374" s="114">
        <v>18</v>
      </c>
      <c r="K374" s="114">
        <f t="shared" ref="K374:K392" si="37">I374*J374</f>
        <v>486</v>
      </c>
      <c r="L374" s="85"/>
      <c r="M374" s="98"/>
    </row>
    <row r="375" s="84" customFormat="1" spans="1:14">
      <c r="A375" s="96">
        <v>45961</v>
      </c>
      <c r="B375" s="97">
        <v>98</v>
      </c>
      <c r="C375" s="98" t="s">
        <v>21</v>
      </c>
      <c r="D375" s="98"/>
      <c r="E375" s="98"/>
      <c r="F375" s="99" t="s">
        <v>22</v>
      </c>
      <c r="G375" s="98">
        <v>1</v>
      </c>
      <c r="H375" s="98">
        <v>10</v>
      </c>
      <c r="I375" s="98">
        <f t="shared" si="36"/>
        <v>10</v>
      </c>
      <c r="J375" s="114">
        <v>18</v>
      </c>
      <c r="K375" s="114">
        <f t="shared" si="37"/>
        <v>180</v>
      </c>
      <c r="L375" s="85">
        <f>SUM(K374:K375)</f>
        <v>666</v>
      </c>
      <c r="M375" s="98"/>
    </row>
    <row r="376" s="84" customFormat="1" spans="1:14">
      <c r="A376" s="96">
        <v>45961</v>
      </c>
      <c r="B376" s="97">
        <v>98</v>
      </c>
      <c r="C376" s="98" t="s">
        <v>214</v>
      </c>
      <c r="D376" s="98"/>
      <c r="E376" s="98"/>
      <c r="F376" s="99" t="s">
        <v>31</v>
      </c>
      <c r="G376" s="98">
        <v>1</v>
      </c>
      <c r="H376" s="98">
        <v>7</v>
      </c>
      <c r="I376" s="98">
        <f t="shared" si="36"/>
        <v>7</v>
      </c>
      <c r="J376" s="114">
        <v>18</v>
      </c>
      <c r="K376" s="114">
        <f t="shared" si="37"/>
        <v>126</v>
      </c>
      <c r="L376" s="85" t="s">
        <v>205</v>
      </c>
      <c r="M376" s="131" t="s">
        <v>206</v>
      </c>
    </row>
    <row r="377" s="83" customFormat="1" spans="1:14">
      <c r="A377" s="106">
        <v>45971</v>
      </c>
      <c r="B377" s="101">
        <v>25</v>
      </c>
      <c r="C377" s="90" t="s">
        <v>53</v>
      </c>
      <c r="D377" s="90"/>
      <c r="E377" s="90"/>
      <c r="F377" s="109" t="s">
        <v>54</v>
      </c>
      <c r="G377" s="90">
        <v>2</v>
      </c>
      <c r="H377" s="90">
        <v>25</v>
      </c>
      <c r="I377" s="90">
        <f t="shared" si="36"/>
        <v>50</v>
      </c>
      <c r="J377" s="116">
        <v>14</v>
      </c>
      <c r="K377" s="116">
        <f t="shared" si="37"/>
        <v>700</v>
      </c>
      <c r="L377" s="86"/>
      <c r="M377" s="90"/>
    </row>
    <row r="378" s="84" customFormat="1" spans="1:14">
      <c r="A378" s="96">
        <v>45976</v>
      </c>
      <c r="B378" s="97">
        <v>42</v>
      </c>
      <c r="C378" s="98">
        <v>516</v>
      </c>
      <c r="D378" s="98"/>
      <c r="E378" s="98"/>
      <c r="F378" s="99" t="s">
        <v>160</v>
      </c>
      <c r="G378" s="98">
        <v>1</v>
      </c>
      <c r="H378" s="98">
        <v>26</v>
      </c>
      <c r="I378" s="98">
        <f t="shared" si="36"/>
        <v>26</v>
      </c>
      <c r="J378" s="114">
        <v>18</v>
      </c>
      <c r="K378" s="114">
        <f t="shared" si="37"/>
        <v>468</v>
      </c>
      <c r="L378" s="85"/>
      <c r="M378" s="98"/>
    </row>
    <row r="379" s="84" customFormat="1" spans="1:14">
      <c r="A379" s="96">
        <v>45976</v>
      </c>
      <c r="B379" s="97">
        <v>42</v>
      </c>
      <c r="C379" s="98" t="s">
        <v>21</v>
      </c>
      <c r="D379" s="98"/>
      <c r="E379" s="98"/>
      <c r="F379" s="99" t="s">
        <v>22</v>
      </c>
      <c r="G379" s="98">
        <v>1</v>
      </c>
      <c r="H379" s="98">
        <v>10</v>
      </c>
      <c r="I379" s="98">
        <f t="shared" si="36"/>
        <v>10</v>
      </c>
      <c r="J379" s="114">
        <v>18</v>
      </c>
      <c r="K379" s="114">
        <f t="shared" si="37"/>
        <v>180</v>
      </c>
      <c r="L379" s="85">
        <f t="shared" ref="L379:L382" si="38">SUM(K378:K379)</f>
        <v>648</v>
      </c>
      <c r="M379" s="98"/>
    </row>
    <row r="380" s="83" customFormat="1" spans="1:14">
      <c r="A380" s="106">
        <v>45978</v>
      </c>
      <c r="B380" s="101">
        <v>48</v>
      </c>
      <c r="C380" s="90">
        <v>9803</v>
      </c>
      <c r="D380" s="90"/>
      <c r="E380" s="90"/>
      <c r="F380" s="105" t="s">
        <v>15</v>
      </c>
      <c r="G380" s="90">
        <v>6</v>
      </c>
      <c r="H380" s="90">
        <v>28</v>
      </c>
      <c r="I380" s="90">
        <f t="shared" si="36"/>
        <v>168</v>
      </c>
      <c r="J380" s="116">
        <v>9</v>
      </c>
      <c r="K380" s="116">
        <f t="shared" si="37"/>
        <v>1512</v>
      </c>
      <c r="L380" s="86"/>
      <c r="M380" s="90"/>
    </row>
    <row r="381" s="83" customFormat="1" spans="1:14">
      <c r="A381" s="106">
        <v>45978</v>
      </c>
      <c r="B381" s="101">
        <v>48</v>
      </c>
      <c r="C381" s="90"/>
      <c r="D381" s="90"/>
      <c r="E381" s="90"/>
      <c r="F381" s="109" t="s">
        <v>129</v>
      </c>
      <c r="G381" s="90">
        <v>1</v>
      </c>
      <c r="H381" s="90">
        <v>180</v>
      </c>
      <c r="I381" s="90">
        <f t="shared" si="36"/>
        <v>180</v>
      </c>
      <c r="J381" s="116">
        <v>5.5</v>
      </c>
      <c r="K381" s="116">
        <f t="shared" si="37"/>
        <v>990</v>
      </c>
      <c r="L381" s="86">
        <f t="shared" si="38"/>
        <v>2502</v>
      </c>
      <c r="M381" s="90"/>
      <c r="N381" s="141"/>
    </row>
    <row r="382" s="84" customFormat="1" spans="1:14">
      <c r="A382" s="96">
        <v>45999</v>
      </c>
      <c r="B382" s="97">
        <v>16</v>
      </c>
      <c r="C382" s="98" t="s">
        <v>53</v>
      </c>
      <c r="D382" s="98"/>
      <c r="E382" s="98"/>
      <c r="F382" s="107" t="s">
        <v>54</v>
      </c>
      <c r="G382" s="98">
        <v>5</v>
      </c>
      <c r="H382" s="98">
        <v>25</v>
      </c>
      <c r="I382" s="98">
        <f t="shared" si="36"/>
        <v>125</v>
      </c>
      <c r="J382" s="114">
        <v>14</v>
      </c>
      <c r="K382" s="114">
        <f t="shared" si="37"/>
        <v>1750</v>
      </c>
      <c r="L382" s="85"/>
      <c r="M382" s="98"/>
    </row>
    <row r="383" s="84" customFormat="1" spans="1:14">
      <c r="A383" s="96">
        <v>45999</v>
      </c>
      <c r="B383" s="97">
        <v>16</v>
      </c>
      <c r="C383" s="98">
        <v>9803</v>
      </c>
      <c r="D383" s="98"/>
      <c r="E383" s="98"/>
      <c r="F383" s="99" t="s">
        <v>15</v>
      </c>
      <c r="G383" s="98">
        <v>6</v>
      </c>
      <c r="H383" s="98">
        <v>28</v>
      </c>
      <c r="I383" s="98">
        <f t="shared" si="36"/>
        <v>168</v>
      </c>
      <c r="J383" s="114">
        <v>9</v>
      </c>
      <c r="K383" s="114">
        <f t="shared" si="37"/>
        <v>1512</v>
      </c>
      <c r="L383" s="85"/>
      <c r="M383" s="98"/>
    </row>
    <row r="384" s="84" customFormat="1" spans="1:14">
      <c r="A384" s="96">
        <v>45999</v>
      </c>
      <c r="B384" s="97">
        <v>16</v>
      </c>
      <c r="C384" s="98"/>
      <c r="D384" s="98"/>
      <c r="E384" s="98"/>
      <c r="F384" s="107" t="s">
        <v>129</v>
      </c>
      <c r="G384" s="98">
        <v>1</v>
      </c>
      <c r="H384" s="98">
        <v>180</v>
      </c>
      <c r="I384" s="98">
        <f t="shared" si="36"/>
        <v>180</v>
      </c>
      <c r="J384" s="114">
        <v>5.5</v>
      </c>
      <c r="K384" s="114">
        <f t="shared" si="37"/>
        <v>990</v>
      </c>
      <c r="L384" s="85">
        <f>SUM(K382:K385)</f>
        <v>4036</v>
      </c>
      <c r="M384" s="98"/>
      <c r="N384" s="140"/>
    </row>
    <row r="385" s="84" customFormat="1" spans="1:14">
      <c r="A385" s="96">
        <v>45999</v>
      </c>
      <c r="B385" s="97">
        <v>16</v>
      </c>
      <c r="C385" s="98"/>
      <c r="D385" s="98"/>
      <c r="E385" s="98"/>
      <c r="F385" s="107" t="s">
        <v>215</v>
      </c>
      <c r="G385" s="98">
        <v>-1</v>
      </c>
      <c r="H385" s="98">
        <v>12</v>
      </c>
      <c r="I385" s="98">
        <f t="shared" si="36"/>
        <v>-12</v>
      </c>
      <c r="J385" s="114">
        <v>18</v>
      </c>
      <c r="K385" s="114">
        <f t="shared" si="37"/>
        <v>-216</v>
      </c>
      <c r="L385" s="85"/>
      <c r="M385" s="98"/>
      <c r="N385" s="140"/>
    </row>
    <row r="386" s="83" customFormat="1" spans="1:14">
      <c r="A386" s="106">
        <v>46001</v>
      </c>
      <c r="B386" s="101" t="s">
        <v>196</v>
      </c>
      <c r="C386" s="90">
        <v>9803</v>
      </c>
      <c r="D386" s="90"/>
      <c r="E386" s="90"/>
      <c r="F386" s="105" t="s">
        <v>15</v>
      </c>
      <c r="G386" s="90">
        <v>10</v>
      </c>
      <c r="H386" s="90">
        <v>28</v>
      </c>
      <c r="I386" s="90">
        <f t="shared" si="36"/>
        <v>280</v>
      </c>
      <c r="J386" s="116">
        <v>9</v>
      </c>
      <c r="K386" s="116">
        <f t="shared" si="37"/>
        <v>2520</v>
      </c>
      <c r="L386" s="86"/>
      <c r="M386" s="90"/>
    </row>
    <row r="387" s="83" customFormat="1" spans="1:14">
      <c r="A387" s="106">
        <v>46001</v>
      </c>
      <c r="B387" s="101" t="s">
        <v>196</v>
      </c>
      <c r="C387" s="90">
        <v>516</v>
      </c>
      <c r="D387" s="90"/>
      <c r="E387" s="90"/>
      <c r="F387" s="105" t="s">
        <v>160</v>
      </c>
      <c r="G387" s="90">
        <v>2</v>
      </c>
      <c r="H387" s="90">
        <v>25</v>
      </c>
      <c r="I387" s="90">
        <f t="shared" si="36"/>
        <v>50</v>
      </c>
      <c r="J387" s="116">
        <v>18</v>
      </c>
      <c r="K387" s="116">
        <f t="shared" si="37"/>
        <v>900</v>
      </c>
      <c r="L387" s="86"/>
      <c r="M387" s="90"/>
    </row>
    <row r="388" s="83" customFormat="1" spans="1:14">
      <c r="A388" s="106">
        <v>46001</v>
      </c>
      <c r="B388" s="101" t="s">
        <v>196</v>
      </c>
      <c r="C388" s="90" t="s">
        <v>21</v>
      </c>
      <c r="D388" s="90"/>
      <c r="E388" s="90"/>
      <c r="F388" s="105" t="s">
        <v>22</v>
      </c>
      <c r="G388" s="90">
        <v>3</v>
      </c>
      <c r="H388" s="90">
        <v>10</v>
      </c>
      <c r="I388" s="90">
        <f t="shared" si="36"/>
        <v>30</v>
      </c>
      <c r="J388" s="116">
        <v>18</v>
      </c>
      <c r="K388" s="116">
        <f t="shared" si="37"/>
        <v>540</v>
      </c>
      <c r="L388" s="86"/>
      <c r="M388" s="90"/>
    </row>
    <row r="389" s="83" customFormat="1" spans="1:14">
      <c r="A389" s="106">
        <v>46001</v>
      </c>
      <c r="B389" s="101" t="s">
        <v>196</v>
      </c>
      <c r="C389" s="90"/>
      <c r="D389" s="90"/>
      <c r="E389" s="90"/>
      <c r="F389" s="109" t="s">
        <v>129</v>
      </c>
      <c r="G389" s="90">
        <v>2</v>
      </c>
      <c r="H389" s="90">
        <v>180</v>
      </c>
      <c r="I389" s="90">
        <f t="shared" si="36"/>
        <v>360</v>
      </c>
      <c r="J389" s="116">
        <v>5.5</v>
      </c>
      <c r="K389" s="116">
        <f t="shared" si="37"/>
        <v>1980</v>
      </c>
      <c r="L389" s="86"/>
      <c r="M389" s="90"/>
      <c r="N389" s="141"/>
    </row>
    <row r="390" s="83" customFormat="1" spans="1:14">
      <c r="A390" s="106">
        <v>46001</v>
      </c>
      <c r="B390" s="101" t="s">
        <v>196</v>
      </c>
      <c r="C390" s="90" t="s">
        <v>55</v>
      </c>
      <c r="D390" s="90"/>
      <c r="E390" s="90"/>
      <c r="F390" s="105" t="s">
        <v>14</v>
      </c>
      <c r="G390" s="90">
        <v>1</v>
      </c>
      <c r="H390" s="90">
        <v>180</v>
      </c>
      <c r="I390" s="90">
        <f t="shared" si="36"/>
        <v>180</v>
      </c>
      <c r="J390" s="116">
        <v>10.5</v>
      </c>
      <c r="K390" s="116">
        <f t="shared" si="37"/>
        <v>1890</v>
      </c>
      <c r="L390" s="86"/>
      <c r="M390" s="90">
        <f>SUM(K386:K390)</f>
        <v>7830</v>
      </c>
    </row>
    <row r="391" s="84" customFormat="1" spans="1:14">
      <c r="A391" s="96">
        <v>46004</v>
      </c>
      <c r="B391" s="97">
        <v>34</v>
      </c>
      <c r="C391" s="98" t="s">
        <v>23</v>
      </c>
      <c r="D391" s="98"/>
      <c r="E391" s="98"/>
      <c r="F391" s="99" t="s">
        <v>24</v>
      </c>
      <c r="G391" s="98">
        <v>2</v>
      </c>
      <c r="H391" s="98">
        <v>20</v>
      </c>
      <c r="I391" s="98">
        <f t="shared" si="36"/>
        <v>40</v>
      </c>
      <c r="J391" s="114">
        <v>18</v>
      </c>
      <c r="K391" s="114">
        <f t="shared" si="37"/>
        <v>720</v>
      </c>
      <c r="L391" s="85"/>
      <c r="M391" s="98"/>
    </row>
    <row r="392" s="84" customFormat="1" spans="1:14">
      <c r="A392" s="96">
        <v>46004</v>
      </c>
      <c r="B392" s="97">
        <v>34</v>
      </c>
      <c r="C392" s="98" t="s">
        <v>21</v>
      </c>
      <c r="D392" s="98"/>
      <c r="E392" s="98"/>
      <c r="F392" s="99" t="s">
        <v>22</v>
      </c>
      <c r="G392" s="98">
        <v>2</v>
      </c>
      <c r="H392" s="98">
        <v>10</v>
      </c>
      <c r="I392" s="98">
        <f t="shared" si="36"/>
        <v>20</v>
      </c>
      <c r="J392" s="114">
        <v>18</v>
      </c>
      <c r="K392" s="114">
        <f t="shared" si="37"/>
        <v>360</v>
      </c>
      <c r="L392" s="85"/>
      <c r="M392" s="98"/>
    </row>
    <row r="393" spans="1:14">
      <c r="D393" s="142" t="s">
        <v>216</v>
      </c>
      <c r="E393" s="142"/>
      <c r="F393" s="142"/>
      <c r="G393" s="142"/>
    </row>
    <row r="394" s="83" customFormat="1" spans="1:14">
      <c r="A394" s="106">
        <v>46013</v>
      </c>
      <c r="B394" s="101">
        <v>51</v>
      </c>
      <c r="C394" s="90">
        <v>9803</v>
      </c>
      <c r="D394" s="90"/>
      <c r="E394" s="90"/>
      <c r="F394" s="105" t="s">
        <v>15</v>
      </c>
      <c r="G394" s="90">
        <v>10</v>
      </c>
      <c r="H394" s="90">
        <v>28</v>
      </c>
      <c r="I394" s="90">
        <f t="shared" ref="I394:I400" si="39">G394*H394</f>
        <v>280</v>
      </c>
      <c r="J394" s="116">
        <v>8.5</v>
      </c>
      <c r="K394" s="116">
        <f t="shared" ref="K394:K400" si="40">I394*J394</f>
        <v>2380</v>
      </c>
      <c r="L394" s="86"/>
      <c r="M394" s="90"/>
    </row>
    <row r="395" s="83" customFormat="1" spans="1:14">
      <c r="A395" s="106">
        <v>46013</v>
      </c>
      <c r="B395" s="101">
        <v>51</v>
      </c>
      <c r="C395" s="90">
        <v>516</v>
      </c>
      <c r="D395" s="90"/>
      <c r="E395" s="90"/>
      <c r="F395" s="105" t="s">
        <v>160</v>
      </c>
      <c r="G395" s="90">
        <v>4</v>
      </c>
      <c r="H395" s="90">
        <v>26</v>
      </c>
      <c r="I395" s="90">
        <f t="shared" si="39"/>
        <v>104</v>
      </c>
      <c r="J395" s="116">
        <v>17</v>
      </c>
      <c r="K395" s="116">
        <f t="shared" si="40"/>
        <v>1768</v>
      </c>
      <c r="L395" s="86"/>
      <c r="M395" s="90"/>
    </row>
    <row r="396" s="83" customFormat="1" spans="1:14">
      <c r="A396" s="106">
        <v>46013</v>
      </c>
      <c r="B396" s="101">
        <v>51</v>
      </c>
      <c r="C396" s="90" t="s">
        <v>21</v>
      </c>
      <c r="D396" s="90"/>
      <c r="E396" s="90"/>
      <c r="F396" s="105" t="s">
        <v>22</v>
      </c>
      <c r="G396" s="90">
        <v>5</v>
      </c>
      <c r="H396" s="90">
        <v>10</v>
      </c>
      <c r="I396" s="90">
        <f t="shared" si="39"/>
        <v>50</v>
      </c>
      <c r="J396" s="116">
        <v>17</v>
      </c>
      <c r="K396" s="116">
        <f t="shared" si="40"/>
        <v>850</v>
      </c>
      <c r="L396" s="86"/>
      <c r="M396" s="90"/>
    </row>
    <row r="397" s="83" customFormat="1" spans="1:14">
      <c r="A397" s="106">
        <v>46013</v>
      </c>
      <c r="B397" s="101">
        <v>51</v>
      </c>
      <c r="C397" s="90"/>
      <c r="D397" s="90"/>
      <c r="E397" s="90"/>
      <c r="F397" s="109" t="s">
        <v>129</v>
      </c>
      <c r="G397" s="90">
        <v>2</v>
      </c>
      <c r="H397" s="90">
        <v>180</v>
      </c>
      <c r="I397" s="90">
        <f t="shared" si="39"/>
        <v>360</v>
      </c>
      <c r="J397" s="116">
        <v>5.5</v>
      </c>
      <c r="K397" s="116">
        <f t="shared" si="40"/>
        <v>1980</v>
      </c>
      <c r="L397" s="86"/>
      <c r="M397" s="90">
        <f>SUM(K394:K397)</f>
        <v>6978</v>
      </c>
      <c r="N397" s="141"/>
    </row>
    <row r="398" s="84" customFormat="1" spans="1:14">
      <c r="A398" s="96">
        <v>46014</v>
      </c>
      <c r="B398" s="97">
        <v>53</v>
      </c>
      <c r="C398" s="98">
        <v>722</v>
      </c>
      <c r="D398" s="98"/>
      <c r="E398" s="98"/>
      <c r="F398" s="99" t="s">
        <v>176</v>
      </c>
      <c r="G398" s="98">
        <v>1</v>
      </c>
      <c r="H398" s="98">
        <v>5</v>
      </c>
      <c r="I398" s="98">
        <f t="shared" si="39"/>
        <v>5</v>
      </c>
      <c r="J398" s="114">
        <v>17</v>
      </c>
      <c r="K398" s="114">
        <f t="shared" si="40"/>
        <v>85</v>
      </c>
      <c r="L398" s="85"/>
      <c r="M398" s="98"/>
    </row>
    <row r="399" s="83" customFormat="1" spans="1:14">
      <c r="A399" s="106">
        <v>46016</v>
      </c>
      <c r="B399" s="101">
        <v>66</v>
      </c>
      <c r="C399" s="90" t="s">
        <v>23</v>
      </c>
      <c r="D399" s="90"/>
      <c r="E399" s="90"/>
      <c r="F399" s="105" t="s">
        <v>24</v>
      </c>
      <c r="G399" s="90">
        <v>2</v>
      </c>
      <c r="H399" s="90">
        <v>20</v>
      </c>
      <c r="I399" s="90">
        <f t="shared" si="39"/>
        <v>40</v>
      </c>
      <c r="J399" s="116">
        <v>18</v>
      </c>
      <c r="K399" s="116">
        <f t="shared" si="40"/>
        <v>720</v>
      </c>
      <c r="L399" s="86"/>
      <c r="M399" s="90"/>
    </row>
    <row r="400" s="83" customFormat="1" spans="1:14">
      <c r="A400" s="106">
        <v>46016</v>
      </c>
      <c r="B400" s="101">
        <v>66</v>
      </c>
      <c r="C400" s="90" t="s">
        <v>21</v>
      </c>
      <c r="D400" s="90"/>
      <c r="E400" s="90"/>
      <c r="F400" s="105" t="s">
        <v>22</v>
      </c>
      <c r="G400" s="90">
        <v>5</v>
      </c>
      <c r="H400" s="90">
        <v>10</v>
      </c>
      <c r="I400" s="90">
        <f t="shared" si="39"/>
        <v>50</v>
      </c>
      <c r="J400" s="116">
        <v>18</v>
      </c>
      <c r="K400" s="116">
        <f t="shared" si="40"/>
        <v>900</v>
      </c>
      <c r="L400" s="86"/>
      <c r="M400" s="90"/>
    </row>
    <row r="401" s="83" customFormat="1" spans="1:15">
      <c r="A401" s="106"/>
      <c r="B401" s="101"/>
      <c r="C401" s="102" t="s">
        <v>217</v>
      </c>
      <c r="D401" s="102"/>
      <c r="E401" s="102"/>
      <c r="F401" s="103" t="s">
        <v>218</v>
      </c>
      <c r="G401" s="102"/>
      <c r="H401" s="102"/>
      <c r="I401" s="90"/>
      <c r="J401" s="116"/>
      <c r="K401" s="116"/>
      <c r="L401" s="86"/>
      <c r="M401" s="90"/>
    </row>
    <row r="402" s="84" customFormat="1" spans="1:15">
      <c r="A402" s="96">
        <v>46017</v>
      </c>
      <c r="B402" s="97">
        <v>69</v>
      </c>
      <c r="C402" s="98" t="s">
        <v>53</v>
      </c>
      <c r="D402" s="98"/>
      <c r="E402" s="98"/>
      <c r="F402" s="107" t="s">
        <v>54</v>
      </c>
      <c r="G402" s="98">
        <v>3</v>
      </c>
      <c r="H402" s="98">
        <v>25</v>
      </c>
      <c r="I402" s="98">
        <f t="shared" ref="I402:I418" si="41">G402*H402</f>
        <v>75</v>
      </c>
      <c r="J402" s="114">
        <v>14</v>
      </c>
      <c r="K402" s="114">
        <f t="shared" ref="K402:K418" si="42">I402*J402</f>
        <v>1050</v>
      </c>
      <c r="L402" s="85"/>
      <c r="M402" s="98"/>
    </row>
    <row r="403" s="84" customFormat="1" spans="1:15">
      <c r="A403" s="96">
        <v>46017</v>
      </c>
      <c r="B403" s="97">
        <v>69</v>
      </c>
      <c r="C403" s="98">
        <v>516</v>
      </c>
      <c r="D403" s="98"/>
      <c r="E403" s="98"/>
      <c r="F403" s="99" t="s">
        <v>160</v>
      </c>
      <c r="G403" s="98">
        <v>2</v>
      </c>
      <c r="H403" s="98">
        <v>25</v>
      </c>
      <c r="I403" s="98">
        <f t="shared" si="41"/>
        <v>50</v>
      </c>
      <c r="J403" s="114">
        <v>17</v>
      </c>
      <c r="K403" s="114">
        <f t="shared" si="42"/>
        <v>850</v>
      </c>
      <c r="L403" s="85"/>
      <c r="M403" s="98"/>
    </row>
    <row r="404" s="84" customFormat="1" spans="1:15">
      <c r="A404" s="96">
        <v>46017</v>
      </c>
      <c r="B404" s="97">
        <v>69</v>
      </c>
      <c r="C404" s="98" t="s">
        <v>21</v>
      </c>
      <c r="D404" s="98"/>
      <c r="E404" s="98"/>
      <c r="F404" s="99" t="s">
        <v>22</v>
      </c>
      <c r="G404" s="98">
        <v>2</v>
      </c>
      <c r="H404" s="98">
        <v>10</v>
      </c>
      <c r="I404" s="98">
        <f t="shared" si="41"/>
        <v>20</v>
      </c>
      <c r="J404" s="114">
        <v>17</v>
      </c>
      <c r="K404" s="114">
        <f t="shared" si="42"/>
        <v>340</v>
      </c>
      <c r="L404" s="85">
        <f>SUM(K402:K404)</f>
        <v>2240</v>
      </c>
      <c r="M404" s="98"/>
    </row>
    <row r="405" s="83" customFormat="1" spans="1:15">
      <c r="A405" s="106">
        <v>46018</v>
      </c>
      <c r="B405" s="101" t="s">
        <v>219</v>
      </c>
      <c r="C405" s="90" t="s">
        <v>220</v>
      </c>
      <c r="D405" s="90"/>
      <c r="E405" s="90"/>
      <c r="F405" s="105" t="s">
        <v>114</v>
      </c>
      <c r="G405" s="90">
        <v>1</v>
      </c>
      <c r="H405" s="90">
        <v>5</v>
      </c>
      <c r="I405" s="90">
        <f t="shared" si="41"/>
        <v>5</v>
      </c>
      <c r="J405" s="116">
        <v>17</v>
      </c>
      <c r="K405" s="116">
        <f t="shared" si="42"/>
        <v>85</v>
      </c>
      <c r="L405" s="88" t="s">
        <v>221</v>
      </c>
      <c r="M405" s="102"/>
      <c r="N405" s="82"/>
      <c r="O405" s="82"/>
    </row>
    <row r="406" s="84" customFormat="1" spans="1:15">
      <c r="A406" s="96">
        <v>46021</v>
      </c>
      <c r="B406" s="97">
        <v>86</v>
      </c>
      <c r="C406" s="98" t="s">
        <v>172</v>
      </c>
      <c r="D406" s="98"/>
      <c r="E406" s="98"/>
      <c r="F406" s="99" t="s">
        <v>153</v>
      </c>
      <c r="G406" s="98">
        <v>1</v>
      </c>
      <c r="H406" s="98">
        <v>26</v>
      </c>
      <c r="I406" s="98">
        <f t="shared" si="41"/>
        <v>26</v>
      </c>
      <c r="J406" s="114">
        <v>18</v>
      </c>
      <c r="K406" s="114">
        <f t="shared" si="42"/>
        <v>468</v>
      </c>
      <c r="L406" s="85" t="s">
        <v>173</v>
      </c>
      <c r="M406" s="98"/>
    </row>
    <row r="407" s="84" customFormat="1" spans="1:15">
      <c r="A407" s="96">
        <v>46021</v>
      </c>
      <c r="B407" s="97">
        <v>86</v>
      </c>
      <c r="C407" s="98" t="s">
        <v>23</v>
      </c>
      <c r="D407" s="98"/>
      <c r="E407" s="98"/>
      <c r="F407" s="99" t="s">
        <v>24</v>
      </c>
      <c r="G407" s="98">
        <v>2</v>
      </c>
      <c r="H407" s="98">
        <v>20</v>
      </c>
      <c r="I407" s="98">
        <f t="shared" si="41"/>
        <v>40</v>
      </c>
      <c r="J407" s="114">
        <v>18</v>
      </c>
      <c r="K407" s="114">
        <f t="shared" si="42"/>
        <v>720</v>
      </c>
      <c r="L407" s="85"/>
      <c r="M407" s="98"/>
    </row>
    <row r="408" s="84" customFormat="1" spans="1:15">
      <c r="A408" s="96">
        <v>46021</v>
      </c>
      <c r="B408" s="97">
        <v>86</v>
      </c>
      <c r="C408" s="98" t="s">
        <v>156</v>
      </c>
      <c r="D408" s="98"/>
      <c r="E408" s="98"/>
      <c r="F408" s="99" t="s">
        <v>222</v>
      </c>
      <c r="G408" s="98">
        <v>1</v>
      </c>
      <c r="H408" s="98">
        <v>2.5</v>
      </c>
      <c r="I408" s="98">
        <f t="shared" si="41"/>
        <v>2.5</v>
      </c>
      <c r="J408" s="114">
        <v>18</v>
      </c>
      <c r="K408" s="114">
        <f t="shared" si="42"/>
        <v>45</v>
      </c>
      <c r="L408" s="85"/>
      <c r="M408" s="98"/>
    </row>
    <row r="409" s="84" customFormat="1" spans="1:15">
      <c r="A409" s="96">
        <v>46021</v>
      </c>
      <c r="B409" s="97">
        <v>86</v>
      </c>
      <c r="C409" s="98" t="s">
        <v>223</v>
      </c>
      <c r="D409" s="98"/>
      <c r="E409" s="98"/>
      <c r="F409" s="99" t="s">
        <v>224</v>
      </c>
      <c r="G409" s="98">
        <v>1</v>
      </c>
      <c r="H409" s="98">
        <v>25</v>
      </c>
      <c r="I409" s="98">
        <f t="shared" si="41"/>
        <v>25</v>
      </c>
      <c r="J409" s="114">
        <v>18</v>
      </c>
      <c r="K409" s="114">
        <f t="shared" si="42"/>
        <v>450</v>
      </c>
      <c r="L409" s="85"/>
      <c r="M409" s="98"/>
    </row>
    <row r="410" s="84" customFormat="1" spans="1:15">
      <c r="A410" s="96">
        <v>46021</v>
      </c>
      <c r="B410" s="97">
        <v>86</v>
      </c>
      <c r="C410" s="98" t="s">
        <v>146</v>
      </c>
      <c r="D410" s="98"/>
      <c r="E410" s="98"/>
      <c r="F410" s="99" t="s">
        <v>147</v>
      </c>
      <c r="G410" s="98">
        <v>1</v>
      </c>
      <c r="H410" s="98">
        <v>25</v>
      </c>
      <c r="I410" s="98">
        <f t="shared" si="41"/>
        <v>25</v>
      </c>
      <c r="J410" s="114">
        <v>18</v>
      </c>
      <c r="K410" s="114">
        <f t="shared" si="42"/>
        <v>450</v>
      </c>
      <c r="L410" s="99" t="s">
        <v>148</v>
      </c>
      <c r="M410" s="99"/>
      <c r="N410" s="99"/>
    </row>
    <row r="411" s="84" customFormat="1" spans="1:15">
      <c r="A411" s="96">
        <v>46021</v>
      </c>
      <c r="B411" s="97">
        <v>86</v>
      </c>
      <c r="C411" s="98" t="s">
        <v>21</v>
      </c>
      <c r="D411" s="98"/>
      <c r="E411" s="98"/>
      <c r="F411" s="99" t="s">
        <v>22</v>
      </c>
      <c r="G411" s="98">
        <v>5</v>
      </c>
      <c r="H411" s="98">
        <v>10</v>
      </c>
      <c r="I411" s="98">
        <f t="shared" si="41"/>
        <v>50</v>
      </c>
      <c r="J411" s="114">
        <v>18</v>
      </c>
      <c r="K411" s="114">
        <f t="shared" si="42"/>
        <v>900</v>
      </c>
      <c r="L411" s="85"/>
      <c r="M411" s="98">
        <f>SUM(K406:K411)</f>
        <v>3033</v>
      </c>
    </row>
    <row r="412" s="83" customFormat="1" spans="1:15">
      <c r="A412" s="106">
        <v>46027</v>
      </c>
      <c r="B412" s="101">
        <v>9</v>
      </c>
      <c r="C412" s="90">
        <v>9803</v>
      </c>
      <c r="D412" s="90"/>
      <c r="E412" s="90"/>
      <c r="F412" s="105" t="s">
        <v>15</v>
      </c>
      <c r="G412" s="90">
        <v>10</v>
      </c>
      <c r="H412" s="90">
        <v>28</v>
      </c>
      <c r="I412" s="90">
        <f t="shared" si="41"/>
        <v>280</v>
      </c>
      <c r="J412" s="116">
        <v>8.5</v>
      </c>
      <c r="K412" s="116">
        <f t="shared" si="42"/>
        <v>2380</v>
      </c>
      <c r="L412" s="86"/>
      <c r="M412" s="90"/>
    </row>
    <row r="413" s="84" customFormat="1" spans="1:15">
      <c r="A413" s="143">
        <v>46029</v>
      </c>
      <c r="B413" s="85" t="s">
        <v>225</v>
      </c>
      <c r="C413" s="98">
        <v>516</v>
      </c>
      <c r="D413" s="98"/>
      <c r="E413" s="98"/>
      <c r="F413" s="99" t="s">
        <v>160</v>
      </c>
      <c r="G413" s="98">
        <v>2</v>
      </c>
      <c r="H413" s="98">
        <v>25</v>
      </c>
      <c r="I413" s="98">
        <f t="shared" si="41"/>
        <v>50</v>
      </c>
      <c r="J413" s="114">
        <v>17</v>
      </c>
      <c r="K413" s="114">
        <f t="shared" si="42"/>
        <v>850</v>
      </c>
      <c r="L413" s="85"/>
      <c r="M413" s="85"/>
    </row>
    <row r="414" s="84" customFormat="1" spans="1:15">
      <c r="A414" s="143">
        <v>46029</v>
      </c>
      <c r="B414" s="85" t="s">
        <v>225</v>
      </c>
      <c r="C414" s="98">
        <v>722</v>
      </c>
      <c r="D414" s="98"/>
      <c r="E414" s="98"/>
      <c r="F414" s="99" t="s">
        <v>176</v>
      </c>
      <c r="G414" s="98">
        <v>1</v>
      </c>
      <c r="H414" s="98">
        <v>7</v>
      </c>
      <c r="I414" s="98">
        <f t="shared" si="41"/>
        <v>7</v>
      </c>
      <c r="J414" s="114">
        <v>17</v>
      </c>
      <c r="K414" s="114">
        <f t="shared" si="42"/>
        <v>119</v>
      </c>
      <c r="L414" s="85"/>
      <c r="M414" s="85"/>
    </row>
    <row r="415" s="84" customFormat="1" spans="1:15">
      <c r="A415" s="143">
        <v>46029</v>
      </c>
      <c r="B415" s="85" t="s">
        <v>225</v>
      </c>
      <c r="C415" s="98" t="s">
        <v>21</v>
      </c>
      <c r="D415" s="98"/>
      <c r="E415" s="98"/>
      <c r="F415" s="99" t="s">
        <v>22</v>
      </c>
      <c r="G415" s="98">
        <v>3</v>
      </c>
      <c r="H415" s="98">
        <v>10</v>
      </c>
      <c r="I415" s="98">
        <f t="shared" si="41"/>
        <v>30</v>
      </c>
      <c r="J415" s="114">
        <v>17</v>
      </c>
      <c r="K415" s="114">
        <f t="shared" si="42"/>
        <v>510</v>
      </c>
      <c r="L415" s="85">
        <f>SUM(K413:K415)</f>
        <v>1479</v>
      </c>
      <c r="M415" s="85"/>
    </row>
    <row r="416" s="83" customFormat="1" spans="1:15">
      <c r="A416" s="106">
        <v>46034</v>
      </c>
      <c r="B416" s="101" t="s">
        <v>226</v>
      </c>
      <c r="C416" s="90" t="s">
        <v>55</v>
      </c>
      <c r="D416" s="90"/>
      <c r="E416" s="90"/>
      <c r="F416" s="105" t="s">
        <v>14</v>
      </c>
      <c r="G416" s="90">
        <v>2</v>
      </c>
      <c r="H416" s="90">
        <v>18</v>
      </c>
      <c r="I416" s="90">
        <f t="shared" si="41"/>
        <v>36</v>
      </c>
      <c r="J416" s="116">
        <v>10.5</v>
      </c>
      <c r="K416" s="116">
        <f t="shared" si="42"/>
        <v>378</v>
      </c>
      <c r="L416" s="86" t="s">
        <v>227</v>
      </c>
      <c r="M416" s="90"/>
    </row>
    <row r="417" s="84" customFormat="1" spans="1:15">
      <c r="A417" s="96">
        <v>46042</v>
      </c>
      <c r="B417" s="97">
        <v>51</v>
      </c>
      <c r="C417" s="98" t="s">
        <v>152</v>
      </c>
      <c r="D417" s="98"/>
      <c r="E417" s="98"/>
      <c r="F417" s="99" t="s">
        <v>153</v>
      </c>
      <c r="G417" s="98">
        <v>1</v>
      </c>
      <c r="H417" s="98">
        <v>5</v>
      </c>
      <c r="I417" s="98">
        <f t="shared" si="41"/>
        <v>5</v>
      </c>
      <c r="J417" s="114">
        <v>17</v>
      </c>
      <c r="K417" s="114">
        <f t="shared" si="42"/>
        <v>85</v>
      </c>
      <c r="L417" s="85" t="s">
        <v>154</v>
      </c>
      <c r="M417" s="98"/>
    </row>
    <row r="418" s="83" customFormat="1" spans="1:15">
      <c r="A418" s="106">
        <v>46044</v>
      </c>
      <c r="B418" s="101">
        <v>63</v>
      </c>
      <c r="C418" s="90" t="s">
        <v>220</v>
      </c>
      <c r="D418" s="90"/>
      <c r="E418" s="90"/>
      <c r="F418" s="105" t="s">
        <v>114</v>
      </c>
      <c r="G418" s="90">
        <v>1</v>
      </c>
      <c r="H418" s="90">
        <v>4</v>
      </c>
      <c r="I418" s="90">
        <f t="shared" si="41"/>
        <v>4</v>
      </c>
      <c r="J418" s="116">
        <v>17</v>
      </c>
      <c r="K418" s="116">
        <f t="shared" si="42"/>
        <v>68</v>
      </c>
      <c r="L418" s="88" t="s">
        <v>221</v>
      </c>
      <c r="M418" s="102"/>
      <c r="N418" s="82"/>
      <c r="O418" s="82"/>
    </row>
    <row r="419" s="83" customFormat="1" spans="1:15">
      <c r="A419" s="106"/>
      <c r="B419" s="101"/>
      <c r="C419" s="90"/>
      <c r="D419" s="90"/>
      <c r="E419" s="90"/>
      <c r="F419" s="105"/>
      <c r="G419" s="90"/>
      <c r="H419" s="90"/>
      <c r="I419" s="90"/>
      <c r="J419" s="116"/>
      <c r="K419" s="116"/>
      <c r="L419" s="86"/>
      <c r="M419" s="90"/>
    </row>
    <row r="420" s="83" customFormat="1" spans="1:15">
      <c r="A420" s="106"/>
      <c r="B420" s="101"/>
      <c r="C420" s="90"/>
      <c r="D420" s="90"/>
      <c r="E420" s="90"/>
      <c r="F420" s="105"/>
      <c r="G420" s="90"/>
      <c r="H420" s="90"/>
      <c r="I420" s="90"/>
      <c r="J420" s="116"/>
      <c r="K420" s="116"/>
      <c r="L420" s="86"/>
      <c r="M420" s="90"/>
    </row>
    <row r="421" s="83" customFormat="1" spans="1:15">
      <c r="A421" s="106"/>
      <c r="B421" s="101"/>
      <c r="C421" s="90"/>
      <c r="D421" s="90"/>
      <c r="E421" s="90"/>
      <c r="F421" s="105"/>
      <c r="G421" s="90"/>
      <c r="H421" s="90"/>
      <c r="I421" s="90"/>
      <c r="J421" s="116"/>
      <c r="K421" s="116"/>
      <c r="L421" s="86"/>
      <c r="M421" s="90"/>
    </row>
    <row r="422" s="83" customFormat="1" spans="1:15">
      <c r="A422" s="106"/>
      <c r="B422" s="101"/>
      <c r="C422" s="90"/>
      <c r="D422" s="90"/>
      <c r="E422" s="90"/>
      <c r="F422" s="105"/>
      <c r="G422" s="90"/>
      <c r="H422" s="90"/>
      <c r="I422" s="90"/>
      <c r="J422" s="116"/>
      <c r="K422" s="116"/>
      <c r="L422" s="86"/>
      <c r="M422" s="90"/>
    </row>
    <row r="423" s="83" customFormat="1" spans="1:15">
      <c r="A423" s="106"/>
      <c r="B423" s="101"/>
      <c r="C423" s="90"/>
      <c r="D423" s="90"/>
      <c r="E423" s="90"/>
      <c r="F423" s="105"/>
      <c r="G423" s="90"/>
      <c r="H423" s="90"/>
      <c r="I423" s="90"/>
      <c r="J423" s="116"/>
      <c r="K423" s="116"/>
      <c r="L423" s="86"/>
      <c r="M423" s="90"/>
    </row>
    <row r="424" s="83" customFormat="1" spans="1:15">
      <c r="A424" s="106"/>
      <c r="B424" s="101"/>
      <c r="C424" s="90"/>
      <c r="D424" s="90"/>
      <c r="E424" s="90"/>
      <c r="F424" s="105"/>
      <c r="G424" s="90"/>
      <c r="H424" s="90"/>
      <c r="I424" s="90"/>
      <c r="J424" s="116"/>
      <c r="K424" s="116"/>
      <c r="L424" s="86"/>
      <c r="M424" s="90"/>
    </row>
    <row r="425" s="83" customFormat="1" spans="1:15">
      <c r="A425" s="106"/>
      <c r="B425" s="101"/>
      <c r="C425" s="90"/>
      <c r="D425" s="90"/>
      <c r="E425" s="90"/>
      <c r="F425" s="105"/>
      <c r="G425" s="90"/>
      <c r="H425" s="90"/>
      <c r="I425" s="90"/>
      <c r="J425" s="116"/>
      <c r="K425" s="116"/>
      <c r="L425" s="86"/>
      <c r="M425" s="90"/>
    </row>
    <row r="426" s="83" customFormat="1" spans="1:15">
      <c r="A426" s="106"/>
      <c r="B426" s="101"/>
      <c r="C426" s="90"/>
      <c r="D426" s="90"/>
      <c r="E426" s="90"/>
      <c r="F426" s="105"/>
      <c r="G426" s="90"/>
      <c r="H426" s="90"/>
      <c r="I426" s="90"/>
      <c r="J426" s="116"/>
      <c r="K426" s="116"/>
      <c r="L426" s="86"/>
      <c r="M426" s="90"/>
    </row>
    <row r="427" s="83" customFormat="1" spans="1:15">
      <c r="A427" s="106"/>
      <c r="B427" s="101"/>
      <c r="C427" s="90"/>
      <c r="D427" s="90"/>
      <c r="E427" s="90"/>
      <c r="F427" s="105"/>
      <c r="G427" s="90"/>
      <c r="H427" s="90"/>
      <c r="I427" s="90"/>
      <c r="J427" s="116"/>
      <c r="K427" s="116"/>
      <c r="L427" s="86"/>
      <c r="M427" s="90"/>
    </row>
    <row r="428" s="83" customFormat="1" spans="1:15">
      <c r="A428" s="106"/>
      <c r="B428" s="101"/>
      <c r="C428" s="90"/>
      <c r="D428" s="90"/>
      <c r="E428" s="90"/>
      <c r="F428" s="105"/>
      <c r="G428" s="90"/>
      <c r="H428" s="90"/>
      <c r="I428" s="90"/>
      <c r="J428" s="116"/>
      <c r="K428" s="116"/>
      <c r="L428" s="86"/>
      <c r="M428" s="90"/>
    </row>
    <row r="429" s="83" customFormat="1" spans="1:15">
      <c r="A429" s="106"/>
      <c r="B429" s="101"/>
      <c r="C429" s="90"/>
      <c r="D429" s="90"/>
      <c r="E429" s="90"/>
      <c r="F429" s="105"/>
      <c r="G429" s="90"/>
      <c r="H429" s="90"/>
      <c r="I429" s="90"/>
      <c r="J429" s="116"/>
      <c r="K429" s="116"/>
      <c r="L429" s="86"/>
      <c r="M429" s="90"/>
    </row>
    <row r="430" s="83" customFormat="1" spans="1:15">
      <c r="A430" s="106"/>
      <c r="B430" s="101"/>
      <c r="C430" s="90"/>
      <c r="D430" s="90"/>
      <c r="E430" s="90"/>
      <c r="F430" s="105"/>
      <c r="G430" s="90"/>
      <c r="H430" s="90"/>
      <c r="I430" s="90"/>
      <c r="J430" s="116"/>
      <c r="K430" s="116"/>
      <c r="L430" s="86"/>
      <c r="M430" s="90"/>
    </row>
    <row r="431" s="83" customFormat="1" spans="1:15">
      <c r="A431" s="106"/>
      <c r="B431" s="101"/>
      <c r="C431" s="90"/>
      <c r="D431" s="90"/>
      <c r="E431" s="90"/>
      <c r="F431" s="105"/>
      <c r="G431" s="90"/>
      <c r="H431" s="90"/>
      <c r="I431" s="90"/>
      <c r="J431" s="116"/>
      <c r="K431" s="116"/>
      <c r="L431" s="86"/>
      <c r="M431" s="90"/>
    </row>
    <row r="432" s="83" customFormat="1" spans="1:15">
      <c r="A432" s="106"/>
      <c r="B432" s="101"/>
      <c r="C432" s="90"/>
      <c r="D432" s="90"/>
      <c r="E432" s="90"/>
      <c r="F432" s="105"/>
      <c r="G432" s="90"/>
      <c r="H432" s="90"/>
      <c r="I432" s="90"/>
      <c r="J432" s="116"/>
      <c r="K432" s="116"/>
      <c r="L432" s="86"/>
      <c r="M432" s="90"/>
    </row>
    <row r="433" s="83" customFormat="1" spans="1:13">
      <c r="A433" s="106"/>
      <c r="B433" s="101"/>
      <c r="C433" s="90"/>
      <c r="D433" s="90"/>
      <c r="E433" s="90"/>
      <c r="F433" s="105"/>
      <c r="G433" s="90"/>
      <c r="H433" s="90"/>
      <c r="I433" s="90"/>
      <c r="J433" s="116"/>
      <c r="K433" s="116"/>
      <c r="L433" s="86"/>
      <c r="M433" s="90"/>
    </row>
    <row r="434" s="83" customFormat="1" spans="1:13">
      <c r="A434" s="106"/>
      <c r="B434" s="101"/>
      <c r="C434" s="90"/>
      <c r="D434" s="90"/>
      <c r="E434" s="90"/>
      <c r="F434" s="105"/>
      <c r="G434" s="90"/>
      <c r="H434" s="90"/>
      <c r="I434" s="90"/>
      <c r="J434" s="116"/>
      <c r="K434" s="116"/>
      <c r="L434" s="86"/>
      <c r="M434" s="90"/>
    </row>
    <row r="435" s="83" customFormat="1" spans="1:13">
      <c r="A435" s="106"/>
      <c r="B435" s="101"/>
      <c r="C435" s="90"/>
      <c r="D435" s="90"/>
      <c r="E435" s="90"/>
      <c r="F435" s="105"/>
      <c r="G435" s="90"/>
      <c r="H435" s="90"/>
      <c r="I435" s="90"/>
      <c r="J435" s="116"/>
      <c r="K435" s="116"/>
      <c r="L435" s="86"/>
      <c r="M435" s="90"/>
    </row>
    <row r="436" s="83" customFormat="1" spans="1:13">
      <c r="A436" s="106"/>
      <c r="B436" s="101"/>
      <c r="C436" s="90"/>
      <c r="D436" s="90"/>
      <c r="E436" s="90"/>
      <c r="F436" s="105"/>
      <c r="G436" s="90"/>
      <c r="H436" s="90"/>
      <c r="I436" s="90"/>
      <c r="J436" s="116"/>
      <c r="K436" s="116"/>
      <c r="L436" s="86"/>
      <c r="M436" s="90"/>
    </row>
  </sheetData>
  <autoFilter xmlns:etc="http://www.wps.cn/officeDocument/2017/etCustomData" ref="A52:N418" etc:filterBottomFollowUsedRange="0">
    <extLst/>
  </autoFilter>
  <mergeCells count="446">
    <mergeCell ref="A1:I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L219:N219"/>
    <mergeCell ref="C220:E220"/>
    <mergeCell ref="L220:N220"/>
    <mergeCell ref="C221:E221"/>
    <mergeCell ref="L221:N221"/>
    <mergeCell ref="C222:E222"/>
    <mergeCell ref="C223:E223"/>
    <mergeCell ref="C224:E224"/>
    <mergeCell ref="C225:E225"/>
    <mergeCell ref="L225:N225"/>
    <mergeCell ref="C226:E226"/>
    <mergeCell ref="C227:E227"/>
    <mergeCell ref="C228:E228"/>
    <mergeCell ref="C229:E229"/>
    <mergeCell ref="C230:E230"/>
    <mergeCell ref="L230:N230"/>
    <mergeCell ref="C231:E231"/>
    <mergeCell ref="L231:N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L263:N263"/>
    <mergeCell ref="C264:E264"/>
    <mergeCell ref="C265:E265"/>
    <mergeCell ref="C266:E266"/>
    <mergeCell ref="C267:E267"/>
    <mergeCell ref="L267:N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L280:N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D393:G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L410:N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N340:N34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V706"/>
  <sheetViews>
    <sheetView workbookViewId="0">
      <selection activeCell="N11" sqref="N11"/>
    </sheetView>
  </sheetViews>
  <sheetFormatPr defaultColWidth="9" defaultRowHeight="14.25"/>
  <cols>
    <col min="1" max="1" width="3.5" style="37" customWidth="1"/>
    <col min="2" max="2" width="2.25" customWidth="1"/>
    <col min="3" max="3" width="13.375" customWidth="1"/>
    <col min="4" max="4" width="29" customWidth="1"/>
    <col min="5" max="5" width="11.625" customWidth="1"/>
    <col min="6" max="6" width="12" style="38" customWidth="1"/>
    <col min="7" max="7" width="11.7583333333333" style="39" customWidth="1"/>
    <col min="8" max="8" width="12.875" style="38" customWidth="1"/>
    <col min="9" max="9" width="18.5" style="38" customWidth="1"/>
    <col min="10" max="10" width="13.125" customWidth="1"/>
    <col min="11" max="11" width="6" customWidth="1"/>
    <col min="12" max="12" width="2.125" customWidth="1"/>
  </cols>
  <sheetData>
    <row r="1" s="32" customFormat="1" ht="34" customHeight="1" spans="1:22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  <c r="K1" s="40"/>
      <c r="L1" s="40"/>
      <c r="M1" s="40"/>
    </row>
    <row r="2" s="33" customFormat="1" ht="34" customHeight="1" spans="1:22">
      <c r="A2" s="9" t="s">
        <v>229</v>
      </c>
      <c r="B2" s="9"/>
      <c r="C2" s="9"/>
      <c r="D2" s="9"/>
      <c r="E2" s="9"/>
      <c r="F2" s="9"/>
      <c r="G2" s="9"/>
      <c r="H2" s="9"/>
      <c r="I2" s="9"/>
      <c r="J2" s="9"/>
      <c r="K2" s="41"/>
      <c r="L2" s="41"/>
      <c r="M2" s="41"/>
    </row>
    <row r="3" s="34" customFormat="1" ht="26" customHeight="1" spans="1:22">
      <c r="A3" s="10" t="s">
        <v>230</v>
      </c>
      <c r="B3" s="10"/>
      <c r="C3" s="10"/>
      <c r="D3" s="10" t="s">
        <v>231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232</v>
      </c>
      <c r="K3" s="42"/>
      <c r="L3" s="42"/>
      <c r="M3" s="42"/>
    </row>
    <row r="4" s="34" customFormat="1" ht="26" customHeight="1" spans="1:22">
      <c r="A4" s="19" t="s">
        <v>220</v>
      </c>
      <c r="B4" s="19"/>
      <c r="C4" s="19"/>
      <c r="D4" s="7" t="s">
        <v>114</v>
      </c>
      <c r="E4" s="19">
        <v>1</v>
      </c>
      <c r="F4" s="19">
        <v>4</v>
      </c>
      <c r="G4" s="19">
        <f>E4*F4</f>
        <v>4</v>
      </c>
      <c r="H4" s="20">
        <v>17</v>
      </c>
      <c r="I4" s="20">
        <f>G4*H4</f>
        <v>68</v>
      </c>
      <c r="J4" s="15"/>
      <c r="K4" s="42"/>
      <c r="L4" s="42"/>
      <c r="M4" s="42"/>
    </row>
    <row r="5" s="33" customFormat="1" ht="24" customHeight="1" spans="1:22">
      <c r="A5" s="21"/>
      <c r="B5" s="21"/>
      <c r="C5" s="21"/>
      <c r="D5" s="22"/>
      <c r="E5" s="21"/>
      <c r="F5" s="21"/>
      <c r="G5" s="21"/>
      <c r="H5" s="23"/>
      <c r="I5" s="23"/>
      <c r="J5" s="16"/>
      <c r="K5" s="41"/>
      <c r="L5" s="41"/>
      <c r="M5" s="41"/>
    </row>
    <row r="6" s="33" customFormat="1" ht="24" customHeight="1" spans="1:22">
      <c r="A6" s="21"/>
      <c r="B6" s="21"/>
      <c r="C6" s="21"/>
      <c r="D6" s="22"/>
      <c r="E6" s="21"/>
      <c r="F6" s="21"/>
      <c r="G6" s="21"/>
      <c r="H6" s="23"/>
      <c r="I6" s="23"/>
      <c r="J6" s="16"/>
      <c r="K6" s="41"/>
      <c r="L6" s="41"/>
      <c r="M6" s="41"/>
    </row>
    <row r="7" s="33" customFormat="1" ht="24" customHeight="1" spans="1:22">
      <c r="A7" s="21"/>
      <c r="B7" s="21"/>
      <c r="C7" s="21"/>
      <c r="D7" s="22"/>
      <c r="E7" s="21"/>
      <c r="F7" s="21"/>
      <c r="G7" s="21"/>
      <c r="H7" s="23"/>
      <c r="I7" s="23"/>
      <c r="J7" s="16"/>
      <c r="K7" s="41"/>
      <c r="L7" s="41"/>
      <c r="M7" s="41"/>
    </row>
    <row r="8" s="33" customFormat="1" ht="24" customHeight="1" spans="1:22">
      <c r="A8" s="21"/>
      <c r="B8" s="21"/>
      <c r="C8" s="21"/>
      <c r="D8" s="22"/>
      <c r="E8" s="21"/>
      <c r="F8" s="21"/>
      <c r="G8" s="21"/>
      <c r="H8" s="23"/>
      <c r="I8" s="23"/>
      <c r="J8" s="16"/>
      <c r="K8" s="41"/>
      <c r="L8" s="41"/>
      <c r="M8" s="41"/>
    </row>
    <row r="9" s="33" customFormat="1" ht="24" customHeight="1" spans="1:22">
      <c r="A9" s="21"/>
      <c r="B9" s="21"/>
      <c r="C9" s="21"/>
      <c r="D9" s="22"/>
      <c r="E9" s="21"/>
      <c r="F9" s="21"/>
      <c r="G9" s="21"/>
      <c r="H9" s="23"/>
      <c r="I9" s="23"/>
      <c r="J9" s="16"/>
      <c r="K9" s="41"/>
      <c r="L9" s="41"/>
      <c r="M9" s="41"/>
    </row>
    <row r="10" s="33" customFormat="1" ht="24" customHeight="1" spans="1:22">
      <c r="A10" s="19"/>
      <c r="B10" s="19"/>
      <c r="C10" s="19"/>
      <c r="D10" s="7"/>
      <c r="E10" s="19"/>
      <c r="F10" s="19"/>
      <c r="G10" s="19"/>
      <c r="H10" s="20"/>
      <c r="I10" s="20"/>
      <c r="J10" s="16"/>
      <c r="K10" s="41"/>
      <c r="L10" s="41"/>
      <c r="M10" s="41"/>
    </row>
    <row r="11" s="33" customFormat="1" ht="24" customHeight="1" spans="1:22">
      <c r="A11" s="21"/>
      <c r="B11" s="21"/>
      <c r="C11" s="21"/>
      <c r="D11" s="22"/>
      <c r="E11" s="21"/>
      <c r="F11" s="21"/>
      <c r="G11" s="21"/>
      <c r="H11" s="23"/>
      <c r="I11" s="23"/>
      <c r="J11" s="16"/>
      <c r="K11" s="41"/>
      <c r="L11" s="41"/>
      <c r="M11" s="41"/>
    </row>
    <row r="12" s="33" customFormat="1" ht="24" customHeight="1" spans="1:22">
      <c r="A12" s="10"/>
      <c r="B12" s="10"/>
      <c r="C12" s="10"/>
      <c r="D12" s="22"/>
      <c r="E12" s="10"/>
      <c r="F12" s="10"/>
      <c r="G12" s="10"/>
      <c r="H12" s="23"/>
      <c r="I12" s="23"/>
      <c r="J12" s="16"/>
      <c r="K12" s="41"/>
      <c r="L12" s="41"/>
      <c r="M12" s="41"/>
    </row>
    <row r="13" s="33" customFormat="1" ht="24" customHeight="1" spans="1:22">
      <c r="A13" s="10"/>
      <c r="B13" s="10"/>
      <c r="C13" s="10"/>
      <c r="D13" s="22"/>
      <c r="E13" s="10"/>
      <c r="F13" s="10"/>
      <c r="G13" s="10"/>
      <c r="H13" s="23"/>
      <c r="I13" s="23"/>
      <c r="J13" s="16"/>
      <c r="K13" s="41"/>
      <c r="L13" s="41"/>
      <c r="M13" s="41"/>
    </row>
    <row r="14" s="33" customFormat="1" ht="24" customHeight="1" spans="1:22">
      <c r="A14" s="10" t="s">
        <v>233</v>
      </c>
      <c r="B14" s="10"/>
      <c r="C14" s="10"/>
      <c r="D14" s="10"/>
      <c r="E14" s="10">
        <f>SUM(E4:E13)</f>
        <v>1</v>
      </c>
      <c r="F14" s="10"/>
      <c r="G14" s="10"/>
      <c r="H14" s="10"/>
      <c r="I14" s="10"/>
      <c r="J14" s="16"/>
      <c r="K14" s="41"/>
      <c r="L14" s="41"/>
      <c r="M14" s="41"/>
      <c r="V14" s="33" t="s">
        <v>234</v>
      </c>
    </row>
    <row r="15" s="33" customFormat="1" ht="24" customHeight="1" spans="1:22">
      <c r="A15" s="43" t="s">
        <v>235</v>
      </c>
      <c r="B15" s="43"/>
      <c r="C15" s="43"/>
      <c r="D15" s="44">
        <f>I15</f>
        <v>68</v>
      </c>
      <c r="E15" s="44"/>
      <c r="F15" s="44"/>
      <c r="G15" s="44"/>
      <c r="H15" s="44"/>
      <c r="I15" s="30">
        <f>SUM(I4:I14)</f>
        <v>68</v>
      </c>
      <c r="J15" s="31"/>
      <c r="K15" s="41"/>
      <c r="L15" s="41"/>
      <c r="M15" s="41"/>
    </row>
    <row r="16" s="35" customFormat="1" ht="20" customHeight="1" spans="1:22">
      <c r="A16" s="45" t="s">
        <v>236</v>
      </c>
      <c r="B16" s="46" t="s">
        <v>237</v>
      </c>
      <c r="C16" s="46"/>
      <c r="D16" s="46"/>
      <c r="E16" s="46"/>
      <c r="F16" s="46"/>
      <c r="G16" s="46"/>
      <c r="H16" s="46"/>
      <c r="I16" s="46"/>
      <c r="J16" s="47"/>
      <c r="K16" s="48"/>
      <c r="L16" s="49"/>
    </row>
    <row r="17" s="35" customFormat="1" ht="20" customHeight="1" spans="1:18">
      <c r="A17" s="50"/>
      <c r="B17" s="51" t="s">
        <v>238</v>
      </c>
      <c r="C17" s="51"/>
      <c r="D17" s="51"/>
      <c r="E17" s="51"/>
      <c r="F17" s="51"/>
      <c r="G17" s="51"/>
      <c r="H17" s="51"/>
      <c r="I17" s="51"/>
      <c r="J17" s="52"/>
      <c r="K17" s="48"/>
      <c r="L17" s="49"/>
    </row>
    <row r="18" s="35" customFormat="1" ht="20" customHeight="1" spans="1:18">
      <c r="A18" s="50"/>
      <c r="B18" s="51"/>
      <c r="C18" s="51" t="s">
        <v>239</v>
      </c>
      <c r="D18" s="51"/>
      <c r="E18" s="51"/>
      <c r="F18" s="51"/>
      <c r="G18" s="51"/>
      <c r="H18" s="51"/>
      <c r="I18" s="51"/>
      <c r="J18" s="52"/>
      <c r="K18" s="48"/>
      <c r="L18" s="49"/>
      <c r="R18" s="35" t="s">
        <v>240</v>
      </c>
    </row>
    <row r="19" s="35" customFormat="1" ht="20" customHeight="1" spans="1:18">
      <c r="A19" s="53"/>
      <c r="B19" s="54" t="s">
        <v>241</v>
      </c>
      <c r="C19" s="54"/>
      <c r="D19" s="54"/>
      <c r="E19" s="54"/>
      <c r="F19" s="54"/>
      <c r="G19" s="54"/>
      <c r="H19" s="54"/>
      <c r="I19" s="54"/>
      <c r="J19" s="55"/>
      <c r="K19" s="48"/>
      <c r="L19" s="49"/>
      <c r="R19" s="35" t="s">
        <v>242</v>
      </c>
    </row>
    <row r="20" s="35" customFormat="1" ht="20" customHeight="1" spans="1:18">
      <c r="A20" s="56" t="s">
        <v>243</v>
      </c>
      <c r="B20" s="56"/>
      <c r="C20" s="56"/>
      <c r="D20" s="56"/>
      <c r="E20" s="56"/>
      <c r="F20" s="56"/>
      <c r="G20" s="56"/>
      <c r="H20" s="56"/>
      <c r="I20" s="56"/>
      <c r="J20" s="56"/>
      <c r="K20" s="48"/>
      <c r="L20" s="49"/>
    </row>
    <row r="21" s="35" customFormat="1" ht="20" customHeight="1" spans="1:18">
      <c r="A21" s="56" t="s">
        <v>244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49"/>
    </row>
    <row r="22" ht="19.5" customHeight="1" spans="1:18">
      <c r="A22" s="58"/>
      <c r="B22" s="59"/>
      <c r="C22" s="59"/>
      <c r="D22" s="59"/>
      <c r="E22" s="59"/>
      <c r="F22" s="59"/>
      <c r="G22" s="59"/>
      <c r="H22" s="59"/>
      <c r="I22" s="59"/>
      <c r="J22" s="60"/>
      <c r="K22" s="61"/>
      <c r="L22" s="59"/>
    </row>
    <row r="23" spans="1:18">
      <c r="A23" s="58"/>
      <c r="B23" s="59"/>
      <c r="C23" s="59"/>
      <c r="D23" s="59"/>
      <c r="E23" s="59"/>
      <c r="F23" s="59"/>
      <c r="G23" s="59"/>
      <c r="H23" s="59"/>
      <c r="I23" s="59"/>
      <c r="J23" s="60"/>
      <c r="K23" s="62"/>
      <c r="L23" s="63"/>
    </row>
    <row r="24" s="36" customFormat="1" ht="31.5" spans="1:18">
      <c r="A24" s="64" t="s">
        <v>245</v>
      </c>
      <c r="B24" s="64"/>
      <c r="C24" s="64"/>
      <c r="D24" s="64"/>
      <c r="E24" s="64"/>
      <c r="F24" s="64"/>
      <c r="G24" s="64"/>
      <c r="H24" s="64"/>
      <c r="I24" s="64"/>
      <c r="J24" s="64"/>
    </row>
    <row r="25" s="36" customFormat="1" ht="20.25" spans="1:18">
      <c r="A25" s="65" t="s">
        <v>246</v>
      </c>
      <c r="B25" s="65"/>
      <c r="C25" s="65"/>
      <c r="D25" s="65"/>
      <c r="E25" s="65"/>
      <c r="F25" s="65"/>
      <c r="G25" s="65"/>
      <c r="H25" s="65"/>
      <c r="I25" s="65"/>
      <c r="J25" s="65"/>
    </row>
    <row r="26" s="36" customFormat="1" ht="20.25" spans="1:18">
      <c r="A26" s="66" t="s">
        <v>230</v>
      </c>
      <c r="B26" s="66"/>
      <c r="C26" s="66"/>
      <c r="D26" s="66" t="s">
        <v>231</v>
      </c>
      <c r="E26" s="66" t="s">
        <v>6</v>
      </c>
      <c r="F26" s="66" t="s">
        <v>7</v>
      </c>
      <c r="G26" s="66" t="s">
        <v>8</v>
      </c>
      <c r="H26" s="66" t="s">
        <v>9</v>
      </c>
      <c r="I26" s="66" t="s">
        <v>10</v>
      </c>
      <c r="J26" s="67" t="s">
        <v>232</v>
      </c>
    </row>
    <row r="27" s="36" customFormat="1" ht="20.25" spans="1:18">
      <c r="A27" s="12"/>
      <c r="B27" s="12"/>
      <c r="C27" s="12"/>
      <c r="D27" s="13" t="s">
        <v>247</v>
      </c>
      <c r="E27" s="12">
        <v>1</v>
      </c>
      <c r="F27" s="12">
        <v>25</v>
      </c>
      <c r="G27" s="12">
        <f t="shared" ref="G27:G31" si="0">E27*F27</f>
        <v>25</v>
      </c>
      <c r="H27" s="14">
        <v>18</v>
      </c>
      <c r="I27" s="14">
        <f t="shared" ref="I27:I31" si="1">G27*H27</f>
        <v>450</v>
      </c>
      <c r="J27" s="68" t="s">
        <v>248</v>
      </c>
    </row>
    <row r="28" s="36" customFormat="1" ht="20.25" spans="1:18">
      <c r="A28" s="69">
        <v>45891</v>
      </c>
      <c r="B28" s="12"/>
      <c r="C28" s="12"/>
      <c r="D28" s="17" t="s">
        <v>54</v>
      </c>
      <c r="E28" s="12">
        <v>1</v>
      </c>
      <c r="F28" s="12">
        <v>25</v>
      </c>
      <c r="G28" s="12">
        <f t="shared" si="0"/>
        <v>25</v>
      </c>
      <c r="H28" s="14">
        <v>14</v>
      </c>
      <c r="I28" s="14">
        <f t="shared" si="1"/>
        <v>350</v>
      </c>
      <c r="J28" s="70"/>
    </row>
    <row r="29" s="36" customFormat="1" ht="20.25" spans="1:18">
      <c r="A29" s="69">
        <v>45891</v>
      </c>
      <c r="B29" s="12"/>
      <c r="C29" s="12"/>
      <c r="D29" s="18" t="s">
        <v>204</v>
      </c>
      <c r="E29" s="12">
        <v>1</v>
      </c>
      <c r="F29" s="12">
        <v>101</v>
      </c>
      <c r="G29" s="12">
        <f t="shared" si="0"/>
        <v>101</v>
      </c>
      <c r="H29" s="14">
        <v>18</v>
      </c>
      <c r="I29" s="14">
        <f t="shared" si="1"/>
        <v>1818</v>
      </c>
      <c r="J29" s="70"/>
    </row>
    <row r="30" s="36" customFormat="1" ht="20.25" spans="1:18">
      <c r="A30" s="69">
        <v>45891</v>
      </c>
      <c r="B30" s="12"/>
      <c r="C30" s="12"/>
      <c r="D30" s="17" t="s">
        <v>129</v>
      </c>
      <c r="E30" s="12">
        <v>2</v>
      </c>
      <c r="F30" s="12">
        <v>18</v>
      </c>
      <c r="G30" s="12">
        <f t="shared" si="0"/>
        <v>36</v>
      </c>
      <c r="H30" s="14">
        <v>5.5</v>
      </c>
      <c r="I30" s="14">
        <f t="shared" si="1"/>
        <v>198</v>
      </c>
      <c r="J30" s="70"/>
    </row>
    <row r="31" s="36" customFormat="1" ht="20.25" spans="1:18">
      <c r="A31" s="69">
        <v>45891</v>
      </c>
      <c r="B31" s="12"/>
      <c r="C31" s="12"/>
      <c r="D31" s="18" t="s">
        <v>14</v>
      </c>
      <c r="E31" s="12">
        <v>1</v>
      </c>
      <c r="F31" s="12">
        <v>82</v>
      </c>
      <c r="G31" s="12">
        <f t="shared" si="0"/>
        <v>82</v>
      </c>
      <c r="H31" s="14">
        <v>10.5</v>
      </c>
      <c r="I31" s="14">
        <f t="shared" si="1"/>
        <v>861</v>
      </c>
      <c r="J31" s="70"/>
    </row>
    <row r="32" s="36" customFormat="1" ht="20.25" spans="1:18">
      <c r="A32" s="12"/>
      <c r="B32" s="12"/>
      <c r="C32" s="12"/>
      <c r="D32" s="18"/>
      <c r="E32" s="12"/>
      <c r="F32" s="12"/>
      <c r="G32" s="12"/>
      <c r="H32" s="14"/>
      <c r="I32" s="14"/>
      <c r="J32" s="70"/>
    </row>
    <row r="33" s="36" customFormat="1" ht="20.25" spans="1:10">
      <c r="A33" s="12"/>
      <c r="B33" s="12"/>
      <c r="C33" s="12"/>
      <c r="D33" s="18"/>
      <c r="E33" s="12"/>
      <c r="F33" s="12"/>
      <c r="G33" s="12"/>
      <c r="H33" s="14"/>
      <c r="I33" s="14"/>
      <c r="J33" s="70"/>
    </row>
    <row r="34" s="36" customFormat="1" ht="20.25" spans="1:10">
      <c r="A34" s="12"/>
      <c r="B34" s="12"/>
      <c r="C34" s="12"/>
      <c r="D34" s="18"/>
      <c r="E34" s="12"/>
      <c r="F34" s="12"/>
      <c r="G34" s="12"/>
      <c r="H34" s="14"/>
      <c r="I34" s="14"/>
      <c r="J34" s="70"/>
    </row>
    <row r="35" s="36" customFormat="1" ht="20.25" spans="1:10">
      <c r="A35" s="66"/>
      <c r="B35" s="66"/>
      <c r="C35" s="66"/>
      <c r="D35" s="18"/>
      <c r="E35" s="66"/>
      <c r="F35" s="66"/>
      <c r="G35" s="66"/>
      <c r="H35" s="14"/>
      <c r="I35" s="14"/>
      <c r="J35" s="70"/>
    </row>
    <row r="36" s="36" customFormat="1" ht="20.25" spans="1:10">
      <c r="A36" s="71"/>
      <c r="B36" s="72"/>
      <c r="C36" s="73"/>
      <c r="D36" s="18"/>
      <c r="E36" s="66"/>
      <c r="F36" s="66"/>
      <c r="G36" s="66"/>
      <c r="H36" s="14"/>
      <c r="I36" s="14"/>
      <c r="J36" s="70"/>
    </row>
    <row r="37" s="36" customFormat="1" ht="20.25" spans="1:10">
      <c r="A37" s="71" t="s">
        <v>233</v>
      </c>
      <c r="B37" s="72"/>
      <c r="C37" s="73"/>
      <c r="D37" s="66"/>
      <c r="E37" s="66">
        <f>SUM(E28:E36)</f>
        <v>5</v>
      </c>
      <c r="F37" s="66"/>
      <c r="G37" s="66"/>
      <c r="H37" s="66"/>
      <c r="I37" s="66"/>
      <c r="J37" s="70"/>
    </row>
    <row r="38" s="36" customFormat="1" ht="20.25" spans="1:10">
      <c r="A38" s="74" t="s">
        <v>235</v>
      </c>
      <c r="B38" s="75"/>
      <c r="C38" s="75"/>
      <c r="D38" s="76">
        <f>I38</f>
        <v>3677</v>
      </c>
      <c r="E38" s="76"/>
      <c r="F38" s="76"/>
      <c r="G38" s="76"/>
      <c r="H38" s="76"/>
      <c r="I38" s="77">
        <f>SUM(I27:I37)</f>
        <v>3677</v>
      </c>
      <c r="J38" s="78"/>
    </row>
    <row r="39" spans="1:10">
      <c r="A39" s="79"/>
      <c r="B39" s="62"/>
      <c r="C39" s="62"/>
      <c r="D39" s="62"/>
      <c r="E39" s="62"/>
      <c r="F39" s="62"/>
      <c r="G39" s="80"/>
      <c r="H39" s="62"/>
      <c r="I39" s="62"/>
      <c r="J39" s="59"/>
    </row>
    <row r="40" spans="1:10">
      <c r="J40" s="62"/>
    </row>
    <row r="690" spans="3:3">
      <c r="C690">
        <v>556</v>
      </c>
    </row>
    <row r="706" spans="9:9">
      <c r="I706" s="38" t="s">
        <v>249</v>
      </c>
    </row>
  </sheetData>
  <mergeCells count="41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B22:I22"/>
    <mergeCell ref="B23:I23"/>
    <mergeCell ref="A24:J24"/>
    <mergeCell ref="A25:J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D38:H38"/>
    <mergeCell ref="A16:A19"/>
  </mergeCells>
  <printOptions horizontalCentered="1"/>
  <pageMargins left="0.393055555555556" right="0.196527777777778" top="0.196527777777778" bottom="0.393055555555556" header="0.196527777777778" footer="0.393055555555556"/>
  <pageSetup paperSize="9" scale="71" orientation="portrait" horizontalDpi="600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M19" sqref="M19"/>
    </sheetView>
  </sheetViews>
  <sheetFormatPr defaultColWidth="9" defaultRowHeight="14.25"/>
  <cols>
    <col min="1" max="1" width="3.5" customWidth="1"/>
    <col min="2" max="2" width="2.25" customWidth="1"/>
    <col min="3" max="3" width="13.375" customWidth="1"/>
    <col min="4" max="4" width="29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3.125" customWidth="1"/>
  </cols>
  <sheetData>
    <row r="1" ht="31.5" spans="1:10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ht="20.25" spans="1:10">
      <c r="A2" s="9" t="s">
        <v>250</v>
      </c>
      <c r="B2" s="9"/>
      <c r="C2" s="9"/>
      <c r="D2" s="9"/>
      <c r="E2" s="9"/>
      <c r="F2" s="9"/>
      <c r="G2" s="9"/>
      <c r="H2" s="9"/>
      <c r="I2" s="9"/>
      <c r="J2" s="9"/>
    </row>
    <row r="3" ht="20.25" spans="1:10">
      <c r="A3" s="10" t="s">
        <v>230</v>
      </c>
      <c r="B3" s="10"/>
      <c r="C3" s="10"/>
      <c r="D3" s="10" t="s">
        <v>231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1" t="s">
        <v>232</v>
      </c>
    </row>
    <row r="4" ht="20.25" spans="1:10">
      <c r="A4" s="12" t="s">
        <v>130</v>
      </c>
      <c r="B4" s="12"/>
      <c r="C4" s="12"/>
      <c r="D4" s="13" t="s">
        <v>199</v>
      </c>
      <c r="E4" s="12">
        <v>1</v>
      </c>
      <c r="F4" s="12">
        <v>25</v>
      </c>
      <c r="G4" s="12">
        <f t="shared" ref="G4:G9" si="0">E4*F4</f>
        <v>25</v>
      </c>
      <c r="H4" s="14">
        <v>18</v>
      </c>
      <c r="I4" s="14">
        <f t="shared" ref="I4:I9" si="1">G4*H4</f>
        <v>450</v>
      </c>
      <c r="J4" s="15"/>
    </row>
    <row r="5" ht="20.25" spans="1:10">
      <c r="A5" s="12" t="s">
        <v>130</v>
      </c>
      <c r="B5" s="12"/>
      <c r="C5" s="12"/>
      <c r="D5" s="13" t="s">
        <v>202</v>
      </c>
      <c r="E5" s="12">
        <v>-1</v>
      </c>
      <c r="F5" s="12">
        <v>8</v>
      </c>
      <c r="G5" s="12">
        <f t="shared" si="0"/>
        <v>-8</v>
      </c>
      <c r="H5" s="14"/>
      <c r="I5" s="14"/>
      <c r="J5" s="16" t="s">
        <v>251</v>
      </c>
    </row>
    <row r="6" ht="20.25" spans="1:10">
      <c r="A6" s="12" t="s">
        <v>130</v>
      </c>
      <c r="B6" s="12"/>
      <c r="C6" s="12"/>
      <c r="D6" s="17" t="s">
        <v>54</v>
      </c>
      <c r="E6" s="12">
        <v>1</v>
      </c>
      <c r="F6" s="12">
        <v>25</v>
      </c>
      <c r="G6" s="12">
        <f t="shared" si="0"/>
        <v>25</v>
      </c>
      <c r="H6" s="14">
        <v>14</v>
      </c>
      <c r="I6" s="14">
        <f t="shared" si="1"/>
        <v>350</v>
      </c>
      <c r="J6" s="16"/>
    </row>
    <row r="7" ht="20.25" spans="1:10">
      <c r="A7" s="12" t="s">
        <v>130</v>
      </c>
      <c r="B7" s="12"/>
      <c r="C7" s="12"/>
      <c r="D7" s="18" t="s">
        <v>204</v>
      </c>
      <c r="E7" s="12">
        <v>1</v>
      </c>
      <c r="F7" s="12">
        <v>101</v>
      </c>
      <c r="G7" s="12">
        <f t="shared" si="0"/>
        <v>101</v>
      </c>
      <c r="H7" s="14">
        <v>18</v>
      </c>
      <c r="I7" s="14">
        <f t="shared" si="1"/>
        <v>1818</v>
      </c>
      <c r="J7" s="16"/>
    </row>
    <row r="8" ht="20.25" spans="1:10">
      <c r="A8" s="12" t="s">
        <v>130</v>
      </c>
      <c r="B8" s="12"/>
      <c r="C8" s="12"/>
      <c r="D8" s="17" t="s">
        <v>129</v>
      </c>
      <c r="E8" s="12">
        <v>2</v>
      </c>
      <c r="F8" s="12">
        <v>18</v>
      </c>
      <c r="G8" s="12">
        <f t="shared" si="0"/>
        <v>36</v>
      </c>
      <c r="H8" s="14">
        <v>5.5</v>
      </c>
      <c r="I8" s="14">
        <f t="shared" si="1"/>
        <v>198</v>
      </c>
      <c r="J8" s="16"/>
    </row>
    <row r="9" ht="20.25" spans="1:10">
      <c r="A9" s="12" t="s">
        <v>130</v>
      </c>
      <c r="B9" s="12"/>
      <c r="C9" s="12"/>
      <c r="D9" s="18" t="s">
        <v>14</v>
      </c>
      <c r="E9" s="12">
        <v>1</v>
      </c>
      <c r="F9" s="12">
        <v>82</v>
      </c>
      <c r="G9" s="12">
        <f t="shared" si="0"/>
        <v>82</v>
      </c>
      <c r="H9" s="14">
        <v>10.5</v>
      </c>
      <c r="I9" s="14">
        <f t="shared" si="1"/>
        <v>861</v>
      </c>
      <c r="J9" s="16"/>
    </row>
    <row r="10" ht="20.25" spans="1:10">
      <c r="A10" s="19"/>
      <c r="B10" s="19"/>
      <c r="C10" s="19"/>
      <c r="D10" s="7"/>
      <c r="E10" s="19"/>
      <c r="F10" s="19"/>
      <c r="G10" s="19"/>
      <c r="H10" s="20"/>
      <c r="I10" s="20"/>
      <c r="J10" s="16"/>
    </row>
    <row r="11" ht="20.25" spans="1:10">
      <c r="A11" s="21"/>
      <c r="B11" s="21"/>
      <c r="C11" s="21"/>
      <c r="D11" s="22"/>
      <c r="E11" s="21"/>
      <c r="F11" s="21"/>
      <c r="G11" s="21"/>
      <c r="H11" s="23"/>
      <c r="I11" s="23"/>
      <c r="J11" s="16"/>
    </row>
    <row r="12" ht="20.25" spans="1:10">
      <c r="A12" s="10"/>
      <c r="B12" s="10"/>
      <c r="C12" s="10"/>
      <c r="D12" s="22"/>
      <c r="E12" s="10"/>
      <c r="F12" s="10"/>
      <c r="G12" s="10"/>
      <c r="H12" s="23"/>
      <c r="I12" s="23"/>
      <c r="J12" s="16"/>
    </row>
    <row r="13" ht="20.25" spans="1:10">
      <c r="A13" s="24"/>
      <c r="B13" s="25"/>
      <c r="C13" s="26"/>
      <c r="D13" s="22"/>
      <c r="E13" s="10"/>
      <c r="F13" s="10"/>
      <c r="G13" s="10"/>
      <c r="H13" s="23"/>
      <c r="I13" s="23"/>
      <c r="J13" s="16"/>
    </row>
    <row r="14" ht="20.25" spans="1:10">
      <c r="A14" s="24" t="s">
        <v>233</v>
      </c>
      <c r="B14" s="25"/>
      <c r="C14" s="26"/>
      <c r="D14" s="10"/>
      <c r="E14" s="10">
        <f>SUM(E4:E13)</f>
        <v>5</v>
      </c>
      <c r="F14" s="10"/>
      <c r="G14" s="10"/>
      <c r="H14" s="10"/>
      <c r="I14" s="10"/>
      <c r="J14" s="16"/>
    </row>
    <row r="15" ht="20.25" spans="1:10">
      <c r="A15" s="27" t="s">
        <v>235</v>
      </c>
      <c r="B15" s="28"/>
      <c r="C15" s="28"/>
      <c r="D15" s="29">
        <f>I15</f>
        <v>3677</v>
      </c>
      <c r="E15" s="29"/>
      <c r="F15" s="29"/>
      <c r="G15" s="29"/>
      <c r="H15" s="29"/>
      <c r="I15" s="30">
        <f>SUM(I4:I14)</f>
        <v>3677</v>
      </c>
      <c r="J15" s="31"/>
    </row>
  </sheetData>
  <mergeCells count="16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D15:H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19" sqref="I19"/>
    </sheetView>
  </sheetViews>
  <sheetFormatPr defaultColWidth="9" defaultRowHeight="14.25" outlineLevelCol="5"/>
  <cols>
    <col min="1" max="1" width="13.5" customWidth="1"/>
    <col min="2" max="2" width="20.875" customWidth="1"/>
    <col min="5" max="5" width="9.125"/>
  </cols>
  <sheetData>
    <row r="1" ht="15.75" customHeight="1" spans="1:6">
      <c r="A1" s="1"/>
      <c r="B1" s="1"/>
      <c r="C1" s="1"/>
      <c r="D1" s="1"/>
      <c r="E1" s="1"/>
      <c r="F1" s="1"/>
    </row>
    <row r="2" ht="20.25" spans="1:6">
      <c r="A2" s="2" t="s">
        <v>252</v>
      </c>
      <c r="B2" s="2" t="s">
        <v>253</v>
      </c>
      <c r="C2" s="2" t="s">
        <v>254</v>
      </c>
      <c r="D2" s="2"/>
      <c r="E2" s="2" t="s">
        <v>255</v>
      </c>
      <c r="F2" s="2" t="s">
        <v>11</v>
      </c>
    </row>
    <row r="3" ht="18.75" spans="1:6">
      <c r="A3" s="3">
        <v>9803</v>
      </c>
      <c r="B3" s="3" t="s">
        <v>15</v>
      </c>
      <c r="C3" s="4">
        <v>28</v>
      </c>
      <c r="D3" s="4" t="s">
        <v>256</v>
      </c>
      <c r="E3" s="5">
        <v>9</v>
      </c>
      <c r="F3" s="3"/>
    </row>
    <row r="4" ht="18.75" spans="1:6">
      <c r="A4" s="3" t="s">
        <v>27</v>
      </c>
      <c r="B4" s="3" t="s">
        <v>28</v>
      </c>
      <c r="C4" s="4">
        <v>25</v>
      </c>
      <c r="D4" s="4" t="s">
        <v>256</v>
      </c>
      <c r="E4" s="5">
        <v>12</v>
      </c>
      <c r="F4" s="3"/>
    </row>
    <row r="5" ht="18.75" spans="1:6">
      <c r="A5" s="6" t="s">
        <v>34</v>
      </c>
      <c r="B5" s="6" t="s">
        <v>35</v>
      </c>
      <c r="C5" s="4">
        <v>20</v>
      </c>
      <c r="D5" s="4" t="s">
        <v>256</v>
      </c>
      <c r="E5" s="5">
        <v>12</v>
      </c>
      <c r="F5" s="3"/>
    </row>
    <row r="6" ht="18.75" spans="1:6">
      <c r="A6" s="3" t="s">
        <v>53</v>
      </c>
      <c r="B6" s="3" t="s">
        <v>54</v>
      </c>
      <c r="C6" s="4">
        <v>25</v>
      </c>
      <c r="D6" s="4" t="s">
        <v>256</v>
      </c>
      <c r="E6" s="5">
        <v>14</v>
      </c>
      <c r="F6" s="3"/>
    </row>
    <row r="7" ht="18.75" spans="1:6">
      <c r="A7" s="3"/>
      <c r="B7" s="3" t="s">
        <v>257</v>
      </c>
      <c r="C7" s="4">
        <v>25</v>
      </c>
      <c r="D7" s="4" t="s">
        <v>256</v>
      </c>
      <c r="E7" s="5">
        <v>18</v>
      </c>
      <c r="F7" s="3"/>
    </row>
    <row r="8" ht="18.75" spans="1:6">
      <c r="A8" s="3" t="s">
        <v>23</v>
      </c>
      <c r="B8" s="3" t="s">
        <v>258</v>
      </c>
      <c r="C8" s="4">
        <v>20</v>
      </c>
      <c r="D8" s="4" t="s">
        <v>256</v>
      </c>
      <c r="E8" s="5">
        <v>18</v>
      </c>
      <c r="F8" s="3"/>
    </row>
    <row r="9" ht="18.75" spans="1:6">
      <c r="A9" s="3"/>
      <c r="B9" s="3" t="s">
        <v>22</v>
      </c>
      <c r="C9" s="4">
        <v>20</v>
      </c>
      <c r="D9" s="4" t="s">
        <v>256</v>
      </c>
      <c r="E9" s="5">
        <v>18</v>
      </c>
      <c r="F9" s="3"/>
    </row>
    <row r="10" ht="18.75" spans="1:6">
      <c r="A10" s="3"/>
      <c r="B10" s="3" t="s">
        <v>259</v>
      </c>
      <c r="C10" s="4">
        <v>20</v>
      </c>
      <c r="D10" s="4" t="s">
        <v>256</v>
      </c>
      <c r="E10" s="5">
        <v>22</v>
      </c>
      <c r="F10" s="3"/>
    </row>
    <row r="11" ht="18.75" spans="1:6">
      <c r="A11" s="1"/>
      <c r="B11" s="1" t="s">
        <v>260</v>
      </c>
      <c r="C11" s="4">
        <v>180</v>
      </c>
      <c r="D11" s="4" t="s">
        <v>256</v>
      </c>
      <c r="E11" s="5">
        <v>10.5</v>
      </c>
      <c r="F11" s="1"/>
    </row>
    <row r="12" ht="18.75" spans="1:6">
      <c r="A12" s="1"/>
      <c r="B12" s="1" t="s">
        <v>76</v>
      </c>
      <c r="C12" s="4">
        <v>13</v>
      </c>
      <c r="D12" s="4" t="s">
        <v>256</v>
      </c>
      <c r="E12" s="5">
        <v>15.5</v>
      </c>
      <c r="F12" s="1"/>
    </row>
    <row r="13" ht="18.75" spans="1:6">
      <c r="A13" s="1" t="s">
        <v>261</v>
      </c>
      <c r="B13" s="1" t="s">
        <v>262</v>
      </c>
      <c r="C13" s="4">
        <v>21</v>
      </c>
      <c r="D13" s="4" t="s">
        <v>256</v>
      </c>
      <c r="E13" s="5">
        <v>18</v>
      </c>
      <c r="F13" s="1"/>
    </row>
    <row r="14" ht="20.25" spans="1:6">
      <c r="A14" s="1"/>
      <c r="B14" s="7" t="s">
        <v>70</v>
      </c>
      <c r="C14" s="1">
        <v>18</v>
      </c>
      <c r="D14" s="4" t="s">
        <v>256</v>
      </c>
      <c r="E14" s="5">
        <v>14.5</v>
      </c>
      <c r="F14" s="1"/>
    </row>
    <row r="15" ht="20.25" spans="1:6">
      <c r="A15" s="1"/>
      <c r="B15" s="7" t="s">
        <v>71</v>
      </c>
      <c r="C15" s="1">
        <v>20</v>
      </c>
      <c r="D15" s="4" t="s">
        <v>256</v>
      </c>
      <c r="E15" s="5">
        <v>18</v>
      </c>
      <c r="F15" s="1"/>
    </row>
  </sheetData>
  <mergeCells count="1">
    <mergeCell ref="C2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25出货</vt:lpstr>
      <vt:lpstr>七彩乐园</vt:lpstr>
      <vt:lpstr>Sheet1</vt:lpstr>
      <vt:lpstr>已调价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2022-07-15T09:38:00Z</cp:lastPrinted>
  <dcterms:modified xsi:type="dcterms:W3CDTF">2026-01-22T03:13:32Z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6846A1B4621D47DE8ADFED850AFFFE70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