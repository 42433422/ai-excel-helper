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 activeTab="1"/>
  </bookViews>
  <sheets>
    <sheet name="出货" sheetId="24" r:id="rId1"/>
    <sheet name="出货总数尾数控制" sheetId="29" r:id="rId2"/>
    <sheet name="澜宇电视柜" sheetId="23" r:id="rId3"/>
    <sheet name="报价" sheetId="25" r:id="rId4"/>
    <sheet name="对账单" sheetId="27" r:id="rId5"/>
    <sheet name="回款明细" sheetId="28" r:id="rId6"/>
  </sheets>
  <definedNames>
    <definedName name="_xlnm._FilterDatabase" localSheetId="0" hidden="1">出货!$A$3:$O$270</definedName>
    <definedName name="_xlnm.Print_Area" localSheetId="2">澜宇电视柜!$A$1:$J$20</definedName>
    <definedName name="_xlnm.Print_Area" localSheetId="4">对账单!$A$1:$E$9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<sst xmlns="http://schemas.openxmlformats.org/spreadsheetml/2006/main" count="1147" uniqueCount="199">
  <si>
    <t>6月</t>
  </si>
  <si>
    <t>6月13-7月22</t>
  </si>
  <si>
    <t>7月22-8月25</t>
  </si>
  <si>
    <t>25出货</t>
  </si>
  <si>
    <t>金额合计</t>
  </si>
  <si>
    <t>厂名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</si>
  <si>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</si>
  <si>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</si>
  <si>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</si>
  <si>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</si>
  <si>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</si>
  <si>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</si>
  <si>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</si>
  <si>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</si>
  <si>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</t>
  </si>
  <si>
    <t>澜宇</t>
  </si>
  <si>
    <t>PE白底漆</t>
  </si>
  <si>
    <t>627B</t>
  </si>
  <si>
    <t>PE封闭底漆</t>
  </si>
  <si>
    <t>018A</t>
  </si>
  <si>
    <t>PE白底漆稀释剂</t>
  </si>
  <si>
    <t>900F</t>
  </si>
  <si>
    <t>PU面漆稀释剂</t>
  </si>
  <si>
    <t>402-2310A</t>
  </si>
  <si>
    <t>PU亮光灰白色漆</t>
  </si>
  <si>
    <t>402-2310B</t>
  </si>
  <si>
    <t>PU哑光灰白色漆</t>
  </si>
  <si>
    <t>402-2739A</t>
  </si>
  <si>
    <t>PU亮光浅灰色漆</t>
  </si>
  <si>
    <t>402-2739B</t>
  </si>
  <si>
    <t>PU哑光浅灰色漆</t>
  </si>
  <si>
    <t>LY525</t>
  </si>
  <si>
    <t>PU亮光固化剂</t>
  </si>
  <si>
    <t>LY303</t>
  </si>
  <si>
    <t>PU哑光固化剂</t>
  </si>
  <si>
    <t>5003-2679</t>
  </si>
  <si>
    <t>PU哑光阳光黄色漆</t>
  </si>
  <si>
    <t>5515-2268</t>
  </si>
  <si>
    <t>PU哑光深银灰金属漆</t>
  </si>
  <si>
    <t>402-2651</t>
  </si>
  <si>
    <t>018AA</t>
  </si>
  <si>
    <t>PE封固底漆稀释剂</t>
  </si>
  <si>
    <t>76号</t>
  </si>
  <si>
    <t>6827BE货：定制见25/6生产单</t>
  </si>
  <si>
    <t>23/6退</t>
  </si>
  <si>
    <t>修边漆不开单</t>
  </si>
  <si>
    <t>NC米黄修边漆</t>
  </si>
  <si>
    <t>样油</t>
  </si>
  <si>
    <t>换货</t>
  </si>
  <si>
    <t>6827BE货：定制见1/7生产单</t>
  </si>
  <si>
    <t>见3/7生产单</t>
  </si>
  <si>
    <t>5517-2117</t>
  </si>
  <si>
    <t>PU哑光香槟金属漆</t>
  </si>
  <si>
    <t xml:space="preserve"> 已调价 14/KG(含包装）QC珠光粉：2+0.3:7900+0.5：1017稀（807A：1+0.5:1017银粉）+16:3705+1:1/2浆）</t>
  </si>
  <si>
    <t>退货</t>
  </si>
  <si>
    <t>于7/7日已减单：5桶+2桶：14/7</t>
  </si>
  <si>
    <t>换货（定制见7/7生产单）</t>
  </si>
  <si>
    <t>换货（定制见3/7生产单</t>
  </si>
  <si>
    <t>402-2651B</t>
  </si>
  <si>
    <t>5515-2200</t>
  </si>
  <si>
    <t>PU哑光深灰金属漆</t>
  </si>
  <si>
    <t>8804C-725</t>
  </si>
  <si>
    <t>PU哑光浅粉色漆</t>
  </si>
  <si>
    <t>725两个颜色一样只是编号不一样</t>
  </si>
  <si>
    <t>8804H-725</t>
  </si>
  <si>
    <t>喷塑料侧板</t>
  </si>
  <si>
    <t>5/7换货7桶=</t>
  </si>
  <si>
    <t>7/7日已减单：5桶+2桶：14/7</t>
  </si>
  <si>
    <t>见21/7生产单</t>
  </si>
  <si>
    <t>457-2191</t>
  </si>
  <si>
    <t>PU亮光深灰金属漆</t>
  </si>
  <si>
    <t>27/7老板送</t>
  </si>
  <si>
    <t>85-120</t>
  </si>
  <si>
    <t>PU哑光灰兰色漆</t>
  </si>
  <si>
    <t>干板样</t>
  </si>
  <si>
    <t>19/8改的货：见配方</t>
  </si>
  <si>
    <t>原油改浓度：加0.5KG3号浆</t>
  </si>
  <si>
    <t>4/9送</t>
  </si>
  <si>
    <t>见配方</t>
  </si>
  <si>
    <t>4/9 送未签单</t>
  </si>
  <si>
    <t>5013-2235</t>
  </si>
  <si>
    <t>PU哑光深灰色漆</t>
  </si>
  <si>
    <t>6603-661</t>
  </si>
  <si>
    <t>PU亮光色漆（喷塑料侧板）</t>
  </si>
  <si>
    <t>从17/9起报价已调：打单须按报价表</t>
  </si>
  <si>
    <t>用特价基料调</t>
  </si>
  <si>
    <t>8804D-010</t>
  </si>
  <si>
    <t>PU哑光暖色色漆</t>
  </si>
  <si>
    <t>特价402-2739B</t>
  </si>
  <si>
    <t>已调价</t>
  </si>
  <si>
    <t>从24/9日起深色按报价打单 浅色均按特价打单</t>
  </si>
  <si>
    <t>可以直接喷塑料侧板</t>
  </si>
  <si>
    <t>PU哑光黑磨砂面漆</t>
  </si>
  <si>
    <t>19号</t>
  </si>
  <si>
    <t>5515-161</t>
  </si>
  <si>
    <t>PU哑光深灰银珠漆</t>
  </si>
  <si>
    <t>第一次调</t>
  </si>
  <si>
    <t>见21/10改的配方</t>
  </si>
  <si>
    <t>NC</t>
  </si>
  <si>
    <t>修边漆稀释剂</t>
  </si>
  <si>
    <t>NC稀释剂</t>
  </si>
  <si>
    <t>25-1022</t>
  </si>
  <si>
    <t>PU哑光米黄色漆</t>
  </si>
  <si>
    <t>22/10用特价基料调</t>
  </si>
  <si>
    <t>见4/11改的配方</t>
  </si>
  <si>
    <t>澜宇每次打单须核实越少越好</t>
  </si>
  <si>
    <t>5011-2250</t>
  </si>
  <si>
    <t>8/12已调价:下批出JW305货</t>
  </si>
  <si>
    <t>16/12已调价</t>
  </si>
  <si>
    <t>16/12已调价:下批出JW305货</t>
  </si>
  <si>
    <t>澜宇2026年01月02日-01月26日 购货明细</t>
  </si>
  <si>
    <t>购货（付款）日期</t>
  </si>
  <si>
    <t>购货金额/元</t>
  </si>
  <si>
    <t>已付款金额/元</t>
  </si>
  <si>
    <t>期末欠款金额/元</t>
  </si>
  <si>
    <t>备注</t>
  </si>
  <si>
    <t>截止1月26日购货款金额合计</t>
  </si>
  <si>
    <t>澜宇2025年11月26日-12月26日 购货明细</t>
  </si>
  <si>
    <t>截止12月26日购货款金额合计</t>
  </si>
  <si>
    <t>澜宇2025年10月27日-11月22日 购货明细</t>
  </si>
  <si>
    <t>截止11月19日购货款金额合计</t>
  </si>
  <si>
    <t>成都国圣工业有限公司（五星花）送货单</t>
  </si>
  <si>
    <t>购货单位（乙方）：澜宇家私    联系人：吴总     日期：2026年01月12日    订单编号：26-010034A</t>
  </si>
  <si>
    <t xml:space="preserve"> 产 品 型 号</t>
  </si>
  <si>
    <t xml:space="preserve"> 产 品 名 称</t>
  </si>
  <si>
    <t>金额/元</t>
  </si>
  <si>
    <t>备  注</t>
  </si>
  <si>
    <t>大 写 人 民 币</t>
  </si>
  <si>
    <t>每次总数的尾数须控制10-20元左右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</si>
  <si>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</si>
  <si>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</si>
  <si>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</si>
  <si>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</si>
  <si>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</si>
  <si>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</si>
  <si>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</si>
  <si>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t>2025.12月15起澜宇报价</t>
  </si>
  <si>
    <t>型号</t>
  </si>
  <si>
    <t>名称</t>
  </si>
  <si>
    <t>规格</t>
  </si>
  <si>
    <t>现金价</t>
  </si>
  <si>
    <t>kg/桶</t>
  </si>
  <si>
    <t>018A（018AA)</t>
  </si>
  <si>
    <t>PE底漆稀释剂</t>
  </si>
  <si>
    <t>面漆稀释剂</t>
  </si>
  <si>
    <t>修边漆</t>
  </si>
  <si>
    <t>哑光色漆</t>
  </si>
  <si>
    <t>哑光固化剂：JW305</t>
  </si>
  <si>
    <t>亮光色漆</t>
  </si>
  <si>
    <t>亮光固化剂</t>
  </si>
  <si>
    <t>NC(珠光）金属漆</t>
  </si>
  <si>
    <t>待核实</t>
  </si>
  <si>
    <t>PU金属漆</t>
  </si>
  <si>
    <t>5117-2117</t>
  </si>
  <si>
    <t>磨砂</t>
  </si>
  <si>
    <t>2025.9月17起澜宇报价</t>
  </si>
  <si>
    <t>8/12调价</t>
  </si>
  <si>
    <t>特价系列（浅色）</t>
  </si>
  <si>
    <t>PU哑光色漆</t>
  </si>
  <si>
    <t>2025.6月起澜宇报价</t>
  </si>
  <si>
    <t>哑光固化剂</t>
  </si>
  <si>
    <t>备注：深红、黑、黄、绿色漆各加3元/kg</t>
  </si>
  <si>
    <t>截止25年11月22日应付款总计</t>
  </si>
  <si>
    <t>澜宇2025年9月25日-10月25日 购货明细</t>
  </si>
  <si>
    <t>截止25年10月25日应付款总计</t>
  </si>
  <si>
    <t>截止2025.9.24澜宇应付款为129100元于25/9已对账</t>
  </si>
  <si>
    <t>澜宇2025年8月26日-9月24日 购货明细</t>
  </si>
  <si>
    <t>截止25年9月24日应付款总计</t>
  </si>
  <si>
    <t>此账单于9月25日已对账：金额为：44200（尾数已抹）</t>
  </si>
  <si>
    <t>澜宇2025年7月23日-8月25日 购货明细</t>
  </si>
  <si>
    <t>期末欠款结存金额/元</t>
  </si>
  <si>
    <t>截止25年8月25日总计</t>
  </si>
  <si>
    <t>此账单于8月25日已对账：金额为：34500（尾数已抹）</t>
  </si>
  <si>
    <t>澜宇2025年6月13日-7月22日购货明细</t>
  </si>
  <si>
    <t>6月合计金额21779.3元</t>
  </si>
  <si>
    <t>7月合计金额28690元</t>
  </si>
  <si>
    <t>截止25年7月22日总计</t>
  </si>
  <si>
    <t>此账单于7月24日已对账：金额为：50400（尾数已抹）</t>
  </si>
  <si>
    <t>2025年6月起澜宇回款明细</t>
  </si>
  <si>
    <t>日  期</t>
  </si>
  <si>
    <t>购货合计金额/元</t>
  </si>
  <si>
    <t>尾数合计金额/元</t>
  </si>
  <si>
    <t>已付款合计金额/元</t>
  </si>
  <si>
    <t>下欠款合计金额/元</t>
  </si>
  <si>
    <t>明细如下：</t>
  </si>
  <si>
    <t>内容摘要</t>
  </si>
  <si>
    <t>尾数</t>
  </si>
  <si>
    <t>已付款金额</t>
  </si>
  <si>
    <t>下欠款金额结存</t>
  </si>
  <si>
    <t>6月13至7月22</t>
  </si>
  <si>
    <t>送货</t>
  </si>
  <si>
    <t>7月23至8月25</t>
  </si>
  <si>
    <t>8月26至9月24</t>
  </si>
  <si>
    <t>9月29至10月25</t>
  </si>
  <si>
    <t>微转</t>
  </si>
  <si>
    <t>10月27至11月22</t>
  </si>
  <si>
    <t>12月</t>
  </si>
  <si>
    <t>11月26-12月26</t>
  </si>
  <si>
    <t>尾数优惠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</si>
</sst>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_ "/>
    <numFmt numFmtId="178" formatCode="000000"/>
    <numFmt numFmtId="179" formatCode="&quot;￥&quot;#,##0.00;[Red]&quot;￥&quot;#,##0.00"/>
    <numFmt numFmtId="180" formatCode="m&quot;月&quot;d&quot;日&quot;;@"/>
    <numFmt numFmtId="181" formatCode="General&quot;号&quot;"/>
    <numFmt numFmtId="182" formatCode="0.0_);[Red]\(0.0\)"/>
    <numFmt numFmtId="183" formatCode="0.00_ "/>
    <numFmt numFmtId="184" formatCode="[DBNum2][$RMB]General;[Red][DBNum2][$RMB]General"/>
  </numFmts>
  <fonts count="65">
    <font>
      <sz val="12"/>
      <name val="宋体"/>
      <charset val="134"/>
    </font>
    <font>
      <sz val="12"/>
      <color rgb="FFFF0000"/>
      <name val="宋体"/>
      <charset val="134"/>
    </font>
    <font>
      <b/>
      <sz val="18"/>
      <color rgb="FF7030A0"/>
      <name val="宋体"/>
      <charset val="134"/>
    </font>
    <font>
      <b/>
      <sz val="18"/>
      <color theme="0"/>
      <name val="宋体"/>
      <charset val="134"/>
    </font>
    <font>
      <b/>
      <sz val="18"/>
      <name val="宋体"/>
      <charset val="134"/>
    </font>
    <font>
      <b/>
      <sz val="12"/>
      <color rgb="FF7030A0"/>
      <name val="宋体"/>
      <charset val="134"/>
    </font>
    <font>
      <b/>
      <sz val="11"/>
      <name val="宋体"/>
      <charset val="134"/>
    </font>
    <font>
      <b/>
      <sz val="11"/>
      <color theme="3"/>
      <name val="宋体"/>
      <charset val="134"/>
    </font>
    <font>
      <b/>
      <sz val="12"/>
      <name val="宋体"/>
      <charset val="134"/>
    </font>
    <font>
      <b/>
      <sz val="14"/>
      <name val="宋体"/>
      <charset val="134"/>
    </font>
    <font>
      <b/>
      <sz val="12"/>
      <color theme="3"/>
      <name val="宋体"/>
      <charset val="134"/>
    </font>
    <font>
      <b/>
      <sz val="10"/>
      <name val="宋体"/>
      <charset val="134"/>
    </font>
    <font>
      <b/>
      <sz val="12"/>
      <color rgb="FFFF0000"/>
      <name val="宋体"/>
      <charset val="134"/>
    </font>
    <font>
      <b/>
      <sz val="18"/>
      <name val="宋体"/>
      <charset val="134"/>
      <scheme val="minor"/>
    </font>
    <font>
      <sz val="11"/>
      <name val="宋体"/>
      <charset val="134"/>
      <scheme val="minor"/>
    </font>
    <font>
      <b/>
      <sz val="15"/>
      <name val="宋体"/>
      <charset val="134"/>
    </font>
    <font>
      <b/>
      <sz val="12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b/>
      <sz val="11"/>
      <color rgb="FF00B0F0"/>
      <name val="宋体"/>
      <charset val="134"/>
    </font>
    <font>
      <b/>
      <sz val="12"/>
      <color rgb="FF00B0F0"/>
      <name val="宋体"/>
      <charset val="134"/>
    </font>
    <font>
      <b/>
      <sz val="14"/>
      <color rgb="FF7030A0"/>
      <name val="宋体"/>
      <charset val="134"/>
    </font>
    <font>
      <b/>
      <sz val="14"/>
      <color rgb="FFFF0000"/>
      <name val="宋体"/>
      <charset val="134"/>
    </font>
    <font>
      <b/>
      <sz val="11"/>
      <color rgb="FF000000"/>
      <name val="宋体"/>
      <charset val="134"/>
    </font>
    <font>
      <sz val="11"/>
      <color rgb="FF00B0F0"/>
      <name val="宋体"/>
      <charset val="134"/>
      <scheme val="minor"/>
    </font>
    <font>
      <b/>
      <sz val="11"/>
      <color rgb="FF7030A0"/>
      <name val="宋体"/>
      <charset val="134"/>
      <scheme val="minor"/>
    </font>
    <font>
      <sz val="12"/>
      <color rgb="FF00B0F0"/>
      <name val="宋体"/>
      <charset val="134"/>
    </font>
    <font>
      <b/>
      <sz val="14"/>
      <color rgb="FF000000"/>
      <name val="宋体"/>
      <charset val="134"/>
    </font>
    <font>
      <b/>
      <sz val="14"/>
      <color rgb="FF00B0F0"/>
      <name val="宋体"/>
      <charset val="134"/>
    </font>
    <font>
      <b/>
      <sz val="10.5"/>
      <color rgb="FF000000"/>
      <name val="宋体"/>
      <charset val="134"/>
    </font>
    <font>
      <sz val="16"/>
      <name val="宋体"/>
      <charset val="134"/>
    </font>
    <font>
      <sz val="24"/>
      <name val="宋体"/>
      <charset val="134"/>
    </font>
    <font>
      <sz val="16"/>
      <color rgb="FF00B0F0"/>
      <name val="宋体"/>
      <charset val="134"/>
    </font>
    <font>
      <b/>
      <sz val="16"/>
      <color rgb="FFFF0000"/>
      <name val="宋体"/>
      <charset val="134"/>
    </font>
    <font>
      <sz val="14"/>
      <name val="宋体"/>
      <charset val="134"/>
    </font>
    <font>
      <sz val="10"/>
      <name val="宋体"/>
      <charset val="134"/>
    </font>
    <font>
      <sz val="16"/>
      <color rgb="FFFF0000"/>
      <name val="宋体"/>
      <charset val="134"/>
    </font>
    <font>
      <sz val="16"/>
      <color rgb="FF7030A0"/>
      <name val="宋体"/>
      <charset val="134"/>
    </font>
    <font>
      <sz val="8"/>
      <name val="宋体"/>
      <charset val="134"/>
    </font>
    <font>
      <sz val="10"/>
      <color rgb="FFFF0000"/>
      <name val="宋体"/>
      <charset val="134"/>
    </font>
    <font>
      <sz val="10"/>
      <color rgb="FF00B0F0"/>
      <name val="宋体"/>
      <charset val="134"/>
    </font>
    <font>
      <sz val="12"/>
      <color rgb="FF7030A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3" borderId="15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1" fillId="0" borderId="16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" borderId="18" applyNumberFormat="0" applyAlignment="0" applyProtection="0">
      <alignment vertical="center"/>
    </xf>
    <xf numFmtId="0" fontId="54" fillId="5" borderId="19" applyNumberFormat="0" applyAlignment="0" applyProtection="0">
      <alignment vertical="center"/>
    </xf>
    <xf numFmtId="0" fontId="55" fillId="5" borderId="18" applyNumberFormat="0" applyAlignment="0" applyProtection="0">
      <alignment vertical="center"/>
    </xf>
    <xf numFmtId="0" fontId="56" fillId="6" borderId="20" applyNumberFormat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0" fillId="0" borderId="0"/>
    <xf numFmtId="0" fontId="18" fillId="0" borderId="0"/>
    <xf numFmtId="0" fontId="18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</cellStyleXfs>
  <cellXfs count="19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50" applyFont="1" applyBorder="1" applyAlignment="1">
      <alignment horizontal="center"/>
    </xf>
    <xf numFmtId="0" fontId="3" fillId="2" borderId="1" xfId="50" applyFont="1" applyFill="1" applyBorder="1" applyAlignment="1">
      <alignment horizontal="left"/>
    </xf>
    <xf numFmtId="0" fontId="4" fillId="2" borderId="1" xfId="50" applyFont="1" applyFill="1" applyBorder="1" applyAlignment="1">
      <alignment horizontal="center"/>
    </xf>
    <xf numFmtId="0" fontId="4" fillId="0" borderId="1" xfId="50" applyFont="1" applyBorder="1" applyAlignment="1">
      <alignment horizontal="center"/>
    </xf>
    <xf numFmtId="177" fontId="4" fillId="0" borderId="1" xfId="50" applyNumberFormat="1" applyFont="1" applyBorder="1" applyAlignment="1">
      <alignment horizontal="center"/>
    </xf>
    <xf numFmtId="178" fontId="5" fillId="2" borderId="1" xfId="50" applyNumberFormat="1" applyFont="1" applyFill="1" applyBorder="1" applyAlignment="1">
      <alignment horizontal="center" vertical="center" textRotation="255"/>
    </xf>
    <xf numFmtId="0" fontId="6" fillId="2" borderId="1" xfId="50" applyFont="1" applyFill="1" applyBorder="1" applyAlignment="1">
      <alignment horizontal="center" vertical="center"/>
    </xf>
    <xf numFmtId="177" fontId="7" fillId="2" borderId="1" xfId="50" applyNumberFormat="1" applyFont="1" applyFill="1" applyBorder="1" applyAlignment="1">
      <alignment horizontal="center" vertical="center"/>
    </xf>
    <xf numFmtId="0" fontId="8" fillId="2" borderId="1" xfId="50" applyFont="1" applyFill="1" applyBorder="1" applyAlignment="1">
      <alignment horizontal="center" vertical="center" textRotation="255"/>
    </xf>
    <xf numFmtId="179" fontId="8" fillId="2" borderId="2" xfId="50" applyNumberFormat="1" applyFont="1" applyFill="1" applyBorder="1" applyAlignment="1">
      <alignment horizontal="center" vertical="center"/>
    </xf>
    <xf numFmtId="179" fontId="8" fillId="2" borderId="3" xfId="50" applyNumberFormat="1" applyFont="1" applyFill="1" applyBorder="1" applyAlignment="1">
      <alignment horizontal="center" vertical="center"/>
    </xf>
    <xf numFmtId="179" fontId="8" fillId="2" borderId="4" xfId="50" applyNumberFormat="1" applyFont="1" applyFill="1" applyBorder="1" applyAlignment="1">
      <alignment horizontal="center" vertical="center"/>
    </xf>
    <xf numFmtId="179" fontId="8" fillId="2" borderId="5" xfId="50" applyNumberFormat="1" applyFont="1" applyFill="1" applyBorder="1" applyAlignment="1">
      <alignment horizontal="center" vertical="center"/>
    </xf>
    <xf numFmtId="179" fontId="8" fillId="2" borderId="6" xfId="50" applyNumberFormat="1" applyFont="1" applyFill="1" applyBorder="1" applyAlignment="1">
      <alignment horizontal="center" vertical="center"/>
    </xf>
    <xf numFmtId="179" fontId="8" fillId="2" borderId="7" xfId="50" applyNumberFormat="1" applyFont="1" applyFill="1" applyBorder="1" applyAlignment="1">
      <alignment horizontal="center" vertical="center"/>
    </xf>
    <xf numFmtId="0" fontId="9" fillId="2" borderId="1" xfId="50" applyFont="1" applyFill="1" applyBorder="1" applyAlignment="1">
      <alignment horizontal="left"/>
    </xf>
    <xf numFmtId="0" fontId="10" fillId="2" borderId="1" xfId="50" applyFont="1" applyFill="1" applyBorder="1" applyAlignment="1">
      <alignment horizontal="left" vertical="center"/>
    </xf>
    <xf numFmtId="0" fontId="8" fillId="2" borderId="1" xfId="50" applyFont="1" applyFill="1" applyBorder="1" applyAlignment="1">
      <alignment horizontal="center" vertical="center"/>
    </xf>
    <xf numFmtId="177" fontId="10" fillId="2" borderId="1" xfId="50" applyNumberFormat="1" applyFont="1" applyFill="1" applyBorder="1" applyAlignment="1">
      <alignment horizontal="center" vertical="center"/>
    </xf>
    <xf numFmtId="180" fontId="8" fillId="2" borderId="1" xfId="54" applyNumberFormat="1" applyFont="1" applyFill="1" applyBorder="1" applyAlignment="1">
      <alignment horizontal="center" vertical="center"/>
    </xf>
    <xf numFmtId="181" fontId="8" fillId="2" borderId="1" xfId="0" applyNumberFormat="1" applyFont="1" applyFill="1" applyBorder="1" applyAlignment="1">
      <alignment horizontal="left" vertical="center"/>
    </xf>
    <xf numFmtId="179" fontId="8" fillId="2" borderId="1" xfId="50" applyNumberFormat="1" applyFont="1" applyFill="1" applyBorder="1" applyAlignment="1">
      <alignment horizontal="center" vertical="center"/>
    </xf>
    <xf numFmtId="0" fontId="11" fillId="2" borderId="1" xfId="50" applyFont="1" applyFill="1" applyBorder="1" applyAlignment="1">
      <alignment vertical="center"/>
    </xf>
    <xf numFmtId="179" fontId="8" fillId="2" borderId="1" xfId="54" applyNumberFormat="1" applyFont="1" applyFill="1" applyBorder="1" applyAlignment="1">
      <alignment horizontal="center" vertical="center"/>
    </xf>
    <xf numFmtId="58" fontId="12" fillId="0" borderId="1" xfId="0" applyNumberFormat="1" applyFont="1" applyBorder="1">
      <alignment vertical="center"/>
    </xf>
    <xf numFmtId="0" fontId="12" fillId="0" borderId="1" xfId="0" applyFont="1" applyBorder="1">
      <alignment vertical="center"/>
    </xf>
    <xf numFmtId="7" fontId="12" fillId="2" borderId="1" xfId="5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12" fillId="0" borderId="1" xfId="0" applyFont="1" applyBorder="1" applyAlignment="1">
      <alignment horizontal="right" vertical="center"/>
    </xf>
    <xf numFmtId="0" fontId="1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57" fontId="15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 indent="1"/>
    </xf>
    <xf numFmtId="0" fontId="8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58" fontId="6" fillId="2" borderId="1" xfId="0" applyNumberFormat="1" applyFont="1" applyFill="1" applyBorder="1" applyAlignment="1">
      <alignment horizontal="center"/>
    </xf>
    <xf numFmtId="8" fontId="8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8" fontId="6" fillId="0" borderId="1" xfId="0" applyNumberFormat="1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57" fontId="15" fillId="0" borderId="1" xfId="0" applyNumberFormat="1" applyFont="1" applyFill="1" applyBorder="1" applyAlignment="1">
      <alignment vertical="center" wrapText="1"/>
    </xf>
    <xf numFmtId="8" fontId="9" fillId="0" borderId="1" xfId="0" applyNumberFormat="1" applyFont="1" applyFill="1" applyBorder="1" applyAlignment="1">
      <alignment horizontal="center" wrapText="1"/>
    </xf>
    <xf numFmtId="0" fontId="14" fillId="0" borderId="7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7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vertical="center"/>
    </xf>
    <xf numFmtId="57" fontId="19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 inden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58" fontId="22" fillId="2" borderId="1" xfId="0" applyNumberFormat="1" applyFont="1" applyFill="1" applyBorder="1" applyAlignment="1">
      <alignment horizontal="center"/>
    </xf>
    <xf numFmtId="8" fontId="23" fillId="0" borderId="1" xfId="0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8" fontId="22" fillId="0" borderId="1" xfId="0" applyNumberFormat="1" applyFont="1" applyFill="1" applyBorder="1" applyAlignment="1">
      <alignment horizontal="center" vertical="center" wrapText="1"/>
    </xf>
    <xf numFmtId="57" fontId="19" fillId="0" borderId="1" xfId="0" applyNumberFormat="1" applyFont="1" applyFill="1" applyBorder="1" applyAlignment="1">
      <alignment horizontal="center" wrapText="1"/>
    </xf>
    <xf numFmtId="8" fontId="24" fillId="0" borderId="1" xfId="0" applyNumberFormat="1" applyFont="1" applyFill="1" applyBorder="1" applyAlignment="1">
      <alignment horizontal="center" wrapText="1"/>
    </xf>
    <xf numFmtId="8" fontId="25" fillId="0" borderId="1" xfId="0" applyNumberFormat="1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/>
    </xf>
    <xf numFmtId="0" fontId="26" fillId="0" borderId="1" xfId="0" applyFont="1" applyFill="1" applyBorder="1" applyAlignment="1">
      <alignment horizontal="center" vertical="center" wrapText="1"/>
    </xf>
    <xf numFmtId="8" fontId="26" fillId="0" borderId="1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8" fontId="24" fillId="0" borderId="1" xfId="0" applyNumberFormat="1" applyFont="1" applyFill="1" applyBorder="1" applyAlignment="1">
      <alignment horizontal="center" vertical="center" wrapText="1"/>
    </xf>
    <xf numFmtId="8" fontId="25" fillId="0" borderId="1" xfId="0" applyNumberFormat="1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8" fontId="20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180" fontId="22" fillId="2" borderId="1" xfId="54" applyNumberFormat="1" applyFont="1" applyFill="1" applyBorder="1" applyAlignment="1">
      <alignment horizontal="center" vertical="center"/>
    </xf>
    <xf numFmtId="8" fontId="5" fillId="0" borderId="1" xfId="0" applyNumberFormat="1" applyFont="1" applyFill="1" applyBorder="1" applyAlignment="1">
      <alignment horizontal="center" vertical="center" wrapText="1"/>
    </xf>
    <xf numFmtId="8" fontId="12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8" fontId="30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center" vertical="center"/>
    </xf>
    <xf numFmtId="8" fontId="31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8" fontId="25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2" fillId="0" borderId="9" xfId="0" applyFont="1" applyBorder="1" applyAlignment="1">
      <alignment horizontal="left" vertical="center"/>
    </xf>
    <xf numFmtId="0" fontId="32" fillId="0" borderId="10" xfId="0" applyFont="1" applyBorder="1" applyAlignment="1">
      <alignment horizontal="left" vertical="center"/>
    </xf>
    <xf numFmtId="0" fontId="32" fillId="0" borderId="10" xfId="0" applyFont="1" applyBorder="1" applyAlignment="1">
      <alignment horizontal="center" vertical="center"/>
    </xf>
    <xf numFmtId="8" fontId="32" fillId="0" borderId="1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3" fillId="0" borderId="0" xfId="0" applyFont="1" applyAlignment="1">
      <alignment vertical="center"/>
    </xf>
    <xf numFmtId="0" fontId="33" fillId="0" borderId="0" xfId="0" applyFont="1">
      <alignment vertical="center"/>
    </xf>
    <xf numFmtId="0" fontId="34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left" vertical="center"/>
    </xf>
    <xf numFmtId="0" fontId="33" fillId="0" borderId="1" xfId="0" applyNumberFormat="1" applyFont="1" applyFill="1" applyBorder="1" applyAlignment="1">
      <alignment vertical="center"/>
    </xf>
    <xf numFmtId="0" fontId="33" fillId="0" borderId="1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182" fontId="33" fillId="0" borderId="1" xfId="0" applyNumberFormat="1" applyFont="1" applyBorder="1" applyAlignment="1">
      <alignment horizontal="center" vertical="center"/>
    </xf>
    <xf numFmtId="183" fontId="33" fillId="0" borderId="1" xfId="0" applyNumberFormat="1" applyFont="1" applyBorder="1" applyAlignment="1">
      <alignment horizontal="center" vertical="center"/>
    </xf>
    <xf numFmtId="0" fontId="33" fillId="0" borderId="1" xfId="0" applyNumberFormat="1" applyFont="1" applyFill="1" applyBorder="1" applyAlignment="1">
      <alignment vertical="top"/>
    </xf>
    <xf numFmtId="0" fontId="33" fillId="2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top"/>
    </xf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35" fillId="2" borderId="1" xfId="0" applyFont="1" applyFill="1" applyBorder="1" applyAlignment="1">
      <alignment horizontal="center" vertical="center"/>
    </xf>
    <xf numFmtId="182" fontId="35" fillId="0" borderId="1" xfId="0" applyNumberFormat="1" applyFont="1" applyBorder="1" applyAlignment="1">
      <alignment horizontal="center" vertical="center"/>
    </xf>
    <xf numFmtId="183" fontId="35" fillId="0" borderId="1" xfId="0" applyNumberFormat="1" applyFont="1" applyBorder="1" applyAlignment="1">
      <alignment horizontal="center" vertical="center"/>
    </xf>
    <xf numFmtId="178" fontId="33" fillId="0" borderId="1" xfId="0" applyNumberFormat="1" applyFont="1" applyFill="1" applyBorder="1" applyAlignment="1">
      <alignment horizontal="left" vertical="center"/>
    </xf>
    <xf numFmtId="184" fontId="33" fillId="0" borderId="1" xfId="0" applyNumberFormat="1" applyFont="1" applyFill="1" applyBorder="1" applyAlignment="1">
      <alignment horizontal="left" vertical="center"/>
    </xf>
    <xf numFmtId="7" fontId="36" fillId="0" borderId="1" xfId="0" applyNumberFormat="1" applyFont="1" applyBorder="1" applyAlignment="1">
      <alignment horizontal="center" vertical="center"/>
    </xf>
    <xf numFmtId="0" fontId="36" fillId="0" borderId="0" xfId="0" applyFont="1">
      <alignment vertical="center"/>
    </xf>
    <xf numFmtId="0" fontId="37" fillId="0" borderId="2" xfId="0" applyFont="1" applyFill="1" applyBorder="1" applyAlignment="1">
      <alignment horizontal="left" vertical="center" textRotation="255"/>
    </xf>
    <xf numFmtId="0" fontId="37" fillId="0" borderId="11" xfId="0" applyFont="1" applyFill="1" applyBorder="1" applyAlignment="1">
      <alignment horizontal="left" vertical="center" wrapText="1" readingOrder="1"/>
    </xf>
    <xf numFmtId="0" fontId="37" fillId="0" borderId="3" xfId="0" applyFont="1" applyFill="1" applyBorder="1" applyAlignment="1">
      <alignment horizontal="left" vertical="center" wrapText="1" readingOrder="1"/>
    </xf>
    <xf numFmtId="0" fontId="37" fillId="0" borderId="12" xfId="0" applyFont="1" applyFill="1" applyBorder="1" applyAlignment="1">
      <alignment horizontal="left" vertical="center" textRotation="255"/>
    </xf>
    <xf numFmtId="0" fontId="37" fillId="0" borderId="0" xfId="0" applyFont="1" applyFill="1" applyBorder="1" applyAlignment="1">
      <alignment horizontal="left" vertical="center" wrapText="1" readingOrder="1"/>
    </xf>
    <xf numFmtId="0" fontId="37" fillId="0" borderId="13" xfId="0" applyFont="1" applyFill="1" applyBorder="1" applyAlignment="1">
      <alignment horizontal="left" vertical="center" wrapText="1" readingOrder="1"/>
    </xf>
    <xf numFmtId="0" fontId="37" fillId="0" borderId="5" xfId="0" applyFont="1" applyFill="1" applyBorder="1" applyAlignment="1">
      <alignment horizontal="left" vertical="center" textRotation="255"/>
    </xf>
    <xf numFmtId="0" fontId="37" fillId="0" borderId="14" xfId="0" applyFont="1" applyFill="1" applyBorder="1" applyAlignment="1">
      <alignment horizontal="left" vertical="center" wrapText="1" readingOrder="1"/>
    </xf>
    <xf numFmtId="0" fontId="37" fillId="0" borderId="6" xfId="0" applyFont="1" applyFill="1" applyBorder="1" applyAlignment="1">
      <alignment horizontal="left" vertical="center" wrapText="1" readingOrder="1"/>
    </xf>
    <xf numFmtId="0" fontId="37" fillId="0" borderId="0" xfId="0" applyFont="1" applyFill="1" applyBorder="1" applyAlignment="1">
      <alignment horizontal="left" vertical="center"/>
    </xf>
    <xf numFmtId="58" fontId="19" fillId="0" borderId="1" xfId="0" applyNumberFormat="1" applyFont="1" applyFill="1" applyBorder="1" applyAlignment="1">
      <alignment horizontal="center" vertical="center" wrapText="1"/>
    </xf>
    <xf numFmtId="8" fontId="8" fillId="0" borderId="4" xfId="0" applyNumberFormat="1" applyFont="1" applyFill="1" applyBorder="1" applyAlignment="1">
      <alignment horizontal="center" vertical="center" wrapText="1"/>
    </xf>
    <xf numFmtId="8" fontId="6" fillId="0" borderId="4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58" fontId="6" fillId="2" borderId="4" xfId="0" applyNumberFormat="1" applyFont="1" applyFill="1" applyBorder="1" applyAlignment="1">
      <alignment horizontal="center"/>
    </xf>
    <xf numFmtId="0" fontId="33" fillId="0" borderId="0" xfId="0" applyFont="1" applyBorder="1">
      <alignment vertical="center"/>
    </xf>
    <xf numFmtId="0" fontId="38" fillId="0" borderId="0" xfId="0" applyFont="1">
      <alignment vertical="center"/>
    </xf>
    <xf numFmtId="0" fontId="35" fillId="0" borderId="0" xfId="0" applyFont="1" applyBorder="1">
      <alignment vertical="center"/>
    </xf>
    <xf numFmtId="0" fontId="39" fillId="0" borderId="0" xfId="0" applyFont="1" applyBorder="1">
      <alignment vertical="center"/>
    </xf>
    <xf numFmtId="0" fontId="40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41" fillId="0" borderId="0" xfId="0" applyFont="1">
      <alignment vertical="center"/>
    </xf>
    <xf numFmtId="58" fontId="33" fillId="0" borderId="0" xfId="0" applyNumberFormat="1" applyFont="1" applyBorder="1" applyAlignment="1">
      <alignment horizontal="left" vertical="center"/>
    </xf>
    <xf numFmtId="181" fontId="33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9" fillId="0" borderId="0" xfId="0" applyFont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83" fontId="33" fillId="0" borderId="0" xfId="0" applyNumberFormat="1" applyFont="1" applyBorder="1" applyAlignment="1">
      <alignment horizontal="center" vertical="center"/>
    </xf>
    <xf numFmtId="0" fontId="38" fillId="0" borderId="4" xfId="0" applyFont="1" applyBorder="1">
      <alignment vertical="center"/>
    </xf>
    <xf numFmtId="0" fontId="38" fillId="0" borderId="4" xfId="0" applyFont="1" applyBorder="1" applyAlignment="1">
      <alignment horizontal="center" vertical="center"/>
    </xf>
    <xf numFmtId="0" fontId="38" fillId="0" borderId="4" xfId="0" applyFont="1" applyFill="1" applyBorder="1" applyAlignment="1">
      <alignment horizontal="center" vertical="center"/>
    </xf>
    <xf numFmtId="0" fontId="38" fillId="0" borderId="4" xfId="0" applyFont="1" applyFill="1" applyBorder="1" applyAlignment="1">
      <alignment horizontal="left" vertical="center"/>
    </xf>
    <xf numFmtId="0" fontId="35" fillId="0" borderId="0" xfId="0" applyFont="1">
      <alignment vertical="center"/>
    </xf>
    <xf numFmtId="58" fontId="35" fillId="0" borderId="0" xfId="0" applyNumberFormat="1" applyFont="1" applyBorder="1" applyAlignment="1">
      <alignment horizontal="left" vertical="center"/>
    </xf>
    <xf numFmtId="181" fontId="35" fillId="0" borderId="0" xfId="0" applyNumberFormat="1" applyFont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0" xfId="0" applyFont="1" applyBorder="1" applyAlignment="1">
      <alignment horizontal="center" vertical="center"/>
    </xf>
    <xf numFmtId="182" fontId="35" fillId="0" borderId="0" xfId="0" applyNumberFormat="1" applyFont="1" applyBorder="1" applyAlignment="1">
      <alignment horizontal="center" vertical="center"/>
    </xf>
    <xf numFmtId="183" fontId="35" fillId="0" borderId="0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182" fontId="33" fillId="0" borderId="0" xfId="0" applyNumberFormat="1" applyFont="1" applyBorder="1" applyAlignment="1">
      <alignment horizontal="center" vertical="center"/>
    </xf>
    <xf numFmtId="58" fontId="39" fillId="0" borderId="0" xfId="0" applyNumberFormat="1" applyFont="1" applyBorder="1" applyAlignment="1">
      <alignment horizontal="left" vertical="center"/>
    </xf>
    <xf numFmtId="181" fontId="3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82" fontId="39" fillId="0" borderId="0" xfId="0" applyNumberFormat="1" applyFont="1" applyBorder="1" applyAlignment="1">
      <alignment horizontal="center" vertical="center"/>
    </xf>
    <xf numFmtId="183" fontId="39" fillId="0" borderId="0" xfId="0" applyNumberFormat="1" applyFont="1" applyBorder="1" applyAlignment="1">
      <alignment horizontal="center" vertical="center"/>
    </xf>
    <xf numFmtId="0" fontId="39" fillId="0" borderId="0" xfId="0" applyFo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82" fontId="40" fillId="0" borderId="0" xfId="0" applyNumberFormat="1" applyFont="1" applyBorder="1" applyAlignment="1">
      <alignment horizontal="center" vertical="center"/>
    </xf>
    <xf numFmtId="0" fontId="40" fillId="0" borderId="0" xfId="0" applyFont="1">
      <alignment vertical="center"/>
    </xf>
    <xf numFmtId="58" fontId="40" fillId="0" borderId="0" xfId="0" applyNumberFormat="1" applyFont="1" applyBorder="1" applyAlignment="1">
      <alignment horizontal="left" vertical="center"/>
    </xf>
    <xf numFmtId="181" fontId="40" fillId="0" borderId="0" xfId="0" applyNumberFormat="1" applyFont="1" applyAlignment="1">
      <alignment horizontal="center" vertical="center"/>
    </xf>
    <xf numFmtId="0" fontId="40" fillId="0" borderId="0" xfId="0" applyFont="1" applyBorder="1" applyAlignment="1">
      <alignment horizontal="left" vertical="center"/>
    </xf>
    <xf numFmtId="0" fontId="40" fillId="0" borderId="0" xfId="0" applyFont="1" applyBorder="1" applyAlignment="1">
      <alignment horizontal="center" vertical="center"/>
    </xf>
    <xf numFmtId="183" fontId="40" fillId="0" borderId="0" xfId="0" applyNumberFormat="1" applyFont="1" applyBorder="1" applyAlignment="1">
      <alignment horizontal="center" vertical="center"/>
    </xf>
    <xf numFmtId="0" fontId="44" fillId="0" borderId="0" xfId="0" applyFont="1">
      <alignment vertical="center"/>
    </xf>
    <xf numFmtId="0" fontId="44" fillId="0" borderId="0" xfId="0" applyFont="1" applyBorder="1" applyAlignment="1">
      <alignment horizontal="center" vertical="center"/>
    </xf>
    <xf numFmtId="0" fontId="35" fillId="2" borderId="0" xfId="0" applyFont="1" applyFill="1" applyBorder="1" applyAlignment="1">
      <alignment horizontal="center" vertical="center"/>
    </xf>
    <xf numFmtId="0" fontId="39" fillId="2" borderId="0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181" fontId="33" fillId="0" borderId="0" xfId="0" applyNumberFormat="1" applyFont="1" applyBorder="1" applyAlignment="1">
      <alignment horizontal="center" vertical="center"/>
    </xf>
    <xf numFmtId="181" fontId="35" fillId="0" borderId="0" xfId="0" applyNumberFormat="1" applyFont="1" applyBorder="1" applyAlignment="1">
      <alignment horizontal="center" vertical="center"/>
    </xf>
    <xf numFmtId="0" fontId="29" fillId="0" borderId="0" xfId="0" applyFont="1" applyBorder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适中 2 4 2" xfId="49"/>
    <cellStyle name="常规 10" xfId="50"/>
    <cellStyle name="常规 33" xfId="51"/>
    <cellStyle name="常规 38 2" xfId="52"/>
    <cellStyle name="货币 4 3 2" xfId="53"/>
    <cellStyle name="常规 8" xfId="54"/>
  </cellStyles>
  <tableStyles count="1" defaultTableStyle="TableStyleMedium9" defaultPivotStyle="PivotStyleLight16">
    <tableStyle name="表样式 1" pivot="0" count="0" xr9:uid="{B4B31DB9-404F-471B-A3BF-5290E0F3577C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4"/>
  <sheetViews>
    <sheetView topLeftCell="A248" workbookViewId="0">
      <selection activeCell="O270" sqref="O270"/>
    </sheetView>
  </sheetViews>
  <sheetFormatPr defaultColWidth="9" defaultRowHeight="20.25"/>
  <cols>
    <col min="1" max="1" width="9" style="101"/>
    <col min="2" max="2" width="12.625" style="101"/>
    <col min="3" max="3" width="9" style="101"/>
    <col min="4" max="5" width="5.625" style="101" customWidth="1"/>
    <col min="6" max="6" width="6.375" style="101" customWidth="1"/>
    <col min="7" max="7" width="30.5" style="101" customWidth="1"/>
    <col min="8" max="11" width="11.625" style="101" customWidth="1"/>
    <col min="12" max="12" width="15.625" style="101" customWidth="1"/>
    <col min="13" max="13" width="22.75" style="101" customWidth="1"/>
    <col min="14" max="14" width="15.625" style="101" customWidth="1"/>
    <col min="15" max="15" width="11.375"/>
  </cols>
  <sheetData>
    <row r="1" spans="1:14">
      <c r="L1" s="101" t="s">
        <v>0</v>
      </c>
      <c r="M1" s="101" t="s">
        <v>1</v>
      </c>
      <c r="N1" s="101" t="s">
        <v>2</v>
      </c>
    </row>
    <row r="2" s="138" customFormat="1" spans="1:14">
      <c r="A2" s="144" t="s">
        <v>3</v>
      </c>
      <c r="B2" s="145"/>
      <c r="C2" s="146"/>
      <c r="D2" s="147"/>
      <c r="E2" s="147"/>
      <c r="F2" s="147"/>
      <c r="G2" s="148"/>
      <c r="H2" s="149"/>
      <c r="I2" s="149"/>
      <c r="J2" s="150" t="s">
        <v>4</v>
      </c>
      <c r="K2" s="150"/>
      <c r="L2" s="151">
        <f>SUM(L4:L143)</f>
        <v>114885.8</v>
      </c>
      <c r="M2" s="101">
        <f>SUM(L4:L109)</f>
        <v>85035.7</v>
      </c>
      <c r="N2" s="149">
        <f>SUM(L72:L109)</f>
        <v>34566.4</v>
      </c>
    </row>
    <row r="3" s="139" customFormat="1" ht="21" customHeight="1" spans="1:14">
      <c r="A3" s="152" t="s">
        <v>5</v>
      </c>
      <c r="B3" s="153" t="s">
        <v>6</v>
      </c>
      <c r="C3" s="153" t="s">
        <v>7</v>
      </c>
      <c r="D3" s="154" t="s">
        <v>8</v>
      </c>
      <c r="E3" s="154"/>
      <c r="F3" s="154"/>
      <c r="G3" s="155" t="s">
        <v>9</v>
      </c>
      <c r="H3" s="154" t="s">
        <v>10</v>
      </c>
      <c r="I3" s="154" t="s">
        <v>11</v>
      </c>
      <c r="J3" s="154" t="s">
        <v>12</v>
      </c>
      <c r="K3" s="154" t="s">
        <v>13</v>
      </c>
      <c r="L3" s="154" t="s">
        <v>14</v>
      </c>
      <c r="M3" s="154"/>
      <c r="N3" s="154"/>
    </row>
    <row r="4" s="140" customFormat="1" spans="1:14">
      <c r="A4" s="156" t="s">
        <v>15</v>
      </c>
      <c r="B4" s="157">
        <v>45821</v>
      </c>
      <c r="C4" s="158">
        <v>40</v>
      </c>
      <c r="D4" s="147">
        <v>632</v>
      </c>
      <c r="E4" s="147"/>
      <c r="F4" s="147"/>
      <c r="G4" s="159" t="s">
        <v>16</v>
      </c>
      <c r="H4" s="160">
        <v>1</v>
      </c>
      <c r="I4" s="160">
        <v>28</v>
      </c>
      <c r="J4" s="160">
        <f t="shared" ref="J4:J12" si="0">H4*I4</f>
        <v>28</v>
      </c>
      <c r="K4" s="161">
        <v>7.2</v>
      </c>
      <c r="L4" s="162">
        <f t="shared" ref="L4:L11" si="1">J4*K4</f>
        <v>201.6</v>
      </c>
      <c r="M4" s="156"/>
      <c r="N4" s="160"/>
    </row>
    <row r="5" s="140" customFormat="1" spans="1:14">
      <c r="A5" s="156" t="s">
        <v>15</v>
      </c>
      <c r="B5" s="157">
        <v>45821</v>
      </c>
      <c r="C5" s="158">
        <v>40</v>
      </c>
      <c r="D5" s="147" t="s">
        <v>17</v>
      </c>
      <c r="E5" s="147"/>
      <c r="F5" s="147"/>
      <c r="G5" s="159" t="s">
        <v>18</v>
      </c>
      <c r="H5" s="160">
        <v>1</v>
      </c>
      <c r="I5" s="160">
        <v>25</v>
      </c>
      <c r="J5" s="160">
        <f t="shared" si="0"/>
        <v>25</v>
      </c>
      <c r="K5" s="161">
        <v>10</v>
      </c>
      <c r="L5" s="162">
        <f t="shared" si="1"/>
        <v>250</v>
      </c>
      <c r="M5" s="156"/>
      <c r="N5" s="160"/>
    </row>
    <row r="6" s="140" customFormat="1" spans="1:14">
      <c r="A6" s="156" t="s">
        <v>15</v>
      </c>
      <c r="B6" s="157">
        <v>45821</v>
      </c>
      <c r="C6" s="158">
        <v>40</v>
      </c>
      <c r="D6" s="147" t="s">
        <v>19</v>
      </c>
      <c r="E6" s="147"/>
      <c r="F6" s="147"/>
      <c r="G6" s="159" t="s">
        <v>20</v>
      </c>
      <c r="H6" s="160">
        <v>2</v>
      </c>
      <c r="I6" s="160">
        <v>18</v>
      </c>
      <c r="J6" s="160">
        <f t="shared" si="0"/>
        <v>36</v>
      </c>
      <c r="K6" s="161">
        <v>4.2</v>
      </c>
      <c r="L6" s="162">
        <f t="shared" si="1"/>
        <v>151.2</v>
      </c>
      <c r="M6" s="156"/>
      <c r="N6" s="160"/>
    </row>
    <row r="7" s="140" customFormat="1" spans="1:14">
      <c r="A7" s="156" t="s">
        <v>15</v>
      </c>
      <c r="B7" s="157">
        <v>45821</v>
      </c>
      <c r="C7" s="158">
        <v>40</v>
      </c>
      <c r="D7" s="147" t="s">
        <v>21</v>
      </c>
      <c r="E7" s="147"/>
      <c r="F7" s="147"/>
      <c r="G7" s="159" t="s">
        <v>22</v>
      </c>
      <c r="H7" s="160">
        <v>2</v>
      </c>
      <c r="I7" s="160">
        <v>18</v>
      </c>
      <c r="J7" s="160">
        <f t="shared" si="0"/>
        <v>36</v>
      </c>
      <c r="K7" s="161">
        <v>7.5</v>
      </c>
      <c r="L7" s="162">
        <f t="shared" si="1"/>
        <v>270</v>
      </c>
      <c r="M7" s="156"/>
      <c r="N7" s="160">
        <f>SUM(L4:L7)</f>
        <v>872.8</v>
      </c>
    </row>
    <row r="8" s="138" customFormat="1" spans="1:14">
      <c r="A8" s="101" t="s">
        <v>15</v>
      </c>
      <c r="B8" s="145">
        <v>45825</v>
      </c>
      <c r="C8" s="146">
        <v>54</v>
      </c>
      <c r="D8" s="150">
        <v>632</v>
      </c>
      <c r="E8" s="150"/>
      <c r="F8" s="150"/>
      <c r="G8" s="163" t="s">
        <v>16</v>
      </c>
      <c r="H8" s="149">
        <v>5</v>
      </c>
      <c r="I8" s="149">
        <v>28</v>
      </c>
      <c r="J8" s="149">
        <f t="shared" si="0"/>
        <v>140</v>
      </c>
      <c r="K8" s="164">
        <v>7.2</v>
      </c>
      <c r="L8" s="151">
        <f t="shared" si="1"/>
        <v>1008</v>
      </c>
      <c r="M8" s="101"/>
      <c r="N8" s="149"/>
    </row>
    <row r="9" s="138" customFormat="1" spans="1:14">
      <c r="A9" s="101" t="s">
        <v>15</v>
      </c>
      <c r="B9" s="145">
        <v>45825</v>
      </c>
      <c r="C9" s="146">
        <v>54</v>
      </c>
      <c r="D9" s="150" t="s">
        <v>17</v>
      </c>
      <c r="E9" s="150"/>
      <c r="F9" s="150"/>
      <c r="G9" s="163" t="s">
        <v>18</v>
      </c>
      <c r="H9" s="149">
        <v>5</v>
      </c>
      <c r="I9" s="149">
        <v>25</v>
      </c>
      <c r="J9" s="149">
        <f t="shared" si="0"/>
        <v>125</v>
      </c>
      <c r="K9" s="164">
        <v>10</v>
      </c>
      <c r="L9" s="151">
        <f t="shared" ref="L9:L31" si="2">J9*K9</f>
        <v>1250</v>
      </c>
      <c r="M9" s="101"/>
      <c r="N9" s="149"/>
    </row>
    <row r="10" s="138" customFormat="1" spans="1:14">
      <c r="A10" s="101" t="s">
        <v>15</v>
      </c>
      <c r="B10" s="145">
        <v>45825</v>
      </c>
      <c r="C10" s="146">
        <v>54</v>
      </c>
      <c r="D10" s="150" t="s">
        <v>19</v>
      </c>
      <c r="E10" s="150"/>
      <c r="F10" s="150"/>
      <c r="G10" s="163" t="s">
        <v>20</v>
      </c>
      <c r="H10" s="149">
        <v>1</v>
      </c>
      <c r="I10" s="149">
        <v>180</v>
      </c>
      <c r="J10" s="149">
        <f t="shared" si="0"/>
        <v>180</v>
      </c>
      <c r="K10" s="164">
        <v>4.2</v>
      </c>
      <c r="L10" s="151">
        <f t="shared" si="2"/>
        <v>756</v>
      </c>
      <c r="M10" s="101"/>
      <c r="N10" s="149"/>
    </row>
    <row r="11" s="138" customFormat="1" spans="1:14">
      <c r="A11" s="101" t="s">
        <v>15</v>
      </c>
      <c r="B11" s="145">
        <v>45825</v>
      </c>
      <c r="C11" s="146">
        <v>54</v>
      </c>
      <c r="D11" s="150" t="s">
        <v>21</v>
      </c>
      <c r="E11" s="150"/>
      <c r="F11" s="150"/>
      <c r="G11" s="163" t="s">
        <v>22</v>
      </c>
      <c r="H11" s="149">
        <v>1</v>
      </c>
      <c r="I11" s="149">
        <v>180</v>
      </c>
      <c r="J11" s="149">
        <f t="shared" si="0"/>
        <v>180</v>
      </c>
      <c r="K11" s="164">
        <v>7.5</v>
      </c>
      <c r="L11" s="151">
        <f t="shared" si="2"/>
        <v>1350</v>
      </c>
      <c r="M11" s="101"/>
      <c r="N11" s="149"/>
    </row>
    <row r="12" s="138" customFormat="1" spans="1:14">
      <c r="A12" s="101" t="s">
        <v>15</v>
      </c>
      <c r="B12" s="145">
        <v>45825</v>
      </c>
      <c r="C12" s="146">
        <v>54</v>
      </c>
      <c r="D12" s="150" t="s">
        <v>23</v>
      </c>
      <c r="E12" s="150"/>
      <c r="F12" s="150"/>
      <c r="G12" s="163" t="s">
        <v>24</v>
      </c>
      <c r="H12" s="149">
        <v>1</v>
      </c>
      <c r="I12" s="149">
        <v>26</v>
      </c>
      <c r="J12" s="149">
        <f t="shared" si="0"/>
        <v>26</v>
      </c>
      <c r="K12" s="164">
        <v>14.5</v>
      </c>
      <c r="L12" s="151">
        <f t="shared" si="2"/>
        <v>377</v>
      </c>
      <c r="M12" s="101"/>
      <c r="N12" s="149"/>
    </row>
    <row r="13" s="138" customFormat="1" spans="1:14">
      <c r="A13" s="101" t="s">
        <v>15</v>
      </c>
      <c r="B13" s="145">
        <v>45825</v>
      </c>
      <c r="C13" s="146">
        <v>54</v>
      </c>
      <c r="D13" s="150" t="s">
        <v>25</v>
      </c>
      <c r="E13" s="150"/>
      <c r="F13" s="150"/>
      <c r="G13" s="163" t="s">
        <v>26</v>
      </c>
      <c r="H13" s="149">
        <v>2</v>
      </c>
      <c r="I13" s="149">
        <v>26</v>
      </c>
      <c r="J13" s="149">
        <f t="shared" ref="J13:J31" si="3">H13*I13</f>
        <v>52</v>
      </c>
      <c r="K13" s="164">
        <v>13.8</v>
      </c>
      <c r="L13" s="151">
        <f t="shared" si="2"/>
        <v>717.6</v>
      </c>
      <c r="M13" s="101"/>
      <c r="N13" s="149"/>
    </row>
    <row r="14" s="138" customFormat="1" spans="1:14">
      <c r="A14" s="101" t="s">
        <v>15</v>
      </c>
      <c r="B14" s="145">
        <v>45825</v>
      </c>
      <c r="C14" s="146">
        <v>54</v>
      </c>
      <c r="D14" s="150" t="s">
        <v>27</v>
      </c>
      <c r="E14" s="150"/>
      <c r="F14" s="150"/>
      <c r="G14" s="163" t="s">
        <v>28</v>
      </c>
      <c r="H14" s="149">
        <v>1</v>
      </c>
      <c r="I14" s="149">
        <v>26</v>
      </c>
      <c r="J14" s="149">
        <f t="shared" si="3"/>
        <v>26</v>
      </c>
      <c r="K14" s="164">
        <v>14.5</v>
      </c>
      <c r="L14" s="151">
        <f t="shared" si="2"/>
        <v>377</v>
      </c>
      <c r="M14" s="101"/>
      <c r="N14" s="149"/>
    </row>
    <row r="15" s="138" customFormat="1" spans="1:14">
      <c r="A15" s="101" t="s">
        <v>15</v>
      </c>
      <c r="B15" s="145">
        <v>45825</v>
      </c>
      <c r="C15" s="146">
        <v>54</v>
      </c>
      <c r="D15" s="150" t="s">
        <v>29</v>
      </c>
      <c r="E15" s="150"/>
      <c r="F15" s="150"/>
      <c r="G15" s="163" t="s">
        <v>30</v>
      </c>
      <c r="H15" s="149">
        <v>2</v>
      </c>
      <c r="I15" s="149">
        <v>25</v>
      </c>
      <c r="J15" s="149">
        <f t="shared" si="3"/>
        <v>50</v>
      </c>
      <c r="K15" s="164">
        <v>13.8</v>
      </c>
      <c r="L15" s="151">
        <f t="shared" si="2"/>
        <v>690</v>
      </c>
      <c r="M15" s="101"/>
      <c r="N15" s="149"/>
    </row>
    <row r="16" s="138" customFormat="1" spans="1:14">
      <c r="A16" s="101" t="s">
        <v>15</v>
      </c>
      <c r="B16" s="145">
        <v>45825</v>
      </c>
      <c r="C16" s="146">
        <v>54</v>
      </c>
      <c r="D16" s="150" t="s">
        <v>31</v>
      </c>
      <c r="E16" s="150"/>
      <c r="F16" s="150"/>
      <c r="G16" s="163" t="s">
        <v>32</v>
      </c>
      <c r="H16" s="149">
        <v>2</v>
      </c>
      <c r="I16" s="149">
        <v>20</v>
      </c>
      <c r="J16" s="149">
        <f t="shared" si="3"/>
        <v>40</v>
      </c>
      <c r="K16" s="164">
        <v>14.5</v>
      </c>
      <c r="L16" s="151">
        <f t="shared" si="2"/>
        <v>580</v>
      </c>
      <c r="M16" s="101"/>
      <c r="N16" s="149"/>
    </row>
    <row r="17" s="138" customFormat="1" spans="1:14">
      <c r="A17" s="101" t="s">
        <v>15</v>
      </c>
      <c r="B17" s="145">
        <v>45825</v>
      </c>
      <c r="C17" s="146">
        <v>54</v>
      </c>
      <c r="D17" s="150" t="s">
        <v>33</v>
      </c>
      <c r="E17" s="150"/>
      <c r="F17" s="150"/>
      <c r="G17" s="163" t="s">
        <v>34</v>
      </c>
      <c r="H17" s="149">
        <v>3</v>
      </c>
      <c r="I17" s="149">
        <v>20</v>
      </c>
      <c r="J17" s="149">
        <f t="shared" si="3"/>
        <v>60</v>
      </c>
      <c r="K17" s="164">
        <v>13.5</v>
      </c>
      <c r="L17" s="151">
        <f t="shared" si="2"/>
        <v>810</v>
      </c>
      <c r="M17" s="101"/>
      <c r="N17" s="149">
        <f>SUM(L8:L17)</f>
        <v>7915.6</v>
      </c>
    </row>
    <row r="18" s="140" customFormat="1" spans="1:14">
      <c r="A18" s="156" t="s">
        <v>15</v>
      </c>
      <c r="B18" s="157">
        <v>45830</v>
      </c>
      <c r="C18" s="158">
        <v>68</v>
      </c>
      <c r="D18" s="147" t="s">
        <v>35</v>
      </c>
      <c r="E18" s="147"/>
      <c r="F18" s="147"/>
      <c r="G18" s="159" t="s">
        <v>36</v>
      </c>
      <c r="H18" s="160">
        <v>2</v>
      </c>
      <c r="I18" s="160">
        <v>26</v>
      </c>
      <c r="J18" s="160">
        <f t="shared" si="3"/>
        <v>52</v>
      </c>
      <c r="K18" s="161">
        <v>13.8</v>
      </c>
      <c r="L18" s="162">
        <f t="shared" si="2"/>
        <v>717.6</v>
      </c>
      <c r="M18" s="156"/>
      <c r="N18" s="160"/>
    </row>
    <row r="19" s="140" customFormat="1" spans="1:14">
      <c r="A19" s="156" t="s">
        <v>15</v>
      </c>
      <c r="B19" s="157">
        <v>45830</v>
      </c>
      <c r="C19" s="158">
        <v>68</v>
      </c>
      <c r="D19" s="147" t="s">
        <v>37</v>
      </c>
      <c r="E19" s="147"/>
      <c r="F19" s="147"/>
      <c r="G19" s="159" t="s">
        <v>38</v>
      </c>
      <c r="H19" s="160">
        <v>1</v>
      </c>
      <c r="I19" s="160">
        <v>10</v>
      </c>
      <c r="J19" s="160">
        <f t="shared" si="3"/>
        <v>10</v>
      </c>
      <c r="K19" s="161">
        <v>22.5</v>
      </c>
      <c r="L19" s="162">
        <f t="shared" si="2"/>
        <v>225</v>
      </c>
      <c r="M19" s="156"/>
      <c r="N19" s="160"/>
    </row>
    <row r="20" s="140" customFormat="1" spans="1:14">
      <c r="A20" s="156" t="s">
        <v>15</v>
      </c>
      <c r="B20" s="157">
        <v>45830</v>
      </c>
      <c r="C20" s="158">
        <v>68</v>
      </c>
      <c r="D20" s="147" t="s">
        <v>39</v>
      </c>
      <c r="E20" s="147"/>
      <c r="F20" s="147"/>
      <c r="G20" s="159" t="s">
        <v>28</v>
      </c>
      <c r="H20" s="160">
        <v>1</v>
      </c>
      <c r="I20" s="160">
        <v>25</v>
      </c>
      <c r="J20" s="160">
        <f t="shared" si="3"/>
        <v>25</v>
      </c>
      <c r="K20" s="161">
        <v>14.5</v>
      </c>
      <c r="L20" s="162">
        <f t="shared" si="2"/>
        <v>362.5</v>
      </c>
      <c r="M20" s="156"/>
      <c r="N20" s="160"/>
    </row>
    <row r="21" s="140" customFormat="1" spans="1:14">
      <c r="A21" s="156" t="s">
        <v>15</v>
      </c>
      <c r="B21" s="157">
        <v>45830</v>
      </c>
      <c r="C21" s="158">
        <v>68</v>
      </c>
      <c r="D21" s="147" t="s">
        <v>33</v>
      </c>
      <c r="E21" s="147"/>
      <c r="F21" s="147"/>
      <c r="G21" s="159" t="s">
        <v>34</v>
      </c>
      <c r="H21" s="160">
        <v>1</v>
      </c>
      <c r="I21" s="160">
        <v>20</v>
      </c>
      <c r="J21" s="160">
        <f t="shared" si="3"/>
        <v>20</v>
      </c>
      <c r="K21" s="161">
        <v>13.5</v>
      </c>
      <c r="L21" s="162">
        <f t="shared" si="2"/>
        <v>270</v>
      </c>
      <c r="M21" s="156"/>
      <c r="N21" s="160"/>
    </row>
    <row r="22" s="140" customFormat="1" spans="1:14">
      <c r="A22" s="156" t="s">
        <v>15</v>
      </c>
      <c r="B22" s="157">
        <v>45830</v>
      </c>
      <c r="C22" s="158">
        <v>68</v>
      </c>
      <c r="D22" s="147" t="s">
        <v>21</v>
      </c>
      <c r="E22" s="147"/>
      <c r="F22" s="147"/>
      <c r="G22" s="159" t="s">
        <v>22</v>
      </c>
      <c r="H22" s="160">
        <v>2</v>
      </c>
      <c r="I22" s="160">
        <v>18</v>
      </c>
      <c r="J22" s="160">
        <f t="shared" si="3"/>
        <v>36</v>
      </c>
      <c r="K22" s="161">
        <v>7.5</v>
      </c>
      <c r="L22" s="162">
        <f t="shared" si="2"/>
        <v>270</v>
      </c>
      <c r="M22" s="156"/>
      <c r="N22" s="160">
        <f>SUM(L18:L22)</f>
        <v>1845.1</v>
      </c>
    </row>
    <row r="23" s="138" customFormat="1" spans="1:14">
      <c r="A23" s="101" t="s">
        <v>15</v>
      </c>
      <c r="B23" s="145">
        <v>45831</v>
      </c>
      <c r="C23" s="146">
        <v>71</v>
      </c>
      <c r="D23" s="150">
        <v>632</v>
      </c>
      <c r="E23" s="150"/>
      <c r="F23" s="150"/>
      <c r="G23" s="163" t="s">
        <v>16</v>
      </c>
      <c r="H23" s="149">
        <v>3</v>
      </c>
      <c r="I23" s="149">
        <v>28</v>
      </c>
      <c r="J23" s="149">
        <f t="shared" si="3"/>
        <v>84</v>
      </c>
      <c r="K23" s="164">
        <v>7.2</v>
      </c>
      <c r="L23" s="151">
        <f t="shared" si="2"/>
        <v>604.8</v>
      </c>
      <c r="M23" s="101"/>
      <c r="N23" s="149"/>
    </row>
    <row r="24" s="138" customFormat="1" spans="1:14">
      <c r="A24" s="101" t="s">
        <v>15</v>
      </c>
      <c r="B24" s="145">
        <v>45831</v>
      </c>
      <c r="C24" s="146">
        <v>71</v>
      </c>
      <c r="D24" s="150" t="s">
        <v>17</v>
      </c>
      <c r="E24" s="150"/>
      <c r="F24" s="150"/>
      <c r="G24" s="163" t="s">
        <v>18</v>
      </c>
      <c r="H24" s="149">
        <v>3</v>
      </c>
      <c r="I24" s="149">
        <v>25</v>
      </c>
      <c r="J24" s="149">
        <f t="shared" si="3"/>
        <v>75</v>
      </c>
      <c r="K24" s="164">
        <v>10</v>
      </c>
      <c r="L24" s="151">
        <f t="shared" si="2"/>
        <v>750</v>
      </c>
      <c r="M24" s="101"/>
      <c r="N24" s="149"/>
    </row>
    <row r="25" s="138" customFormat="1" spans="1:14">
      <c r="A25" s="101" t="s">
        <v>15</v>
      </c>
      <c r="B25" s="145">
        <v>45831</v>
      </c>
      <c r="C25" s="146">
        <v>71</v>
      </c>
      <c r="D25" s="150" t="s">
        <v>40</v>
      </c>
      <c r="E25" s="150"/>
      <c r="F25" s="150"/>
      <c r="G25" s="163" t="s">
        <v>41</v>
      </c>
      <c r="H25" s="149">
        <v>1</v>
      </c>
      <c r="I25" s="149">
        <v>180</v>
      </c>
      <c r="J25" s="149">
        <f t="shared" si="3"/>
        <v>180</v>
      </c>
      <c r="K25" s="164">
        <v>4.2</v>
      </c>
      <c r="L25" s="151">
        <f t="shared" si="2"/>
        <v>756</v>
      </c>
      <c r="M25" s="101"/>
      <c r="N25" s="149"/>
    </row>
    <row r="26" s="138" customFormat="1" spans="1:14">
      <c r="A26" s="101" t="s">
        <v>15</v>
      </c>
      <c r="B26" s="145">
        <v>45831</v>
      </c>
      <c r="C26" s="146">
        <v>71</v>
      </c>
      <c r="D26" s="150" t="s">
        <v>21</v>
      </c>
      <c r="E26" s="150"/>
      <c r="F26" s="150"/>
      <c r="G26" s="163" t="s">
        <v>22</v>
      </c>
      <c r="H26" s="149">
        <v>1</v>
      </c>
      <c r="I26" s="149">
        <v>180</v>
      </c>
      <c r="J26" s="149">
        <f t="shared" si="3"/>
        <v>180</v>
      </c>
      <c r="K26" s="164">
        <v>7.5</v>
      </c>
      <c r="L26" s="151">
        <f t="shared" si="2"/>
        <v>1350</v>
      </c>
      <c r="M26" s="101"/>
      <c r="N26" s="149">
        <f>SUM(L23:L26)</f>
        <v>3460.8</v>
      </c>
    </row>
    <row r="27" s="140" customFormat="1" spans="1:14">
      <c r="A27" s="156" t="s">
        <v>15</v>
      </c>
      <c r="B27" s="157">
        <v>45833</v>
      </c>
      <c r="C27" s="158" t="s">
        <v>42</v>
      </c>
      <c r="D27" s="147" t="s">
        <v>17</v>
      </c>
      <c r="E27" s="147"/>
      <c r="F27" s="147"/>
      <c r="G27" s="159" t="s">
        <v>18</v>
      </c>
      <c r="H27" s="160">
        <v>5</v>
      </c>
      <c r="I27" s="160">
        <v>25</v>
      </c>
      <c r="J27" s="160">
        <f t="shared" si="3"/>
        <v>125</v>
      </c>
      <c r="K27" s="161">
        <v>10</v>
      </c>
      <c r="L27" s="162">
        <f t="shared" si="2"/>
        <v>1250</v>
      </c>
      <c r="M27" s="156" t="s">
        <v>43</v>
      </c>
      <c r="N27" s="160"/>
    </row>
    <row r="28" s="140" customFormat="1" spans="1:14">
      <c r="A28" s="156" t="s">
        <v>15</v>
      </c>
      <c r="B28" s="157">
        <v>45833</v>
      </c>
      <c r="C28" s="158" t="s">
        <v>42</v>
      </c>
      <c r="D28" s="147" t="s">
        <v>25</v>
      </c>
      <c r="E28" s="147"/>
      <c r="F28" s="147"/>
      <c r="G28" s="159" t="s">
        <v>26</v>
      </c>
      <c r="H28" s="160">
        <v>3</v>
      </c>
      <c r="I28" s="160">
        <v>25</v>
      </c>
      <c r="J28" s="160">
        <f t="shared" ref="J28:J58" si="4">H28*I28</f>
        <v>75</v>
      </c>
      <c r="K28" s="161">
        <v>13.8</v>
      </c>
      <c r="L28" s="162">
        <f t="shared" ref="L28:L35" si="5">J28*K28</f>
        <v>1035</v>
      </c>
      <c r="M28" s="156"/>
      <c r="N28" s="160"/>
    </row>
    <row r="29" s="140" customFormat="1" spans="1:14">
      <c r="A29" s="156" t="s">
        <v>15</v>
      </c>
      <c r="B29" s="157">
        <v>45833</v>
      </c>
      <c r="C29" s="158" t="s">
        <v>42</v>
      </c>
      <c r="D29" s="147" t="s">
        <v>29</v>
      </c>
      <c r="E29" s="147"/>
      <c r="F29" s="147"/>
      <c r="G29" s="159" t="s">
        <v>30</v>
      </c>
      <c r="H29" s="160">
        <v>5</v>
      </c>
      <c r="I29" s="160">
        <v>26</v>
      </c>
      <c r="J29" s="160">
        <f t="shared" si="4"/>
        <v>130</v>
      </c>
      <c r="K29" s="161">
        <v>13.8</v>
      </c>
      <c r="L29" s="162">
        <f t="shared" si="5"/>
        <v>1794</v>
      </c>
      <c r="M29" s="156"/>
      <c r="N29" s="160"/>
    </row>
    <row r="30" s="140" customFormat="1" spans="1:14">
      <c r="A30" s="156" t="s">
        <v>15</v>
      </c>
      <c r="B30" s="157">
        <v>45833</v>
      </c>
      <c r="C30" s="158" t="s">
        <v>42</v>
      </c>
      <c r="D30" s="147" t="s">
        <v>33</v>
      </c>
      <c r="E30" s="147"/>
      <c r="F30" s="147"/>
      <c r="G30" s="159" t="s">
        <v>34</v>
      </c>
      <c r="H30" s="160">
        <v>5</v>
      </c>
      <c r="I30" s="160">
        <v>20</v>
      </c>
      <c r="J30" s="160">
        <f t="shared" si="4"/>
        <v>100</v>
      </c>
      <c r="K30" s="161">
        <v>13.5</v>
      </c>
      <c r="L30" s="162">
        <f t="shared" si="5"/>
        <v>1350</v>
      </c>
      <c r="M30" s="156"/>
      <c r="N30" s="160">
        <f>SUM(L27:L30)</f>
        <v>5429</v>
      </c>
    </row>
    <row r="31" s="138" customFormat="1" spans="1:14">
      <c r="A31" s="101" t="s">
        <v>15</v>
      </c>
      <c r="B31" s="145">
        <v>45836</v>
      </c>
      <c r="C31" s="146">
        <v>91</v>
      </c>
      <c r="D31" s="150" t="s">
        <v>29</v>
      </c>
      <c r="E31" s="150"/>
      <c r="F31" s="150"/>
      <c r="G31" s="163" t="s">
        <v>30</v>
      </c>
      <c r="H31" s="149">
        <v>3</v>
      </c>
      <c r="I31" s="149">
        <v>25</v>
      </c>
      <c r="J31" s="149">
        <f t="shared" si="4"/>
        <v>75</v>
      </c>
      <c r="K31" s="164">
        <v>13.8</v>
      </c>
      <c r="L31" s="151">
        <f t="shared" si="5"/>
        <v>1035</v>
      </c>
      <c r="M31" s="101"/>
      <c r="N31" s="149"/>
    </row>
    <row r="32" s="138" customFormat="1" spans="1:14">
      <c r="A32" s="101" t="s">
        <v>15</v>
      </c>
      <c r="B32" s="145">
        <v>45836</v>
      </c>
      <c r="C32" s="146">
        <v>91</v>
      </c>
      <c r="D32" s="150" t="s">
        <v>33</v>
      </c>
      <c r="E32" s="150"/>
      <c r="F32" s="150"/>
      <c r="G32" s="163" t="s">
        <v>34</v>
      </c>
      <c r="H32" s="149">
        <v>2</v>
      </c>
      <c r="I32" s="149">
        <v>20</v>
      </c>
      <c r="J32" s="149">
        <f t="shared" si="4"/>
        <v>40</v>
      </c>
      <c r="K32" s="164">
        <v>13.5</v>
      </c>
      <c r="L32" s="151">
        <f t="shared" si="5"/>
        <v>540</v>
      </c>
      <c r="M32" s="101"/>
      <c r="N32" s="149">
        <f>SUM(L29:L32)</f>
        <v>4719</v>
      </c>
    </row>
    <row r="33" s="138" customFormat="1" spans="1:15">
      <c r="A33" s="101" t="s">
        <v>15</v>
      </c>
      <c r="B33" s="145">
        <v>45836</v>
      </c>
      <c r="C33" s="146">
        <v>91</v>
      </c>
      <c r="D33" s="150" t="s">
        <v>19</v>
      </c>
      <c r="E33" s="150"/>
      <c r="F33" s="150"/>
      <c r="G33" s="163" t="s">
        <v>20</v>
      </c>
      <c r="H33" s="149">
        <v>1</v>
      </c>
      <c r="I33" s="149">
        <v>180</v>
      </c>
      <c r="J33" s="149">
        <f t="shared" si="4"/>
        <v>180</v>
      </c>
      <c r="K33" s="164">
        <v>4.2</v>
      </c>
      <c r="L33" s="151">
        <f t="shared" si="5"/>
        <v>756</v>
      </c>
      <c r="M33" s="101"/>
      <c r="N33" s="149"/>
    </row>
    <row r="34" s="138" customFormat="1" spans="1:15">
      <c r="A34" s="101" t="s">
        <v>15</v>
      </c>
      <c r="B34" s="145">
        <v>45836</v>
      </c>
      <c r="C34" s="146">
        <v>91</v>
      </c>
      <c r="D34" s="150" t="s">
        <v>21</v>
      </c>
      <c r="E34" s="150"/>
      <c r="F34" s="150"/>
      <c r="G34" s="163" t="s">
        <v>22</v>
      </c>
      <c r="H34" s="149">
        <v>-1</v>
      </c>
      <c r="I34" s="149">
        <v>110</v>
      </c>
      <c r="J34" s="149">
        <f t="shared" si="4"/>
        <v>-110</v>
      </c>
      <c r="K34" s="164">
        <v>7.5</v>
      </c>
      <c r="L34" s="151">
        <f t="shared" si="5"/>
        <v>-825</v>
      </c>
      <c r="M34" s="101" t="s">
        <v>44</v>
      </c>
      <c r="N34" s="149">
        <f>SUM(L31:L35)</f>
        <v>2256</v>
      </c>
    </row>
    <row r="35" s="138" customFormat="1" spans="1:15">
      <c r="A35" s="101" t="s">
        <v>15</v>
      </c>
      <c r="B35" s="145">
        <v>45836</v>
      </c>
      <c r="C35" s="146">
        <v>91</v>
      </c>
      <c r="D35" s="150" t="s">
        <v>17</v>
      </c>
      <c r="E35" s="150"/>
      <c r="F35" s="150"/>
      <c r="G35" s="163" t="s">
        <v>18</v>
      </c>
      <c r="H35" s="149">
        <v>3</v>
      </c>
      <c r="I35" s="149">
        <v>25</v>
      </c>
      <c r="J35" s="149">
        <f t="shared" si="4"/>
        <v>75</v>
      </c>
      <c r="K35" s="164">
        <v>10</v>
      </c>
      <c r="L35" s="151">
        <f t="shared" si="5"/>
        <v>750</v>
      </c>
      <c r="M35" s="101" t="s">
        <v>43</v>
      </c>
      <c r="N35" s="149"/>
    </row>
    <row r="36" s="141" customFormat="1" spans="1:15">
      <c r="A36" s="156" t="s">
        <v>15</v>
      </c>
      <c r="B36" s="165">
        <v>45838</v>
      </c>
      <c r="C36" s="166"/>
      <c r="D36" s="167" t="s">
        <v>45</v>
      </c>
      <c r="E36" s="167"/>
      <c r="F36" s="167"/>
      <c r="G36" s="148" t="s">
        <v>46</v>
      </c>
      <c r="H36" s="168">
        <v>1</v>
      </c>
      <c r="I36" s="168">
        <v>3</v>
      </c>
      <c r="J36" s="168">
        <f t="shared" si="4"/>
        <v>3</v>
      </c>
      <c r="K36" s="169"/>
      <c r="L36" s="170"/>
      <c r="M36" s="171" t="s">
        <v>47</v>
      </c>
      <c r="N36" s="168"/>
    </row>
    <row r="37" s="140" customFormat="1" spans="1:15">
      <c r="A37" s="156" t="s">
        <v>15</v>
      </c>
      <c r="B37" s="157">
        <v>45839</v>
      </c>
      <c r="C37" s="158" t="s">
        <v>48</v>
      </c>
      <c r="D37" s="147" t="s">
        <v>17</v>
      </c>
      <c r="E37" s="147"/>
      <c r="F37" s="147"/>
      <c r="G37" s="159" t="s">
        <v>18</v>
      </c>
      <c r="H37" s="160">
        <v>1</v>
      </c>
      <c r="I37" s="160">
        <v>25</v>
      </c>
      <c r="J37" s="160">
        <f t="shared" si="4"/>
        <v>25</v>
      </c>
      <c r="K37" s="161"/>
      <c r="L37" s="162">
        <f t="shared" ref="L37:L46" si="6">J37*K37</f>
        <v>0</v>
      </c>
      <c r="M37" s="156" t="s">
        <v>49</v>
      </c>
      <c r="N37" s="160"/>
    </row>
    <row r="38" s="138" customFormat="1" spans="1:15">
      <c r="A38" s="101" t="s">
        <v>15</v>
      </c>
      <c r="B38" s="145">
        <v>45842</v>
      </c>
      <c r="C38" s="146">
        <v>4</v>
      </c>
      <c r="D38" s="150" t="s">
        <v>17</v>
      </c>
      <c r="E38" s="150"/>
      <c r="F38" s="150"/>
      <c r="G38" s="163" t="s">
        <v>18</v>
      </c>
      <c r="H38" s="149">
        <v>4</v>
      </c>
      <c r="I38" s="149">
        <v>25</v>
      </c>
      <c r="J38" s="149">
        <f t="shared" si="4"/>
        <v>100</v>
      </c>
      <c r="K38" s="164">
        <v>10</v>
      </c>
      <c r="L38" s="151">
        <f t="shared" si="6"/>
        <v>1000</v>
      </c>
      <c r="M38" s="101" t="s">
        <v>49</v>
      </c>
      <c r="N38" s="149"/>
    </row>
    <row r="39" s="138" customFormat="1" spans="1:15">
      <c r="A39" s="101" t="s">
        <v>15</v>
      </c>
      <c r="B39" s="145">
        <v>45842</v>
      </c>
      <c r="C39" s="146">
        <v>4</v>
      </c>
      <c r="D39" s="150">
        <v>632</v>
      </c>
      <c r="E39" s="150"/>
      <c r="F39" s="150"/>
      <c r="G39" s="163" t="s">
        <v>16</v>
      </c>
      <c r="H39" s="149">
        <v>5</v>
      </c>
      <c r="I39" s="149">
        <v>28</v>
      </c>
      <c r="J39" s="149">
        <f t="shared" si="4"/>
        <v>140</v>
      </c>
      <c r="K39" s="164">
        <v>7.2</v>
      </c>
      <c r="L39" s="151">
        <f t="shared" si="6"/>
        <v>1008</v>
      </c>
      <c r="M39" s="101" t="s">
        <v>50</v>
      </c>
      <c r="N39" s="149"/>
    </row>
    <row r="40" s="140" customFormat="1" spans="1:15">
      <c r="A40" s="156" t="s">
        <v>15</v>
      </c>
      <c r="B40" s="157">
        <v>45843</v>
      </c>
      <c r="C40" s="158">
        <v>16</v>
      </c>
      <c r="D40" s="147" t="s">
        <v>27</v>
      </c>
      <c r="E40" s="147"/>
      <c r="F40" s="147"/>
      <c r="G40" s="159" t="s">
        <v>28</v>
      </c>
      <c r="H40" s="160">
        <v>3</v>
      </c>
      <c r="I40" s="160">
        <v>25</v>
      </c>
      <c r="J40" s="160">
        <f t="shared" si="4"/>
        <v>75</v>
      </c>
      <c r="K40" s="161">
        <v>14.5</v>
      </c>
      <c r="L40" s="162">
        <f t="shared" si="6"/>
        <v>1087.5</v>
      </c>
      <c r="M40" s="156"/>
      <c r="N40" s="160"/>
    </row>
    <row r="41" s="140" customFormat="1" spans="1:15">
      <c r="A41" s="156" t="s">
        <v>15</v>
      </c>
      <c r="B41" s="157">
        <v>45843</v>
      </c>
      <c r="C41" s="158">
        <v>16</v>
      </c>
      <c r="D41" s="147" t="s">
        <v>51</v>
      </c>
      <c r="E41" s="147"/>
      <c r="F41" s="147"/>
      <c r="G41" s="159" t="s">
        <v>52</v>
      </c>
      <c r="H41" s="160">
        <v>6</v>
      </c>
      <c r="I41" s="160">
        <v>20</v>
      </c>
      <c r="J41" s="160">
        <f t="shared" si="4"/>
        <v>120</v>
      </c>
      <c r="K41" s="161">
        <v>19.8</v>
      </c>
      <c r="L41" s="162">
        <f t="shared" si="6"/>
        <v>2376</v>
      </c>
      <c r="M41" s="172" t="s">
        <v>53</v>
      </c>
      <c r="N41" s="173"/>
      <c r="O41" s="173"/>
    </row>
    <row r="42" s="140" customFormat="1" spans="1:15">
      <c r="A42" s="156" t="s">
        <v>15</v>
      </c>
      <c r="B42" s="157">
        <v>45843</v>
      </c>
      <c r="C42" s="158">
        <v>16</v>
      </c>
      <c r="D42" s="147" t="s">
        <v>33</v>
      </c>
      <c r="E42" s="147"/>
      <c r="F42" s="147"/>
      <c r="G42" s="159" t="s">
        <v>34</v>
      </c>
      <c r="H42" s="160">
        <v>3</v>
      </c>
      <c r="I42" s="160">
        <v>20</v>
      </c>
      <c r="J42" s="160">
        <f t="shared" si="4"/>
        <v>60</v>
      </c>
      <c r="K42" s="161">
        <v>13.5</v>
      </c>
      <c r="L42" s="162">
        <f t="shared" si="6"/>
        <v>810</v>
      </c>
      <c r="M42" s="156"/>
      <c r="N42" s="160"/>
    </row>
    <row r="43" s="140" customFormat="1" spans="1:15">
      <c r="A43" s="156" t="s">
        <v>15</v>
      </c>
      <c r="B43" s="157">
        <v>45843</v>
      </c>
      <c r="C43" s="158">
        <v>16</v>
      </c>
      <c r="D43" s="147" t="s">
        <v>21</v>
      </c>
      <c r="E43" s="147"/>
      <c r="F43" s="147"/>
      <c r="G43" s="159" t="s">
        <v>22</v>
      </c>
      <c r="H43" s="160">
        <v>1</v>
      </c>
      <c r="I43" s="160">
        <v>180</v>
      </c>
      <c r="J43" s="160">
        <f t="shared" si="4"/>
        <v>180</v>
      </c>
      <c r="K43" s="161">
        <v>7.5</v>
      </c>
      <c r="L43" s="162">
        <f t="shared" si="6"/>
        <v>1350</v>
      </c>
      <c r="M43" s="156">
        <f>SUM(L40:L43)</f>
        <v>5623.5</v>
      </c>
      <c r="N43" s="160"/>
    </row>
    <row r="44" s="141" customFormat="1" spans="1:15">
      <c r="A44" s="171" t="s">
        <v>15</v>
      </c>
      <c r="B44" s="165">
        <v>45843</v>
      </c>
      <c r="C44" s="166" t="s">
        <v>54</v>
      </c>
      <c r="D44" s="167" t="s">
        <v>17</v>
      </c>
      <c r="E44" s="167"/>
      <c r="F44" s="167"/>
      <c r="G44" s="148" t="s">
        <v>18</v>
      </c>
      <c r="H44" s="168">
        <v>7</v>
      </c>
      <c r="I44" s="168">
        <v>25</v>
      </c>
      <c r="J44" s="168">
        <f t="shared" si="4"/>
        <v>175</v>
      </c>
      <c r="K44" s="169"/>
      <c r="L44" s="170"/>
      <c r="M44" s="141" t="s">
        <v>55</v>
      </c>
      <c r="N44" s="171"/>
    </row>
    <row r="45" s="141" customFormat="1" spans="1:15">
      <c r="A45" s="171" t="s">
        <v>15</v>
      </c>
      <c r="B45" s="165">
        <v>45843</v>
      </c>
      <c r="C45" s="166" t="s">
        <v>54</v>
      </c>
      <c r="D45" s="167">
        <v>632</v>
      </c>
      <c r="E45" s="167"/>
      <c r="F45" s="167"/>
      <c r="G45" s="148" t="s">
        <v>16</v>
      </c>
      <c r="H45" s="168">
        <v>3</v>
      </c>
      <c r="I45" s="168">
        <v>28</v>
      </c>
      <c r="J45" s="168">
        <f t="shared" si="4"/>
        <v>84</v>
      </c>
      <c r="K45" s="169"/>
      <c r="L45" s="170"/>
      <c r="M45" s="101" t="s">
        <v>50</v>
      </c>
      <c r="N45" s="168"/>
    </row>
    <row r="46" s="140" customFormat="1" spans="1:15">
      <c r="A46" s="156" t="s">
        <v>15</v>
      </c>
      <c r="B46" s="157">
        <v>45845</v>
      </c>
      <c r="C46" s="158">
        <v>22</v>
      </c>
      <c r="D46" s="147" t="s">
        <v>17</v>
      </c>
      <c r="E46" s="147"/>
      <c r="F46" s="147"/>
      <c r="G46" s="159" t="s">
        <v>18</v>
      </c>
      <c r="H46" s="168">
        <v>5</v>
      </c>
      <c r="I46" s="160">
        <v>25</v>
      </c>
      <c r="J46" s="160">
        <f t="shared" si="4"/>
        <v>125</v>
      </c>
      <c r="K46" s="161"/>
      <c r="L46" s="162"/>
      <c r="M46" s="156" t="s">
        <v>56</v>
      </c>
      <c r="N46" s="160"/>
    </row>
    <row r="47" s="140" customFormat="1" spans="1:15">
      <c r="A47" s="156" t="s">
        <v>15</v>
      </c>
      <c r="B47" s="157">
        <v>45845</v>
      </c>
      <c r="C47" s="158">
        <v>22</v>
      </c>
      <c r="D47" s="147">
        <v>632</v>
      </c>
      <c r="E47" s="147"/>
      <c r="F47" s="147"/>
      <c r="G47" s="159" t="s">
        <v>16</v>
      </c>
      <c r="H47" s="160">
        <v>3</v>
      </c>
      <c r="I47" s="160">
        <v>28</v>
      </c>
      <c r="J47" s="160">
        <f t="shared" si="4"/>
        <v>84</v>
      </c>
      <c r="K47" s="161"/>
      <c r="L47" s="162"/>
      <c r="M47" s="156" t="s">
        <v>57</v>
      </c>
      <c r="N47" s="160"/>
    </row>
    <row r="48" s="140" customFormat="1" spans="1:15">
      <c r="A48" s="156" t="s">
        <v>15</v>
      </c>
      <c r="B48" s="157">
        <v>45845</v>
      </c>
      <c r="C48" s="158">
        <v>22</v>
      </c>
      <c r="D48" s="147">
        <v>632</v>
      </c>
      <c r="E48" s="147"/>
      <c r="F48" s="147"/>
      <c r="G48" s="159" t="s">
        <v>16</v>
      </c>
      <c r="H48" s="160">
        <v>7</v>
      </c>
      <c r="I48" s="160">
        <v>28</v>
      </c>
      <c r="J48" s="160">
        <f t="shared" si="4"/>
        <v>196</v>
      </c>
      <c r="K48" s="161">
        <v>7.2</v>
      </c>
      <c r="L48" s="162">
        <f t="shared" ref="L48:L58" si="7">J48*K48</f>
        <v>1411.2</v>
      </c>
      <c r="M48" s="156" t="s">
        <v>50</v>
      </c>
      <c r="N48" s="160"/>
    </row>
    <row r="49" s="138" customFormat="1" spans="1:15">
      <c r="A49" s="101" t="s">
        <v>15</v>
      </c>
      <c r="B49" s="145">
        <v>45847</v>
      </c>
      <c r="C49" s="146">
        <v>30</v>
      </c>
      <c r="D49" s="150" t="s">
        <v>51</v>
      </c>
      <c r="E49" s="150"/>
      <c r="F49" s="150"/>
      <c r="G49" s="163" t="s">
        <v>52</v>
      </c>
      <c r="H49" s="149">
        <v>5</v>
      </c>
      <c r="I49" s="149">
        <v>20</v>
      </c>
      <c r="J49" s="149">
        <f t="shared" si="4"/>
        <v>100</v>
      </c>
      <c r="K49" s="164">
        <v>19.8</v>
      </c>
      <c r="L49" s="151">
        <f t="shared" si="7"/>
        <v>1980</v>
      </c>
      <c r="M49" s="174" t="s">
        <v>53</v>
      </c>
      <c r="N49" s="174"/>
      <c r="O49" s="174"/>
    </row>
    <row r="50" s="138" customFormat="1" spans="1:15">
      <c r="A50" s="101" t="s">
        <v>15</v>
      </c>
      <c r="B50" s="145">
        <v>45847</v>
      </c>
      <c r="C50" s="146">
        <v>30</v>
      </c>
      <c r="D50" s="150" t="s">
        <v>33</v>
      </c>
      <c r="E50" s="150"/>
      <c r="F50" s="150"/>
      <c r="G50" s="163" t="s">
        <v>34</v>
      </c>
      <c r="H50" s="149">
        <v>5</v>
      </c>
      <c r="I50" s="149">
        <v>20</v>
      </c>
      <c r="J50" s="149">
        <f t="shared" si="4"/>
        <v>100</v>
      </c>
      <c r="K50" s="164">
        <v>13.5</v>
      </c>
      <c r="L50" s="151">
        <f t="shared" si="7"/>
        <v>1350</v>
      </c>
      <c r="M50" s="101"/>
      <c r="N50" s="149"/>
    </row>
    <row r="51" s="138" customFormat="1" spans="1:15">
      <c r="A51" s="101" t="s">
        <v>15</v>
      </c>
      <c r="B51" s="145">
        <v>45847</v>
      </c>
      <c r="C51" s="146">
        <v>30</v>
      </c>
      <c r="D51" s="150" t="s">
        <v>19</v>
      </c>
      <c r="E51" s="150"/>
      <c r="F51" s="150"/>
      <c r="G51" s="163" t="s">
        <v>20</v>
      </c>
      <c r="H51" s="149">
        <v>1</v>
      </c>
      <c r="I51" s="149">
        <v>180</v>
      </c>
      <c r="J51" s="149">
        <f t="shared" si="4"/>
        <v>180</v>
      </c>
      <c r="K51" s="164">
        <v>4.2</v>
      </c>
      <c r="L51" s="151">
        <f t="shared" si="7"/>
        <v>756</v>
      </c>
      <c r="M51" s="101"/>
      <c r="N51" s="149"/>
    </row>
    <row r="52" s="138" customFormat="1" spans="1:15">
      <c r="A52" s="101" t="s">
        <v>15</v>
      </c>
      <c r="B52" s="145">
        <v>45847</v>
      </c>
      <c r="C52" s="146">
        <v>30</v>
      </c>
      <c r="D52" s="150" t="s">
        <v>40</v>
      </c>
      <c r="E52" s="150"/>
      <c r="F52" s="150"/>
      <c r="G52" s="163" t="s">
        <v>41</v>
      </c>
      <c r="H52" s="149">
        <v>1</v>
      </c>
      <c r="I52" s="149">
        <v>180</v>
      </c>
      <c r="J52" s="149">
        <f t="shared" si="4"/>
        <v>180</v>
      </c>
      <c r="K52" s="164">
        <v>4.2</v>
      </c>
      <c r="L52" s="151">
        <f t="shared" si="7"/>
        <v>756</v>
      </c>
      <c r="M52" s="101">
        <f>SUM(L49:L52)</f>
        <v>4842</v>
      </c>
      <c r="N52" s="149"/>
    </row>
    <row r="53" s="140" customFormat="1" spans="1:15">
      <c r="A53" s="156" t="s">
        <v>15</v>
      </c>
      <c r="B53" s="157">
        <v>45850</v>
      </c>
      <c r="C53" s="158">
        <v>45</v>
      </c>
      <c r="D53" s="147" t="s">
        <v>37</v>
      </c>
      <c r="E53" s="147"/>
      <c r="F53" s="147"/>
      <c r="G53" s="159" t="s">
        <v>38</v>
      </c>
      <c r="H53" s="160">
        <v>1</v>
      </c>
      <c r="I53" s="160">
        <v>21</v>
      </c>
      <c r="J53" s="160">
        <f t="shared" si="4"/>
        <v>21</v>
      </c>
      <c r="K53" s="161">
        <v>19.8</v>
      </c>
      <c r="L53" s="162">
        <f t="shared" si="7"/>
        <v>415.8</v>
      </c>
      <c r="M53" s="156"/>
      <c r="N53" s="160"/>
    </row>
    <row r="54" s="140" customFormat="1" spans="1:15">
      <c r="A54" s="156" t="s">
        <v>15</v>
      </c>
      <c r="B54" s="157">
        <v>45850</v>
      </c>
      <c r="C54" s="158">
        <v>45</v>
      </c>
      <c r="D54" s="147" t="s">
        <v>39</v>
      </c>
      <c r="E54" s="147"/>
      <c r="F54" s="147"/>
      <c r="G54" s="159" t="s">
        <v>28</v>
      </c>
      <c r="H54" s="160">
        <v>1</v>
      </c>
      <c r="I54" s="160">
        <v>25</v>
      </c>
      <c r="J54" s="160">
        <f t="shared" si="4"/>
        <v>25</v>
      </c>
      <c r="K54" s="161">
        <v>14.5</v>
      </c>
      <c r="L54" s="162">
        <f t="shared" si="7"/>
        <v>362.5</v>
      </c>
      <c r="M54" s="156"/>
      <c r="N54" s="160"/>
    </row>
    <row r="55" s="140" customFormat="1" spans="1:15">
      <c r="A55" s="156" t="s">
        <v>15</v>
      </c>
      <c r="B55" s="157">
        <v>45850</v>
      </c>
      <c r="C55" s="158">
        <v>45</v>
      </c>
      <c r="D55" s="147" t="s">
        <v>58</v>
      </c>
      <c r="E55" s="147"/>
      <c r="F55" s="147"/>
      <c r="G55" s="159" t="s">
        <v>30</v>
      </c>
      <c r="H55" s="160">
        <v>3</v>
      </c>
      <c r="I55" s="160">
        <v>26</v>
      </c>
      <c r="J55" s="160">
        <f t="shared" si="4"/>
        <v>78</v>
      </c>
      <c r="K55" s="161">
        <v>13.8</v>
      </c>
      <c r="L55" s="162">
        <f t="shared" si="7"/>
        <v>1076.4</v>
      </c>
      <c r="M55" s="156"/>
      <c r="N55" s="160"/>
    </row>
    <row r="56" s="140" customFormat="1" spans="1:15">
      <c r="A56" s="156" t="s">
        <v>15</v>
      </c>
      <c r="B56" s="157">
        <v>45850</v>
      </c>
      <c r="C56" s="158">
        <v>45</v>
      </c>
      <c r="D56" s="147" t="s">
        <v>59</v>
      </c>
      <c r="E56" s="147"/>
      <c r="F56" s="147"/>
      <c r="G56" s="159" t="s">
        <v>60</v>
      </c>
      <c r="H56" s="160">
        <v>1</v>
      </c>
      <c r="I56" s="160">
        <v>20</v>
      </c>
      <c r="J56" s="160">
        <f t="shared" ref="J56:J76" si="8">H56*I56</f>
        <v>20</v>
      </c>
      <c r="K56" s="161">
        <v>19.8</v>
      </c>
      <c r="L56" s="162">
        <f t="shared" ref="L56:L63" si="9">J56*K56</f>
        <v>396</v>
      </c>
      <c r="M56" s="156"/>
      <c r="N56" s="160"/>
    </row>
    <row r="57" s="140" customFormat="1" spans="1:15">
      <c r="A57" s="156" t="s">
        <v>15</v>
      </c>
      <c r="B57" s="157">
        <v>45850</v>
      </c>
      <c r="C57" s="158">
        <v>45</v>
      </c>
      <c r="D57" s="147" t="s">
        <v>61</v>
      </c>
      <c r="E57" s="147"/>
      <c r="F57" s="147"/>
      <c r="G57" s="159" t="s">
        <v>62</v>
      </c>
      <c r="H57" s="160">
        <v>1</v>
      </c>
      <c r="I57" s="160">
        <v>26</v>
      </c>
      <c r="J57" s="160">
        <f t="shared" si="8"/>
        <v>26</v>
      </c>
      <c r="K57" s="161">
        <v>13.8</v>
      </c>
      <c r="L57" s="162">
        <f t="shared" si="9"/>
        <v>358.8</v>
      </c>
      <c r="M57" s="171" t="s">
        <v>63</v>
      </c>
      <c r="N57" s="160"/>
    </row>
    <row r="58" s="140" customFormat="1" spans="1:15">
      <c r="A58" s="156" t="s">
        <v>15</v>
      </c>
      <c r="B58" s="157">
        <v>45850</v>
      </c>
      <c r="C58" s="158">
        <v>45</v>
      </c>
      <c r="D58" s="147" t="s">
        <v>64</v>
      </c>
      <c r="E58" s="147"/>
      <c r="F58" s="147"/>
      <c r="G58" s="159" t="s">
        <v>62</v>
      </c>
      <c r="H58" s="160">
        <v>1</v>
      </c>
      <c r="I58" s="160">
        <v>26</v>
      </c>
      <c r="J58" s="160">
        <f t="shared" si="8"/>
        <v>26</v>
      </c>
      <c r="K58" s="161">
        <v>13.8</v>
      </c>
      <c r="L58" s="162">
        <f t="shared" si="9"/>
        <v>358.8</v>
      </c>
      <c r="M58" s="171" t="s">
        <v>65</v>
      </c>
      <c r="N58" s="160"/>
    </row>
    <row r="59" s="140" customFormat="1" spans="1:15">
      <c r="A59" s="156" t="s">
        <v>15</v>
      </c>
      <c r="B59" s="157">
        <v>45850</v>
      </c>
      <c r="C59" s="158">
        <v>45</v>
      </c>
      <c r="D59" s="147" t="s">
        <v>31</v>
      </c>
      <c r="E59" s="147"/>
      <c r="F59" s="147"/>
      <c r="G59" s="159" t="s">
        <v>32</v>
      </c>
      <c r="H59" s="160">
        <v>1</v>
      </c>
      <c r="I59" s="160">
        <v>20</v>
      </c>
      <c r="J59" s="160">
        <f t="shared" si="8"/>
        <v>20</v>
      </c>
      <c r="K59" s="161">
        <v>14.5</v>
      </c>
      <c r="L59" s="162">
        <f t="shared" si="9"/>
        <v>290</v>
      </c>
      <c r="M59" s="156"/>
      <c r="N59" s="160"/>
    </row>
    <row r="60" s="140" customFormat="1" spans="1:15">
      <c r="A60" s="156" t="s">
        <v>15</v>
      </c>
      <c r="B60" s="157">
        <v>45850</v>
      </c>
      <c r="C60" s="158">
        <v>45</v>
      </c>
      <c r="D60" s="147" t="s">
        <v>33</v>
      </c>
      <c r="E60" s="147"/>
      <c r="F60" s="147"/>
      <c r="G60" s="159" t="s">
        <v>34</v>
      </c>
      <c r="H60" s="160">
        <v>4</v>
      </c>
      <c r="I60" s="160">
        <v>20</v>
      </c>
      <c r="J60" s="160">
        <f t="shared" si="8"/>
        <v>80</v>
      </c>
      <c r="K60" s="161">
        <v>13.5</v>
      </c>
      <c r="L60" s="162">
        <f t="shared" si="9"/>
        <v>1080</v>
      </c>
      <c r="M60" s="156"/>
      <c r="N60" s="160">
        <f>SUM(L51:L60)</f>
        <v>5850.3</v>
      </c>
    </row>
    <row r="61" s="140" customFormat="1" spans="1:15">
      <c r="A61" s="156" t="s">
        <v>15</v>
      </c>
      <c r="B61" s="157">
        <v>45850</v>
      </c>
      <c r="C61" s="158">
        <v>45</v>
      </c>
      <c r="D61" s="147" t="s">
        <v>21</v>
      </c>
      <c r="E61" s="147"/>
      <c r="F61" s="147"/>
      <c r="G61" s="159" t="s">
        <v>22</v>
      </c>
      <c r="H61" s="160">
        <v>1</v>
      </c>
      <c r="I61" s="160">
        <v>180</v>
      </c>
      <c r="J61" s="160">
        <f t="shared" si="8"/>
        <v>180</v>
      </c>
      <c r="K61" s="161">
        <v>7.5</v>
      </c>
      <c r="L61" s="162">
        <f t="shared" si="9"/>
        <v>1350</v>
      </c>
      <c r="M61" s="156">
        <f>SUM(L53:L61)</f>
        <v>5688.3</v>
      </c>
      <c r="N61" s="160"/>
    </row>
    <row r="62" s="138" customFormat="1" spans="1:15">
      <c r="A62" s="101" t="s">
        <v>15</v>
      </c>
      <c r="B62" s="145">
        <v>45852</v>
      </c>
      <c r="C62" s="146">
        <v>51</v>
      </c>
      <c r="D62" s="150" t="s">
        <v>17</v>
      </c>
      <c r="E62" s="150"/>
      <c r="F62" s="150"/>
      <c r="G62" s="163" t="s">
        <v>18</v>
      </c>
      <c r="H62" s="149">
        <v>4</v>
      </c>
      <c r="I62" s="149">
        <v>25</v>
      </c>
      <c r="J62" s="149">
        <f t="shared" si="8"/>
        <v>100</v>
      </c>
      <c r="K62" s="164">
        <v>10</v>
      </c>
      <c r="L62" s="151">
        <f t="shared" si="9"/>
        <v>1000</v>
      </c>
      <c r="M62" s="101" t="s">
        <v>56</v>
      </c>
      <c r="N62" s="149"/>
    </row>
    <row r="63" s="138" customFormat="1" spans="1:15">
      <c r="A63" s="101" t="s">
        <v>15</v>
      </c>
      <c r="B63" s="145">
        <v>45852</v>
      </c>
      <c r="C63" s="146">
        <v>51</v>
      </c>
      <c r="D63" s="150" t="s">
        <v>17</v>
      </c>
      <c r="E63" s="150"/>
      <c r="F63" s="150"/>
      <c r="G63" s="163" t="s">
        <v>18</v>
      </c>
      <c r="H63" s="149">
        <v>2</v>
      </c>
      <c r="I63" s="149">
        <v>25</v>
      </c>
      <c r="J63" s="149">
        <f t="shared" si="8"/>
        <v>50</v>
      </c>
      <c r="K63" s="164"/>
      <c r="L63" s="151"/>
      <c r="M63" s="141" t="s">
        <v>66</v>
      </c>
      <c r="N63" s="141" t="s">
        <v>67</v>
      </c>
    </row>
    <row r="64" s="138" customFormat="1" spans="1:15">
      <c r="A64" s="101" t="s">
        <v>15</v>
      </c>
      <c r="B64" s="145">
        <v>45852</v>
      </c>
      <c r="C64" s="146">
        <v>51</v>
      </c>
      <c r="D64" s="150">
        <v>632</v>
      </c>
      <c r="E64" s="150"/>
      <c r="F64" s="150"/>
      <c r="G64" s="163" t="s">
        <v>16</v>
      </c>
      <c r="H64" s="149">
        <v>5</v>
      </c>
      <c r="I64" s="149">
        <v>28</v>
      </c>
      <c r="J64" s="149">
        <f t="shared" si="8"/>
        <v>140</v>
      </c>
      <c r="K64" s="164">
        <v>7.2</v>
      </c>
      <c r="L64" s="151">
        <f t="shared" ref="L64:L67" si="10">J64*K64</f>
        <v>1008</v>
      </c>
      <c r="M64" s="101" t="s">
        <v>50</v>
      </c>
      <c r="N64" s="149"/>
    </row>
    <row r="65" s="140" customFormat="1" spans="1:15">
      <c r="A65" s="156" t="s">
        <v>15</v>
      </c>
      <c r="B65" s="157">
        <v>45854</v>
      </c>
      <c r="C65" s="158">
        <v>57</v>
      </c>
      <c r="D65" s="147">
        <v>632</v>
      </c>
      <c r="E65" s="147"/>
      <c r="F65" s="147"/>
      <c r="G65" s="159" t="s">
        <v>16</v>
      </c>
      <c r="H65" s="160">
        <v>10</v>
      </c>
      <c r="I65" s="160">
        <v>28</v>
      </c>
      <c r="J65" s="160">
        <f t="shared" si="8"/>
        <v>280</v>
      </c>
      <c r="K65" s="161">
        <v>7.2</v>
      </c>
      <c r="L65" s="162">
        <f t="shared" si="10"/>
        <v>2016</v>
      </c>
      <c r="M65" s="156" t="s">
        <v>50</v>
      </c>
      <c r="N65" s="160"/>
    </row>
    <row r="66" s="140" customFormat="1" spans="1:15">
      <c r="A66" s="156" t="s">
        <v>15</v>
      </c>
      <c r="B66" s="157">
        <v>45854</v>
      </c>
      <c r="C66" s="158">
        <v>57</v>
      </c>
      <c r="D66" s="147" t="s">
        <v>19</v>
      </c>
      <c r="E66" s="147"/>
      <c r="F66" s="147"/>
      <c r="G66" s="159" t="s">
        <v>20</v>
      </c>
      <c r="H66" s="160">
        <v>1</v>
      </c>
      <c r="I66" s="160">
        <v>180</v>
      </c>
      <c r="J66" s="160">
        <f t="shared" si="8"/>
        <v>180</v>
      </c>
      <c r="K66" s="161">
        <v>4.2</v>
      </c>
      <c r="L66" s="162">
        <f t="shared" si="10"/>
        <v>756</v>
      </c>
      <c r="M66" s="156"/>
      <c r="N66" s="160"/>
    </row>
    <row r="67" s="140" customFormat="1" spans="1:15">
      <c r="A67" s="156" t="s">
        <v>15</v>
      </c>
      <c r="B67" s="157">
        <v>45854</v>
      </c>
      <c r="C67" s="158">
        <v>57</v>
      </c>
      <c r="D67" s="147" t="s">
        <v>40</v>
      </c>
      <c r="E67" s="147"/>
      <c r="F67" s="147"/>
      <c r="G67" s="159" t="s">
        <v>41</v>
      </c>
      <c r="H67" s="160">
        <v>1</v>
      </c>
      <c r="I67" s="160">
        <v>180</v>
      </c>
      <c r="J67" s="160">
        <f t="shared" si="8"/>
        <v>180</v>
      </c>
      <c r="K67" s="161">
        <v>4.2</v>
      </c>
      <c r="L67" s="162">
        <f t="shared" si="10"/>
        <v>756</v>
      </c>
      <c r="M67" s="156">
        <f>SUM(L65:L67)</f>
        <v>3528</v>
      </c>
      <c r="N67" s="160"/>
    </row>
    <row r="68" s="138" customFormat="1" spans="1:15">
      <c r="A68" s="101" t="s">
        <v>15</v>
      </c>
      <c r="B68" s="145">
        <v>45859</v>
      </c>
      <c r="C68" s="146">
        <v>72</v>
      </c>
      <c r="D68" s="150" t="s">
        <v>17</v>
      </c>
      <c r="E68" s="150"/>
      <c r="F68" s="150"/>
      <c r="G68" s="163" t="s">
        <v>18</v>
      </c>
      <c r="H68" s="149">
        <v>5</v>
      </c>
      <c r="I68" s="149">
        <v>25</v>
      </c>
      <c r="J68" s="149">
        <f t="shared" si="8"/>
        <v>125</v>
      </c>
      <c r="K68" s="164">
        <v>10</v>
      </c>
      <c r="L68" s="151">
        <f t="shared" ref="L68:L89" si="11">J68*K68</f>
        <v>1250</v>
      </c>
      <c r="M68" s="101" t="s">
        <v>68</v>
      </c>
      <c r="N68" s="149"/>
    </row>
    <row r="69" s="138" customFormat="1" spans="1:15">
      <c r="A69" s="101" t="s">
        <v>15</v>
      </c>
      <c r="B69" s="145">
        <v>45859</v>
      </c>
      <c r="C69" s="146">
        <v>72</v>
      </c>
      <c r="D69" s="150" t="s">
        <v>19</v>
      </c>
      <c r="E69" s="150"/>
      <c r="F69" s="150"/>
      <c r="G69" s="163" t="s">
        <v>20</v>
      </c>
      <c r="H69" s="149">
        <v>1</v>
      </c>
      <c r="I69" s="149">
        <v>180</v>
      </c>
      <c r="J69" s="149">
        <f t="shared" si="8"/>
        <v>180</v>
      </c>
      <c r="K69" s="164">
        <v>4.2</v>
      </c>
      <c r="L69" s="151">
        <f t="shared" si="11"/>
        <v>756</v>
      </c>
      <c r="M69" s="101"/>
      <c r="N69" s="149"/>
    </row>
    <row r="70" s="140" customFormat="1" spans="1:15">
      <c r="A70" s="156" t="s">
        <v>15</v>
      </c>
      <c r="B70" s="157">
        <v>45860</v>
      </c>
      <c r="C70" s="158">
        <v>76</v>
      </c>
      <c r="D70" s="147" t="s">
        <v>29</v>
      </c>
      <c r="E70" s="147"/>
      <c r="F70" s="147"/>
      <c r="G70" s="159" t="s">
        <v>30</v>
      </c>
      <c r="H70" s="160">
        <v>3</v>
      </c>
      <c r="I70" s="160">
        <v>25</v>
      </c>
      <c r="J70" s="160">
        <f t="shared" si="8"/>
        <v>75</v>
      </c>
      <c r="K70" s="161">
        <v>13.8</v>
      </c>
      <c r="L70" s="162">
        <f t="shared" si="11"/>
        <v>1035</v>
      </c>
      <c r="M70" s="156"/>
      <c r="N70" s="160"/>
    </row>
    <row r="71" s="140" customFormat="1" spans="1:15">
      <c r="A71" s="156" t="s">
        <v>15</v>
      </c>
      <c r="B71" s="157">
        <v>45860</v>
      </c>
      <c r="C71" s="158">
        <v>76</v>
      </c>
      <c r="D71" s="147" t="s">
        <v>33</v>
      </c>
      <c r="E71" s="147"/>
      <c r="F71" s="147"/>
      <c r="G71" s="159" t="s">
        <v>34</v>
      </c>
      <c r="H71" s="160">
        <v>2</v>
      </c>
      <c r="I71" s="160">
        <v>20</v>
      </c>
      <c r="J71" s="160">
        <f t="shared" si="8"/>
        <v>40</v>
      </c>
      <c r="K71" s="161">
        <v>13.5</v>
      </c>
      <c r="L71" s="162">
        <f t="shared" si="11"/>
        <v>540</v>
      </c>
      <c r="M71" s="156"/>
      <c r="N71" s="160">
        <f>SUM(L70:L71)</f>
        <v>1575</v>
      </c>
    </row>
    <row r="72" s="138" customFormat="1" spans="1:15">
      <c r="A72" s="101" t="s">
        <v>15</v>
      </c>
      <c r="B72" s="145">
        <v>45862</v>
      </c>
      <c r="C72" s="146">
        <v>82</v>
      </c>
      <c r="D72" s="150" t="s">
        <v>51</v>
      </c>
      <c r="E72" s="150"/>
      <c r="F72" s="150"/>
      <c r="G72" s="163" t="s">
        <v>52</v>
      </c>
      <c r="H72" s="149">
        <v>3</v>
      </c>
      <c r="I72" s="149">
        <v>21</v>
      </c>
      <c r="J72" s="149">
        <f t="shared" si="8"/>
        <v>63</v>
      </c>
      <c r="K72" s="164">
        <v>19.8</v>
      </c>
      <c r="L72" s="151">
        <f t="shared" si="11"/>
        <v>1247.4</v>
      </c>
      <c r="M72" s="174" t="s">
        <v>53</v>
      </c>
      <c r="N72" s="174"/>
      <c r="O72" s="174"/>
    </row>
    <row r="73" s="138" customFormat="1" spans="1:15">
      <c r="A73" s="101" t="s">
        <v>15</v>
      </c>
      <c r="B73" s="145">
        <v>45862</v>
      </c>
      <c r="C73" s="146">
        <v>82</v>
      </c>
      <c r="D73" s="150" t="s">
        <v>33</v>
      </c>
      <c r="E73" s="150"/>
      <c r="F73" s="150"/>
      <c r="G73" s="163" t="s">
        <v>34</v>
      </c>
      <c r="H73" s="149">
        <v>2</v>
      </c>
      <c r="I73" s="149">
        <v>20</v>
      </c>
      <c r="J73" s="149">
        <f t="shared" si="8"/>
        <v>40</v>
      </c>
      <c r="K73" s="164">
        <v>13.5</v>
      </c>
      <c r="L73" s="151">
        <f t="shared" si="11"/>
        <v>540</v>
      </c>
      <c r="M73" s="101">
        <f>SUM(L72:L73)</f>
        <v>1787.4</v>
      </c>
      <c r="N73" s="149"/>
    </row>
    <row r="74" s="140" customFormat="1" spans="1:15">
      <c r="A74" s="156" t="s">
        <v>15</v>
      </c>
      <c r="B74" s="157">
        <v>45864</v>
      </c>
      <c r="C74" s="158">
        <v>84</v>
      </c>
      <c r="D74" s="147" t="s">
        <v>40</v>
      </c>
      <c r="E74" s="147"/>
      <c r="F74" s="147"/>
      <c r="G74" s="159" t="s">
        <v>41</v>
      </c>
      <c r="H74" s="160">
        <v>1</v>
      </c>
      <c r="I74" s="160">
        <v>180</v>
      </c>
      <c r="J74" s="160">
        <f t="shared" si="8"/>
        <v>180</v>
      </c>
      <c r="K74" s="161">
        <v>4.2</v>
      </c>
      <c r="L74" s="162">
        <f t="shared" si="11"/>
        <v>756</v>
      </c>
      <c r="M74" s="156"/>
      <c r="N74" s="160">
        <f>SUM(L37:L75)</f>
        <v>32583.4</v>
      </c>
    </row>
    <row r="75" s="140" customFormat="1" spans="1:15">
      <c r="A75" s="156" t="s">
        <v>15</v>
      </c>
      <c r="B75" s="157">
        <v>45864</v>
      </c>
      <c r="C75" s="158">
        <v>84</v>
      </c>
      <c r="D75" s="147" t="s">
        <v>21</v>
      </c>
      <c r="E75" s="147"/>
      <c r="F75" s="147"/>
      <c r="G75" s="159" t="s">
        <v>22</v>
      </c>
      <c r="H75" s="160">
        <v>1</v>
      </c>
      <c r="I75" s="160">
        <v>180</v>
      </c>
      <c r="J75" s="160">
        <f t="shared" si="8"/>
        <v>180</v>
      </c>
      <c r="K75" s="161">
        <v>7.5</v>
      </c>
      <c r="L75" s="162">
        <f t="shared" si="11"/>
        <v>1350</v>
      </c>
      <c r="M75" s="156">
        <f>SUM(L74:L75)</f>
        <v>2106</v>
      </c>
      <c r="N75" s="160"/>
    </row>
    <row r="76" s="138" customFormat="1" spans="1:15">
      <c r="A76" s="101" t="s">
        <v>15</v>
      </c>
      <c r="B76" s="145">
        <v>45871</v>
      </c>
      <c r="C76" s="146">
        <v>2</v>
      </c>
      <c r="D76" s="150" t="s">
        <v>69</v>
      </c>
      <c r="E76" s="150"/>
      <c r="F76" s="150"/>
      <c r="G76" s="163" t="s">
        <v>70</v>
      </c>
      <c r="H76" s="149">
        <v>1</v>
      </c>
      <c r="I76" s="149">
        <v>20</v>
      </c>
      <c r="J76" s="149">
        <f t="shared" ref="J76:J89" si="12">H76*I76</f>
        <v>20</v>
      </c>
      <c r="K76" s="164">
        <v>19.8</v>
      </c>
      <c r="L76" s="151">
        <f t="shared" si="11"/>
        <v>396</v>
      </c>
      <c r="M76" s="174" t="s">
        <v>71</v>
      </c>
      <c r="N76" s="174"/>
      <c r="O76" s="174"/>
    </row>
    <row r="77" s="138" customFormat="1" spans="1:15">
      <c r="A77" s="101" t="s">
        <v>15</v>
      </c>
      <c r="B77" s="145">
        <v>45871</v>
      </c>
      <c r="C77" s="146">
        <v>2</v>
      </c>
      <c r="D77" s="150" t="s">
        <v>27</v>
      </c>
      <c r="E77" s="150"/>
      <c r="F77" s="150"/>
      <c r="G77" s="163" t="s">
        <v>28</v>
      </c>
      <c r="H77" s="149">
        <v>2</v>
      </c>
      <c r="I77" s="149">
        <v>26</v>
      </c>
      <c r="J77" s="149">
        <f t="shared" si="12"/>
        <v>52</v>
      </c>
      <c r="K77" s="164">
        <v>14.5</v>
      </c>
      <c r="L77" s="151">
        <f t="shared" si="11"/>
        <v>754</v>
      </c>
      <c r="M77" s="101"/>
      <c r="N77" s="149"/>
    </row>
    <row r="78" s="138" customFormat="1" spans="1:15">
      <c r="A78" s="101" t="s">
        <v>15</v>
      </c>
      <c r="B78" s="145">
        <v>45871</v>
      </c>
      <c r="C78" s="146">
        <v>2</v>
      </c>
      <c r="D78" s="150" t="s">
        <v>29</v>
      </c>
      <c r="E78" s="150"/>
      <c r="F78" s="150"/>
      <c r="G78" s="163" t="s">
        <v>30</v>
      </c>
      <c r="H78" s="149">
        <v>5</v>
      </c>
      <c r="I78" s="149">
        <v>25</v>
      </c>
      <c r="J78" s="149">
        <f t="shared" si="12"/>
        <v>125</v>
      </c>
      <c r="K78" s="164">
        <v>13.8</v>
      </c>
      <c r="L78" s="151">
        <f t="shared" si="11"/>
        <v>1725</v>
      </c>
      <c r="M78" s="101"/>
      <c r="N78" s="149"/>
    </row>
    <row r="79" s="138" customFormat="1" spans="1:15">
      <c r="A79" s="101" t="s">
        <v>15</v>
      </c>
      <c r="B79" s="145">
        <v>45871</v>
      </c>
      <c r="C79" s="146">
        <v>2</v>
      </c>
      <c r="D79" s="150" t="s">
        <v>33</v>
      </c>
      <c r="E79" s="150"/>
      <c r="F79" s="150"/>
      <c r="G79" s="163" t="s">
        <v>34</v>
      </c>
      <c r="H79" s="149">
        <v>3</v>
      </c>
      <c r="I79" s="149">
        <v>20</v>
      </c>
      <c r="J79" s="149">
        <f t="shared" si="12"/>
        <v>60</v>
      </c>
      <c r="K79" s="164">
        <v>13.5</v>
      </c>
      <c r="L79" s="151">
        <f t="shared" si="11"/>
        <v>810</v>
      </c>
      <c r="M79" s="101"/>
      <c r="N79" s="149"/>
    </row>
    <row r="80" s="138" customFormat="1" spans="1:15">
      <c r="A80" s="101" t="s">
        <v>15</v>
      </c>
      <c r="B80" s="145">
        <v>45871</v>
      </c>
      <c r="C80" s="146">
        <v>2</v>
      </c>
      <c r="D80" s="150" t="s">
        <v>31</v>
      </c>
      <c r="E80" s="150"/>
      <c r="F80" s="150"/>
      <c r="G80" s="163" t="s">
        <v>32</v>
      </c>
      <c r="H80" s="149">
        <v>2</v>
      </c>
      <c r="I80" s="149">
        <v>20</v>
      </c>
      <c r="J80" s="149">
        <f t="shared" si="12"/>
        <v>40</v>
      </c>
      <c r="K80" s="164">
        <v>14.5</v>
      </c>
      <c r="L80" s="151">
        <f t="shared" si="11"/>
        <v>580</v>
      </c>
      <c r="M80" s="101"/>
      <c r="N80" s="149"/>
    </row>
    <row r="81" s="138" customFormat="1" spans="1:15">
      <c r="A81" s="101" t="s">
        <v>15</v>
      </c>
      <c r="B81" s="145">
        <v>45871</v>
      </c>
      <c r="C81" s="146">
        <v>2</v>
      </c>
      <c r="D81" s="150" t="s">
        <v>17</v>
      </c>
      <c r="E81" s="150"/>
      <c r="F81" s="150"/>
      <c r="G81" s="163" t="s">
        <v>18</v>
      </c>
      <c r="H81" s="149">
        <v>5</v>
      </c>
      <c r="I81" s="149">
        <v>25</v>
      </c>
      <c r="J81" s="149">
        <f t="shared" si="12"/>
        <v>125</v>
      </c>
      <c r="K81" s="164">
        <v>10</v>
      </c>
      <c r="L81" s="151">
        <f t="shared" si="11"/>
        <v>1250</v>
      </c>
      <c r="M81" s="101" t="s">
        <v>68</v>
      </c>
      <c r="N81" s="149"/>
    </row>
    <row r="82" s="138" customFormat="1" spans="1:15">
      <c r="A82" s="101" t="s">
        <v>15</v>
      </c>
      <c r="B82" s="145">
        <v>45871</v>
      </c>
      <c r="C82" s="146">
        <v>2</v>
      </c>
      <c r="D82" s="150">
        <v>632</v>
      </c>
      <c r="E82" s="150"/>
      <c r="F82" s="150"/>
      <c r="G82" s="163" t="s">
        <v>16</v>
      </c>
      <c r="H82" s="149">
        <v>10</v>
      </c>
      <c r="I82" s="149">
        <v>28</v>
      </c>
      <c r="J82" s="149">
        <f t="shared" si="12"/>
        <v>280</v>
      </c>
      <c r="K82" s="164">
        <v>7.2</v>
      </c>
      <c r="L82" s="151">
        <f t="shared" si="11"/>
        <v>2016</v>
      </c>
      <c r="M82" s="101" t="s">
        <v>50</v>
      </c>
      <c r="N82" s="149">
        <f>SUM(L76:L82)</f>
        <v>7531</v>
      </c>
    </row>
    <row r="83" s="140" customFormat="1" spans="1:15">
      <c r="A83" s="156" t="s">
        <v>15</v>
      </c>
      <c r="B83" s="157">
        <v>45874</v>
      </c>
      <c r="C83" s="158">
        <v>9</v>
      </c>
      <c r="D83" s="147" t="s">
        <v>19</v>
      </c>
      <c r="E83" s="147"/>
      <c r="F83" s="147"/>
      <c r="G83" s="159" t="s">
        <v>20</v>
      </c>
      <c r="H83" s="160">
        <v>1</v>
      </c>
      <c r="I83" s="160">
        <v>180</v>
      </c>
      <c r="J83" s="160">
        <f t="shared" si="12"/>
        <v>180</v>
      </c>
      <c r="K83" s="161">
        <v>4.2</v>
      </c>
      <c r="L83" s="162">
        <f t="shared" si="11"/>
        <v>756</v>
      </c>
      <c r="M83" s="156"/>
      <c r="N83" s="160"/>
    </row>
    <row r="84" s="140" customFormat="1" spans="1:15">
      <c r="A84" s="156" t="s">
        <v>15</v>
      </c>
      <c r="B84" s="157">
        <v>45874</v>
      </c>
      <c r="C84" s="158">
        <v>9</v>
      </c>
      <c r="D84" s="147" t="s">
        <v>40</v>
      </c>
      <c r="E84" s="147"/>
      <c r="F84" s="147"/>
      <c r="G84" s="159" t="s">
        <v>41</v>
      </c>
      <c r="H84" s="160">
        <v>1</v>
      </c>
      <c r="I84" s="160">
        <v>180</v>
      </c>
      <c r="J84" s="160">
        <f t="shared" si="12"/>
        <v>180</v>
      </c>
      <c r="K84" s="161">
        <v>4.2</v>
      </c>
      <c r="L84" s="162">
        <f t="shared" si="11"/>
        <v>756</v>
      </c>
      <c r="M84" s="156"/>
      <c r="N84" s="160">
        <f>SUM(L83:L84)</f>
        <v>1512</v>
      </c>
    </row>
    <row r="85" s="138" customFormat="1" spans="1:15">
      <c r="A85" s="101" t="s">
        <v>15</v>
      </c>
      <c r="B85" s="145">
        <v>45878</v>
      </c>
      <c r="C85" s="146">
        <v>19</v>
      </c>
      <c r="D85" s="150">
        <v>632</v>
      </c>
      <c r="E85" s="150"/>
      <c r="F85" s="150"/>
      <c r="G85" s="163" t="s">
        <v>16</v>
      </c>
      <c r="H85" s="149">
        <v>10</v>
      </c>
      <c r="I85" s="149">
        <v>28</v>
      </c>
      <c r="J85" s="149">
        <f t="shared" si="12"/>
        <v>280</v>
      </c>
      <c r="K85" s="164">
        <v>7.2</v>
      </c>
      <c r="L85" s="151">
        <f t="shared" si="11"/>
        <v>2016</v>
      </c>
      <c r="M85" s="101" t="s">
        <v>50</v>
      </c>
      <c r="N85" s="149"/>
    </row>
    <row r="86" s="138" customFormat="1" spans="1:15">
      <c r="A86" s="101" t="s">
        <v>15</v>
      </c>
      <c r="B86" s="145">
        <v>45878</v>
      </c>
      <c r="C86" s="146">
        <v>19</v>
      </c>
      <c r="D86" s="150" t="s">
        <v>23</v>
      </c>
      <c r="E86" s="150"/>
      <c r="F86" s="150"/>
      <c r="G86" s="163" t="s">
        <v>24</v>
      </c>
      <c r="H86" s="149">
        <v>2</v>
      </c>
      <c r="I86" s="149">
        <v>26</v>
      </c>
      <c r="J86" s="149">
        <f t="shared" ref="J86:J102" si="13">H86*I86</f>
        <v>52</v>
      </c>
      <c r="K86" s="164">
        <v>14.5</v>
      </c>
      <c r="L86" s="151">
        <f t="shared" ref="L86:L102" si="14">J86*K86</f>
        <v>754</v>
      </c>
      <c r="M86" s="101"/>
      <c r="N86" s="149"/>
    </row>
    <row r="87" s="138" customFormat="1" spans="1:15">
      <c r="A87" s="101" t="s">
        <v>15</v>
      </c>
      <c r="B87" s="145">
        <v>45878</v>
      </c>
      <c r="C87" s="146">
        <v>19</v>
      </c>
      <c r="D87" s="150" t="s">
        <v>25</v>
      </c>
      <c r="E87" s="150"/>
      <c r="F87" s="150"/>
      <c r="G87" s="163" t="s">
        <v>26</v>
      </c>
      <c r="H87" s="149">
        <v>4</v>
      </c>
      <c r="I87" s="149">
        <v>25</v>
      </c>
      <c r="J87" s="149">
        <f t="shared" si="13"/>
        <v>100</v>
      </c>
      <c r="K87" s="164">
        <v>13.8</v>
      </c>
      <c r="L87" s="151">
        <f t="shared" si="14"/>
        <v>1380</v>
      </c>
      <c r="M87" s="101"/>
      <c r="N87" s="149"/>
    </row>
    <row r="88" s="138" customFormat="1" spans="1:15">
      <c r="A88" s="101" t="s">
        <v>15</v>
      </c>
      <c r="B88" s="145">
        <v>45878</v>
      </c>
      <c r="C88" s="146">
        <v>19</v>
      </c>
      <c r="D88" s="150" t="s">
        <v>33</v>
      </c>
      <c r="E88" s="150"/>
      <c r="F88" s="150"/>
      <c r="G88" s="163" t="s">
        <v>34</v>
      </c>
      <c r="H88" s="149">
        <v>2</v>
      </c>
      <c r="I88" s="149">
        <v>20</v>
      </c>
      <c r="J88" s="149">
        <f t="shared" si="13"/>
        <v>40</v>
      </c>
      <c r="K88" s="164">
        <v>13.5</v>
      </c>
      <c r="L88" s="151">
        <f t="shared" si="14"/>
        <v>540</v>
      </c>
      <c r="M88" s="101"/>
      <c r="N88" s="149"/>
    </row>
    <row r="89" s="138" customFormat="1" spans="1:15">
      <c r="A89" s="101" t="s">
        <v>15</v>
      </c>
      <c r="B89" s="145">
        <v>45878</v>
      </c>
      <c r="C89" s="146">
        <v>19</v>
      </c>
      <c r="D89" s="150" t="s">
        <v>31</v>
      </c>
      <c r="E89" s="150"/>
      <c r="F89" s="150"/>
      <c r="G89" s="163" t="s">
        <v>32</v>
      </c>
      <c r="H89" s="149">
        <v>2</v>
      </c>
      <c r="I89" s="149">
        <v>20</v>
      </c>
      <c r="J89" s="149">
        <f t="shared" si="13"/>
        <v>40</v>
      </c>
      <c r="K89" s="164">
        <v>14.5</v>
      </c>
      <c r="L89" s="151">
        <f t="shared" si="14"/>
        <v>580</v>
      </c>
      <c r="M89" s="101"/>
      <c r="N89" s="149"/>
    </row>
    <row r="90" s="138" customFormat="1" spans="1:15">
      <c r="A90" s="101" t="s">
        <v>15</v>
      </c>
      <c r="B90" s="145">
        <v>45878</v>
      </c>
      <c r="C90" s="146">
        <v>19</v>
      </c>
      <c r="D90" s="150" t="s">
        <v>21</v>
      </c>
      <c r="E90" s="150"/>
      <c r="F90" s="150"/>
      <c r="G90" s="163" t="s">
        <v>22</v>
      </c>
      <c r="H90" s="149">
        <v>1</v>
      </c>
      <c r="I90" s="149">
        <v>180</v>
      </c>
      <c r="J90" s="149">
        <f t="shared" si="13"/>
        <v>180</v>
      </c>
      <c r="K90" s="164">
        <v>7.5</v>
      </c>
      <c r="L90" s="151">
        <f t="shared" si="14"/>
        <v>1350</v>
      </c>
      <c r="M90" s="101">
        <f>SUM(L85:L91)</f>
        <v>7376</v>
      </c>
      <c r="N90" s="149"/>
    </row>
    <row r="91" s="138" customFormat="1" spans="1:15">
      <c r="A91" s="101" t="s">
        <v>15</v>
      </c>
      <c r="B91" s="145">
        <v>45874</v>
      </c>
      <c r="C91" s="146">
        <v>9</v>
      </c>
      <c r="D91" s="150" t="s">
        <v>19</v>
      </c>
      <c r="E91" s="150"/>
      <c r="F91" s="150"/>
      <c r="G91" s="163" t="s">
        <v>20</v>
      </c>
      <c r="H91" s="149">
        <v>1</v>
      </c>
      <c r="I91" s="149">
        <v>180</v>
      </c>
      <c r="J91" s="149">
        <f t="shared" si="13"/>
        <v>180</v>
      </c>
      <c r="K91" s="164">
        <v>4.2</v>
      </c>
      <c r="L91" s="151">
        <f t="shared" si="14"/>
        <v>756</v>
      </c>
      <c r="M91" s="101"/>
      <c r="N91" s="149"/>
    </row>
    <row r="92" s="140" customFormat="1" spans="1:15">
      <c r="A92" s="156" t="s">
        <v>15</v>
      </c>
      <c r="B92" s="157">
        <v>45882</v>
      </c>
      <c r="C92" s="158">
        <v>29</v>
      </c>
      <c r="D92" s="147" t="s">
        <v>51</v>
      </c>
      <c r="E92" s="147"/>
      <c r="F92" s="147"/>
      <c r="G92" s="159" t="s">
        <v>52</v>
      </c>
      <c r="H92" s="160">
        <v>4</v>
      </c>
      <c r="I92" s="160">
        <v>21</v>
      </c>
      <c r="J92" s="160">
        <f t="shared" si="13"/>
        <v>84</v>
      </c>
      <c r="K92" s="161">
        <v>19.8</v>
      </c>
      <c r="L92" s="162">
        <f t="shared" si="14"/>
        <v>1663.2</v>
      </c>
      <c r="M92" s="173" t="s">
        <v>53</v>
      </c>
      <c r="N92" s="173"/>
      <c r="O92" s="173"/>
    </row>
    <row r="93" s="140" customFormat="1" spans="1:15">
      <c r="A93" s="156" t="s">
        <v>15</v>
      </c>
      <c r="B93" s="157">
        <v>45882</v>
      </c>
      <c r="C93" s="158">
        <v>29</v>
      </c>
      <c r="D93" s="147" t="s">
        <v>72</v>
      </c>
      <c r="E93" s="147"/>
      <c r="F93" s="147"/>
      <c r="G93" s="159" t="s">
        <v>73</v>
      </c>
      <c r="H93" s="160">
        <v>1</v>
      </c>
      <c r="I93" s="160">
        <v>10</v>
      </c>
      <c r="J93" s="160">
        <f t="shared" si="13"/>
        <v>10</v>
      </c>
      <c r="K93" s="161">
        <v>13.8</v>
      </c>
      <c r="L93" s="162">
        <f t="shared" si="14"/>
        <v>138</v>
      </c>
      <c r="M93" s="156" t="s">
        <v>74</v>
      </c>
      <c r="N93" s="160"/>
    </row>
    <row r="94" s="140" customFormat="1" spans="1:15">
      <c r="A94" s="156" t="s">
        <v>15</v>
      </c>
      <c r="B94" s="157">
        <v>45882</v>
      </c>
      <c r="C94" s="158">
        <v>29</v>
      </c>
      <c r="D94" s="147" t="s">
        <v>33</v>
      </c>
      <c r="E94" s="147"/>
      <c r="F94" s="147"/>
      <c r="G94" s="159" t="s">
        <v>34</v>
      </c>
      <c r="H94" s="160">
        <v>3</v>
      </c>
      <c r="I94" s="160">
        <v>20</v>
      </c>
      <c r="J94" s="160">
        <f t="shared" si="13"/>
        <v>60</v>
      </c>
      <c r="K94" s="161">
        <v>13.5</v>
      </c>
      <c r="L94" s="162">
        <f t="shared" si="14"/>
        <v>810</v>
      </c>
      <c r="M94" s="156">
        <f>SUM(L92:L94)</f>
        <v>2611.2</v>
      </c>
      <c r="N94" s="160"/>
    </row>
    <row r="95" s="138" customFormat="1" spans="1:15">
      <c r="A95" s="101" t="s">
        <v>15</v>
      </c>
      <c r="B95" s="145">
        <v>45884</v>
      </c>
      <c r="C95" s="146">
        <v>35</v>
      </c>
      <c r="D95" s="150">
        <v>632</v>
      </c>
      <c r="E95" s="150"/>
      <c r="F95" s="150"/>
      <c r="G95" s="163" t="s">
        <v>16</v>
      </c>
      <c r="H95" s="149">
        <v>10</v>
      </c>
      <c r="I95" s="149">
        <v>28</v>
      </c>
      <c r="J95" s="149">
        <f t="shared" si="13"/>
        <v>280</v>
      </c>
      <c r="K95" s="164">
        <v>7.2</v>
      </c>
      <c r="L95" s="151">
        <f t="shared" si="14"/>
        <v>2016</v>
      </c>
      <c r="M95" s="101" t="s">
        <v>50</v>
      </c>
      <c r="N95" s="149">
        <f>SUM(L89:L95)</f>
        <v>7313.2</v>
      </c>
    </row>
    <row r="96" s="138" customFormat="1" spans="1:15">
      <c r="A96" s="101" t="s">
        <v>15</v>
      </c>
      <c r="B96" s="145">
        <v>45884</v>
      </c>
      <c r="C96" s="146">
        <v>35</v>
      </c>
      <c r="D96" s="150" t="s">
        <v>17</v>
      </c>
      <c r="E96" s="150"/>
      <c r="F96" s="150"/>
      <c r="G96" s="163" t="s">
        <v>18</v>
      </c>
      <c r="H96" s="149">
        <v>5</v>
      </c>
      <c r="I96" s="149">
        <v>25</v>
      </c>
      <c r="J96" s="149">
        <f t="shared" si="13"/>
        <v>125</v>
      </c>
      <c r="K96" s="164">
        <v>10</v>
      </c>
      <c r="L96" s="151">
        <f t="shared" si="14"/>
        <v>1250</v>
      </c>
      <c r="M96" s="101" t="s">
        <v>68</v>
      </c>
      <c r="N96" s="149"/>
    </row>
    <row r="97" s="140" customFormat="1" spans="1:15">
      <c r="A97" s="101" t="s">
        <v>15</v>
      </c>
      <c r="B97" s="145">
        <v>45884</v>
      </c>
      <c r="C97" s="146">
        <v>35</v>
      </c>
      <c r="D97" s="150" t="s">
        <v>61</v>
      </c>
      <c r="E97" s="150"/>
      <c r="F97" s="150"/>
      <c r="G97" s="163" t="s">
        <v>62</v>
      </c>
      <c r="H97" s="149">
        <v>1</v>
      </c>
      <c r="I97" s="149">
        <v>26</v>
      </c>
      <c r="J97" s="149">
        <f t="shared" si="13"/>
        <v>26</v>
      </c>
      <c r="K97" s="164">
        <v>13.8</v>
      </c>
      <c r="L97" s="151">
        <f t="shared" si="14"/>
        <v>358.8</v>
      </c>
      <c r="M97" s="171" t="s">
        <v>63</v>
      </c>
      <c r="N97" s="160"/>
    </row>
    <row r="98" s="140" customFormat="1" spans="1:15">
      <c r="A98" s="101" t="s">
        <v>15</v>
      </c>
      <c r="B98" s="145">
        <v>45884</v>
      </c>
      <c r="C98" s="146">
        <v>35</v>
      </c>
      <c r="D98" s="150" t="s">
        <v>64</v>
      </c>
      <c r="E98" s="150"/>
      <c r="F98" s="150"/>
      <c r="G98" s="163" t="s">
        <v>62</v>
      </c>
      <c r="H98" s="149">
        <v>1</v>
      </c>
      <c r="I98" s="149">
        <v>25</v>
      </c>
      <c r="J98" s="149">
        <f t="shared" si="13"/>
        <v>25</v>
      </c>
      <c r="K98" s="164">
        <v>13.8</v>
      </c>
      <c r="L98" s="151">
        <f t="shared" si="14"/>
        <v>345</v>
      </c>
      <c r="M98" s="171" t="s">
        <v>65</v>
      </c>
      <c r="N98" s="160">
        <f>SUM(L95:L98)</f>
        <v>3969.8</v>
      </c>
    </row>
    <row r="99" s="140" customFormat="1" spans="1:15">
      <c r="A99" s="156" t="s">
        <v>15</v>
      </c>
      <c r="B99" s="157">
        <v>45888</v>
      </c>
      <c r="C99" s="158">
        <v>43</v>
      </c>
      <c r="D99" s="147" t="s">
        <v>19</v>
      </c>
      <c r="E99" s="147"/>
      <c r="F99" s="147"/>
      <c r="G99" s="159" t="s">
        <v>20</v>
      </c>
      <c r="H99" s="160">
        <v>1</v>
      </c>
      <c r="I99" s="160">
        <v>180</v>
      </c>
      <c r="J99" s="160">
        <f t="shared" si="13"/>
        <v>180</v>
      </c>
      <c r="K99" s="161">
        <v>4.2</v>
      </c>
      <c r="L99" s="162">
        <f t="shared" si="14"/>
        <v>756</v>
      </c>
      <c r="M99" s="156"/>
      <c r="N99" s="160"/>
    </row>
    <row r="100" s="140" customFormat="1" spans="1:15">
      <c r="A100" s="156" t="s">
        <v>15</v>
      </c>
      <c r="B100" s="157">
        <v>45888</v>
      </c>
      <c r="C100" s="158">
        <v>43</v>
      </c>
      <c r="D100" s="147" t="s">
        <v>40</v>
      </c>
      <c r="E100" s="147"/>
      <c r="F100" s="147"/>
      <c r="G100" s="159" t="s">
        <v>41</v>
      </c>
      <c r="H100" s="160">
        <v>1</v>
      </c>
      <c r="I100" s="160">
        <v>180</v>
      </c>
      <c r="J100" s="160">
        <f t="shared" si="13"/>
        <v>180</v>
      </c>
      <c r="K100" s="161">
        <v>4.2</v>
      </c>
      <c r="L100" s="162">
        <f t="shared" si="14"/>
        <v>756</v>
      </c>
      <c r="M100" s="156"/>
      <c r="N100" s="160">
        <f>SUM(L99:L100)</f>
        <v>1512</v>
      </c>
    </row>
    <row r="101" s="140" customFormat="1" spans="1:15">
      <c r="A101" s="156" t="s">
        <v>15</v>
      </c>
      <c r="B101" s="157">
        <v>45888</v>
      </c>
      <c r="C101" s="158">
        <v>43</v>
      </c>
      <c r="D101" s="147" t="s">
        <v>21</v>
      </c>
      <c r="E101" s="147"/>
      <c r="F101" s="147"/>
      <c r="G101" s="159" t="s">
        <v>22</v>
      </c>
      <c r="H101" s="160">
        <v>1</v>
      </c>
      <c r="I101" s="160">
        <v>180</v>
      </c>
      <c r="J101" s="160">
        <f t="shared" si="13"/>
        <v>180</v>
      </c>
      <c r="K101" s="161">
        <v>7.5</v>
      </c>
      <c r="L101" s="162">
        <f t="shared" si="14"/>
        <v>1350</v>
      </c>
      <c r="M101" s="156">
        <f>SUM(L99:L101)</f>
        <v>2862</v>
      </c>
      <c r="N101" s="160"/>
    </row>
    <row r="102" s="141" customFormat="1" spans="1:15">
      <c r="A102" s="171" t="s">
        <v>15</v>
      </c>
      <c r="B102" s="165">
        <v>45888</v>
      </c>
      <c r="C102" s="166">
        <v>48</v>
      </c>
      <c r="D102" s="167" t="s">
        <v>17</v>
      </c>
      <c r="E102" s="167"/>
      <c r="F102" s="167"/>
      <c r="G102" s="148" t="s">
        <v>18</v>
      </c>
      <c r="H102" s="168">
        <v>3</v>
      </c>
      <c r="I102" s="168">
        <v>25</v>
      </c>
      <c r="J102" s="168">
        <f t="shared" si="13"/>
        <v>75</v>
      </c>
      <c r="K102" s="169">
        <v>10</v>
      </c>
      <c r="L102" s="170">
        <f t="shared" si="14"/>
        <v>750</v>
      </c>
      <c r="M102" s="2" t="s">
        <v>75</v>
      </c>
      <c r="N102" s="175"/>
    </row>
    <row r="103" s="141" customFormat="1" spans="1:15">
      <c r="A103" s="171" t="s">
        <v>15</v>
      </c>
      <c r="B103" s="165">
        <v>45888</v>
      </c>
      <c r="C103" s="166">
        <v>48</v>
      </c>
      <c r="D103" s="167"/>
      <c r="E103" s="167"/>
      <c r="F103" s="167"/>
      <c r="G103" s="148" t="s">
        <v>46</v>
      </c>
      <c r="H103" s="168"/>
      <c r="I103" s="168"/>
      <c r="J103" s="168"/>
      <c r="K103" s="169"/>
      <c r="L103" s="170"/>
      <c r="M103" s="2" t="s">
        <v>76</v>
      </c>
      <c r="N103" s="175"/>
    </row>
    <row r="104" s="140" customFormat="1" spans="1:15">
      <c r="A104" s="156" t="s">
        <v>15</v>
      </c>
      <c r="B104" s="157">
        <v>45892</v>
      </c>
      <c r="C104" s="158">
        <v>58</v>
      </c>
      <c r="D104" s="147" t="s">
        <v>69</v>
      </c>
      <c r="E104" s="147"/>
      <c r="F104" s="147"/>
      <c r="G104" s="159" t="s">
        <v>70</v>
      </c>
      <c r="H104" s="160">
        <v>1</v>
      </c>
      <c r="I104" s="168">
        <v>20</v>
      </c>
      <c r="J104" s="160">
        <f t="shared" ref="J104:J130" si="15">H104*I104</f>
        <v>20</v>
      </c>
      <c r="K104" s="161">
        <v>19.8</v>
      </c>
      <c r="L104" s="162">
        <f t="shared" ref="L104:L130" si="16">J104*K104</f>
        <v>396</v>
      </c>
      <c r="M104" s="173" t="s">
        <v>71</v>
      </c>
      <c r="N104" s="173"/>
      <c r="O104" s="173"/>
    </row>
    <row r="105" s="140" customFormat="1" spans="1:15">
      <c r="A105" s="156" t="s">
        <v>15</v>
      </c>
      <c r="B105" s="157">
        <v>45892</v>
      </c>
      <c r="C105" s="158">
        <v>58</v>
      </c>
      <c r="D105" s="147" t="s">
        <v>27</v>
      </c>
      <c r="E105" s="147"/>
      <c r="F105" s="147"/>
      <c r="G105" s="159" t="s">
        <v>28</v>
      </c>
      <c r="H105" s="160">
        <v>2</v>
      </c>
      <c r="I105" s="160">
        <v>26</v>
      </c>
      <c r="J105" s="160">
        <f t="shared" si="15"/>
        <v>52</v>
      </c>
      <c r="K105" s="161">
        <v>14.5</v>
      </c>
      <c r="L105" s="162">
        <f t="shared" si="16"/>
        <v>754</v>
      </c>
      <c r="M105" s="156"/>
      <c r="N105" s="160"/>
    </row>
    <row r="106" s="140" customFormat="1" spans="1:15">
      <c r="A106" s="156" t="s">
        <v>15</v>
      </c>
      <c r="B106" s="157">
        <v>45892</v>
      </c>
      <c r="C106" s="158">
        <v>58</v>
      </c>
      <c r="D106" s="147" t="s">
        <v>29</v>
      </c>
      <c r="E106" s="147"/>
      <c r="F106" s="147"/>
      <c r="G106" s="159" t="s">
        <v>30</v>
      </c>
      <c r="H106" s="160">
        <v>3</v>
      </c>
      <c r="I106" s="160">
        <v>25</v>
      </c>
      <c r="J106" s="160">
        <f t="shared" si="15"/>
        <v>75</v>
      </c>
      <c r="K106" s="161">
        <v>13.8</v>
      </c>
      <c r="L106" s="162">
        <f t="shared" si="16"/>
        <v>1035</v>
      </c>
      <c r="M106" s="156"/>
      <c r="N106" s="160"/>
    </row>
    <row r="107" s="140" customFormat="1" spans="1:15">
      <c r="A107" s="156" t="s">
        <v>15</v>
      </c>
      <c r="B107" s="157">
        <v>45892</v>
      </c>
      <c r="C107" s="158">
        <v>58</v>
      </c>
      <c r="D107" s="147" t="s">
        <v>33</v>
      </c>
      <c r="E107" s="147"/>
      <c r="F107" s="147"/>
      <c r="G107" s="159" t="s">
        <v>34</v>
      </c>
      <c r="H107" s="160">
        <v>2</v>
      </c>
      <c r="I107" s="160">
        <v>20</v>
      </c>
      <c r="J107" s="160">
        <f t="shared" si="15"/>
        <v>40</v>
      </c>
      <c r="K107" s="161">
        <v>13.5</v>
      </c>
      <c r="L107" s="162">
        <f t="shared" si="16"/>
        <v>540</v>
      </c>
      <c r="M107" s="156"/>
      <c r="N107" s="160"/>
    </row>
    <row r="108" s="140" customFormat="1" spans="1:15">
      <c r="A108" s="156" t="s">
        <v>15</v>
      </c>
      <c r="B108" s="157">
        <v>45892</v>
      </c>
      <c r="C108" s="158">
        <v>58</v>
      </c>
      <c r="D108" s="147" t="s">
        <v>31</v>
      </c>
      <c r="E108" s="147"/>
      <c r="F108" s="147"/>
      <c r="G108" s="159" t="s">
        <v>32</v>
      </c>
      <c r="H108" s="160">
        <v>2</v>
      </c>
      <c r="I108" s="160">
        <v>20</v>
      </c>
      <c r="J108" s="160">
        <f t="shared" si="15"/>
        <v>40</v>
      </c>
      <c r="K108" s="161">
        <v>14.5</v>
      </c>
      <c r="L108" s="162">
        <f t="shared" si="16"/>
        <v>580</v>
      </c>
      <c r="M108" s="156">
        <f>SUM(L104:L109)</f>
        <v>4061</v>
      </c>
      <c r="N108" s="160"/>
    </row>
    <row r="109" s="140" customFormat="1" spans="1:15">
      <c r="A109" s="156" t="s">
        <v>15</v>
      </c>
      <c r="B109" s="157">
        <v>45892</v>
      </c>
      <c r="C109" s="158">
        <v>58</v>
      </c>
      <c r="D109" s="147" t="s">
        <v>19</v>
      </c>
      <c r="E109" s="147"/>
      <c r="F109" s="147"/>
      <c r="G109" s="159" t="s">
        <v>20</v>
      </c>
      <c r="H109" s="160">
        <v>1</v>
      </c>
      <c r="I109" s="160">
        <v>180</v>
      </c>
      <c r="J109" s="160">
        <f t="shared" si="15"/>
        <v>180</v>
      </c>
      <c r="K109" s="161">
        <v>4.2</v>
      </c>
      <c r="L109" s="162">
        <f t="shared" si="16"/>
        <v>756</v>
      </c>
      <c r="M109" s="156"/>
      <c r="N109" s="160"/>
    </row>
    <row r="110" s="138" customFormat="1" spans="1:15">
      <c r="A110" s="101" t="s">
        <v>15</v>
      </c>
      <c r="B110" s="145">
        <v>45895</v>
      </c>
      <c r="C110" s="146">
        <v>66</v>
      </c>
      <c r="D110" s="150" t="s">
        <v>17</v>
      </c>
      <c r="E110" s="150"/>
      <c r="F110" s="150"/>
      <c r="G110" s="163" t="s">
        <v>18</v>
      </c>
      <c r="H110" s="149">
        <v>5</v>
      </c>
      <c r="I110" s="149">
        <v>25</v>
      </c>
      <c r="J110" s="149">
        <f t="shared" si="15"/>
        <v>125</v>
      </c>
      <c r="K110" s="164">
        <v>10</v>
      </c>
      <c r="L110" s="151">
        <f t="shared" si="16"/>
        <v>1250</v>
      </c>
      <c r="M110" s="1" t="s">
        <v>75</v>
      </c>
      <c r="N110" s="176"/>
    </row>
    <row r="111" s="138" customFormat="1" spans="1:15">
      <c r="A111" s="101" t="s">
        <v>15</v>
      </c>
      <c r="B111" s="145">
        <v>45895</v>
      </c>
      <c r="C111" s="146">
        <v>66</v>
      </c>
      <c r="D111" s="150">
        <v>632</v>
      </c>
      <c r="E111" s="150"/>
      <c r="F111" s="150"/>
      <c r="G111" s="163" t="s">
        <v>16</v>
      </c>
      <c r="H111" s="149">
        <v>10</v>
      </c>
      <c r="I111" s="149">
        <v>28</v>
      </c>
      <c r="J111" s="149">
        <f t="shared" si="15"/>
        <v>280</v>
      </c>
      <c r="K111" s="164">
        <v>7.2</v>
      </c>
      <c r="L111" s="151">
        <f t="shared" si="16"/>
        <v>2016</v>
      </c>
      <c r="M111" s="101" t="s">
        <v>50</v>
      </c>
      <c r="N111" s="149"/>
    </row>
    <row r="112" s="138" customFormat="1" spans="1:15">
      <c r="A112" s="101" t="s">
        <v>15</v>
      </c>
      <c r="B112" s="145">
        <v>45895</v>
      </c>
      <c r="C112" s="146">
        <v>66</v>
      </c>
      <c r="D112" s="150" t="s">
        <v>19</v>
      </c>
      <c r="E112" s="150"/>
      <c r="F112" s="150"/>
      <c r="G112" s="163" t="s">
        <v>20</v>
      </c>
      <c r="H112" s="149">
        <v>1</v>
      </c>
      <c r="I112" s="149">
        <v>180</v>
      </c>
      <c r="J112" s="149">
        <f t="shared" si="15"/>
        <v>180</v>
      </c>
      <c r="K112" s="164">
        <v>4.2</v>
      </c>
      <c r="L112" s="151">
        <f t="shared" si="16"/>
        <v>756</v>
      </c>
      <c r="M112" s="101"/>
      <c r="N112" s="149"/>
    </row>
    <row r="113" s="138" customFormat="1" spans="1:14">
      <c r="A113" s="101" t="s">
        <v>15</v>
      </c>
      <c r="B113" s="145">
        <v>45895</v>
      </c>
      <c r="C113" s="146">
        <v>66</v>
      </c>
      <c r="D113" s="150" t="s">
        <v>33</v>
      </c>
      <c r="E113" s="150"/>
      <c r="F113" s="150"/>
      <c r="G113" s="163" t="s">
        <v>34</v>
      </c>
      <c r="H113" s="149">
        <v>2</v>
      </c>
      <c r="I113" s="149">
        <v>20</v>
      </c>
      <c r="J113" s="149">
        <f t="shared" si="15"/>
        <v>40</v>
      </c>
      <c r="K113" s="164">
        <v>13.5</v>
      </c>
      <c r="L113" s="151">
        <f t="shared" si="16"/>
        <v>540</v>
      </c>
      <c r="M113" s="101">
        <f>SUM(L110:L113)</f>
        <v>4562</v>
      </c>
      <c r="N113" s="149"/>
    </row>
    <row r="114" s="140" customFormat="1" spans="1:14">
      <c r="A114" s="156" t="s">
        <v>15</v>
      </c>
      <c r="B114" s="157">
        <v>45897</v>
      </c>
      <c r="C114" s="158">
        <v>74</v>
      </c>
      <c r="D114" s="147" t="s">
        <v>27</v>
      </c>
      <c r="E114" s="147"/>
      <c r="F114" s="147"/>
      <c r="G114" s="159" t="s">
        <v>28</v>
      </c>
      <c r="H114" s="160">
        <v>2</v>
      </c>
      <c r="I114" s="160">
        <v>25</v>
      </c>
      <c r="J114" s="160">
        <f t="shared" si="15"/>
        <v>50</v>
      </c>
      <c r="K114" s="161">
        <v>14.5</v>
      </c>
      <c r="L114" s="162">
        <f t="shared" si="16"/>
        <v>725</v>
      </c>
      <c r="M114" s="156"/>
      <c r="N114" s="160"/>
    </row>
    <row r="115" s="140" customFormat="1" spans="1:14">
      <c r="A115" s="156" t="s">
        <v>15</v>
      </c>
      <c r="B115" s="157">
        <v>45897</v>
      </c>
      <c r="C115" s="158">
        <v>74</v>
      </c>
      <c r="D115" s="147" t="s">
        <v>29</v>
      </c>
      <c r="E115" s="147"/>
      <c r="F115" s="147"/>
      <c r="G115" s="159" t="s">
        <v>30</v>
      </c>
      <c r="H115" s="160">
        <v>5</v>
      </c>
      <c r="I115" s="160">
        <v>26</v>
      </c>
      <c r="J115" s="160">
        <f t="shared" si="15"/>
        <v>130</v>
      </c>
      <c r="K115" s="161">
        <v>13.8</v>
      </c>
      <c r="L115" s="162">
        <f t="shared" si="16"/>
        <v>1794</v>
      </c>
      <c r="M115" s="156"/>
      <c r="N115" s="160"/>
    </row>
    <row r="116" s="140" customFormat="1" spans="1:14">
      <c r="A116" s="156" t="s">
        <v>15</v>
      </c>
      <c r="B116" s="157">
        <v>45897</v>
      </c>
      <c r="C116" s="158">
        <v>74</v>
      </c>
      <c r="D116" s="147" t="s">
        <v>33</v>
      </c>
      <c r="E116" s="147"/>
      <c r="F116" s="147"/>
      <c r="G116" s="159" t="s">
        <v>34</v>
      </c>
      <c r="H116" s="160">
        <v>2</v>
      </c>
      <c r="I116" s="160">
        <v>20</v>
      </c>
      <c r="J116" s="160">
        <f t="shared" si="15"/>
        <v>40</v>
      </c>
      <c r="K116" s="161">
        <v>13.5</v>
      </c>
      <c r="L116" s="162">
        <f t="shared" si="16"/>
        <v>540</v>
      </c>
      <c r="M116" s="156"/>
      <c r="N116" s="160"/>
    </row>
    <row r="117" s="140" customFormat="1" spans="1:14">
      <c r="A117" s="156" t="s">
        <v>15</v>
      </c>
      <c r="B117" s="157">
        <v>45897</v>
      </c>
      <c r="C117" s="158">
        <v>74</v>
      </c>
      <c r="D117" s="147" t="s">
        <v>31</v>
      </c>
      <c r="E117" s="147"/>
      <c r="F117" s="147"/>
      <c r="G117" s="159" t="s">
        <v>32</v>
      </c>
      <c r="H117" s="160">
        <v>2</v>
      </c>
      <c r="I117" s="160">
        <v>20</v>
      </c>
      <c r="J117" s="160">
        <f t="shared" si="15"/>
        <v>40</v>
      </c>
      <c r="K117" s="161">
        <v>14.5</v>
      </c>
      <c r="L117" s="162">
        <f t="shared" si="16"/>
        <v>580</v>
      </c>
      <c r="M117" s="156">
        <f>SUM(L114:L117)</f>
        <v>3639</v>
      </c>
      <c r="N117" s="160"/>
    </row>
    <row r="118" s="138" customFormat="1" spans="1:14">
      <c r="A118" s="101" t="s">
        <v>15</v>
      </c>
      <c r="B118" s="145">
        <v>45898</v>
      </c>
      <c r="C118" s="146">
        <v>79</v>
      </c>
      <c r="D118" s="150" t="s">
        <v>21</v>
      </c>
      <c r="E118" s="150"/>
      <c r="F118" s="150"/>
      <c r="G118" s="163" t="s">
        <v>22</v>
      </c>
      <c r="H118" s="149">
        <v>1</v>
      </c>
      <c r="I118" s="149">
        <v>180</v>
      </c>
      <c r="J118" s="149">
        <f t="shared" si="15"/>
        <v>180</v>
      </c>
      <c r="K118" s="164">
        <v>7.5</v>
      </c>
      <c r="L118" s="151">
        <f t="shared" si="16"/>
        <v>1350</v>
      </c>
      <c r="M118" s="101"/>
      <c r="N118" s="149"/>
    </row>
    <row r="119" s="140" customFormat="1" spans="1:14">
      <c r="A119" s="156" t="s">
        <v>15</v>
      </c>
      <c r="B119" s="157">
        <v>45903</v>
      </c>
      <c r="C119" s="158">
        <v>7</v>
      </c>
      <c r="D119" s="147" t="s">
        <v>23</v>
      </c>
      <c r="E119" s="147"/>
      <c r="F119" s="147"/>
      <c r="G119" s="159" t="s">
        <v>24</v>
      </c>
      <c r="H119" s="160">
        <v>2</v>
      </c>
      <c r="I119" s="160">
        <v>26</v>
      </c>
      <c r="J119" s="160">
        <f t="shared" si="15"/>
        <v>52</v>
      </c>
      <c r="K119" s="161">
        <v>14.5</v>
      </c>
      <c r="L119" s="162">
        <f t="shared" si="16"/>
        <v>754</v>
      </c>
      <c r="M119" s="156" t="s">
        <v>77</v>
      </c>
      <c r="N119" s="160"/>
    </row>
    <row r="120" s="140" customFormat="1" spans="1:14">
      <c r="A120" s="156" t="s">
        <v>15</v>
      </c>
      <c r="B120" s="157">
        <v>45903</v>
      </c>
      <c r="C120" s="158">
        <v>7</v>
      </c>
      <c r="D120" s="147" t="s">
        <v>25</v>
      </c>
      <c r="E120" s="147"/>
      <c r="F120" s="147"/>
      <c r="G120" s="159" t="s">
        <v>26</v>
      </c>
      <c r="H120" s="160">
        <v>2</v>
      </c>
      <c r="I120" s="160">
        <v>25</v>
      </c>
      <c r="J120" s="160">
        <f t="shared" si="15"/>
        <v>50</v>
      </c>
      <c r="K120" s="161">
        <v>13.8</v>
      </c>
      <c r="L120" s="162">
        <f t="shared" si="16"/>
        <v>690</v>
      </c>
      <c r="M120" s="156" t="s">
        <v>77</v>
      </c>
      <c r="N120" s="160"/>
    </row>
    <row r="121" s="140" customFormat="1" spans="1:14">
      <c r="A121" s="156" t="s">
        <v>15</v>
      </c>
      <c r="B121" s="157">
        <v>45903</v>
      </c>
      <c r="C121" s="158">
        <v>7</v>
      </c>
      <c r="D121" s="147" t="s">
        <v>25</v>
      </c>
      <c r="E121" s="147"/>
      <c r="F121" s="147"/>
      <c r="G121" s="159" t="s">
        <v>26</v>
      </c>
      <c r="H121" s="160">
        <v>1</v>
      </c>
      <c r="I121" s="160">
        <v>24</v>
      </c>
      <c r="J121" s="160">
        <f t="shared" si="15"/>
        <v>24</v>
      </c>
      <c r="K121" s="161">
        <v>13.8</v>
      </c>
      <c r="L121" s="162">
        <f t="shared" si="16"/>
        <v>331.2</v>
      </c>
      <c r="M121" s="156" t="s">
        <v>77</v>
      </c>
      <c r="N121" s="160"/>
    </row>
    <row r="122" s="140" customFormat="1" spans="1:14">
      <c r="A122" s="156" t="s">
        <v>15</v>
      </c>
      <c r="B122" s="157">
        <v>45903</v>
      </c>
      <c r="C122" s="158">
        <v>7</v>
      </c>
      <c r="D122" s="147" t="s">
        <v>33</v>
      </c>
      <c r="E122" s="147"/>
      <c r="F122" s="147"/>
      <c r="G122" s="159" t="s">
        <v>34</v>
      </c>
      <c r="H122" s="160">
        <v>2</v>
      </c>
      <c r="I122" s="160">
        <v>20</v>
      </c>
      <c r="J122" s="160">
        <f t="shared" si="15"/>
        <v>40</v>
      </c>
      <c r="K122" s="161">
        <v>13.5</v>
      </c>
      <c r="L122" s="162">
        <f t="shared" si="16"/>
        <v>540</v>
      </c>
      <c r="M122" s="156" t="s">
        <v>77</v>
      </c>
      <c r="N122" s="160"/>
    </row>
    <row r="123" s="140" customFormat="1" spans="1:14">
      <c r="A123" s="156" t="s">
        <v>15</v>
      </c>
      <c r="B123" s="157">
        <v>45903</v>
      </c>
      <c r="C123" s="158">
        <v>7</v>
      </c>
      <c r="D123" s="147" t="s">
        <v>31</v>
      </c>
      <c r="E123" s="147"/>
      <c r="F123" s="147"/>
      <c r="G123" s="159" t="s">
        <v>32</v>
      </c>
      <c r="H123" s="160">
        <v>2</v>
      </c>
      <c r="I123" s="160">
        <v>20</v>
      </c>
      <c r="J123" s="160">
        <f t="shared" si="15"/>
        <v>40</v>
      </c>
      <c r="K123" s="161">
        <v>14.5</v>
      </c>
      <c r="L123" s="162">
        <f t="shared" si="16"/>
        <v>580</v>
      </c>
      <c r="M123" s="156" t="s">
        <v>77</v>
      </c>
      <c r="N123" s="160"/>
    </row>
    <row r="124" s="140" customFormat="1" spans="1:14">
      <c r="A124" s="156" t="s">
        <v>15</v>
      </c>
      <c r="B124" s="157">
        <v>45903</v>
      </c>
      <c r="C124" s="158">
        <v>7</v>
      </c>
      <c r="D124" s="147" t="s">
        <v>19</v>
      </c>
      <c r="E124" s="147"/>
      <c r="F124" s="147"/>
      <c r="G124" s="159" t="s">
        <v>20</v>
      </c>
      <c r="H124" s="160">
        <v>1</v>
      </c>
      <c r="I124" s="160">
        <v>180</v>
      </c>
      <c r="J124" s="160">
        <f t="shared" si="15"/>
        <v>180</v>
      </c>
      <c r="K124" s="161">
        <v>4.2</v>
      </c>
      <c r="L124" s="162">
        <f t="shared" si="16"/>
        <v>756</v>
      </c>
      <c r="M124" s="156">
        <f>SUM(L119:L124)</f>
        <v>3651.2</v>
      </c>
      <c r="N124" s="160"/>
    </row>
    <row r="125" s="138" customFormat="1" spans="1:14">
      <c r="A125" s="101" t="s">
        <v>15</v>
      </c>
      <c r="B125" s="145">
        <v>45903</v>
      </c>
      <c r="C125" s="146">
        <v>8</v>
      </c>
      <c r="D125" s="150" t="s">
        <v>17</v>
      </c>
      <c r="E125" s="150"/>
      <c r="F125" s="150"/>
      <c r="G125" s="163" t="s">
        <v>18</v>
      </c>
      <c r="H125" s="149">
        <v>5</v>
      </c>
      <c r="I125" s="149">
        <v>25</v>
      </c>
      <c r="J125" s="149">
        <f t="shared" si="15"/>
        <v>125</v>
      </c>
      <c r="K125" s="164">
        <v>10</v>
      </c>
      <c r="L125" s="151">
        <f t="shared" si="16"/>
        <v>1250</v>
      </c>
      <c r="M125" s="1" t="s">
        <v>78</v>
      </c>
      <c r="N125" s="176"/>
    </row>
    <row r="126" s="138" customFormat="1" ht="23" customHeight="1" spans="1:14">
      <c r="A126" s="101" t="s">
        <v>15</v>
      </c>
      <c r="B126" s="145">
        <v>45903</v>
      </c>
      <c r="C126" s="146">
        <v>8</v>
      </c>
      <c r="D126" s="150">
        <v>632</v>
      </c>
      <c r="E126" s="150"/>
      <c r="F126" s="150"/>
      <c r="G126" s="163" t="s">
        <v>16</v>
      </c>
      <c r="H126" s="149">
        <v>10</v>
      </c>
      <c r="I126" s="149">
        <v>28</v>
      </c>
      <c r="J126" s="149">
        <f t="shared" si="15"/>
        <v>280</v>
      </c>
      <c r="K126" s="164">
        <v>7.2</v>
      </c>
      <c r="L126" s="151">
        <f t="shared" si="16"/>
        <v>2016</v>
      </c>
      <c r="M126" s="101" t="s">
        <v>79</v>
      </c>
      <c r="N126" s="149">
        <f>SUM(L125:L126)</f>
        <v>3266</v>
      </c>
    </row>
    <row r="127" s="140" customFormat="1" spans="1:14">
      <c r="A127" s="156" t="s">
        <v>15</v>
      </c>
      <c r="B127" s="157">
        <v>45908</v>
      </c>
      <c r="C127" s="158">
        <v>17</v>
      </c>
      <c r="D127" s="147" t="s">
        <v>80</v>
      </c>
      <c r="E127" s="147"/>
      <c r="F127" s="147"/>
      <c r="G127" s="159" t="s">
        <v>81</v>
      </c>
      <c r="H127" s="160">
        <v>1</v>
      </c>
      <c r="I127" s="160">
        <v>26</v>
      </c>
      <c r="J127" s="160">
        <f t="shared" ref="J127:J133" si="17">H127*I127</f>
        <v>26</v>
      </c>
      <c r="K127" s="161">
        <v>13.8</v>
      </c>
      <c r="L127" s="162">
        <f t="shared" ref="L127:L143" si="18">J127*K127</f>
        <v>358.8</v>
      </c>
      <c r="M127" s="156" t="s">
        <v>77</v>
      </c>
      <c r="N127" s="160"/>
    </row>
    <row r="128" s="140" customFormat="1" spans="1:14">
      <c r="A128" s="156" t="s">
        <v>15</v>
      </c>
      <c r="B128" s="157">
        <v>45908</v>
      </c>
      <c r="C128" s="158">
        <v>17</v>
      </c>
      <c r="D128" s="147" t="s">
        <v>27</v>
      </c>
      <c r="E128" s="147"/>
      <c r="F128" s="147"/>
      <c r="G128" s="159" t="s">
        <v>28</v>
      </c>
      <c r="H128" s="160">
        <v>2</v>
      </c>
      <c r="I128" s="160">
        <v>26</v>
      </c>
      <c r="J128" s="160">
        <f t="shared" si="17"/>
        <v>52</v>
      </c>
      <c r="K128" s="161">
        <v>14.5</v>
      </c>
      <c r="L128" s="162">
        <f t="shared" si="18"/>
        <v>754</v>
      </c>
      <c r="M128" s="156"/>
      <c r="N128" s="160"/>
    </row>
    <row r="129" s="140" customFormat="1" spans="1:15">
      <c r="A129" s="156" t="s">
        <v>15</v>
      </c>
      <c r="B129" s="157">
        <v>45908</v>
      </c>
      <c r="C129" s="158">
        <v>17</v>
      </c>
      <c r="D129" s="147" t="s">
        <v>27</v>
      </c>
      <c r="E129" s="147"/>
      <c r="F129" s="147"/>
      <c r="G129" s="159" t="s">
        <v>28</v>
      </c>
      <c r="H129" s="160">
        <v>1</v>
      </c>
      <c r="I129" s="160">
        <v>25</v>
      </c>
      <c r="J129" s="160">
        <f t="shared" si="17"/>
        <v>25</v>
      </c>
      <c r="K129" s="161">
        <v>14.5</v>
      </c>
      <c r="L129" s="162">
        <f t="shared" si="18"/>
        <v>362.5</v>
      </c>
      <c r="M129" s="156"/>
      <c r="N129" s="160"/>
    </row>
    <row r="130" s="140" customFormat="1" spans="1:15">
      <c r="A130" s="156" t="s">
        <v>15</v>
      </c>
      <c r="B130" s="157">
        <v>45908</v>
      </c>
      <c r="C130" s="158">
        <v>17</v>
      </c>
      <c r="D130" s="147" t="s">
        <v>29</v>
      </c>
      <c r="E130" s="147"/>
      <c r="F130" s="147"/>
      <c r="G130" s="159" t="s">
        <v>30</v>
      </c>
      <c r="H130" s="160">
        <v>4</v>
      </c>
      <c r="I130" s="160">
        <v>25</v>
      </c>
      <c r="J130" s="160">
        <f t="shared" si="17"/>
        <v>100</v>
      </c>
      <c r="K130" s="161">
        <v>13.8</v>
      </c>
      <c r="L130" s="162">
        <f t="shared" si="18"/>
        <v>1380</v>
      </c>
      <c r="M130" s="156"/>
      <c r="N130" s="160"/>
    </row>
    <row r="131" s="140" customFormat="1" spans="1:15">
      <c r="A131" s="156" t="s">
        <v>15</v>
      </c>
      <c r="B131" s="157">
        <v>45908</v>
      </c>
      <c r="C131" s="158">
        <v>17</v>
      </c>
      <c r="D131" s="147" t="s">
        <v>31</v>
      </c>
      <c r="E131" s="147"/>
      <c r="F131" s="147"/>
      <c r="G131" s="159" t="s">
        <v>32</v>
      </c>
      <c r="H131" s="160">
        <v>3</v>
      </c>
      <c r="I131" s="160">
        <v>20</v>
      </c>
      <c r="J131" s="160">
        <f t="shared" si="17"/>
        <v>60</v>
      </c>
      <c r="K131" s="161">
        <v>14.5</v>
      </c>
      <c r="L131" s="162">
        <f t="shared" si="18"/>
        <v>870</v>
      </c>
      <c r="M131" s="156" t="s">
        <v>77</v>
      </c>
      <c r="N131" s="160"/>
    </row>
    <row r="132" s="140" customFormat="1" spans="1:15">
      <c r="A132" s="156" t="s">
        <v>15</v>
      </c>
      <c r="B132" s="157">
        <v>45908</v>
      </c>
      <c r="C132" s="158">
        <v>17</v>
      </c>
      <c r="D132" s="147" t="s">
        <v>33</v>
      </c>
      <c r="E132" s="147"/>
      <c r="F132" s="147"/>
      <c r="G132" s="159" t="s">
        <v>34</v>
      </c>
      <c r="H132" s="160">
        <v>3</v>
      </c>
      <c r="I132" s="160">
        <v>20</v>
      </c>
      <c r="J132" s="160">
        <f t="shared" si="17"/>
        <v>60</v>
      </c>
      <c r="K132" s="161">
        <v>13.5</v>
      </c>
      <c r="L132" s="162">
        <f t="shared" si="18"/>
        <v>810</v>
      </c>
      <c r="M132" s="156" t="s">
        <v>77</v>
      </c>
      <c r="N132" s="160">
        <f>SUM(L127:L133)</f>
        <v>5885.3</v>
      </c>
    </row>
    <row r="133" s="140" customFormat="1" spans="1:15">
      <c r="A133" s="156" t="s">
        <v>15</v>
      </c>
      <c r="B133" s="157">
        <v>45908</v>
      </c>
      <c r="C133" s="158">
        <v>17</v>
      </c>
      <c r="D133" s="147" t="s">
        <v>21</v>
      </c>
      <c r="E133" s="147"/>
      <c r="F133" s="147"/>
      <c r="G133" s="159" t="s">
        <v>22</v>
      </c>
      <c r="H133" s="160">
        <v>1</v>
      </c>
      <c r="I133" s="160">
        <v>180</v>
      </c>
      <c r="J133" s="160">
        <f t="shared" si="17"/>
        <v>180</v>
      </c>
      <c r="K133" s="161">
        <v>7.5</v>
      </c>
      <c r="L133" s="162">
        <f t="shared" si="18"/>
        <v>1350</v>
      </c>
      <c r="M133" s="156"/>
      <c r="N133" s="160"/>
    </row>
    <row r="134" s="138" customFormat="1" spans="1:15">
      <c r="A134" s="101" t="s">
        <v>15</v>
      </c>
      <c r="B134" s="145">
        <v>45912</v>
      </c>
      <c r="C134" s="146">
        <v>36</v>
      </c>
      <c r="D134" s="150" t="s">
        <v>39</v>
      </c>
      <c r="E134" s="150"/>
      <c r="F134" s="150"/>
      <c r="G134" s="163" t="s">
        <v>28</v>
      </c>
      <c r="H134" s="149">
        <v>1</v>
      </c>
      <c r="I134" s="149">
        <v>25</v>
      </c>
      <c r="J134" s="149">
        <v>25</v>
      </c>
      <c r="K134" s="164">
        <v>14.5</v>
      </c>
      <c r="L134" s="151">
        <f t="shared" si="18"/>
        <v>362.5</v>
      </c>
      <c r="M134" s="101"/>
      <c r="N134" s="149"/>
    </row>
    <row r="135" s="138" customFormat="1" spans="1:15">
      <c r="A135" s="101" t="s">
        <v>15</v>
      </c>
      <c r="B135" s="145">
        <v>45912</v>
      </c>
      <c r="C135" s="146">
        <v>36</v>
      </c>
      <c r="D135" s="150" t="s">
        <v>37</v>
      </c>
      <c r="E135" s="150"/>
      <c r="F135" s="150"/>
      <c r="G135" s="163" t="s">
        <v>38</v>
      </c>
      <c r="H135" s="149">
        <v>1</v>
      </c>
      <c r="I135" s="149">
        <v>21</v>
      </c>
      <c r="J135" s="149">
        <v>21</v>
      </c>
      <c r="K135" s="164">
        <v>19.8</v>
      </c>
      <c r="L135" s="151">
        <f t="shared" si="18"/>
        <v>415.8</v>
      </c>
      <c r="M135" s="101"/>
      <c r="N135" s="149"/>
    </row>
    <row r="136" s="138" customFormat="1" spans="1:15">
      <c r="A136" s="101" t="s">
        <v>15</v>
      </c>
      <c r="B136" s="145">
        <v>45912</v>
      </c>
      <c r="C136" s="146">
        <v>36</v>
      </c>
      <c r="D136" s="150" t="s">
        <v>64</v>
      </c>
      <c r="E136" s="150"/>
      <c r="F136" s="150"/>
      <c r="G136" s="163" t="s">
        <v>62</v>
      </c>
      <c r="H136" s="149">
        <v>1</v>
      </c>
      <c r="I136" s="149">
        <v>26</v>
      </c>
      <c r="J136" s="149">
        <v>26</v>
      </c>
      <c r="K136" s="164">
        <v>13.8</v>
      </c>
      <c r="L136" s="151">
        <f t="shared" si="18"/>
        <v>358.8</v>
      </c>
      <c r="M136" s="101" t="s">
        <v>65</v>
      </c>
      <c r="N136" s="149"/>
    </row>
    <row r="137" s="138" customFormat="1" spans="1:15">
      <c r="A137" s="101" t="s">
        <v>15</v>
      </c>
      <c r="B137" s="145">
        <v>45912</v>
      </c>
      <c r="C137" s="146">
        <v>36</v>
      </c>
      <c r="D137" s="150" t="s">
        <v>69</v>
      </c>
      <c r="E137" s="150"/>
      <c r="F137" s="150"/>
      <c r="G137" s="163" t="s">
        <v>70</v>
      </c>
      <c r="H137" s="149">
        <v>1</v>
      </c>
      <c r="I137" s="149">
        <v>20</v>
      </c>
      <c r="J137" s="149">
        <v>20</v>
      </c>
      <c r="K137" s="164">
        <v>19.8</v>
      </c>
      <c r="L137" s="151">
        <f t="shared" si="18"/>
        <v>396</v>
      </c>
      <c r="M137" s="174" t="s">
        <v>71</v>
      </c>
      <c r="N137" s="174">
        <f>SUM(L134:L137)</f>
        <v>1533.1</v>
      </c>
      <c r="O137" s="174"/>
    </row>
    <row r="138" s="140" customFormat="1" ht="23" customHeight="1" spans="1:15">
      <c r="A138" s="156" t="s">
        <v>15</v>
      </c>
      <c r="B138" s="157">
        <v>45913</v>
      </c>
      <c r="C138" s="158">
        <v>36</v>
      </c>
      <c r="D138" s="147">
        <v>632</v>
      </c>
      <c r="E138" s="147"/>
      <c r="F138" s="147"/>
      <c r="G138" s="159" t="s">
        <v>16</v>
      </c>
      <c r="H138" s="160">
        <v>10</v>
      </c>
      <c r="I138" s="160">
        <v>28</v>
      </c>
      <c r="J138" s="160">
        <f t="shared" ref="J138:J143" si="19">H138*I138</f>
        <v>280</v>
      </c>
      <c r="K138" s="161">
        <v>7.2</v>
      </c>
      <c r="L138" s="162">
        <f t="shared" si="18"/>
        <v>2016</v>
      </c>
      <c r="M138" s="156" t="s">
        <v>79</v>
      </c>
      <c r="N138" s="160"/>
    </row>
    <row r="139" s="140" customFormat="1" spans="1:15">
      <c r="A139" s="156" t="s">
        <v>15</v>
      </c>
      <c r="B139" s="157">
        <v>45913</v>
      </c>
      <c r="C139" s="158">
        <v>36</v>
      </c>
      <c r="D139" s="147" t="s">
        <v>33</v>
      </c>
      <c r="E139" s="147"/>
      <c r="F139" s="147"/>
      <c r="G139" s="159" t="s">
        <v>34</v>
      </c>
      <c r="H139" s="160">
        <v>3</v>
      </c>
      <c r="I139" s="160">
        <v>20</v>
      </c>
      <c r="J139" s="160">
        <f t="shared" si="19"/>
        <v>60</v>
      </c>
      <c r="K139" s="161">
        <v>13.5</v>
      </c>
      <c r="L139" s="162">
        <f t="shared" si="18"/>
        <v>810</v>
      </c>
      <c r="M139" s="156" t="s">
        <v>77</v>
      </c>
      <c r="N139" s="160">
        <f>SUM(L138:L140)</f>
        <v>3101.5</v>
      </c>
    </row>
    <row r="140" s="140" customFormat="1" spans="1:15">
      <c r="A140" s="156" t="s">
        <v>15</v>
      </c>
      <c r="B140" s="157">
        <v>45913</v>
      </c>
      <c r="C140" s="158">
        <v>36</v>
      </c>
      <c r="D140" s="147" t="s">
        <v>82</v>
      </c>
      <c r="E140" s="147"/>
      <c r="F140" s="147"/>
      <c r="G140" s="159" t="s">
        <v>83</v>
      </c>
      <c r="H140" s="160">
        <v>1</v>
      </c>
      <c r="I140" s="160">
        <v>19</v>
      </c>
      <c r="J140" s="160">
        <f t="shared" si="19"/>
        <v>19</v>
      </c>
      <c r="K140" s="161">
        <v>14.5</v>
      </c>
      <c r="L140" s="162">
        <f t="shared" si="18"/>
        <v>275.5</v>
      </c>
      <c r="M140" s="156"/>
      <c r="N140" s="160"/>
    </row>
    <row r="141" s="138" customFormat="1" spans="1:15">
      <c r="A141" s="101" t="s">
        <v>15</v>
      </c>
      <c r="B141" s="145">
        <v>45916</v>
      </c>
      <c r="C141" s="146">
        <v>44</v>
      </c>
      <c r="D141" s="150" t="s">
        <v>19</v>
      </c>
      <c r="E141" s="150"/>
      <c r="F141" s="150"/>
      <c r="G141" s="163" t="s">
        <v>20</v>
      </c>
      <c r="H141" s="149">
        <v>1</v>
      </c>
      <c r="I141" s="149">
        <v>180</v>
      </c>
      <c r="J141" s="149">
        <f t="shared" si="19"/>
        <v>180</v>
      </c>
      <c r="K141" s="164">
        <v>4.2</v>
      </c>
      <c r="L141" s="151">
        <f t="shared" si="18"/>
        <v>756</v>
      </c>
      <c r="M141" s="101"/>
      <c r="N141" s="149"/>
    </row>
    <row r="142" s="138" customFormat="1" spans="1:15">
      <c r="A142" s="101" t="s">
        <v>15</v>
      </c>
      <c r="B142" s="145">
        <v>45916</v>
      </c>
      <c r="C142" s="146">
        <v>44</v>
      </c>
      <c r="D142" s="150" t="s">
        <v>40</v>
      </c>
      <c r="E142" s="150"/>
      <c r="F142" s="150"/>
      <c r="G142" s="163" t="s">
        <v>41</v>
      </c>
      <c r="H142" s="149">
        <v>1</v>
      </c>
      <c r="I142" s="149">
        <v>180</v>
      </c>
      <c r="J142" s="149">
        <f t="shared" si="19"/>
        <v>180</v>
      </c>
      <c r="K142" s="164">
        <v>4.2</v>
      </c>
      <c r="L142" s="151">
        <f t="shared" si="18"/>
        <v>756</v>
      </c>
      <c r="M142" s="101"/>
      <c r="N142" s="149">
        <f>SUM(L141:L142)</f>
        <v>1512</v>
      </c>
    </row>
    <row r="143" s="138" customFormat="1" spans="1:15">
      <c r="A143" s="101" t="s">
        <v>15</v>
      </c>
      <c r="B143" s="145">
        <v>45916</v>
      </c>
      <c r="C143" s="146">
        <v>44</v>
      </c>
      <c r="D143" s="150" t="s">
        <v>21</v>
      </c>
      <c r="E143" s="150"/>
      <c r="F143" s="150"/>
      <c r="G143" s="163" t="s">
        <v>22</v>
      </c>
      <c r="H143" s="149">
        <v>1</v>
      </c>
      <c r="I143" s="149">
        <v>180</v>
      </c>
      <c r="J143" s="149">
        <f t="shared" si="19"/>
        <v>180</v>
      </c>
      <c r="K143" s="164">
        <v>7.5</v>
      </c>
      <c r="L143" s="151">
        <f t="shared" si="18"/>
        <v>1350</v>
      </c>
      <c r="M143" s="101">
        <f>SUM(L141:L143)</f>
        <v>2862</v>
      </c>
      <c r="N143" s="149"/>
    </row>
    <row r="144" s="140" customFormat="1" spans="1:15">
      <c r="A144" s="156"/>
      <c r="B144" s="157"/>
      <c r="C144" s="158"/>
      <c r="D144" s="147"/>
      <c r="E144" s="147"/>
      <c r="F144" s="147"/>
      <c r="G144" s="177" t="s">
        <v>84</v>
      </c>
      <c r="H144" s="160"/>
      <c r="I144" s="160"/>
      <c r="J144" s="160"/>
      <c r="K144" s="161"/>
      <c r="L144" s="162"/>
      <c r="M144" s="156"/>
      <c r="N144" s="160"/>
    </row>
    <row r="145" s="140" customFormat="1" ht="23" customHeight="1" spans="1:15">
      <c r="A145" s="156" t="s">
        <v>15</v>
      </c>
      <c r="B145" s="157">
        <v>45919</v>
      </c>
      <c r="C145" s="158">
        <v>51</v>
      </c>
      <c r="D145" s="147">
        <v>632</v>
      </c>
      <c r="E145" s="147"/>
      <c r="F145" s="147"/>
      <c r="G145" s="159" t="s">
        <v>16</v>
      </c>
      <c r="H145" s="160">
        <v>10</v>
      </c>
      <c r="I145" s="160">
        <v>28</v>
      </c>
      <c r="J145" s="160">
        <f>H145*I145</f>
        <v>280</v>
      </c>
      <c r="K145" s="161">
        <v>7.2</v>
      </c>
      <c r="L145" s="162">
        <f>J145*K145</f>
        <v>2016</v>
      </c>
      <c r="M145" s="156" t="s">
        <v>79</v>
      </c>
      <c r="N145" s="160"/>
    </row>
    <row r="146" s="140" customFormat="1" spans="1:15">
      <c r="A146" s="156" t="s">
        <v>15</v>
      </c>
      <c r="B146" s="157">
        <v>45919</v>
      </c>
      <c r="C146" s="158">
        <v>51</v>
      </c>
      <c r="D146" s="147" t="s">
        <v>17</v>
      </c>
      <c r="E146" s="147"/>
      <c r="F146" s="147"/>
      <c r="G146" s="159" t="s">
        <v>18</v>
      </c>
      <c r="H146" s="160">
        <v>5</v>
      </c>
      <c r="I146" s="160">
        <v>25</v>
      </c>
      <c r="J146" s="160">
        <f t="shared" ref="J146:J152" si="20">H146*I146</f>
        <v>125</v>
      </c>
      <c r="K146" s="161">
        <v>9.5</v>
      </c>
      <c r="L146" s="162">
        <f t="shared" ref="L146:L158" si="21">J146*K146</f>
        <v>1187.5</v>
      </c>
      <c r="M146" s="80" t="s">
        <v>78</v>
      </c>
      <c r="N146" s="178"/>
    </row>
    <row r="147" s="140" customFormat="1" spans="1:15">
      <c r="A147" s="156" t="s">
        <v>15</v>
      </c>
      <c r="B147" s="157">
        <v>45919</v>
      </c>
      <c r="C147" s="158">
        <v>51</v>
      </c>
      <c r="D147" s="147" t="s">
        <v>27</v>
      </c>
      <c r="E147" s="147"/>
      <c r="F147" s="147"/>
      <c r="G147" s="159" t="s">
        <v>28</v>
      </c>
      <c r="H147" s="160">
        <v>3</v>
      </c>
      <c r="I147" s="160">
        <v>25</v>
      </c>
      <c r="J147" s="160">
        <f t="shared" si="20"/>
        <v>75</v>
      </c>
      <c r="K147" s="161">
        <v>14.5</v>
      </c>
      <c r="L147" s="162">
        <f t="shared" si="21"/>
        <v>1087.5</v>
      </c>
      <c r="M147" s="156"/>
      <c r="N147" s="160"/>
    </row>
    <row r="148" s="140" customFormat="1" spans="1:15">
      <c r="A148" s="156" t="s">
        <v>15</v>
      </c>
      <c r="B148" s="157">
        <v>45919</v>
      </c>
      <c r="C148" s="158">
        <v>51</v>
      </c>
      <c r="D148" s="147" t="s">
        <v>72</v>
      </c>
      <c r="E148" s="147"/>
      <c r="F148" s="147"/>
      <c r="G148" s="159" t="s">
        <v>73</v>
      </c>
      <c r="H148" s="160">
        <v>1</v>
      </c>
      <c r="I148" s="160">
        <v>25</v>
      </c>
      <c r="J148" s="160">
        <f t="shared" si="20"/>
        <v>25</v>
      </c>
      <c r="K148" s="161">
        <v>13</v>
      </c>
      <c r="L148" s="162">
        <f t="shared" si="21"/>
        <v>325</v>
      </c>
      <c r="M148" s="156" t="s">
        <v>85</v>
      </c>
      <c r="N148" s="160"/>
    </row>
    <row r="149" s="140" customFormat="1" spans="1:15">
      <c r="A149" s="156" t="s">
        <v>15</v>
      </c>
      <c r="B149" s="157">
        <v>45919</v>
      </c>
      <c r="C149" s="158">
        <v>51</v>
      </c>
      <c r="D149" s="147" t="s">
        <v>86</v>
      </c>
      <c r="E149" s="147"/>
      <c r="F149" s="147"/>
      <c r="G149" s="159" t="s">
        <v>87</v>
      </c>
      <c r="H149" s="160">
        <v>1</v>
      </c>
      <c r="I149" s="160">
        <v>25</v>
      </c>
      <c r="J149" s="160">
        <f t="shared" si="20"/>
        <v>25</v>
      </c>
      <c r="K149" s="161">
        <v>13</v>
      </c>
      <c r="L149" s="162">
        <f t="shared" si="21"/>
        <v>325</v>
      </c>
      <c r="M149" s="156" t="s">
        <v>85</v>
      </c>
      <c r="N149" s="160"/>
    </row>
    <row r="150" s="140" customFormat="1" spans="1:15">
      <c r="A150" s="156" t="s">
        <v>15</v>
      </c>
      <c r="B150" s="157">
        <v>45919</v>
      </c>
      <c r="C150" s="158">
        <v>51</v>
      </c>
      <c r="D150" s="179" t="s">
        <v>88</v>
      </c>
      <c r="E150" s="179"/>
      <c r="F150" s="179"/>
      <c r="G150" s="159" t="s">
        <v>30</v>
      </c>
      <c r="H150" s="160">
        <v>5</v>
      </c>
      <c r="I150" s="160">
        <v>25</v>
      </c>
      <c r="J150" s="160">
        <f t="shared" si="20"/>
        <v>125</v>
      </c>
      <c r="K150" s="180">
        <v>12</v>
      </c>
      <c r="L150" s="162">
        <f t="shared" si="21"/>
        <v>1500</v>
      </c>
      <c r="M150" s="156" t="s">
        <v>85</v>
      </c>
      <c r="N150" s="160"/>
    </row>
    <row r="151" s="140" customFormat="1" spans="1:15">
      <c r="A151" s="156" t="s">
        <v>15</v>
      </c>
      <c r="B151" s="157">
        <v>45919</v>
      </c>
      <c r="C151" s="158">
        <v>51</v>
      </c>
      <c r="D151" s="147" t="s">
        <v>31</v>
      </c>
      <c r="E151" s="147"/>
      <c r="F151" s="147"/>
      <c r="G151" s="159" t="s">
        <v>32</v>
      </c>
      <c r="H151" s="160">
        <v>2</v>
      </c>
      <c r="I151" s="160">
        <v>20</v>
      </c>
      <c r="J151" s="160">
        <f t="shared" si="20"/>
        <v>40</v>
      </c>
      <c r="K151" s="161">
        <v>14</v>
      </c>
      <c r="L151" s="162">
        <f t="shared" si="21"/>
        <v>560</v>
      </c>
      <c r="M151" s="156" t="s">
        <v>89</v>
      </c>
      <c r="N151" s="160"/>
    </row>
    <row r="152" s="140" customFormat="1" spans="1:15">
      <c r="A152" s="156" t="s">
        <v>15</v>
      </c>
      <c r="B152" s="157">
        <v>45919</v>
      </c>
      <c r="C152" s="158">
        <v>51</v>
      </c>
      <c r="D152" s="147" t="s">
        <v>33</v>
      </c>
      <c r="E152" s="147"/>
      <c r="F152" s="147"/>
      <c r="G152" s="159" t="s">
        <v>34</v>
      </c>
      <c r="H152" s="160">
        <v>6</v>
      </c>
      <c r="I152" s="160">
        <v>20</v>
      </c>
      <c r="J152" s="160">
        <f t="shared" si="20"/>
        <v>120</v>
      </c>
      <c r="K152" s="161">
        <v>12.8</v>
      </c>
      <c r="L152" s="162">
        <f t="shared" si="21"/>
        <v>1536</v>
      </c>
      <c r="M152" s="156" t="s">
        <v>89</v>
      </c>
      <c r="N152" s="160">
        <f>SUM(L145:L152)</f>
        <v>8537</v>
      </c>
    </row>
    <row r="153" s="140" customFormat="1" spans="1:15">
      <c r="A153" s="156"/>
      <c r="B153" s="157"/>
      <c r="C153" s="158"/>
      <c r="D153" s="147"/>
      <c r="E153" s="147"/>
      <c r="F153" s="147"/>
      <c r="G153" s="148" t="s">
        <v>90</v>
      </c>
      <c r="H153" s="160"/>
      <c r="I153" s="160"/>
      <c r="J153" s="160"/>
      <c r="K153" s="161"/>
      <c r="L153" s="162"/>
      <c r="M153" s="156"/>
      <c r="N153" s="147"/>
      <c r="O153" s="156"/>
    </row>
    <row r="154" s="138" customFormat="1" spans="1:15">
      <c r="A154" s="101" t="s">
        <v>15</v>
      </c>
      <c r="B154" s="145">
        <v>45924</v>
      </c>
      <c r="C154" s="146">
        <v>64</v>
      </c>
      <c r="D154" s="150" t="s">
        <v>69</v>
      </c>
      <c r="E154" s="150"/>
      <c r="F154" s="150"/>
      <c r="G154" s="163" t="s">
        <v>70</v>
      </c>
      <c r="H154" s="149">
        <v>2</v>
      </c>
      <c r="I154" s="149">
        <v>20</v>
      </c>
      <c r="J154" s="149">
        <f t="shared" ref="J154:J162" si="22">H154*I154</f>
        <v>40</v>
      </c>
      <c r="K154" s="164">
        <v>18</v>
      </c>
      <c r="L154" s="151">
        <f t="shared" ref="L154:L162" si="23">J154*K154</f>
        <v>720</v>
      </c>
      <c r="M154" s="174"/>
      <c r="N154" s="174">
        <f>SUM(L150:L154)</f>
        <v>4316</v>
      </c>
      <c r="O154" s="174"/>
    </row>
    <row r="155" s="138" customFormat="1" spans="1:15">
      <c r="A155" s="101" t="s">
        <v>15</v>
      </c>
      <c r="B155" s="145">
        <v>45924</v>
      </c>
      <c r="C155" s="146">
        <v>64</v>
      </c>
      <c r="D155" s="150" t="s">
        <v>27</v>
      </c>
      <c r="E155" s="150"/>
      <c r="F155" s="150"/>
      <c r="G155" s="163" t="s">
        <v>28</v>
      </c>
      <c r="H155" s="149">
        <v>3</v>
      </c>
      <c r="I155" s="149">
        <v>25</v>
      </c>
      <c r="J155" s="149">
        <f t="shared" si="22"/>
        <v>75</v>
      </c>
      <c r="K155" s="164">
        <v>13.8</v>
      </c>
      <c r="L155" s="151">
        <f t="shared" si="23"/>
        <v>1035</v>
      </c>
      <c r="M155" s="171" t="s">
        <v>91</v>
      </c>
      <c r="N155" s="149"/>
    </row>
    <row r="156" s="138" customFormat="1" spans="1:15">
      <c r="A156" s="101" t="s">
        <v>15</v>
      </c>
      <c r="B156" s="145">
        <v>45924</v>
      </c>
      <c r="C156" s="146">
        <v>64</v>
      </c>
      <c r="D156" s="150" t="s">
        <v>31</v>
      </c>
      <c r="E156" s="150"/>
      <c r="F156" s="150"/>
      <c r="G156" s="163" t="s">
        <v>32</v>
      </c>
      <c r="H156" s="149">
        <v>4</v>
      </c>
      <c r="I156" s="149">
        <v>20</v>
      </c>
      <c r="J156" s="149">
        <f t="shared" si="22"/>
        <v>80</v>
      </c>
      <c r="K156" s="164">
        <v>14</v>
      </c>
      <c r="L156" s="151">
        <f t="shared" si="23"/>
        <v>1120</v>
      </c>
      <c r="M156" s="101" t="s">
        <v>89</v>
      </c>
      <c r="N156" s="149"/>
    </row>
    <row r="157" s="138" customFormat="1" spans="1:15">
      <c r="A157" s="101" t="s">
        <v>15</v>
      </c>
      <c r="B157" s="145">
        <v>45924</v>
      </c>
      <c r="C157" s="146">
        <v>64</v>
      </c>
      <c r="D157" s="150" t="s">
        <v>19</v>
      </c>
      <c r="E157" s="150"/>
      <c r="F157" s="150"/>
      <c r="G157" s="163" t="s">
        <v>20</v>
      </c>
      <c r="H157" s="149">
        <v>1</v>
      </c>
      <c r="I157" s="149">
        <v>180</v>
      </c>
      <c r="J157" s="149">
        <f t="shared" si="22"/>
        <v>180</v>
      </c>
      <c r="K157" s="164">
        <v>4.2</v>
      </c>
      <c r="L157" s="151">
        <f t="shared" si="23"/>
        <v>756</v>
      </c>
      <c r="M157" s="101"/>
      <c r="N157" s="149"/>
    </row>
    <row r="158" s="138" customFormat="1" spans="1:15">
      <c r="A158" s="101" t="s">
        <v>15</v>
      </c>
      <c r="B158" s="145">
        <v>45924</v>
      </c>
      <c r="C158" s="146">
        <v>64</v>
      </c>
      <c r="D158" s="150" t="s">
        <v>40</v>
      </c>
      <c r="E158" s="150"/>
      <c r="F158" s="150"/>
      <c r="G158" s="163" t="s">
        <v>41</v>
      </c>
      <c r="H158" s="149">
        <v>1</v>
      </c>
      <c r="I158" s="149">
        <v>180</v>
      </c>
      <c r="J158" s="149">
        <f t="shared" si="22"/>
        <v>180</v>
      </c>
      <c r="K158" s="164">
        <v>4.2</v>
      </c>
      <c r="L158" s="151">
        <f t="shared" si="23"/>
        <v>756</v>
      </c>
      <c r="M158" s="101"/>
      <c r="N158" s="149">
        <f>SUM(L157:L158)</f>
        <v>1512</v>
      </c>
    </row>
    <row r="159" s="138" customFormat="1" spans="1:15">
      <c r="A159" s="101" t="s">
        <v>15</v>
      </c>
      <c r="B159" s="145">
        <v>45924</v>
      </c>
      <c r="C159" s="146">
        <v>64</v>
      </c>
      <c r="D159" s="150" t="s">
        <v>21</v>
      </c>
      <c r="E159" s="150"/>
      <c r="F159" s="150"/>
      <c r="G159" s="163" t="s">
        <v>22</v>
      </c>
      <c r="H159" s="149">
        <v>1</v>
      </c>
      <c r="I159" s="149">
        <v>180</v>
      </c>
      <c r="J159" s="149">
        <f t="shared" si="22"/>
        <v>180</v>
      </c>
      <c r="K159" s="164">
        <v>7.5</v>
      </c>
      <c r="L159" s="151">
        <f t="shared" si="23"/>
        <v>1350</v>
      </c>
      <c r="M159" s="101">
        <f>SUM(L154:L160)</f>
        <v>5827</v>
      </c>
      <c r="N159" s="149"/>
    </row>
    <row r="160" s="140" customFormat="1" spans="1:15">
      <c r="A160" s="101" t="s">
        <v>15</v>
      </c>
      <c r="B160" s="145">
        <v>45924</v>
      </c>
      <c r="C160" s="146">
        <v>64</v>
      </c>
      <c r="D160" s="147"/>
      <c r="E160" s="147"/>
      <c r="F160" s="147"/>
      <c r="G160" s="163" t="s">
        <v>92</v>
      </c>
      <c r="H160" s="149">
        <v>1</v>
      </c>
      <c r="I160" s="149">
        <v>5</v>
      </c>
      <c r="J160" s="149">
        <f t="shared" si="22"/>
        <v>5</v>
      </c>
      <c r="K160" s="164">
        <v>18</v>
      </c>
      <c r="L160" s="151">
        <f t="shared" si="23"/>
        <v>90</v>
      </c>
      <c r="M160" s="156"/>
      <c r="N160" s="160"/>
    </row>
    <row r="161" s="140" customFormat="1" ht="23" customHeight="1" spans="1:14">
      <c r="A161" s="156" t="s">
        <v>15</v>
      </c>
      <c r="B161" s="157">
        <v>45929</v>
      </c>
      <c r="C161" s="158">
        <v>89</v>
      </c>
      <c r="D161" s="147">
        <v>632</v>
      </c>
      <c r="E161" s="147"/>
      <c r="F161" s="147"/>
      <c r="G161" s="159" t="s">
        <v>16</v>
      </c>
      <c r="H161" s="160">
        <v>10</v>
      </c>
      <c r="I161" s="160">
        <v>28</v>
      </c>
      <c r="J161" s="160">
        <f t="shared" si="22"/>
        <v>280</v>
      </c>
      <c r="K161" s="161">
        <v>7.2</v>
      </c>
      <c r="L161" s="162">
        <f t="shared" si="23"/>
        <v>2016</v>
      </c>
      <c r="M161" s="156" t="s">
        <v>79</v>
      </c>
      <c r="N161" s="160"/>
    </row>
    <row r="162" s="140" customFormat="1" spans="1:14">
      <c r="A162" s="156" t="s">
        <v>15</v>
      </c>
      <c r="B162" s="157">
        <v>45929</v>
      </c>
      <c r="C162" s="158">
        <v>89</v>
      </c>
      <c r="D162" s="147" t="s">
        <v>17</v>
      </c>
      <c r="E162" s="147"/>
      <c r="F162" s="147"/>
      <c r="G162" s="159" t="s">
        <v>18</v>
      </c>
      <c r="H162" s="160">
        <v>5</v>
      </c>
      <c r="I162" s="160">
        <v>25</v>
      </c>
      <c r="J162" s="160">
        <f t="shared" ref="J162:J174" si="24">H162*I162</f>
        <v>125</v>
      </c>
      <c r="K162" s="161">
        <v>9.5</v>
      </c>
      <c r="L162" s="162">
        <f t="shared" ref="L162:L198" si="25">J162*K162</f>
        <v>1187.5</v>
      </c>
      <c r="M162" s="80" t="s">
        <v>78</v>
      </c>
      <c r="N162" s="178"/>
    </row>
    <row r="163" s="140" customFormat="1" spans="1:14">
      <c r="A163" s="156" t="s">
        <v>15</v>
      </c>
      <c r="B163" s="157">
        <v>45929</v>
      </c>
      <c r="C163" s="158">
        <v>89</v>
      </c>
      <c r="D163" s="147" t="s">
        <v>61</v>
      </c>
      <c r="E163" s="147"/>
      <c r="F163" s="147"/>
      <c r="G163" s="159" t="s">
        <v>62</v>
      </c>
      <c r="H163" s="160">
        <v>1</v>
      </c>
      <c r="I163" s="160">
        <v>25</v>
      </c>
      <c r="J163" s="160">
        <f t="shared" si="24"/>
        <v>25</v>
      </c>
      <c r="K163" s="161">
        <v>12</v>
      </c>
      <c r="L163" s="162">
        <f t="shared" si="25"/>
        <v>300</v>
      </c>
      <c r="M163" s="156" t="s">
        <v>63</v>
      </c>
      <c r="N163" s="160"/>
    </row>
    <row r="164" s="140" customFormat="1" spans="1:14">
      <c r="A164" s="156" t="s">
        <v>15</v>
      </c>
      <c r="B164" s="157">
        <v>45929</v>
      </c>
      <c r="C164" s="158">
        <v>89</v>
      </c>
      <c r="D164" s="147" t="s">
        <v>29</v>
      </c>
      <c r="E164" s="147"/>
      <c r="F164" s="147"/>
      <c r="G164" s="159" t="s">
        <v>30</v>
      </c>
      <c r="H164" s="160">
        <v>2</v>
      </c>
      <c r="I164" s="160">
        <v>25</v>
      </c>
      <c r="J164" s="160">
        <f t="shared" si="24"/>
        <v>50</v>
      </c>
      <c r="K164" s="161">
        <v>12</v>
      </c>
      <c r="L164" s="162">
        <f t="shared" si="25"/>
        <v>600</v>
      </c>
      <c r="M164" s="156" t="s">
        <v>85</v>
      </c>
      <c r="N164" s="160"/>
    </row>
    <row r="165" s="140" customFormat="1" spans="1:14">
      <c r="A165" s="156" t="s">
        <v>15</v>
      </c>
      <c r="B165" s="157">
        <v>45929</v>
      </c>
      <c r="C165" s="158">
        <v>89</v>
      </c>
      <c r="D165" s="147" t="s">
        <v>29</v>
      </c>
      <c r="E165" s="147"/>
      <c r="F165" s="147"/>
      <c r="G165" s="159" t="s">
        <v>30</v>
      </c>
      <c r="H165" s="160">
        <v>3</v>
      </c>
      <c r="I165" s="160">
        <v>26</v>
      </c>
      <c r="J165" s="160">
        <f t="shared" si="24"/>
        <v>78</v>
      </c>
      <c r="K165" s="161">
        <v>12</v>
      </c>
      <c r="L165" s="162">
        <f t="shared" si="25"/>
        <v>936</v>
      </c>
      <c r="M165" s="156" t="s">
        <v>85</v>
      </c>
      <c r="N165" s="160"/>
    </row>
    <row r="166" s="140" customFormat="1" spans="1:14">
      <c r="A166" s="156" t="s">
        <v>15</v>
      </c>
      <c r="B166" s="157">
        <v>45929</v>
      </c>
      <c r="C166" s="158">
        <v>89</v>
      </c>
      <c r="D166" s="147" t="s">
        <v>33</v>
      </c>
      <c r="E166" s="147"/>
      <c r="F166" s="147"/>
      <c r="G166" s="159" t="s">
        <v>34</v>
      </c>
      <c r="H166" s="160">
        <v>4</v>
      </c>
      <c r="I166" s="160">
        <v>20</v>
      </c>
      <c r="J166" s="160">
        <f t="shared" si="24"/>
        <v>80</v>
      </c>
      <c r="K166" s="161">
        <v>12.8</v>
      </c>
      <c r="L166" s="162">
        <f t="shared" si="25"/>
        <v>1024</v>
      </c>
      <c r="M166" s="156" t="s">
        <v>89</v>
      </c>
      <c r="N166" s="160">
        <f>SUM(L158:L166)</f>
        <v>8259.5</v>
      </c>
    </row>
    <row r="167" s="140" customFormat="1" spans="1:14">
      <c r="A167" s="156" t="s">
        <v>15</v>
      </c>
      <c r="B167" s="157">
        <v>45929</v>
      </c>
      <c r="C167" s="158">
        <v>89</v>
      </c>
      <c r="D167" s="147" t="s">
        <v>19</v>
      </c>
      <c r="E167" s="147"/>
      <c r="F167" s="147"/>
      <c r="G167" s="159" t="s">
        <v>20</v>
      </c>
      <c r="H167" s="160">
        <v>1</v>
      </c>
      <c r="I167" s="160">
        <v>180</v>
      </c>
      <c r="J167" s="160">
        <f t="shared" si="24"/>
        <v>180</v>
      </c>
      <c r="K167" s="161">
        <v>4.2</v>
      </c>
      <c r="L167" s="162">
        <f t="shared" si="25"/>
        <v>756</v>
      </c>
      <c r="M167" s="156"/>
      <c r="N167" s="160"/>
    </row>
    <row r="168" s="140" customFormat="1" spans="1:14">
      <c r="A168" s="156" t="s">
        <v>15</v>
      </c>
      <c r="B168" s="157">
        <v>45929</v>
      </c>
      <c r="C168" s="158">
        <v>89</v>
      </c>
      <c r="D168" s="147" t="s">
        <v>40</v>
      </c>
      <c r="E168" s="147"/>
      <c r="F168" s="147"/>
      <c r="G168" s="159" t="s">
        <v>41</v>
      </c>
      <c r="H168" s="160">
        <v>1</v>
      </c>
      <c r="I168" s="160">
        <v>180</v>
      </c>
      <c r="J168" s="160">
        <f t="shared" si="24"/>
        <v>180</v>
      </c>
      <c r="K168" s="161">
        <v>4.2</v>
      </c>
      <c r="L168" s="162">
        <f t="shared" si="25"/>
        <v>756</v>
      </c>
      <c r="M168" s="156"/>
      <c r="N168" s="160">
        <f>SUM(L161:L168)</f>
        <v>7575.5</v>
      </c>
    </row>
    <row r="169" s="138" customFormat="1" spans="1:14">
      <c r="A169" s="101" t="s">
        <v>15</v>
      </c>
      <c r="B169" s="145">
        <v>45938</v>
      </c>
      <c r="C169" s="146">
        <v>5</v>
      </c>
      <c r="D169" s="150" t="s">
        <v>61</v>
      </c>
      <c r="E169" s="150"/>
      <c r="F169" s="150"/>
      <c r="G169" s="163" t="s">
        <v>62</v>
      </c>
      <c r="H169" s="149">
        <v>1</v>
      </c>
      <c r="I169" s="149">
        <v>26</v>
      </c>
      <c r="J169" s="149">
        <f t="shared" si="24"/>
        <v>26</v>
      </c>
      <c r="K169" s="164">
        <v>12</v>
      </c>
      <c r="L169" s="151">
        <f t="shared" si="25"/>
        <v>312</v>
      </c>
      <c r="M169" s="101" t="s">
        <v>63</v>
      </c>
      <c r="N169" s="149"/>
    </row>
    <row r="170" s="138" customFormat="1" spans="1:14">
      <c r="A170" s="101" t="s">
        <v>15</v>
      </c>
      <c r="B170" s="145">
        <v>45938</v>
      </c>
      <c r="C170" s="146">
        <v>5</v>
      </c>
      <c r="D170" s="150" t="s">
        <v>64</v>
      </c>
      <c r="E170" s="150"/>
      <c r="F170" s="150"/>
      <c r="G170" s="163" t="s">
        <v>62</v>
      </c>
      <c r="H170" s="149">
        <v>1</v>
      </c>
      <c r="I170" s="149">
        <v>26</v>
      </c>
      <c r="J170" s="149">
        <f t="shared" si="24"/>
        <v>26</v>
      </c>
      <c r="K170" s="164">
        <v>12</v>
      </c>
      <c r="L170" s="151">
        <f t="shared" si="25"/>
        <v>312</v>
      </c>
      <c r="M170" s="101" t="s">
        <v>65</v>
      </c>
      <c r="N170" s="149">
        <v>3969.8</v>
      </c>
    </row>
    <row r="171" s="138" customFormat="1" spans="1:14">
      <c r="A171" s="101" t="s">
        <v>15</v>
      </c>
      <c r="B171" s="145">
        <v>45938</v>
      </c>
      <c r="C171" s="146">
        <v>5</v>
      </c>
      <c r="D171" s="150" t="s">
        <v>23</v>
      </c>
      <c r="E171" s="150"/>
      <c r="F171" s="150"/>
      <c r="G171" s="163" t="s">
        <v>24</v>
      </c>
      <c r="H171" s="149">
        <v>2</v>
      </c>
      <c r="I171" s="149">
        <v>25</v>
      </c>
      <c r="J171" s="149">
        <f t="shared" si="24"/>
        <v>50</v>
      </c>
      <c r="K171" s="164">
        <v>13.8</v>
      </c>
      <c r="L171" s="151">
        <f t="shared" si="25"/>
        <v>690</v>
      </c>
      <c r="M171" s="101"/>
      <c r="N171" s="149"/>
    </row>
    <row r="172" s="138" customFormat="1" spans="1:14">
      <c r="A172" s="101" t="s">
        <v>15</v>
      </c>
      <c r="B172" s="145">
        <v>45938</v>
      </c>
      <c r="C172" s="146">
        <v>5</v>
      </c>
      <c r="D172" s="150" t="s">
        <v>25</v>
      </c>
      <c r="E172" s="150"/>
      <c r="F172" s="150"/>
      <c r="G172" s="163" t="s">
        <v>26</v>
      </c>
      <c r="H172" s="149">
        <v>2</v>
      </c>
      <c r="I172" s="149">
        <v>25</v>
      </c>
      <c r="J172" s="149">
        <f t="shared" si="24"/>
        <v>50</v>
      </c>
      <c r="K172" s="164">
        <v>12</v>
      </c>
      <c r="L172" s="151">
        <f t="shared" si="25"/>
        <v>600</v>
      </c>
      <c r="M172" s="101"/>
      <c r="N172" s="149"/>
    </row>
    <row r="173" s="138" customFormat="1" spans="1:14">
      <c r="A173" s="101" t="s">
        <v>15</v>
      </c>
      <c r="B173" s="145">
        <v>45938</v>
      </c>
      <c r="C173" s="146">
        <v>5</v>
      </c>
      <c r="D173" s="150" t="s">
        <v>33</v>
      </c>
      <c r="E173" s="150"/>
      <c r="F173" s="150"/>
      <c r="G173" s="163" t="s">
        <v>34</v>
      </c>
      <c r="H173" s="149">
        <v>2</v>
      </c>
      <c r="I173" s="149">
        <v>20</v>
      </c>
      <c r="J173" s="149">
        <f t="shared" si="24"/>
        <v>40</v>
      </c>
      <c r="K173" s="164">
        <v>12.8</v>
      </c>
      <c r="L173" s="151">
        <f t="shared" si="25"/>
        <v>512</v>
      </c>
      <c r="M173" s="101" t="s">
        <v>89</v>
      </c>
      <c r="N173" s="149">
        <f>SUM(L169:L174)</f>
        <v>2986</v>
      </c>
    </row>
    <row r="174" s="138" customFormat="1" spans="1:14">
      <c r="A174" s="101" t="s">
        <v>15</v>
      </c>
      <c r="B174" s="145">
        <v>45938</v>
      </c>
      <c r="C174" s="146">
        <v>5</v>
      </c>
      <c r="D174" s="150" t="s">
        <v>31</v>
      </c>
      <c r="E174" s="150"/>
      <c r="F174" s="150"/>
      <c r="G174" s="163" t="s">
        <v>32</v>
      </c>
      <c r="H174" s="149">
        <v>2</v>
      </c>
      <c r="I174" s="149">
        <v>20</v>
      </c>
      <c r="J174" s="149">
        <f t="shared" si="24"/>
        <v>40</v>
      </c>
      <c r="K174" s="164">
        <v>14</v>
      </c>
      <c r="L174" s="151">
        <f t="shared" si="25"/>
        <v>560</v>
      </c>
      <c r="M174" s="101" t="s">
        <v>89</v>
      </c>
      <c r="N174" s="149"/>
    </row>
    <row r="175" s="140" customFormat="1" ht="23" customHeight="1" spans="1:14">
      <c r="A175" s="156" t="s">
        <v>15</v>
      </c>
      <c r="B175" s="157">
        <v>45943</v>
      </c>
      <c r="C175" s="158" t="s">
        <v>93</v>
      </c>
      <c r="D175" s="147">
        <v>632</v>
      </c>
      <c r="E175" s="147"/>
      <c r="F175" s="147"/>
      <c r="G175" s="159" t="s">
        <v>16</v>
      </c>
      <c r="H175" s="160">
        <v>10</v>
      </c>
      <c r="I175" s="160">
        <v>28</v>
      </c>
      <c r="J175" s="160">
        <f t="shared" ref="J169:J190" si="26">H175*I175</f>
        <v>280</v>
      </c>
      <c r="K175" s="161">
        <v>7.2</v>
      </c>
      <c r="L175" s="162">
        <f t="shared" si="25"/>
        <v>2016</v>
      </c>
      <c r="M175" s="156" t="s">
        <v>79</v>
      </c>
      <c r="N175" s="160"/>
    </row>
    <row r="176" s="140" customFormat="1" spans="1:14">
      <c r="A176" s="156" t="s">
        <v>15</v>
      </c>
      <c r="B176" s="157">
        <v>45943</v>
      </c>
      <c r="C176" s="158" t="s">
        <v>93</v>
      </c>
      <c r="D176" s="147" t="s">
        <v>17</v>
      </c>
      <c r="E176" s="147"/>
      <c r="F176" s="147"/>
      <c r="G176" s="159" t="s">
        <v>18</v>
      </c>
      <c r="H176" s="160">
        <v>5</v>
      </c>
      <c r="I176" s="160">
        <v>25</v>
      </c>
      <c r="J176" s="160">
        <f t="shared" si="26"/>
        <v>125</v>
      </c>
      <c r="K176" s="161">
        <v>9.5</v>
      </c>
      <c r="L176" s="162">
        <f t="shared" si="25"/>
        <v>1187.5</v>
      </c>
      <c r="M176" s="80" t="s">
        <v>78</v>
      </c>
      <c r="N176" s="178"/>
    </row>
    <row r="177" s="140" customFormat="1" spans="1:15">
      <c r="A177" s="156" t="s">
        <v>15</v>
      </c>
      <c r="B177" s="157">
        <v>45943</v>
      </c>
      <c r="C177" s="158" t="s">
        <v>93</v>
      </c>
      <c r="D177" s="147" t="s">
        <v>27</v>
      </c>
      <c r="E177" s="147"/>
      <c r="F177" s="147"/>
      <c r="G177" s="159" t="s">
        <v>28</v>
      </c>
      <c r="H177" s="160">
        <v>3</v>
      </c>
      <c r="I177" s="160">
        <v>25</v>
      </c>
      <c r="J177" s="160">
        <f t="shared" si="26"/>
        <v>75</v>
      </c>
      <c r="K177" s="161">
        <v>13.8</v>
      </c>
      <c r="L177" s="162">
        <f t="shared" si="25"/>
        <v>1035</v>
      </c>
      <c r="M177" s="156" t="s">
        <v>91</v>
      </c>
      <c r="N177" s="160"/>
    </row>
    <row r="178" s="140" customFormat="1" spans="1:15">
      <c r="A178" s="156" t="s">
        <v>15</v>
      </c>
      <c r="B178" s="157">
        <v>45943</v>
      </c>
      <c r="C178" s="158" t="s">
        <v>93</v>
      </c>
      <c r="D178" s="147" t="s">
        <v>31</v>
      </c>
      <c r="E178" s="147"/>
      <c r="F178" s="147"/>
      <c r="G178" s="159" t="s">
        <v>32</v>
      </c>
      <c r="H178" s="160">
        <v>3</v>
      </c>
      <c r="I178" s="160">
        <v>20</v>
      </c>
      <c r="J178" s="160">
        <f t="shared" si="26"/>
        <v>60</v>
      </c>
      <c r="K178" s="161">
        <v>14</v>
      </c>
      <c r="L178" s="162">
        <f t="shared" si="25"/>
        <v>840</v>
      </c>
      <c r="M178" s="156" t="s">
        <v>89</v>
      </c>
      <c r="N178" s="160"/>
    </row>
    <row r="179" s="140" customFormat="1" spans="1:15">
      <c r="A179" s="156" t="s">
        <v>15</v>
      </c>
      <c r="B179" s="157">
        <v>45943</v>
      </c>
      <c r="C179" s="158" t="s">
        <v>93</v>
      </c>
      <c r="D179" s="147" t="s">
        <v>19</v>
      </c>
      <c r="E179" s="147"/>
      <c r="F179" s="147"/>
      <c r="G179" s="159" t="s">
        <v>20</v>
      </c>
      <c r="H179" s="160">
        <v>2</v>
      </c>
      <c r="I179" s="160">
        <v>180</v>
      </c>
      <c r="J179" s="160">
        <f t="shared" si="26"/>
        <v>360</v>
      </c>
      <c r="K179" s="161">
        <v>4.2</v>
      </c>
      <c r="L179" s="162">
        <f t="shared" si="25"/>
        <v>1512</v>
      </c>
      <c r="M179" s="156"/>
      <c r="N179" s="160"/>
    </row>
    <row r="180" s="140" customFormat="1" spans="1:15">
      <c r="A180" s="156" t="s">
        <v>15</v>
      </c>
      <c r="B180" s="157">
        <v>45943</v>
      </c>
      <c r="C180" s="158" t="s">
        <v>93</v>
      </c>
      <c r="D180" s="147" t="s">
        <v>21</v>
      </c>
      <c r="E180" s="147"/>
      <c r="F180" s="147"/>
      <c r="G180" s="159" t="s">
        <v>22</v>
      </c>
      <c r="H180" s="160">
        <v>1</v>
      </c>
      <c r="I180" s="160">
        <v>180</v>
      </c>
      <c r="J180" s="160">
        <f t="shared" si="26"/>
        <v>180</v>
      </c>
      <c r="K180" s="161">
        <v>7.5</v>
      </c>
      <c r="L180" s="162">
        <f t="shared" si="25"/>
        <v>1350</v>
      </c>
      <c r="M180" s="156">
        <f>SUM(L175:L180)</f>
        <v>7940.5</v>
      </c>
      <c r="N180" s="160"/>
    </row>
    <row r="181" s="138" customFormat="1" spans="1:15">
      <c r="A181" s="101" t="s">
        <v>15</v>
      </c>
      <c r="B181" s="145">
        <v>45945</v>
      </c>
      <c r="C181" s="146">
        <v>31</v>
      </c>
      <c r="D181" s="150" t="s">
        <v>69</v>
      </c>
      <c r="E181" s="150"/>
      <c r="F181" s="150"/>
      <c r="G181" s="163" t="s">
        <v>70</v>
      </c>
      <c r="H181" s="149">
        <v>1</v>
      </c>
      <c r="I181" s="149">
        <v>20</v>
      </c>
      <c r="J181" s="149">
        <f t="shared" si="26"/>
        <v>20</v>
      </c>
      <c r="K181" s="164">
        <v>18</v>
      </c>
      <c r="L181" s="151">
        <f t="shared" si="25"/>
        <v>360</v>
      </c>
      <c r="M181" s="174"/>
      <c r="N181" s="174">
        <f>SUM(L178:L181)</f>
        <v>4062</v>
      </c>
      <c r="O181" s="174"/>
    </row>
    <row r="182" s="138" customFormat="1" spans="1:15">
      <c r="A182" s="101" t="s">
        <v>15</v>
      </c>
      <c r="B182" s="145">
        <v>45945</v>
      </c>
      <c r="C182" s="146">
        <v>31</v>
      </c>
      <c r="D182" s="150" t="s">
        <v>94</v>
      </c>
      <c r="E182" s="150"/>
      <c r="F182" s="150"/>
      <c r="G182" s="163" t="s">
        <v>95</v>
      </c>
      <c r="H182" s="149">
        <v>1</v>
      </c>
      <c r="I182" s="149">
        <v>21</v>
      </c>
      <c r="J182" s="149">
        <f t="shared" si="26"/>
        <v>21</v>
      </c>
      <c r="K182" s="164">
        <v>18</v>
      </c>
      <c r="L182" s="151">
        <f t="shared" si="25"/>
        <v>378</v>
      </c>
      <c r="M182" s="174" t="s">
        <v>96</v>
      </c>
      <c r="N182" s="174">
        <f>SUM(L179:L182)</f>
        <v>3600</v>
      </c>
      <c r="O182" s="174"/>
    </row>
    <row r="183" s="138" customFormat="1" spans="1:15">
      <c r="A183" s="101" t="s">
        <v>15</v>
      </c>
      <c r="B183" s="145">
        <v>45945</v>
      </c>
      <c r="C183" s="146">
        <v>31</v>
      </c>
      <c r="D183" s="150" t="s">
        <v>29</v>
      </c>
      <c r="E183" s="150"/>
      <c r="F183" s="150"/>
      <c r="G183" s="163" t="s">
        <v>30</v>
      </c>
      <c r="H183" s="149">
        <v>4</v>
      </c>
      <c r="I183" s="149">
        <v>25</v>
      </c>
      <c r="J183" s="149">
        <f t="shared" si="26"/>
        <v>100</v>
      </c>
      <c r="K183" s="164">
        <v>12</v>
      </c>
      <c r="L183" s="151">
        <f t="shared" si="25"/>
        <v>1200</v>
      </c>
      <c r="M183" s="101" t="s">
        <v>85</v>
      </c>
      <c r="N183" s="149"/>
    </row>
    <row r="184" s="138" customFormat="1" spans="1:15">
      <c r="A184" s="101" t="s">
        <v>15</v>
      </c>
      <c r="B184" s="145">
        <v>45945</v>
      </c>
      <c r="C184" s="146">
        <v>31</v>
      </c>
      <c r="D184" s="150" t="s">
        <v>33</v>
      </c>
      <c r="E184" s="150"/>
      <c r="F184" s="150"/>
      <c r="G184" s="163" t="s">
        <v>34</v>
      </c>
      <c r="H184" s="149">
        <v>3</v>
      </c>
      <c r="I184" s="149">
        <v>20</v>
      </c>
      <c r="J184" s="149">
        <f t="shared" si="26"/>
        <v>60</v>
      </c>
      <c r="K184" s="164">
        <v>12.8</v>
      </c>
      <c r="L184" s="151">
        <f t="shared" si="25"/>
        <v>768</v>
      </c>
      <c r="M184" s="101" t="s">
        <v>89</v>
      </c>
      <c r="N184" s="149">
        <f>SUM(L181:L184)</f>
        <v>2706</v>
      </c>
    </row>
    <row r="185" s="140" customFormat="1" ht="23" customHeight="1" spans="1:15">
      <c r="A185" s="156" t="s">
        <v>15</v>
      </c>
      <c r="B185" s="157">
        <v>45951</v>
      </c>
      <c r="C185" s="158">
        <v>58</v>
      </c>
      <c r="D185" s="147">
        <v>632</v>
      </c>
      <c r="E185" s="147"/>
      <c r="F185" s="147"/>
      <c r="G185" s="159" t="s">
        <v>16</v>
      </c>
      <c r="H185" s="160">
        <v>10</v>
      </c>
      <c r="I185" s="160">
        <v>28</v>
      </c>
      <c r="J185" s="160">
        <f t="shared" si="26"/>
        <v>280</v>
      </c>
      <c r="K185" s="161">
        <v>7.2</v>
      </c>
      <c r="L185" s="162">
        <f t="shared" si="25"/>
        <v>2016</v>
      </c>
      <c r="M185" s="156" t="s">
        <v>79</v>
      </c>
      <c r="N185" s="160"/>
    </row>
    <row r="186" s="140" customFormat="1" spans="1:15">
      <c r="A186" s="156" t="s">
        <v>15</v>
      </c>
      <c r="B186" s="157">
        <v>45951</v>
      </c>
      <c r="C186" s="158">
        <v>58</v>
      </c>
      <c r="D186" s="147" t="s">
        <v>17</v>
      </c>
      <c r="E186" s="147"/>
      <c r="F186" s="147"/>
      <c r="G186" s="159" t="s">
        <v>18</v>
      </c>
      <c r="H186" s="160">
        <v>2</v>
      </c>
      <c r="I186" s="160">
        <v>25</v>
      </c>
      <c r="J186" s="160">
        <f t="shared" si="26"/>
        <v>50</v>
      </c>
      <c r="K186" s="161">
        <v>9.5</v>
      </c>
      <c r="L186" s="162">
        <f t="shared" si="25"/>
        <v>475</v>
      </c>
      <c r="M186" s="80" t="s">
        <v>97</v>
      </c>
      <c r="N186" s="178"/>
    </row>
    <row r="187" s="140" customFormat="1" spans="1:15">
      <c r="A187" s="156" t="s">
        <v>15</v>
      </c>
      <c r="B187" s="157">
        <v>45951</v>
      </c>
      <c r="C187" s="158">
        <v>58</v>
      </c>
      <c r="D187" s="147" t="s">
        <v>29</v>
      </c>
      <c r="E187" s="147"/>
      <c r="F187" s="147"/>
      <c r="G187" s="159" t="s">
        <v>30</v>
      </c>
      <c r="H187" s="160">
        <v>3</v>
      </c>
      <c r="I187" s="160">
        <v>25</v>
      </c>
      <c r="J187" s="160">
        <f t="shared" si="26"/>
        <v>75</v>
      </c>
      <c r="K187" s="161">
        <v>12</v>
      </c>
      <c r="L187" s="162">
        <f t="shared" si="25"/>
        <v>900</v>
      </c>
      <c r="M187" s="156" t="s">
        <v>85</v>
      </c>
      <c r="N187" s="160"/>
    </row>
    <row r="188" s="140" customFormat="1" spans="1:15">
      <c r="A188" s="156" t="s">
        <v>15</v>
      </c>
      <c r="B188" s="157">
        <v>45951</v>
      </c>
      <c r="C188" s="158">
        <v>58</v>
      </c>
      <c r="D188" s="147" t="s">
        <v>33</v>
      </c>
      <c r="E188" s="147"/>
      <c r="F188" s="147"/>
      <c r="G188" s="159" t="s">
        <v>34</v>
      </c>
      <c r="H188" s="160">
        <v>2</v>
      </c>
      <c r="I188" s="160">
        <v>20</v>
      </c>
      <c r="J188" s="160">
        <f t="shared" si="26"/>
        <v>40</v>
      </c>
      <c r="K188" s="161">
        <v>12.8</v>
      </c>
      <c r="L188" s="162">
        <f t="shared" si="25"/>
        <v>512</v>
      </c>
      <c r="M188" s="156" t="s">
        <v>89</v>
      </c>
      <c r="N188" s="160">
        <f>SUM(L185:L189)</f>
        <v>4053</v>
      </c>
    </row>
    <row r="189" s="140" customFormat="1" spans="1:15">
      <c r="A189" s="156" t="s">
        <v>15</v>
      </c>
      <c r="B189" s="157">
        <v>45951</v>
      </c>
      <c r="C189" s="158">
        <v>58</v>
      </c>
      <c r="D189" s="147" t="s">
        <v>98</v>
      </c>
      <c r="E189" s="147"/>
      <c r="F189" s="147"/>
      <c r="G189" s="159" t="s">
        <v>99</v>
      </c>
      <c r="H189" s="160">
        <v>1</v>
      </c>
      <c r="I189" s="160">
        <v>20</v>
      </c>
      <c r="J189" s="160">
        <f t="shared" si="26"/>
        <v>20</v>
      </c>
      <c r="K189" s="161">
        <v>7.5</v>
      </c>
      <c r="L189" s="162">
        <f t="shared" si="25"/>
        <v>150</v>
      </c>
      <c r="M189" s="156" t="s">
        <v>100</v>
      </c>
      <c r="N189" s="160"/>
    </row>
    <row r="190" s="142" customFormat="1" spans="1:15">
      <c r="A190" s="181" t="s">
        <v>15</v>
      </c>
      <c r="B190" s="182">
        <v>45955</v>
      </c>
      <c r="C190" s="183">
        <v>58</v>
      </c>
      <c r="D190" s="179" t="s">
        <v>17</v>
      </c>
      <c r="E190" s="179"/>
      <c r="F190" s="179"/>
      <c r="G190" s="184" t="s">
        <v>18</v>
      </c>
      <c r="H190" s="185">
        <v>3</v>
      </c>
      <c r="I190" s="185">
        <v>25</v>
      </c>
      <c r="J190" s="185">
        <f t="shared" si="26"/>
        <v>75</v>
      </c>
      <c r="K190" s="180">
        <v>9.5</v>
      </c>
      <c r="L190" s="186">
        <f t="shared" si="25"/>
        <v>712.5</v>
      </c>
      <c r="M190" s="187" t="s">
        <v>97</v>
      </c>
      <c r="N190" s="188"/>
    </row>
    <row r="191" s="138" customFormat="1" spans="1:15">
      <c r="A191" s="101" t="s">
        <v>15</v>
      </c>
      <c r="B191" s="145">
        <v>45955</v>
      </c>
      <c r="C191" s="146">
        <v>76</v>
      </c>
      <c r="D191" s="150" t="s">
        <v>101</v>
      </c>
      <c r="E191" s="150"/>
      <c r="F191" s="150"/>
      <c r="G191" s="163" t="s">
        <v>102</v>
      </c>
      <c r="H191" s="149">
        <v>1</v>
      </c>
      <c r="I191" s="149">
        <v>26</v>
      </c>
      <c r="J191" s="149">
        <f t="shared" ref="J191:J204" si="27">H191*I191</f>
        <v>26</v>
      </c>
      <c r="K191" s="164">
        <v>12</v>
      </c>
      <c r="L191" s="151">
        <f t="shared" ref="L191:L204" si="28">J191*K191</f>
        <v>312</v>
      </c>
      <c r="M191" s="101" t="s">
        <v>103</v>
      </c>
      <c r="N191" s="149"/>
    </row>
    <row r="192" s="138" customFormat="1" spans="1:15">
      <c r="A192" s="101" t="s">
        <v>15</v>
      </c>
      <c r="B192" s="145">
        <v>45955</v>
      </c>
      <c r="C192" s="146">
        <v>76</v>
      </c>
      <c r="D192" s="150" t="s">
        <v>39</v>
      </c>
      <c r="E192" s="150"/>
      <c r="F192" s="150"/>
      <c r="G192" s="163" t="s">
        <v>28</v>
      </c>
      <c r="H192" s="149">
        <v>1</v>
      </c>
      <c r="I192" s="149">
        <v>25</v>
      </c>
      <c r="J192" s="149">
        <v>25</v>
      </c>
      <c r="K192" s="164">
        <v>13.8</v>
      </c>
      <c r="L192" s="151">
        <f t="shared" si="28"/>
        <v>345</v>
      </c>
      <c r="M192" s="101"/>
      <c r="N192" s="149"/>
    </row>
    <row r="193" s="138" customFormat="1" spans="1:14">
      <c r="A193" s="101" t="s">
        <v>15</v>
      </c>
      <c r="B193" s="145">
        <v>45955</v>
      </c>
      <c r="C193" s="146">
        <v>76</v>
      </c>
      <c r="D193" s="150" t="s">
        <v>58</v>
      </c>
      <c r="E193" s="150"/>
      <c r="F193" s="150"/>
      <c r="G193" s="163" t="s">
        <v>30</v>
      </c>
      <c r="H193" s="149">
        <v>1</v>
      </c>
      <c r="I193" s="149">
        <v>26</v>
      </c>
      <c r="J193" s="149">
        <f t="shared" si="27"/>
        <v>26</v>
      </c>
      <c r="K193" s="164">
        <v>12</v>
      </c>
      <c r="L193" s="151">
        <f t="shared" si="28"/>
        <v>312</v>
      </c>
      <c r="M193" s="101"/>
      <c r="N193" s="149"/>
    </row>
    <row r="194" s="138" customFormat="1" spans="1:14">
      <c r="A194" s="101" t="s">
        <v>15</v>
      </c>
      <c r="B194" s="145">
        <v>45955</v>
      </c>
      <c r="C194" s="146">
        <v>76</v>
      </c>
      <c r="D194" s="150" t="s">
        <v>31</v>
      </c>
      <c r="E194" s="150"/>
      <c r="F194" s="150"/>
      <c r="G194" s="163" t="s">
        <v>32</v>
      </c>
      <c r="H194" s="149">
        <v>1</v>
      </c>
      <c r="I194" s="149">
        <v>20</v>
      </c>
      <c r="J194" s="149">
        <f t="shared" si="27"/>
        <v>20</v>
      </c>
      <c r="K194" s="164">
        <v>14</v>
      </c>
      <c r="L194" s="151">
        <f t="shared" si="28"/>
        <v>280</v>
      </c>
      <c r="M194" s="101"/>
      <c r="N194" s="149"/>
    </row>
    <row r="195" s="138" customFormat="1" spans="1:14">
      <c r="A195" s="101" t="s">
        <v>15</v>
      </c>
      <c r="B195" s="145">
        <v>45955</v>
      </c>
      <c r="C195" s="146">
        <v>76</v>
      </c>
      <c r="D195" s="150" t="s">
        <v>31</v>
      </c>
      <c r="E195" s="150"/>
      <c r="F195" s="150"/>
      <c r="G195" s="163" t="s">
        <v>32</v>
      </c>
      <c r="H195" s="149">
        <v>1</v>
      </c>
      <c r="I195" s="149">
        <v>20</v>
      </c>
      <c r="J195" s="149">
        <f t="shared" si="27"/>
        <v>20</v>
      </c>
      <c r="K195" s="164"/>
      <c r="L195" s="151">
        <f t="shared" si="28"/>
        <v>0</v>
      </c>
      <c r="M195" s="101" t="s">
        <v>48</v>
      </c>
      <c r="N195" s="149"/>
    </row>
    <row r="196" s="138" customFormat="1" spans="1:14">
      <c r="A196" s="101" t="s">
        <v>15</v>
      </c>
      <c r="B196" s="145">
        <v>45955</v>
      </c>
      <c r="C196" s="146">
        <v>76</v>
      </c>
      <c r="D196" s="150" t="s">
        <v>33</v>
      </c>
      <c r="E196" s="150"/>
      <c r="F196" s="150"/>
      <c r="G196" s="163" t="s">
        <v>34</v>
      </c>
      <c r="H196" s="149">
        <v>1</v>
      </c>
      <c r="I196" s="149">
        <v>20</v>
      </c>
      <c r="J196" s="149">
        <f t="shared" si="27"/>
        <v>20</v>
      </c>
      <c r="K196" s="164">
        <v>12.8</v>
      </c>
      <c r="L196" s="151">
        <f t="shared" si="28"/>
        <v>256</v>
      </c>
      <c r="M196" s="101" t="s">
        <v>89</v>
      </c>
      <c r="N196" s="149">
        <f>SUM(L190:L198)</f>
        <v>3729.5</v>
      </c>
    </row>
    <row r="197" s="138" customFormat="1" spans="1:14">
      <c r="A197" s="101" t="s">
        <v>15</v>
      </c>
      <c r="B197" s="145">
        <v>45955</v>
      </c>
      <c r="C197" s="146">
        <v>76</v>
      </c>
      <c r="D197" s="150" t="s">
        <v>19</v>
      </c>
      <c r="E197" s="150"/>
      <c r="F197" s="150"/>
      <c r="G197" s="163" t="s">
        <v>20</v>
      </c>
      <c r="H197" s="149">
        <v>1</v>
      </c>
      <c r="I197" s="149">
        <v>180</v>
      </c>
      <c r="J197" s="149">
        <f t="shared" si="27"/>
        <v>180</v>
      </c>
      <c r="K197" s="164">
        <v>4.2</v>
      </c>
      <c r="L197" s="151">
        <f t="shared" si="28"/>
        <v>756</v>
      </c>
      <c r="M197" s="101">
        <f>SUM(L199:L226)</f>
        <v>21584.5</v>
      </c>
      <c r="N197" s="149"/>
    </row>
    <row r="198" s="138" customFormat="1" spans="1:14">
      <c r="A198" s="101" t="s">
        <v>15</v>
      </c>
      <c r="B198" s="145">
        <v>45955</v>
      </c>
      <c r="C198" s="146">
        <v>76</v>
      </c>
      <c r="D198" s="150" t="s">
        <v>40</v>
      </c>
      <c r="E198" s="150"/>
      <c r="F198" s="150"/>
      <c r="G198" s="163" t="s">
        <v>41</v>
      </c>
      <c r="H198" s="149">
        <v>1</v>
      </c>
      <c r="I198" s="149">
        <v>180</v>
      </c>
      <c r="J198" s="149">
        <f t="shared" si="27"/>
        <v>180</v>
      </c>
      <c r="K198" s="164">
        <v>4.2</v>
      </c>
      <c r="L198" s="151">
        <f t="shared" si="28"/>
        <v>756</v>
      </c>
      <c r="M198" s="101"/>
      <c r="N198" s="149"/>
    </row>
    <row r="199" s="140" customFormat="1" spans="1:14">
      <c r="A199" s="156" t="s">
        <v>15</v>
      </c>
      <c r="B199" s="157">
        <v>45957</v>
      </c>
      <c r="C199" s="158">
        <v>84</v>
      </c>
      <c r="D199" s="147" t="s">
        <v>21</v>
      </c>
      <c r="E199" s="147"/>
      <c r="F199" s="147"/>
      <c r="G199" s="159" t="s">
        <v>22</v>
      </c>
      <c r="H199" s="160">
        <v>1</v>
      </c>
      <c r="I199" s="160">
        <v>180</v>
      </c>
      <c r="J199" s="160">
        <f t="shared" si="27"/>
        <v>180</v>
      </c>
      <c r="K199" s="161">
        <v>7.5</v>
      </c>
      <c r="L199" s="162">
        <f t="shared" si="28"/>
        <v>1350</v>
      </c>
      <c r="M199" s="156">
        <f>L199</f>
        <v>1350</v>
      </c>
      <c r="N199" s="160"/>
    </row>
    <row r="200" s="138" customFormat="1" ht="23" customHeight="1" spans="1:14">
      <c r="A200" s="101" t="s">
        <v>15</v>
      </c>
      <c r="B200" s="145">
        <v>45964</v>
      </c>
      <c r="C200" s="146">
        <v>4</v>
      </c>
      <c r="D200" s="150">
        <v>632</v>
      </c>
      <c r="E200" s="150"/>
      <c r="F200" s="150"/>
      <c r="G200" s="163" t="s">
        <v>16</v>
      </c>
      <c r="H200" s="149">
        <v>10</v>
      </c>
      <c r="I200" s="149">
        <v>28</v>
      </c>
      <c r="J200" s="149">
        <f t="shared" si="27"/>
        <v>280</v>
      </c>
      <c r="K200" s="164">
        <v>7.2</v>
      </c>
      <c r="L200" s="151">
        <f t="shared" si="28"/>
        <v>2016</v>
      </c>
      <c r="M200" s="101"/>
      <c r="N200" s="149"/>
    </row>
    <row r="201" s="138" customFormat="1" spans="1:14">
      <c r="A201" s="101" t="s">
        <v>15</v>
      </c>
      <c r="B201" s="145">
        <v>45964</v>
      </c>
      <c r="C201" s="146">
        <v>4</v>
      </c>
      <c r="D201" s="150" t="s">
        <v>17</v>
      </c>
      <c r="E201" s="150"/>
      <c r="F201" s="150"/>
      <c r="G201" s="163" t="s">
        <v>18</v>
      </c>
      <c r="H201" s="149">
        <v>5</v>
      </c>
      <c r="I201" s="149">
        <v>25</v>
      </c>
      <c r="J201" s="149">
        <f t="shared" si="27"/>
        <v>125</v>
      </c>
      <c r="K201" s="164">
        <v>9.5</v>
      </c>
      <c r="L201" s="151">
        <f t="shared" si="28"/>
        <v>1187.5</v>
      </c>
      <c r="M201" s="1" t="s">
        <v>104</v>
      </c>
      <c r="N201" s="176"/>
    </row>
    <row r="202" s="138" customFormat="1" spans="1:14">
      <c r="A202" s="101" t="s">
        <v>15</v>
      </c>
      <c r="B202" s="145">
        <v>45964</v>
      </c>
      <c r="C202" s="146">
        <v>4</v>
      </c>
      <c r="D202" s="150" t="s">
        <v>19</v>
      </c>
      <c r="E202" s="150"/>
      <c r="F202" s="150"/>
      <c r="G202" s="163" t="s">
        <v>20</v>
      </c>
      <c r="H202" s="149">
        <v>1</v>
      </c>
      <c r="I202" s="149">
        <v>180</v>
      </c>
      <c r="J202" s="149">
        <f t="shared" si="27"/>
        <v>180</v>
      </c>
      <c r="K202" s="164">
        <v>4.2</v>
      </c>
      <c r="L202" s="151">
        <f t="shared" si="28"/>
        <v>756</v>
      </c>
      <c r="M202" s="101"/>
      <c r="N202" s="149"/>
    </row>
    <row r="203" s="138" customFormat="1" spans="1:14">
      <c r="A203" s="101" t="s">
        <v>15</v>
      </c>
      <c r="B203" s="145">
        <v>45964</v>
      </c>
      <c r="C203" s="146">
        <v>4</v>
      </c>
      <c r="D203" s="150" t="s">
        <v>31</v>
      </c>
      <c r="E203" s="150"/>
      <c r="F203" s="150"/>
      <c r="G203" s="163" t="s">
        <v>32</v>
      </c>
      <c r="H203" s="149">
        <v>3</v>
      </c>
      <c r="I203" s="149">
        <v>20</v>
      </c>
      <c r="J203" s="149">
        <f t="shared" si="27"/>
        <v>60</v>
      </c>
      <c r="K203" s="164">
        <v>14</v>
      </c>
      <c r="L203" s="151">
        <f t="shared" si="28"/>
        <v>840</v>
      </c>
      <c r="M203" s="101"/>
      <c r="N203" s="149"/>
    </row>
    <row r="204" s="138" customFormat="1" spans="1:14">
      <c r="A204" s="101" t="s">
        <v>15</v>
      </c>
      <c r="B204" s="145">
        <v>45964</v>
      </c>
      <c r="C204" s="146">
        <v>4</v>
      </c>
      <c r="D204" s="150" t="s">
        <v>33</v>
      </c>
      <c r="E204" s="150"/>
      <c r="F204" s="150"/>
      <c r="G204" s="163" t="s">
        <v>34</v>
      </c>
      <c r="H204" s="149">
        <v>2</v>
      </c>
      <c r="I204" s="149">
        <v>20</v>
      </c>
      <c r="J204" s="149">
        <f t="shared" si="27"/>
        <v>40</v>
      </c>
      <c r="K204" s="164">
        <v>12.8</v>
      </c>
      <c r="L204" s="151">
        <f t="shared" si="28"/>
        <v>512</v>
      </c>
      <c r="M204" s="101" t="s">
        <v>89</v>
      </c>
      <c r="N204" s="149">
        <f>SUM(L200:L204)</f>
        <v>5311.5</v>
      </c>
    </row>
    <row r="205" s="138" customFormat="1" spans="1:14">
      <c r="A205" s="101"/>
      <c r="B205" s="145"/>
      <c r="C205" s="146"/>
      <c r="D205" s="150"/>
      <c r="E205" s="150"/>
      <c r="F205" s="150"/>
      <c r="G205" s="177" t="s">
        <v>105</v>
      </c>
      <c r="H205" s="149"/>
      <c r="I205" s="149"/>
      <c r="J205" s="149"/>
      <c r="K205" s="164"/>
      <c r="L205" s="151"/>
      <c r="M205" s="101"/>
      <c r="N205" s="149"/>
    </row>
    <row r="206" s="138" customFormat="1" spans="1:14">
      <c r="A206" s="101" t="s">
        <v>15</v>
      </c>
      <c r="B206" s="145">
        <v>45965</v>
      </c>
      <c r="C206" s="146">
        <v>9</v>
      </c>
      <c r="D206" s="150" t="s">
        <v>61</v>
      </c>
      <c r="E206" s="150"/>
      <c r="F206" s="150"/>
      <c r="G206" s="163" t="s">
        <v>62</v>
      </c>
      <c r="H206" s="149">
        <v>1</v>
      </c>
      <c r="I206" s="149">
        <v>25</v>
      </c>
      <c r="J206" s="149">
        <f t="shared" ref="J206:J250" si="29">H206*I206</f>
        <v>25</v>
      </c>
      <c r="K206" s="164">
        <v>12</v>
      </c>
      <c r="L206" s="151">
        <f t="shared" ref="L206:L250" si="30">J206*K206</f>
        <v>300</v>
      </c>
      <c r="M206" s="101" t="s">
        <v>63</v>
      </c>
      <c r="N206" s="149"/>
    </row>
    <row r="207" s="138" customFormat="1" spans="1:14">
      <c r="A207" s="101" t="s">
        <v>15</v>
      </c>
      <c r="B207" s="145">
        <v>45965</v>
      </c>
      <c r="C207" s="146">
        <v>9</v>
      </c>
      <c r="D207" s="150" t="s">
        <v>64</v>
      </c>
      <c r="E207" s="150"/>
      <c r="F207" s="150"/>
      <c r="G207" s="163" t="s">
        <v>62</v>
      </c>
      <c r="H207" s="149">
        <v>1</v>
      </c>
      <c r="I207" s="149">
        <v>25</v>
      </c>
      <c r="J207" s="149">
        <f t="shared" si="29"/>
        <v>25</v>
      </c>
      <c r="K207" s="164">
        <v>12</v>
      </c>
      <c r="L207" s="151">
        <f t="shared" si="30"/>
        <v>300</v>
      </c>
      <c r="M207" s="101" t="s">
        <v>65</v>
      </c>
      <c r="N207" s="149"/>
    </row>
    <row r="208" s="138" customFormat="1" spans="1:14">
      <c r="A208" s="101" t="s">
        <v>15</v>
      </c>
      <c r="B208" s="145">
        <v>45965</v>
      </c>
      <c r="C208" s="146">
        <v>9</v>
      </c>
      <c r="D208" s="150" t="s">
        <v>27</v>
      </c>
      <c r="E208" s="150"/>
      <c r="F208" s="150"/>
      <c r="G208" s="163" t="s">
        <v>28</v>
      </c>
      <c r="H208" s="149">
        <v>3</v>
      </c>
      <c r="I208" s="149">
        <v>25</v>
      </c>
      <c r="J208" s="149">
        <f t="shared" si="29"/>
        <v>75</v>
      </c>
      <c r="K208" s="164">
        <v>13.8</v>
      </c>
      <c r="L208" s="151">
        <f t="shared" si="30"/>
        <v>1035</v>
      </c>
      <c r="M208" s="101" t="s">
        <v>91</v>
      </c>
      <c r="N208" s="149"/>
    </row>
    <row r="209" s="138" customFormat="1" spans="1:15">
      <c r="A209" s="101" t="s">
        <v>15</v>
      </c>
      <c r="B209" s="145">
        <v>45965</v>
      </c>
      <c r="C209" s="146">
        <v>9</v>
      </c>
      <c r="D209" s="150" t="s">
        <v>69</v>
      </c>
      <c r="E209" s="150"/>
      <c r="F209" s="150"/>
      <c r="G209" s="163" t="s">
        <v>70</v>
      </c>
      <c r="H209" s="149">
        <v>1</v>
      </c>
      <c r="I209" s="149">
        <v>20</v>
      </c>
      <c r="J209" s="149">
        <f t="shared" si="29"/>
        <v>20</v>
      </c>
      <c r="K209" s="164">
        <v>18</v>
      </c>
      <c r="L209" s="151">
        <f t="shared" si="30"/>
        <v>360</v>
      </c>
      <c r="M209" s="174"/>
      <c r="N209" s="174"/>
      <c r="O209" s="174"/>
    </row>
    <row r="210" s="138" customFormat="1" spans="1:15">
      <c r="A210" s="101" t="s">
        <v>15</v>
      </c>
      <c r="B210" s="145">
        <v>45965</v>
      </c>
      <c r="C210" s="146">
        <v>9</v>
      </c>
      <c r="D210" s="150" t="s">
        <v>31</v>
      </c>
      <c r="E210" s="150"/>
      <c r="F210" s="150"/>
      <c r="G210" s="163" t="s">
        <v>32</v>
      </c>
      <c r="H210" s="149">
        <v>4</v>
      </c>
      <c r="I210" s="149">
        <v>20</v>
      </c>
      <c r="J210" s="149">
        <f t="shared" si="29"/>
        <v>80</v>
      </c>
      <c r="K210" s="164">
        <v>14</v>
      </c>
      <c r="L210" s="151">
        <f t="shared" si="30"/>
        <v>1120</v>
      </c>
      <c r="M210" s="101"/>
      <c r="N210" s="149"/>
    </row>
    <row r="211" s="138" customFormat="1" spans="1:15">
      <c r="A211" s="101" t="s">
        <v>15</v>
      </c>
      <c r="B211" s="145">
        <v>45965</v>
      </c>
      <c r="C211" s="146">
        <v>9</v>
      </c>
      <c r="D211" s="150" t="s">
        <v>33</v>
      </c>
      <c r="E211" s="150"/>
      <c r="F211" s="150"/>
      <c r="G211" s="163" t="s">
        <v>34</v>
      </c>
      <c r="H211" s="149">
        <v>1</v>
      </c>
      <c r="I211" s="149">
        <v>20</v>
      </c>
      <c r="J211" s="149">
        <f t="shared" si="29"/>
        <v>20</v>
      </c>
      <c r="K211" s="164">
        <v>12.8</v>
      </c>
      <c r="L211" s="151">
        <f t="shared" si="30"/>
        <v>256</v>
      </c>
      <c r="M211" s="101" t="s">
        <v>89</v>
      </c>
      <c r="N211" s="149">
        <f>SUM(L206:L211)</f>
        <v>3371</v>
      </c>
    </row>
    <row r="212" s="140" customFormat="1" spans="1:15">
      <c r="A212" s="156" t="s">
        <v>15</v>
      </c>
      <c r="B212" s="157">
        <v>45970</v>
      </c>
      <c r="C212" s="158">
        <v>24</v>
      </c>
      <c r="D212" s="147" t="s">
        <v>59</v>
      </c>
      <c r="E212" s="147"/>
      <c r="F212" s="147"/>
      <c r="G212" s="159" t="s">
        <v>60</v>
      </c>
      <c r="H212" s="160">
        <v>1</v>
      </c>
      <c r="I212" s="160">
        <v>20</v>
      </c>
      <c r="J212" s="160">
        <f t="shared" si="29"/>
        <v>20</v>
      </c>
      <c r="K212" s="161">
        <v>18</v>
      </c>
      <c r="L212" s="162">
        <f t="shared" si="30"/>
        <v>360</v>
      </c>
      <c r="M212" s="156"/>
      <c r="N212" s="160"/>
    </row>
    <row r="213" s="140" customFormat="1" spans="1:15">
      <c r="A213" s="156" t="s">
        <v>15</v>
      </c>
      <c r="B213" s="157">
        <v>45970</v>
      </c>
      <c r="C213" s="158">
        <v>24</v>
      </c>
      <c r="D213" s="147" t="s">
        <v>51</v>
      </c>
      <c r="E213" s="147"/>
      <c r="F213" s="147"/>
      <c r="G213" s="159" t="s">
        <v>52</v>
      </c>
      <c r="H213" s="160">
        <v>2</v>
      </c>
      <c r="I213" s="160">
        <v>21</v>
      </c>
      <c r="J213" s="160">
        <f t="shared" si="29"/>
        <v>42</v>
      </c>
      <c r="K213" s="161">
        <v>18</v>
      </c>
      <c r="L213" s="162">
        <f t="shared" si="30"/>
        <v>756</v>
      </c>
      <c r="M213" s="173" t="s">
        <v>53</v>
      </c>
      <c r="N213" s="173"/>
      <c r="O213" s="173"/>
    </row>
    <row r="214" s="140" customFormat="1" spans="1:15">
      <c r="A214" s="156" t="s">
        <v>15</v>
      </c>
      <c r="B214" s="157">
        <v>45970</v>
      </c>
      <c r="C214" s="158">
        <v>24</v>
      </c>
      <c r="D214" s="147" t="s">
        <v>23</v>
      </c>
      <c r="E214" s="147"/>
      <c r="F214" s="147"/>
      <c r="G214" s="159" t="s">
        <v>24</v>
      </c>
      <c r="H214" s="160">
        <v>2</v>
      </c>
      <c r="I214" s="160">
        <v>25</v>
      </c>
      <c r="J214" s="160">
        <f t="shared" si="29"/>
        <v>50</v>
      </c>
      <c r="K214" s="161">
        <v>13.8</v>
      </c>
      <c r="L214" s="162">
        <f t="shared" si="30"/>
        <v>690</v>
      </c>
      <c r="M214" s="156"/>
      <c r="N214" s="160"/>
    </row>
    <row r="215" s="140" customFormat="1" spans="1:15">
      <c r="A215" s="156" t="s">
        <v>15</v>
      </c>
      <c r="B215" s="157">
        <v>45970</v>
      </c>
      <c r="C215" s="158">
        <v>24</v>
      </c>
      <c r="D215" s="147" t="s">
        <v>31</v>
      </c>
      <c r="E215" s="147"/>
      <c r="F215" s="147"/>
      <c r="G215" s="159" t="s">
        <v>32</v>
      </c>
      <c r="H215" s="160">
        <v>2</v>
      </c>
      <c r="I215" s="160">
        <v>20</v>
      </c>
      <c r="J215" s="160">
        <f t="shared" si="29"/>
        <v>40</v>
      </c>
      <c r="K215" s="161">
        <v>14</v>
      </c>
      <c r="L215" s="162">
        <f t="shared" si="30"/>
        <v>560</v>
      </c>
      <c r="M215" s="156"/>
      <c r="N215" s="160"/>
    </row>
    <row r="216" s="140" customFormat="1" spans="1:15">
      <c r="A216" s="156" t="s">
        <v>15</v>
      </c>
      <c r="B216" s="157">
        <v>45970</v>
      </c>
      <c r="C216" s="158">
        <v>24</v>
      </c>
      <c r="D216" s="147" t="s">
        <v>33</v>
      </c>
      <c r="E216" s="147"/>
      <c r="F216" s="147"/>
      <c r="G216" s="159" t="s">
        <v>34</v>
      </c>
      <c r="H216" s="160">
        <v>2</v>
      </c>
      <c r="I216" s="160">
        <v>20</v>
      </c>
      <c r="J216" s="160">
        <f t="shared" si="29"/>
        <v>40</v>
      </c>
      <c r="K216" s="161">
        <v>12.8</v>
      </c>
      <c r="L216" s="162">
        <f t="shared" si="30"/>
        <v>512</v>
      </c>
      <c r="M216" s="156" t="s">
        <v>89</v>
      </c>
      <c r="N216" s="160">
        <f>SUM(L212:L217)</f>
        <v>4228</v>
      </c>
    </row>
    <row r="217" s="140" customFormat="1" spans="1:15">
      <c r="A217" s="156" t="s">
        <v>15</v>
      </c>
      <c r="B217" s="157">
        <v>45970</v>
      </c>
      <c r="C217" s="158">
        <v>24</v>
      </c>
      <c r="D217" s="147" t="s">
        <v>21</v>
      </c>
      <c r="E217" s="147"/>
      <c r="F217" s="147"/>
      <c r="G217" s="159" t="s">
        <v>22</v>
      </c>
      <c r="H217" s="160">
        <v>1</v>
      </c>
      <c r="I217" s="160">
        <v>180</v>
      </c>
      <c r="J217" s="160">
        <f t="shared" si="29"/>
        <v>180</v>
      </c>
      <c r="K217" s="161">
        <v>7.5</v>
      </c>
      <c r="L217" s="162">
        <f t="shared" si="30"/>
        <v>1350</v>
      </c>
      <c r="M217" s="156"/>
      <c r="N217" s="160"/>
    </row>
    <row r="218" s="138" customFormat="1" ht="23" customHeight="1" spans="1:15">
      <c r="A218" s="101" t="s">
        <v>15</v>
      </c>
      <c r="B218" s="145">
        <v>45974</v>
      </c>
      <c r="C218" s="146">
        <v>32</v>
      </c>
      <c r="D218" s="150">
        <v>632</v>
      </c>
      <c r="E218" s="150"/>
      <c r="F218" s="150"/>
      <c r="G218" s="163" t="s">
        <v>16</v>
      </c>
      <c r="H218" s="149">
        <v>10</v>
      </c>
      <c r="I218" s="149">
        <v>28</v>
      </c>
      <c r="J218" s="149">
        <f t="shared" si="29"/>
        <v>280</v>
      </c>
      <c r="K218" s="164">
        <v>7.2</v>
      </c>
      <c r="L218" s="151">
        <f t="shared" si="30"/>
        <v>2016</v>
      </c>
      <c r="M218" s="101"/>
      <c r="N218" s="149"/>
    </row>
    <row r="219" s="138" customFormat="1" spans="1:15">
      <c r="A219" s="101" t="s">
        <v>15</v>
      </c>
      <c r="B219" s="145">
        <v>45974</v>
      </c>
      <c r="C219" s="146">
        <v>32</v>
      </c>
      <c r="D219" s="150" t="s">
        <v>17</v>
      </c>
      <c r="E219" s="150"/>
      <c r="F219" s="150"/>
      <c r="G219" s="163" t="s">
        <v>18</v>
      </c>
      <c r="H219" s="149">
        <v>6</v>
      </c>
      <c r="I219" s="149">
        <v>25</v>
      </c>
      <c r="J219" s="149">
        <f t="shared" si="29"/>
        <v>150</v>
      </c>
      <c r="K219" s="164">
        <v>9.5</v>
      </c>
      <c r="L219" s="151">
        <f t="shared" si="30"/>
        <v>1425</v>
      </c>
      <c r="M219" s="1" t="s">
        <v>104</v>
      </c>
      <c r="N219" s="176"/>
    </row>
    <row r="220" s="138" customFormat="1" spans="1:15">
      <c r="A220" s="101" t="s">
        <v>15</v>
      </c>
      <c r="B220" s="145">
        <v>45974</v>
      </c>
      <c r="C220" s="146">
        <v>32</v>
      </c>
      <c r="D220" s="150" t="s">
        <v>19</v>
      </c>
      <c r="E220" s="150"/>
      <c r="F220" s="150"/>
      <c r="G220" s="163" t="s">
        <v>20</v>
      </c>
      <c r="H220" s="149">
        <v>1</v>
      </c>
      <c r="I220" s="149">
        <v>180</v>
      </c>
      <c r="J220" s="149">
        <f t="shared" si="29"/>
        <v>180</v>
      </c>
      <c r="K220" s="164">
        <v>4.2</v>
      </c>
      <c r="L220" s="151">
        <f t="shared" si="30"/>
        <v>756</v>
      </c>
      <c r="M220" s="101">
        <f>SUM(L218:L221)</f>
        <v>4953</v>
      </c>
      <c r="N220" s="149"/>
    </row>
    <row r="221" s="138" customFormat="1" spans="1:15">
      <c r="A221" s="101" t="s">
        <v>15</v>
      </c>
      <c r="B221" s="145">
        <v>45974</v>
      </c>
      <c r="C221" s="146">
        <v>32</v>
      </c>
      <c r="D221" s="150" t="s">
        <v>40</v>
      </c>
      <c r="E221" s="150"/>
      <c r="F221" s="150"/>
      <c r="G221" s="163" t="s">
        <v>41</v>
      </c>
      <c r="H221" s="149">
        <v>1</v>
      </c>
      <c r="I221" s="149">
        <v>180</v>
      </c>
      <c r="J221" s="149">
        <f t="shared" si="29"/>
        <v>180</v>
      </c>
      <c r="K221" s="164">
        <v>4.2</v>
      </c>
      <c r="L221" s="151">
        <f t="shared" si="30"/>
        <v>756</v>
      </c>
      <c r="M221" s="101"/>
      <c r="N221" s="149"/>
    </row>
    <row r="222" s="140" customFormat="1" spans="1:15">
      <c r="A222" s="156" t="s">
        <v>15</v>
      </c>
      <c r="B222" s="157">
        <v>45980</v>
      </c>
      <c r="C222" s="158">
        <v>54</v>
      </c>
      <c r="D222" s="147" t="s">
        <v>29</v>
      </c>
      <c r="E222" s="147"/>
      <c r="F222" s="147"/>
      <c r="G222" s="159" t="s">
        <v>30</v>
      </c>
      <c r="H222" s="160">
        <v>2</v>
      </c>
      <c r="I222" s="160">
        <v>25</v>
      </c>
      <c r="J222" s="189">
        <f t="shared" si="29"/>
        <v>50</v>
      </c>
      <c r="K222" s="161">
        <v>12</v>
      </c>
      <c r="L222" s="162">
        <f t="shared" si="30"/>
        <v>600</v>
      </c>
      <c r="M222" s="156"/>
      <c r="N222" s="160"/>
    </row>
    <row r="223" s="140" customFormat="1" spans="1:15">
      <c r="A223" s="156" t="s">
        <v>15</v>
      </c>
      <c r="B223" s="157">
        <v>45980</v>
      </c>
      <c r="C223" s="158">
        <v>54</v>
      </c>
      <c r="D223" s="147" t="s">
        <v>58</v>
      </c>
      <c r="E223" s="147"/>
      <c r="F223" s="147"/>
      <c r="G223" s="159" t="s">
        <v>30</v>
      </c>
      <c r="H223" s="160">
        <v>1</v>
      </c>
      <c r="I223" s="160">
        <v>25</v>
      </c>
      <c r="J223" s="189">
        <f t="shared" si="29"/>
        <v>25</v>
      </c>
      <c r="K223" s="161">
        <v>12</v>
      </c>
      <c r="L223" s="162">
        <f t="shared" si="30"/>
        <v>300</v>
      </c>
      <c r="M223" s="156"/>
      <c r="N223" s="160"/>
    </row>
    <row r="224" s="140" customFormat="1" spans="1:15">
      <c r="A224" s="156" t="s">
        <v>15</v>
      </c>
      <c r="B224" s="157">
        <v>45980</v>
      </c>
      <c r="C224" s="158">
        <v>54</v>
      </c>
      <c r="D224" s="147" t="s">
        <v>80</v>
      </c>
      <c r="E224" s="147"/>
      <c r="F224" s="147"/>
      <c r="G224" s="159" t="s">
        <v>81</v>
      </c>
      <c r="H224" s="160">
        <v>1</v>
      </c>
      <c r="I224" s="160">
        <v>25</v>
      </c>
      <c r="J224" s="189">
        <f t="shared" si="29"/>
        <v>25</v>
      </c>
      <c r="K224" s="161">
        <v>13</v>
      </c>
      <c r="L224" s="162">
        <f t="shared" si="30"/>
        <v>325</v>
      </c>
      <c r="M224" s="156"/>
      <c r="N224" s="121"/>
    </row>
    <row r="225" s="140" customFormat="1" spans="1:15">
      <c r="A225" s="156" t="s">
        <v>15</v>
      </c>
      <c r="B225" s="157">
        <v>45980</v>
      </c>
      <c r="C225" s="158">
        <v>54</v>
      </c>
      <c r="D225" s="147" t="s">
        <v>37</v>
      </c>
      <c r="E225" s="147"/>
      <c r="F225" s="147"/>
      <c r="G225" s="159" t="s">
        <v>38</v>
      </c>
      <c r="H225" s="160">
        <v>1</v>
      </c>
      <c r="I225" s="160">
        <v>21</v>
      </c>
      <c r="J225" s="189">
        <f t="shared" si="29"/>
        <v>21</v>
      </c>
      <c r="K225" s="161">
        <v>18</v>
      </c>
      <c r="L225" s="162">
        <f t="shared" si="30"/>
        <v>378</v>
      </c>
      <c r="M225" s="156"/>
      <c r="N225" s="160"/>
    </row>
    <row r="226" s="140" customFormat="1" spans="1:15">
      <c r="A226" s="156" t="s">
        <v>15</v>
      </c>
      <c r="B226" s="157">
        <v>45980</v>
      </c>
      <c r="C226" s="158">
        <v>54</v>
      </c>
      <c r="D226" s="147" t="s">
        <v>33</v>
      </c>
      <c r="E226" s="147"/>
      <c r="F226" s="147"/>
      <c r="G226" s="159" t="s">
        <v>34</v>
      </c>
      <c r="H226" s="160">
        <v>3</v>
      </c>
      <c r="I226" s="160">
        <v>20</v>
      </c>
      <c r="J226" s="189">
        <f t="shared" si="29"/>
        <v>60</v>
      </c>
      <c r="K226" s="161">
        <v>12.8</v>
      </c>
      <c r="L226" s="162">
        <f t="shared" si="30"/>
        <v>768</v>
      </c>
      <c r="M226" s="156" t="s">
        <v>89</v>
      </c>
      <c r="N226" s="160">
        <f>SUM(L222:L226)</f>
        <v>2371</v>
      </c>
    </row>
    <row r="227" s="138" customFormat="1" ht="23" customHeight="1" spans="1:15">
      <c r="A227" s="101" t="s">
        <v>15</v>
      </c>
      <c r="B227" s="145">
        <v>45987</v>
      </c>
      <c r="C227" s="146">
        <v>74</v>
      </c>
      <c r="D227" s="150">
        <v>632</v>
      </c>
      <c r="E227" s="150"/>
      <c r="F227" s="150"/>
      <c r="G227" s="163" t="s">
        <v>16</v>
      </c>
      <c r="H227" s="149">
        <v>10</v>
      </c>
      <c r="I227" s="149">
        <v>28</v>
      </c>
      <c r="J227" s="149">
        <f t="shared" si="29"/>
        <v>280</v>
      </c>
      <c r="K227" s="164">
        <v>7.2</v>
      </c>
      <c r="L227" s="151">
        <f t="shared" si="30"/>
        <v>2016</v>
      </c>
      <c r="M227" s="101"/>
      <c r="N227" s="149"/>
    </row>
    <row r="228" s="138" customFormat="1" spans="1:15">
      <c r="A228" s="101" t="s">
        <v>15</v>
      </c>
      <c r="B228" s="145">
        <v>45987</v>
      </c>
      <c r="C228" s="146">
        <v>74</v>
      </c>
      <c r="D228" s="150" t="s">
        <v>17</v>
      </c>
      <c r="E228" s="150"/>
      <c r="F228" s="150"/>
      <c r="G228" s="163" t="s">
        <v>18</v>
      </c>
      <c r="H228" s="149">
        <v>5</v>
      </c>
      <c r="I228" s="149">
        <v>25</v>
      </c>
      <c r="J228" s="149">
        <f t="shared" si="29"/>
        <v>125</v>
      </c>
      <c r="K228" s="164">
        <v>9.5</v>
      </c>
      <c r="L228" s="151">
        <f t="shared" si="30"/>
        <v>1187.5</v>
      </c>
      <c r="M228" s="1" t="s">
        <v>104</v>
      </c>
      <c r="N228" s="176"/>
    </row>
    <row r="229" s="138" customFormat="1" spans="1:15">
      <c r="A229" s="101" t="s">
        <v>15</v>
      </c>
      <c r="B229" s="145">
        <v>45987</v>
      </c>
      <c r="C229" s="146">
        <v>74</v>
      </c>
      <c r="D229" s="150" t="s">
        <v>19</v>
      </c>
      <c r="E229" s="150"/>
      <c r="F229" s="150"/>
      <c r="G229" s="163" t="s">
        <v>20</v>
      </c>
      <c r="H229" s="149">
        <v>1</v>
      </c>
      <c r="I229" s="149">
        <v>180</v>
      </c>
      <c r="J229" s="149">
        <f t="shared" si="29"/>
        <v>180</v>
      </c>
      <c r="K229" s="164">
        <v>4.2</v>
      </c>
      <c r="L229" s="151">
        <f t="shared" si="30"/>
        <v>756</v>
      </c>
      <c r="M229" s="101"/>
      <c r="N229" s="149"/>
    </row>
    <row r="230" s="138" customFormat="1" spans="1:15">
      <c r="A230" s="101" t="s">
        <v>15</v>
      </c>
      <c r="B230" s="145">
        <v>45987</v>
      </c>
      <c r="C230" s="146">
        <v>74</v>
      </c>
      <c r="D230" s="150" t="s">
        <v>40</v>
      </c>
      <c r="E230" s="150"/>
      <c r="F230" s="150"/>
      <c r="G230" s="163" t="s">
        <v>41</v>
      </c>
      <c r="H230" s="149">
        <v>1</v>
      </c>
      <c r="I230" s="149">
        <v>180</v>
      </c>
      <c r="J230" s="149">
        <f t="shared" si="29"/>
        <v>180</v>
      </c>
      <c r="K230" s="164">
        <v>4.2</v>
      </c>
      <c r="L230" s="151">
        <f t="shared" si="30"/>
        <v>756</v>
      </c>
      <c r="M230" s="101"/>
      <c r="N230" s="149"/>
    </row>
    <row r="231" s="138" customFormat="1" spans="1:15">
      <c r="A231" s="101" t="s">
        <v>15</v>
      </c>
      <c r="B231" s="145">
        <v>45987</v>
      </c>
      <c r="C231" s="146">
        <v>74</v>
      </c>
      <c r="D231" s="167" t="s">
        <v>106</v>
      </c>
      <c r="E231" s="167"/>
      <c r="F231" s="167"/>
      <c r="G231" s="148" t="s">
        <v>30</v>
      </c>
      <c r="H231" s="168">
        <v>2</v>
      </c>
      <c r="I231" s="168">
        <v>25</v>
      </c>
      <c r="J231" s="168">
        <f t="shared" si="29"/>
        <v>50</v>
      </c>
      <c r="K231" s="169">
        <v>12</v>
      </c>
      <c r="L231" s="170">
        <f t="shared" si="30"/>
        <v>600</v>
      </c>
      <c r="M231" s="101" t="s">
        <v>47</v>
      </c>
      <c r="N231" s="149"/>
    </row>
    <row r="232" s="138" customFormat="1" spans="1:15">
      <c r="A232" s="101" t="s">
        <v>15</v>
      </c>
      <c r="B232" s="145">
        <v>45987</v>
      </c>
      <c r="C232" s="146">
        <v>74</v>
      </c>
      <c r="D232" s="167" t="s">
        <v>33</v>
      </c>
      <c r="E232" s="167"/>
      <c r="F232" s="167"/>
      <c r="G232" s="148" t="s">
        <v>34</v>
      </c>
      <c r="H232" s="168">
        <v>1</v>
      </c>
      <c r="I232" s="168">
        <v>20</v>
      </c>
      <c r="J232" s="190">
        <f t="shared" si="29"/>
        <v>20</v>
      </c>
      <c r="K232" s="169">
        <v>12.8</v>
      </c>
      <c r="L232" s="170">
        <f t="shared" si="30"/>
        <v>256</v>
      </c>
      <c r="M232" s="101" t="s">
        <v>89</v>
      </c>
      <c r="N232" s="149">
        <f>SUM(L227:L232)</f>
        <v>5571.5</v>
      </c>
    </row>
    <row r="233" s="140" customFormat="1" spans="1:15">
      <c r="A233" s="156" t="s">
        <v>15</v>
      </c>
      <c r="B233" s="157">
        <v>45989</v>
      </c>
      <c r="C233" s="158">
        <v>85</v>
      </c>
      <c r="D233" s="147" t="s">
        <v>29</v>
      </c>
      <c r="E233" s="147"/>
      <c r="F233" s="147"/>
      <c r="G233" s="159" t="s">
        <v>30</v>
      </c>
      <c r="H233" s="160">
        <v>4</v>
      </c>
      <c r="I233" s="160">
        <v>25</v>
      </c>
      <c r="J233" s="189">
        <f t="shared" si="29"/>
        <v>100</v>
      </c>
      <c r="K233" s="161">
        <v>12</v>
      </c>
      <c r="L233" s="162">
        <f t="shared" si="30"/>
        <v>1200</v>
      </c>
      <c r="M233" s="156"/>
      <c r="N233" s="160"/>
    </row>
    <row r="234" s="140" customFormat="1" spans="1:15">
      <c r="A234" s="156" t="s">
        <v>15</v>
      </c>
      <c r="B234" s="157">
        <v>45989</v>
      </c>
      <c r="C234" s="158">
        <v>85</v>
      </c>
      <c r="D234" s="147" t="s">
        <v>33</v>
      </c>
      <c r="E234" s="147"/>
      <c r="F234" s="147"/>
      <c r="G234" s="159" t="s">
        <v>34</v>
      </c>
      <c r="H234" s="160">
        <v>2</v>
      </c>
      <c r="I234" s="160">
        <v>20</v>
      </c>
      <c r="J234" s="189">
        <f t="shared" si="29"/>
        <v>40</v>
      </c>
      <c r="K234" s="161">
        <v>12.8</v>
      </c>
      <c r="L234" s="162">
        <f t="shared" si="30"/>
        <v>512</v>
      </c>
      <c r="M234" s="156" t="s">
        <v>89</v>
      </c>
      <c r="N234" s="160">
        <f>SUM(L233:L235)</f>
        <v>3062</v>
      </c>
    </row>
    <row r="235" s="140" customFormat="1" spans="1:15">
      <c r="A235" s="156" t="s">
        <v>15</v>
      </c>
      <c r="B235" s="157">
        <v>45989</v>
      </c>
      <c r="C235" s="158">
        <v>85</v>
      </c>
      <c r="D235" s="147" t="s">
        <v>21</v>
      </c>
      <c r="E235" s="147"/>
      <c r="F235" s="147"/>
      <c r="G235" s="159" t="s">
        <v>22</v>
      </c>
      <c r="H235" s="160">
        <v>1</v>
      </c>
      <c r="I235" s="160">
        <v>180</v>
      </c>
      <c r="J235" s="160">
        <f t="shared" si="29"/>
        <v>180</v>
      </c>
      <c r="K235" s="161">
        <v>7.5</v>
      </c>
      <c r="L235" s="162">
        <f t="shared" si="30"/>
        <v>1350</v>
      </c>
      <c r="M235" s="156"/>
      <c r="N235" s="160"/>
    </row>
    <row r="236" s="138" customFormat="1" spans="1:15">
      <c r="A236" s="101" t="s">
        <v>15</v>
      </c>
      <c r="B236" s="145">
        <v>45994</v>
      </c>
      <c r="C236" s="146">
        <v>6</v>
      </c>
      <c r="D236" s="150" t="s">
        <v>17</v>
      </c>
      <c r="E236" s="150"/>
      <c r="F236" s="150"/>
      <c r="G236" s="163" t="s">
        <v>18</v>
      </c>
      <c r="H236" s="149">
        <v>5</v>
      </c>
      <c r="I236" s="149">
        <v>25</v>
      </c>
      <c r="J236" s="149">
        <f t="shared" si="29"/>
        <v>125</v>
      </c>
      <c r="K236" s="164">
        <v>9.5</v>
      </c>
      <c r="L236" s="151">
        <f t="shared" si="30"/>
        <v>1187.5</v>
      </c>
      <c r="M236" s="1" t="s">
        <v>104</v>
      </c>
      <c r="N236" s="176"/>
    </row>
    <row r="237" s="138" customFormat="1" spans="1:15">
      <c r="A237" s="101" t="s">
        <v>15</v>
      </c>
      <c r="B237" s="145">
        <v>45994</v>
      </c>
      <c r="C237" s="146">
        <v>6</v>
      </c>
      <c r="D237" s="150" t="s">
        <v>106</v>
      </c>
      <c r="E237" s="150"/>
      <c r="F237" s="150"/>
      <c r="G237" s="163" t="s">
        <v>30</v>
      </c>
      <c r="H237" s="149">
        <v>4</v>
      </c>
      <c r="I237" s="149">
        <v>25</v>
      </c>
      <c r="J237" s="149">
        <f t="shared" si="29"/>
        <v>100</v>
      </c>
      <c r="K237" s="164">
        <v>12</v>
      </c>
      <c r="L237" s="151">
        <f t="shared" si="30"/>
        <v>1200</v>
      </c>
      <c r="M237" s="101" t="s">
        <v>47</v>
      </c>
      <c r="N237" s="149"/>
    </row>
    <row r="238" s="138" customFormat="1" spans="1:15">
      <c r="A238" s="101" t="s">
        <v>15</v>
      </c>
      <c r="B238" s="145">
        <v>45994</v>
      </c>
      <c r="C238" s="146">
        <v>6</v>
      </c>
      <c r="D238" s="150" t="s">
        <v>94</v>
      </c>
      <c r="E238" s="150"/>
      <c r="F238" s="150"/>
      <c r="G238" s="163" t="s">
        <v>95</v>
      </c>
      <c r="H238" s="149">
        <v>1</v>
      </c>
      <c r="I238" s="149">
        <v>11</v>
      </c>
      <c r="J238" s="149">
        <f t="shared" si="29"/>
        <v>11</v>
      </c>
      <c r="K238" s="164">
        <v>18</v>
      </c>
      <c r="L238" s="151">
        <f t="shared" si="30"/>
        <v>198</v>
      </c>
      <c r="M238" s="174" t="s">
        <v>96</v>
      </c>
      <c r="N238" s="174">
        <f>SUM(L235:L238)</f>
        <v>3935.5</v>
      </c>
      <c r="O238" s="174"/>
    </row>
    <row r="239" s="138" customFormat="1" spans="1:15">
      <c r="A239" s="101" t="s">
        <v>15</v>
      </c>
      <c r="B239" s="145">
        <v>45994</v>
      </c>
      <c r="C239" s="146">
        <v>6</v>
      </c>
      <c r="D239" s="150" t="s">
        <v>33</v>
      </c>
      <c r="E239" s="150"/>
      <c r="F239" s="150"/>
      <c r="G239" s="163" t="s">
        <v>34</v>
      </c>
      <c r="H239" s="149">
        <v>2</v>
      </c>
      <c r="I239" s="149">
        <v>20</v>
      </c>
      <c r="J239" s="191">
        <f t="shared" si="29"/>
        <v>40</v>
      </c>
      <c r="K239" s="164">
        <v>12.8</v>
      </c>
      <c r="L239" s="151">
        <f t="shared" si="30"/>
        <v>512</v>
      </c>
      <c r="M239" s="101" t="s">
        <v>89</v>
      </c>
      <c r="N239" s="149">
        <f>SUM(L236:L239)</f>
        <v>3097.5</v>
      </c>
    </row>
    <row r="240" s="140" customFormat="1" spans="1:15">
      <c r="A240" s="156" t="s">
        <v>15</v>
      </c>
      <c r="B240" s="157">
        <v>45999</v>
      </c>
      <c r="C240" s="158">
        <v>17</v>
      </c>
      <c r="D240" s="147" t="s">
        <v>106</v>
      </c>
      <c r="E240" s="147"/>
      <c r="F240" s="147"/>
      <c r="G240" s="159" t="s">
        <v>30</v>
      </c>
      <c r="H240" s="160">
        <v>1</v>
      </c>
      <c r="I240" s="160">
        <v>26</v>
      </c>
      <c r="J240" s="160">
        <f t="shared" si="29"/>
        <v>26</v>
      </c>
      <c r="K240" s="161">
        <v>12</v>
      </c>
      <c r="L240" s="162">
        <f t="shared" si="30"/>
        <v>312</v>
      </c>
      <c r="M240" s="156" t="s">
        <v>47</v>
      </c>
      <c r="N240" s="160"/>
    </row>
    <row r="241" s="140" customFormat="1" spans="1:15">
      <c r="A241" s="156" t="s">
        <v>15</v>
      </c>
      <c r="B241" s="157">
        <v>45999</v>
      </c>
      <c r="C241" s="158">
        <v>17</v>
      </c>
      <c r="D241" s="147" t="s">
        <v>106</v>
      </c>
      <c r="E241" s="147"/>
      <c r="F241" s="147"/>
      <c r="G241" s="159" t="s">
        <v>30</v>
      </c>
      <c r="H241" s="160">
        <v>3</v>
      </c>
      <c r="I241" s="160">
        <v>25</v>
      </c>
      <c r="J241" s="160">
        <f t="shared" si="29"/>
        <v>75</v>
      </c>
      <c r="K241" s="161">
        <v>12</v>
      </c>
      <c r="L241" s="162">
        <f t="shared" si="30"/>
        <v>900</v>
      </c>
      <c r="M241" s="156" t="s">
        <v>47</v>
      </c>
      <c r="N241" s="160"/>
    </row>
    <row r="242" s="140" customFormat="1" spans="1:15">
      <c r="A242" s="156" t="s">
        <v>15</v>
      </c>
      <c r="B242" s="157">
        <v>45999</v>
      </c>
      <c r="C242" s="158">
        <v>17</v>
      </c>
      <c r="D242" s="147" t="s">
        <v>33</v>
      </c>
      <c r="E242" s="147"/>
      <c r="F242" s="147"/>
      <c r="G242" s="159" t="s">
        <v>34</v>
      </c>
      <c r="H242" s="160">
        <v>2</v>
      </c>
      <c r="I242" s="160">
        <v>20</v>
      </c>
      <c r="J242" s="160">
        <f t="shared" si="29"/>
        <v>40</v>
      </c>
      <c r="K242" s="169">
        <v>11.8</v>
      </c>
      <c r="L242" s="162">
        <f t="shared" si="30"/>
        <v>472</v>
      </c>
      <c r="M242" s="2" t="s">
        <v>107</v>
      </c>
      <c r="N242" s="160">
        <f>SUM(L240:L244)</f>
        <v>3790</v>
      </c>
    </row>
    <row r="243" s="140" customFormat="1" spans="1:15">
      <c r="A243" s="156" t="s">
        <v>15</v>
      </c>
      <c r="B243" s="157">
        <v>45999</v>
      </c>
      <c r="C243" s="158">
        <v>17</v>
      </c>
      <c r="D243" s="147" t="s">
        <v>19</v>
      </c>
      <c r="E243" s="147"/>
      <c r="F243" s="147"/>
      <c r="G243" s="159" t="s">
        <v>20</v>
      </c>
      <c r="H243" s="160">
        <v>1</v>
      </c>
      <c r="I243" s="160">
        <v>180</v>
      </c>
      <c r="J243" s="160">
        <f t="shared" si="29"/>
        <v>180</v>
      </c>
      <c r="K243" s="161">
        <v>4.2</v>
      </c>
      <c r="L243" s="162">
        <f t="shared" si="30"/>
        <v>756</v>
      </c>
      <c r="M243" s="156"/>
      <c r="N243" s="160"/>
    </row>
    <row r="244" s="140" customFormat="1" spans="1:15">
      <c r="A244" s="156" t="s">
        <v>15</v>
      </c>
      <c r="B244" s="157">
        <v>45999</v>
      </c>
      <c r="C244" s="158">
        <v>17</v>
      </c>
      <c r="D244" s="147" t="s">
        <v>21</v>
      </c>
      <c r="E244" s="147"/>
      <c r="F244" s="147"/>
      <c r="G244" s="159" t="s">
        <v>22</v>
      </c>
      <c r="H244" s="160">
        <v>1</v>
      </c>
      <c r="I244" s="160">
        <v>180</v>
      </c>
      <c r="J244" s="160">
        <f t="shared" si="29"/>
        <v>180</v>
      </c>
      <c r="K244" s="161">
        <v>7.5</v>
      </c>
      <c r="L244" s="162">
        <f t="shared" si="30"/>
        <v>1350</v>
      </c>
      <c r="M244" s="156"/>
      <c r="N244" s="160"/>
    </row>
    <row r="245" s="138" customFormat="1" ht="23" customHeight="1" spans="1:15">
      <c r="A245" s="101" t="s">
        <v>15</v>
      </c>
      <c r="B245" s="145">
        <v>46007</v>
      </c>
      <c r="C245" s="146">
        <v>39</v>
      </c>
      <c r="D245" s="150">
        <v>632</v>
      </c>
      <c r="E245" s="150"/>
      <c r="F245" s="150"/>
      <c r="G245" s="163" t="s">
        <v>16</v>
      </c>
      <c r="H245" s="149">
        <v>5</v>
      </c>
      <c r="I245" s="149">
        <v>28</v>
      </c>
      <c r="J245" s="149">
        <f t="shared" si="29"/>
        <v>140</v>
      </c>
      <c r="K245" s="164">
        <v>6.7</v>
      </c>
      <c r="L245" s="151">
        <f t="shared" si="30"/>
        <v>938</v>
      </c>
      <c r="M245" s="1" t="s">
        <v>108</v>
      </c>
      <c r="N245" s="149"/>
    </row>
    <row r="246" s="138" customFormat="1" spans="1:15">
      <c r="A246" s="101" t="s">
        <v>15</v>
      </c>
      <c r="B246" s="145">
        <v>46007</v>
      </c>
      <c r="C246" s="146">
        <v>39</v>
      </c>
      <c r="D246" s="150" t="s">
        <v>17</v>
      </c>
      <c r="E246" s="150"/>
      <c r="F246" s="150"/>
      <c r="G246" s="163" t="s">
        <v>18</v>
      </c>
      <c r="H246" s="149">
        <v>5</v>
      </c>
      <c r="I246" s="149">
        <v>25</v>
      </c>
      <c r="J246" s="149">
        <f t="shared" si="29"/>
        <v>125</v>
      </c>
      <c r="K246" s="164">
        <v>8.5</v>
      </c>
      <c r="L246" s="151">
        <f t="shared" si="30"/>
        <v>1062.5</v>
      </c>
      <c r="M246" s="1" t="s">
        <v>108</v>
      </c>
      <c r="N246" s="176"/>
    </row>
    <row r="247" s="138" customFormat="1" spans="1:15">
      <c r="A247" s="101" t="s">
        <v>15</v>
      </c>
      <c r="B247" s="145">
        <v>46007</v>
      </c>
      <c r="C247" s="146">
        <v>39</v>
      </c>
      <c r="D247" s="150" t="s">
        <v>19</v>
      </c>
      <c r="E247" s="150"/>
      <c r="F247" s="150"/>
      <c r="G247" s="163" t="s">
        <v>20</v>
      </c>
      <c r="H247" s="149">
        <v>1</v>
      </c>
      <c r="I247" s="149">
        <v>180</v>
      </c>
      <c r="J247" s="149">
        <f t="shared" si="29"/>
        <v>180</v>
      </c>
      <c r="K247" s="164">
        <v>4</v>
      </c>
      <c r="L247" s="151">
        <f t="shared" si="30"/>
        <v>720</v>
      </c>
      <c r="M247" s="1" t="s">
        <v>108</v>
      </c>
      <c r="N247" s="149"/>
    </row>
    <row r="248" s="138" customFormat="1" spans="1:15">
      <c r="A248" s="101" t="s">
        <v>15</v>
      </c>
      <c r="B248" s="145">
        <v>46007</v>
      </c>
      <c r="C248" s="146">
        <v>39</v>
      </c>
      <c r="D248" s="150" t="s">
        <v>40</v>
      </c>
      <c r="E248" s="150"/>
      <c r="F248" s="150"/>
      <c r="G248" s="163" t="s">
        <v>41</v>
      </c>
      <c r="H248" s="149">
        <v>1</v>
      </c>
      <c r="I248" s="149">
        <v>180</v>
      </c>
      <c r="J248" s="149">
        <f t="shared" si="29"/>
        <v>180</v>
      </c>
      <c r="K248" s="164">
        <v>4</v>
      </c>
      <c r="L248" s="151">
        <f t="shared" si="30"/>
        <v>720</v>
      </c>
      <c r="M248" s="1" t="s">
        <v>108</v>
      </c>
      <c r="N248" s="149"/>
    </row>
    <row r="249" s="138" customFormat="1" spans="1:15">
      <c r="A249" s="101" t="s">
        <v>15</v>
      </c>
      <c r="B249" s="145">
        <v>46007</v>
      </c>
      <c r="C249" s="146">
        <v>39</v>
      </c>
      <c r="D249" s="150" t="s">
        <v>33</v>
      </c>
      <c r="E249" s="150"/>
      <c r="F249" s="150"/>
      <c r="G249" s="163" t="s">
        <v>34</v>
      </c>
      <c r="H249" s="149">
        <v>3</v>
      </c>
      <c r="I249" s="149">
        <v>20</v>
      </c>
      <c r="J249" s="149">
        <f t="shared" si="29"/>
        <v>60</v>
      </c>
      <c r="K249" s="164">
        <v>10</v>
      </c>
      <c r="L249" s="151">
        <f t="shared" si="30"/>
        <v>600</v>
      </c>
      <c r="M249" s="1" t="s">
        <v>109</v>
      </c>
      <c r="N249" s="149">
        <f>SUM(L245:L249)</f>
        <v>4040.5</v>
      </c>
    </row>
    <row r="250" s="140" customFormat="1" spans="1:15">
      <c r="A250" s="156" t="s">
        <v>15</v>
      </c>
      <c r="B250" s="157">
        <v>46017</v>
      </c>
      <c r="C250" s="158">
        <v>72</v>
      </c>
      <c r="D250" s="147" t="s">
        <v>27</v>
      </c>
      <c r="E250" s="147"/>
      <c r="F250" s="147"/>
      <c r="G250" s="159" t="s">
        <v>28</v>
      </c>
      <c r="H250" s="160">
        <v>1</v>
      </c>
      <c r="I250" s="160">
        <v>25</v>
      </c>
      <c r="J250" s="160">
        <f t="shared" si="29"/>
        <v>25</v>
      </c>
      <c r="K250" s="161">
        <v>11.5</v>
      </c>
      <c r="L250" s="162">
        <f t="shared" si="30"/>
        <v>287.5</v>
      </c>
      <c r="M250" s="80" t="s">
        <v>108</v>
      </c>
      <c r="N250" s="156" t="s">
        <v>91</v>
      </c>
    </row>
    <row r="251" s="140" customFormat="1" spans="1:15">
      <c r="A251" s="156" t="s">
        <v>15</v>
      </c>
      <c r="B251" s="157">
        <v>46017</v>
      </c>
      <c r="C251" s="158">
        <v>72</v>
      </c>
      <c r="D251" s="147" t="s">
        <v>29</v>
      </c>
      <c r="E251" s="147"/>
      <c r="F251" s="147"/>
      <c r="G251" s="159" t="s">
        <v>30</v>
      </c>
      <c r="H251" s="160">
        <v>2</v>
      </c>
      <c r="I251" s="160">
        <v>25</v>
      </c>
      <c r="J251" s="160">
        <f t="shared" ref="J251:J269" si="31">H251*I251</f>
        <v>50</v>
      </c>
      <c r="K251" s="161">
        <v>10.5</v>
      </c>
      <c r="L251" s="162">
        <f t="shared" ref="L251:L269" si="32">J251*K251</f>
        <v>525</v>
      </c>
      <c r="M251" s="80" t="s">
        <v>108</v>
      </c>
      <c r="N251" s="160"/>
    </row>
    <row r="252" s="140" customFormat="1" spans="1:15">
      <c r="A252" s="156" t="s">
        <v>15</v>
      </c>
      <c r="B252" s="157">
        <v>46017</v>
      </c>
      <c r="C252" s="158">
        <v>72</v>
      </c>
      <c r="D252" s="147" t="s">
        <v>69</v>
      </c>
      <c r="E252" s="147"/>
      <c r="F252" s="147"/>
      <c r="G252" s="159" t="s">
        <v>70</v>
      </c>
      <c r="H252" s="160">
        <v>1</v>
      </c>
      <c r="I252" s="160">
        <v>20</v>
      </c>
      <c r="J252" s="160">
        <f t="shared" si="31"/>
        <v>20</v>
      </c>
      <c r="K252" s="161">
        <v>18</v>
      </c>
      <c r="L252" s="162">
        <f t="shared" si="32"/>
        <v>360</v>
      </c>
      <c r="M252" s="80" t="s">
        <v>108</v>
      </c>
      <c r="N252" s="173"/>
      <c r="O252" s="173"/>
    </row>
    <row r="253" s="140" customFormat="1" spans="1:15">
      <c r="A253" s="156" t="s">
        <v>15</v>
      </c>
      <c r="B253" s="157">
        <v>46017</v>
      </c>
      <c r="C253" s="158">
        <v>72</v>
      </c>
      <c r="D253" s="147" t="s">
        <v>31</v>
      </c>
      <c r="E253" s="147"/>
      <c r="F253" s="147"/>
      <c r="G253" s="159" t="s">
        <v>32</v>
      </c>
      <c r="H253" s="160">
        <v>1</v>
      </c>
      <c r="I253" s="160">
        <v>20</v>
      </c>
      <c r="J253" s="160">
        <f t="shared" si="31"/>
        <v>20</v>
      </c>
      <c r="K253" s="161">
        <v>11</v>
      </c>
      <c r="L253" s="162">
        <f t="shared" si="32"/>
        <v>220</v>
      </c>
      <c r="M253" s="80" t="s">
        <v>108</v>
      </c>
      <c r="N253" s="160"/>
    </row>
    <row r="254" s="140" customFormat="1" spans="1:15">
      <c r="A254" s="156" t="s">
        <v>15</v>
      </c>
      <c r="B254" s="157">
        <v>46017</v>
      </c>
      <c r="C254" s="158">
        <v>72</v>
      </c>
      <c r="D254" s="147" t="s">
        <v>33</v>
      </c>
      <c r="E254" s="147"/>
      <c r="F254" s="147"/>
      <c r="G254" s="159" t="s">
        <v>34</v>
      </c>
      <c r="H254" s="160">
        <v>1</v>
      </c>
      <c r="I254" s="160">
        <v>20</v>
      </c>
      <c r="J254" s="160">
        <f t="shared" si="31"/>
        <v>20</v>
      </c>
      <c r="K254" s="161">
        <v>10</v>
      </c>
      <c r="L254" s="162">
        <f t="shared" si="32"/>
        <v>200</v>
      </c>
      <c r="M254" s="80" t="s">
        <v>108</v>
      </c>
      <c r="N254" s="160">
        <f>SUM(L250:L255)</f>
        <v>3272.5</v>
      </c>
    </row>
    <row r="255" s="138" customFormat="1" ht="23" customHeight="1" spans="1:15">
      <c r="A255" s="138" t="s">
        <v>15</v>
      </c>
      <c r="B255" s="145">
        <v>46027</v>
      </c>
      <c r="C255" s="192">
        <v>10</v>
      </c>
      <c r="D255" s="149">
        <v>632</v>
      </c>
      <c r="E255" s="149"/>
      <c r="F255" s="149"/>
      <c r="G255" s="163" t="s">
        <v>16</v>
      </c>
      <c r="H255" s="149">
        <v>10</v>
      </c>
      <c r="I255" s="160">
        <v>28</v>
      </c>
      <c r="J255" s="160">
        <f t="shared" si="31"/>
        <v>280</v>
      </c>
      <c r="K255" s="161">
        <v>6</v>
      </c>
      <c r="L255" s="151">
        <f t="shared" si="32"/>
        <v>1680</v>
      </c>
      <c r="M255" s="143" t="s">
        <v>108</v>
      </c>
      <c r="N255" s="149"/>
    </row>
    <row r="256" s="138" customFormat="1" spans="1:15">
      <c r="A256" s="138" t="s">
        <v>15</v>
      </c>
      <c r="B256" s="145">
        <v>46027</v>
      </c>
      <c r="C256" s="192">
        <v>10</v>
      </c>
      <c r="D256" s="149" t="s">
        <v>27</v>
      </c>
      <c r="E256" s="149"/>
      <c r="F256" s="149"/>
      <c r="G256" s="163" t="s">
        <v>28</v>
      </c>
      <c r="H256" s="149">
        <v>2</v>
      </c>
      <c r="I256" s="160">
        <v>25</v>
      </c>
      <c r="J256" s="160">
        <f t="shared" si="31"/>
        <v>50</v>
      </c>
      <c r="K256" s="161">
        <v>11.5</v>
      </c>
      <c r="L256" s="151">
        <f t="shared" si="32"/>
        <v>575</v>
      </c>
      <c r="M256" s="143"/>
      <c r="N256" s="138" t="s">
        <v>91</v>
      </c>
    </row>
    <row r="257" s="138" customFormat="1" spans="1:15">
      <c r="A257" s="138" t="s">
        <v>15</v>
      </c>
      <c r="B257" s="145">
        <v>46027</v>
      </c>
      <c r="C257" s="192">
        <v>10</v>
      </c>
      <c r="D257" s="149" t="s">
        <v>29</v>
      </c>
      <c r="E257" s="149"/>
      <c r="F257" s="149"/>
      <c r="G257" s="163" t="s">
        <v>30</v>
      </c>
      <c r="H257" s="149">
        <v>2</v>
      </c>
      <c r="I257" s="160">
        <v>25</v>
      </c>
      <c r="J257" s="160">
        <f t="shared" si="31"/>
        <v>50</v>
      </c>
      <c r="K257" s="161">
        <v>10.5</v>
      </c>
      <c r="L257" s="151">
        <f t="shared" si="32"/>
        <v>525</v>
      </c>
      <c r="M257" s="143"/>
      <c r="N257" s="149"/>
    </row>
    <row r="258" s="138" customFormat="1" spans="1:15">
      <c r="A258" s="138" t="s">
        <v>15</v>
      </c>
      <c r="B258" s="145">
        <v>46027</v>
      </c>
      <c r="C258" s="192">
        <v>10</v>
      </c>
      <c r="D258" s="149" t="s">
        <v>39</v>
      </c>
      <c r="E258" s="149"/>
      <c r="F258" s="149"/>
      <c r="G258" s="163" t="s">
        <v>28</v>
      </c>
      <c r="H258" s="149">
        <v>1</v>
      </c>
      <c r="I258" s="160">
        <v>25</v>
      </c>
      <c r="J258" s="160">
        <f t="shared" si="31"/>
        <v>25</v>
      </c>
      <c r="K258" s="161">
        <v>11.5</v>
      </c>
      <c r="L258" s="151">
        <f t="shared" si="32"/>
        <v>287.5</v>
      </c>
      <c r="N258" s="149"/>
    </row>
    <row r="259" s="138" customFormat="1" spans="1:15">
      <c r="A259" s="138" t="s">
        <v>15</v>
      </c>
      <c r="B259" s="145">
        <v>46027</v>
      </c>
      <c r="C259" s="192">
        <v>10</v>
      </c>
      <c r="D259" s="149" t="s">
        <v>58</v>
      </c>
      <c r="E259" s="149"/>
      <c r="F259" s="149"/>
      <c r="G259" s="163" t="s">
        <v>30</v>
      </c>
      <c r="H259" s="149">
        <v>3</v>
      </c>
      <c r="I259" s="160">
        <v>25</v>
      </c>
      <c r="J259" s="160">
        <f t="shared" si="31"/>
        <v>75</v>
      </c>
      <c r="K259" s="161">
        <v>10.5</v>
      </c>
      <c r="L259" s="151">
        <f t="shared" si="32"/>
        <v>787.5</v>
      </c>
      <c r="N259" s="149"/>
    </row>
    <row r="260" s="138" customFormat="1" spans="1:15">
      <c r="A260" s="138" t="s">
        <v>15</v>
      </c>
      <c r="B260" s="145">
        <v>46027</v>
      </c>
      <c r="C260" s="192">
        <v>10</v>
      </c>
      <c r="D260" s="149" t="s">
        <v>23</v>
      </c>
      <c r="E260" s="149"/>
      <c r="F260" s="149"/>
      <c r="G260" s="163" t="s">
        <v>28</v>
      </c>
      <c r="H260" s="149">
        <v>1</v>
      </c>
      <c r="I260" s="160">
        <v>25</v>
      </c>
      <c r="J260" s="160">
        <f t="shared" si="31"/>
        <v>25</v>
      </c>
      <c r="K260" s="161">
        <v>11.5</v>
      </c>
      <c r="L260" s="151">
        <f t="shared" si="32"/>
        <v>287.5</v>
      </c>
      <c r="M260" s="138">
        <f>SUM(L255:L262)</f>
        <v>5402.5</v>
      </c>
      <c r="N260" s="149"/>
    </row>
    <row r="261" s="143" customFormat="1" spans="1:15">
      <c r="A261" s="138" t="s">
        <v>15</v>
      </c>
      <c r="B261" s="145">
        <v>46027</v>
      </c>
      <c r="C261" s="192">
        <v>10</v>
      </c>
      <c r="D261" s="149" t="s">
        <v>31</v>
      </c>
      <c r="E261" s="149"/>
      <c r="F261" s="149"/>
      <c r="G261" s="163" t="s">
        <v>32</v>
      </c>
      <c r="H261" s="149">
        <v>3</v>
      </c>
      <c r="I261" s="160">
        <v>20</v>
      </c>
      <c r="J261" s="160">
        <f t="shared" si="31"/>
        <v>60</v>
      </c>
      <c r="K261" s="161">
        <v>11</v>
      </c>
      <c r="L261" s="151">
        <f t="shared" si="32"/>
        <v>660</v>
      </c>
      <c r="M261" s="138"/>
      <c r="N261" s="138"/>
    </row>
    <row r="262" s="143" customFormat="1" spans="1:15">
      <c r="A262" s="138" t="s">
        <v>15</v>
      </c>
      <c r="B262" s="145">
        <v>46027</v>
      </c>
      <c r="C262" s="192">
        <v>10</v>
      </c>
      <c r="D262" s="149" t="s">
        <v>33</v>
      </c>
      <c r="E262" s="149"/>
      <c r="F262" s="149"/>
      <c r="G262" s="163" t="s">
        <v>34</v>
      </c>
      <c r="H262" s="149">
        <v>3</v>
      </c>
      <c r="I262" s="160">
        <v>20</v>
      </c>
      <c r="J262" s="160">
        <f t="shared" si="31"/>
        <v>60</v>
      </c>
      <c r="K262" s="161">
        <v>10</v>
      </c>
      <c r="L262" s="151">
        <f t="shared" si="32"/>
        <v>600</v>
      </c>
      <c r="M262" s="138"/>
      <c r="N262" s="138"/>
    </row>
    <row r="263" s="140" customFormat="1" ht="23" customHeight="1" spans="1:15">
      <c r="A263" s="140" t="s">
        <v>15</v>
      </c>
      <c r="B263" s="157">
        <v>46034</v>
      </c>
      <c r="C263" s="193">
        <v>28</v>
      </c>
      <c r="D263" s="160">
        <v>632</v>
      </c>
      <c r="E263" s="160"/>
      <c r="F263" s="160"/>
      <c r="G263" s="159" t="s">
        <v>16</v>
      </c>
      <c r="H263" s="160">
        <v>10</v>
      </c>
      <c r="I263" s="160">
        <v>30</v>
      </c>
      <c r="J263" s="160">
        <f t="shared" si="31"/>
        <v>300</v>
      </c>
      <c r="K263" s="161">
        <v>6</v>
      </c>
      <c r="L263" s="162">
        <f t="shared" si="32"/>
        <v>1800</v>
      </c>
      <c r="M263" s="194" t="s">
        <v>108</v>
      </c>
      <c r="N263" s="160"/>
    </row>
    <row r="264" s="140" customFormat="1" spans="1:15">
      <c r="A264" s="156" t="s">
        <v>15</v>
      </c>
      <c r="B264" s="157">
        <v>46034</v>
      </c>
      <c r="C264" s="193">
        <v>28</v>
      </c>
      <c r="D264" s="147" t="s">
        <v>17</v>
      </c>
      <c r="E264" s="147"/>
      <c r="F264" s="147"/>
      <c r="G264" s="159" t="s">
        <v>18</v>
      </c>
      <c r="H264" s="160">
        <v>4</v>
      </c>
      <c r="I264" s="160">
        <v>25</v>
      </c>
      <c r="J264" s="160">
        <f t="shared" si="31"/>
        <v>100</v>
      </c>
      <c r="K264" s="161">
        <v>8.5</v>
      </c>
      <c r="L264" s="162">
        <f t="shared" si="32"/>
        <v>850</v>
      </c>
      <c r="M264" s="80" t="s">
        <v>108</v>
      </c>
      <c r="N264" s="178">
        <f>SUM(L263:L264)</f>
        <v>2650</v>
      </c>
    </row>
    <row r="265" s="138" customFormat="1" spans="1:15">
      <c r="A265" s="101" t="s">
        <v>15</v>
      </c>
      <c r="B265" s="145">
        <v>46034</v>
      </c>
      <c r="C265" s="146">
        <v>34</v>
      </c>
      <c r="D265" s="150" t="s">
        <v>94</v>
      </c>
      <c r="E265" s="150"/>
      <c r="F265" s="150"/>
      <c r="G265" s="163" t="s">
        <v>95</v>
      </c>
      <c r="H265" s="149">
        <v>1</v>
      </c>
      <c r="I265" s="160">
        <v>20</v>
      </c>
      <c r="J265" s="160">
        <f t="shared" si="31"/>
        <v>20</v>
      </c>
      <c r="K265" s="161">
        <v>17</v>
      </c>
      <c r="L265" s="151">
        <f t="shared" si="32"/>
        <v>340</v>
      </c>
      <c r="M265" s="174" t="s">
        <v>96</v>
      </c>
      <c r="N265" s="174"/>
      <c r="O265" s="174"/>
    </row>
    <row r="266" s="138" customFormat="1" spans="1:15">
      <c r="A266" s="101" t="s">
        <v>15</v>
      </c>
      <c r="B266" s="145">
        <v>46034</v>
      </c>
      <c r="C266" s="146">
        <v>34</v>
      </c>
      <c r="D266" s="150" t="s">
        <v>37</v>
      </c>
      <c r="E266" s="150"/>
      <c r="F266" s="150"/>
      <c r="G266" s="163" t="s">
        <v>38</v>
      </c>
      <c r="H266" s="149">
        <v>1</v>
      </c>
      <c r="I266" s="160">
        <v>21</v>
      </c>
      <c r="J266" s="160">
        <f t="shared" si="31"/>
        <v>21</v>
      </c>
      <c r="K266" s="161">
        <v>17</v>
      </c>
      <c r="L266" s="151">
        <f t="shared" si="32"/>
        <v>357</v>
      </c>
      <c r="M266" s="101"/>
      <c r="N266" s="149"/>
    </row>
    <row r="267" s="138" customFormat="1" spans="1:15">
      <c r="A267" s="138" t="s">
        <v>15</v>
      </c>
      <c r="B267" s="145">
        <v>46034</v>
      </c>
      <c r="C267" s="146">
        <v>34</v>
      </c>
      <c r="D267" s="149" t="s">
        <v>29</v>
      </c>
      <c r="E267" s="149"/>
      <c r="F267" s="149"/>
      <c r="G267" s="163" t="s">
        <v>30</v>
      </c>
      <c r="H267" s="149">
        <v>1</v>
      </c>
      <c r="I267" s="160">
        <v>25</v>
      </c>
      <c r="J267" s="160">
        <f t="shared" si="31"/>
        <v>25</v>
      </c>
      <c r="K267" s="161">
        <v>10.5</v>
      </c>
      <c r="L267" s="151">
        <f t="shared" si="32"/>
        <v>262.5</v>
      </c>
      <c r="M267" s="143"/>
      <c r="N267" s="149"/>
    </row>
    <row r="268" s="138" customFormat="1" spans="1:15">
      <c r="A268" s="138" t="s">
        <v>15</v>
      </c>
      <c r="B268" s="145">
        <v>46034</v>
      </c>
      <c r="C268" s="146">
        <v>34</v>
      </c>
      <c r="D268" s="149" t="s">
        <v>29</v>
      </c>
      <c r="E268" s="149"/>
      <c r="F268" s="149"/>
      <c r="G268" s="163" t="s">
        <v>30</v>
      </c>
      <c r="H268" s="149">
        <v>2</v>
      </c>
      <c r="I268" s="160">
        <v>26</v>
      </c>
      <c r="J268" s="160">
        <f t="shared" si="31"/>
        <v>52</v>
      </c>
      <c r="K268" s="161">
        <v>10.5</v>
      </c>
      <c r="L268" s="151">
        <f t="shared" si="32"/>
        <v>546</v>
      </c>
      <c r="M268" s="143"/>
      <c r="N268" s="149"/>
    </row>
    <row r="269" s="143" customFormat="1" spans="1:15">
      <c r="A269" s="138" t="s">
        <v>15</v>
      </c>
      <c r="B269" s="145">
        <v>46034</v>
      </c>
      <c r="C269" s="146">
        <v>34</v>
      </c>
      <c r="D269" s="149" t="s">
        <v>33</v>
      </c>
      <c r="E269" s="149"/>
      <c r="F269" s="149"/>
      <c r="G269" s="163" t="s">
        <v>34</v>
      </c>
      <c r="H269" s="149">
        <v>3</v>
      </c>
      <c r="I269" s="160">
        <v>20</v>
      </c>
      <c r="J269" s="160">
        <f t="shared" si="31"/>
        <v>60</v>
      </c>
      <c r="K269" s="161">
        <v>10</v>
      </c>
      <c r="L269" s="151">
        <f t="shared" si="32"/>
        <v>600</v>
      </c>
      <c r="M269" s="138">
        <f>SUM(L265:L269)</f>
        <v>2105.5</v>
      </c>
      <c r="N269" s="138"/>
    </row>
    <row r="270" s="143" customFormat="1" spans="1:15">
      <c r="A270" s="138"/>
      <c r="B270"/>
      <c r="C270"/>
      <c r="D270"/>
      <c r="E270"/>
      <c r="F270"/>
      <c r="G270"/>
      <c r="H270" s="149"/>
      <c r="I270" s="149"/>
      <c r="J270" s="149"/>
      <c r="K270" s="164"/>
      <c r="L270" s="151"/>
      <c r="M270" s="138"/>
      <c r="N270" s="138"/>
    </row>
    <row r="271" s="143" customFormat="1" spans="1:15">
      <c r="A271" s="138"/>
      <c r="B271" s="145"/>
      <c r="C271" s="146"/>
      <c r="D271" s="149"/>
      <c r="E271" s="149"/>
      <c r="F271" s="149"/>
      <c r="G271" s="163"/>
      <c r="H271" s="149"/>
      <c r="I271" s="149"/>
      <c r="J271" s="149"/>
      <c r="K271" s="164"/>
      <c r="L271" s="151"/>
      <c r="M271" s="138"/>
      <c r="N271" s="138"/>
    </row>
    <row r="272" s="143" customFormat="1" spans="1:15">
      <c r="A272" s="138"/>
      <c r="B272" s="145"/>
      <c r="C272" s="146"/>
      <c r="D272" s="149"/>
      <c r="E272" s="149"/>
      <c r="F272" s="149"/>
      <c r="G272" s="163"/>
      <c r="H272" s="149"/>
      <c r="I272" s="149"/>
      <c r="J272" s="149"/>
      <c r="K272" s="164"/>
      <c r="L272" s="151"/>
      <c r="M272" s="138"/>
      <c r="N272" s="138"/>
    </row>
    <row r="273" s="143" customFormat="1" spans="1:14">
      <c r="A273" s="138"/>
      <c r="B273" s="145"/>
      <c r="C273" s="146"/>
      <c r="D273" s="149"/>
      <c r="E273" s="149"/>
      <c r="F273" s="149"/>
      <c r="G273" s="163"/>
      <c r="H273" s="149"/>
      <c r="I273" s="149"/>
      <c r="J273" s="149"/>
      <c r="K273" s="164"/>
      <c r="L273" s="151"/>
      <c r="M273" s="138"/>
      <c r="N273" s="138"/>
    </row>
    <row r="274" s="143" customFormat="1" spans="1:14">
      <c r="A274" s="138"/>
      <c r="B274" s="145"/>
      <c r="C274" s="146"/>
      <c r="D274" s="149"/>
      <c r="E274" s="149"/>
      <c r="F274" s="149"/>
      <c r="G274" s="163"/>
      <c r="H274" s="149"/>
      <c r="I274" s="149"/>
      <c r="J274" s="149"/>
      <c r="K274" s="164"/>
      <c r="L274" s="151"/>
      <c r="M274" s="138"/>
      <c r="N274" s="138"/>
    </row>
  </sheetData>
  <autoFilter xmlns:etc="http://www.wps.cn/officeDocument/2017/etCustomData" ref="A3:O270" etc:filterBottomFollowUsedRange="0">
    <extLst/>
  </autoFilter>
  <mergeCells count="272">
    <mergeCell ref="D2:F2"/>
    <mergeCell ref="J2:K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1:F271"/>
    <mergeCell ref="D272:F272"/>
    <mergeCell ref="D273:F273"/>
    <mergeCell ref="D274:F27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workbookViewId="0">
      <selection activeCell="M19" sqref="M19"/>
    </sheetView>
  </sheetViews>
  <sheetFormatPr defaultColWidth="9" defaultRowHeight="14.25"/>
  <cols>
    <col min="1" max="1" width="29" customWidth="1"/>
    <col min="2" max="2" width="17" customWidth="1"/>
    <col min="3" max="3" width="14.625" customWidth="1"/>
    <col min="4" max="4" width="18.25" customWidth="1"/>
  </cols>
  <sheetData>
    <row r="1" ht="22.5" spans="1:7">
      <c r="A1" s="52" t="s">
        <v>110</v>
      </c>
      <c r="B1" s="52"/>
      <c r="C1" s="52"/>
      <c r="D1" s="52"/>
      <c r="E1" s="52"/>
    </row>
    <row r="2" ht="19.5" spans="1:7">
      <c r="A2" s="54" t="s">
        <v>111</v>
      </c>
      <c r="B2" s="55" t="s">
        <v>112</v>
      </c>
      <c r="C2" s="56" t="s">
        <v>113</v>
      </c>
      <c r="D2" s="56" t="s">
        <v>114</v>
      </c>
      <c r="E2" s="57" t="s">
        <v>115</v>
      </c>
      <c r="F2" s="99"/>
      <c r="G2" s="99"/>
    </row>
    <row r="3" ht="19.5" spans="1:7">
      <c r="A3" s="132">
        <v>46027</v>
      </c>
      <c r="B3" s="59">
        <v>5402.5</v>
      </c>
      <c r="C3" s="60"/>
      <c r="D3" s="61">
        <f t="shared" ref="D3:D8" si="0">B3-C3</f>
        <v>5402.5</v>
      </c>
      <c r="E3" s="46"/>
    </row>
    <row r="4" ht="16" customHeight="1" spans="1:7">
      <c r="A4" s="132">
        <v>46034</v>
      </c>
      <c r="B4" s="59">
        <v>2650</v>
      </c>
      <c r="C4" s="60"/>
      <c r="D4" s="61">
        <f t="shared" si="0"/>
        <v>2650</v>
      </c>
      <c r="E4" s="46"/>
    </row>
    <row r="5" ht="16" customHeight="1" spans="1:7">
      <c r="A5" s="132">
        <v>46034</v>
      </c>
      <c r="B5" s="59">
        <v>2105.5</v>
      </c>
      <c r="C5" s="60"/>
      <c r="D5" s="61">
        <f t="shared" si="0"/>
        <v>2105.5</v>
      </c>
      <c r="E5" s="46"/>
    </row>
    <row r="6" ht="16" customHeight="1" spans="1:7">
      <c r="A6" s="132"/>
      <c r="B6" s="59"/>
      <c r="C6" s="60"/>
      <c r="D6" s="61"/>
      <c r="E6" s="46"/>
    </row>
    <row r="7" ht="16" customHeight="1" spans="1:7">
      <c r="A7" s="132"/>
      <c r="B7" s="43"/>
      <c r="C7" s="60"/>
      <c r="D7" s="45"/>
      <c r="E7" s="46"/>
    </row>
    <row r="8" ht="16" customHeight="1" spans="1:7">
      <c r="A8" s="132"/>
      <c r="B8" s="43"/>
      <c r="C8" s="60"/>
      <c r="D8" s="45"/>
      <c r="E8" s="46"/>
    </row>
    <row r="9" ht="16" customHeight="1" spans="1:7">
      <c r="A9" s="54"/>
      <c r="B9" s="43"/>
      <c r="C9" s="60"/>
      <c r="D9" s="45"/>
      <c r="E9" s="46"/>
    </row>
    <row r="10" ht="16" customHeight="1" spans="1:7">
      <c r="A10" s="54"/>
      <c r="B10" s="43"/>
      <c r="C10" s="60"/>
      <c r="D10" s="45"/>
      <c r="E10" s="46"/>
    </row>
    <row r="11" ht="16" customHeight="1" spans="1:7">
      <c r="A11" s="54"/>
      <c r="B11" s="133"/>
      <c r="C11" s="60"/>
      <c r="D11" s="134"/>
      <c r="E11" s="46"/>
    </row>
    <row r="12" ht="16" customHeight="1" spans="1:7">
      <c r="A12" s="135" t="s">
        <v>116</v>
      </c>
      <c r="B12" s="34">
        <f>SUM(B3:B11)</f>
        <v>10158</v>
      </c>
      <c r="C12" s="60">
        <f ca="1">SUM(C3:C12)</f>
        <v>0</v>
      </c>
      <c r="D12" s="34">
        <f>SUM(D3:D11)</f>
        <v>10158</v>
      </c>
      <c r="E12" s="136"/>
    </row>
    <row r="13" ht="26" customHeight="1"/>
    <row r="14" ht="22.5" spans="1:7">
      <c r="A14" s="52" t="s">
        <v>117</v>
      </c>
      <c r="B14" s="52"/>
      <c r="C14" s="52"/>
      <c r="D14" s="52"/>
      <c r="E14" s="52"/>
    </row>
    <row r="15" ht="19.5" spans="1:7">
      <c r="A15" s="54" t="s">
        <v>111</v>
      </c>
      <c r="B15" s="55" t="s">
        <v>112</v>
      </c>
      <c r="C15" s="56" t="s">
        <v>113</v>
      </c>
      <c r="D15" s="56" t="s">
        <v>114</v>
      </c>
      <c r="E15" s="57" t="s">
        <v>115</v>
      </c>
      <c r="F15" s="99"/>
      <c r="G15" s="99"/>
    </row>
    <row r="16" spans="1:7">
      <c r="A16" s="58">
        <v>45987</v>
      </c>
      <c r="B16" s="59">
        <v>5571.5</v>
      </c>
      <c r="C16" s="60"/>
      <c r="D16" s="61">
        <f t="shared" ref="D16:D26" si="1">B16-C16</f>
        <v>5571.5</v>
      </c>
      <c r="E16" s="46"/>
    </row>
    <row r="17" ht="16" customHeight="1" spans="1:5">
      <c r="A17" s="58">
        <v>45989</v>
      </c>
      <c r="B17" s="59">
        <v>3062</v>
      </c>
      <c r="C17" s="60"/>
      <c r="D17" s="61">
        <f t="shared" si="1"/>
        <v>3062</v>
      </c>
      <c r="E17" s="46"/>
    </row>
    <row r="18" ht="16" customHeight="1" spans="1:5">
      <c r="A18" s="58">
        <v>45994</v>
      </c>
      <c r="B18" s="59">
        <v>3097.5</v>
      </c>
      <c r="C18" s="60"/>
      <c r="D18" s="61">
        <f t="shared" si="1"/>
        <v>3097.5</v>
      </c>
      <c r="E18" s="46"/>
    </row>
    <row r="19" ht="16" customHeight="1" spans="1:5">
      <c r="A19" s="58">
        <v>45999</v>
      </c>
      <c r="B19" s="59">
        <v>3790</v>
      </c>
      <c r="C19" s="60"/>
      <c r="D19" s="61">
        <f t="shared" si="1"/>
        <v>3790</v>
      </c>
      <c r="E19" s="46"/>
    </row>
    <row r="20" ht="16" customHeight="1" spans="1:5">
      <c r="A20" s="42">
        <v>46007</v>
      </c>
      <c r="B20" s="43">
        <v>4041</v>
      </c>
      <c r="C20" s="60"/>
      <c r="D20" s="45">
        <f t="shared" si="1"/>
        <v>4041</v>
      </c>
      <c r="E20" s="46"/>
    </row>
    <row r="21" ht="16" customHeight="1" spans="1:5">
      <c r="A21" s="42">
        <v>46017</v>
      </c>
      <c r="B21" s="43">
        <v>1572</v>
      </c>
      <c r="C21" s="60"/>
      <c r="D21" s="45">
        <f t="shared" si="1"/>
        <v>1572</v>
      </c>
      <c r="E21" s="46"/>
    </row>
    <row r="22" ht="16" customHeight="1" spans="1:5">
      <c r="A22" s="42"/>
      <c r="B22" s="43"/>
      <c r="C22" s="60"/>
      <c r="D22" s="45"/>
      <c r="E22" s="46"/>
    </row>
    <row r="23" ht="16" customHeight="1" spans="1:5">
      <c r="A23" s="42"/>
      <c r="B23" s="43"/>
      <c r="C23" s="60"/>
      <c r="D23" s="45"/>
      <c r="E23" s="46"/>
    </row>
    <row r="24" ht="16" customHeight="1" spans="1:5">
      <c r="A24" s="137"/>
      <c r="B24" s="133"/>
      <c r="C24" s="60"/>
      <c r="D24" s="134"/>
      <c r="E24" s="46"/>
    </row>
    <row r="25" ht="16" customHeight="1" spans="1:5">
      <c r="A25" s="135" t="s">
        <v>118</v>
      </c>
      <c r="B25" s="34">
        <f>SUM(B16:B24)</f>
        <v>21134</v>
      </c>
      <c r="C25" s="60">
        <f ca="1">SUM(C16:C25)</f>
        <v>0</v>
      </c>
      <c r="D25" s="34">
        <f>SUM(D16:D24)</f>
        <v>21134</v>
      </c>
      <c r="E25" s="136"/>
    </row>
    <row r="26" ht="16" customHeight="1"/>
    <row r="27" ht="16" customHeight="1" spans="1:5">
      <c r="A27" s="52" t="s">
        <v>119</v>
      </c>
      <c r="B27" s="52"/>
      <c r="C27" s="52"/>
      <c r="D27" s="52"/>
      <c r="E27" s="52"/>
    </row>
    <row r="28" ht="33" customHeight="1" spans="1:5">
      <c r="A28" s="54" t="s">
        <v>111</v>
      </c>
      <c r="B28" s="55" t="s">
        <v>112</v>
      </c>
      <c r="C28" s="56" t="s">
        <v>113</v>
      </c>
      <c r="D28" s="56" t="s">
        <v>114</v>
      </c>
      <c r="E28" s="57" t="s">
        <v>115</v>
      </c>
    </row>
    <row r="29" spans="1:5">
      <c r="A29" s="58">
        <v>45957</v>
      </c>
      <c r="B29" s="59">
        <v>1350</v>
      </c>
      <c r="C29" s="60"/>
      <c r="D29" s="61">
        <f t="shared" ref="D29:D39" si="2">B29-C29</f>
        <v>1350</v>
      </c>
      <c r="E29" s="46"/>
    </row>
    <row r="30" spans="1:5">
      <c r="A30" s="58">
        <v>45964</v>
      </c>
      <c r="B30" s="59">
        <v>5311.5</v>
      </c>
      <c r="C30" s="60"/>
      <c r="D30" s="61">
        <f t="shared" si="2"/>
        <v>5311.5</v>
      </c>
      <c r="E30" s="46"/>
    </row>
    <row r="31" spans="1:5">
      <c r="A31" s="58">
        <v>45965</v>
      </c>
      <c r="B31" s="59">
        <v>3371</v>
      </c>
      <c r="C31" s="60"/>
      <c r="D31" s="61">
        <f t="shared" si="2"/>
        <v>3371</v>
      </c>
      <c r="E31" s="46"/>
    </row>
    <row r="32" spans="1:5">
      <c r="A32" s="42">
        <v>45970</v>
      </c>
      <c r="B32" s="43">
        <v>4228</v>
      </c>
      <c r="C32" s="60"/>
      <c r="D32" s="45">
        <f t="shared" si="2"/>
        <v>4228</v>
      </c>
      <c r="E32" s="46"/>
    </row>
    <row r="33" spans="1:10">
      <c r="A33" s="42">
        <v>45974</v>
      </c>
      <c r="B33" s="43">
        <v>4953</v>
      </c>
      <c r="C33" s="60"/>
      <c r="D33" s="45">
        <f t="shared" si="2"/>
        <v>4953</v>
      </c>
      <c r="E33" s="46"/>
    </row>
    <row r="34" spans="1:10">
      <c r="A34" s="42">
        <v>45980</v>
      </c>
      <c r="B34" s="43">
        <v>2371</v>
      </c>
      <c r="C34" s="60"/>
      <c r="D34" s="45">
        <f t="shared" si="2"/>
        <v>2371</v>
      </c>
      <c r="E34" s="46"/>
    </row>
    <row r="35" spans="1:10">
      <c r="A35" s="42"/>
      <c r="B35" s="43"/>
      <c r="C35" s="60"/>
      <c r="D35" s="45">
        <f t="shared" si="2"/>
        <v>0</v>
      </c>
      <c r="E35" s="46"/>
    </row>
    <row r="36" spans="1:10">
      <c r="A36" s="42"/>
      <c r="B36" s="43"/>
      <c r="C36" s="60"/>
      <c r="D36" s="45">
        <f t="shared" si="2"/>
        <v>0</v>
      </c>
      <c r="E36" s="46"/>
      <c r="J36" s="2"/>
    </row>
    <row r="37" spans="1:10">
      <c r="A37" s="42"/>
      <c r="B37" s="43"/>
      <c r="C37" s="60"/>
      <c r="D37" s="45">
        <f t="shared" si="2"/>
        <v>0</v>
      </c>
      <c r="E37" s="46"/>
    </row>
    <row r="38" spans="1:10">
      <c r="A38" s="42"/>
      <c r="B38" s="43"/>
      <c r="C38" s="60"/>
      <c r="D38" s="45">
        <f t="shared" si="2"/>
        <v>0</v>
      </c>
      <c r="E38" s="46"/>
    </row>
    <row r="39" spans="1:10">
      <c r="A39" s="137"/>
      <c r="B39" s="133"/>
      <c r="C39" s="60"/>
      <c r="D39" s="134">
        <f t="shared" si="2"/>
        <v>0</v>
      </c>
      <c r="E39" s="46"/>
    </row>
    <row r="40" spans="1:10">
      <c r="A40" s="135" t="s">
        <v>120</v>
      </c>
      <c r="B40" s="34">
        <f>SUM(B29:B39)</f>
        <v>21584.5</v>
      </c>
      <c r="C40" s="60">
        <f ca="1">SUM(C29:C40)</f>
        <v>0</v>
      </c>
      <c r="D40" s="34">
        <f>SUM(D29:D39)</f>
        <v>21584.5</v>
      </c>
      <c r="E40" s="136"/>
    </row>
  </sheetData>
  <mergeCells count="3">
    <mergeCell ref="A1:E1"/>
    <mergeCell ref="A14:E14"/>
    <mergeCell ref="A27:E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0"/>
  <sheetViews>
    <sheetView workbookViewId="0">
      <selection activeCell="B15" sqref="B15:J15"/>
    </sheetView>
  </sheetViews>
  <sheetFormatPr defaultColWidth="9" defaultRowHeight="14.25"/>
  <cols>
    <col min="1" max="1" width="3.50833333333333" customWidth="1"/>
    <col min="2" max="2" width="2.25833333333333" customWidth="1"/>
    <col min="3" max="3" width="13.375" customWidth="1"/>
    <col min="4" max="4" width="25.0083333333333" customWidth="1"/>
    <col min="5" max="5" width="11.7583333333333" customWidth="1"/>
    <col min="6" max="6" width="12.0083333333333" customWidth="1"/>
    <col min="7" max="7" width="12.875" customWidth="1"/>
    <col min="8" max="8" width="11.625" customWidth="1"/>
    <col min="9" max="9" width="18.5083333333333" customWidth="1"/>
    <col min="10" max="10" width="13.75" customWidth="1"/>
  </cols>
  <sheetData>
    <row r="1" s="99" customFormat="1" ht="34" customHeight="1" spans="1:13">
      <c r="A1" s="102" t="s">
        <v>121</v>
      </c>
      <c r="B1" s="102"/>
      <c r="C1" s="102"/>
      <c r="D1" s="102"/>
      <c r="E1" s="102"/>
      <c r="F1" s="102"/>
      <c r="G1" s="102"/>
      <c r="H1" s="102"/>
      <c r="I1" s="102"/>
      <c r="J1" s="102"/>
    </row>
    <row r="2" s="100" customFormat="1" ht="34" customHeight="1" spans="1:13">
      <c r="A2" s="103" t="s">
        <v>122</v>
      </c>
      <c r="B2" s="103"/>
      <c r="C2" s="103"/>
      <c r="D2" s="103"/>
      <c r="E2" s="103"/>
      <c r="F2" s="103"/>
      <c r="G2" s="103"/>
      <c r="H2" s="103"/>
      <c r="I2" s="103"/>
      <c r="J2" s="103"/>
      <c r="M2" s="99"/>
    </row>
    <row r="3" s="101" customFormat="1" ht="26" customHeight="1" spans="1:13">
      <c r="A3" s="104" t="s">
        <v>123</v>
      </c>
      <c r="B3" s="104"/>
      <c r="C3" s="104"/>
      <c r="D3" s="105" t="s">
        <v>124</v>
      </c>
      <c r="E3" s="105" t="s">
        <v>10</v>
      </c>
      <c r="F3" s="105" t="s">
        <v>11</v>
      </c>
      <c r="G3" s="105" t="s">
        <v>12</v>
      </c>
      <c r="H3" s="105" t="s">
        <v>13</v>
      </c>
      <c r="I3" s="105" t="s">
        <v>125</v>
      </c>
      <c r="J3" s="105" t="s">
        <v>126</v>
      </c>
      <c r="M3" s="99"/>
    </row>
    <row r="4" s="101" customFormat="1" ht="24" customHeight="1" spans="1:13">
      <c r="A4" s="106" t="s">
        <v>94</v>
      </c>
      <c r="B4" s="106"/>
      <c r="C4" s="106"/>
      <c r="D4" s="107" t="s">
        <v>95</v>
      </c>
      <c r="E4" s="106">
        <v>1</v>
      </c>
      <c r="F4" s="106">
        <v>20</v>
      </c>
      <c r="G4" s="106">
        <f t="shared" ref="G4:G8" si="0">E4*F4</f>
        <v>20</v>
      </c>
      <c r="H4" s="108">
        <v>17</v>
      </c>
      <c r="I4" s="109">
        <f>G4*H4</f>
        <v>340</v>
      </c>
      <c r="J4" s="110"/>
      <c r="M4" s="99"/>
    </row>
    <row r="5" s="101" customFormat="1" ht="24" customHeight="1" spans="1:13">
      <c r="A5" s="106" t="s">
        <v>37</v>
      </c>
      <c r="B5" s="106"/>
      <c r="C5" s="106"/>
      <c r="D5" s="107" t="s">
        <v>38</v>
      </c>
      <c r="E5" s="106">
        <v>1</v>
      </c>
      <c r="F5" s="106">
        <v>21</v>
      </c>
      <c r="G5" s="111">
        <f t="shared" si="0"/>
        <v>21</v>
      </c>
      <c r="H5" s="108">
        <v>17</v>
      </c>
      <c r="I5" s="109">
        <f>G5*H5</f>
        <v>357</v>
      </c>
      <c r="J5" s="110"/>
      <c r="M5" s="99"/>
    </row>
    <row r="6" s="101" customFormat="1" ht="24" customHeight="1" spans="1:13">
      <c r="A6" s="106" t="s">
        <v>29</v>
      </c>
      <c r="B6" s="106"/>
      <c r="C6" s="106"/>
      <c r="D6" s="107" t="s">
        <v>30</v>
      </c>
      <c r="E6" s="106">
        <v>1</v>
      </c>
      <c r="F6" s="106">
        <v>25</v>
      </c>
      <c r="G6" s="111">
        <f t="shared" si="0"/>
        <v>25</v>
      </c>
      <c r="H6" s="108">
        <v>10.5</v>
      </c>
      <c r="I6" s="109">
        <f>G6*H6</f>
        <v>262.5</v>
      </c>
      <c r="J6" s="110"/>
    </row>
    <row r="7" s="101" customFormat="1" ht="24" customHeight="1" spans="1:13">
      <c r="A7" s="106" t="s">
        <v>29</v>
      </c>
      <c r="B7" s="106"/>
      <c r="C7" s="106"/>
      <c r="D7" s="107" t="s">
        <v>30</v>
      </c>
      <c r="E7" s="106">
        <v>2</v>
      </c>
      <c r="F7" s="106">
        <v>26</v>
      </c>
      <c r="G7" s="111">
        <f t="shared" si="0"/>
        <v>52</v>
      </c>
      <c r="H7" s="108">
        <v>10.5</v>
      </c>
      <c r="I7" s="109">
        <f>G7*H7</f>
        <v>546</v>
      </c>
      <c r="J7" s="110"/>
    </row>
    <row r="8" s="101" customFormat="1" ht="24" customHeight="1" spans="1:13">
      <c r="A8" s="106" t="s">
        <v>33</v>
      </c>
      <c r="B8" s="106"/>
      <c r="C8" s="106"/>
      <c r="D8" s="107" t="s">
        <v>34</v>
      </c>
      <c r="E8" s="106">
        <v>3</v>
      </c>
      <c r="F8" s="106">
        <v>20</v>
      </c>
      <c r="G8" s="106">
        <f t="shared" si="0"/>
        <v>60</v>
      </c>
      <c r="H8" s="108">
        <v>10</v>
      </c>
      <c r="I8" s="109">
        <f>G8*H8</f>
        <v>600</v>
      </c>
      <c r="J8" s="110"/>
      <c r="M8" s="112"/>
    </row>
    <row r="9" s="101" customFormat="1" ht="24" customHeight="1" spans="1:13">
      <c r="A9" s="113"/>
      <c r="B9" s="113"/>
      <c r="C9" s="113"/>
      <c r="D9" s="114"/>
      <c r="E9" s="113"/>
      <c r="F9" s="113"/>
      <c r="G9" s="115"/>
      <c r="H9" s="116"/>
      <c r="I9" s="117"/>
      <c r="J9" s="110"/>
    </row>
    <row r="10" s="101" customFormat="1" ht="24" customHeight="1" spans="1:13">
      <c r="A10" s="113"/>
      <c r="B10" s="113"/>
      <c r="C10" s="113"/>
      <c r="D10" s="114"/>
      <c r="E10" s="113"/>
      <c r="F10" s="113"/>
      <c r="G10" s="113"/>
      <c r="H10" s="116"/>
      <c r="I10" s="117"/>
      <c r="J10" s="110"/>
    </row>
    <row r="11" s="101" customFormat="1" ht="24" customHeight="1" spans="1:13">
      <c r="A11" s="113"/>
      <c r="B11" s="113"/>
      <c r="C11" s="113"/>
      <c r="D11" s="114"/>
      <c r="E11" s="113"/>
      <c r="F11" s="113"/>
      <c r="G11" s="113"/>
      <c r="H11" s="116"/>
      <c r="I11" s="117"/>
      <c r="J11" s="110"/>
    </row>
    <row r="12" s="101" customFormat="1" ht="24" customHeight="1" spans="1:13">
      <c r="A12" s="106"/>
      <c r="B12" s="106"/>
      <c r="C12" s="106"/>
      <c r="D12" s="107"/>
      <c r="E12" s="106"/>
      <c r="F12" s="106"/>
      <c r="G12" s="106"/>
      <c r="H12" s="108"/>
      <c r="I12" s="109"/>
      <c r="J12" s="110"/>
    </row>
    <row r="13" s="101" customFormat="1" ht="24" customHeight="1" spans="1:13">
      <c r="A13" s="106"/>
      <c r="B13" s="106"/>
      <c r="C13" s="106"/>
      <c r="D13" s="107"/>
      <c r="E13" s="106">
        <f>SUM(E4:E12)</f>
        <v>8</v>
      </c>
      <c r="F13" s="106"/>
      <c r="G13" s="106"/>
      <c r="H13" s="108"/>
      <c r="I13" s="109"/>
      <c r="J13" s="110"/>
    </row>
    <row r="14" s="101" customFormat="1" ht="24" customHeight="1" spans="1:13">
      <c r="A14" s="118" t="s">
        <v>127</v>
      </c>
      <c r="B14" s="118"/>
      <c r="C14" s="118"/>
      <c r="D14" s="119">
        <f>I14</f>
        <v>2105.5</v>
      </c>
      <c r="E14" s="119"/>
      <c r="F14" s="119"/>
      <c r="G14" s="119"/>
      <c r="H14" s="119"/>
      <c r="I14" s="120">
        <f>SUM(I4:I13)</f>
        <v>2105.5</v>
      </c>
      <c r="J14" s="110"/>
      <c r="K14" s="121" t="s">
        <v>128</v>
      </c>
    </row>
    <row r="15" ht="20" customHeight="1" spans="1:13">
      <c r="A15" s="122" t="s">
        <v>129</v>
      </c>
      <c r="B15" s="123" t="s">
        <v>130</v>
      </c>
      <c r="C15" s="123"/>
      <c r="D15" s="123"/>
      <c r="E15" s="123"/>
      <c r="F15" s="123"/>
      <c r="G15" s="123"/>
      <c r="H15" s="123"/>
      <c r="I15" s="123"/>
      <c r="J15" s="124"/>
    </row>
    <row r="16" ht="20" customHeight="1" spans="1:13">
      <c r="A16" s="125"/>
      <c r="B16" s="126" t="s">
        <v>131</v>
      </c>
      <c r="C16" s="126"/>
      <c r="D16" s="126"/>
      <c r="E16" s="126"/>
      <c r="F16" s="126"/>
      <c r="G16" s="126"/>
      <c r="H16" s="126"/>
      <c r="I16" s="126"/>
      <c r="J16" s="127"/>
    </row>
    <row r="17" ht="20" customHeight="1" spans="1:10">
      <c r="A17" s="125"/>
      <c r="B17" s="126"/>
      <c r="C17" s="126" t="s">
        <v>132</v>
      </c>
      <c r="D17" s="126"/>
      <c r="E17" s="126"/>
      <c r="F17" s="126"/>
      <c r="G17" s="126"/>
      <c r="H17" s="126"/>
      <c r="I17" s="126"/>
      <c r="J17" s="127"/>
    </row>
    <row r="18" ht="20" customHeight="1" spans="1:10">
      <c r="A18" s="128"/>
      <c r="B18" s="129" t="s">
        <v>133</v>
      </c>
      <c r="C18" s="129"/>
      <c r="D18" s="129"/>
      <c r="E18" s="129"/>
      <c r="F18" s="129"/>
      <c r="G18" s="129"/>
      <c r="H18" s="129"/>
      <c r="I18" s="129"/>
      <c r="J18" s="130"/>
    </row>
    <row r="19" ht="20" customHeight="1" spans="1:10">
      <c r="A19" s="131" t="s">
        <v>134</v>
      </c>
      <c r="B19" s="131"/>
      <c r="C19" s="131"/>
      <c r="D19" s="131"/>
      <c r="E19" s="131"/>
      <c r="F19" s="131"/>
      <c r="G19" s="131"/>
      <c r="H19" s="131"/>
      <c r="I19" s="131"/>
      <c r="J19" s="131"/>
    </row>
    <row r="20" ht="20" customHeight="1" spans="1:10">
      <c r="A20" s="131" t="s">
        <v>135</v>
      </c>
      <c r="B20" s="131"/>
      <c r="C20" s="131"/>
      <c r="D20" s="131"/>
      <c r="E20" s="131"/>
      <c r="F20" s="131"/>
      <c r="G20" s="131"/>
      <c r="H20" s="131"/>
      <c r="I20" s="131"/>
      <c r="J20" s="131"/>
    </row>
  </sheetData>
  <mergeCells count="22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D14:H14"/>
    <mergeCell ref="B15:J15"/>
    <mergeCell ref="B16:J16"/>
    <mergeCell ref="C17:J17"/>
    <mergeCell ref="B18:J18"/>
    <mergeCell ref="A19:J19"/>
    <mergeCell ref="A20:J20"/>
    <mergeCell ref="A15:A18"/>
  </mergeCells>
  <printOptions horizontalCentered="1"/>
  <pageMargins left="0.393055555555556" right="0.196527777777778" top="0.196527777777778" bottom="0.590277777777778" header="0.393055555555556" footer="0.393055555555556"/>
  <pageSetup paperSize="9" scale="73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workbookViewId="0">
      <selection activeCell="H15" sqref="H15"/>
    </sheetView>
  </sheetViews>
  <sheetFormatPr defaultColWidth="9" defaultRowHeight="14.25" outlineLevelCol="6"/>
  <cols>
    <col min="1" max="1" width="17.5" customWidth="1"/>
    <col min="2" max="2" width="23.125" customWidth="1"/>
    <col min="4" max="4" width="11.25" customWidth="1"/>
    <col min="5" max="6" width="14.5" customWidth="1"/>
    <col min="7" max="7" width="13.375" customWidth="1"/>
  </cols>
  <sheetData>
    <row r="1" spans="1:7">
      <c r="A1" s="34" t="s">
        <v>136</v>
      </c>
      <c r="B1" s="34"/>
      <c r="C1" s="34"/>
      <c r="D1" s="34"/>
      <c r="E1" s="34"/>
      <c r="F1" s="34"/>
      <c r="G1" s="34"/>
    </row>
    <row r="2" ht="20" customHeight="1" spans="1:7">
      <c r="A2" s="81" t="s">
        <v>137</v>
      </c>
      <c r="B2" s="81" t="s">
        <v>138</v>
      </c>
      <c r="C2" s="81" t="s">
        <v>139</v>
      </c>
      <c r="D2" s="81"/>
      <c r="E2" s="81" t="s">
        <v>140</v>
      </c>
      <c r="F2" s="81"/>
      <c r="G2" s="81"/>
    </row>
    <row r="3" ht="20" customHeight="1" spans="1:7">
      <c r="A3" s="82">
        <v>632</v>
      </c>
      <c r="B3" s="82" t="s">
        <v>16</v>
      </c>
      <c r="C3" s="81">
        <v>28</v>
      </c>
      <c r="D3" s="81" t="s">
        <v>141</v>
      </c>
      <c r="E3" s="83">
        <v>6.7</v>
      </c>
      <c r="F3" s="83"/>
      <c r="G3" s="83"/>
    </row>
    <row r="4" s="80" customFormat="1" ht="20" customHeight="1" spans="1:7">
      <c r="A4" s="84" t="s">
        <v>17</v>
      </c>
      <c r="B4" s="84" t="s">
        <v>18</v>
      </c>
      <c r="C4" s="85">
        <v>25</v>
      </c>
      <c r="D4" s="85" t="s">
        <v>141</v>
      </c>
      <c r="E4" s="86">
        <v>8.5</v>
      </c>
      <c r="F4" s="86"/>
      <c r="G4" s="86"/>
    </row>
    <row r="5" ht="20" customHeight="1" spans="1:7">
      <c r="A5" s="82" t="s">
        <v>142</v>
      </c>
      <c r="B5" s="82" t="s">
        <v>143</v>
      </c>
      <c r="C5" s="81">
        <v>180</v>
      </c>
      <c r="D5" s="81" t="s">
        <v>141</v>
      </c>
      <c r="E5" s="83">
        <v>4</v>
      </c>
      <c r="F5" s="83"/>
      <c r="G5" s="83"/>
    </row>
    <row r="6" s="80" customFormat="1" ht="20" customHeight="1" spans="1:7">
      <c r="A6" s="84" t="s">
        <v>21</v>
      </c>
      <c r="B6" s="84" t="s">
        <v>144</v>
      </c>
      <c r="C6" s="85">
        <v>180</v>
      </c>
      <c r="D6" s="85" t="s">
        <v>141</v>
      </c>
      <c r="E6" s="86">
        <v>6.5</v>
      </c>
      <c r="F6" s="86"/>
      <c r="G6" s="86"/>
    </row>
    <row r="7" ht="20" customHeight="1" spans="1:7">
      <c r="A7" s="82"/>
      <c r="B7" s="82" t="s">
        <v>145</v>
      </c>
      <c r="C7" s="81">
        <v>4</v>
      </c>
      <c r="D7" s="81" t="s">
        <v>141</v>
      </c>
      <c r="E7" s="83"/>
      <c r="F7" s="83"/>
      <c r="G7" s="83"/>
    </row>
    <row r="8" s="80" customFormat="1" ht="20" customHeight="1" spans="1:7">
      <c r="A8" s="84"/>
      <c r="B8" s="84" t="s">
        <v>146</v>
      </c>
      <c r="C8" s="85">
        <v>25</v>
      </c>
      <c r="D8" s="85" t="s">
        <v>141</v>
      </c>
      <c r="E8" s="86">
        <v>10.5</v>
      </c>
      <c r="F8" s="86"/>
      <c r="G8" s="86"/>
    </row>
    <row r="9" ht="20" customHeight="1" spans="1:7">
      <c r="A9" s="82"/>
      <c r="B9" s="82" t="s">
        <v>147</v>
      </c>
      <c r="C9" s="81">
        <v>20</v>
      </c>
      <c r="D9" s="81" t="s">
        <v>141</v>
      </c>
      <c r="E9" s="83">
        <v>10</v>
      </c>
      <c r="F9" s="83"/>
      <c r="G9" s="86"/>
    </row>
    <row r="10" s="80" customFormat="1" ht="20" customHeight="1" spans="1:7">
      <c r="A10" s="84"/>
      <c r="B10" s="84" t="s">
        <v>148</v>
      </c>
      <c r="C10" s="85">
        <v>25</v>
      </c>
      <c r="D10" s="85" t="s">
        <v>141</v>
      </c>
      <c r="E10" s="86">
        <v>11.5</v>
      </c>
      <c r="F10" s="86"/>
      <c r="G10" s="86"/>
    </row>
    <row r="11" ht="20" customHeight="1" spans="1:7">
      <c r="A11" s="82"/>
      <c r="B11" s="82" t="s">
        <v>149</v>
      </c>
      <c r="C11" s="81">
        <v>20</v>
      </c>
      <c r="D11" s="81" t="s">
        <v>141</v>
      </c>
      <c r="E11" s="83">
        <v>11</v>
      </c>
      <c r="F11" s="83"/>
      <c r="G11" s="83"/>
    </row>
    <row r="12" s="80" customFormat="1" ht="20" customHeight="1" spans="1:7">
      <c r="A12" s="84"/>
      <c r="B12" s="87" t="s">
        <v>150</v>
      </c>
      <c r="C12" s="88">
        <v>20</v>
      </c>
      <c r="D12" s="88" t="s">
        <v>141</v>
      </c>
      <c r="E12" s="89">
        <v>22.5</v>
      </c>
      <c r="F12" s="89" t="s">
        <v>151</v>
      </c>
      <c r="G12" s="86"/>
    </row>
    <row r="13" ht="20" customHeight="1" spans="1:7">
      <c r="A13" s="82"/>
      <c r="B13" s="82" t="s">
        <v>152</v>
      </c>
      <c r="C13" s="81">
        <v>20</v>
      </c>
      <c r="D13" s="81" t="s">
        <v>141</v>
      </c>
      <c r="E13" s="83">
        <v>17</v>
      </c>
      <c r="F13" s="83"/>
      <c r="G13" s="83"/>
    </row>
    <row r="14" ht="20" customHeight="1" spans="1:7">
      <c r="A14" s="84" t="s">
        <v>153</v>
      </c>
      <c r="B14" s="84" t="s">
        <v>52</v>
      </c>
      <c r="C14" s="85">
        <v>20</v>
      </c>
      <c r="D14" s="85" t="s">
        <v>141</v>
      </c>
      <c r="E14" s="86">
        <v>17</v>
      </c>
      <c r="F14" s="86"/>
      <c r="G14" s="83"/>
    </row>
    <row r="15" ht="20" customHeight="1" spans="1:7">
      <c r="A15" s="90"/>
      <c r="B15" s="31" t="s">
        <v>154</v>
      </c>
      <c r="C15" s="34">
        <v>20</v>
      </c>
      <c r="D15" s="91" t="s">
        <v>141</v>
      </c>
      <c r="E15" s="34">
        <v>12.5</v>
      </c>
      <c r="F15" s="92"/>
      <c r="G15" s="30"/>
    </row>
    <row r="16" ht="20" customHeight="1" spans="1:7">
      <c r="A16" s="93"/>
      <c r="B16" s="33"/>
      <c r="C16" s="92"/>
      <c r="D16" s="88"/>
      <c r="E16" s="92"/>
      <c r="F16" s="92"/>
      <c r="G16" s="30"/>
    </row>
    <row r="17" hidden="1"/>
    <row r="23" ht="19" customHeight="1"/>
    <row r="24" spans="1:7">
      <c r="A24" s="34" t="s">
        <v>155</v>
      </c>
      <c r="B24" s="34"/>
      <c r="C24" s="34"/>
      <c r="D24" s="34"/>
      <c r="E24" s="34"/>
      <c r="F24" s="34"/>
      <c r="G24" s="34"/>
    </row>
    <row r="25" ht="20" customHeight="1" spans="1:7">
      <c r="A25" s="81" t="s">
        <v>137</v>
      </c>
      <c r="B25" s="81" t="s">
        <v>138</v>
      </c>
      <c r="C25" s="81" t="s">
        <v>139</v>
      </c>
      <c r="D25" s="81"/>
      <c r="E25" s="81" t="s">
        <v>140</v>
      </c>
      <c r="F25" s="81"/>
      <c r="G25" s="81"/>
    </row>
    <row r="26" ht="20" customHeight="1" spans="1:7">
      <c r="A26" s="82">
        <v>632</v>
      </c>
      <c r="B26" s="82" t="s">
        <v>16</v>
      </c>
      <c r="C26" s="81">
        <v>28</v>
      </c>
      <c r="D26" s="81" t="s">
        <v>141</v>
      </c>
      <c r="E26" s="83">
        <v>7.2</v>
      </c>
      <c r="F26" s="83"/>
      <c r="G26" s="83">
        <v>6.1</v>
      </c>
    </row>
    <row r="27" s="80" customFormat="1" ht="20" customHeight="1" spans="1:7">
      <c r="A27" s="84" t="s">
        <v>17</v>
      </c>
      <c r="B27" s="84" t="s">
        <v>18</v>
      </c>
      <c r="C27" s="85">
        <v>25</v>
      </c>
      <c r="D27" s="85" t="s">
        <v>141</v>
      </c>
      <c r="E27" s="86">
        <v>9.5</v>
      </c>
      <c r="F27" s="86"/>
      <c r="G27" s="86">
        <v>8.1</v>
      </c>
    </row>
    <row r="28" ht="20" customHeight="1" spans="1:7">
      <c r="A28" s="82" t="s">
        <v>142</v>
      </c>
      <c r="B28" s="82" t="s">
        <v>143</v>
      </c>
      <c r="C28" s="81">
        <v>180</v>
      </c>
      <c r="D28" s="81" t="s">
        <v>141</v>
      </c>
      <c r="E28" s="83">
        <v>4.2</v>
      </c>
      <c r="F28" s="83"/>
      <c r="G28" s="83"/>
    </row>
    <row r="29" s="80" customFormat="1" ht="20" customHeight="1" spans="1:7">
      <c r="A29" s="84" t="s">
        <v>21</v>
      </c>
      <c r="B29" s="84" t="s">
        <v>144</v>
      </c>
      <c r="C29" s="85">
        <v>180</v>
      </c>
      <c r="D29" s="85" t="s">
        <v>141</v>
      </c>
      <c r="E29" s="86">
        <v>7.5</v>
      </c>
      <c r="F29" s="86"/>
      <c r="G29" s="86"/>
    </row>
    <row r="30" ht="20" customHeight="1" spans="1:7">
      <c r="A30" s="82"/>
      <c r="B30" s="82" t="s">
        <v>145</v>
      </c>
      <c r="C30" s="81">
        <v>4</v>
      </c>
      <c r="D30" s="81" t="s">
        <v>141</v>
      </c>
      <c r="E30" s="83"/>
      <c r="F30" s="83"/>
      <c r="G30" s="83"/>
    </row>
    <row r="31" s="80" customFormat="1" ht="20" customHeight="1" spans="1:7">
      <c r="A31" s="84"/>
      <c r="B31" s="84" t="s">
        <v>146</v>
      </c>
      <c r="C31" s="85">
        <v>25</v>
      </c>
      <c r="D31" s="85" t="s">
        <v>141</v>
      </c>
      <c r="E31" s="86">
        <v>13</v>
      </c>
      <c r="F31" s="86"/>
      <c r="G31" s="86"/>
    </row>
    <row r="32" ht="20" customHeight="1" spans="1:7">
      <c r="A32" s="82"/>
      <c r="B32" s="82" t="s">
        <v>147</v>
      </c>
      <c r="C32" s="81">
        <v>20</v>
      </c>
      <c r="D32" s="81" t="s">
        <v>141</v>
      </c>
      <c r="E32" s="83">
        <v>11.8</v>
      </c>
      <c r="F32" s="83" t="s">
        <v>156</v>
      </c>
      <c r="G32" s="86">
        <v>8</v>
      </c>
    </row>
    <row r="33" s="80" customFormat="1" ht="20" customHeight="1" spans="1:7">
      <c r="A33" s="84"/>
      <c r="B33" s="84" t="s">
        <v>148</v>
      </c>
      <c r="C33" s="85">
        <v>25</v>
      </c>
      <c r="D33" s="85" t="s">
        <v>141</v>
      </c>
      <c r="E33" s="86">
        <v>13.8</v>
      </c>
      <c r="F33" s="86"/>
      <c r="G33" s="86"/>
    </row>
    <row r="34" ht="20" customHeight="1" spans="1:7">
      <c r="A34" s="82"/>
      <c r="B34" s="82" t="s">
        <v>149</v>
      </c>
      <c r="C34" s="81">
        <v>20</v>
      </c>
      <c r="D34" s="81" t="s">
        <v>141</v>
      </c>
      <c r="E34" s="83">
        <v>14</v>
      </c>
      <c r="F34" s="83"/>
      <c r="G34" s="83"/>
    </row>
    <row r="35" s="80" customFormat="1" ht="20" customHeight="1" spans="1:7">
      <c r="A35" s="84"/>
      <c r="B35" s="84" t="s">
        <v>150</v>
      </c>
      <c r="C35" s="85">
        <v>20</v>
      </c>
      <c r="D35" s="85" t="s">
        <v>141</v>
      </c>
      <c r="E35" s="86">
        <v>22.5</v>
      </c>
      <c r="F35" s="86"/>
      <c r="G35" s="86"/>
    </row>
    <row r="36" ht="20" customHeight="1" spans="1:7">
      <c r="A36" s="82"/>
      <c r="B36" s="82" t="s">
        <v>152</v>
      </c>
      <c r="C36" s="81">
        <v>20</v>
      </c>
      <c r="D36" s="81" t="s">
        <v>141</v>
      </c>
      <c r="E36" s="83">
        <v>18</v>
      </c>
      <c r="F36" s="83"/>
      <c r="G36" s="83"/>
    </row>
    <row r="37" ht="20" customHeight="1" spans="1:7">
      <c r="A37" s="84" t="s">
        <v>153</v>
      </c>
      <c r="B37" s="84" t="s">
        <v>52</v>
      </c>
      <c r="C37" s="85">
        <v>20</v>
      </c>
      <c r="D37" s="85" t="s">
        <v>141</v>
      </c>
      <c r="E37" s="86">
        <v>18</v>
      </c>
      <c r="F37" s="86"/>
      <c r="G37" s="83"/>
    </row>
    <row r="38" ht="20" customHeight="1" spans="1:7">
      <c r="A38" s="90" t="s">
        <v>157</v>
      </c>
      <c r="B38" s="33" t="s">
        <v>158</v>
      </c>
      <c r="C38" s="92">
        <v>25</v>
      </c>
      <c r="D38" s="88" t="s">
        <v>141</v>
      </c>
      <c r="E38" s="92">
        <v>12</v>
      </c>
      <c r="F38" s="92"/>
      <c r="G38" s="30" t="s">
        <v>29</v>
      </c>
    </row>
    <row r="39" ht="20" customHeight="1" spans="1:7">
      <c r="A39" s="93"/>
      <c r="B39" s="33" t="s">
        <v>148</v>
      </c>
      <c r="C39" s="92">
        <v>25</v>
      </c>
      <c r="D39" s="88" t="s">
        <v>141</v>
      </c>
      <c r="E39" s="92">
        <v>13.8</v>
      </c>
      <c r="F39" s="92"/>
      <c r="G39" s="30"/>
    </row>
    <row r="40" spans="1:7">
      <c r="A40" s="34" t="s">
        <v>159</v>
      </c>
      <c r="B40" s="34"/>
      <c r="C40" s="34"/>
      <c r="D40" s="34"/>
      <c r="E40" s="34"/>
      <c r="F40" s="34"/>
      <c r="G40" s="34"/>
    </row>
    <row r="41" ht="20" customHeight="1" spans="1:7">
      <c r="A41" s="81" t="s">
        <v>137</v>
      </c>
      <c r="B41" s="81" t="s">
        <v>138</v>
      </c>
      <c r="C41" s="81" t="s">
        <v>139</v>
      </c>
      <c r="D41" s="81"/>
      <c r="E41" s="81" t="s">
        <v>140</v>
      </c>
      <c r="F41" s="81"/>
      <c r="G41" s="81"/>
    </row>
    <row r="42" ht="20" customHeight="1" spans="1:7">
      <c r="A42" s="82">
        <v>632</v>
      </c>
      <c r="B42" s="82" t="s">
        <v>16</v>
      </c>
      <c r="C42" s="81">
        <v>28</v>
      </c>
      <c r="D42" s="81" t="s">
        <v>141</v>
      </c>
      <c r="E42" s="83">
        <v>7.2</v>
      </c>
      <c r="F42" s="83"/>
      <c r="G42" s="83">
        <v>6.1</v>
      </c>
    </row>
    <row r="43" ht="18.75" spans="1:7">
      <c r="A43" s="82" t="s">
        <v>17</v>
      </c>
      <c r="B43" s="82" t="s">
        <v>18</v>
      </c>
      <c r="C43" s="81">
        <v>25</v>
      </c>
      <c r="D43" s="81" t="s">
        <v>141</v>
      </c>
      <c r="E43" s="83">
        <v>10</v>
      </c>
      <c r="F43" s="83"/>
      <c r="G43" s="83">
        <v>8.1</v>
      </c>
    </row>
    <row r="44" ht="18.75" spans="1:7">
      <c r="A44" s="82" t="s">
        <v>19</v>
      </c>
      <c r="B44" s="82" t="s">
        <v>143</v>
      </c>
      <c r="C44" s="81">
        <v>180</v>
      </c>
      <c r="D44" s="81" t="s">
        <v>141</v>
      </c>
      <c r="E44" s="83">
        <v>4.2</v>
      </c>
      <c r="F44" s="83"/>
      <c r="G44" s="83"/>
    </row>
    <row r="45" ht="18.75" spans="1:7">
      <c r="A45" s="82" t="s">
        <v>21</v>
      </c>
      <c r="B45" s="82" t="s">
        <v>144</v>
      </c>
      <c r="C45" s="81">
        <v>180</v>
      </c>
      <c r="D45" s="81" t="s">
        <v>141</v>
      </c>
      <c r="E45" s="83">
        <v>7.5</v>
      </c>
      <c r="F45" s="83"/>
      <c r="G45" s="83"/>
    </row>
    <row r="46" ht="18.75" spans="1:7">
      <c r="A46" s="82"/>
      <c r="B46" s="82" t="s">
        <v>145</v>
      </c>
      <c r="C46" s="81">
        <v>4</v>
      </c>
      <c r="D46" s="81" t="s">
        <v>141</v>
      </c>
      <c r="E46" s="83">
        <v>18</v>
      </c>
      <c r="F46" s="83"/>
      <c r="G46" s="83"/>
    </row>
    <row r="47" ht="18.75" spans="1:7">
      <c r="A47" s="82"/>
      <c r="B47" s="82" t="s">
        <v>146</v>
      </c>
      <c r="C47" s="81">
        <v>25</v>
      </c>
      <c r="D47" s="81" t="s">
        <v>141</v>
      </c>
      <c r="E47" s="83">
        <v>13.8</v>
      </c>
      <c r="F47" s="83"/>
      <c r="G47" s="83"/>
    </row>
    <row r="48" ht="18.75" spans="1:7">
      <c r="A48" s="82"/>
      <c r="B48" s="82" t="s">
        <v>160</v>
      </c>
      <c r="C48" s="81">
        <v>20</v>
      </c>
      <c r="D48" s="81" t="s">
        <v>141</v>
      </c>
      <c r="E48" s="83">
        <v>13.5</v>
      </c>
      <c r="F48" s="83"/>
      <c r="G48" s="83"/>
    </row>
    <row r="49" ht="18.75" spans="1:7">
      <c r="A49" s="82"/>
      <c r="B49" s="82" t="s">
        <v>148</v>
      </c>
      <c r="C49" s="81">
        <v>25</v>
      </c>
      <c r="D49" s="81" t="s">
        <v>141</v>
      </c>
      <c r="E49" s="83">
        <v>14.5</v>
      </c>
      <c r="F49" s="83"/>
      <c r="G49" s="83"/>
    </row>
    <row r="50" ht="18.75" spans="1:7">
      <c r="A50" s="82"/>
      <c r="B50" s="82" t="s">
        <v>149</v>
      </c>
      <c r="C50" s="81">
        <v>20</v>
      </c>
      <c r="D50" s="81" t="s">
        <v>141</v>
      </c>
      <c r="E50" s="83">
        <v>14.5</v>
      </c>
      <c r="F50" s="83"/>
      <c r="G50" s="83"/>
    </row>
    <row r="51" ht="18.75" spans="1:7">
      <c r="A51" s="82"/>
      <c r="B51" s="82" t="s">
        <v>150</v>
      </c>
      <c r="C51" s="81">
        <v>20</v>
      </c>
      <c r="D51" s="81" t="s">
        <v>141</v>
      </c>
      <c r="E51" s="83">
        <v>22.5</v>
      </c>
      <c r="F51" s="83"/>
      <c r="G51" s="83"/>
    </row>
    <row r="52" ht="18.75" spans="1:7">
      <c r="A52" s="82"/>
      <c r="B52" s="82" t="s">
        <v>152</v>
      </c>
      <c r="C52" s="81">
        <v>20</v>
      </c>
      <c r="D52" s="81" t="s">
        <v>141</v>
      </c>
      <c r="E52" s="83">
        <v>19</v>
      </c>
      <c r="F52" s="83"/>
      <c r="G52" s="83"/>
    </row>
    <row r="53" ht="18.75" spans="1:7">
      <c r="A53" s="87" t="s">
        <v>153</v>
      </c>
      <c r="B53" s="87" t="s">
        <v>52</v>
      </c>
      <c r="C53" s="88">
        <v>20</v>
      </c>
      <c r="D53" s="88" t="s">
        <v>141</v>
      </c>
      <c r="E53" s="89">
        <v>19.8</v>
      </c>
      <c r="F53" s="89"/>
      <c r="G53" s="83"/>
    </row>
    <row r="54" spans="1:7">
      <c r="A54" s="94" t="s">
        <v>161</v>
      </c>
      <c r="B54" s="94"/>
      <c r="C54" s="94"/>
      <c r="D54" s="94"/>
      <c r="E54" s="94"/>
      <c r="F54" s="94"/>
      <c r="G54" s="94"/>
    </row>
    <row r="55" ht="15" spans="1:7">
      <c r="A55" s="95"/>
      <c r="B55" s="96"/>
      <c r="C55" s="97"/>
      <c r="D55" s="97"/>
      <c r="E55" s="98"/>
      <c r="F55" s="98"/>
      <c r="G55" s="98"/>
    </row>
  </sheetData>
  <mergeCells count="9">
    <mergeCell ref="A1:G1"/>
    <mergeCell ref="C2:D2"/>
    <mergeCell ref="A24:G24"/>
    <mergeCell ref="C25:D25"/>
    <mergeCell ref="A40:G40"/>
    <mergeCell ref="C41:D41"/>
    <mergeCell ref="A54:G54"/>
    <mergeCell ref="A15:A16"/>
    <mergeCell ref="A38:A3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72"/>
  <sheetViews>
    <sheetView topLeftCell="A17" workbookViewId="0">
      <selection activeCell="K16" sqref="K16"/>
    </sheetView>
  </sheetViews>
  <sheetFormatPr defaultColWidth="9" defaultRowHeight="14.25" outlineLevelCol="5"/>
  <cols>
    <col min="1" max="1" width="36.125" customWidth="1"/>
    <col min="2" max="2" width="16" customWidth="1"/>
    <col min="3" max="3" width="14.75" customWidth="1"/>
    <col min="4" max="4" width="22" customWidth="1"/>
    <col min="5" max="5" width="8" customWidth="1"/>
  </cols>
  <sheetData>
    <row r="1" ht="22.5" spans="1:5">
      <c r="A1" s="36" t="s">
        <v>119</v>
      </c>
      <c r="B1" s="36"/>
      <c r="C1" s="36"/>
      <c r="D1" s="36"/>
      <c r="E1" s="37"/>
    </row>
    <row r="2" ht="23" customHeight="1" spans="1:5">
      <c r="A2" s="38" t="s">
        <v>111</v>
      </c>
      <c r="B2" s="39" t="s">
        <v>112</v>
      </c>
      <c r="C2" s="40" t="s">
        <v>113</v>
      </c>
      <c r="D2" s="40" t="s">
        <v>114</v>
      </c>
      <c r="E2" s="41" t="s">
        <v>115</v>
      </c>
    </row>
    <row r="3" ht="18" customHeight="1" spans="1:5">
      <c r="A3" s="42">
        <v>45957</v>
      </c>
      <c r="B3" s="43">
        <v>1350</v>
      </c>
      <c r="C3" s="44"/>
      <c r="D3" s="45">
        <f t="shared" ref="D3:D9" si="0">B3-C3</f>
        <v>1350</v>
      </c>
      <c r="E3" s="46"/>
    </row>
    <row r="4" ht="18" customHeight="1" spans="1:5">
      <c r="A4" s="42">
        <v>45964</v>
      </c>
      <c r="B4" s="43">
        <v>5311.5</v>
      </c>
      <c r="C4" s="44"/>
      <c r="D4" s="45">
        <f t="shared" si="0"/>
        <v>5311.5</v>
      </c>
      <c r="E4" s="46"/>
    </row>
    <row r="5" ht="18" customHeight="1" spans="1:5">
      <c r="A5" s="42">
        <v>45965</v>
      </c>
      <c r="B5" s="43">
        <v>3371</v>
      </c>
      <c r="C5" s="44"/>
      <c r="D5" s="45">
        <f t="shared" si="0"/>
        <v>3371</v>
      </c>
      <c r="E5" s="46"/>
    </row>
    <row r="6" ht="18" customHeight="1" spans="1:5">
      <c r="A6" s="42">
        <v>45970</v>
      </c>
      <c r="B6" s="43">
        <v>4228</v>
      </c>
      <c r="C6" s="44"/>
      <c r="D6" s="45">
        <f t="shared" si="0"/>
        <v>4228</v>
      </c>
      <c r="E6" s="46"/>
    </row>
    <row r="7" ht="18" customHeight="1" spans="1:5">
      <c r="A7" s="42">
        <v>45974</v>
      </c>
      <c r="B7" s="43">
        <v>4953</v>
      </c>
      <c r="C7" s="44"/>
      <c r="D7" s="45">
        <f t="shared" si="0"/>
        <v>4953</v>
      </c>
      <c r="E7" s="46"/>
    </row>
    <row r="8" ht="18" customHeight="1" spans="1:5">
      <c r="A8" s="42">
        <v>45980</v>
      </c>
      <c r="B8" s="43">
        <v>2371</v>
      </c>
      <c r="C8" s="44"/>
      <c r="D8" s="45">
        <f t="shared" si="0"/>
        <v>2371</v>
      </c>
      <c r="E8" s="46"/>
    </row>
    <row r="9" ht="26" customHeight="1" spans="1:5">
      <c r="A9" s="47" t="s">
        <v>162</v>
      </c>
      <c r="B9" s="48">
        <f>SUM(B3:B8)</f>
        <v>21584.5</v>
      </c>
      <c r="C9" s="48">
        <f>SUM(C3:C8)</f>
        <v>0</v>
      </c>
      <c r="D9" s="48">
        <f t="shared" si="0"/>
        <v>21584.5</v>
      </c>
      <c r="E9" s="49"/>
    </row>
    <row r="11" ht="22.5" spans="1:5">
      <c r="A11" s="36" t="s">
        <v>163</v>
      </c>
      <c r="B11" s="36"/>
      <c r="C11" s="36"/>
      <c r="D11" s="36"/>
      <c r="E11" s="37"/>
    </row>
    <row r="12" ht="23" customHeight="1" spans="1:5">
      <c r="A12" s="38" t="s">
        <v>111</v>
      </c>
      <c r="B12" s="39" t="s">
        <v>112</v>
      </c>
      <c r="C12" s="40" t="s">
        <v>113</v>
      </c>
      <c r="D12" s="40" t="s">
        <v>114</v>
      </c>
      <c r="E12" s="41" t="s">
        <v>115</v>
      </c>
    </row>
    <row r="13" ht="18" customHeight="1" spans="1:5">
      <c r="A13" s="42">
        <v>45929</v>
      </c>
      <c r="B13" s="43">
        <v>7575.5</v>
      </c>
      <c r="C13" s="44"/>
      <c r="D13" s="45">
        <f t="shared" ref="D13:D19" si="1">B13-C13</f>
        <v>7575.5</v>
      </c>
      <c r="E13" s="46"/>
    </row>
    <row r="14" ht="18" customHeight="1" spans="1:5">
      <c r="A14" s="42">
        <v>45938</v>
      </c>
      <c r="B14" s="43">
        <v>2986</v>
      </c>
      <c r="C14" s="44"/>
      <c r="D14" s="45">
        <f t="shared" si="1"/>
        <v>2986</v>
      </c>
      <c r="E14" s="46"/>
    </row>
    <row r="15" ht="18" customHeight="1" spans="1:5">
      <c r="A15" s="42">
        <v>45943</v>
      </c>
      <c r="B15" s="43">
        <v>7940.5</v>
      </c>
      <c r="C15" s="44"/>
      <c r="D15" s="45">
        <f t="shared" si="1"/>
        <v>7940.5</v>
      </c>
      <c r="E15" s="46"/>
    </row>
    <row r="16" ht="18" customHeight="1" spans="1:5">
      <c r="A16" s="42">
        <v>45945</v>
      </c>
      <c r="B16" s="43">
        <v>2706</v>
      </c>
      <c r="C16" s="44"/>
      <c r="D16" s="45">
        <f t="shared" si="1"/>
        <v>2706</v>
      </c>
      <c r="E16" s="46"/>
    </row>
    <row r="17" ht="18" customHeight="1" spans="1:5">
      <c r="A17" s="42">
        <v>45951</v>
      </c>
      <c r="B17" s="43">
        <v>4053</v>
      </c>
      <c r="C17" s="44"/>
      <c r="D17" s="45">
        <f t="shared" si="1"/>
        <v>4053</v>
      </c>
      <c r="E17" s="46"/>
    </row>
    <row r="18" ht="18" customHeight="1" spans="1:5">
      <c r="A18" s="42">
        <v>45955</v>
      </c>
      <c r="B18" s="43">
        <v>3729.5</v>
      </c>
      <c r="C18" s="44"/>
      <c r="D18" s="45">
        <f t="shared" si="1"/>
        <v>3729.5</v>
      </c>
      <c r="E18" s="46"/>
    </row>
    <row r="19" ht="26" customHeight="1" spans="1:5">
      <c r="A19" s="47" t="s">
        <v>164</v>
      </c>
      <c r="B19" s="48">
        <f>SUM(B13:B18)</f>
        <v>28990.5</v>
      </c>
      <c r="C19" s="48">
        <f>SUM(C13:C18)</f>
        <v>0</v>
      </c>
      <c r="D19" s="48">
        <f t="shared" si="1"/>
        <v>28990.5</v>
      </c>
      <c r="E19" s="49"/>
    </row>
    <row r="20" ht="18" customHeight="1" spans="1:5">
      <c r="A20" s="50"/>
      <c r="B20" s="50"/>
      <c r="C20" s="50"/>
      <c r="D20" s="50"/>
      <c r="E20" s="50"/>
    </row>
    <row r="22" ht="30" customHeight="1" spans="1:5">
      <c r="A22" s="51" t="s">
        <v>165</v>
      </c>
      <c r="B22" s="51"/>
      <c r="C22" s="51"/>
      <c r="D22" s="51"/>
      <c r="E22" s="51"/>
    </row>
    <row r="23" ht="26" customHeight="1" spans="1:5">
      <c r="A23" s="52" t="s">
        <v>166</v>
      </c>
      <c r="B23" s="52"/>
      <c r="C23" s="52"/>
      <c r="D23" s="52"/>
      <c r="E23" s="53"/>
    </row>
    <row r="24" ht="18" customHeight="1" spans="1:5">
      <c r="A24" s="54" t="s">
        <v>111</v>
      </c>
      <c r="B24" s="55" t="s">
        <v>112</v>
      </c>
      <c r="C24" s="56" t="s">
        <v>113</v>
      </c>
      <c r="D24" s="56" t="s">
        <v>114</v>
      </c>
      <c r="E24" s="57" t="s">
        <v>115</v>
      </c>
    </row>
    <row r="25" ht="18" customHeight="1" spans="1:5">
      <c r="A25" s="58">
        <v>45895</v>
      </c>
      <c r="B25" s="59">
        <v>4562</v>
      </c>
      <c r="C25" s="60"/>
      <c r="D25" s="61">
        <f t="shared" ref="D25:D36" si="2">B25-C25</f>
        <v>4562</v>
      </c>
      <c r="E25" s="46"/>
    </row>
    <row r="26" ht="18" customHeight="1" spans="1:5">
      <c r="A26" s="58">
        <v>45897</v>
      </c>
      <c r="B26" s="59">
        <v>3639</v>
      </c>
      <c r="C26" s="60"/>
      <c r="D26" s="61">
        <f t="shared" si="2"/>
        <v>3639</v>
      </c>
      <c r="E26" s="46"/>
    </row>
    <row r="27" ht="18" customHeight="1" spans="1:5">
      <c r="A27" s="58">
        <v>45898</v>
      </c>
      <c r="B27" s="59">
        <v>1350</v>
      </c>
      <c r="C27" s="60"/>
      <c r="D27" s="61">
        <f t="shared" si="2"/>
        <v>1350</v>
      </c>
      <c r="E27" s="46"/>
    </row>
    <row r="28" ht="18" customHeight="1" spans="1:5">
      <c r="A28" s="42">
        <v>45903</v>
      </c>
      <c r="B28" s="43">
        <v>3651.2</v>
      </c>
      <c r="C28" s="44"/>
      <c r="D28" s="45">
        <f t="shared" si="2"/>
        <v>3651.2</v>
      </c>
      <c r="E28" s="46"/>
    </row>
    <row r="29" ht="18" customHeight="1" spans="1:5">
      <c r="A29" s="42">
        <v>45903</v>
      </c>
      <c r="B29" s="43">
        <v>3266</v>
      </c>
      <c r="C29" s="44"/>
      <c r="D29" s="45">
        <f t="shared" si="2"/>
        <v>3266</v>
      </c>
      <c r="E29" s="46"/>
    </row>
    <row r="30" ht="18" customHeight="1" spans="1:5">
      <c r="A30" s="42">
        <v>45908</v>
      </c>
      <c r="B30" s="43">
        <v>5885.3</v>
      </c>
      <c r="C30" s="44"/>
      <c r="D30" s="45">
        <f t="shared" si="2"/>
        <v>5885.3</v>
      </c>
      <c r="E30" s="46"/>
    </row>
    <row r="31" ht="18" customHeight="1" spans="1:5">
      <c r="A31" s="42">
        <v>45912</v>
      </c>
      <c r="B31" s="43">
        <v>1533.1</v>
      </c>
      <c r="C31" s="44"/>
      <c r="D31" s="45">
        <f t="shared" si="2"/>
        <v>1533.1</v>
      </c>
      <c r="E31" s="46"/>
    </row>
    <row r="32" ht="18" customHeight="1" spans="1:5">
      <c r="A32" s="42">
        <v>45913</v>
      </c>
      <c r="B32" s="43">
        <v>3101.5</v>
      </c>
      <c r="C32" s="44"/>
      <c r="D32" s="45">
        <f t="shared" si="2"/>
        <v>3101.5</v>
      </c>
      <c r="E32" s="46"/>
    </row>
    <row r="33" ht="18" customHeight="1" spans="1:5">
      <c r="A33" s="42">
        <v>45916</v>
      </c>
      <c r="B33" s="43">
        <v>2862</v>
      </c>
      <c r="C33" s="44"/>
      <c r="D33" s="45">
        <f t="shared" si="2"/>
        <v>2862</v>
      </c>
      <c r="E33" s="46"/>
    </row>
    <row r="34" ht="27" customHeight="1" spans="1:5">
      <c r="A34" s="42">
        <v>45919</v>
      </c>
      <c r="B34" s="43">
        <v>8537</v>
      </c>
      <c r="C34" s="44"/>
      <c r="D34" s="45">
        <f t="shared" si="2"/>
        <v>8537</v>
      </c>
      <c r="E34" s="46"/>
    </row>
    <row r="35" ht="27" customHeight="1" spans="1:5">
      <c r="A35" s="42">
        <v>45924</v>
      </c>
      <c r="B35" s="43">
        <v>5827</v>
      </c>
      <c r="C35" s="44"/>
      <c r="D35" s="45">
        <f t="shared" si="2"/>
        <v>5827</v>
      </c>
      <c r="E35" s="46"/>
    </row>
    <row r="36" ht="30" customHeight="1" spans="1:5">
      <c r="A36" s="62" t="s">
        <v>167</v>
      </c>
      <c r="B36" s="63">
        <f>SUM(B25:B35)</f>
        <v>44214.1</v>
      </c>
      <c r="C36" s="64">
        <f>SUM(C25:C35)</f>
        <v>0</v>
      </c>
      <c r="D36" s="63">
        <f t="shared" si="2"/>
        <v>44214.1</v>
      </c>
      <c r="E36" s="49"/>
    </row>
    <row r="37" spans="1:5">
      <c r="A37" s="65" t="s">
        <v>168</v>
      </c>
      <c r="B37" s="65"/>
      <c r="C37" s="65"/>
      <c r="D37" s="65"/>
      <c r="E37" s="65"/>
    </row>
    <row r="39" ht="18" customHeight="1" spans="1:5">
      <c r="A39" s="52" t="s">
        <v>169</v>
      </c>
      <c r="B39" s="52"/>
      <c r="C39" s="52"/>
      <c r="D39" s="52"/>
      <c r="E39" s="53"/>
    </row>
    <row r="40" ht="18" customHeight="1" spans="1:5">
      <c r="A40" s="54" t="s">
        <v>111</v>
      </c>
      <c r="B40" s="55" t="s">
        <v>112</v>
      </c>
      <c r="C40" s="56" t="s">
        <v>113</v>
      </c>
      <c r="D40" s="56" t="s">
        <v>170</v>
      </c>
      <c r="E40" s="57" t="s">
        <v>115</v>
      </c>
    </row>
    <row r="41" ht="18" customHeight="1" spans="1:5">
      <c r="A41" s="42">
        <v>45862</v>
      </c>
      <c r="B41" s="43">
        <v>1787.4</v>
      </c>
      <c r="C41" s="66"/>
      <c r="D41" s="67">
        <f>B41-C41</f>
        <v>1787.4</v>
      </c>
      <c r="E41" s="68"/>
    </row>
    <row r="42" ht="18" customHeight="1" spans="1:5">
      <c r="A42" s="42">
        <v>45864</v>
      </c>
      <c r="B42" s="43">
        <v>2106</v>
      </c>
      <c r="C42" s="66"/>
      <c r="D42" s="67">
        <f t="shared" ref="D42:D52" si="3">B42-C42</f>
        <v>2106</v>
      </c>
      <c r="E42" s="46"/>
    </row>
    <row r="43" ht="18" customHeight="1" spans="1:5">
      <c r="A43" s="58">
        <v>45871</v>
      </c>
      <c r="B43" s="59">
        <v>7531</v>
      </c>
      <c r="C43" s="60"/>
      <c r="D43" s="61">
        <f t="shared" si="3"/>
        <v>7531</v>
      </c>
      <c r="E43" s="46"/>
    </row>
    <row r="44" ht="18" customHeight="1" spans="1:5">
      <c r="A44" s="58">
        <v>45874</v>
      </c>
      <c r="B44" s="59">
        <v>1512</v>
      </c>
      <c r="C44" s="60"/>
      <c r="D44" s="61">
        <f t="shared" si="3"/>
        <v>1512</v>
      </c>
      <c r="E44" s="46"/>
    </row>
    <row r="45" ht="18" customHeight="1" spans="1:5">
      <c r="A45" s="58">
        <v>45878</v>
      </c>
      <c r="B45" s="59">
        <v>7376</v>
      </c>
      <c r="C45" s="60"/>
      <c r="D45" s="61">
        <f t="shared" si="3"/>
        <v>7376</v>
      </c>
      <c r="E45" s="46"/>
    </row>
    <row r="46" ht="18" customHeight="1" spans="1:5">
      <c r="A46" s="58">
        <v>45882</v>
      </c>
      <c r="B46" s="59">
        <v>2611.2</v>
      </c>
      <c r="C46" s="60"/>
      <c r="D46" s="61">
        <f t="shared" si="3"/>
        <v>2611.2</v>
      </c>
      <c r="E46" s="46"/>
    </row>
    <row r="47" ht="18" customHeight="1" spans="1:5">
      <c r="A47" s="58">
        <v>45884</v>
      </c>
      <c r="B47" s="59">
        <v>3969.8</v>
      </c>
      <c r="C47" s="60"/>
      <c r="D47" s="61">
        <f t="shared" si="3"/>
        <v>3969.8</v>
      </c>
      <c r="E47" s="46"/>
    </row>
    <row r="48" ht="18" customHeight="1" spans="1:5">
      <c r="A48" s="58">
        <v>45888</v>
      </c>
      <c r="B48" s="59">
        <v>2862</v>
      </c>
      <c r="C48" s="60"/>
      <c r="D48" s="61">
        <f t="shared" si="3"/>
        <v>2862</v>
      </c>
      <c r="E48" s="46"/>
    </row>
    <row r="49" ht="18" customHeight="1" spans="1:6">
      <c r="A49" s="58">
        <v>45888</v>
      </c>
      <c r="B49" s="59">
        <v>750</v>
      </c>
      <c r="C49" s="60"/>
      <c r="D49" s="61">
        <f t="shared" si="3"/>
        <v>750</v>
      </c>
      <c r="E49" s="46"/>
    </row>
    <row r="50" ht="18" customHeight="1" spans="1:6">
      <c r="A50" s="58">
        <v>45892</v>
      </c>
      <c r="B50" s="59">
        <v>4061</v>
      </c>
      <c r="C50" s="60"/>
      <c r="D50" s="61">
        <f t="shared" si="3"/>
        <v>4061</v>
      </c>
      <c r="E50" s="46"/>
    </row>
    <row r="51" ht="18" customHeight="1" spans="1:6">
      <c r="A51" s="54" t="s">
        <v>171</v>
      </c>
      <c r="B51" s="69">
        <f>SUM(B41:B50)</f>
        <v>34566.4</v>
      </c>
      <c r="C51" s="70">
        <f>SUM(C41:C50)</f>
        <v>0</v>
      </c>
      <c r="D51" s="69">
        <f t="shared" si="3"/>
        <v>34566.4</v>
      </c>
      <c r="E51" s="71"/>
    </row>
    <row r="52" ht="18" customHeight="1" spans="1:6">
      <c r="A52" s="65" t="s">
        <v>172</v>
      </c>
      <c r="B52" s="65"/>
      <c r="C52" s="65"/>
      <c r="D52" s="65"/>
      <c r="E52" s="65"/>
    </row>
    <row r="53" ht="18" customHeight="1"/>
    <row r="54" ht="25" customHeight="1" spans="1:6">
      <c r="A54" s="52" t="s">
        <v>173</v>
      </c>
      <c r="B54" s="52"/>
      <c r="C54" s="52"/>
      <c r="D54" s="52"/>
      <c r="E54" s="53"/>
      <c r="F54" s="72"/>
    </row>
    <row r="55" ht="26" customHeight="1" spans="1:6">
      <c r="A55" s="54" t="s">
        <v>111</v>
      </c>
      <c r="B55" s="55" t="s">
        <v>112</v>
      </c>
      <c r="C55" s="56" t="s">
        <v>113</v>
      </c>
      <c r="D55" s="56" t="s">
        <v>170</v>
      </c>
      <c r="E55" s="57" t="s">
        <v>115</v>
      </c>
    </row>
    <row r="56" spans="1:6">
      <c r="A56" s="42">
        <v>45821</v>
      </c>
      <c r="B56" s="73">
        <v>872.8</v>
      </c>
      <c r="C56" s="66"/>
      <c r="D56" s="67">
        <f>B56-C56</f>
        <v>872.8</v>
      </c>
      <c r="E56" s="74" t="s">
        <v>174</v>
      </c>
    </row>
    <row r="57" spans="1:6">
      <c r="A57" s="42">
        <v>45825</v>
      </c>
      <c r="B57" s="73">
        <v>7915.6</v>
      </c>
      <c r="C57" s="66"/>
      <c r="D57" s="67">
        <f t="shared" ref="D57:D70" si="4">D56+B57-C57</f>
        <v>8788.4</v>
      </c>
      <c r="E57" s="74"/>
    </row>
    <row r="58" spans="1:6">
      <c r="A58" s="42">
        <v>45830</v>
      </c>
      <c r="B58" s="73">
        <v>1845.1</v>
      </c>
      <c r="C58" s="66"/>
      <c r="D58" s="67">
        <f t="shared" si="4"/>
        <v>10633.5</v>
      </c>
      <c r="E58" s="74"/>
    </row>
    <row r="59" spans="1:6">
      <c r="A59" s="42">
        <v>45831</v>
      </c>
      <c r="B59" s="73">
        <v>3460.8</v>
      </c>
      <c r="C59" s="66"/>
      <c r="D59" s="67">
        <f t="shared" si="4"/>
        <v>14094.3</v>
      </c>
      <c r="E59" s="74"/>
    </row>
    <row r="60" spans="1:6">
      <c r="A60" s="42">
        <v>45833</v>
      </c>
      <c r="B60" s="73">
        <v>5429</v>
      </c>
      <c r="C60" s="66"/>
      <c r="D60" s="67">
        <f t="shared" si="4"/>
        <v>19523.3</v>
      </c>
      <c r="E60" s="74"/>
    </row>
    <row r="61" spans="1:6">
      <c r="A61" s="42">
        <v>45836</v>
      </c>
      <c r="B61" s="73">
        <v>2256</v>
      </c>
      <c r="C61" s="66"/>
      <c r="D61" s="45">
        <f t="shared" si="4"/>
        <v>21779.3</v>
      </c>
      <c r="E61" s="74"/>
    </row>
    <row r="62" spans="1:6">
      <c r="A62" s="58">
        <v>45839</v>
      </c>
      <c r="B62" s="59">
        <v>2008</v>
      </c>
      <c r="C62" s="60"/>
      <c r="D62" s="61">
        <f t="shared" si="4"/>
        <v>23787.3</v>
      </c>
      <c r="E62" s="75" t="s">
        <v>175</v>
      </c>
    </row>
    <row r="63" spans="1:6">
      <c r="A63" s="58">
        <v>45843</v>
      </c>
      <c r="B63" s="59">
        <v>5623.5</v>
      </c>
      <c r="C63" s="60"/>
      <c r="D63" s="61">
        <f t="shared" si="4"/>
        <v>29410.8</v>
      </c>
      <c r="E63" s="75"/>
    </row>
    <row r="64" spans="1:6">
      <c r="A64" s="58">
        <v>45845</v>
      </c>
      <c r="B64" s="59">
        <v>1411.2</v>
      </c>
      <c r="C64" s="60"/>
      <c r="D64" s="61">
        <f t="shared" si="4"/>
        <v>30822</v>
      </c>
      <c r="E64" s="75"/>
    </row>
    <row r="65" spans="1:5">
      <c r="A65" s="58">
        <v>45847</v>
      </c>
      <c r="B65" s="59">
        <v>4842</v>
      </c>
      <c r="C65" s="60"/>
      <c r="D65" s="61">
        <f t="shared" si="4"/>
        <v>35664</v>
      </c>
      <c r="E65" s="75"/>
    </row>
    <row r="66" spans="1:5">
      <c r="A66" s="76">
        <v>45850</v>
      </c>
      <c r="B66" s="59">
        <v>5688.3</v>
      </c>
      <c r="C66" s="60"/>
      <c r="D66" s="61">
        <f t="shared" si="4"/>
        <v>41352.3</v>
      </c>
      <c r="E66" s="75"/>
    </row>
    <row r="67" spans="1:5">
      <c r="A67" s="58">
        <v>45852</v>
      </c>
      <c r="B67" s="59">
        <v>2008</v>
      </c>
      <c r="C67" s="60"/>
      <c r="D67" s="61">
        <f t="shared" si="4"/>
        <v>43360.3</v>
      </c>
      <c r="E67" s="75"/>
    </row>
    <row r="68" spans="1:5">
      <c r="A68" s="58">
        <v>45853</v>
      </c>
      <c r="B68" s="59">
        <v>3528</v>
      </c>
      <c r="C68" s="60"/>
      <c r="D68" s="61">
        <f t="shared" si="4"/>
        <v>46888.3</v>
      </c>
      <c r="E68" s="75"/>
    </row>
    <row r="69" spans="1:5">
      <c r="A69" s="58">
        <v>45859</v>
      </c>
      <c r="B69" s="59">
        <v>2006</v>
      </c>
      <c r="C69" s="60"/>
      <c r="D69" s="61">
        <f t="shared" si="4"/>
        <v>48894.3</v>
      </c>
      <c r="E69" s="75"/>
    </row>
    <row r="70" spans="1:5">
      <c r="A70" s="58">
        <v>45860</v>
      </c>
      <c r="B70" s="59">
        <v>1575</v>
      </c>
      <c r="C70" s="60"/>
      <c r="D70" s="61">
        <f t="shared" si="4"/>
        <v>50469.3</v>
      </c>
      <c r="E70" s="75"/>
    </row>
    <row r="71" ht="19.5" spans="1:5">
      <c r="A71" s="54" t="s">
        <v>176</v>
      </c>
      <c r="B71" s="77">
        <f>SUM(B56:B70)</f>
        <v>50469.3</v>
      </c>
      <c r="C71" s="78">
        <f>SUM(C56:C70)</f>
        <v>0</v>
      </c>
      <c r="D71" s="77">
        <f>D70</f>
        <v>50469.3</v>
      </c>
      <c r="E71" s="79">
        <v>50400</v>
      </c>
    </row>
    <row r="72" spans="1:5">
      <c r="A72" s="65" t="s">
        <v>177</v>
      </c>
      <c r="B72" s="65"/>
      <c r="C72" s="65"/>
      <c r="D72" s="65"/>
      <c r="E72" s="65"/>
    </row>
  </sheetData>
  <mergeCells count="13">
    <mergeCell ref="A1:D1"/>
    <mergeCell ref="A11:D11"/>
    <mergeCell ref="A20:E20"/>
    <mergeCell ref="A22:E22"/>
    <mergeCell ref="A23:D23"/>
    <mergeCell ref="A37:E37"/>
    <mergeCell ref="A39:D39"/>
    <mergeCell ref="A52:E52"/>
    <mergeCell ref="A54:D54"/>
    <mergeCell ref="A72:E72"/>
    <mergeCell ref="E41:E51"/>
    <mergeCell ref="E56:E61"/>
    <mergeCell ref="E62:E70"/>
  </mergeCells>
  <pageMargins left="0.751388888888889" right="0.751388888888889" top="1" bottom="1" header="0.5" footer="0.5"/>
  <pageSetup paperSize="9" scale="83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6"/>
  <sheetViews>
    <sheetView workbookViewId="0">
      <selection activeCell="I15" sqref="I15"/>
    </sheetView>
  </sheetViews>
  <sheetFormatPr defaultColWidth="9" defaultRowHeight="14.25"/>
  <cols>
    <col min="1" max="1" width="17" customWidth="1"/>
    <col min="2" max="2" width="12.5" customWidth="1"/>
    <col min="3" max="3" width="19.75" customWidth="1"/>
    <col min="4" max="4" width="16.375" customWidth="1"/>
    <col min="5" max="5" width="19.5" customWidth="1"/>
    <col min="6" max="6" width="18.5" customWidth="1"/>
    <col min="7" max="7" width="10.25" customWidth="1"/>
  </cols>
  <sheetData>
    <row r="1" ht="22.5" spans="1:9">
      <c r="A1" s="3" t="s">
        <v>178</v>
      </c>
      <c r="B1" s="4"/>
      <c r="C1" s="5"/>
      <c r="D1" s="6"/>
      <c r="E1" s="6"/>
      <c r="F1" s="7"/>
      <c r="G1" s="6"/>
    </row>
    <row r="2" ht="25" customHeight="1" spans="1:9">
      <c r="A2" s="8" t="s">
        <v>179</v>
      </c>
      <c r="B2" s="9" t="s">
        <v>180</v>
      </c>
      <c r="C2" s="9"/>
      <c r="D2" s="9" t="s">
        <v>181</v>
      </c>
      <c r="E2" s="9" t="s">
        <v>182</v>
      </c>
      <c r="F2" s="10" t="s">
        <v>183</v>
      </c>
      <c r="G2" s="11" t="s">
        <v>126</v>
      </c>
    </row>
    <row r="3" spans="1:9">
      <c r="A3" s="8"/>
      <c r="B3" s="12">
        <f>SUM(C7:C16)</f>
        <v>200958.8</v>
      </c>
      <c r="C3" s="13"/>
      <c r="D3" s="14">
        <f>SUM(D7:D16)</f>
        <v>358.8</v>
      </c>
      <c r="E3" s="14">
        <f>SUM(E6:E16)</f>
        <v>50600</v>
      </c>
      <c r="F3" s="14">
        <f>B3-D3-E3</f>
        <v>150000</v>
      </c>
      <c r="G3" s="11"/>
    </row>
    <row r="4" spans="1:9">
      <c r="A4" s="8"/>
      <c r="B4" s="15"/>
      <c r="C4" s="16"/>
      <c r="D4" s="17"/>
      <c r="E4" s="17"/>
      <c r="F4" s="17"/>
      <c r="G4" s="11"/>
    </row>
    <row r="5" ht="18.75" spans="1:9">
      <c r="A5" s="8"/>
      <c r="B5" s="18" t="s">
        <v>184</v>
      </c>
      <c r="C5" s="18"/>
      <c r="D5" s="18"/>
      <c r="E5" s="18"/>
      <c r="F5" s="18"/>
      <c r="G5" s="11"/>
    </row>
    <row r="6" ht="21" customHeight="1" spans="1:9">
      <c r="A6" s="8"/>
      <c r="B6" s="19" t="s">
        <v>185</v>
      </c>
      <c r="C6" s="20" t="s">
        <v>14</v>
      </c>
      <c r="D6" s="20" t="s">
        <v>186</v>
      </c>
      <c r="E6" s="20" t="s">
        <v>187</v>
      </c>
      <c r="F6" s="21" t="s">
        <v>188</v>
      </c>
      <c r="G6" s="11"/>
    </row>
    <row r="7" s="1" customFormat="1" ht="18" customHeight="1" spans="1:9">
      <c r="A7" s="22" t="s">
        <v>189</v>
      </c>
      <c r="B7" s="23" t="s">
        <v>190</v>
      </c>
      <c r="C7" s="24">
        <v>50469.3</v>
      </c>
      <c r="D7" s="24">
        <v>69.3</v>
      </c>
      <c r="E7" s="20"/>
      <c r="F7" s="24">
        <f t="shared" ref="F7:F16" si="0">C7-D7-E7</f>
        <v>50400</v>
      </c>
      <c r="G7" s="25"/>
    </row>
    <row r="8" s="1" customFormat="1" ht="18" customHeight="1" spans="1:9">
      <c r="A8" s="22" t="s">
        <v>191</v>
      </c>
      <c r="B8" s="23" t="s">
        <v>190</v>
      </c>
      <c r="C8" s="26">
        <v>34566.4</v>
      </c>
      <c r="D8" s="24">
        <v>66.4</v>
      </c>
      <c r="E8" s="20"/>
      <c r="F8" s="24">
        <f t="shared" si="0"/>
        <v>34500</v>
      </c>
      <c r="G8" s="25"/>
    </row>
    <row r="9" s="1" customFormat="1" ht="18" customHeight="1" spans="1:9">
      <c r="A9" s="22" t="s">
        <v>192</v>
      </c>
      <c r="B9" s="23" t="s">
        <v>190</v>
      </c>
      <c r="C9" s="26">
        <v>44214.1</v>
      </c>
      <c r="D9" s="24">
        <v>14.1</v>
      </c>
      <c r="E9" s="20"/>
      <c r="F9" s="24">
        <f t="shared" si="0"/>
        <v>44200</v>
      </c>
      <c r="G9" s="25"/>
    </row>
    <row r="10" s="1" customFormat="1" ht="18" customHeight="1" spans="1:9">
      <c r="A10" s="22" t="s">
        <v>193</v>
      </c>
      <c r="B10" s="23" t="s">
        <v>190</v>
      </c>
      <c r="C10" s="26">
        <v>28990.5</v>
      </c>
      <c r="D10" s="24">
        <v>90.5</v>
      </c>
      <c r="E10" s="20"/>
      <c r="F10" s="24">
        <f t="shared" si="0"/>
        <v>28900</v>
      </c>
      <c r="G10" s="25"/>
    </row>
    <row r="11" spans="1:9">
      <c r="A11" s="27">
        <v>45961</v>
      </c>
      <c r="B11" s="28" t="s">
        <v>194</v>
      </c>
      <c r="C11" s="28"/>
      <c r="D11" s="28"/>
      <c r="E11" s="28">
        <v>18000</v>
      </c>
      <c r="F11" s="29">
        <f t="shared" si="0"/>
        <v>-18000</v>
      </c>
      <c r="G11" s="30"/>
    </row>
    <row r="12" ht="18" customHeight="1" spans="1:9">
      <c r="A12" s="31" t="s">
        <v>195</v>
      </c>
      <c r="B12" s="23" t="s">
        <v>190</v>
      </c>
      <c r="C12" s="26">
        <v>21584.5</v>
      </c>
      <c r="D12" s="24">
        <v>4.5</v>
      </c>
      <c r="E12" s="30"/>
      <c r="F12" s="24">
        <f t="shared" si="0"/>
        <v>21580</v>
      </c>
      <c r="G12" s="30"/>
    </row>
    <row r="13" s="2" customFormat="1" spans="1:9">
      <c r="A13" s="32" t="s">
        <v>196</v>
      </c>
      <c r="B13" s="28" t="s">
        <v>194</v>
      </c>
      <c r="C13" s="33"/>
      <c r="D13" s="33"/>
      <c r="E13" s="28">
        <v>11500</v>
      </c>
      <c r="F13" s="29">
        <f t="shared" si="0"/>
        <v>-11500</v>
      </c>
      <c r="G13" s="33"/>
      <c r="H13"/>
      <c r="I13"/>
    </row>
    <row r="14" spans="1:9">
      <c r="A14" s="31" t="s">
        <v>197</v>
      </c>
      <c r="B14" s="31" t="s">
        <v>190</v>
      </c>
      <c r="C14" s="34">
        <v>21134</v>
      </c>
      <c r="D14" s="34">
        <v>34</v>
      </c>
      <c r="E14" s="30"/>
      <c r="F14" s="29">
        <f t="shared" si="0"/>
        <v>21100</v>
      </c>
      <c r="G14" s="30"/>
    </row>
    <row r="15" spans="1:9">
      <c r="A15" s="27">
        <v>46019</v>
      </c>
      <c r="B15" s="28"/>
      <c r="C15" s="28"/>
      <c r="D15" s="28"/>
      <c r="E15" s="28">
        <v>21100</v>
      </c>
      <c r="F15" s="29">
        <f t="shared" si="0"/>
        <v>-21100</v>
      </c>
      <c r="G15" s="30"/>
    </row>
    <row r="16" spans="1:9">
      <c r="A16" s="27">
        <v>46019</v>
      </c>
      <c r="B16" s="28" t="s">
        <v>198</v>
      </c>
      <c r="C16" s="28"/>
      <c r="D16" s="35">
        <v>80</v>
      </c>
      <c r="E16" s="28"/>
      <c r="F16" s="29">
        <f t="shared" si="0"/>
        <v>-80</v>
      </c>
      <c r="G16" s="30"/>
    </row>
  </sheetData>
  <mergeCells count="9">
    <mergeCell ref="A1:G1"/>
    <mergeCell ref="B2:C2"/>
    <mergeCell ref="B5:F5"/>
    <mergeCell ref="A2:A6"/>
    <mergeCell ref="D3:D4"/>
    <mergeCell ref="E3:E4"/>
    <mergeCell ref="F3:F4"/>
    <mergeCell ref="G2:G6"/>
    <mergeCell ref="B3:C4"/>
  </mergeCells>
  <printOptions horizontalCentered="1"/>
  <pageMargins left="0" right="0" top="1" bottom="1" header="0.5" footer="0.5"/>
  <pageSetup paperSize="9" scale="84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出货</vt:lpstr>
      <vt:lpstr>出货总数尾数控制</vt:lpstr>
      <vt:lpstr>澜宇电视柜</vt:lpstr>
      <vt:lpstr>报价</vt:lpstr>
      <vt:lpstr>对账单</vt:lpstr>
      <vt:lpstr>回款明细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2022-07-18T03:23:00Z</cp:lastPrinted>
  <dcterms:modified xsi:type="dcterms:W3CDTF">2026-01-19T03:38:10Z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EA715C62F0D04256AE1D18ADE692D8B5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